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sheets/sheet18.xml" ContentType="application/vnd.openxmlformats-officedocument.spreadsheetml.worksheet+xml"/>
  <Override PartName="/xl/drawings/drawing14.xml" ContentType="application/vnd.openxmlformats-officedocument.drawing+xml"/>
  <Override PartName="/xl/worksheets/sheet19.xml" ContentType="application/vnd.openxmlformats-officedocument.spreadsheetml.worksheet+xml"/>
  <Override PartName="/xl/drawings/drawing1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Payments" sheetId="3" state="visible" r:id="rId3"/>
    <sheet name="Manual Log" sheetId="4" state="visible" r:id="rId4"/>
    <sheet name="Accounts" sheetId="5" state="visible" r:id="rId5"/>
    <sheet name="Dashboard" sheetId="6" state="visible" r:id="rId6"/>
    <sheet name="Jan" sheetId="7" state="visible" r:id="rId7"/>
    <sheet name="Feb" sheetId="8" state="visible" r:id="rId8"/>
    <sheet name="Mar" sheetId="9" state="visible" r:id="rId9"/>
    <sheet name="Apr" sheetId="10" state="visible" r:id="rId10"/>
    <sheet name="May" sheetId="11" state="visible" r:id="rId11"/>
    <sheet name="Jun" sheetId="12" state="visible" r:id="rId12"/>
    <sheet name="Jul" sheetId="13" state="visible" r:id="rId13"/>
    <sheet name="Aug" sheetId="14" state="visible" r:id="rId14"/>
    <sheet name="Sep" sheetId="15" state="visible" r:id="rId15"/>
    <sheet name="Oct" sheetId="16" state="visible" r:id="rId16"/>
    <sheet name="Nov" sheetId="17" state="visible" r:id="rId17"/>
    <sheet name="Dec" sheetId="18" state="visible" r:id="rId18"/>
    <sheet name="Annual" sheetId="19" state="visible" r:id="rId19"/>
    <sheet name="Calendar" sheetId="20" state="visible" r:id="rId20"/>
    <sheet name="Savings" sheetId="21" state="visible" r:id="rId21"/>
    <sheet name="Debt Payoff" sheetId="22" state="visible" r:id="rId22"/>
    <sheet name="Debt Schedule" sheetId="23" state="visible" r:id="rId23"/>
    <sheet name="Lists" sheetId="24" state="hidden" r:id="rId24"/>
    <sheet name="Calc" sheetId="25" state="hidden" r:id="rId25"/>
  </sheets>
  <definedNames>
    <definedName name="PayCat">Payments!$I$6:$I$1205</definedName>
    <definedName name="PayAct">Payments!$Q$6:$Q$1205</definedName>
    <definedName name="_xlnm._FilterDatabase" localSheetId="2" hidden="1">'Payments'!$C$5:$T$1205</definedName>
    <definedName name="_xlnm._FilterDatabase" localSheetId="3" hidden="1">'Manual Log'!$B$5:$H$1005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$#,##0.00;-$#,##0.00;&quot;-&quot;"/>
    <numFmt numFmtId="166" formatCode="0%;-0%;&quot;0%&quot;"/>
    <numFmt numFmtId="167" formatCode="0.0%"/>
    <numFmt numFmtId="168" formatCode="$#,##0;-$#,##0;&quot;-&quot;"/>
    <numFmt numFmtId="169" formatCode="mmmm yyyy"/>
    <numFmt numFmtId="170" formatCode="mmm yyyy"/>
    <numFmt numFmtId="171" formatCode="mmm yy"/>
  </numFmts>
  <fonts count="50">
    <font>
      <name val="Calibri"/>
      <family val="2"/>
      <color theme="1"/>
      <sz val="11"/>
      <scheme val="minor"/>
    </font>
    <font>
      <name val="Arial"/>
      <color rgb="00ECECF4"/>
      <sz val="10"/>
    </font>
    <font>
      <name val="Arial"/>
      <b val="1"/>
      <color rgb="00ECECF4"/>
      <sz val="20"/>
    </font>
    <font>
      <name val="Arial"/>
      <i val="1"/>
      <color rgb="009C9CB4"/>
      <sz val="9"/>
    </font>
    <font>
      <name val="Arial"/>
      <b val="1"/>
      <color rgb="00121218"/>
      <sz val="11"/>
    </font>
    <font>
      <name val="Arial"/>
      <color rgb="009C9CB4"/>
      <sz val="10"/>
    </font>
    <font>
      <name val="Arial"/>
      <b val="1"/>
      <color rgb="00121218"/>
      <sz val="10"/>
    </font>
    <font>
      <name val="Arial"/>
      <b val="1"/>
      <color rgb="00ECECF4"/>
      <sz val="10"/>
    </font>
    <font>
      <name val="Arial"/>
      <i val="1"/>
      <color rgb="009C9CB4"/>
      <sz val="8"/>
    </font>
    <font>
      <name val="Arial"/>
      <b val="1"/>
      <color rgb="009C9CB4"/>
      <sz val="9"/>
    </font>
    <font>
      <name val="Arial"/>
      <color rgb="009C9CB4"/>
      <sz val="8"/>
    </font>
    <font>
      <name val="Arial"/>
      <b val="1"/>
      <color rgb="00ECECF4"/>
      <sz val="18"/>
    </font>
    <font>
      <name val="Arial"/>
      <b val="1"/>
      <color rgb="009C9CB4"/>
      <sz val="8"/>
    </font>
    <font>
      <name val="Arial"/>
      <color rgb="00ECECF4"/>
      <sz val="9"/>
    </font>
    <font>
      <name val="Arial"/>
      <color rgb="0035D6BE"/>
      <sz val="10"/>
    </font>
    <font>
      <name val="Arial"/>
      <color rgb="00FF7AB8"/>
      <sz val="10"/>
    </font>
    <font>
      <name val="Arial"/>
      <b val="1"/>
      <color rgb="00ECECF4"/>
      <sz val="11"/>
    </font>
    <font>
      <name val="Arial"/>
      <color rgb="009C9CB4"/>
      <sz val="9"/>
    </font>
    <font>
      <name val="Arial"/>
      <b val="1"/>
      <color rgb="0035D6BE"/>
      <sz val="10"/>
    </font>
    <font>
      <name val="Arial"/>
      <b val="1"/>
      <color rgb="0035D6BE"/>
      <sz val="11"/>
    </font>
    <font>
      <name val="Arial"/>
      <color rgb="00FFB224"/>
      <sz val="10"/>
    </font>
    <font>
      <name val="Arial"/>
      <b val="1"/>
      <color rgb="009D8CF7"/>
      <sz val="10"/>
    </font>
    <font>
      <name val="Arial"/>
      <b val="1"/>
      <color rgb="0035D6BE"/>
      <sz val="20"/>
    </font>
    <font>
      <name val="Arial"/>
      <b val="1"/>
      <color rgb="00ECECF4"/>
      <sz val="9"/>
    </font>
    <font>
      <name val="Arial"/>
      <b val="1"/>
      <color rgb="00FF7AB8"/>
      <sz val="20"/>
    </font>
    <font>
      <name val="Arial"/>
      <b val="1"/>
      <color rgb="00FFB224"/>
      <sz val="20"/>
    </font>
    <font>
      <name val="Arial"/>
      <b val="1"/>
      <color rgb="009D8CF7"/>
      <sz val="20"/>
    </font>
    <font>
      <name val="Arial"/>
      <b val="1"/>
      <color rgb="00FFB224"/>
      <sz val="10"/>
    </font>
    <font>
      <name val="Arial"/>
      <b val="1"/>
      <color rgb="00FF7AB8"/>
      <sz val="10"/>
    </font>
    <font>
      <name val="Arial"/>
      <b val="1"/>
      <color rgb="00FF4F8B"/>
      <sz val="10"/>
    </font>
    <font>
      <name val="Arial"/>
      <b val="1"/>
      <color rgb="00F6A6D1"/>
      <sz val="10"/>
    </font>
    <font>
      <name val="Arial"/>
      <b val="1"/>
      <color rgb="0035D6BE"/>
      <sz val="16"/>
    </font>
    <font>
      <name val="Arial"/>
      <b val="1"/>
      <color rgb="00FFB224"/>
      <sz val="16"/>
    </font>
    <font>
      <name val="Arial"/>
      <b val="1"/>
      <color rgb="00FF7AB8"/>
      <sz val="16"/>
    </font>
    <font>
      <name val="Arial"/>
      <b val="1"/>
      <color rgb="00FF4F8B"/>
      <sz val="16"/>
    </font>
    <font>
      <name val="Arial"/>
      <b val="1"/>
      <color rgb="00F6A6D1"/>
      <sz val="16"/>
    </font>
    <font>
      <name val="Arial"/>
      <b val="1"/>
      <color rgb="009D8CF7"/>
      <sz val="16"/>
    </font>
    <font>
      <name val="Arial"/>
      <b val="1"/>
      <color rgb="00ECECF4"/>
      <sz val="22"/>
    </font>
    <font>
      <name val="Arial"/>
      <b val="1"/>
      <color rgb="00121218"/>
      <sz val="9"/>
    </font>
    <font>
      <name val="Arial"/>
      <b val="1"/>
      <color rgb="00ECECF4"/>
      <sz val="24"/>
    </font>
    <font>
      <name val="Arial"/>
      <b val="1"/>
      <color rgb="00121218"/>
      <sz val="8"/>
    </font>
    <font>
      <name val="Arial"/>
      <b val="1"/>
      <color rgb="00ECECF4"/>
      <sz val="8"/>
    </font>
    <font>
      <name val="Arial"/>
      <color rgb="00ECECF4"/>
      <sz val="8"/>
    </font>
    <font>
      <name val="Arial"/>
      <color rgb="0035D6BE"/>
      <sz val="9"/>
    </font>
    <font>
      <name val="Arial"/>
      <color rgb="009D8CF7"/>
      <sz val="9"/>
    </font>
    <font>
      <name val="Arial"/>
      <color rgb="00FF4F8B"/>
      <sz val="9"/>
    </font>
    <font>
      <name val="Arial"/>
      <color rgb="00FFB224"/>
      <sz val="9"/>
    </font>
    <font>
      <name val="Arial"/>
      <b val="1"/>
      <color rgb="00FF4F8B"/>
      <sz val="12"/>
    </font>
    <font>
      <name val="Arial"/>
      <b val="1"/>
      <color rgb="009C9CB4"/>
      <sz val="7"/>
    </font>
    <font>
      <name val="Arial"/>
      <b val="1"/>
      <color rgb="00FFB224"/>
      <sz val="11"/>
    </font>
  </fonts>
  <fills count="16">
    <fill>
      <patternFill/>
    </fill>
    <fill>
      <patternFill patternType="gray125"/>
    </fill>
    <fill>
      <patternFill patternType="solid">
        <fgColor rgb="00121218"/>
        <bgColor rgb="00121218"/>
      </patternFill>
    </fill>
    <fill>
      <patternFill patternType="solid">
        <fgColor rgb="009D8CF7"/>
        <bgColor rgb="009D8CF7"/>
      </patternFill>
    </fill>
    <fill>
      <patternFill patternType="solid">
        <fgColor rgb="001C1C27"/>
        <bgColor rgb="001C1C27"/>
      </patternFill>
    </fill>
    <fill>
      <patternFill patternType="solid">
        <fgColor rgb="00FFF3B0"/>
        <bgColor rgb="00FFF3B0"/>
      </patternFill>
    </fill>
    <fill>
      <patternFill patternType="solid">
        <fgColor rgb="0035D6BE"/>
        <bgColor rgb="0035D6BE"/>
      </patternFill>
    </fill>
    <fill>
      <patternFill patternType="solid">
        <fgColor rgb="00FF7AB8"/>
        <bgColor rgb="00FF7AB8"/>
      </patternFill>
    </fill>
    <fill>
      <patternFill patternType="solid">
        <fgColor rgb="00FFB224"/>
        <bgColor rgb="00FFB224"/>
      </patternFill>
    </fill>
    <fill>
      <patternFill patternType="solid">
        <fgColor rgb="002E2A1E"/>
        <bgColor rgb="002E2A1E"/>
      </patternFill>
    </fill>
    <fill>
      <patternFill patternType="solid">
        <fgColor rgb="0023232F"/>
        <bgColor rgb="0023232F"/>
      </patternFill>
    </fill>
    <fill>
      <patternFill patternType="solid">
        <fgColor rgb="00FF4F8B"/>
        <bgColor rgb="00FF4F8B"/>
      </patternFill>
    </fill>
    <fill>
      <patternFill patternType="solid">
        <fgColor rgb="00F6A6D1"/>
        <bgColor rgb="00F6A6D1"/>
      </patternFill>
    </fill>
    <fill>
      <patternFill patternType="solid">
        <fgColor rgb="004A4A5C"/>
        <bgColor rgb="004A4A5C"/>
      </patternFill>
    </fill>
    <fill>
      <patternFill patternType="solid">
        <fgColor rgb="002A2A3A"/>
        <bgColor rgb="002A2A3A"/>
      </patternFill>
    </fill>
    <fill>
      <patternFill patternType="solid">
        <fgColor rgb="005C5C78"/>
        <bgColor rgb="005C5C78"/>
      </patternFill>
    </fill>
  </fills>
  <borders count="4">
    <border>
      <left/>
      <right/>
      <top/>
      <bottom/>
      <diagonal/>
    </border>
    <border>
      <left style="thin">
        <color rgb="003A3A4C"/>
      </left>
      <right style="thin">
        <color rgb="003A3A4C"/>
      </right>
      <top style="thin">
        <color rgb="003A3A4C"/>
      </top>
      <bottom style="thin">
        <color rgb="003A3A4C"/>
      </bottom>
    </border>
    <border>
      <bottom style="thin">
        <color rgb="003A3A4C"/>
      </bottom>
    </border>
    <border>
      <top style="thin">
        <color rgb="003A3A4C"/>
      </top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0" pivotButton="0" quotePrefix="0" xfId="0"/>
    <xf numFmtId="0" fontId="39" fillId="2" borderId="0" applyAlignment="1" pivotButton="0" quotePrefix="0" xfId="0">
      <alignment horizontal="left" vertical="center" indent="1"/>
    </xf>
    <xf numFmtId="0" fontId="19" fillId="2" borderId="0" pivotButton="0" quotePrefix="0" xfId="0"/>
    <xf numFmtId="0" fontId="49" fillId="2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2" borderId="0" applyAlignment="1" pivotButton="0" quotePrefix="0" xfId="0">
      <alignment horizontal="left" vertical="center" indent="1"/>
    </xf>
    <xf numFmtId="0" fontId="3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1" fillId="3" borderId="0" pivotButton="0" quotePrefix="0" xfId="0"/>
    <xf numFmtId="0" fontId="4" fillId="6" borderId="0" applyAlignment="1" pivotButton="0" quotePrefix="0" xfId="0">
      <alignment horizontal="center" vertical="center"/>
    </xf>
    <xf numFmtId="0" fontId="1" fillId="6" borderId="0" pivotButton="0" quotePrefix="0" xfId="0"/>
    <xf numFmtId="0" fontId="5" fillId="4" borderId="0" applyAlignment="1" pivotButton="0" quotePrefix="0" xfId="0">
      <alignment horizontal="left" vertical="center" indent="1"/>
    </xf>
    <xf numFmtId="15" fontId="6" fillId="5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15" fontId="7" fillId="4" borderId="0" applyAlignment="1" pivotButton="0" quotePrefix="0" xfId="0">
      <alignment horizontal="center" vertical="center"/>
    </xf>
    <xf numFmtId="0" fontId="8" fillId="2" borderId="0" pivotButton="0" quotePrefix="0" xfId="0"/>
    <xf numFmtId="0" fontId="4" fillId="7" borderId="0" applyAlignment="1" pivotButton="0" quotePrefix="0" xfId="0">
      <alignment horizontal="center" vertical="center"/>
    </xf>
    <xf numFmtId="0" fontId="1" fillId="7" borderId="0" pivotButton="0" quotePrefix="0" xfId="0"/>
    <xf numFmtId="0" fontId="9" fillId="4" borderId="2" applyAlignment="1" pivotButton="0" quotePrefix="0" xfId="0">
      <alignment horizontal="center" vertical="center"/>
    </xf>
    <xf numFmtId="0" fontId="10" fillId="2" borderId="0" pivotButton="0" quotePrefix="0" xfId="0"/>
    <xf numFmtId="0" fontId="10" fillId="4" borderId="0" applyAlignment="1" pivotButton="0" quotePrefix="0" xfId="0">
      <alignment horizontal="center" vertical="center"/>
    </xf>
    <xf numFmtId="15" fontId="10" fillId="2" borderId="0" pivotButton="0" quotePrefix="0" xfId="0"/>
    <xf numFmtId="0" fontId="1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8" borderId="0" applyAlignment="1" pivotButton="0" quotePrefix="0" xfId="0">
      <alignment horizontal="center" vertical="center"/>
    </xf>
    <xf numFmtId="0" fontId="1" fillId="8" borderId="0" pivotButton="0" quotePrefix="0" xfId="0"/>
    <xf numFmtId="0" fontId="12" fillId="4" borderId="2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15" fontId="13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left" vertical="center" indent="1"/>
    </xf>
    <xf numFmtId="165" fontId="13" fillId="4" borderId="0" applyAlignment="1" pivotButton="0" quotePrefix="0" xfId="0">
      <alignment horizontal="center" vertical="center"/>
    </xf>
    <xf numFmtId="15" fontId="13" fillId="9" borderId="0" applyAlignment="1" pivotButton="0" quotePrefix="0" xfId="0">
      <alignment horizontal="center" vertical="center"/>
    </xf>
    <xf numFmtId="165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15" fontId="13" fillId="10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 indent="1"/>
    </xf>
    <xf numFmtId="165" fontId="13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indent="1"/>
    </xf>
    <xf numFmtId="165" fontId="1" fillId="10" borderId="0" applyAlignment="1" pivotButton="0" quotePrefix="0" xfId="0">
      <alignment horizontal="center" vertical="center"/>
    </xf>
    <xf numFmtId="165" fontId="14" fillId="10" borderId="0" applyAlignment="1" pivotButton="0" quotePrefix="0" xfId="0">
      <alignment horizontal="center" vertical="center"/>
    </xf>
    <xf numFmtId="165" fontId="15" fillId="10" borderId="0" applyAlignment="1" pivotButton="0" quotePrefix="0" xfId="0">
      <alignment horizontal="center" vertical="center"/>
    </xf>
    <xf numFmtId="165" fontId="16" fillId="1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165" fontId="6" fillId="3" borderId="0" applyAlignment="1" pivotButton="0" quotePrefix="0" xfId="0">
      <alignment horizontal="center" vertical="center"/>
    </xf>
    <xf numFmtId="0" fontId="1" fillId="4" borderId="0" pivotButton="0" quotePrefix="0" xfId="0"/>
    <xf numFmtId="0" fontId="6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center" vertical="center"/>
    </xf>
    <xf numFmtId="165" fontId="22" fillId="4" borderId="0" applyAlignment="1" pivotButton="0" quotePrefix="0" xfId="0">
      <alignment horizontal="center" vertical="center"/>
    </xf>
    <xf numFmtId="165" fontId="25" fillId="4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165" fontId="1" fillId="4" borderId="0" applyAlignment="1" pivotButton="0" quotePrefix="0" xfId="0">
      <alignment horizontal="center" vertical="center"/>
    </xf>
    <xf numFmtId="166" fontId="23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0" fontId="15" fillId="4" borderId="0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center" indent="1"/>
    </xf>
    <xf numFmtId="165" fontId="24" fillId="4" borderId="0" applyAlignment="1" pivotButton="0" quotePrefix="0" xfId="0">
      <alignment horizontal="center" vertical="center"/>
    </xf>
    <xf numFmtId="165" fontId="26" fillId="4" borderId="0" applyAlignment="1" pivotButton="0" quotePrefix="0" xfId="0">
      <alignment horizontal="center" vertical="center"/>
    </xf>
    <xf numFmtId="0" fontId="8" fillId="4" borderId="0" pivotButton="0" quotePrefix="0" xfId="0"/>
    <xf numFmtId="0" fontId="7" fillId="4" borderId="0" applyAlignment="1" pivotButton="0" quotePrefix="0" xfId="0">
      <alignment horizontal="left" vertical="center" indent="1"/>
    </xf>
    <xf numFmtId="165" fontId="7" fillId="4" borderId="3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 indent="1"/>
    </xf>
    <xf numFmtId="165" fontId="7" fillId="4" borderId="0" applyAlignment="1" pivotButton="0" quotePrefix="0" xfId="0">
      <alignment horizontal="center" vertical="center"/>
    </xf>
    <xf numFmtId="165" fontId="19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 indent="1"/>
    </xf>
    <xf numFmtId="0" fontId="27" fillId="4" borderId="0" applyAlignment="1" pivotButton="0" quotePrefix="0" xfId="0">
      <alignment horizontal="left" vertical="center" indent="1"/>
    </xf>
    <xf numFmtId="0" fontId="28" fillId="4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1"/>
    </xf>
    <xf numFmtId="0" fontId="30" fillId="4" borderId="0" applyAlignment="1" pivotButton="0" quotePrefix="0" xfId="0">
      <alignment horizontal="left" vertical="center" indent="1"/>
    </xf>
    <xf numFmtId="165" fontId="16" fillId="4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1" fillId="11" borderId="0" pivotButton="0" quotePrefix="0" xfId="0"/>
    <xf numFmtId="165" fontId="31" fillId="4" borderId="0" applyAlignment="1" pivotButton="0" quotePrefix="0" xfId="0">
      <alignment horizontal="center" vertical="center"/>
    </xf>
    <xf numFmtId="165" fontId="32" fillId="4" borderId="0" applyAlignment="1" pivotButton="0" quotePrefix="0" xfId="0">
      <alignment horizontal="center" vertical="center"/>
    </xf>
    <xf numFmtId="165" fontId="33" fillId="4" borderId="0" applyAlignment="1" pivotButton="0" quotePrefix="0" xfId="0">
      <alignment horizontal="center" vertical="center"/>
    </xf>
    <xf numFmtId="165" fontId="34" fillId="4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left" vertical="center" indent="1"/>
    </xf>
    <xf numFmtId="165" fontId="23" fillId="10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1" fillId="12" borderId="0" pivotButton="0" quotePrefix="0" xfId="0"/>
    <xf numFmtId="165" fontId="35" fillId="4" borderId="0" applyAlignment="1" pivotButton="0" quotePrefix="0" xfId="0">
      <alignment horizontal="center" vertical="center"/>
    </xf>
    <xf numFmtId="165" fontId="36" fillId="4" borderId="0" applyAlignment="1" pivotButton="0" quotePrefix="0" xfId="0">
      <alignment horizontal="center" vertical="center"/>
    </xf>
    <xf numFmtId="167" fontId="13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8" fontId="13" fillId="4" borderId="0" applyAlignment="1" pivotButton="0" quotePrefix="0" xfId="0">
      <alignment horizontal="center" vertical="center"/>
    </xf>
    <xf numFmtId="168" fontId="7" fillId="10" borderId="0" applyAlignment="1" pivotButton="0" quotePrefix="0" xfId="0">
      <alignment horizontal="center" vertical="center"/>
    </xf>
    <xf numFmtId="168" fontId="13" fillId="10" borderId="0" applyAlignment="1" pivotButton="0" quotePrefix="0" xfId="0">
      <alignment horizontal="center" vertical="center"/>
    </xf>
    <xf numFmtId="166" fontId="23" fillId="10" borderId="0" applyAlignment="1" pivotButton="0" quotePrefix="0" xfId="0">
      <alignment horizontal="center" vertical="center"/>
    </xf>
    <xf numFmtId="0" fontId="38" fillId="7" borderId="0" applyAlignment="1" pivotButton="0" quotePrefix="0" xfId="0">
      <alignment horizontal="left" vertical="center" indent="1"/>
    </xf>
    <xf numFmtId="168" fontId="38" fillId="7" borderId="0" applyAlignment="1" pivotButton="0" quotePrefix="0" xfId="0">
      <alignment horizontal="center" vertical="center"/>
    </xf>
    <xf numFmtId="166" fontId="38" fillId="7" borderId="0" applyAlignment="1" pivotButton="0" quotePrefix="0" xfId="0">
      <alignment horizontal="center" vertical="center"/>
    </xf>
    <xf numFmtId="0" fontId="38" fillId="6" borderId="0" applyAlignment="1" pivotButton="0" quotePrefix="0" xfId="0">
      <alignment horizontal="left" vertical="center" indent="1"/>
    </xf>
    <xf numFmtId="168" fontId="38" fillId="6" borderId="0" applyAlignment="1" pivotButton="0" quotePrefix="0" xfId="0">
      <alignment horizontal="center" vertical="center"/>
    </xf>
    <xf numFmtId="166" fontId="38" fillId="6" borderId="0" applyAlignment="1" pivotButton="0" quotePrefix="0" xfId="0">
      <alignment horizontal="center" vertical="center"/>
    </xf>
    <xf numFmtId="168" fontId="23" fillId="10" borderId="0" applyAlignment="1" pivotButton="0" quotePrefix="0" xfId="0">
      <alignment horizontal="center" vertical="center"/>
    </xf>
    <xf numFmtId="166" fontId="13" fillId="10" borderId="0" applyAlignment="1" pivotButton="0" quotePrefix="0" xfId="0">
      <alignment horizontal="center" vertical="center"/>
    </xf>
    <xf numFmtId="15" fontId="23" fillId="4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0" fillId="3" borderId="0" applyAlignment="1" pivotButton="0" quotePrefix="0" xfId="0">
      <alignment horizontal="center" vertical="center"/>
    </xf>
    <xf numFmtId="0" fontId="40" fillId="11" borderId="0" applyAlignment="1" pivotButton="0" quotePrefix="0" xfId="0">
      <alignment horizontal="center" vertical="center"/>
    </xf>
    <xf numFmtId="0" fontId="40" fillId="8" borderId="0" applyAlignment="1" pivotButton="0" quotePrefix="0" xfId="0">
      <alignment horizontal="center" vertical="center"/>
    </xf>
    <xf numFmtId="165" fontId="23" fillId="4" borderId="0" applyAlignment="1" pivotButton="0" quotePrefix="0" xfId="0">
      <alignment horizontal="center" vertical="center"/>
    </xf>
    <xf numFmtId="0" fontId="41" fillId="13" borderId="0" applyAlignment="1" pivotButton="0" quotePrefix="0" xfId="0">
      <alignment horizontal="center" vertical="center"/>
    </xf>
    <xf numFmtId="0" fontId="0" fillId="3" borderId="0" pivotButton="0" quotePrefix="0" xfId="0"/>
    <xf numFmtId="0" fontId="16" fillId="14" borderId="0" applyAlignment="1" pivotButton="0" quotePrefix="0" xfId="0">
      <alignment horizontal="left" vertical="center" indent="1"/>
    </xf>
    <xf numFmtId="168" fontId="10" fillId="14" borderId="0" applyAlignment="1" pivotButton="0" quotePrefix="0" xfId="0">
      <alignment horizontal="right" vertical="center"/>
    </xf>
    <xf numFmtId="1" fontId="1" fillId="2" borderId="0" pivotButton="0" quotePrefix="0" xfId="0"/>
    <xf numFmtId="0" fontId="38" fillId="3" borderId="0" applyAlignment="1" pivotButton="0" quotePrefix="0" xfId="0">
      <alignment horizontal="left" vertical="center" indent="1"/>
    </xf>
    <xf numFmtId="0" fontId="42" fillId="4" borderId="0" applyAlignment="1" pivotButton="0" quotePrefix="0" xfId="0">
      <alignment horizontal="left" vertical="center" indent="1"/>
    </xf>
    <xf numFmtId="168" fontId="42" fillId="4" borderId="0" applyAlignment="1" pivotButton="0" quotePrefix="0" xfId="0">
      <alignment horizontal="right" vertical="center"/>
    </xf>
    <xf numFmtId="0" fontId="43" fillId="4" borderId="0" applyAlignment="1" pivotButton="0" quotePrefix="0" xfId="0">
      <alignment horizontal="left" vertical="center" indent="1"/>
    </xf>
    <xf numFmtId="0" fontId="44" fillId="4" borderId="0" applyAlignment="1" pivotButton="0" quotePrefix="0" xfId="0">
      <alignment horizontal="left" vertical="center" indent="1"/>
    </xf>
    <xf numFmtId="0" fontId="45" fillId="4" borderId="0" applyAlignment="1" pivotButton="0" quotePrefix="0" xfId="0">
      <alignment horizontal="left" vertical="center" indent="1"/>
    </xf>
    <xf numFmtId="0" fontId="46" fillId="4" borderId="0" applyAlignment="1" pivotButton="0" quotePrefix="0" xfId="0">
      <alignment horizontal="left" vertical="center" indent="1"/>
    </xf>
    <xf numFmtId="0" fontId="42" fillId="4" borderId="2" applyAlignment="1" pivotButton="0" quotePrefix="0" xfId="0">
      <alignment horizontal="left" vertical="center" indent="1"/>
    </xf>
    <xf numFmtId="168" fontId="42" fillId="4" borderId="2" applyAlignment="1" pivotButton="0" quotePrefix="0" xfId="0">
      <alignment horizontal="right" vertical="center"/>
    </xf>
    <xf numFmtId="0" fontId="23" fillId="4" borderId="0" applyAlignment="1" pivotButton="0" quotePrefix="0" xfId="0">
      <alignment horizontal="left" vertical="center" indent="1"/>
    </xf>
    <xf numFmtId="168" fontId="23" fillId="4" borderId="0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8" fontId="1" fillId="4" borderId="0" applyAlignment="1" pivotButton="0" quotePrefix="0" xfId="0">
      <alignment horizontal="center" vertical="center"/>
    </xf>
    <xf numFmtId="168" fontId="27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indent="1"/>
    </xf>
    <xf numFmtId="168" fontId="6" fillId="8" borderId="0" applyAlignment="1" pivotButton="0" quotePrefix="0" xfId="0">
      <alignment horizontal="center" vertical="center"/>
    </xf>
    <xf numFmtId="166" fontId="6" fillId="8" borderId="0" applyAlignment="1" pivotButton="0" quotePrefix="0" xfId="0">
      <alignment horizontal="center" vertical="center"/>
    </xf>
    <xf numFmtId="169" fontId="47" fillId="4" borderId="0" applyAlignment="1" pivotButton="0" quotePrefix="0" xfId="0">
      <alignment horizontal="center" vertical="center"/>
    </xf>
    <xf numFmtId="1" fontId="7" fillId="4" borderId="0" applyAlignment="1" pivotButton="0" quotePrefix="0" xfId="0">
      <alignment horizontal="center" vertical="center"/>
    </xf>
    <xf numFmtId="168" fontId="7" fillId="4" borderId="0" applyAlignment="1" pivotButton="0" quotePrefix="0" xfId="0">
      <alignment horizontal="center" vertical="center"/>
    </xf>
    <xf numFmtId="0" fontId="48" fillId="4" borderId="2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" fontId="29" fillId="4" borderId="0" applyAlignment="1" pivotButton="0" quotePrefix="0" xfId="0">
      <alignment horizontal="center" vertical="center"/>
    </xf>
    <xf numFmtId="166" fontId="1" fillId="4" borderId="0" applyAlignment="1" pivotButton="0" quotePrefix="0" xfId="0">
      <alignment horizontal="center" vertical="center"/>
    </xf>
    <xf numFmtId="170" fontId="7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38" fillId="11" borderId="0" applyAlignment="1" pivotButton="0" quotePrefix="0" xfId="0">
      <alignment horizontal="center" vertical="center"/>
    </xf>
    <xf numFmtId="0" fontId="38" fillId="8" borderId="0" applyAlignment="1" pivotButton="0" quotePrefix="0" xfId="0">
      <alignment horizontal="center" vertical="center"/>
    </xf>
    <xf numFmtId="0" fontId="38" fillId="3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center" vertical="center"/>
    </xf>
    <xf numFmtId="0" fontId="1" fillId="15" borderId="0" pivotButton="0" quotePrefix="0" xfId="0"/>
    <xf numFmtId="0" fontId="38" fillId="6" borderId="0" applyAlignment="1" pivotButton="0" quotePrefix="0" xfId="0">
      <alignment horizontal="center" vertical="center"/>
    </xf>
    <xf numFmtId="0" fontId="12" fillId="4" borderId="0" pivotButton="0" quotePrefix="0" xfId="0"/>
    <xf numFmtId="1" fontId="10" fillId="4" borderId="0" applyAlignment="1" pivotButton="0" quotePrefix="0" xfId="0">
      <alignment horizontal="center" vertical="center"/>
    </xf>
    <xf numFmtId="0" fontId="10" fillId="0" borderId="0" pivotButton="0" quotePrefix="0" xfId="0"/>
    <xf numFmtId="168" fontId="0" fillId="0" borderId="0" pivotButton="0" quotePrefix="0" xfId="0"/>
    <xf numFmtId="171" fontId="0" fillId="0" borderId="0" pivotButton="0" quotePrefix="0" xfId="0"/>
    <xf numFmtId="168" fontId="42" fillId="0" borderId="0" pivotButton="0" quotePrefix="0" xfId="0"/>
  </cellXfs>
  <cellStyles count="1">
    <cellStyle name="Normal" xfId="0" builtinId="0" hidden="0"/>
  </cellStyles>
  <dxfs count="15">
    <dxf>
      <font>
        <color rgb="00121218"/>
      </font>
      <fill>
        <patternFill patternType="solid">
          <fgColor rgb="0035D6BE"/>
          <bgColor rgb="0035D6BE"/>
        </patternFill>
      </fill>
    </dxf>
    <dxf>
      <font>
        <color rgb="00121218"/>
      </font>
      <fill>
        <patternFill patternType="solid">
          <fgColor rgb="00FFB224"/>
          <bgColor rgb="00FFB224"/>
        </patternFill>
      </fill>
    </dxf>
    <dxf>
      <font>
        <color rgb="00121218"/>
      </font>
      <fill>
        <patternFill patternType="solid">
          <fgColor rgb="00FF7AB8"/>
          <bgColor rgb="00FF7AB8"/>
        </patternFill>
      </fill>
    </dxf>
    <dxf>
      <font>
        <color rgb="00121218"/>
      </font>
      <fill>
        <patternFill patternType="solid">
          <fgColor rgb="00FF4F8B"/>
          <bgColor rgb="00FF4F8B"/>
        </patternFill>
      </fill>
    </dxf>
    <dxf>
      <font>
        <color rgb="00121218"/>
      </font>
      <fill>
        <patternFill patternType="solid">
          <fgColor rgb="00F6A6D1"/>
          <bgColor rgb="00F6A6D1"/>
        </patternFill>
      </fill>
    </dxf>
    <dxf>
      <font>
        <color rgb="00121218"/>
      </font>
      <fill>
        <patternFill patternType="solid">
          <fgColor rgb="009D8CF7"/>
          <bgColor rgb="009D8CF7"/>
        </patternFill>
      </fill>
    </dxf>
    <dxf>
      <font>
        <color rgb="00121218"/>
      </font>
      <fill>
        <patternFill patternType="solid">
          <fgColor rgb="005AB4FF"/>
          <bgColor rgb="005AB4FF"/>
        </patternFill>
      </fill>
    </dxf>
    <dxf>
      <font>
        <color rgb="00121218"/>
      </font>
      <fill>
        <patternFill patternType="solid">
          <fgColor rgb="00121218"/>
          <bgColor rgb="00121218"/>
        </patternFill>
      </fill>
    </dxf>
    <dxf>
      <font>
        <color rgb="0035D6BE"/>
      </font>
    </dxf>
    <dxf>
      <font>
        <color rgb="009C9CB4"/>
      </font>
    </dxf>
    <dxf>
      <font>
        <color rgb="00FF4F8B"/>
      </font>
    </dxf>
    <dxf>
      <font>
        <b val="1"/>
        <color rgb="00FF4F8B"/>
      </font>
    </dxf>
    <dxf>
      <font>
        <color rgb="005A5A70"/>
      </font>
    </dxf>
    <dxf>
      <font>
        <color rgb="00B8B8C8"/>
      </font>
      <fill>
        <patternFill patternType="solid">
          <fgColor rgb="004A4A5C"/>
          <bgColor rgb="004A4A5C"/>
        </patternFill>
      </fill>
    </dxf>
    <dxf>
      <font>
        <b val="1"/>
        <color rgb="0035D6B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'Accounts'!F5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invertIfNegative val="0"/>
          <cat>
            <numRef>
              <f>'Accounts'!$B$6:$B$17</f>
            </numRef>
          </cat>
          <val>
            <numRef>
              <f>'Accounts'!$F$6:$F$17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'Dashboard'!C13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'Dashboard'!$B$14:$B$19</f>
            </numRef>
          </cat>
          <val>
            <numRef>
              <f>'Dashboard'!$C$14:$C$19</f>
            </numRef>
          </val>
        </ser>
        <ser>
          <idx val="1"/>
          <order val="1"/>
          <tx>
            <strRef>
              <f>'Dashboard'!D13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'Dashboard'!$B$14:$B$19</f>
            </numRef>
          </cat>
          <val>
            <numRef>
              <f>'Dashboard'!$D$14:$D$19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'Dashboard'!$B$16:$B$19</f>
            </numRef>
          </cat>
          <val>
            <numRef>
              <f>'Dashboard'!$D$16:$D$19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'Dashboard'!$G$52:$G$66</f>
            </numRef>
          </cat>
          <val>
            <numRef>
              <f>'Dashboard'!$I$52:$I$66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'Dashboard'!$X$31:$X$61</f>
            </numRef>
          </cat>
          <val>
            <numRef>
              <f>'Dashboard'!$W$31:$W$61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'Jan'!C13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'Jan'!$B$14:$B$19</f>
            </numRef>
          </cat>
          <val>
            <numRef>
              <f>'Jan'!$C$14:$C$19</f>
            </numRef>
          </val>
        </ser>
        <ser>
          <idx val="1"/>
          <order val="1"/>
          <tx>
            <strRef>
              <f>'Jan'!D13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'Jan'!$B$14:$B$19</f>
            </numRef>
          </cat>
          <val>
            <numRef>
              <f>'Jan'!$D$14:$D$19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'Jan'!$B$16:$B$19</f>
            </numRef>
          </cat>
          <val>
            <numRef>
              <f>'Jan'!$D$16:$D$19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'Jan'!$G$52:$G$66</f>
            </numRef>
          </cat>
          <val>
            <numRef>
              <f>'Jan'!$I$52:$I$66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'Jan'!$X$31:$X$61</f>
            </numRef>
          </cat>
          <val>
            <numRef>
              <f>'Jan'!$W$31:$W$61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'Feb'!C13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'Feb'!$B$14:$B$19</f>
            </numRef>
          </cat>
          <val>
            <numRef>
              <f>'Feb'!$C$14:$C$19</f>
            </numRef>
          </val>
        </ser>
        <ser>
          <idx val="1"/>
          <order val="1"/>
          <tx>
            <strRef>
              <f>'Feb'!D13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'Feb'!$B$14:$B$19</f>
            </numRef>
          </cat>
          <val>
            <numRef>
              <f>'Feb'!$D$14:$D$19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'Feb'!$B$16:$B$19</f>
            </numRef>
          </cat>
          <val>
            <numRef>
              <f>'Feb'!$D$16:$D$19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'Feb'!$G$52:$G$66</f>
            </numRef>
          </cat>
          <val>
            <numRef>
              <f>'Feb'!$I$52:$I$66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'Feb'!$X$31:$X$61</f>
            </numRef>
          </cat>
          <val>
            <numRef>
              <f>'Feb'!$W$31:$W$61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'Mar'!C13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'Mar'!$B$14:$B$19</f>
            </numRef>
          </cat>
          <val>
            <numRef>
              <f>'Mar'!$C$14:$C$19</f>
            </numRef>
          </val>
        </ser>
        <ser>
          <idx val="1"/>
          <order val="1"/>
          <tx>
            <strRef>
              <f>'Mar'!D13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'Mar'!$B$14:$B$19</f>
            </numRef>
          </cat>
          <val>
            <numRef>
              <f>'Mar'!$D$14:$D$19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'Mar'!$B$16:$B$19</f>
            </numRef>
          </cat>
          <val>
            <numRef>
              <f>'Mar'!$D$16:$D$19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'Mar'!$G$52:$G$66</f>
            </numRef>
          </cat>
          <val>
            <numRef>
              <f>'Mar'!$I$52:$I$66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'Mar'!$X$31:$X$61</f>
            </numRef>
          </cat>
          <val>
            <numRef>
              <f>'Mar'!$W$31:$W$61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'Apr'!C13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'Apr'!$B$14:$B$19</f>
            </numRef>
          </cat>
          <val>
            <numRef>
              <f>'Apr'!$C$14:$C$19</f>
            </numRef>
          </val>
        </ser>
        <ser>
          <idx val="1"/>
          <order val="1"/>
          <tx>
            <strRef>
              <f>'Apr'!D13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'Apr'!$B$14:$B$19</f>
            </numRef>
          </cat>
          <val>
            <numRef>
              <f>'Apr'!$D$14:$D$19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'Apr'!$B$16:$B$19</f>
            </numRef>
          </cat>
          <val>
            <numRef>
              <f>'Apr'!$D$16:$D$19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'Apr'!$G$52:$G$66</f>
            </numRef>
          </cat>
          <val>
            <numRef>
              <f>'Apr'!$I$52:$I$66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'Apr'!$X$31:$X$61</f>
            </numRef>
          </cat>
          <val>
            <numRef>
              <f>'Apr'!$W$31:$W$61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'May'!C13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'May'!$B$14:$B$19</f>
            </numRef>
          </cat>
          <val>
            <numRef>
              <f>'May'!$C$14:$C$19</f>
            </numRef>
          </val>
        </ser>
        <ser>
          <idx val="1"/>
          <order val="1"/>
          <tx>
            <strRef>
              <f>'May'!D13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'May'!$B$14:$B$19</f>
            </numRef>
          </cat>
          <val>
            <numRef>
              <f>'May'!$D$14:$D$19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'May'!$B$16:$B$19</f>
            </numRef>
          </cat>
          <val>
            <numRef>
              <f>'May'!$D$16:$D$19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'May'!$G$52:$G$66</f>
            </numRef>
          </cat>
          <val>
            <numRef>
              <f>'May'!$I$52:$I$66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'May'!$X$31:$X$61</f>
            </numRef>
          </cat>
          <val>
            <numRef>
              <f>'May'!$W$31:$W$61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'Jun'!C13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'Jun'!$B$14:$B$19</f>
            </numRef>
          </cat>
          <val>
            <numRef>
              <f>'Jun'!$C$14:$C$19</f>
            </numRef>
          </val>
        </ser>
        <ser>
          <idx val="1"/>
          <order val="1"/>
          <tx>
            <strRef>
              <f>'Jun'!D13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'Jun'!$B$14:$B$19</f>
            </numRef>
          </cat>
          <val>
            <numRef>
              <f>'Jun'!$D$14:$D$19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'Jun'!$B$16:$B$19</f>
            </numRef>
          </cat>
          <val>
            <numRef>
              <f>'Jun'!$D$16:$D$19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'Jun'!$G$52:$G$66</f>
            </numRef>
          </cat>
          <val>
            <numRef>
              <f>'Jun'!$I$52:$I$66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'Jun'!$X$31:$X$61</f>
            </numRef>
          </cat>
          <val>
            <numRef>
              <f>'Jun'!$W$31:$W$61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'Jul'!C13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'Jul'!$B$14:$B$19</f>
            </numRef>
          </cat>
          <val>
            <numRef>
              <f>'Jul'!$C$14:$C$19</f>
            </numRef>
          </val>
        </ser>
        <ser>
          <idx val="1"/>
          <order val="1"/>
          <tx>
            <strRef>
              <f>'Jul'!D13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'Jul'!$B$14:$B$19</f>
            </numRef>
          </cat>
          <val>
            <numRef>
              <f>'Jul'!$D$14:$D$19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'Jul'!$B$16:$B$19</f>
            </numRef>
          </cat>
          <val>
            <numRef>
              <f>'Jul'!$D$16:$D$19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'Jul'!$G$52:$G$66</f>
            </numRef>
          </cat>
          <val>
            <numRef>
              <f>'Jul'!$I$52:$I$66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'Jul'!$X$31:$X$61</f>
            </numRef>
          </cat>
          <val>
            <numRef>
              <f>'Jul'!$W$31:$W$61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'Aug'!C13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'Aug'!$B$14:$B$19</f>
            </numRef>
          </cat>
          <val>
            <numRef>
              <f>'Aug'!$C$14:$C$19</f>
            </numRef>
          </val>
        </ser>
        <ser>
          <idx val="1"/>
          <order val="1"/>
          <tx>
            <strRef>
              <f>'Aug'!D13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'Aug'!$B$14:$B$19</f>
            </numRef>
          </cat>
          <val>
            <numRef>
              <f>'Aug'!$D$14:$D$19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'Aug'!$B$16:$B$19</f>
            </numRef>
          </cat>
          <val>
            <numRef>
              <f>'Aug'!$D$16:$D$19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'Aug'!$G$52:$G$66</f>
            </numRef>
          </cat>
          <val>
            <numRef>
              <f>'Aug'!$I$52:$I$66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'Aug'!$X$31:$X$61</f>
            </numRef>
          </cat>
          <val>
            <numRef>
              <f>'Aug'!$W$31:$W$61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'Sep'!C13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'Sep'!$B$14:$B$19</f>
            </numRef>
          </cat>
          <val>
            <numRef>
              <f>'Sep'!$C$14:$C$19</f>
            </numRef>
          </val>
        </ser>
        <ser>
          <idx val="1"/>
          <order val="1"/>
          <tx>
            <strRef>
              <f>'Sep'!D13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'Sep'!$B$14:$B$19</f>
            </numRef>
          </cat>
          <val>
            <numRef>
              <f>'Sep'!$D$14:$D$19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'Sep'!$B$16:$B$19</f>
            </numRef>
          </cat>
          <val>
            <numRef>
              <f>'Sep'!$D$16:$D$19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'Sep'!$G$52:$G$66</f>
            </numRef>
          </cat>
          <val>
            <numRef>
              <f>'Sep'!$I$52:$I$66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'Sep'!$X$31:$X$61</f>
            </numRef>
          </cat>
          <val>
            <numRef>
              <f>'Sep'!$W$31:$W$61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'Oct'!C13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'Oct'!$B$14:$B$19</f>
            </numRef>
          </cat>
          <val>
            <numRef>
              <f>'Oct'!$C$14:$C$19</f>
            </numRef>
          </val>
        </ser>
        <ser>
          <idx val="1"/>
          <order val="1"/>
          <tx>
            <strRef>
              <f>'Oct'!D13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'Oct'!$B$14:$B$19</f>
            </numRef>
          </cat>
          <val>
            <numRef>
              <f>'Oct'!$D$14:$D$19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'Oct'!$B$16:$B$19</f>
            </numRef>
          </cat>
          <val>
            <numRef>
              <f>'Oct'!$D$16:$D$19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'Oct'!$G$52:$G$66</f>
            </numRef>
          </cat>
          <val>
            <numRef>
              <f>'Oct'!$I$52:$I$66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'Oct'!$X$31:$X$61</f>
            </numRef>
          </cat>
          <val>
            <numRef>
              <f>'Oct'!$W$31:$W$61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'Nov'!C13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'Nov'!$B$14:$B$19</f>
            </numRef>
          </cat>
          <val>
            <numRef>
              <f>'Nov'!$C$14:$C$19</f>
            </numRef>
          </val>
        </ser>
        <ser>
          <idx val="1"/>
          <order val="1"/>
          <tx>
            <strRef>
              <f>'Nov'!D13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'Nov'!$B$14:$B$19</f>
            </numRef>
          </cat>
          <val>
            <numRef>
              <f>'Nov'!$D$14:$D$19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'Nov'!$B$16:$B$19</f>
            </numRef>
          </cat>
          <val>
            <numRef>
              <f>'Nov'!$D$16:$D$19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'Nov'!$G$52:$G$66</f>
            </numRef>
          </cat>
          <val>
            <numRef>
              <f>'Nov'!$I$52:$I$66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'Nov'!$X$31:$X$61</f>
            </numRef>
          </cat>
          <val>
            <numRef>
              <f>'Nov'!$W$31:$W$61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'Dec'!C13</f>
            </strRef>
          </tx>
          <spPr>
            <a:solidFill>
              <a:srgbClr val="5C5C78"/>
            </a:solidFill>
            <a:ln>
              <a:noFill/>
              <a:prstDash val="solid"/>
            </a:ln>
          </spPr>
          <cat>
            <numRef>
              <f>'Dec'!$B$14:$B$19</f>
            </numRef>
          </cat>
          <val>
            <numRef>
              <f>'Dec'!$C$14:$C$19</f>
            </numRef>
          </val>
        </ser>
        <ser>
          <idx val="1"/>
          <order val="1"/>
          <tx>
            <strRef>
              <f>'Dec'!D13</f>
            </strRef>
          </tx>
          <spPr>
            <a:solidFill>
              <a:srgbClr val="35D6BE"/>
            </a:solidFill>
            <a:ln>
              <a:noFill/>
              <a:prstDash val="solid"/>
            </a:ln>
          </spPr>
          <cat>
            <numRef>
              <f>'Dec'!$B$14:$B$19</f>
            </numRef>
          </cat>
          <val>
            <numRef>
              <f>'Dec'!$D$14:$D$19</f>
            </numRef>
          </val>
        </ser>
        <gapWidth val="60"/>
        <overlap val="-1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'Dec'!$B$16:$B$19</f>
            </numRef>
          </cat>
          <val>
            <numRef>
              <f>'Dec'!$D$16:$D$19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35D6BE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5AB4FF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5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6"/>
            <spPr>
              <a:solidFill>
                <a:srgbClr val="7BE08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7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8"/>
            <spPr>
              <a:solidFill>
                <a:srgbClr val="FF9F5A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9"/>
            <spPr>
              <a:solidFill>
                <a:srgbClr val="C084FC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0"/>
            <spPr>
              <a:solidFill>
                <a:srgbClr val="4ADE80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1"/>
            <spPr>
              <a:solidFill>
                <a:srgbClr val="F472B6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2"/>
            <spPr>
              <a:solidFill>
                <a:srgbClr val="38BDF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3"/>
            <spPr>
              <a:solidFill>
                <a:srgbClr val="FACC15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4"/>
            <spPr>
              <a:solidFill>
                <a:srgbClr val="A3A3FF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'Dec'!$G$52:$G$66</f>
            </numRef>
          </cat>
          <val>
            <numRef>
              <f>'Dec'!$I$52:$I$66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'Dec'!$X$31:$X$61</f>
            </numRef>
          </cat>
          <val>
            <numRef>
              <f>'Dec'!$W$31:$W$61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0"/>
    <dispBlanksAs val="gap"/>
  </chart>
  <spPr>
    <a:solidFill>
      <a:srgbClr val="1C1C27"/>
    </a:solidFill>
    <a:ln>
      <a:noFill/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stacked"/>
        <ser>
          <idx val="0"/>
          <order val="0"/>
          <tx>
            <strRef>
              <f>'Annual'!B9</f>
            </strRef>
          </tx>
          <spPr>
            <a:solidFill>
              <a:srgbClr val="FF7AB8"/>
            </a:solidFill>
            <a:ln>
              <a:noFill/>
              <a:prstDash val="solid"/>
            </a:ln>
          </spPr>
          <cat>
            <numRef>
              <f>'Annual'!$C$6:$N$6</f>
            </numRef>
          </cat>
          <val>
            <numRef>
              <f>'Annual'!$C$9:$N$9</f>
            </numRef>
          </val>
        </ser>
        <ser>
          <idx val="1"/>
          <order val="1"/>
          <tx>
            <strRef>
              <f>'Annual'!B10</f>
            </strRef>
          </tx>
          <spPr>
            <a:solidFill>
              <a:srgbClr val="FF4F8B"/>
            </a:solidFill>
            <a:ln>
              <a:noFill/>
              <a:prstDash val="solid"/>
            </a:ln>
          </spPr>
          <cat>
            <numRef>
              <f>'Annual'!$C$6:$N$6</f>
            </numRef>
          </cat>
          <val>
            <numRef>
              <f>'Annual'!$C$10:$N$10</f>
            </numRef>
          </val>
        </ser>
        <ser>
          <idx val="2"/>
          <order val="2"/>
          <tx>
            <strRef>
              <f>'Annual'!B11</f>
            </strRef>
          </tx>
          <spPr>
            <a:solidFill>
              <a:srgbClr val="F6A6D1"/>
            </a:solidFill>
            <a:ln>
              <a:noFill/>
              <a:prstDash val="solid"/>
            </a:ln>
          </spPr>
          <cat>
            <numRef>
              <f>'Annual'!$C$6:$N$6</f>
            </numRef>
          </cat>
          <val>
            <numRef>
              <f>'Annual'!$C$11:$N$11</f>
            </numRef>
          </val>
        </ser>
        <ser>
          <idx val="3"/>
          <order val="3"/>
          <tx>
            <strRef>
              <f>'Annual'!B12</f>
            </strRef>
          </tx>
          <spPr>
            <a:solidFill>
              <a:srgbClr val="9D8CF7"/>
            </a:solidFill>
            <a:ln>
              <a:noFill/>
              <a:prstDash val="solid"/>
            </a:ln>
          </spPr>
          <cat>
            <numRef>
              <f>'Annual'!$C$6:$N$6</f>
            </numRef>
          </cat>
          <val>
            <numRef>
              <f>'Annual'!$C$12:$N$12</f>
            </numRef>
          </val>
        </ser>
        <gapWidth val="50"/>
        <overlap val="100"/>
        <axId val="10"/>
        <axId val="100"/>
      </barChart>
      <lineChart>
        <grouping val="standard"/>
        <ser>
          <idx val="4"/>
          <order val="4"/>
          <tx>
            <strRef>
              <f>'Annual'!B7</f>
            </strRef>
          </tx>
          <spPr>
            <a:ln w="28000">
              <a:solidFill>
                <a:srgbClr val="35D6B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'Annual'!$C$7:$N$7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2C2C3A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roundedCorners val="0"/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FFB224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1"/>
            <spPr>
              <a:solidFill>
                <a:srgbClr val="FF7AB8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2"/>
            <spPr>
              <a:solidFill>
                <a:srgbClr val="FF4F8B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3"/>
            <spPr>
              <a:solidFill>
                <a:srgbClr val="F6A6D1"/>
              </a:solidFill>
              <a:ln>
                <a:solidFill>
                  <a:srgbClr val="1C1C27"/>
                </a:solidFill>
                <a:prstDash val="solid"/>
              </a:ln>
            </spPr>
          </dPt>
          <dPt>
            <idx val="4"/>
            <spPr>
              <a:solidFill>
                <a:srgbClr val="9D8CF7"/>
              </a:solidFill>
              <a:ln>
                <a:solidFill>
                  <a:srgbClr val="1C1C27"/>
                </a:solidFill>
                <a:prstDash val="solid"/>
              </a:ln>
            </spPr>
          </dPt>
          <cat>
            <numRef>
              <f>'Annual'!$B$8:$B$12</f>
            </numRef>
          </cat>
          <val>
            <numRef>
              <f>'Annual'!$O$8:$O$12</f>
            </numRef>
          </val>
        </ser>
        <dLbls>
          <txPr>
            <a:bodyPr/>
            <a:p>
              <a:pPr>
                <a:defRPr sz="800" b="1">
                  <a:solidFill>
                    <a:srgbClr val="121218"/>
                  </a:solidFill>
                </a:defRPr>
              </a:pPr>
              <a:r>
                <a:t/>
              </a:r>
              <a:endParaRPr sz="800" b="1">
                <a:solidFill>
                  <a:srgbClr val="121218"/>
                </a:solidFill>
              </a:endParaRPr>
            </a:p>
          </txPr>
          <showVal val="0"/>
          <showCatName val="0"/>
          <showSerName val="0"/>
          <showPercent val="1"/>
          <showLeaderLines val="0"/>
        </dLbls>
        <firstSliceAng val="0"/>
        <holeSize val="55"/>
      </doughnutChart>
      <spPr>
        <a:noFill/>
        <a:ln>
          <a:noFill/>
          <a:prstDash val="solid"/>
        </a:ln>
      </spPr>
    </plotArea>
    <legend>
      <legendPos val="r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roundedCorners val="0"/>
  <chart>
    <plotArea>
      <barChart>
        <barDir val="bar"/>
        <grouping val="clustered"/>
        <ser>
          <idx val="0"/>
          <order val="0"/>
          <tx>
            <strRef>
              <f>'Savings'!C5</f>
            </strRef>
          </tx>
          <spPr>
            <a:solidFill>
              <a:srgbClr val="3A3A4C"/>
            </a:solidFill>
            <a:ln>
              <a:noFill/>
              <a:prstDash val="solid"/>
            </a:ln>
          </spPr>
          <cat>
            <numRef>
              <f>'Savings'!$B$6:$B$10</f>
            </numRef>
          </cat>
          <val>
            <numRef>
              <f>'Savings'!$C$6:$C$10</f>
            </numRef>
          </val>
        </ser>
        <ser>
          <idx val="1"/>
          <order val="1"/>
          <tx>
            <strRef>
              <f>'Savings'!G5</f>
            </strRef>
          </tx>
          <spPr>
            <a:solidFill>
              <a:srgbClr val="FFB224"/>
            </a:solidFill>
            <a:ln>
              <a:noFill/>
              <a:prstDash val="solid"/>
            </a:ln>
          </spPr>
          <cat>
            <numRef>
              <f>'Savings'!$B$6:$B$10</f>
            </numRef>
          </cat>
          <val>
            <numRef>
              <f>'Savings'!$G$6:$G$10</f>
            </numRef>
          </val>
        </ser>
        <gapWidth val="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legend>
      <legendPos val="t"/>
      <txPr>
        <a:bodyPr/>
        <a:p>
          <a:pPr>
            <a:defRPr sz="900" b="0">
              <a:solidFill>
                <a:srgbClr val="ECECF4"/>
              </a:solidFill>
            </a:defRPr>
          </a:pPr>
          <a:r>
            <a:t/>
          </a:r>
          <a:endParaRPr sz="900" b="0">
            <a:solidFill>
              <a:srgbClr val="ECECF4"/>
            </a:solidFill>
          </a:endParaRPr>
        </a:p>
      </txPr>
    </legend>
    <plotVisOnly val="1"/>
    <dispBlanksAs val="gap"/>
  </chart>
  <spPr>
    <a:solidFill>
      <a:srgbClr val="1C1C27"/>
    </a:solidFill>
    <a:ln>
      <a:noFill/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roundedCorners val="0"/>
  <chart>
    <plotArea>
      <lineChart>
        <grouping val="standard"/>
        <ser>
          <idx val="0"/>
          <order val="0"/>
          <tx>
            <strRef>
              <f>'Debt Schedule'!BA4</f>
            </strRef>
          </tx>
          <spPr>
            <a:ln w="28000">
              <a:solidFill>
                <a:srgbClr val="FF4F8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'Debt Schedule'!$B$5:$B$125</f>
            </numRef>
          </cat>
          <val>
            <numRef>
              <f>'Debt Schedule'!$BA$5:$BA$125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0"/>
        <lblOffset val="100"/>
        <tickLblSkip val="12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2C2C3A"/>
              </a:solidFill>
              <a:prstDash val="solid"/>
            </a:ln>
          </spPr>
        </majorGridlines>
        <numFmt formatCode="$#,##0" sourceLinked="0"/>
        <majorTickMark val="none"/>
        <minorTickMark val="none"/>
        <spPr>
          <a:ln>
            <a:solidFill>
              <a:srgbClr val="3A3A4C"/>
            </a:solidFill>
            <a:prstDash val="solid"/>
          </a:ln>
        </spPr>
        <txPr>
          <a:bodyPr/>
          <a:p>
            <a:pPr>
              <a:defRPr sz="800" b="0">
                <a:solidFill>
                  <a:srgbClr val="9C9CB4"/>
                </a:solidFill>
              </a:defRPr>
            </a:pPr>
            <a:r>
              <a:t/>
            </a:r>
            <a:endParaRPr sz="800" b="0">
              <a:solidFill>
                <a:srgbClr val="9C9CB4"/>
              </a:solidFill>
            </a:endParaRPr>
          </a:p>
        </txPr>
        <crossAx val="10"/>
      </valAx>
      <spPr>
        <a:noFill/>
        <a:ln>
          <a:noFill/>
          <a:prstDash val="solid"/>
        </a:ln>
      </spPr>
    </plotArea>
    <plotVisOnly val="1"/>
    <dispBlanksAs val="gap"/>
  </chart>
  <spPr>
    <a:solidFill>
      <a:srgbClr val="1C1C27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Relationship Type="http://schemas.openxmlformats.org/officeDocument/2006/relationships/chart" Target="/xl/charts/chart13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Relationship Type="http://schemas.openxmlformats.org/officeDocument/2006/relationships/chart" Target="/xl/charts/chart21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Relationship Type="http://schemas.openxmlformats.org/officeDocument/2006/relationships/chart" Target="/xl/charts/chart25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6.xml" Id="rId1" /><Relationship Type="http://schemas.openxmlformats.org/officeDocument/2006/relationships/chart" Target="/xl/charts/chart27.xml" Id="rId2" /><Relationship Type="http://schemas.openxmlformats.org/officeDocument/2006/relationships/chart" Target="/xl/charts/chart28.xml" Id="rId3" /><Relationship Type="http://schemas.openxmlformats.org/officeDocument/2006/relationships/chart" Target="/xl/charts/chart29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0.xml" Id="rId1" /><Relationship Type="http://schemas.openxmlformats.org/officeDocument/2006/relationships/chart" Target="/xl/charts/chart31.xml" Id="rId2" /><Relationship Type="http://schemas.openxmlformats.org/officeDocument/2006/relationships/chart" Target="/xl/charts/chart32.xml" Id="rId3" /><Relationship Type="http://schemas.openxmlformats.org/officeDocument/2006/relationships/chart" Target="/xl/charts/chart33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Relationship Type="http://schemas.openxmlformats.org/officeDocument/2006/relationships/chart" Target="/xl/charts/chart36.xml" Id="rId3" /><Relationship Type="http://schemas.openxmlformats.org/officeDocument/2006/relationships/chart" Target="/xl/charts/chart37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Relationship Type="http://schemas.openxmlformats.org/officeDocument/2006/relationships/chart" Target="/xl/charts/chart44.xml" Id="rId3" /><Relationship Type="http://schemas.openxmlformats.org/officeDocument/2006/relationships/chart" Target="/xl/charts/chart45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6.xml" Id="rId1" /><Relationship Type="http://schemas.openxmlformats.org/officeDocument/2006/relationships/chart" Target="/xl/charts/chart47.xml" Id="rId2" /><Relationship Type="http://schemas.openxmlformats.org/officeDocument/2006/relationships/chart" Target="/xl/charts/chart48.xml" Id="rId3" /><Relationship Type="http://schemas.openxmlformats.org/officeDocument/2006/relationships/chart" Target="/xl/charts/chart49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0.xml" Id="rId1" /><Relationship Type="http://schemas.openxmlformats.org/officeDocument/2006/relationships/chart" Target="/xl/charts/chart51.xml" Id="rId2" /><Relationship Type="http://schemas.openxmlformats.org/officeDocument/2006/relationships/chart" Target="/xl/charts/chart52.xml" Id="rId3" /><Relationship Type="http://schemas.openxmlformats.org/officeDocument/2006/relationships/chart" Target="/xl/charts/chart53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4.xml" Id="rId1" /><Relationship Type="http://schemas.openxmlformats.org/officeDocument/2006/relationships/chart" Target="/xl/charts/chart55.xml" Id="rId2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</row>
      <rowOff>0</rowOff>
    </from>
    <ext cx="3816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12</row>
      <rowOff>0</rowOff>
    </from>
    <ext cx="3816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12</row>
      <rowOff>0</rowOff>
    </from>
    <ext cx="3816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16</col>
      <colOff>0</colOff>
      <row>48</row>
      <rowOff>0</rowOff>
    </from>
    <ext cx="3816000" cy="345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17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29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sheet1.xml><?xml version="1.0" encoding="utf-8"?>
<worksheet xmlns="http://schemas.openxmlformats.org/spreadsheetml/2006/main">
  <sheetPr>
    <tabColor rgb="009D8CF7"/>
    <outlinePr summaryBelow="1" summaryRight="1"/>
    <pageSetUpPr/>
  </sheetPr>
  <dimension ref="A1:M45"/>
  <sheetViews>
    <sheetView showGridLines="0" zoomScale="90" workbookViewId="0">
      <selection activeCell="A1" sqref="A1"/>
    </sheetView>
  </sheetViews>
  <sheetFormatPr baseColWidth="8" defaultRowHeight="15"/>
  <cols>
    <col width="3" customWidth="1" style="1" min="1" max="1"/>
    <col width="4" customWidth="1" style="1" min="2" max="2"/>
    <col width="110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ULTIMATE BUDGET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3" t="inlineStr">
        <is>
          <t>Annual · Monthly · Paycheck / any period  —  dark edition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4" t="inlineStr">
        <is>
          <t>SETUP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44" customHeight="1">
      <c r="A6" s="1" t="n"/>
      <c r="B6" s="1" t="n"/>
      <c r="C6" s="5" t="inlineStr">
        <is>
          <t>Enter your budget start date, opening balance, accounts, variable-expense budgets and every recurring income, bill, debt payment, subscription and savings transfer ONCE (sample data included — overwrite or delete it). Yellow cells are inputs everywhere.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4" t="inlineStr">
        <is>
          <t>PAYMENTS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44" customHeight="1">
      <c r="A9" s="1" t="n"/>
      <c r="B9" s="1" t="n"/>
      <c r="C9" s="5" t="inlineStr">
        <is>
          <t>Every recurring item auto-repeats here for 12 months, sorted by date and coloured by category. Mark ✓ paid / ✗ skipped (or leave 'Auto-mark paid' = Yes on Setup). Enter one-off changes in the VARIATION columns (new date, amount or account). Use the filter arrows to sort / filter.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1" t="n"/>
      <c r="C11" s="4" t="inlineStr">
        <is>
          <t>MANUAL LOG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1" t="n"/>
      <c r="C12" s="5" t="inlineStr">
        <is>
          <t>Log variable spending, irregular income, extra bills and transfers between accounts. Tip: sub-categories must match the names in Setup to land in the right table.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</row>
    <row r="14">
      <c r="A14" s="1" t="n"/>
      <c r="B14" s="1" t="n"/>
      <c r="C14" s="4" t="inlineStr">
        <is>
          <t>ACCOUNTS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 ht="30" customHeight="1">
      <c r="A15" s="1" t="n"/>
      <c r="B15" s="1" t="n"/>
      <c r="C15" s="5" t="inlineStr">
        <is>
          <t>Live balance of each account and your net worth.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>
      <c r="A17" s="1" t="n"/>
      <c r="B17" s="1" t="n"/>
      <c r="C17" s="4" t="inlineStr">
        <is>
          <t>DASHBOARD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 ht="30" customHeight="1">
      <c r="A18" s="1" t="n"/>
      <c r="B18" s="1" t="n"/>
      <c r="C18" s="5" t="inlineStr">
        <is>
          <t>Switch between Weekly / Bi-weekly / 4-weekly (paycheck) / Monthly / Quarterly / 6-month / Annual / Custom and pick a start date — the whole dashboard recalculates for that period.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4" t="inlineStr">
        <is>
          <t>JAN – DEC</t>
        </is>
      </c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 ht="44" customHeight="1">
      <c r="A21" s="1" t="n"/>
      <c r="B21" s="1" t="n"/>
      <c r="C21" s="5" t="inlineStr">
        <is>
          <t>12 monthly dashboards: budget vs actual progress, summary, charts, top expenses and daily spending. Each month's start balance rolls over from the previous month (or type an override for a zero-based budget). Tabs follow the start date on Setup — keep it on 1 January for the tab names to match.</t>
        </is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4" t="inlineStr">
        <is>
          <t>ANNUAL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30" customHeight="1">
      <c r="A24" s="1" t="n"/>
      <c r="B24" s="1" t="n"/>
      <c r="C24" s="5" t="inlineStr">
        <is>
          <t>Year view of every category and sub-category by month with totals, averages and % of budget.</t>
        </is>
      </c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4" t="inlineStr">
        <is>
          <t>CALENDAR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30" customHeight="1">
      <c r="A27" s="1" t="n"/>
      <c r="B27" s="1" t="n"/>
      <c r="C27" s="5" t="inlineStr">
        <is>
          <t>Pick any month: scheduled items per day, projected daily balance and weekly balance summary. Paid items turn grey.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4" t="inlineStr">
        <is>
          <t>SAVINGS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 ht="30" customHeight="1">
      <c r="A30" s="1" t="n"/>
      <c r="B30" s="1" t="n"/>
      <c r="C30" s="5" t="inlineStr">
        <is>
          <t>Up to 20 sinking funds — progress, amount left and how much to save each month.</t>
        </is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4" t="inlineStr">
        <is>
          <t>DEBT PAYOFF</t>
        </is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30" customHeight="1">
      <c r="A33" s="1" t="n"/>
      <c r="B33" s="1" t="n"/>
      <c r="C33" s="5" t="inlineStr">
        <is>
          <t>Up to 10 debts with Snowball, Avalanche, Custom or Credit-Score-Focus ordering, payoff dates, total interest and a month-by-month schedule (Debt Schedule tab).</t>
        </is>
      </c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4" t="inlineStr">
        <is>
          <t>NOTES</t>
        </is>
      </c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 ht="30" customHeight="1">
      <c r="A36" s="1" t="n"/>
      <c r="B36" s="1" t="n"/>
      <c r="C36" s="5" t="inlineStr">
        <is>
          <t>Built for Microsoft Excel 365 / 2021+. Don't type over white/black formula cells. If you edit recurring items after marking payments, re-check the ✓ marks (rows re-sort by date).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B224"/>
    <outlinePr summaryBelow="1" summaryRight="1"/>
    <pageSetUpPr/>
  </sheetPr>
  <dimension ref="A1:Z90"/>
  <sheetViews>
    <sheetView showGridLines="0" zoomScale="9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5" customWidth="1" style="1" min="2" max="2"/>
    <col width="18" customWidth="1" style="1" min="3" max="3"/>
    <col width="24" customWidth="1" style="1" min="4" max="4"/>
    <col width="12" customWidth="1" style="1" min="5" max="5"/>
    <col width="16" customWidth="1" style="1" min="6" max="6"/>
    <col width="14" customWidth="1" style="1" min="7" max="7"/>
    <col width="13" customWidth="1" style="1" min="8" max="8"/>
    <col width="20" customWidth="1" style="1" min="9" max="9"/>
    <col width="16" customWidth="1" style="1" min="10" max="10"/>
    <col width="26" customWidth="1" style="1" min="11" max="11"/>
    <col hidden="1" width="12" customWidth="1" style="1" min="12" max="12"/>
    <col hidden="1" width="6" customWidth="1" style="1" min="13" max="13"/>
    <col hidden="1" width="6" customWidth="1" style="1" min="14" max="14"/>
    <col hidden="1" width="6" customWidth="1" style="1" min="15" max="15"/>
    <col hidden="1" width="11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6" t="inlineStr">
        <is>
          <t>BUDGET SETUP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7" t="inlineStr">
        <is>
          <t>Yellow cells are inputs. Fill this sheet once — Payments, Calendar, every monthly tab and the dashboards update automatically.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8" t="inlineStr">
        <is>
          <t>GENERAL</t>
        </is>
      </c>
      <c r="D4" s="9" t="n"/>
      <c r="E4" s="1" t="n"/>
      <c r="F4" s="10" t="inlineStr">
        <is>
          <t>ACCOUNTS</t>
        </is>
      </c>
      <c r="G4" s="11" t="n"/>
      <c r="H4" s="1" t="n"/>
      <c r="I4" s="8" t="inlineStr">
        <is>
          <t>VARIABLE EXPENSES</t>
        </is>
      </c>
      <c r="J4" s="9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2" t="inlineStr">
        <is>
          <t>Budget start date</t>
        </is>
      </c>
      <c r="D5" s="13" t="n">
        <v>46023</v>
      </c>
      <c r="E5" s="1" t="n"/>
      <c r="F5" s="14" t="inlineStr">
        <is>
          <t>Account</t>
        </is>
      </c>
      <c r="G5" s="15" t="inlineStr">
        <is>
          <t>Opening bal.</t>
        </is>
      </c>
      <c r="H5" s="1" t="n"/>
      <c r="I5" s="14" t="inlineStr">
        <is>
          <t>Category</t>
        </is>
      </c>
      <c r="J5" s="15" t="inlineStr">
        <is>
          <t>Monthly budget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2" t="inlineStr">
        <is>
          <t>Opening balance</t>
        </is>
      </c>
      <c r="D6" s="16" t="n">
        <v>2500</v>
      </c>
      <c r="E6" s="1" t="n"/>
      <c r="F6" s="17" t="inlineStr">
        <is>
          <t>Checking 1</t>
        </is>
      </c>
      <c r="G6" s="16" t="n">
        <v>1500</v>
      </c>
      <c r="H6" s="1" t="n"/>
      <c r="I6" s="17" t="inlineStr">
        <is>
          <t>Groceries</t>
        </is>
      </c>
      <c r="J6" s="16" t="n">
        <v>600</v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1" t="n"/>
      <c r="C7" s="12" t="inlineStr">
        <is>
          <t>Auto-mark paid</t>
        </is>
      </c>
      <c r="D7" s="18" t="inlineStr">
        <is>
          <t>Yes</t>
        </is>
      </c>
      <c r="E7" s="1" t="n"/>
      <c r="F7" s="17" t="inlineStr">
        <is>
          <t>Checking 2</t>
        </is>
      </c>
      <c r="G7" s="16" t="n">
        <v>1000</v>
      </c>
      <c r="H7" s="1" t="n"/>
      <c r="I7" s="17" t="inlineStr">
        <is>
          <t>Eating Out</t>
        </is>
      </c>
      <c r="J7" s="16" t="n">
        <v>400</v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7" t="inlineStr">
        <is>
          <t>Savings 1</t>
        </is>
      </c>
      <c r="G8" s="16" t="n">
        <v>3000</v>
      </c>
      <c r="H8" s="1" t="n"/>
      <c r="I8" s="17" t="inlineStr">
        <is>
          <t>Shopping</t>
        </is>
      </c>
      <c r="J8" s="16" t="n">
        <v>300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2" t="inlineStr">
        <is>
          <t>Year end</t>
        </is>
      </c>
      <c r="D9" s="19">
        <f>EDATE(D5,12)-1</f>
        <v/>
      </c>
      <c r="E9" s="1" t="n"/>
      <c r="F9" s="17" t="inlineStr">
        <is>
          <t>Savings 2</t>
        </is>
      </c>
      <c r="G9" s="16" t="n">
        <v>500</v>
      </c>
      <c r="H9" s="1" t="n"/>
      <c r="I9" s="17" t="inlineStr">
        <is>
          <t>Entertainment</t>
        </is>
      </c>
      <c r="J9" s="16" t="n">
        <v>150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20" t="inlineStr">
        <is>
          <t>Auto-mark paid = Yes counts a scheduled item as paid once its date has passed (mark ✗ in Payments to skip one).</t>
        </is>
      </c>
      <c r="D10" s="1" t="n"/>
      <c r="E10" s="1" t="n"/>
      <c r="F10" s="17" t="inlineStr">
        <is>
          <t>Credit Card 1</t>
        </is>
      </c>
      <c r="G10" s="16" t="n">
        <v>-450</v>
      </c>
      <c r="H10" s="1" t="n"/>
      <c r="I10" s="17" t="inlineStr">
        <is>
          <t>Transportation</t>
        </is>
      </c>
      <c r="J10" s="16" t="n">
        <v>250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20" t="inlineStr">
        <is>
          <t>Opening balance = cash available at the start of month 1.</t>
        </is>
      </c>
      <c r="D11" s="1" t="n"/>
      <c r="E11" s="1" t="n"/>
      <c r="F11" s="17" t="inlineStr">
        <is>
          <t>Credit Card 2</t>
        </is>
      </c>
      <c r="G11" s="16" t="n">
        <v>-800</v>
      </c>
      <c r="H11" s="1" t="n"/>
      <c r="I11" s="17" t="inlineStr">
        <is>
          <t>School</t>
        </is>
      </c>
      <c r="J11" s="16" t="n">
        <v>200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7" t="inlineStr">
        <is>
          <t>Credit Card 3</t>
        </is>
      </c>
      <c r="G12" s="16" t="n">
        <v>-300</v>
      </c>
      <c r="H12" s="1" t="n"/>
      <c r="I12" s="17" t="inlineStr">
        <is>
          <t>Pets</t>
        </is>
      </c>
      <c r="J12" s="16" t="n">
        <v>80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7" t="inlineStr">
        <is>
          <t>Car Loan 1</t>
        </is>
      </c>
      <c r="G13" s="16" t="n">
        <v>-8000</v>
      </c>
      <c r="H13" s="1" t="n"/>
      <c r="I13" s="17" t="inlineStr">
        <is>
          <t>Hair/Beauty</t>
        </is>
      </c>
      <c r="J13" s="16" t="n">
        <v>60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7" t="inlineStr">
        <is>
          <t>Capital One</t>
        </is>
      </c>
      <c r="G14" s="16" t="n">
        <v>-2400</v>
      </c>
      <c r="H14" s="1" t="n"/>
      <c r="I14" s="17" t="inlineStr">
        <is>
          <t>Gifts</t>
        </is>
      </c>
      <c r="J14" s="16" t="n">
        <v>100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7" t="n"/>
      <c r="G15" s="16" t="n"/>
      <c r="H15" s="1" t="n"/>
      <c r="I15" s="17" t="inlineStr">
        <is>
          <t>Other</t>
        </is>
      </c>
      <c r="J15" s="16" t="n">
        <v>100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7" t="n"/>
      <c r="G16" s="16" t="n"/>
      <c r="H16" s="1" t="n"/>
      <c r="I16" s="17" t="n"/>
      <c r="J16" s="16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7" t="n"/>
      <c r="G17" s="16" t="n"/>
      <c r="H17" s="1" t="n"/>
      <c r="I17" s="17" t="n"/>
      <c r="J17" s="16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7" t="n"/>
      <c r="J18" s="16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7" t="n"/>
      <c r="J19" s="16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7" t="n"/>
      <c r="J20" s="16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21" t="inlineStr">
        <is>
          <t>RECURRING TRANSACTIONS  —  set up once, auto-repeats into Payments, Calendar &amp; all tabs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23" t="inlineStr">
        <is>
          <t>#</t>
        </is>
      </c>
      <c r="C24" s="23" t="inlineStr">
        <is>
          <t>Category</t>
        </is>
      </c>
      <c r="D24" s="23" t="inlineStr">
        <is>
          <t>Sub-category</t>
        </is>
      </c>
      <c r="E24" s="23" t="inlineStr">
        <is>
          <t>Amount</t>
        </is>
      </c>
      <c r="F24" s="23" t="inlineStr">
        <is>
          <t>Frequency</t>
        </is>
      </c>
      <c r="G24" s="23" t="inlineStr">
        <is>
          <t>Start date</t>
        </is>
      </c>
      <c r="H24" s="23" t="inlineStr">
        <is>
          <t>End date (opt.)</t>
        </is>
      </c>
      <c r="I24" s="23" t="inlineStr">
        <is>
          <t>From account</t>
        </is>
      </c>
      <c r="J24" s="23" t="inlineStr">
        <is>
          <t>To account</t>
        </is>
      </c>
      <c r="K24" s="23" t="inlineStr">
        <is>
          <t>Notes</t>
        </is>
      </c>
      <c r="L24" s="24" t="inlineStr">
        <is>
          <t>key</t>
        </is>
      </c>
      <c r="M24" s="24" t="inlineStr">
        <is>
          <t>days</t>
        </is>
      </c>
      <c r="N24" s="24" t="inlineStr">
        <is>
          <t>mths</t>
        </is>
      </c>
      <c r="O24" s="24" t="inlineStr">
        <is>
          <t>n0</t>
        </is>
      </c>
      <c r="P24" s="24" t="inlineStr">
        <is>
          <t>end</t>
        </is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25" t="n">
        <v>1</v>
      </c>
      <c r="C25" s="17" t="inlineStr">
        <is>
          <t>Income</t>
        </is>
      </c>
      <c r="D25" s="17" t="inlineStr">
        <is>
          <t>Sam's Salary</t>
        </is>
      </c>
      <c r="E25" s="16" t="n">
        <v>1600</v>
      </c>
      <c r="F25" s="18" t="inlineStr">
        <is>
          <t>Bi-weekly</t>
        </is>
      </c>
      <c r="G25" s="13" t="n">
        <v>46024</v>
      </c>
      <c r="H25" s="13" t="n"/>
      <c r="I25" s="17" t="inlineStr">
        <is>
          <t>N/A</t>
        </is>
      </c>
      <c r="J25" s="17" t="inlineStr">
        <is>
          <t>Checking 1</t>
        </is>
      </c>
      <c r="K25" s="17" t="n"/>
      <c r="L25" s="24">
        <f>IF(C25="","",C25&amp;"|"&amp;COUNTIF($C$25:C25,C25))</f>
        <v/>
      </c>
      <c r="M25" s="24">
        <f>IFERROR(VLOOKUP(F25,Lists!$C$2:$E$10,2,0),0)</f>
        <v/>
      </c>
      <c r="N25" s="24">
        <f>IFERROR(VLOOKUP(F25,Lists!$C$2:$E$10,3,0),0)</f>
        <v/>
      </c>
      <c r="O25" s="24">
        <f>IF(OR(G25="",F25="",F25="Once"),0,IF(M25&gt;0,MAX(0,ROUNDUP(($D$5-G25)/M25,0)),IF(N25=0,0,MAX(0,ROUNDUP(((YEAR($D$5)-YEAR(G25))*12+MONTH($D$5)-MONTH(G25))/N25,0))+IF(EDATE(G25,MAX(0,ROUNDUP(((YEAR($D$5)-YEAR(G25))*12+MONTH($D$5)-MONTH(G25))/N25,0))*N25)&lt;$D$5,1,0))))</f>
        <v/>
      </c>
      <c r="P25" s="26">
        <f>IF(H25="",$D$9,MIN(H25,$D$9))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25" t="n">
        <v>2</v>
      </c>
      <c r="C26" s="17" t="inlineStr">
        <is>
          <t>Income</t>
        </is>
      </c>
      <c r="D26" s="17" t="inlineStr">
        <is>
          <t>Lisa's Salary</t>
        </is>
      </c>
      <c r="E26" s="16" t="n">
        <v>3200</v>
      </c>
      <c r="F26" s="18" t="inlineStr">
        <is>
          <t>Monthly</t>
        </is>
      </c>
      <c r="G26" s="13" t="n">
        <v>46036</v>
      </c>
      <c r="H26" s="13" t="n"/>
      <c r="I26" s="17" t="inlineStr">
        <is>
          <t>N/A</t>
        </is>
      </c>
      <c r="J26" s="17" t="inlineStr">
        <is>
          <t>Checking 2</t>
        </is>
      </c>
      <c r="K26" s="17" t="n"/>
      <c r="L26" s="24">
        <f>IF(C26="","",C26&amp;"|"&amp;COUNTIF($C$25:C26,C26))</f>
        <v/>
      </c>
      <c r="M26" s="24">
        <f>IFERROR(VLOOKUP(F26,Lists!$C$2:$E$10,2,0),0)</f>
        <v/>
      </c>
      <c r="N26" s="24">
        <f>IFERROR(VLOOKUP(F26,Lists!$C$2:$E$10,3,0),0)</f>
        <v/>
      </c>
      <c r="O26" s="24">
        <f>IF(OR(G26="",F26="",F26="Once"),0,IF(M26&gt;0,MAX(0,ROUNDUP(($D$5-G26)/M26,0)),IF(N26=0,0,MAX(0,ROUNDUP(((YEAR($D$5)-YEAR(G26))*12+MONTH($D$5)-MONTH(G26))/N26,0))+IF(EDATE(G26,MAX(0,ROUNDUP(((YEAR($D$5)-YEAR(G26))*12+MONTH($D$5)-MONTH(G26))/N26,0))*N26)&lt;$D$5,1,0))))</f>
        <v/>
      </c>
      <c r="P26" s="26">
        <f>IF(H26="",$D$9,MIN(H26,$D$9))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25" t="n">
        <v>3</v>
      </c>
      <c r="C27" s="17" t="inlineStr">
        <is>
          <t>Income</t>
        </is>
      </c>
      <c r="D27" s="17" t="inlineStr">
        <is>
          <t>Side Hustle</t>
        </is>
      </c>
      <c r="E27" s="16" t="n">
        <v>450</v>
      </c>
      <c r="F27" s="18" t="inlineStr">
        <is>
          <t>Monthly</t>
        </is>
      </c>
      <c r="G27" s="13" t="n">
        <v>46028</v>
      </c>
      <c r="H27" s="13" t="n"/>
      <c r="I27" s="17" t="inlineStr">
        <is>
          <t>N/A</t>
        </is>
      </c>
      <c r="J27" s="17" t="inlineStr">
        <is>
          <t>Checking 1</t>
        </is>
      </c>
      <c r="K27" s="17" t="n"/>
      <c r="L27" s="24">
        <f>IF(C27="","",C27&amp;"|"&amp;COUNTIF($C$25:C27,C27))</f>
        <v/>
      </c>
      <c r="M27" s="24">
        <f>IFERROR(VLOOKUP(F27,Lists!$C$2:$E$10,2,0),0)</f>
        <v/>
      </c>
      <c r="N27" s="24">
        <f>IFERROR(VLOOKUP(F27,Lists!$C$2:$E$10,3,0),0)</f>
        <v/>
      </c>
      <c r="O27" s="24">
        <f>IF(OR(G27="",F27="",F27="Once"),0,IF(M27&gt;0,MAX(0,ROUNDUP(($D$5-G27)/M27,0)),IF(N27=0,0,MAX(0,ROUNDUP(((YEAR($D$5)-YEAR(G27))*12+MONTH($D$5)-MONTH(G27))/N27,0))+IF(EDATE(G27,MAX(0,ROUNDUP(((YEAR($D$5)-YEAR(G27))*12+MONTH($D$5)-MONTH(G27))/N27,0))*N27)&lt;$D$5,1,0))))</f>
        <v/>
      </c>
      <c r="P27" s="26">
        <f>IF(H27="",$D$9,MIN(H27,$D$9))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25" t="n">
        <v>4</v>
      </c>
      <c r="C28" s="17" t="inlineStr">
        <is>
          <t>Bills</t>
        </is>
      </c>
      <c r="D28" s="17" t="inlineStr">
        <is>
          <t>Rent</t>
        </is>
      </c>
      <c r="E28" s="16" t="n">
        <v>1600</v>
      </c>
      <c r="F28" s="18" t="inlineStr">
        <is>
          <t>Monthly</t>
        </is>
      </c>
      <c r="G28" s="13" t="n">
        <v>46023</v>
      </c>
      <c r="H28" s="13" t="n"/>
      <c r="I28" s="17" t="inlineStr">
        <is>
          <t>Checking 1</t>
        </is>
      </c>
      <c r="J28" s="17" t="inlineStr">
        <is>
          <t>N/A</t>
        </is>
      </c>
      <c r="K28" s="17" t="n"/>
      <c r="L28" s="24">
        <f>IF(C28="","",C28&amp;"|"&amp;COUNTIF($C$25:C28,C28))</f>
        <v/>
      </c>
      <c r="M28" s="24">
        <f>IFERROR(VLOOKUP(F28,Lists!$C$2:$E$10,2,0),0)</f>
        <v/>
      </c>
      <c r="N28" s="24">
        <f>IFERROR(VLOOKUP(F28,Lists!$C$2:$E$10,3,0),0)</f>
        <v/>
      </c>
      <c r="O28" s="24">
        <f>IF(OR(G28="",F28="",F28="Once"),0,IF(M28&gt;0,MAX(0,ROUNDUP(($D$5-G28)/M28,0)),IF(N28=0,0,MAX(0,ROUNDUP(((YEAR($D$5)-YEAR(G28))*12+MONTH($D$5)-MONTH(G28))/N28,0))+IF(EDATE(G28,MAX(0,ROUNDUP(((YEAR($D$5)-YEAR(G28))*12+MONTH($D$5)-MONTH(G28))/N28,0))*N28)&lt;$D$5,1,0))))</f>
        <v/>
      </c>
      <c r="P28" s="26">
        <f>IF(H28="",$D$9,MIN(H28,$D$9))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25" t="n">
        <v>5</v>
      </c>
      <c r="C29" s="17" t="inlineStr">
        <is>
          <t>Bills</t>
        </is>
      </c>
      <c r="D29" s="17" t="inlineStr">
        <is>
          <t>Electricity Bill</t>
        </is>
      </c>
      <c r="E29" s="16" t="n">
        <v>140</v>
      </c>
      <c r="F29" s="18" t="inlineStr">
        <is>
          <t>Monthly</t>
        </is>
      </c>
      <c r="G29" s="13" t="n">
        <v>46024</v>
      </c>
      <c r="H29" s="13" t="n"/>
      <c r="I29" s="17" t="inlineStr">
        <is>
          <t>Credit Card 1</t>
        </is>
      </c>
      <c r="J29" s="17" t="inlineStr">
        <is>
          <t>N/A</t>
        </is>
      </c>
      <c r="K29" s="17" t="n"/>
      <c r="L29" s="24">
        <f>IF(C29="","",C29&amp;"|"&amp;COUNTIF($C$25:C29,C29))</f>
        <v/>
      </c>
      <c r="M29" s="24">
        <f>IFERROR(VLOOKUP(F29,Lists!$C$2:$E$10,2,0),0)</f>
        <v/>
      </c>
      <c r="N29" s="24">
        <f>IFERROR(VLOOKUP(F29,Lists!$C$2:$E$10,3,0),0)</f>
        <v/>
      </c>
      <c r="O29" s="24">
        <f>IF(OR(G29="",F29="",F29="Once"),0,IF(M29&gt;0,MAX(0,ROUNDUP(($D$5-G29)/M29,0)),IF(N29=0,0,MAX(0,ROUNDUP(((YEAR($D$5)-YEAR(G29))*12+MONTH($D$5)-MONTH(G29))/N29,0))+IF(EDATE(G29,MAX(0,ROUNDUP(((YEAR($D$5)-YEAR(G29))*12+MONTH($D$5)-MONTH(G29))/N29,0))*N29)&lt;$D$5,1,0))))</f>
        <v/>
      </c>
      <c r="P29" s="26">
        <f>IF(H29="",$D$9,MIN(H29,$D$9))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25" t="n">
        <v>6</v>
      </c>
      <c r="C30" s="17" t="inlineStr">
        <is>
          <t>Bills</t>
        </is>
      </c>
      <c r="D30" s="17" t="inlineStr">
        <is>
          <t>Gas Bill</t>
        </is>
      </c>
      <c r="E30" s="16" t="n">
        <v>50</v>
      </c>
      <c r="F30" s="18" t="inlineStr">
        <is>
          <t>Monthly</t>
        </is>
      </c>
      <c r="G30" s="13" t="n">
        <v>46024</v>
      </c>
      <c r="H30" s="13" t="n"/>
      <c r="I30" s="17" t="inlineStr">
        <is>
          <t>Credit Card 1</t>
        </is>
      </c>
      <c r="J30" s="17" t="inlineStr">
        <is>
          <t>N/A</t>
        </is>
      </c>
      <c r="K30" s="17" t="n"/>
      <c r="L30" s="24">
        <f>IF(C30="","",C30&amp;"|"&amp;COUNTIF($C$25:C30,C30))</f>
        <v/>
      </c>
      <c r="M30" s="24">
        <f>IFERROR(VLOOKUP(F30,Lists!$C$2:$E$10,2,0),0)</f>
        <v/>
      </c>
      <c r="N30" s="24">
        <f>IFERROR(VLOOKUP(F30,Lists!$C$2:$E$10,3,0),0)</f>
        <v/>
      </c>
      <c r="O30" s="24">
        <f>IF(OR(G30="",F30="",F30="Once"),0,IF(M30&gt;0,MAX(0,ROUNDUP(($D$5-G30)/M30,0)),IF(N30=0,0,MAX(0,ROUNDUP(((YEAR($D$5)-YEAR(G30))*12+MONTH($D$5)-MONTH(G30))/N30,0))+IF(EDATE(G30,MAX(0,ROUNDUP(((YEAR($D$5)-YEAR(G30))*12+MONTH($D$5)-MONTH(G30))/N30,0))*N30)&lt;$D$5,1,0))))</f>
        <v/>
      </c>
      <c r="P30" s="26">
        <f>IF(H30="",$D$9,MIN(H30,$D$9))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25" t="n">
        <v>7</v>
      </c>
      <c r="C31" s="17" t="inlineStr">
        <is>
          <t>Bills</t>
        </is>
      </c>
      <c r="D31" s="17" t="inlineStr">
        <is>
          <t>Water Bill</t>
        </is>
      </c>
      <c r="E31" s="16" t="n">
        <v>60</v>
      </c>
      <c r="F31" s="18" t="inlineStr">
        <is>
          <t>Monthly</t>
        </is>
      </c>
      <c r="G31" s="13" t="n">
        <v>46025</v>
      </c>
      <c r="H31" s="13" t="n"/>
      <c r="I31" s="17" t="inlineStr">
        <is>
          <t>Credit Card 3</t>
        </is>
      </c>
      <c r="J31" s="17" t="inlineStr">
        <is>
          <t>N/A</t>
        </is>
      </c>
      <c r="K31" s="17" t="n"/>
      <c r="L31" s="24">
        <f>IF(C31="","",C31&amp;"|"&amp;COUNTIF($C$25:C31,C31))</f>
        <v/>
      </c>
      <c r="M31" s="24">
        <f>IFERROR(VLOOKUP(F31,Lists!$C$2:$E$10,2,0),0)</f>
        <v/>
      </c>
      <c r="N31" s="24">
        <f>IFERROR(VLOOKUP(F31,Lists!$C$2:$E$10,3,0),0)</f>
        <v/>
      </c>
      <c r="O31" s="24">
        <f>IF(OR(G31="",F31="",F31="Once"),0,IF(M31&gt;0,MAX(0,ROUNDUP(($D$5-G31)/M31,0)),IF(N31=0,0,MAX(0,ROUNDUP(((YEAR($D$5)-YEAR(G31))*12+MONTH($D$5)-MONTH(G31))/N31,0))+IF(EDATE(G31,MAX(0,ROUNDUP(((YEAR($D$5)-YEAR(G31))*12+MONTH($D$5)-MONTH(G31))/N31,0))*N31)&lt;$D$5,1,0))))</f>
        <v/>
      </c>
      <c r="P31" s="26">
        <f>IF(H31="",$D$9,MIN(H31,$D$9))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25" t="n">
        <v>8</v>
      </c>
      <c r="C32" s="17" t="inlineStr">
        <is>
          <t>Bills</t>
        </is>
      </c>
      <c r="D32" s="17" t="inlineStr">
        <is>
          <t>Internet</t>
        </is>
      </c>
      <c r="E32" s="16" t="n">
        <v>75</v>
      </c>
      <c r="F32" s="18" t="inlineStr">
        <is>
          <t>Monthly</t>
        </is>
      </c>
      <c r="G32" s="13" t="n">
        <v>46031</v>
      </c>
      <c r="H32" s="13" t="n"/>
      <c r="I32" s="17" t="inlineStr">
        <is>
          <t>Credit Card 2</t>
        </is>
      </c>
      <c r="J32" s="17" t="inlineStr">
        <is>
          <t>N/A</t>
        </is>
      </c>
      <c r="K32" s="17" t="n"/>
      <c r="L32" s="24">
        <f>IF(C32="","",C32&amp;"|"&amp;COUNTIF($C$25:C32,C32))</f>
        <v/>
      </c>
      <c r="M32" s="24">
        <f>IFERROR(VLOOKUP(F32,Lists!$C$2:$E$10,2,0),0)</f>
        <v/>
      </c>
      <c r="N32" s="24">
        <f>IFERROR(VLOOKUP(F32,Lists!$C$2:$E$10,3,0),0)</f>
        <v/>
      </c>
      <c r="O32" s="24">
        <f>IF(OR(G32="",F32="",F32="Once"),0,IF(M32&gt;0,MAX(0,ROUNDUP(($D$5-G32)/M32,0)),IF(N32=0,0,MAX(0,ROUNDUP(((YEAR($D$5)-YEAR(G32))*12+MONTH($D$5)-MONTH(G32))/N32,0))+IF(EDATE(G32,MAX(0,ROUNDUP(((YEAR($D$5)-YEAR(G32))*12+MONTH($D$5)-MONTH(G32))/N32,0))*N32)&lt;$D$5,1,0))))</f>
        <v/>
      </c>
      <c r="P32" s="26">
        <f>IF(H32="",$D$9,MIN(H32,$D$9))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25" t="n">
        <v>9</v>
      </c>
      <c r="C33" s="17" t="inlineStr">
        <is>
          <t>Bills</t>
        </is>
      </c>
      <c r="D33" s="17" t="inlineStr">
        <is>
          <t>Phone Bill</t>
        </is>
      </c>
      <c r="E33" s="16" t="n">
        <v>75</v>
      </c>
      <c r="F33" s="18" t="inlineStr">
        <is>
          <t>Monthly</t>
        </is>
      </c>
      <c r="G33" s="13" t="n">
        <v>46031</v>
      </c>
      <c r="H33" s="13" t="n"/>
      <c r="I33" s="17" t="inlineStr">
        <is>
          <t>Credit Card 1</t>
        </is>
      </c>
      <c r="J33" s="17" t="inlineStr">
        <is>
          <t>N/A</t>
        </is>
      </c>
      <c r="K33" s="17" t="n"/>
      <c r="L33" s="24">
        <f>IF(C33="","",C33&amp;"|"&amp;COUNTIF($C$25:C33,C33))</f>
        <v/>
      </c>
      <c r="M33" s="24">
        <f>IFERROR(VLOOKUP(F33,Lists!$C$2:$E$10,2,0),0)</f>
        <v/>
      </c>
      <c r="N33" s="24">
        <f>IFERROR(VLOOKUP(F33,Lists!$C$2:$E$10,3,0),0)</f>
        <v/>
      </c>
      <c r="O33" s="24">
        <f>IF(OR(G33="",F33="",F33="Once"),0,IF(M33&gt;0,MAX(0,ROUNDUP(($D$5-G33)/M33,0)),IF(N33=0,0,MAX(0,ROUNDUP(((YEAR($D$5)-YEAR(G33))*12+MONTH($D$5)-MONTH(G33))/N33,0))+IF(EDATE(G33,MAX(0,ROUNDUP(((YEAR($D$5)-YEAR(G33))*12+MONTH($D$5)-MONTH(G33))/N33,0))*N33)&lt;$D$5,1,0))))</f>
        <v/>
      </c>
      <c r="P33" s="26">
        <f>IF(H33="",$D$9,MIN(H33,$D$9))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25" t="n">
        <v>10</v>
      </c>
      <c r="C34" s="17" t="inlineStr">
        <is>
          <t>Bills</t>
        </is>
      </c>
      <c r="D34" s="17" t="inlineStr">
        <is>
          <t>Health Insurance</t>
        </is>
      </c>
      <c r="E34" s="16" t="n">
        <v>150</v>
      </c>
      <c r="F34" s="18" t="inlineStr">
        <is>
          <t>Monthly</t>
        </is>
      </c>
      <c r="G34" s="13" t="n">
        <v>46024</v>
      </c>
      <c r="H34" s="13" t="n"/>
      <c r="I34" s="17" t="inlineStr">
        <is>
          <t>Credit Card 2</t>
        </is>
      </c>
      <c r="J34" s="17" t="inlineStr">
        <is>
          <t>N/A</t>
        </is>
      </c>
      <c r="K34" s="17" t="n"/>
      <c r="L34" s="24">
        <f>IF(C34="","",C34&amp;"|"&amp;COUNTIF($C$25:C34,C34))</f>
        <v/>
      </c>
      <c r="M34" s="24">
        <f>IFERROR(VLOOKUP(F34,Lists!$C$2:$E$10,2,0),0)</f>
        <v/>
      </c>
      <c r="N34" s="24">
        <f>IFERROR(VLOOKUP(F34,Lists!$C$2:$E$10,3,0),0)</f>
        <v/>
      </c>
      <c r="O34" s="24">
        <f>IF(OR(G34="",F34="",F34="Once"),0,IF(M34&gt;0,MAX(0,ROUNDUP(($D$5-G34)/M34,0)),IF(N34=0,0,MAX(0,ROUNDUP(((YEAR($D$5)-YEAR(G34))*12+MONTH($D$5)-MONTH(G34))/N34,0))+IF(EDATE(G34,MAX(0,ROUNDUP(((YEAR($D$5)-YEAR(G34))*12+MONTH($D$5)-MONTH(G34))/N34,0))*N34)&lt;$D$5,1,0))))</f>
        <v/>
      </c>
      <c r="P34" s="26">
        <f>IF(H34="",$D$9,MIN(H34,$D$9))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25" t="n">
        <v>11</v>
      </c>
      <c r="C35" s="17" t="inlineStr">
        <is>
          <t>Bills</t>
        </is>
      </c>
      <c r="D35" s="17" t="inlineStr">
        <is>
          <t>Car Insurance</t>
        </is>
      </c>
      <c r="E35" s="16" t="n">
        <v>60</v>
      </c>
      <c r="F35" s="18" t="inlineStr">
        <is>
          <t>Monthly</t>
        </is>
      </c>
      <c r="G35" s="13" t="n">
        <v>46028</v>
      </c>
      <c r="H35" s="13" t="n"/>
      <c r="I35" s="17" t="inlineStr">
        <is>
          <t>Credit Card 2</t>
        </is>
      </c>
      <c r="J35" s="17" t="inlineStr">
        <is>
          <t>N/A</t>
        </is>
      </c>
      <c r="K35" s="17" t="n"/>
      <c r="L35" s="24">
        <f>IF(C35="","",C35&amp;"|"&amp;COUNTIF($C$25:C35,C35))</f>
        <v/>
      </c>
      <c r="M35" s="24">
        <f>IFERROR(VLOOKUP(F35,Lists!$C$2:$E$10,2,0),0)</f>
        <v/>
      </c>
      <c r="N35" s="24">
        <f>IFERROR(VLOOKUP(F35,Lists!$C$2:$E$10,3,0),0)</f>
        <v/>
      </c>
      <c r="O35" s="24">
        <f>IF(OR(G35="",F35="",F35="Once"),0,IF(M35&gt;0,MAX(0,ROUNDUP(($D$5-G35)/M35,0)),IF(N35=0,0,MAX(0,ROUNDUP(((YEAR($D$5)-YEAR(G35))*12+MONTH($D$5)-MONTH(G35))/N35,0))+IF(EDATE(G35,MAX(0,ROUNDUP(((YEAR($D$5)-YEAR(G35))*12+MONTH($D$5)-MONTH(G35))/N35,0))*N35)&lt;$D$5,1,0))))</f>
        <v/>
      </c>
      <c r="P35" s="26">
        <f>IF(H35="",$D$9,MIN(H35,$D$9))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25" t="n">
        <v>12</v>
      </c>
      <c r="C36" s="17" t="inlineStr">
        <is>
          <t>Bills</t>
        </is>
      </c>
      <c r="D36" s="17" t="inlineStr">
        <is>
          <t>Home Insurance</t>
        </is>
      </c>
      <c r="E36" s="16" t="n">
        <v>55</v>
      </c>
      <c r="F36" s="18" t="inlineStr">
        <is>
          <t>Monthly</t>
        </is>
      </c>
      <c r="G36" s="13" t="n">
        <v>46033</v>
      </c>
      <c r="H36" s="13" t="n"/>
      <c r="I36" s="17" t="inlineStr">
        <is>
          <t>Credit Card 2</t>
        </is>
      </c>
      <c r="J36" s="17" t="inlineStr">
        <is>
          <t>N/A</t>
        </is>
      </c>
      <c r="K36" s="17" t="n"/>
      <c r="L36" s="24">
        <f>IF(C36="","",C36&amp;"|"&amp;COUNTIF($C$25:C36,C36))</f>
        <v/>
      </c>
      <c r="M36" s="24">
        <f>IFERROR(VLOOKUP(F36,Lists!$C$2:$E$10,2,0),0)</f>
        <v/>
      </c>
      <c r="N36" s="24">
        <f>IFERROR(VLOOKUP(F36,Lists!$C$2:$E$10,3,0),0)</f>
        <v/>
      </c>
      <c r="O36" s="24">
        <f>IF(OR(G36="",F36="",F36="Once"),0,IF(M36&gt;0,MAX(0,ROUNDUP(($D$5-G36)/M36,0)),IF(N36=0,0,MAX(0,ROUNDUP(((YEAR($D$5)-YEAR(G36))*12+MONTH($D$5)-MONTH(G36))/N36,0))+IF(EDATE(G36,MAX(0,ROUNDUP(((YEAR($D$5)-YEAR(G36))*12+MONTH($D$5)-MONTH(G36))/N36,0))*N36)&lt;$D$5,1,0))))</f>
        <v/>
      </c>
      <c r="P36" s="26">
        <f>IF(H36="",$D$9,MIN(H36,$D$9))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25" t="n">
        <v>13</v>
      </c>
      <c r="C37" s="17" t="inlineStr">
        <is>
          <t>Bills</t>
        </is>
      </c>
      <c r="D37" s="17" t="inlineStr">
        <is>
          <t>Childcare</t>
        </is>
      </c>
      <c r="E37" s="16" t="n">
        <v>100</v>
      </c>
      <c r="F37" s="18" t="inlineStr">
        <is>
          <t>Weekly</t>
        </is>
      </c>
      <c r="G37" s="13" t="n">
        <v>46029</v>
      </c>
      <c r="H37" s="13" t="n"/>
      <c r="I37" s="17" t="inlineStr">
        <is>
          <t>Checking 1</t>
        </is>
      </c>
      <c r="J37" s="17" t="inlineStr">
        <is>
          <t>N/A</t>
        </is>
      </c>
      <c r="K37" s="17" t="n"/>
      <c r="L37" s="24">
        <f>IF(C37="","",C37&amp;"|"&amp;COUNTIF($C$25:C37,C37))</f>
        <v/>
      </c>
      <c r="M37" s="24">
        <f>IFERROR(VLOOKUP(F37,Lists!$C$2:$E$10,2,0),0)</f>
        <v/>
      </c>
      <c r="N37" s="24">
        <f>IFERROR(VLOOKUP(F37,Lists!$C$2:$E$10,3,0),0)</f>
        <v/>
      </c>
      <c r="O37" s="24">
        <f>IF(OR(G37="",F37="",F37="Once"),0,IF(M37&gt;0,MAX(0,ROUNDUP(($D$5-G37)/M37,0)),IF(N37=0,0,MAX(0,ROUNDUP(((YEAR($D$5)-YEAR(G37))*12+MONTH($D$5)-MONTH(G37))/N37,0))+IF(EDATE(G37,MAX(0,ROUNDUP(((YEAR($D$5)-YEAR(G37))*12+MONTH($D$5)-MONTH(G37))/N37,0))*N37)&lt;$D$5,1,0))))</f>
        <v/>
      </c>
      <c r="P37" s="26">
        <f>IF(H37="",$D$9,MIN(H37,$D$9))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25" t="n">
        <v>14</v>
      </c>
      <c r="C38" s="17" t="inlineStr">
        <is>
          <t>Bills</t>
        </is>
      </c>
      <c r="D38" s="17" t="inlineStr">
        <is>
          <t>Gym Membership</t>
        </is>
      </c>
      <c r="E38" s="16" t="n">
        <v>75</v>
      </c>
      <c r="F38" s="18" t="inlineStr">
        <is>
          <t>Monthly</t>
        </is>
      </c>
      <c r="G38" s="13" t="n">
        <v>46037</v>
      </c>
      <c r="H38" s="13" t="n"/>
      <c r="I38" s="17" t="inlineStr">
        <is>
          <t>Credit Card 1</t>
        </is>
      </c>
      <c r="J38" s="17" t="inlineStr">
        <is>
          <t>N/A</t>
        </is>
      </c>
      <c r="K38" s="17" t="n"/>
      <c r="L38" s="24">
        <f>IF(C38="","",C38&amp;"|"&amp;COUNTIF($C$25:C38,C38))</f>
        <v/>
      </c>
      <c r="M38" s="24">
        <f>IFERROR(VLOOKUP(F38,Lists!$C$2:$E$10,2,0),0)</f>
        <v/>
      </c>
      <c r="N38" s="24">
        <f>IFERROR(VLOOKUP(F38,Lists!$C$2:$E$10,3,0),0)</f>
        <v/>
      </c>
      <c r="O38" s="24">
        <f>IF(OR(G38="",F38="",F38="Once"),0,IF(M38&gt;0,MAX(0,ROUNDUP(($D$5-G38)/M38,0)),IF(N38=0,0,MAX(0,ROUNDUP(((YEAR($D$5)-YEAR(G38))*12+MONTH($D$5)-MONTH(G38))/N38,0))+IF(EDATE(G38,MAX(0,ROUNDUP(((YEAR($D$5)-YEAR(G38))*12+MONTH($D$5)-MONTH(G38))/N38,0))*N38)&lt;$D$5,1,0))))</f>
        <v/>
      </c>
      <c r="P38" s="26">
        <f>IF(H38="",$D$9,MIN(H38,$D$9))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25" t="n">
        <v>15</v>
      </c>
      <c r="C39" s="17" t="inlineStr">
        <is>
          <t>Bills</t>
        </is>
      </c>
      <c r="D39" s="17" t="inlineStr">
        <is>
          <t>Car Registration</t>
        </is>
      </c>
      <c r="E39" s="16" t="n">
        <v>320</v>
      </c>
      <c r="F39" s="18" t="inlineStr">
        <is>
          <t>Annual</t>
        </is>
      </c>
      <c r="G39" s="13" t="n">
        <v>46091</v>
      </c>
      <c r="H39" s="13" t="n"/>
      <c r="I39" s="17" t="inlineStr">
        <is>
          <t>Checking 1</t>
        </is>
      </c>
      <c r="J39" s="17" t="inlineStr">
        <is>
          <t>N/A</t>
        </is>
      </c>
      <c r="K39" s="17" t="n"/>
      <c r="L39" s="24">
        <f>IF(C39="","",C39&amp;"|"&amp;COUNTIF($C$25:C39,C39))</f>
        <v/>
      </c>
      <c r="M39" s="24">
        <f>IFERROR(VLOOKUP(F39,Lists!$C$2:$E$10,2,0),0)</f>
        <v/>
      </c>
      <c r="N39" s="24">
        <f>IFERROR(VLOOKUP(F39,Lists!$C$2:$E$10,3,0),0)</f>
        <v/>
      </c>
      <c r="O39" s="24">
        <f>IF(OR(G39="",F39="",F39="Once"),0,IF(M39&gt;0,MAX(0,ROUNDUP(($D$5-G39)/M39,0)),IF(N39=0,0,MAX(0,ROUNDUP(((YEAR($D$5)-YEAR(G39))*12+MONTH($D$5)-MONTH(G39))/N39,0))+IF(EDATE(G39,MAX(0,ROUNDUP(((YEAR($D$5)-YEAR(G39))*12+MONTH($D$5)-MONTH(G39))/N39,0))*N39)&lt;$D$5,1,0))))</f>
        <v/>
      </c>
      <c r="P39" s="26">
        <f>IF(H39="",$D$9,MIN(H39,$D$9))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25" t="n">
        <v>16</v>
      </c>
      <c r="C40" s="17" t="inlineStr">
        <is>
          <t>Debt</t>
        </is>
      </c>
      <c r="D40" s="17" t="inlineStr">
        <is>
          <t>Credit Card 1</t>
        </is>
      </c>
      <c r="E40" s="16" t="n">
        <v>120</v>
      </c>
      <c r="F40" s="18" t="inlineStr">
        <is>
          <t>Monthly</t>
        </is>
      </c>
      <c r="G40" s="13" t="n">
        <v>46032</v>
      </c>
      <c r="H40" s="13" t="n"/>
      <c r="I40" s="17" t="inlineStr">
        <is>
          <t>Checking 1</t>
        </is>
      </c>
      <c r="J40" s="17" t="inlineStr">
        <is>
          <t>Credit Card 1</t>
        </is>
      </c>
      <c r="K40" s="17" t="n"/>
      <c r="L40" s="24">
        <f>IF(C40="","",C40&amp;"|"&amp;COUNTIF($C$25:C40,C40))</f>
        <v/>
      </c>
      <c r="M40" s="24">
        <f>IFERROR(VLOOKUP(F40,Lists!$C$2:$E$10,2,0),0)</f>
        <v/>
      </c>
      <c r="N40" s="24">
        <f>IFERROR(VLOOKUP(F40,Lists!$C$2:$E$10,3,0),0)</f>
        <v/>
      </c>
      <c r="O40" s="24">
        <f>IF(OR(G40="",F40="",F40="Once"),0,IF(M40&gt;0,MAX(0,ROUNDUP(($D$5-G40)/M40,0)),IF(N40=0,0,MAX(0,ROUNDUP(((YEAR($D$5)-YEAR(G40))*12+MONTH($D$5)-MONTH(G40))/N40,0))+IF(EDATE(G40,MAX(0,ROUNDUP(((YEAR($D$5)-YEAR(G40))*12+MONTH($D$5)-MONTH(G40))/N40,0))*N40)&lt;$D$5,1,0))))</f>
        <v/>
      </c>
      <c r="P40" s="26">
        <f>IF(H40="",$D$9,MIN(H40,$D$9))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25" t="n">
        <v>17</v>
      </c>
      <c r="C41" s="17" t="inlineStr">
        <is>
          <t>Debt</t>
        </is>
      </c>
      <c r="D41" s="17" t="inlineStr">
        <is>
          <t>Credit Card 2</t>
        </is>
      </c>
      <c r="E41" s="16" t="n">
        <v>50</v>
      </c>
      <c r="F41" s="18" t="inlineStr">
        <is>
          <t>Monthly</t>
        </is>
      </c>
      <c r="G41" s="13" t="n">
        <v>46030</v>
      </c>
      <c r="H41" s="13" t="n"/>
      <c r="I41" s="17" t="inlineStr">
        <is>
          <t>Checking 1</t>
        </is>
      </c>
      <c r="J41" s="17" t="inlineStr">
        <is>
          <t>Credit Card 2</t>
        </is>
      </c>
      <c r="K41" s="17" t="n"/>
      <c r="L41" s="24">
        <f>IF(C41="","",C41&amp;"|"&amp;COUNTIF($C$25:C41,C41))</f>
        <v/>
      </c>
      <c r="M41" s="24">
        <f>IFERROR(VLOOKUP(F41,Lists!$C$2:$E$10,2,0),0)</f>
        <v/>
      </c>
      <c r="N41" s="24">
        <f>IFERROR(VLOOKUP(F41,Lists!$C$2:$E$10,3,0),0)</f>
        <v/>
      </c>
      <c r="O41" s="24">
        <f>IF(OR(G41="",F41="",F41="Once"),0,IF(M41&gt;0,MAX(0,ROUNDUP(($D$5-G41)/M41,0)),IF(N41=0,0,MAX(0,ROUNDUP(((YEAR($D$5)-YEAR(G41))*12+MONTH($D$5)-MONTH(G41))/N41,0))+IF(EDATE(G41,MAX(0,ROUNDUP(((YEAR($D$5)-YEAR(G41))*12+MONTH($D$5)-MONTH(G41))/N41,0))*N41)&lt;$D$5,1,0))))</f>
        <v/>
      </c>
      <c r="P41" s="26">
        <f>IF(H41="",$D$9,MIN(H41,$D$9))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25" t="n">
        <v>18</v>
      </c>
      <c r="C42" s="17" t="inlineStr">
        <is>
          <t>Debt</t>
        </is>
      </c>
      <c r="D42" s="17" t="inlineStr">
        <is>
          <t>Credit Card 3</t>
        </is>
      </c>
      <c r="E42" s="16" t="n">
        <v>80</v>
      </c>
      <c r="F42" s="18" t="inlineStr">
        <is>
          <t>Monthly</t>
        </is>
      </c>
      <c r="G42" s="13" t="n">
        <v>46026</v>
      </c>
      <c r="H42" s="13" t="n"/>
      <c r="I42" s="17" t="inlineStr">
        <is>
          <t>Checking 1</t>
        </is>
      </c>
      <c r="J42" s="17" t="inlineStr">
        <is>
          <t>Credit Card 3</t>
        </is>
      </c>
      <c r="K42" s="17" t="n"/>
      <c r="L42" s="24">
        <f>IF(C42="","",C42&amp;"|"&amp;COUNTIF($C$25:C42,C42))</f>
        <v/>
      </c>
      <c r="M42" s="24">
        <f>IFERROR(VLOOKUP(F42,Lists!$C$2:$E$10,2,0),0)</f>
        <v/>
      </c>
      <c r="N42" s="24">
        <f>IFERROR(VLOOKUP(F42,Lists!$C$2:$E$10,3,0),0)</f>
        <v/>
      </c>
      <c r="O42" s="24">
        <f>IF(OR(G42="",F42="",F42="Once"),0,IF(M42&gt;0,MAX(0,ROUNDUP(($D$5-G42)/M42,0)),IF(N42=0,0,MAX(0,ROUNDUP(((YEAR($D$5)-YEAR(G42))*12+MONTH($D$5)-MONTH(G42))/N42,0))+IF(EDATE(G42,MAX(0,ROUNDUP(((YEAR($D$5)-YEAR(G42))*12+MONTH($D$5)-MONTH(G42))/N42,0))*N42)&lt;$D$5,1,0))))</f>
        <v/>
      </c>
      <c r="P42" s="26">
        <f>IF(H42="",$D$9,MIN(H42,$D$9))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25" t="n">
        <v>19</v>
      </c>
      <c r="C43" s="17" t="inlineStr">
        <is>
          <t>Debt</t>
        </is>
      </c>
      <c r="D43" s="17" t="inlineStr">
        <is>
          <t>Car Loan 1</t>
        </is>
      </c>
      <c r="E43" s="16" t="n">
        <v>150</v>
      </c>
      <c r="F43" s="18" t="inlineStr">
        <is>
          <t>Monthly</t>
        </is>
      </c>
      <c r="G43" s="13" t="n">
        <v>46034</v>
      </c>
      <c r="H43" s="13" t="n"/>
      <c r="I43" s="17" t="inlineStr">
        <is>
          <t>Checking 1</t>
        </is>
      </c>
      <c r="J43" s="17" t="inlineStr">
        <is>
          <t>Car Loan 1</t>
        </is>
      </c>
      <c r="K43" s="17" t="n"/>
      <c r="L43" s="24">
        <f>IF(C43="","",C43&amp;"|"&amp;COUNTIF($C$25:C43,C43))</f>
        <v/>
      </c>
      <c r="M43" s="24">
        <f>IFERROR(VLOOKUP(F43,Lists!$C$2:$E$10,2,0),0)</f>
        <v/>
      </c>
      <c r="N43" s="24">
        <f>IFERROR(VLOOKUP(F43,Lists!$C$2:$E$10,3,0),0)</f>
        <v/>
      </c>
      <c r="O43" s="24">
        <f>IF(OR(G43="",F43="",F43="Once"),0,IF(M43&gt;0,MAX(0,ROUNDUP(($D$5-G43)/M43,0)),IF(N43=0,0,MAX(0,ROUNDUP(((YEAR($D$5)-YEAR(G43))*12+MONTH($D$5)-MONTH(G43))/N43,0))+IF(EDATE(G43,MAX(0,ROUNDUP(((YEAR($D$5)-YEAR(G43))*12+MONTH($D$5)-MONTH(G43))/N43,0))*N43)&lt;$D$5,1,0))))</f>
        <v/>
      </c>
      <c r="P43" s="26">
        <f>IF(H43="",$D$9,MIN(H43,$D$9))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25" t="n">
        <v>20</v>
      </c>
      <c r="C44" s="17" t="inlineStr">
        <is>
          <t>Debt</t>
        </is>
      </c>
      <c r="D44" s="17" t="inlineStr">
        <is>
          <t>Capital One</t>
        </is>
      </c>
      <c r="E44" s="16" t="n">
        <v>100</v>
      </c>
      <c r="F44" s="18" t="inlineStr">
        <is>
          <t>Monthly</t>
        </is>
      </c>
      <c r="G44" s="13" t="n">
        <v>46032</v>
      </c>
      <c r="H44" s="13" t="n"/>
      <c r="I44" s="17" t="inlineStr">
        <is>
          <t>Checking 1</t>
        </is>
      </c>
      <c r="J44" s="17" t="inlineStr">
        <is>
          <t>Capital One</t>
        </is>
      </c>
      <c r="K44" s="17" t="n"/>
      <c r="L44" s="24">
        <f>IF(C44="","",C44&amp;"|"&amp;COUNTIF($C$25:C44,C44))</f>
        <v/>
      </c>
      <c r="M44" s="24">
        <f>IFERROR(VLOOKUP(F44,Lists!$C$2:$E$10,2,0),0)</f>
        <v/>
      </c>
      <c r="N44" s="24">
        <f>IFERROR(VLOOKUP(F44,Lists!$C$2:$E$10,3,0),0)</f>
        <v/>
      </c>
      <c r="O44" s="24">
        <f>IF(OR(G44="",F44="",F44="Once"),0,IF(M44&gt;0,MAX(0,ROUNDUP(($D$5-G44)/M44,0)),IF(N44=0,0,MAX(0,ROUNDUP(((YEAR($D$5)-YEAR(G44))*12+MONTH($D$5)-MONTH(G44))/N44,0))+IF(EDATE(G44,MAX(0,ROUNDUP(((YEAR($D$5)-YEAR(G44))*12+MONTH($D$5)-MONTH(G44))/N44,0))*N44)&lt;$D$5,1,0))))</f>
        <v/>
      </c>
      <c r="P44" s="26">
        <f>IF(H44="",$D$9,MIN(H44,$D$9))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25" t="n">
        <v>21</v>
      </c>
      <c r="C45" s="17" t="inlineStr">
        <is>
          <t>Subscriptions</t>
        </is>
      </c>
      <c r="D45" s="17" t="inlineStr">
        <is>
          <t>Netflix</t>
        </is>
      </c>
      <c r="E45" s="16" t="n">
        <v>17</v>
      </c>
      <c r="F45" s="18" t="inlineStr">
        <is>
          <t>Monthly</t>
        </is>
      </c>
      <c r="G45" s="13" t="n">
        <v>46034</v>
      </c>
      <c r="H45" s="13" t="n"/>
      <c r="I45" s="17" t="inlineStr">
        <is>
          <t>Credit Card 2</t>
        </is>
      </c>
      <c r="J45" s="17" t="inlineStr">
        <is>
          <t>N/A</t>
        </is>
      </c>
      <c r="K45" s="17" t="n"/>
      <c r="L45" s="24">
        <f>IF(C45="","",C45&amp;"|"&amp;COUNTIF($C$25:C45,C45))</f>
        <v/>
      </c>
      <c r="M45" s="24">
        <f>IFERROR(VLOOKUP(F45,Lists!$C$2:$E$10,2,0),0)</f>
        <v/>
      </c>
      <c r="N45" s="24">
        <f>IFERROR(VLOOKUP(F45,Lists!$C$2:$E$10,3,0),0)</f>
        <v/>
      </c>
      <c r="O45" s="24">
        <f>IF(OR(G45="",F45="",F45="Once"),0,IF(M45&gt;0,MAX(0,ROUNDUP(($D$5-G45)/M45,0)),IF(N45=0,0,MAX(0,ROUNDUP(((YEAR($D$5)-YEAR(G45))*12+MONTH($D$5)-MONTH(G45))/N45,0))+IF(EDATE(G45,MAX(0,ROUNDUP(((YEAR($D$5)-YEAR(G45))*12+MONTH($D$5)-MONTH(G45))/N45,0))*N45)&lt;$D$5,1,0))))</f>
        <v/>
      </c>
      <c r="P45" s="26">
        <f>IF(H45="",$D$9,MIN(H45,$D$9))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25" t="n">
        <v>22</v>
      </c>
      <c r="C46" s="17" t="inlineStr">
        <is>
          <t>Subscriptions</t>
        </is>
      </c>
      <c r="D46" s="17" t="inlineStr">
        <is>
          <t>Spotify</t>
        </is>
      </c>
      <c r="E46" s="16" t="n">
        <v>12</v>
      </c>
      <c r="F46" s="18" t="inlineStr">
        <is>
          <t>Monthly</t>
        </is>
      </c>
      <c r="G46" s="13" t="n">
        <v>46037</v>
      </c>
      <c r="H46" s="13" t="n"/>
      <c r="I46" s="17" t="inlineStr">
        <is>
          <t>Credit Card 2</t>
        </is>
      </c>
      <c r="J46" s="17" t="inlineStr">
        <is>
          <t>N/A</t>
        </is>
      </c>
      <c r="K46" s="17" t="n"/>
      <c r="L46" s="24">
        <f>IF(C46="","",C46&amp;"|"&amp;COUNTIF($C$25:C46,C46))</f>
        <v/>
      </c>
      <c r="M46" s="24">
        <f>IFERROR(VLOOKUP(F46,Lists!$C$2:$E$10,2,0),0)</f>
        <v/>
      </c>
      <c r="N46" s="24">
        <f>IFERROR(VLOOKUP(F46,Lists!$C$2:$E$10,3,0),0)</f>
        <v/>
      </c>
      <c r="O46" s="24">
        <f>IF(OR(G46="",F46="",F46="Once"),0,IF(M46&gt;0,MAX(0,ROUNDUP(($D$5-G46)/M46,0)),IF(N46=0,0,MAX(0,ROUNDUP(((YEAR($D$5)-YEAR(G46))*12+MONTH($D$5)-MONTH(G46))/N46,0))+IF(EDATE(G46,MAX(0,ROUNDUP(((YEAR($D$5)-YEAR(G46))*12+MONTH($D$5)-MONTH(G46))/N46,0))*N46)&lt;$D$5,1,0))))</f>
        <v/>
      </c>
      <c r="P46" s="26">
        <f>IF(H46="",$D$9,MIN(H46,$D$9))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25" t="n">
        <v>23</v>
      </c>
      <c r="C47" s="17" t="inlineStr">
        <is>
          <t>Subscriptions</t>
        </is>
      </c>
      <c r="D47" s="17" t="inlineStr">
        <is>
          <t>Amazon Prime</t>
        </is>
      </c>
      <c r="E47" s="16" t="n">
        <v>15</v>
      </c>
      <c r="F47" s="18" t="inlineStr">
        <is>
          <t>Monthly</t>
        </is>
      </c>
      <c r="G47" s="13" t="n">
        <v>46028</v>
      </c>
      <c r="H47" s="13" t="n"/>
      <c r="I47" s="17" t="inlineStr">
        <is>
          <t>Credit Card 2</t>
        </is>
      </c>
      <c r="J47" s="17" t="inlineStr">
        <is>
          <t>N/A</t>
        </is>
      </c>
      <c r="K47" s="17" t="n"/>
      <c r="L47" s="24">
        <f>IF(C47="","",C47&amp;"|"&amp;COUNTIF($C$25:C47,C47))</f>
        <v/>
      </c>
      <c r="M47" s="24">
        <f>IFERROR(VLOOKUP(F47,Lists!$C$2:$E$10,2,0),0)</f>
        <v/>
      </c>
      <c r="N47" s="24">
        <f>IFERROR(VLOOKUP(F47,Lists!$C$2:$E$10,3,0),0)</f>
        <v/>
      </c>
      <c r="O47" s="24">
        <f>IF(OR(G47="",F47="",F47="Once"),0,IF(M47&gt;0,MAX(0,ROUNDUP(($D$5-G47)/M47,0)),IF(N47=0,0,MAX(0,ROUNDUP(((YEAR($D$5)-YEAR(G47))*12+MONTH($D$5)-MONTH(G47))/N47,0))+IF(EDATE(G47,MAX(0,ROUNDUP(((YEAR($D$5)-YEAR(G47))*12+MONTH($D$5)-MONTH(G47))/N47,0))*N47)&lt;$D$5,1,0))))</f>
        <v/>
      </c>
      <c r="P47" s="26">
        <f>IF(H47="",$D$9,MIN(H47,$D$9))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25" t="n">
        <v>24</v>
      </c>
      <c r="C48" s="17" t="inlineStr">
        <is>
          <t>Subscriptions</t>
        </is>
      </c>
      <c r="D48" s="17" t="inlineStr">
        <is>
          <t>Hulu</t>
        </is>
      </c>
      <c r="E48" s="16" t="n">
        <v>12</v>
      </c>
      <c r="F48" s="18" t="inlineStr">
        <is>
          <t>Monthly</t>
        </is>
      </c>
      <c r="G48" s="13" t="n">
        <v>46032</v>
      </c>
      <c r="H48" s="13" t="n"/>
      <c r="I48" s="17" t="inlineStr">
        <is>
          <t>Credit Card 2</t>
        </is>
      </c>
      <c r="J48" s="17" t="inlineStr">
        <is>
          <t>N/A</t>
        </is>
      </c>
      <c r="K48" s="17" t="n"/>
      <c r="L48" s="24">
        <f>IF(C48="","",C48&amp;"|"&amp;COUNTIF($C$25:C48,C48))</f>
        <v/>
      </c>
      <c r="M48" s="24">
        <f>IFERROR(VLOOKUP(F48,Lists!$C$2:$E$10,2,0),0)</f>
        <v/>
      </c>
      <c r="N48" s="24">
        <f>IFERROR(VLOOKUP(F48,Lists!$C$2:$E$10,3,0),0)</f>
        <v/>
      </c>
      <c r="O48" s="24">
        <f>IF(OR(G48="",F48="",F48="Once"),0,IF(M48&gt;0,MAX(0,ROUNDUP(($D$5-G48)/M48,0)),IF(N48=0,0,MAX(0,ROUNDUP(((YEAR($D$5)-YEAR(G48))*12+MONTH($D$5)-MONTH(G48))/N48,0))+IF(EDATE(G48,MAX(0,ROUNDUP(((YEAR($D$5)-YEAR(G48))*12+MONTH($D$5)-MONTH(G48))/N48,0))*N48)&lt;$D$5,1,0))))</f>
        <v/>
      </c>
      <c r="P48" s="26">
        <f>IF(H48="",$D$9,MIN(H48,$D$9))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25" t="n">
        <v>25</v>
      </c>
      <c r="C49" s="17" t="inlineStr">
        <is>
          <t>Subscriptions</t>
        </is>
      </c>
      <c r="D49" s="17" t="inlineStr">
        <is>
          <t>Dropbox</t>
        </is>
      </c>
      <c r="E49" s="16" t="n">
        <v>5</v>
      </c>
      <c r="F49" s="18" t="inlineStr">
        <is>
          <t>Monthly</t>
        </is>
      </c>
      <c r="G49" s="13" t="n">
        <v>46044</v>
      </c>
      <c r="H49" s="13" t="n"/>
      <c r="I49" s="17" t="inlineStr">
        <is>
          <t>Credit Card 2</t>
        </is>
      </c>
      <c r="J49" s="17" t="inlineStr">
        <is>
          <t>N/A</t>
        </is>
      </c>
      <c r="K49" s="17" t="n"/>
      <c r="L49" s="24">
        <f>IF(C49="","",C49&amp;"|"&amp;COUNTIF($C$25:C49,C49))</f>
        <v/>
      </c>
      <c r="M49" s="24">
        <f>IFERROR(VLOOKUP(F49,Lists!$C$2:$E$10,2,0),0)</f>
        <v/>
      </c>
      <c r="N49" s="24">
        <f>IFERROR(VLOOKUP(F49,Lists!$C$2:$E$10,3,0),0)</f>
        <v/>
      </c>
      <c r="O49" s="24">
        <f>IF(OR(G49="",F49="",F49="Once"),0,IF(M49&gt;0,MAX(0,ROUNDUP(($D$5-G49)/M49,0)),IF(N49=0,0,MAX(0,ROUNDUP(((YEAR($D$5)-YEAR(G49))*12+MONTH($D$5)-MONTH(G49))/N49,0))+IF(EDATE(G49,MAX(0,ROUNDUP(((YEAR($D$5)-YEAR(G49))*12+MONTH($D$5)-MONTH(G49))/N49,0))*N49)&lt;$D$5,1,0))))</f>
        <v/>
      </c>
      <c r="P49" s="26">
        <f>IF(H49="",$D$9,MIN(H49,$D$9))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25" t="n">
        <v>26</v>
      </c>
      <c r="C50" s="17" t="inlineStr">
        <is>
          <t>Subscriptions</t>
        </is>
      </c>
      <c r="D50" s="17" t="inlineStr">
        <is>
          <t>Canva</t>
        </is>
      </c>
      <c r="E50" s="16" t="n">
        <v>25</v>
      </c>
      <c r="F50" s="18" t="inlineStr">
        <is>
          <t>Monthly</t>
        </is>
      </c>
      <c r="G50" s="13" t="n">
        <v>46029</v>
      </c>
      <c r="H50" s="13" t="n"/>
      <c r="I50" s="17" t="inlineStr">
        <is>
          <t>Credit Card 2</t>
        </is>
      </c>
      <c r="J50" s="17" t="inlineStr">
        <is>
          <t>N/A</t>
        </is>
      </c>
      <c r="K50" s="17" t="n"/>
      <c r="L50" s="24">
        <f>IF(C50="","",C50&amp;"|"&amp;COUNTIF($C$25:C50,C50))</f>
        <v/>
      </c>
      <c r="M50" s="24">
        <f>IFERROR(VLOOKUP(F50,Lists!$C$2:$E$10,2,0),0)</f>
        <v/>
      </c>
      <c r="N50" s="24">
        <f>IFERROR(VLOOKUP(F50,Lists!$C$2:$E$10,3,0),0)</f>
        <v/>
      </c>
      <c r="O50" s="24">
        <f>IF(OR(G50="",F50="",F50="Once"),0,IF(M50&gt;0,MAX(0,ROUNDUP(($D$5-G50)/M50,0)),IF(N50=0,0,MAX(0,ROUNDUP(((YEAR($D$5)-YEAR(G50))*12+MONTH($D$5)-MONTH(G50))/N50,0))+IF(EDATE(G50,MAX(0,ROUNDUP(((YEAR($D$5)-YEAR(G50))*12+MONTH($D$5)-MONTH(G50))/N50,0))*N50)&lt;$D$5,1,0))))</f>
        <v/>
      </c>
      <c r="P50" s="26">
        <f>IF(H50="",$D$9,MIN(H50,$D$9))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25" t="n">
        <v>27</v>
      </c>
      <c r="C51" s="17" t="inlineStr">
        <is>
          <t>Subscriptions</t>
        </is>
      </c>
      <c r="D51" s="17" t="inlineStr">
        <is>
          <t>Hello Fresh</t>
        </is>
      </c>
      <c r="E51" s="16" t="n">
        <v>60</v>
      </c>
      <c r="F51" s="18" t="inlineStr">
        <is>
          <t>Weekly</t>
        </is>
      </c>
      <c r="G51" s="13" t="n">
        <v>46028</v>
      </c>
      <c r="H51" s="13" t="n"/>
      <c r="I51" s="17" t="inlineStr">
        <is>
          <t>Credit Card 1</t>
        </is>
      </c>
      <c r="J51" s="17" t="inlineStr">
        <is>
          <t>N/A</t>
        </is>
      </c>
      <c r="K51" s="17" t="n"/>
      <c r="L51" s="24">
        <f>IF(C51="","",C51&amp;"|"&amp;COUNTIF($C$25:C51,C51))</f>
        <v/>
      </c>
      <c r="M51" s="24">
        <f>IFERROR(VLOOKUP(F51,Lists!$C$2:$E$10,2,0),0)</f>
        <v/>
      </c>
      <c r="N51" s="24">
        <f>IFERROR(VLOOKUP(F51,Lists!$C$2:$E$10,3,0),0)</f>
        <v/>
      </c>
      <c r="O51" s="24">
        <f>IF(OR(G51="",F51="",F51="Once"),0,IF(M51&gt;0,MAX(0,ROUNDUP(($D$5-G51)/M51,0)),IF(N51=0,0,MAX(0,ROUNDUP(((YEAR($D$5)-YEAR(G51))*12+MONTH($D$5)-MONTH(G51))/N51,0))+IF(EDATE(G51,MAX(0,ROUNDUP(((YEAR($D$5)-YEAR(G51))*12+MONTH($D$5)-MONTH(G51))/N51,0))*N51)&lt;$D$5,1,0))))</f>
        <v/>
      </c>
      <c r="P51" s="26">
        <f>IF(H51="",$D$9,MIN(H51,$D$9))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25" t="n">
        <v>28</v>
      </c>
      <c r="C52" s="17" t="inlineStr">
        <is>
          <t>Savings</t>
        </is>
      </c>
      <c r="D52" s="17" t="inlineStr">
        <is>
          <t>Holiday</t>
        </is>
      </c>
      <c r="E52" s="16" t="n">
        <v>200</v>
      </c>
      <c r="F52" s="18" t="inlineStr">
        <is>
          <t>Monthly</t>
        </is>
      </c>
      <c r="G52" s="13" t="n">
        <v>46028</v>
      </c>
      <c r="H52" s="13" t="n"/>
      <c r="I52" s="17" t="inlineStr">
        <is>
          <t>Checking 1</t>
        </is>
      </c>
      <c r="J52" s="17" t="inlineStr">
        <is>
          <t>Savings 1</t>
        </is>
      </c>
      <c r="K52" s="17" t="n"/>
      <c r="L52" s="24">
        <f>IF(C52="","",C52&amp;"|"&amp;COUNTIF($C$25:C52,C52))</f>
        <v/>
      </c>
      <c r="M52" s="24">
        <f>IFERROR(VLOOKUP(F52,Lists!$C$2:$E$10,2,0),0)</f>
        <v/>
      </c>
      <c r="N52" s="24">
        <f>IFERROR(VLOOKUP(F52,Lists!$C$2:$E$10,3,0),0)</f>
        <v/>
      </c>
      <c r="O52" s="24">
        <f>IF(OR(G52="",F52="",F52="Once"),0,IF(M52&gt;0,MAX(0,ROUNDUP(($D$5-G52)/M52,0)),IF(N52=0,0,MAX(0,ROUNDUP(((YEAR($D$5)-YEAR(G52))*12+MONTH($D$5)-MONTH(G52))/N52,0))+IF(EDATE(G52,MAX(0,ROUNDUP(((YEAR($D$5)-YEAR(G52))*12+MONTH($D$5)-MONTH(G52))/N52,0))*N52)&lt;$D$5,1,0))))</f>
        <v/>
      </c>
      <c r="P52" s="26">
        <f>IF(H52="",$D$9,MIN(H52,$D$9))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25" t="n">
        <v>29</v>
      </c>
      <c r="C53" s="17" t="inlineStr">
        <is>
          <t>Savings</t>
        </is>
      </c>
      <c r="D53" s="17" t="inlineStr">
        <is>
          <t>Emergency Fund</t>
        </is>
      </c>
      <c r="E53" s="16" t="n">
        <v>300</v>
      </c>
      <c r="F53" s="18" t="inlineStr">
        <is>
          <t>Monthly</t>
        </is>
      </c>
      <c r="G53" s="13" t="n">
        <v>46037</v>
      </c>
      <c r="H53" s="13" t="n"/>
      <c r="I53" s="17" t="inlineStr">
        <is>
          <t>Checking 2</t>
        </is>
      </c>
      <c r="J53" s="17" t="inlineStr">
        <is>
          <t>Savings 1</t>
        </is>
      </c>
      <c r="K53" s="17" t="n"/>
      <c r="L53" s="24">
        <f>IF(C53="","",C53&amp;"|"&amp;COUNTIF($C$25:C53,C53))</f>
        <v/>
      </c>
      <c r="M53" s="24">
        <f>IFERROR(VLOOKUP(F53,Lists!$C$2:$E$10,2,0),0)</f>
        <v/>
      </c>
      <c r="N53" s="24">
        <f>IFERROR(VLOOKUP(F53,Lists!$C$2:$E$10,3,0),0)</f>
        <v/>
      </c>
      <c r="O53" s="24">
        <f>IF(OR(G53="",F53="",F53="Once"),0,IF(M53&gt;0,MAX(0,ROUNDUP(($D$5-G53)/M53,0)),IF(N53=0,0,MAX(0,ROUNDUP(((YEAR($D$5)-YEAR(G53))*12+MONTH($D$5)-MONTH(G53))/N53,0))+IF(EDATE(G53,MAX(0,ROUNDUP(((YEAR($D$5)-YEAR(G53))*12+MONTH($D$5)-MONTH(G53))/N53,0))*N53)&lt;$D$5,1,0))))</f>
        <v/>
      </c>
      <c r="P53" s="26">
        <f>IF(H53="",$D$9,MIN(H53,$D$9))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25" t="n">
        <v>30</v>
      </c>
      <c r="C54" s="17" t="inlineStr">
        <is>
          <t>Savings</t>
        </is>
      </c>
      <c r="D54" s="17" t="inlineStr">
        <is>
          <t>New Laptop</t>
        </is>
      </c>
      <c r="E54" s="16" t="n">
        <v>150</v>
      </c>
      <c r="F54" s="18" t="inlineStr">
        <is>
          <t>Monthly</t>
        </is>
      </c>
      <c r="G54" s="13" t="n">
        <v>46037</v>
      </c>
      <c r="H54" s="13" t="n">
        <v>46326</v>
      </c>
      <c r="I54" s="17" t="inlineStr">
        <is>
          <t>Checking 2</t>
        </is>
      </c>
      <c r="J54" s="17" t="inlineStr">
        <is>
          <t>Savings 2</t>
        </is>
      </c>
      <c r="K54" s="17" t="n"/>
      <c r="L54" s="24">
        <f>IF(C54="","",C54&amp;"|"&amp;COUNTIF($C$25:C54,C54))</f>
        <v/>
      </c>
      <c r="M54" s="24">
        <f>IFERROR(VLOOKUP(F54,Lists!$C$2:$E$10,2,0),0)</f>
        <v/>
      </c>
      <c r="N54" s="24">
        <f>IFERROR(VLOOKUP(F54,Lists!$C$2:$E$10,3,0),0)</f>
        <v/>
      </c>
      <c r="O54" s="24">
        <f>IF(OR(G54="",F54="",F54="Once"),0,IF(M54&gt;0,MAX(0,ROUNDUP(($D$5-G54)/M54,0)),IF(N54=0,0,MAX(0,ROUNDUP(((YEAR($D$5)-YEAR(G54))*12+MONTH($D$5)-MONTH(G54))/N54,0))+IF(EDATE(G54,MAX(0,ROUNDUP(((YEAR($D$5)-YEAR(G54))*12+MONTH($D$5)-MONTH(G54))/N54,0))*N54)&lt;$D$5,1,0))))</f>
        <v/>
      </c>
      <c r="P54" s="26">
        <f>IF(H54="",$D$9,MIN(H54,$D$9))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25" t="n">
        <v>31</v>
      </c>
      <c r="C55" s="17" t="inlineStr">
        <is>
          <t>Savings</t>
        </is>
      </c>
      <c r="D55" s="17" t="inlineStr">
        <is>
          <t>Home Repairs</t>
        </is>
      </c>
      <c r="E55" s="16" t="n">
        <v>150</v>
      </c>
      <c r="F55" s="18" t="inlineStr">
        <is>
          <t>Monthly</t>
        </is>
      </c>
      <c r="G55" s="13" t="n">
        <v>46042</v>
      </c>
      <c r="H55" s="13" t="n"/>
      <c r="I55" s="17" t="inlineStr">
        <is>
          <t>Checking 2</t>
        </is>
      </c>
      <c r="J55" s="17" t="inlineStr">
        <is>
          <t>Savings 1</t>
        </is>
      </c>
      <c r="K55" s="17" t="n"/>
      <c r="L55" s="24">
        <f>IF(C55="","",C55&amp;"|"&amp;COUNTIF($C$25:C55,C55))</f>
        <v/>
      </c>
      <c r="M55" s="24">
        <f>IFERROR(VLOOKUP(F55,Lists!$C$2:$E$10,2,0),0)</f>
        <v/>
      </c>
      <c r="N55" s="24">
        <f>IFERROR(VLOOKUP(F55,Lists!$C$2:$E$10,3,0),0)</f>
        <v/>
      </c>
      <c r="O55" s="24">
        <f>IF(OR(G55="",F55="",F55="Once"),0,IF(M55&gt;0,MAX(0,ROUNDUP(($D$5-G55)/M55,0)),IF(N55=0,0,MAX(0,ROUNDUP(((YEAR($D$5)-YEAR(G55))*12+MONTH($D$5)-MONTH(G55))/N55,0))+IF(EDATE(G55,MAX(0,ROUNDUP(((YEAR($D$5)-YEAR(G55))*12+MONTH($D$5)-MONTH(G55))/N55,0))*N55)&lt;$D$5,1,0))))</f>
        <v/>
      </c>
      <c r="P55" s="26">
        <f>IF(H55="",$D$9,MIN(H55,$D$9))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25" t="n">
        <v>32</v>
      </c>
      <c r="C56" s="17" t="inlineStr">
        <is>
          <t>Savings</t>
        </is>
      </c>
      <c r="D56" s="17" t="inlineStr">
        <is>
          <t>Wedding</t>
        </is>
      </c>
      <c r="E56" s="16" t="n">
        <v>200</v>
      </c>
      <c r="F56" s="18" t="inlineStr">
        <is>
          <t>Monthly</t>
        </is>
      </c>
      <c r="G56" s="13" t="n">
        <v>46028</v>
      </c>
      <c r="H56" s="13" t="n"/>
      <c r="I56" s="17" t="inlineStr">
        <is>
          <t>Checking 1</t>
        </is>
      </c>
      <c r="J56" s="17" t="inlineStr">
        <is>
          <t>Savings 2</t>
        </is>
      </c>
      <c r="K56" s="17" t="n"/>
      <c r="L56" s="24">
        <f>IF(C56="","",C56&amp;"|"&amp;COUNTIF($C$25:C56,C56))</f>
        <v/>
      </c>
      <c r="M56" s="24">
        <f>IFERROR(VLOOKUP(F56,Lists!$C$2:$E$10,2,0),0)</f>
        <v/>
      </c>
      <c r="N56" s="24">
        <f>IFERROR(VLOOKUP(F56,Lists!$C$2:$E$10,3,0),0)</f>
        <v/>
      </c>
      <c r="O56" s="24">
        <f>IF(OR(G56="",F56="",F56="Once"),0,IF(M56&gt;0,MAX(0,ROUNDUP(($D$5-G56)/M56,0)),IF(N56=0,0,MAX(0,ROUNDUP(((YEAR($D$5)-YEAR(G56))*12+MONTH($D$5)-MONTH(G56))/N56,0))+IF(EDATE(G56,MAX(0,ROUNDUP(((YEAR($D$5)-YEAR(G56))*12+MONTH($D$5)-MONTH(G56))/N56,0))*N56)&lt;$D$5,1,0))))</f>
        <v/>
      </c>
      <c r="P56" s="26">
        <f>IF(H56="",$D$9,MIN(H56,$D$9))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25" t="n">
        <v>33</v>
      </c>
      <c r="C57" s="17" t="n"/>
      <c r="D57" s="17" t="n"/>
      <c r="E57" s="16" t="n"/>
      <c r="F57" s="18" t="n"/>
      <c r="G57" s="13" t="n"/>
      <c r="H57" s="13" t="n"/>
      <c r="I57" s="17" t="n"/>
      <c r="J57" s="17" t="n"/>
      <c r="K57" s="17" t="n"/>
      <c r="L57" s="24">
        <f>IF(C57="","",C57&amp;"|"&amp;COUNTIF($C$25:C57,C57))</f>
        <v/>
      </c>
      <c r="M57" s="24">
        <f>IFERROR(VLOOKUP(F57,Lists!$C$2:$E$10,2,0),0)</f>
        <v/>
      </c>
      <c r="N57" s="24">
        <f>IFERROR(VLOOKUP(F57,Lists!$C$2:$E$10,3,0),0)</f>
        <v/>
      </c>
      <c r="O57" s="24">
        <f>IF(OR(G57="",F57="",F57="Once"),0,IF(M57&gt;0,MAX(0,ROUNDUP(($D$5-G57)/M57,0)),IF(N57=0,0,MAX(0,ROUNDUP(((YEAR($D$5)-YEAR(G57))*12+MONTH($D$5)-MONTH(G57))/N57,0))+IF(EDATE(G57,MAX(0,ROUNDUP(((YEAR($D$5)-YEAR(G57))*12+MONTH($D$5)-MONTH(G57))/N57,0))*N57)&lt;$D$5,1,0))))</f>
        <v/>
      </c>
      <c r="P57" s="26">
        <f>IF(H57="",$D$9,MIN(H57,$D$9))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25" t="n">
        <v>34</v>
      </c>
      <c r="C58" s="17" t="n"/>
      <c r="D58" s="17" t="n"/>
      <c r="E58" s="16" t="n"/>
      <c r="F58" s="18" t="n"/>
      <c r="G58" s="13" t="n"/>
      <c r="H58" s="13" t="n"/>
      <c r="I58" s="17" t="n"/>
      <c r="J58" s="17" t="n"/>
      <c r="K58" s="17" t="n"/>
      <c r="L58" s="24">
        <f>IF(C58="","",C58&amp;"|"&amp;COUNTIF($C$25:C58,C58))</f>
        <v/>
      </c>
      <c r="M58" s="24">
        <f>IFERROR(VLOOKUP(F58,Lists!$C$2:$E$10,2,0),0)</f>
        <v/>
      </c>
      <c r="N58" s="24">
        <f>IFERROR(VLOOKUP(F58,Lists!$C$2:$E$10,3,0),0)</f>
        <v/>
      </c>
      <c r="O58" s="24">
        <f>IF(OR(G58="",F58="",F58="Once"),0,IF(M58&gt;0,MAX(0,ROUNDUP(($D$5-G58)/M58,0)),IF(N58=0,0,MAX(0,ROUNDUP(((YEAR($D$5)-YEAR(G58))*12+MONTH($D$5)-MONTH(G58))/N58,0))+IF(EDATE(G58,MAX(0,ROUNDUP(((YEAR($D$5)-YEAR(G58))*12+MONTH($D$5)-MONTH(G58))/N58,0))*N58)&lt;$D$5,1,0))))</f>
        <v/>
      </c>
      <c r="P58" s="26">
        <f>IF(H58="",$D$9,MIN(H58,$D$9))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25" t="n">
        <v>35</v>
      </c>
      <c r="C59" s="17" t="n"/>
      <c r="D59" s="17" t="n"/>
      <c r="E59" s="16" t="n"/>
      <c r="F59" s="18" t="n"/>
      <c r="G59" s="13" t="n"/>
      <c r="H59" s="13" t="n"/>
      <c r="I59" s="17" t="n"/>
      <c r="J59" s="17" t="n"/>
      <c r="K59" s="17" t="n"/>
      <c r="L59" s="24">
        <f>IF(C59="","",C59&amp;"|"&amp;COUNTIF($C$25:C59,C59))</f>
        <v/>
      </c>
      <c r="M59" s="24">
        <f>IFERROR(VLOOKUP(F59,Lists!$C$2:$E$10,2,0),0)</f>
        <v/>
      </c>
      <c r="N59" s="24">
        <f>IFERROR(VLOOKUP(F59,Lists!$C$2:$E$10,3,0),0)</f>
        <v/>
      </c>
      <c r="O59" s="24">
        <f>IF(OR(G59="",F59="",F59="Once"),0,IF(M59&gt;0,MAX(0,ROUNDUP(($D$5-G59)/M59,0)),IF(N59=0,0,MAX(0,ROUNDUP(((YEAR($D$5)-YEAR(G59))*12+MONTH($D$5)-MONTH(G59))/N59,0))+IF(EDATE(G59,MAX(0,ROUNDUP(((YEAR($D$5)-YEAR(G59))*12+MONTH($D$5)-MONTH(G59))/N59,0))*N59)&lt;$D$5,1,0))))</f>
        <v/>
      </c>
      <c r="P59" s="26">
        <f>IF(H59="",$D$9,MIN(H59,$D$9))</f>
        <v/>
      </c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25" t="n">
        <v>36</v>
      </c>
      <c r="C60" s="17" t="n"/>
      <c r="D60" s="17" t="n"/>
      <c r="E60" s="16" t="n"/>
      <c r="F60" s="18" t="n"/>
      <c r="G60" s="13" t="n"/>
      <c r="H60" s="13" t="n"/>
      <c r="I60" s="17" t="n"/>
      <c r="J60" s="17" t="n"/>
      <c r="K60" s="17" t="n"/>
      <c r="L60" s="24">
        <f>IF(C60="","",C60&amp;"|"&amp;COUNTIF($C$25:C60,C60))</f>
        <v/>
      </c>
      <c r="M60" s="24">
        <f>IFERROR(VLOOKUP(F60,Lists!$C$2:$E$10,2,0),0)</f>
        <v/>
      </c>
      <c r="N60" s="24">
        <f>IFERROR(VLOOKUP(F60,Lists!$C$2:$E$10,3,0),0)</f>
        <v/>
      </c>
      <c r="O60" s="24">
        <f>IF(OR(G60="",F60="",F60="Once"),0,IF(M60&gt;0,MAX(0,ROUNDUP(($D$5-G60)/M60,0)),IF(N60=0,0,MAX(0,ROUNDUP(((YEAR($D$5)-YEAR(G60))*12+MONTH($D$5)-MONTH(G60))/N60,0))+IF(EDATE(G60,MAX(0,ROUNDUP(((YEAR($D$5)-YEAR(G60))*12+MONTH($D$5)-MONTH(G60))/N60,0))*N60)&lt;$D$5,1,0))))</f>
        <v/>
      </c>
      <c r="P60" s="26">
        <f>IF(H60="",$D$9,MIN(H60,$D$9))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25" t="n">
        <v>37</v>
      </c>
      <c r="C61" s="17" t="n"/>
      <c r="D61" s="17" t="n"/>
      <c r="E61" s="16" t="n"/>
      <c r="F61" s="18" t="n"/>
      <c r="G61" s="13" t="n"/>
      <c r="H61" s="13" t="n"/>
      <c r="I61" s="17" t="n"/>
      <c r="J61" s="17" t="n"/>
      <c r="K61" s="17" t="n"/>
      <c r="L61" s="24">
        <f>IF(C61="","",C61&amp;"|"&amp;COUNTIF($C$25:C61,C61))</f>
        <v/>
      </c>
      <c r="M61" s="24">
        <f>IFERROR(VLOOKUP(F61,Lists!$C$2:$E$10,2,0),0)</f>
        <v/>
      </c>
      <c r="N61" s="24">
        <f>IFERROR(VLOOKUP(F61,Lists!$C$2:$E$10,3,0),0)</f>
        <v/>
      </c>
      <c r="O61" s="24">
        <f>IF(OR(G61="",F61="",F61="Once"),0,IF(M61&gt;0,MAX(0,ROUNDUP(($D$5-G61)/M61,0)),IF(N61=0,0,MAX(0,ROUNDUP(((YEAR($D$5)-YEAR(G61))*12+MONTH($D$5)-MONTH(G61))/N61,0))+IF(EDATE(G61,MAX(0,ROUNDUP(((YEAR($D$5)-YEAR(G61))*12+MONTH($D$5)-MONTH(G61))/N61,0))*N61)&lt;$D$5,1,0))))</f>
        <v/>
      </c>
      <c r="P61" s="26">
        <f>IF(H61="",$D$9,MIN(H61,$D$9))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25" t="n">
        <v>38</v>
      </c>
      <c r="C62" s="17" t="n"/>
      <c r="D62" s="17" t="n"/>
      <c r="E62" s="16" t="n"/>
      <c r="F62" s="18" t="n"/>
      <c r="G62" s="13" t="n"/>
      <c r="H62" s="13" t="n"/>
      <c r="I62" s="17" t="n"/>
      <c r="J62" s="17" t="n"/>
      <c r="K62" s="17" t="n"/>
      <c r="L62" s="24">
        <f>IF(C62="","",C62&amp;"|"&amp;COUNTIF($C$25:C62,C62))</f>
        <v/>
      </c>
      <c r="M62" s="24">
        <f>IFERROR(VLOOKUP(F62,Lists!$C$2:$E$10,2,0),0)</f>
        <v/>
      </c>
      <c r="N62" s="24">
        <f>IFERROR(VLOOKUP(F62,Lists!$C$2:$E$10,3,0),0)</f>
        <v/>
      </c>
      <c r="O62" s="24">
        <f>IF(OR(G62="",F62="",F62="Once"),0,IF(M62&gt;0,MAX(0,ROUNDUP(($D$5-G62)/M62,0)),IF(N62=0,0,MAX(0,ROUNDUP(((YEAR($D$5)-YEAR(G62))*12+MONTH($D$5)-MONTH(G62))/N62,0))+IF(EDATE(G62,MAX(0,ROUNDUP(((YEAR($D$5)-YEAR(G62))*12+MONTH($D$5)-MONTH(G62))/N62,0))*N62)&lt;$D$5,1,0))))</f>
        <v/>
      </c>
      <c r="P62" s="26">
        <f>IF(H62="",$D$9,MIN(H62,$D$9))</f>
        <v/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25" t="n">
        <v>39</v>
      </c>
      <c r="C63" s="17" t="n"/>
      <c r="D63" s="17" t="n"/>
      <c r="E63" s="16" t="n"/>
      <c r="F63" s="18" t="n"/>
      <c r="G63" s="13" t="n"/>
      <c r="H63" s="13" t="n"/>
      <c r="I63" s="17" t="n"/>
      <c r="J63" s="17" t="n"/>
      <c r="K63" s="17" t="n"/>
      <c r="L63" s="24">
        <f>IF(C63="","",C63&amp;"|"&amp;COUNTIF($C$25:C63,C63))</f>
        <v/>
      </c>
      <c r="M63" s="24">
        <f>IFERROR(VLOOKUP(F63,Lists!$C$2:$E$10,2,0),0)</f>
        <v/>
      </c>
      <c r="N63" s="24">
        <f>IFERROR(VLOOKUP(F63,Lists!$C$2:$E$10,3,0),0)</f>
        <v/>
      </c>
      <c r="O63" s="24">
        <f>IF(OR(G63="",F63="",F63="Once"),0,IF(M63&gt;0,MAX(0,ROUNDUP(($D$5-G63)/M63,0)),IF(N63=0,0,MAX(0,ROUNDUP(((YEAR($D$5)-YEAR(G63))*12+MONTH($D$5)-MONTH(G63))/N63,0))+IF(EDATE(G63,MAX(0,ROUNDUP(((YEAR($D$5)-YEAR(G63))*12+MONTH($D$5)-MONTH(G63))/N63,0))*N63)&lt;$D$5,1,0))))</f>
        <v/>
      </c>
      <c r="P63" s="26">
        <f>IF(H63="",$D$9,MIN(H63,$D$9))</f>
        <v/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25" t="n">
        <v>40</v>
      </c>
      <c r="C64" s="17" t="n"/>
      <c r="D64" s="17" t="n"/>
      <c r="E64" s="16" t="n"/>
      <c r="F64" s="18" t="n"/>
      <c r="G64" s="13" t="n"/>
      <c r="H64" s="13" t="n"/>
      <c r="I64" s="17" t="n"/>
      <c r="J64" s="17" t="n"/>
      <c r="K64" s="17" t="n"/>
      <c r="L64" s="24">
        <f>IF(C64="","",C64&amp;"|"&amp;COUNTIF($C$25:C64,C64))</f>
        <v/>
      </c>
      <c r="M64" s="24">
        <f>IFERROR(VLOOKUP(F64,Lists!$C$2:$E$10,2,0),0)</f>
        <v/>
      </c>
      <c r="N64" s="24">
        <f>IFERROR(VLOOKUP(F64,Lists!$C$2:$E$10,3,0),0)</f>
        <v/>
      </c>
      <c r="O64" s="24">
        <f>IF(OR(G64="",F64="",F64="Once"),0,IF(M64&gt;0,MAX(0,ROUNDUP(($D$5-G64)/M64,0)),IF(N64=0,0,MAX(0,ROUNDUP(((YEAR($D$5)-YEAR(G64))*12+MONTH($D$5)-MONTH(G64))/N64,0))+IF(EDATE(G64,MAX(0,ROUNDUP(((YEAR($D$5)-YEAR(G64))*12+MONTH($D$5)-MONTH(G64))/N64,0))*N64)&lt;$D$5,1,0))))</f>
        <v/>
      </c>
      <c r="P64" s="26">
        <f>IF(H64="",$D$9,MIN(H64,$D$9))</f>
        <v/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25" t="n">
        <v>41</v>
      </c>
      <c r="C65" s="17" t="n"/>
      <c r="D65" s="17" t="n"/>
      <c r="E65" s="16" t="n"/>
      <c r="F65" s="18" t="n"/>
      <c r="G65" s="13" t="n"/>
      <c r="H65" s="13" t="n"/>
      <c r="I65" s="17" t="n"/>
      <c r="J65" s="17" t="n"/>
      <c r="K65" s="17" t="n"/>
      <c r="L65" s="24">
        <f>IF(C65="","",C65&amp;"|"&amp;COUNTIF($C$25:C65,C65))</f>
        <v/>
      </c>
      <c r="M65" s="24">
        <f>IFERROR(VLOOKUP(F65,Lists!$C$2:$E$10,2,0),0)</f>
        <v/>
      </c>
      <c r="N65" s="24">
        <f>IFERROR(VLOOKUP(F65,Lists!$C$2:$E$10,3,0),0)</f>
        <v/>
      </c>
      <c r="O65" s="24">
        <f>IF(OR(G65="",F65="",F65="Once"),0,IF(M65&gt;0,MAX(0,ROUNDUP(($D$5-G65)/M65,0)),IF(N65=0,0,MAX(0,ROUNDUP(((YEAR($D$5)-YEAR(G65))*12+MONTH($D$5)-MONTH(G65))/N65,0))+IF(EDATE(G65,MAX(0,ROUNDUP(((YEAR($D$5)-YEAR(G65))*12+MONTH($D$5)-MONTH(G65))/N65,0))*N65)&lt;$D$5,1,0))))</f>
        <v/>
      </c>
      <c r="P65" s="26">
        <f>IF(H65="",$D$9,MIN(H65,$D$9))</f>
        <v/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25" t="n">
        <v>42</v>
      </c>
      <c r="C66" s="17" t="n"/>
      <c r="D66" s="17" t="n"/>
      <c r="E66" s="16" t="n"/>
      <c r="F66" s="18" t="n"/>
      <c r="G66" s="13" t="n"/>
      <c r="H66" s="13" t="n"/>
      <c r="I66" s="17" t="n"/>
      <c r="J66" s="17" t="n"/>
      <c r="K66" s="17" t="n"/>
      <c r="L66" s="24">
        <f>IF(C66="","",C66&amp;"|"&amp;COUNTIF($C$25:C66,C66))</f>
        <v/>
      </c>
      <c r="M66" s="24">
        <f>IFERROR(VLOOKUP(F66,Lists!$C$2:$E$10,2,0),0)</f>
        <v/>
      </c>
      <c r="N66" s="24">
        <f>IFERROR(VLOOKUP(F66,Lists!$C$2:$E$10,3,0),0)</f>
        <v/>
      </c>
      <c r="O66" s="24">
        <f>IF(OR(G66="",F66="",F66="Once"),0,IF(M66&gt;0,MAX(0,ROUNDUP(($D$5-G66)/M66,0)),IF(N66=0,0,MAX(0,ROUNDUP(((YEAR($D$5)-YEAR(G66))*12+MONTH($D$5)-MONTH(G66))/N66,0))+IF(EDATE(G66,MAX(0,ROUNDUP(((YEAR($D$5)-YEAR(G66))*12+MONTH($D$5)-MONTH(G66))/N66,0))*N66)&lt;$D$5,1,0))))</f>
        <v/>
      </c>
      <c r="P66" s="26">
        <f>IF(H66="",$D$9,MIN(H66,$D$9))</f>
        <v/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25" t="n">
        <v>43</v>
      </c>
      <c r="C67" s="17" t="n"/>
      <c r="D67" s="17" t="n"/>
      <c r="E67" s="16" t="n"/>
      <c r="F67" s="18" t="n"/>
      <c r="G67" s="13" t="n"/>
      <c r="H67" s="13" t="n"/>
      <c r="I67" s="17" t="n"/>
      <c r="J67" s="17" t="n"/>
      <c r="K67" s="17" t="n"/>
      <c r="L67" s="24">
        <f>IF(C67="","",C67&amp;"|"&amp;COUNTIF($C$25:C67,C67))</f>
        <v/>
      </c>
      <c r="M67" s="24">
        <f>IFERROR(VLOOKUP(F67,Lists!$C$2:$E$10,2,0),0)</f>
        <v/>
      </c>
      <c r="N67" s="24">
        <f>IFERROR(VLOOKUP(F67,Lists!$C$2:$E$10,3,0),0)</f>
        <v/>
      </c>
      <c r="O67" s="24">
        <f>IF(OR(G67="",F67="",F67="Once"),0,IF(M67&gt;0,MAX(0,ROUNDUP(($D$5-G67)/M67,0)),IF(N67=0,0,MAX(0,ROUNDUP(((YEAR($D$5)-YEAR(G67))*12+MONTH($D$5)-MONTH(G67))/N67,0))+IF(EDATE(G67,MAX(0,ROUNDUP(((YEAR($D$5)-YEAR(G67))*12+MONTH($D$5)-MONTH(G67))/N67,0))*N67)&lt;$D$5,1,0))))</f>
        <v/>
      </c>
      <c r="P67" s="26">
        <f>IF(H67="",$D$9,MIN(H67,$D$9))</f>
        <v/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25" t="n">
        <v>44</v>
      </c>
      <c r="C68" s="17" t="n"/>
      <c r="D68" s="17" t="n"/>
      <c r="E68" s="16" t="n"/>
      <c r="F68" s="18" t="n"/>
      <c r="G68" s="13" t="n"/>
      <c r="H68" s="13" t="n"/>
      <c r="I68" s="17" t="n"/>
      <c r="J68" s="17" t="n"/>
      <c r="K68" s="17" t="n"/>
      <c r="L68" s="24">
        <f>IF(C68="","",C68&amp;"|"&amp;COUNTIF($C$25:C68,C68))</f>
        <v/>
      </c>
      <c r="M68" s="24">
        <f>IFERROR(VLOOKUP(F68,Lists!$C$2:$E$10,2,0),0)</f>
        <v/>
      </c>
      <c r="N68" s="24">
        <f>IFERROR(VLOOKUP(F68,Lists!$C$2:$E$10,3,0),0)</f>
        <v/>
      </c>
      <c r="O68" s="24">
        <f>IF(OR(G68="",F68="",F68="Once"),0,IF(M68&gt;0,MAX(0,ROUNDUP(($D$5-G68)/M68,0)),IF(N68=0,0,MAX(0,ROUNDUP(((YEAR($D$5)-YEAR(G68))*12+MONTH($D$5)-MONTH(G68))/N68,0))+IF(EDATE(G68,MAX(0,ROUNDUP(((YEAR($D$5)-YEAR(G68))*12+MONTH($D$5)-MONTH(G68))/N68,0))*N68)&lt;$D$5,1,0))))</f>
        <v/>
      </c>
      <c r="P68" s="26">
        <f>IF(H68="",$D$9,MIN(H68,$D$9))</f>
        <v/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25" t="n">
        <v>45</v>
      </c>
      <c r="C69" s="17" t="n"/>
      <c r="D69" s="17" t="n"/>
      <c r="E69" s="16" t="n"/>
      <c r="F69" s="18" t="n"/>
      <c r="G69" s="13" t="n"/>
      <c r="H69" s="13" t="n"/>
      <c r="I69" s="17" t="n"/>
      <c r="J69" s="17" t="n"/>
      <c r="K69" s="17" t="n"/>
      <c r="L69" s="24">
        <f>IF(C69="","",C69&amp;"|"&amp;COUNTIF($C$25:C69,C69))</f>
        <v/>
      </c>
      <c r="M69" s="24">
        <f>IFERROR(VLOOKUP(F69,Lists!$C$2:$E$10,2,0),0)</f>
        <v/>
      </c>
      <c r="N69" s="24">
        <f>IFERROR(VLOOKUP(F69,Lists!$C$2:$E$10,3,0),0)</f>
        <v/>
      </c>
      <c r="O69" s="24">
        <f>IF(OR(G69="",F69="",F69="Once"),0,IF(M69&gt;0,MAX(0,ROUNDUP(($D$5-G69)/M69,0)),IF(N69=0,0,MAX(0,ROUNDUP(((YEAR($D$5)-YEAR(G69))*12+MONTH($D$5)-MONTH(G69))/N69,0))+IF(EDATE(G69,MAX(0,ROUNDUP(((YEAR($D$5)-YEAR(G69))*12+MONTH($D$5)-MONTH(G69))/N69,0))*N69)&lt;$D$5,1,0))))</f>
        <v/>
      </c>
      <c r="P69" s="26">
        <f>IF(H69="",$D$9,MIN(H69,$D$9))</f>
        <v/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25" t="n">
        <v>46</v>
      </c>
      <c r="C70" s="17" t="n"/>
      <c r="D70" s="17" t="n"/>
      <c r="E70" s="16" t="n"/>
      <c r="F70" s="18" t="n"/>
      <c r="G70" s="13" t="n"/>
      <c r="H70" s="13" t="n"/>
      <c r="I70" s="17" t="n"/>
      <c r="J70" s="17" t="n"/>
      <c r="K70" s="17" t="n"/>
      <c r="L70" s="24">
        <f>IF(C70="","",C70&amp;"|"&amp;COUNTIF($C$25:C70,C70))</f>
        <v/>
      </c>
      <c r="M70" s="24">
        <f>IFERROR(VLOOKUP(F70,Lists!$C$2:$E$10,2,0),0)</f>
        <v/>
      </c>
      <c r="N70" s="24">
        <f>IFERROR(VLOOKUP(F70,Lists!$C$2:$E$10,3,0),0)</f>
        <v/>
      </c>
      <c r="O70" s="24">
        <f>IF(OR(G70="",F70="",F70="Once"),0,IF(M70&gt;0,MAX(0,ROUNDUP(($D$5-G70)/M70,0)),IF(N70=0,0,MAX(0,ROUNDUP(((YEAR($D$5)-YEAR(G70))*12+MONTH($D$5)-MONTH(G70))/N70,0))+IF(EDATE(G70,MAX(0,ROUNDUP(((YEAR($D$5)-YEAR(G70))*12+MONTH($D$5)-MONTH(G70))/N70,0))*N70)&lt;$D$5,1,0))))</f>
        <v/>
      </c>
      <c r="P70" s="26">
        <f>IF(H70="",$D$9,MIN(H70,$D$9))</f>
        <v/>
      </c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25" t="n">
        <v>47</v>
      </c>
      <c r="C71" s="17" t="n"/>
      <c r="D71" s="17" t="n"/>
      <c r="E71" s="16" t="n"/>
      <c r="F71" s="18" t="n"/>
      <c r="G71" s="13" t="n"/>
      <c r="H71" s="13" t="n"/>
      <c r="I71" s="17" t="n"/>
      <c r="J71" s="17" t="n"/>
      <c r="K71" s="17" t="n"/>
      <c r="L71" s="24">
        <f>IF(C71="","",C71&amp;"|"&amp;COUNTIF($C$25:C71,C71))</f>
        <v/>
      </c>
      <c r="M71" s="24">
        <f>IFERROR(VLOOKUP(F71,Lists!$C$2:$E$10,2,0),0)</f>
        <v/>
      </c>
      <c r="N71" s="24">
        <f>IFERROR(VLOOKUP(F71,Lists!$C$2:$E$10,3,0),0)</f>
        <v/>
      </c>
      <c r="O71" s="24">
        <f>IF(OR(G71="",F71="",F71="Once"),0,IF(M71&gt;0,MAX(0,ROUNDUP(($D$5-G71)/M71,0)),IF(N71=0,0,MAX(0,ROUNDUP(((YEAR($D$5)-YEAR(G71))*12+MONTH($D$5)-MONTH(G71))/N71,0))+IF(EDATE(G71,MAX(0,ROUNDUP(((YEAR($D$5)-YEAR(G71))*12+MONTH($D$5)-MONTH(G71))/N71,0))*N71)&lt;$D$5,1,0))))</f>
        <v/>
      </c>
      <c r="P71" s="26">
        <f>IF(H71="",$D$9,MIN(H71,$D$9))</f>
        <v/>
      </c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25" t="n">
        <v>48</v>
      </c>
      <c r="C72" s="17" t="n"/>
      <c r="D72" s="17" t="n"/>
      <c r="E72" s="16" t="n"/>
      <c r="F72" s="18" t="n"/>
      <c r="G72" s="13" t="n"/>
      <c r="H72" s="13" t="n"/>
      <c r="I72" s="17" t="n"/>
      <c r="J72" s="17" t="n"/>
      <c r="K72" s="17" t="n"/>
      <c r="L72" s="24">
        <f>IF(C72="","",C72&amp;"|"&amp;COUNTIF($C$25:C72,C72))</f>
        <v/>
      </c>
      <c r="M72" s="24">
        <f>IFERROR(VLOOKUP(F72,Lists!$C$2:$E$10,2,0),0)</f>
        <v/>
      </c>
      <c r="N72" s="24">
        <f>IFERROR(VLOOKUP(F72,Lists!$C$2:$E$10,3,0),0)</f>
        <v/>
      </c>
      <c r="O72" s="24">
        <f>IF(OR(G72="",F72="",F72="Once"),0,IF(M72&gt;0,MAX(0,ROUNDUP(($D$5-G72)/M72,0)),IF(N72=0,0,MAX(0,ROUNDUP(((YEAR($D$5)-YEAR(G72))*12+MONTH($D$5)-MONTH(G72))/N72,0))+IF(EDATE(G72,MAX(0,ROUNDUP(((YEAR($D$5)-YEAR(G72))*12+MONTH($D$5)-MONTH(G72))/N72,0))*N72)&lt;$D$5,1,0))))</f>
        <v/>
      </c>
      <c r="P72" s="26">
        <f>IF(H72="",$D$9,MIN(H72,$D$9))</f>
        <v/>
      </c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25" t="n">
        <v>49</v>
      </c>
      <c r="C73" s="17" t="n"/>
      <c r="D73" s="17" t="n"/>
      <c r="E73" s="16" t="n"/>
      <c r="F73" s="18" t="n"/>
      <c r="G73" s="13" t="n"/>
      <c r="H73" s="13" t="n"/>
      <c r="I73" s="17" t="n"/>
      <c r="J73" s="17" t="n"/>
      <c r="K73" s="17" t="n"/>
      <c r="L73" s="24">
        <f>IF(C73="","",C73&amp;"|"&amp;COUNTIF($C$25:C73,C73))</f>
        <v/>
      </c>
      <c r="M73" s="24">
        <f>IFERROR(VLOOKUP(F73,Lists!$C$2:$E$10,2,0),0)</f>
        <v/>
      </c>
      <c r="N73" s="24">
        <f>IFERROR(VLOOKUP(F73,Lists!$C$2:$E$10,3,0),0)</f>
        <v/>
      </c>
      <c r="O73" s="24">
        <f>IF(OR(G73="",F73="",F73="Once"),0,IF(M73&gt;0,MAX(0,ROUNDUP(($D$5-G73)/M73,0)),IF(N73=0,0,MAX(0,ROUNDUP(((YEAR($D$5)-YEAR(G73))*12+MONTH($D$5)-MONTH(G73))/N73,0))+IF(EDATE(G73,MAX(0,ROUNDUP(((YEAR($D$5)-YEAR(G73))*12+MONTH($D$5)-MONTH(G73))/N73,0))*N73)&lt;$D$5,1,0))))</f>
        <v/>
      </c>
      <c r="P73" s="26">
        <f>IF(H73="",$D$9,MIN(H73,$D$9))</f>
        <v/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25" t="n">
        <v>50</v>
      </c>
      <c r="C74" s="17" t="n"/>
      <c r="D74" s="17" t="n"/>
      <c r="E74" s="16" t="n"/>
      <c r="F74" s="18" t="n"/>
      <c r="G74" s="13" t="n"/>
      <c r="H74" s="13" t="n"/>
      <c r="I74" s="17" t="n"/>
      <c r="J74" s="17" t="n"/>
      <c r="K74" s="17" t="n"/>
      <c r="L74" s="24">
        <f>IF(C74="","",C74&amp;"|"&amp;COUNTIF($C$25:C74,C74))</f>
        <v/>
      </c>
      <c r="M74" s="24">
        <f>IFERROR(VLOOKUP(F74,Lists!$C$2:$E$10,2,0),0)</f>
        <v/>
      </c>
      <c r="N74" s="24">
        <f>IFERROR(VLOOKUP(F74,Lists!$C$2:$E$10,3,0),0)</f>
        <v/>
      </c>
      <c r="O74" s="24">
        <f>IF(OR(G74="",F74="",F74="Once"),0,IF(M74&gt;0,MAX(0,ROUNDUP(($D$5-G74)/M74,0)),IF(N74=0,0,MAX(0,ROUNDUP(((YEAR($D$5)-YEAR(G74))*12+MONTH($D$5)-MONTH(G74))/N74,0))+IF(EDATE(G74,MAX(0,ROUNDUP(((YEAR($D$5)-YEAR(G74))*12+MONTH($D$5)-MONTH(G74))/N74,0))*N74)&lt;$D$5,1,0))))</f>
        <v/>
      </c>
      <c r="P74" s="26">
        <f>IF(H74="",$D$9,MIN(H74,$D$9))</f>
        <v/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25" t="n">
        <v>51</v>
      </c>
      <c r="C75" s="17" t="n"/>
      <c r="D75" s="17" t="n"/>
      <c r="E75" s="16" t="n"/>
      <c r="F75" s="18" t="n"/>
      <c r="G75" s="13" t="n"/>
      <c r="H75" s="13" t="n"/>
      <c r="I75" s="17" t="n"/>
      <c r="J75" s="17" t="n"/>
      <c r="K75" s="17" t="n"/>
      <c r="L75" s="24">
        <f>IF(C75="","",C75&amp;"|"&amp;COUNTIF($C$25:C75,C75))</f>
        <v/>
      </c>
      <c r="M75" s="24">
        <f>IFERROR(VLOOKUP(F75,Lists!$C$2:$E$10,2,0),0)</f>
        <v/>
      </c>
      <c r="N75" s="24">
        <f>IFERROR(VLOOKUP(F75,Lists!$C$2:$E$10,3,0),0)</f>
        <v/>
      </c>
      <c r="O75" s="24">
        <f>IF(OR(G75="",F75="",F75="Once"),0,IF(M75&gt;0,MAX(0,ROUNDUP(($D$5-G75)/M75,0)),IF(N75=0,0,MAX(0,ROUNDUP(((YEAR($D$5)-YEAR(G75))*12+MONTH($D$5)-MONTH(G75))/N75,0))+IF(EDATE(G75,MAX(0,ROUNDUP(((YEAR($D$5)-YEAR(G75))*12+MONTH($D$5)-MONTH(G75))/N75,0))*N75)&lt;$D$5,1,0))))</f>
        <v/>
      </c>
      <c r="P75" s="26">
        <f>IF(H75="",$D$9,MIN(H75,$D$9))</f>
        <v/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25" t="n">
        <v>52</v>
      </c>
      <c r="C76" s="17" t="n"/>
      <c r="D76" s="17" t="n"/>
      <c r="E76" s="16" t="n"/>
      <c r="F76" s="18" t="n"/>
      <c r="G76" s="13" t="n"/>
      <c r="H76" s="13" t="n"/>
      <c r="I76" s="17" t="n"/>
      <c r="J76" s="17" t="n"/>
      <c r="K76" s="17" t="n"/>
      <c r="L76" s="24">
        <f>IF(C76="","",C76&amp;"|"&amp;COUNTIF($C$25:C76,C76))</f>
        <v/>
      </c>
      <c r="M76" s="24">
        <f>IFERROR(VLOOKUP(F76,Lists!$C$2:$E$10,2,0),0)</f>
        <v/>
      </c>
      <c r="N76" s="24">
        <f>IFERROR(VLOOKUP(F76,Lists!$C$2:$E$10,3,0),0)</f>
        <v/>
      </c>
      <c r="O76" s="24">
        <f>IF(OR(G76="",F76="",F76="Once"),0,IF(M76&gt;0,MAX(0,ROUNDUP(($D$5-G76)/M76,0)),IF(N76=0,0,MAX(0,ROUNDUP(((YEAR($D$5)-YEAR(G76))*12+MONTH($D$5)-MONTH(G76))/N76,0))+IF(EDATE(G76,MAX(0,ROUNDUP(((YEAR($D$5)-YEAR(G76))*12+MONTH($D$5)-MONTH(G76))/N76,0))*N76)&lt;$D$5,1,0))))</f>
        <v/>
      </c>
      <c r="P76" s="26">
        <f>IF(H76="",$D$9,MIN(H76,$D$9))</f>
        <v/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25" t="n">
        <v>53</v>
      </c>
      <c r="C77" s="17" t="n"/>
      <c r="D77" s="17" t="n"/>
      <c r="E77" s="16" t="n"/>
      <c r="F77" s="18" t="n"/>
      <c r="G77" s="13" t="n"/>
      <c r="H77" s="13" t="n"/>
      <c r="I77" s="17" t="n"/>
      <c r="J77" s="17" t="n"/>
      <c r="K77" s="17" t="n"/>
      <c r="L77" s="24">
        <f>IF(C77="","",C77&amp;"|"&amp;COUNTIF($C$25:C77,C77))</f>
        <v/>
      </c>
      <c r="M77" s="24">
        <f>IFERROR(VLOOKUP(F77,Lists!$C$2:$E$10,2,0),0)</f>
        <v/>
      </c>
      <c r="N77" s="24">
        <f>IFERROR(VLOOKUP(F77,Lists!$C$2:$E$10,3,0),0)</f>
        <v/>
      </c>
      <c r="O77" s="24">
        <f>IF(OR(G77="",F77="",F77="Once"),0,IF(M77&gt;0,MAX(0,ROUNDUP(($D$5-G77)/M77,0)),IF(N77=0,0,MAX(0,ROUNDUP(((YEAR($D$5)-YEAR(G77))*12+MONTH($D$5)-MONTH(G77))/N77,0))+IF(EDATE(G77,MAX(0,ROUNDUP(((YEAR($D$5)-YEAR(G77))*12+MONTH($D$5)-MONTH(G77))/N77,0))*N77)&lt;$D$5,1,0))))</f>
        <v/>
      </c>
      <c r="P77" s="26">
        <f>IF(H77="",$D$9,MIN(H77,$D$9))</f>
        <v/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25" t="n">
        <v>54</v>
      </c>
      <c r="C78" s="17" t="n"/>
      <c r="D78" s="17" t="n"/>
      <c r="E78" s="16" t="n"/>
      <c r="F78" s="18" t="n"/>
      <c r="G78" s="13" t="n"/>
      <c r="H78" s="13" t="n"/>
      <c r="I78" s="17" t="n"/>
      <c r="J78" s="17" t="n"/>
      <c r="K78" s="17" t="n"/>
      <c r="L78" s="24">
        <f>IF(C78="","",C78&amp;"|"&amp;COUNTIF($C$25:C78,C78))</f>
        <v/>
      </c>
      <c r="M78" s="24">
        <f>IFERROR(VLOOKUP(F78,Lists!$C$2:$E$10,2,0),0)</f>
        <v/>
      </c>
      <c r="N78" s="24">
        <f>IFERROR(VLOOKUP(F78,Lists!$C$2:$E$10,3,0),0)</f>
        <v/>
      </c>
      <c r="O78" s="24">
        <f>IF(OR(G78="",F78="",F78="Once"),0,IF(M78&gt;0,MAX(0,ROUNDUP(($D$5-G78)/M78,0)),IF(N78=0,0,MAX(0,ROUNDUP(((YEAR($D$5)-YEAR(G78))*12+MONTH($D$5)-MONTH(G78))/N78,0))+IF(EDATE(G78,MAX(0,ROUNDUP(((YEAR($D$5)-YEAR(G78))*12+MONTH($D$5)-MONTH(G78))/N78,0))*N78)&lt;$D$5,1,0))))</f>
        <v/>
      </c>
      <c r="P78" s="26">
        <f>IF(H78="",$D$9,MIN(H78,$D$9))</f>
        <v/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25" t="n">
        <v>55</v>
      </c>
      <c r="C79" s="17" t="n"/>
      <c r="D79" s="17" t="n"/>
      <c r="E79" s="16" t="n"/>
      <c r="F79" s="18" t="n"/>
      <c r="G79" s="13" t="n"/>
      <c r="H79" s="13" t="n"/>
      <c r="I79" s="17" t="n"/>
      <c r="J79" s="17" t="n"/>
      <c r="K79" s="17" t="n"/>
      <c r="L79" s="24">
        <f>IF(C79="","",C79&amp;"|"&amp;COUNTIF($C$25:C79,C79))</f>
        <v/>
      </c>
      <c r="M79" s="24">
        <f>IFERROR(VLOOKUP(F79,Lists!$C$2:$E$10,2,0),0)</f>
        <v/>
      </c>
      <c r="N79" s="24">
        <f>IFERROR(VLOOKUP(F79,Lists!$C$2:$E$10,3,0),0)</f>
        <v/>
      </c>
      <c r="O79" s="24">
        <f>IF(OR(G79="",F79="",F79="Once"),0,IF(M79&gt;0,MAX(0,ROUNDUP(($D$5-G79)/M79,0)),IF(N79=0,0,MAX(0,ROUNDUP(((YEAR($D$5)-YEAR(G79))*12+MONTH($D$5)-MONTH(G79))/N79,0))+IF(EDATE(G79,MAX(0,ROUNDUP(((YEAR($D$5)-YEAR(G79))*12+MONTH($D$5)-MONTH(G79))/N79,0))*N79)&lt;$D$5,1,0))))</f>
        <v/>
      </c>
      <c r="P79" s="26">
        <f>IF(H79="",$D$9,MIN(H79,$D$9))</f>
        <v/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25" t="n">
        <v>56</v>
      </c>
      <c r="C80" s="17" t="n"/>
      <c r="D80" s="17" t="n"/>
      <c r="E80" s="16" t="n"/>
      <c r="F80" s="18" t="n"/>
      <c r="G80" s="13" t="n"/>
      <c r="H80" s="13" t="n"/>
      <c r="I80" s="17" t="n"/>
      <c r="J80" s="17" t="n"/>
      <c r="K80" s="17" t="n"/>
      <c r="L80" s="24">
        <f>IF(C80="","",C80&amp;"|"&amp;COUNTIF($C$25:C80,C80))</f>
        <v/>
      </c>
      <c r="M80" s="24">
        <f>IFERROR(VLOOKUP(F80,Lists!$C$2:$E$10,2,0),0)</f>
        <v/>
      </c>
      <c r="N80" s="24">
        <f>IFERROR(VLOOKUP(F80,Lists!$C$2:$E$10,3,0),0)</f>
        <v/>
      </c>
      <c r="O80" s="24">
        <f>IF(OR(G80="",F80="",F80="Once"),0,IF(M80&gt;0,MAX(0,ROUNDUP(($D$5-G80)/M80,0)),IF(N80=0,0,MAX(0,ROUNDUP(((YEAR($D$5)-YEAR(G80))*12+MONTH($D$5)-MONTH(G80))/N80,0))+IF(EDATE(G80,MAX(0,ROUNDUP(((YEAR($D$5)-YEAR(G80))*12+MONTH($D$5)-MONTH(G80))/N80,0))*N80)&lt;$D$5,1,0))))</f>
        <v/>
      </c>
      <c r="P80" s="26">
        <f>IF(H80="",$D$9,MIN(H80,$D$9))</f>
        <v/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25" t="n">
        <v>57</v>
      </c>
      <c r="C81" s="17" t="n"/>
      <c r="D81" s="17" t="n"/>
      <c r="E81" s="16" t="n"/>
      <c r="F81" s="18" t="n"/>
      <c r="G81" s="13" t="n"/>
      <c r="H81" s="13" t="n"/>
      <c r="I81" s="17" t="n"/>
      <c r="J81" s="17" t="n"/>
      <c r="K81" s="17" t="n"/>
      <c r="L81" s="24">
        <f>IF(C81="","",C81&amp;"|"&amp;COUNTIF($C$25:C81,C81))</f>
        <v/>
      </c>
      <c r="M81" s="24">
        <f>IFERROR(VLOOKUP(F81,Lists!$C$2:$E$10,2,0),0)</f>
        <v/>
      </c>
      <c r="N81" s="24">
        <f>IFERROR(VLOOKUP(F81,Lists!$C$2:$E$10,3,0),0)</f>
        <v/>
      </c>
      <c r="O81" s="24">
        <f>IF(OR(G81="",F81="",F81="Once"),0,IF(M81&gt;0,MAX(0,ROUNDUP(($D$5-G81)/M81,0)),IF(N81=0,0,MAX(0,ROUNDUP(((YEAR($D$5)-YEAR(G81))*12+MONTH($D$5)-MONTH(G81))/N81,0))+IF(EDATE(G81,MAX(0,ROUNDUP(((YEAR($D$5)-YEAR(G81))*12+MONTH($D$5)-MONTH(G81))/N81,0))*N81)&lt;$D$5,1,0))))</f>
        <v/>
      </c>
      <c r="P81" s="26">
        <f>IF(H81="",$D$9,MIN(H81,$D$9))</f>
        <v/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25" t="n">
        <v>58</v>
      </c>
      <c r="C82" s="17" t="n"/>
      <c r="D82" s="17" t="n"/>
      <c r="E82" s="16" t="n"/>
      <c r="F82" s="18" t="n"/>
      <c r="G82" s="13" t="n"/>
      <c r="H82" s="13" t="n"/>
      <c r="I82" s="17" t="n"/>
      <c r="J82" s="17" t="n"/>
      <c r="K82" s="17" t="n"/>
      <c r="L82" s="24">
        <f>IF(C82="","",C82&amp;"|"&amp;COUNTIF($C$25:C82,C82))</f>
        <v/>
      </c>
      <c r="M82" s="24">
        <f>IFERROR(VLOOKUP(F82,Lists!$C$2:$E$10,2,0),0)</f>
        <v/>
      </c>
      <c r="N82" s="24">
        <f>IFERROR(VLOOKUP(F82,Lists!$C$2:$E$10,3,0),0)</f>
        <v/>
      </c>
      <c r="O82" s="24">
        <f>IF(OR(G82="",F82="",F82="Once"),0,IF(M82&gt;0,MAX(0,ROUNDUP(($D$5-G82)/M82,0)),IF(N82=0,0,MAX(0,ROUNDUP(((YEAR($D$5)-YEAR(G82))*12+MONTH($D$5)-MONTH(G82))/N82,0))+IF(EDATE(G82,MAX(0,ROUNDUP(((YEAR($D$5)-YEAR(G82))*12+MONTH($D$5)-MONTH(G82))/N82,0))*N82)&lt;$D$5,1,0))))</f>
        <v/>
      </c>
      <c r="P82" s="26">
        <f>IF(H82="",$D$9,MIN(H82,$D$9))</f>
        <v/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25" t="n">
        <v>59</v>
      </c>
      <c r="C83" s="17" t="n"/>
      <c r="D83" s="17" t="n"/>
      <c r="E83" s="16" t="n"/>
      <c r="F83" s="18" t="n"/>
      <c r="G83" s="13" t="n"/>
      <c r="H83" s="13" t="n"/>
      <c r="I83" s="17" t="n"/>
      <c r="J83" s="17" t="n"/>
      <c r="K83" s="17" t="n"/>
      <c r="L83" s="24">
        <f>IF(C83="","",C83&amp;"|"&amp;COUNTIF($C$25:C83,C83))</f>
        <v/>
      </c>
      <c r="M83" s="24">
        <f>IFERROR(VLOOKUP(F83,Lists!$C$2:$E$10,2,0),0)</f>
        <v/>
      </c>
      <c r="N83" s="24">
        <f>IFERROR(VLOOKUP(F83,Lists!$C$2:$E$10,3,0),0)</f>
        <v/>
      </c>
      <c r="O83" s="24">
        <f>IF(OR(G83="",F83="",F83="Once"),0,IF(M83&gt;0,MAX(0,ROUNDUP(($D$5-G83)/M83,0)),IF(N83=0,0,MAX(0,ROUNDUP(((YEAR($D$5)-YEAR(G83))*12+MONTH($D$5)-MONTH(G83))/N83,0))+IF(EDATE(G83,MAX(0,ROUNDUP(((YEAR($D$5)-YEAR(G83))*12+MONTH($D$5)-MONTH(G83))/N83,0))*N83)&lt;$D$5,1,0))))</f>
        <v/>
      </c>
      <c r="P83" s="26">
        <f>IF(H83="",$D$9,MIN(H83,$D$9))</f>
        <v/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25" t="n">
        <v>60</v>
      </c>
      <c r="C84" s="17" t="n"/>
      <c r="D84" s="17" t="n"/>
      <c r="E84" s="16" t="n"/>
      <c r="F84" s="18" t="n"/>
      <c r="G84" s="13" t="n"/>
      <c r="H84" s="13" t="n"/>
      <c r="I84" s="17" t="n"/>
      <c r="J84" s="17" t="n"/>
      <c r="K84" s="17" t="n"/>
      <c r="L84" s="24">
        <f>IF(C84="","",C84&amp;"|"&amp;COUNTIF($C$25:C84,C84))</f>
        <v/>
      </c>
      <c r="M84" s="24">
        <f>IFERROR(VLOOKUP(F84,Lists!$C$2:$E$10,2,0),0)</f>
        <v/>
      </c>
      <c r="N84" s="24">
        <f>IFERROR(VLOOKUP(F84,Lists!$C$2:$E$10,3,0),0)</f>
        <v/>
      </c>
      <c r="O84" s="24">
        <f>IF(OR(G84="",F84="",F84="Once"),0,IF(M84&gt;0,MAX(0,ROUNDUP(($D$5-G84)/M84,0)),IF(N84=0,0,MAX(0,ROUNDUP(((YEAR($D$5)-YEAR(G84))*12+MONTH($D$5)-MONTH(G84))/N84,0))+IF(EDATE(G84,MAX(0,ROUNDUP(((YEAR($D$5)-YEAR(G84))*12+MONTH($D$5)-MONTH(G84))/N84,0))*N84)&lt;$D$5,1,0))))</f>
        <v/>
      </c>
      <c r="P84" s="26">
        <f>IF(H84="",$D$9,MIN(H84,$D$9))</f>
        <v/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</sheetData>
  <mergeCells count="5">
    <mergeCell ref="F4:G4"/>
    <mergeCell ref="B23:K23"/>
    <mergeCell ref="I4:J4"/>
    <mergeCell ref="B2:K2"/>
    <mergeCell ref="C4:D4"/>
  </mergeCells>
  <conditionalFormatting sqref="C25:C84">
    <cfRule type="expression" priority="1" dxfId="0" stopIfTrue="0">
      <formula>$C25="Income"</formula>
    </cfRule>
    <cfRule type="expression" priority="2" dxfId="1" stopIfTrue="0">
      <formula>$C25="Savings"</formula>
    </cfRule>
    <cfRule type="expression" priority="3" dxfId="2" stopIfTrue="0">
      <formula>$C25="Bills"</formula>
    </cfRule>
    <cfRule type="expression" priority="4" dxfId="3" stopIfTrue="0">
      <formula>$C25="Debt"</formula>
    </cfRule>
    <cfRule type="expression" priority="5" dxfId="4" stopIfTrue="0">
      <formula>$C25="Subscriptions"</formula>
    </cfRule>
    <cfRule type="expression" priority="6" dxfId="5" stopIfTrue="0">
      <formula>$C25="Variable Exp"</formula>
    </cfRule>
    <cfRule type="expression" priority="7" dxfId="6" stopIfTrue="0">
      <formula>$C25="Transfer"</formula>
    </cfRule>
  </conditionalFormatting>
  <dataValidations count="4">
    <dataValidation sqref="D7" showDropDown="0" showInputMessage="0" showErrorMessage="0" allowBlank="1" error="Please pick a value from the list." type="list" errorStyle="warning">
      <formula1>=Lists!$K$2:$K$3</formula1>
    </dataValidation>
    <dataValidation sqref="C25:C84" showDropDown="0" showInputMessage="0" showErrorMessage="0" allowBlank="1" error="Please pick a value from the list." type="list" errorStyle="warning">
      <formula1>=Lists!$A$2:$A$6</formula1>
    </dataValidation>
    <dataValidation sqref="F25:F84" showDropDown="0" showInputMessage="0" showErrorMessage="0" allowBlank="1" error="Please pick a value from the list." type="list" errorStyle="warning">
      <formula1>=Lists!$C$2:$C$10</formula1>
    </dataValidation>
    <dataValidation sqref="I25:J84" showDropDown="0" showInputMessage="0" showErrorMessage="0" allowBlank="1" error="Please pick a value from the list." type="list" errorStyle="warning">
      <formula1>=Lists!$G$2:$G$14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AB8"/>
    <outlinePr summaryBelow="1" summaryRight="1"/>
    <pageSetUpPr/>
  </sheetPr>
  <dimension ref="A2:U1205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4" customWidth="1" style="1" min="1" max="1"/>
    <col hidden="1" width="4" customWidth="1" style="1" min="2" max="2"/>
    <col width="7" customWidth="1" style="1" min="3" max="3"/>
    <col width="11" customWidth="1" style="1" min="4" max="4"/>
    <col width="20" customWidth="1" style="1" min="5" max="5"/>
    <col width="12" customWidth="1" style="1" min="6" max="6"/>
    <col width="15" customWidth="1" style="1" min="7" max="7"/>
    <col width="15" customWidth="1" style="1" min="8" max="8"/>
    <col width="14" customWidth="1" style="1" min="9" max="9"/>
    <col width="2" customWidth="1" style="1" min="10" max="10"/>
    <col width="11" customWidth="1" style="1" min="11" max="11"/>
    <col width="12" customWidth="1" style="1" min="12" max="12"/>
    <col width="15" customWidth="1" style="1" min="13" max="13"/>
    <col width="15" customWidth="1" style="1" min="14" max="14"/>
    <col width="2" customWidth="1" style="1" min="15" max="15"/>
    <col width="11" customWidth="1" style="1" min="16" max="16"/>
    <col width="12" customWidth="1" style="1" min="17" max="17"/>
    <col hidden="1" width="12" customWidth="1" style="1" min="18" max="18"/>
    <col hidden="1" width="12" customWidth="1" style="1" min="19" max="19"/>
    <col width="11" customWidth="1" style="1" min="20" max="20"/>
    <col hidden="1" width="12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</cols>
  <sheetData>
    <row r="2">
      <c r="C2" s="27" t="inlineStr">
        <is>
          <t>PAYMENT SCHEDULE</t>
        </is>
      </c>
      <c r="D2" s="1" t="n"/>
      <c r="E2" s="1" t="n"/>
      <c r="F2" s="1" t="n"/>
      <c r="G2" s="1" t="n"/>
      <c r="H2" s="1" t="n"/>
      <c r="I2" s="1" t="n"/>
    </row>
    <row r="3">
      <c r="C3" s="28" t="inlineStr">
        <is>
          <t>Auto-generated from Setup. Mark ✓ paid / ✗ skipped, use the filter arrows to sort &amp; filter. Row colours follow the category.</t>
        </is>
      </c>
    </row>
    <row r="4">
      <c r="C4" s="8" t="inlineStr">
        <is>
          <t>PAYMENT SCHEDULE</t>
        </is>
      </c>
      <c r="D4" s="9" t="n"/>
      <c r="E4" s="9" t="n"/>
      <c r="F4" s="9" t="n"/>
      <c r="G4" s="9" t="n"/>
      <c r="H4" s="9" t="n"/>
      <c r="I4" s="9" t="n"/>
      <c r="K4" s="29" t="inlineStr">
        <is>
          <t>VARIATION  —  enter any change for one payment here</t>
        </is>
      </c>
      <c r="L4" s="30" t="n"/>
      <c r="M4" s="30" t="n"/>
      <c r="N4" s="30" t="n"/>
      <c r="P4" s="10" t="inlineStr">
        <is>
          <t>RESULT</t>
        </is>
      </c>
      <c r="Q4" s="11" t="n"/>
      <c r="R4" s="11" t="n"/>
      <c r="S4" s="11" t="n"/>
      <c r="T4" s="11" t="n"/>
    </row>
    <row r="5">
      <c r="A5" s="31" t="inlineStr">
        <is>
          <t>key</t>
        </is>
      </c>
      <c r="B5" s="31" t="inlineStr">
        <is>
          <t>idx</t>
        </is>
      </c>
      <c r="C5" s="31" t="inlineStr">
        <is>
          <t>PAID</t>
        </is>
      </c>
      <c r="D5" s="31" t="inlineStr">
        <is>
          <t>DATE</t>
        </is>
      </c>
      <c r="E5" s="31" t="inlineStr">
        <is>
          <t>SUB-CATEGORY</t>
        </is>
      </c>
      <c r="F5" s="31" t="inlineStr">
        <is>
          <t>AMOUNT</t>
        </is>
      </c>
      <c r="G5" s="31" t="inlineStr">
        <is>
          <t>FROM ACCOUNT</t>
        </is>
      </c>
      <c r="H5" s="31" t="inlineStr">
        <is>
          <t>TO ACCOUNT</t>
        </is>
      </c>
      <c r="I5" s="31" t="inlineStr">
        <is>
          <t>CATEGORY</t>
        </is>
      </c>
      <c r="K5" s="31" t="inlineStr">
        <is>
          <t>NEW DATE</t>
        </is>
      </c>
      <c r="L5" s="31" t="inlineStr">
        <is>
          <t>NEW AMOUNT</t>
        </is>
      </c>
      <c r="M5" s="31" t="inlineStr">
        <is>
          <t>NEW FROM</t>
        </is>
      </c>
      <c r="N5" s="31" t="inlineStr">
        <is>
          <t>NEW TO</t>
        </is>
      </c>
      <c r="P5" s="31" t="inlineStr">
        <is>
          <t>EFF. DATE</t>
        </is>
      </c>
      <c r="Q5" s="31" t="inlineStr">
        <is>
          <t>ACTUAL PAID</t>
        </is>
      </c>
      <c r="R5" s="31" t="inlineStr">
        <is>
          <t>EFF. FROM</t>
        </is>
      </c>
      <c r="S5" s="31" t="inlineStr">
        <is>
          <t>EFF. TO</t>
        </is>
      </c>
      <c r="T5" s="31" t="inlineStr">
        <is>
          <t>STATUS</t>
        </is>
      </c>
      <c r="U5" s="31" t="inlineStr">
        <is>
          <t>SCHEDULED</t>
        </is>
      </c>
    </row>
    <row r="6">
      <c r="A6" s="32">
        <f>IFERROR(SMALL(Calc!$B$2:$BB$61,1),"")</f>
        <v/>
      </c>
      <c r="B6" s="32">
        <f>IF(A6="","",ROUND(MOD(A6,1)*1000,0))</f>
        <v/>
      </c>
      <c r="C6" s="33" t="n"/>
      <c r="D6" s="34">
        <f>IF(A6="","",INT(A6))</f>
        <v/>
      </c>
      <c r="E6" s="35">
        <f>IF(B6="","",INDEX(Setup!$D$25:$D$84,B6))</f>
        <v/>
      </c>
      <c r="F6" s="36">
        <f>IF(B6="","",INDEX(Setup!$E$25:$E$84,B6))</f>
        <v/>
      </c>
      <c r="G6" s="32">
        <f>IF(B6="","",INDEX(Setup!$I$25:$I$84,B6)&amp;"")</f>
        <v/>
      </c>
      <c r="H6" s="32">
        <f>IF(B6="","",INDEX(Setup!$J$25:$J$84,B6)&amp;"")</f>
        <v/>
      </c>
      <c r="I6" s="32">
        <f>IF(B6="","",INDEX(Setup!$C$25:$C$84,B6))</f>
        <v/>
      </c>
      <c r="J6" s="32" t="n"/>
      <c r="K6" s="37" t="n"/>
      <c r="L6" s="38" t="n"/>
      <c r="M6" s="33" t="n"/>
      <c r="N6" s="33" t="n"/>
      <c r="O6" s="32" t="n"/>
      <c r="P6" s="34">
        <f>IF(A6="","",IF(K6&lt;&gt;"",K6,D6))</f>
        <v/>
      </c>
      <c r="Q6" s="36">
        <f>IF(A6="",0,IF(C6="✗",0,IF(OR(C6="✓",AND(Setup!$D$7="Yes",P6&lt;=TODAY())),IF(L6&lt;&gt;"",L6,F6),0)))</f>
        <v/>
      </c>
      <c r="R6" s="32">
        <f>IF(A6="","",IF(M6&lt;&gt;"",M6,G6))</f>
        <v/>
      </c>
      <c r="S6" s="32">
        <f>IF(A6="","",IF(N6&lt;&gt;"",N6,H6))</f>
        <v/>
      </c>
      <c r="T6" s="32">
        <f>IF(A6="","",IF(C6="✗","Skipped",IF(Q6&gt;0,"Paid","Upcoming")))</f>
        <v/>
      </c>
      <c r="U6" s="36">
        <f>IF(A6="",0,IF(C6="✗",0,IF(L6&lt;&gt;"",L6,F6)))</f>
        <v/>
      </c>
    </row>
    <row r="7">
      <c r="A7" s="39">
        <f>IFERROR(SMALL(Calc!$B$2:$BB$61,2),"")</f>
        <v/>
      </c>
      <c r="B7" s="39">
        <f>IF(A7="","",ROUND(MOD(A7,1)*1000,0))</f>
        <v/>
      </c>
      <c r="C7" s="33" t="n"/>
      <c r="D7" s="40">
        <f>IF(A7="","",INT(A7))</f>
        <v/>
      </c>
      <c r="E7" s="41">
        <f>IF(B7="","",INDEX(Setup!$D$25:$D$84,B7))</f>
        <v/>
      </c>
      <c r="F7" s="42">
        <f>IF(B7="","",INDEX(Setup!$E$25:$E$84,B7))</f>
        <v/>
      </c>
      <c r="G7" s="39">
        <f>IF(B7="","",INDEX(Setup!$I$25:$I$84,B7)&amp;"")</f>
        <v/>
      </c>
      <c r="H7" s="39">
        <f>IF(B7="","",INDEX(Setup!$J$25:$J$84,B7)&amp;"")</f>
        <v/>
      </c>
      <c r="I7" s="39">
        <f>IF(B7="","",INDEX(Setup!$C$25:$C$84,B7))</f>
        <v/>
      </c>
      <c r="J7" s="39" t="n"/>
      <c r="K7" s="37" t="n"/>
      <c r="L7" s="38" t="n"/>
      <c r="M7" s="33" t="n"/>
      <c r="N7" s="33" t="n"/>
      <c r="O7" s="39" t="n"/>
      <c r="P7" s="40">
        <f>IF(A7="","",IF(K7&lt;&gt;"",K7,D7))</f>
        <v/>
      </c>
      <c r="Q7" s="42">
        <f>IF(A7="",0,IF(C7="✗",0,IF(OR(C7="✓",AND(Setup!$D$7="Yes",P7&lt;=TODAY())),IF(L7&lt;&gt;"",L7,F7),0)))</f>
        <v/>
      </c>
      <c r="R7" s="39">
        <f>IF(A7="","",IF(M7&lt;&gt;"",M7,G7))</f>
        <v/>
      </c>
      <c r="S7" s="39">
        <f>IF(A7="","",IF(N7&lt;&gt;"",N7,H7))</f>
        <v/>
      </c>
      <c r="T7" s="39">
        <f>IF(A7="","",IF(C7="✗","Skipped",IF(Q7&gt;0,"Paid","Upcoming")))</f>
        <v/>
      </c>
      <c r="U7" s="42">
        <f>IF(A7="",0,IF(C7="✗",0,IF(L7&lt;&gt;"",L7,F7)))</f>
        <v/>
      </c>
    </row>
    <row r="8">
      <c r="A8" s="32">
        <f>IFERROR(SMALL(Calc!$B$2:$BB$61,3),"")</f>
        <v/>
      </c>
      <c r="B8" s="32">
        <f>IF(A8="","",ROUND(MOD(A8,1)*1000,0))</f>
        <v/>
      </c>
      <c r="C8" s="33" t="n"/>
      <c r="D8" s="34">
        <f>IF(A8="","",INT(A8))</f>
        <v/>
      </c>
      <c r="E8" s="35">
        <f>IF(B8="","",INDEX(Setup!$D$25:$D$84,B8))</f>
        <v/>
      </c>
      <c r="F8" s="36">
        <f>IF(B8="","",INDEX(Setup!$E$25:$E$84,B8))</f>
        <v/>
      </c>
      <c r="G8" s="32">
        <f>IF(B8="","",INDEX(Setup!$I$25:$I$84,B8)&amp;"")</f>
        <v/>
      </c>
      <c r="H8" s="32">
        <f>IF(B8="","",INDEX(Setup!$J$25:$J$84,B8)&amp;"")</f>
        <v/>
      </c>
      <c r="I8" s="32">
        <f>IF(B8="","",INDEX(Setup!$C$25:$C$84,B8))</f>
        <v/>
      </c>
      <c r="J8" s="32" t="n"/>
      <c r="K8" s="37" t="n"/>
      <c r="L8" s="38" t="n"/>
      <c r="M8" s="33" t="n"/>
      <c r="N8" s="33" t="n"/>
      <c r="O8" s="32" t="n"/>
      <c r="P8" s="34">
        <f>IF(A8="","",IF(K8&lt;&gt;"",K8,D8))</f>
        <v/>
      </c>
      <c r="Q8" s="36">
        <f>IF(A8="",0,IF(C8="✗",0,IF(OR(C8="✓",AND(Setup!$D$7="Yes",P8&lt;=TODAY())),IF(L8&lt;&gt;"",L8,F8),0)))</f>
        <v/>
      </c>
      <c r="R8" s="32">
        <f>IF(A8="","",IF(M8&lt;&gt;"",M8,G8))</f>
        <v/>
      </c>
      <c r="S8" s="32">
        <f>IF(A8="","",IF(N8&lt;&gt;"",N8,H8))</f>
        <v/>
      </c>
      <c r="T8" s="32">
        <f>IF(A8="","",IF(C8="✗","Skipped",IF(Q8&gt;0,"Paid","Upcoming")))</f>
        <v/>
      </c>
      <c r="U8" s="36">
        <f>IF(A8="",0,IF(C8="✗",0,IF(L8&lt;&gt;"",L8,F8)))</f>
        <v/>
      </c>
    </row>
    <row r="9">
      <c r="A9" s="39">
        <f>IFERROR(SMALL(Calc!$B$2:$BB$61,4),"")</f>
        <v/>
      </c>
      <c r="B9" s="39">
        <f>IF(A9="","",ROUND(MOD(A9,1)*1000,0))</f>
        <v/>
      </c>
      <c r="C9" s="33" t="n"/>
      <c r="D9" s="40">
        <f>IF(A9="","",INT(A9))</f>
        <v/>
      </c>
      <c r="E9" s="41">
        <f>IF(B9="","",INDEX(Setup!$D$25:$D$84,B9))</f>
        <v/>
      </c>
      <c r="F9" s="42">
        <f>IF(B9="","",INDEX(Setup!$E$25:$E$84,B9))</f>
        <v/>
      </c>
      <c r="G9" s="39">
        <f>IF(B9="","",INDEX(Setup!$I$25:$I$84,B9)&amp;"")</f>
        <v/>
      </c>
      <c r="H9" s="39">
        <f>IF(B9="","",INDEX(Setup!$J$25:$J$84,B9)&amp;"")</f>
        <v/>
      </c>
      <c r="I9" s="39">
        <f>IF(B9="","",INDEX(Setup!$C$25:$C$84,B9))</f>
        <v/>
      </c>
      <c r="J9" s="39" t="n"/>
      <c r="K9" s="37" t="n"/>
      <c r="L9" s="38" t="n"/>
      <c r="M9" s="33" t="n"/>
      <c r="N9" s="33" t="n"/>
      <c r="O9" s="39" t="n"/>
      <c r="P9" s="40">
        <f>IF(A9="","",IF(K9&lt;&gt;"",K9,D9))</f>
        <v/>
      </c>
      <c r="Q9" s="42">
        <f>IF(A9="",0,IF(C9="✗",0,IF(OR(C9="✓",AND(Setup!$D$7="Yes",P9&lt;=TODAY())),IF(L9&lt;&gt;"",L9,F9),0)))</f>
        <v/>
      </c>
      <c r="R9" s="39">
        <f>IF(A9="","",IF(M9&lt;&gt;"",M9,G9))</f>
        <v/>
      </c>
      <c r="S9" s="39">
        <f>IF(A9="","",IF(N9&lt;&gt;"",N9,H9))</f>
        <v/>
      </c>
      <c r="T9" s="39">
        <f>IF(A9="","",IF(C9="✗","Skipped",IF(Q9&gt;0,"Paid","Upcoming")))</f>
        <v/>
      </c>
      <c r="U9" s="42">
        <f>IF(A9="",0,IF(C9="✗",0,IF(L9&lt;&gt;"",L9,F9)))</f>
        <v/>
      </c>
    </row>
    <row r="10">
      <c r="A10" s="32">
        <f>IFERROR(SMALL(Calc!$B$2:$BB$61,5),"")</f>
        <v/>
      </c>
      <c r="B10" s="32">
        <f>IF(A10="","",ROUND(MOD(A10,1)*1000,0))</f>
        <v/>
      </c>
      <c r="C10" s="33" t="n"/>
      <c r="D10" s="34">
        <f>IF(A10="","",INT(A10))</f>
        <v/>
      </c>
      <c r="E10" s="35">
        <f>IF(B10="","",INDEX(Setup!$D$25:$D$84,B10))</f>
        <v/>
      </c>
      <c r="F10" s="36">
        <f>IF(B10="","",INDEX(Setup!$E$25:$E$84,B10))</f>
        <v/>
      </c>
      <c r="G10" s="32">
        <f>IF(B10="","",INDEX(Setup!$I$25:$I$84,B10)&amp;"")</f>
        <v/>
      </c>
      <c r="H10" s="32">
        <f>IF(B10="","",INDEX(Setup!$J$25:$J$84,B10)&amp;"")</f>
        <v/>
      </c>
      <c r="I10" s="32">
        <f>IF(B10="","",INDEX(Setup!$C$25:$C$84,B10))</f>
        <v/>
      </c>
      <c r="J10" s="32" t="n"/>
      <c r="K10" s="37" t="n"/>
      <c r="L10" s="38" t="n"/>
      <c r="M10" s="33" t="n"/>
      <c r="N10" s="33" t="n"/>
      <c r="O10" s="32" t="n"/>
      <c r="P10" s="34">
        <f>IF(A10="","",IF(K10&lt;&gt;"",K10,D10))</f>
        <v/>
      </c>
      <c r="Q10" s="36">
        <f>IF(A10="",0,IF(C10="✗",0,IF(OR(C10="✓",AND(Setup!$D$7="Yes",P10&lt;=TODAY())),IF(L10&lt;&gt;"",L10,F10),0)))</f>
        <v/>
      </c>
      <c r="R10" s="32">
        <f>IF(A10="","",IF(M10&lt;&gt;"",M10,G10))</f>
        <v/>
      </c>
      <c r="S10" s="32">
        <f>IF(A10="","",IF(N10&lt;&gt;"",N10,H10))</f>
        <v/>
      </c>
      <c r="T10" s="32">
        <f>IF(A10="","",IF(C10="✗","Skipped",IF(Q10&gt;0,"Paid","Upcoming")))</f>
        <v/>
      </c>
      <c r="U10" s="36">
        <f>IF(A10="",0,IF(C10="✗",0,IF(L10&lt;&gt;"",L10,F10)))</f>
        <v/>
      </c>
    </row>
    <row r="11">
      <c r="A11" s="39">
        <f>IFERROR(SMALL(Calc!$B$2:$BB$61,6),"")</f>
        <v/>
      </c>
      <c r="B11" s="39">
        <f>IF(A11="","",ROUND(MOD(A11,1)*1000,0))</f>
        <v/>
      </c>
      <c r="C11" s="33" t="n"/>
      <c r="D11" s="40">
        <f>IF(A11="","",INT(A11))</f>
        <v/>
      </c>
      <c r="E11" s="41">
        <f>IF(B11="","",INDEX(Setup!$D$25:$D$84,B11))</f>
        <v/>
      </c>
      <c r="F11" s="42">
        <f>IF(B11="","",INDEX(Setup!$E$25:$E$84,B11))</f>
        <v/>
      </c>
      <c r="G11" s="39">
        <f>IF(B11="","",INDEX(Setup!$I$25:$I$84,B11)&amp;"")</f>
        <v/>
      </c>
      <c r="H11" s="39">
        <f>IF(B11="","",INDEX(Setup!$J$25:$J$84,B11)&amp;"")</f>
        <v/>
      </c>
      <c r="I11" s="39">
        <f>IF(B11="","",INDEX(Setup!$C$25:$C$84,B11))</f>
        <v/>
      </c>
      <c r="J11" s="39" t="n"/>
      <c r="K11" s="37" t="n"/>
      <c r="L11" s="38" t="n"/>
      <c r="M11" s="33" t="n"/>
      <c r="N11" s="33" t="n"/>
      <c r="O11" s="39" t="n"/>
      <c r="P11" s="40">
        <f>IF(A11="","",IF(K11&lt;&gt;"",K11,D11))</f>
        <v/>
      </c>
      <c r="Q11" s="42">
        <f>IF(A11="",0,IF(C11="✗",0,IF(OR(C11="✓",AND(Setup!$D$7="Yes",P11&lt;=TODAY())),IF(L11&lt;&gt;"",L11,F11),0)))</f>
        <v/>
      </c>
      <c r="R11" s="39">
        <f>IF(A11="","",IF(M11&lt;&gt;"",M11,G11))</f>
        <v/>
      </c>
      <c r="S11" s="39">
        <f>IF(A11="","",IF(N11&lt;&gt;"",N11,H11))</f>
        <v/>
      </c>
      <c r="T11" s="39">
        <f>IF(A11="","",IF(C11="✗","Skipped",IF(Q11&gt;0,"Paid","Upcoming")))</f>
        <v/>
      </c>
      <c r="U11" s="42">
        <f>IF(A11="",0,IF(C11="✗",0,IF(L11&lt;&gt;"",L11,F11)))</f>
        <v/>
      </c>
    </row>
    <row r="12">
      <c r="A12" s="32">
        <f>IFERROR(SMALL(Calc!$B$2:$BB$61,7),"")</f>
        <v/>
      </c>
      <c r="B12" s="32">
        <f>IF(A12="","",ROUND(MOD(A12,1)*1000,0))</f>
        <v/>
      </c>
      <c r="C12" s="33" t="n"/>
      <c r="D12" s="34">
        <f>IF(A12="","",INT(A12))</f>
        <v/>
      </c>
      <c r="E12" s="35">
        <f>IF(B12="","",INDEX(Setup!$D$25:$D$84,B12))</f>
        <v/>
      </c>
      <c r="F12" s="36">
        <f>IF(B12="","",INDEX(Setup!$E$25:$E$84,B12))</f>
        <v/>
      </c>
      <c r="G12" s="32">
        <f>IF(B12="","",INDEX(Setup!$I$25:$I$84,B12)&amp;"")</f>
        <v/>
      </c>
      <c r="H12" s="32">
        <f>IF(B12="","",INDEX(Setup!$J$25:$J$84,B12)&amp;"")</f>
        <v/>
      </c>
      <c r="I12" s="32">
        <f>IF(B12="","",INDEX(Setup!$C$25:$C$84,B12))</f>
        <v/>
      </c>
      <c r="J12" s="32" t="n"/>
      <c r="K12" s="37" t="n"/>
      <c r="L12" s="38" t="n"/>
      <c r="M12" s="33" t="n"/>
      <c r="N12" s="33" t="n"/>
      <c r="O12" s="32" t="n"/>
      <c r="P12" s="34">
        <f>IF(A12="","",IF(K12&lt;&gt;"",K12,D12))</f>
        <v/>
      </c>
      <c r="Q12" s="36">
        <f>IF(A12="",0,IF(C12="✗",0,IF(OR(C12="✓",AND(Setup!$D$7="Yes",P12&lt;=TODAY())),IF(L12&lt;&gt;"",L12,F12),0)))</f>
        <v/>
      </c>
      <c r="R12" s="32">
        <f>IF(A12="","",IF(M12&lt;&gt;"",M12,G12))</f>
        <v/>
      </c>
      <c r="S12" s="32">
        <f>IF(A12="","",IF(N12&lt;&gt;"",N12,H12))</f>
        <v/>
      </c>
      <c r="T12" s="32">
        <f>IF(A12="","",IF(C12="✗","Skipped",IF(Q12&gt;0,"Paid","Upcoming")))</f>
        <v/>
      </c>
      <c r="U12" s="36">
        <f>IF(A12="",0,IF(C12="✗",0,IF(L12&lt;&gt;"",L12,F12)))</f>
        <v/>
      </c>
    </row>
    <row r="13">
      <c r="A13" s="39">
        <f>IFERROR(SMALL(Calc!$B$2:$BB$61,8),"")</f>
        <v/>
      </c>
      <c r="B13" s="39">
        <f>IF(A13="","",ROUND(MOD(A13,1)*1000,0))</f>
        <v/>
      </c>
      <c r="C13" s="33" t="n"/>
      <c r="D13" s="40">
        <f>IF(A13="","",INT(A13))</f>
        <v/>
      </c>
      <c r="E13" s="41">
        <f>IF(B13="","",INDEX(Setup!$D$25:$D$84,B13))</f>
        <v/>
      </c>
      <c r="F13" s="42">
        <f>IF(B13="","",INDEX(Setup!$E$25:$E$84,B13))</f>
        <v/>
      </c>
      <c r="G13" s="39">
        <f>IF(B13="","",INDEX(Setup!$I$25:$I$84,B13)&amp;"")</f>
        <v/>
      </c>
      <c r="H13" s="39">
        <f>IF(B13="","",INDEX(Setup!$J$25:$J$84,B13)&amp;"")</f>
        <v/>
      </c>
      <c r="I13" s="39">
        <f>IF(B13="","",INDEX(Setup!$C$25:$C$84,B13))</f>
        <v/>
      </c>
      <c r="J13" s="39" t="n"/>
      <c r="K13" s="37" t="n"/>
      <c r="L13" s="38" t="n"/>
      <c r="M13" s="33" t="n"/>
      <c r="N13" s="33" t="n"/>
      <c r="O13" s="39" t="n"/>
      <c r="P13" s="40">
        <f>IF(A13="","",IF(K13&lt;&gt;"",K13,D13))</f>
        <v/>
      </c>
      <c r="Q13" s="42">
        <f>IF(A13="",0,IF(C13="✗",0,IF(OR(C13="✓",AND(Setup!$D$7="Yes",P13&lt;=TODAY())),IF(L13&lt;&gt;"",L13,F13),0)))</f>
        <v/>
      </c>
      <c r="R13" s="39">
        <f>IF(A13="","",IF(M13&lt;&gt;"",M13,G13))</f>
        <v/>
      </c>
      <c r="S13" s="39">
        <f>IF(A13="","",IF(N13&lt;&gt;"",N13,H13))</f>
        <v/>
      </c>
      <c r="T13" s="39">
        <f>IF(A13="","",IF(C13="✗","Skipped",IF(Q13&gt;0,"Paid","Upcoming")))</f>
        <v/>
      </c>
      <c r="U13" s="42">
        <f>IF(A13="",0,IF(C13="✗",0,IF(L13&lt;&gt;"",L13,F13)))</f>
        <v/>
      </c>
    </row>
    <row r="14">
      <c r="A14" s="32">
        <f>IFERROR(SMALL(Calc!$B$2:$BB$61,9),"")</f>
        <v/>
      </c>
      <c r="B14" s="32">
        <f>IF(A14="","",ROUND(MOD(A14,1)*1000,0))</f>
        <v/>
      </c>
      <c r="C14" s="33" t="n"/>
      <c r="D14" s="34">
        <f>IF(A14="","",INT(A14))</f>
        <v/>
      </c>
      <c r="E14" s="35">
        <f>IF(B14="","",INDEX(Setup!$D$25:$D$84,B14))</f>
        <v/>
      </c>
      <c r="F14" s="36">
        <f>IF(B14="","",INDEX(Setup!$E$25:$E$84,B14))</f>
        <v/>
      </c>
      <c r="G14" s="32">
        <f>IF(B14="","",INDEX(Setup!$I$25:$I$84,B14)&amp;"")</f>
        <v/>
      </c>
      <c r="H14" s="32">
        <f>IF(B14="","",INDEX(Setup!$J$25:$J$84,B14)&amp;"")</f>
        <v/>
      </c>
      <c r="I14" s="32">
        <f>IF(B14="","",INDEX(Setup!$C$25:$C$84,B14))</f>
        <v/>
      </c>
      <c r="J14" s="32" t="n"/>
      <c r="K14" s="37" t="n"/>
      <c r="L14" s="38" t="n"/>
      <c r="M14" s="33" t="n"/>
      <c r="N14" s="33" t="n"/>
      <c r="O14" s="32" t="n"/>
      <c r="P14" s="34">
        <f>IF(A14="","",IF(K14&lt;&gt;"",K14,D14))</f>
        <v/>
      </c>
      <c r="Q14" s="36">
        <f>IF(A14="",0,IF(C14="✗",0,IF(OR(C14="✓",AND(Setup!$D$7="Yes",P14&lt;=TODAY())),IF(L14&lt;&gt;"",L14,F14),0)))</f>
        <v/>
      </c>
      <c r="R14" s="32">
        <f>IF(A14="","",IF(M14&lt;&gt;"",M14,G14))</f>
        <v/>
      </c>
      <c r="S14" s="32">
        <f>IF(A14="","",IF(N14&lt;&gt;"",N14,H14))</f>
        <v/>
      </c>
      <c r="T14" s="32">
        <f>IF(A14="","",IF(C14="✗","Skipped",IF(Q14&gt;0,"Paid","Upcoming")))</f>
        <v/>
      </c>
      <c r="U14" s="36">
        <f>IF(A14="",0,IF(C14="✗",0,IF(L14&lt;&gt;"",L14,F14)))</f>
        <v/>
      </c>
    </row>
    <row r="15">
      <c r="A15" s="39">
        <f>IFERROR(SMALL(Calc!$B$2:$BB$61,10),"")</f>
        <v/>
      </c>
      <c r="B15" s="39">
        <f>IF(A15="","",ROUND(MOD(A15,1)*1000,0))</f>
        <v/>
      </c>
      <c r="C15" s="33" t="n"/>
      <c r="D15" s="40">
        <f>IF(A15="","",INT(A15))</f>
        <v/>
      </c>
      <c r="E15" s="41">
        <f>IF(B15="","",INDEX(Setup!$D$25:$D$84,B15))</f>
        <v/>
      </c>
      <c r="F15" s="42">
        <f>IF(B15="","",INDEX(Setup!$E$25:$E$84,B15))</f>
        <v/>
      </c>
      <c r="G15" s="39">
        <f>IF(B15="","",INDEX(Setup!$I$25:$I$84,B15)&amp;"")</f>
        <v/>
      </c>
      <c r="H15" s="39">
        <f>IF(B15="","",INDEX(Setup!$J$25:$J$84,B15)&amp;"")</f>
        <v/>
      </c>
      <c r="I15" s="39">
        <f>IF(B15="","",INDEX(Setup!$C$25:$C$84,B15))</f>
        <v/>
      </c>
      <c r="J15" s="39" t="n"/>
      <c r="K15" s="37" t="n"/>
      <c r="L15" s="38" t="n"/>
      <c r="M15" s="33" t="n"/>
      <c r="N15" s="33" t="n"/>
      <c r="O15" s="39" t="n"/>
      <c r="P15" s="40">
        <f>IF(A15="","",IF(K15&lt;&gt;"",K15,D15))</f>
        <v/>
      </c>
      <c r="Q15" s="42">
        <f>IF(A15="",0,IF(C15="✗",0,IF(OR(C15="✓",AND(Setup!$D$7="Yes",P15&lt;=TODAY())),IF(L15&lt;&gt;"",L15,F15),0)))</f>
        <v/>
      </c>
      <c r="R15" s="39">
        <f>IF(A15="","",IF(M15&lt;&gt;"",M15,G15))</f>
        <v/>
      </c>
      <c r="S15" s="39">
        <f>IF(A15="","",IF(N15&lt;&gt;"",N15,H15))</f>
        <v/>
      </c>
      <c r="T15" s="39">
        <f>IF(A15="","",IF(C15="✗","Skipped",IF(Q15&gt;0,"Paid","Upcoming")))</f>
        <v/>
      </c>
      <c r="U15" s="42">
        <f>IF(A15="",0,IF(C15="✗",0,IF(L15&lt;&gt;"",L15,F15)))</f>
        <v/>
      </c>
    </row>
    <row r="16">
      <c r="A16" s="32">
        <f>IFERROR(SMALL(Calc!$B$2:$BB$61,11),"")</f>
        <v/>
      </c>
      <c r="B16" s="32">
        <f>IF(A16="","",ROUND(MOD(A16,1)*1000,0))</f>
        <v/>
      </c>
      <c r="C16" s="33" t="n"/>
      <c r="D16" s="34">
        <f>IF(A16="","",INT(A16))</f>
        <v/>
      </c>
      <c r="E16" s="35">
        <f>IF(B16="","",INDEX(Setup!$D$25:$D$84,B16))</f>
        <v/>
      </c>
      <c r="F16" s="36">
        <f>IF(B16="","",INDEX(Setup!$E$25:$E$84,B16))</f>
        <v/>
      </c>
      <c r="G16" s="32">
        <f>IF(B16="","",INDEX(Setup!$I$25:$I$84,B16)&amp;"")</f>
        <v/>
      </c>
      <c r="H16" s="32">
        <f>IF(B16="","",INDEX(Setup!$J$25:$J$84,B16)&amp;"")</f>
        <v/>
      </c>
      <c r="I16" s="32">
        <f>IF(B16="","",INDEX(Setup!$C$25:$C$84,B16))</f>
        <v/>
      </c>
      <c r="J16" s="32" t="n"/>
      <c r="K16" s="37" t="n"/>
      <c r="L16" s="38" t="n"/>
      <c r="M16" s="33" t="n"/>
      <c r="N16" s="33" t="n"/>
      <c r="O16" s="32" t="n"/>
      <c r="P16" s="34">
        <f>IF(A16="","",IF(K16&lt;&gt;"",K16,D16))</f>
        <v/>
      </c>
      <c r="Q16" s="36">
        <f>IF(A16="",0,IF(C16="✗",0,IF(OR(C16="✓",AND(Setup!$D$7="Yes",P16&lt;=TODAY())),IF(L16&lt;&gt;"",L16,F16),0)))</f>
        <v/>
      </c>
      <c r="R16" s="32">
        <f>IF(A16="","",IF(M16&lt;&gt;"",M16,G16))</f>
        <v/>
      </c>
      <c r="S16" s="32">
        <f>IF(A16="","",IF(N16&lt;&gt;"",N16,H16))</f>
        <v/>
      </c>
      <c r="T16" s="32">
        <f>IF(A16="","",IF(C16="✗","Skipped",IF(Q16&gt;0,"Paid","Upcoming")))</f>
        <v/>
      </c>
      <c r="U16" s="36">
        <f>IF(A16="",0,IF(C16="✗",0,IF(L16&lt;&gt;"",L16,F16)))</f>
        <v/>
      </c>
    </row>
    <row r="17">
      <c r="A17" s="39">
        <f>IFERROR(SMALL(Calc!$B$2:$BB$61,12),"")</f>
        <v/>
      </c>
      <c r="B17" s="39">
        <f>IF(A17="","",ROUND(MOD(A17,1)*1000,0))</f>
        <v/>
      </c>
      <c r="C17" s="33" t="n"/>
      <c r="D17" s="40">
        <f>IF(A17="","",INT(A17))</f>
        <v/>
      </c>
      <c r="E17" s="41">
        <f>IF(B17="","",INDEX(Setup!$D$25:$D$84,B17))</f>
        <v/>
      </c>
      <c r="F17" s="42">
        <f>IF(B17="","",INDEX(Setup!$E$25:$E$84,B17))</f>
        <v/>
      </c>
      <c r="G17" s="39">
        <f>IF(B17="","",INDEX(Setup!$I$25:$I$84,B17)&amp;"")</f>
        <v/>
      </c>
      <c r="H17" s="39">
        <f>IF(B17="","",INDEX(Setup!$J$25:$J$84,B17)&amp;"")</f>
        <v/>
      </c>
      <c r="I17" s="39">
        <f>IF(B17="","",INDEX(Setup!$C$25:$C$84,B17))</f>
        <v/>
      </c>
      <c r="J17" s="39" t="n"/>
      <c r="K17" s="37" t="n"/>
      <c r="L17" s="38" t="n"/>
      <c r="M17" s="33" t="n"/>
      <c r="N17" s="33" t="n"/>
      <c r="O17" s="39" t="n"/>
      <c r="P17" s="40">
        <f>IF(A17="","",IF(K17&lt;&gt;"",K17,D17))</f>
        <v/>
      </c>
      <c r="Q17" s="42">
        <f>IF(A17="",0,IF(C17="✗",0,IF(OR(C17="✓",AND(Setup!$D$7="Yes",P17&lt;=TODAY())),IF(L17&lt;&gt;"",L17,F17),0)))</f>
        <v/>
      </c>
      <c r="R17" s="39">
        <f>IF(A17="","",IF(M17&lt;&gt;"",M17,G17))</f>
        <v/>
      </c>
      <c r="S17" s="39">
        <f>IF(A17="","",IF(N17&lt;&gt;"",N17,H17))</f>
        <v/>
      </c>
      <c r="T17" s="39">
        <f>IF(A17="","",IF(C17="✗","Skipped",IF(Q17&gt;0,"Paid","Upcoming")))</f>
        <v/>
      </c>
      <c r="U17" s="42">
        <f>IF(A17="",0,IF(C17="✗",0,IF(L17&lt;&gt;"",L17,F17)))</f>
        <v/>
      </c>
    </row>
    <row r="18">
      <c r="A18" s="32">
        <f>IFERROR(SMALL(Calc!$B$2:$BB$61,13),"")</f>
        <v/>
      </c>
      <c r="B18" s="32">
        <f>IF(A18="","",ROUND(MOD(A18,1)*1000,0))</f>
        <v/>
      </c>
      <c r="C18" s="33" t="n"/>
      <c r="D18" s="34">
        <f>IF(A18="","",INT(A18))</f>
        <v/>
      </c>
      <c r="E18" s="35">
        <f>IF(B18="","",INDEX(Setup!$D$25:$D$84,B18))</f>
        <v/>
      </c>
      <c r="F18" s="36">
        <f>IF(B18="","",INDEX(Setup!$E$25:$E$84,B18))</f>
        <v/>
      </c>
      <c r="G18" s="32">
        <f>IF(B18="","",INDEX(Setup!$I$25:$I$84,B18)&amp;"")</f>
        <v/>
      </c>
      <c r="H18" s="32">
        <f>IF(B18="","",INDEX(Setup!$J$25:$J$84,B18)&amp;"")</f>
        <v/>
      </c>
      <c r="I18" s="32">
        <f>IF(B18="","",INDEX(Setup!$C$25:$C$84,B18))</f>
        <v/>
      </c>
      <c r="J18" s="32" t="n"/>
      <c r="K18" s="37" t="n"/>
      <c r="L18" s="38" t="n"/>
      <c r="M18" s="33" t="n"/>
      <c r="N18" s="33" t="n"/>
      <c r="O18" s="32" t="n"/>
      <c r="P18" s="34">
        <f>IF(A18="","",IF(K18&lt;&gt;"",K18,D18))</f>
        <v/>
      </c>
      <c r="Q18" s="36">
        <f>IF(A18="",0,IF(C18="✗",0,IF(OR(C18="✓",AND(Setup!$D$7="Yes",P18&lt;=TODAY())),IF(L18&lt;&gt;"",L18,F18),0)))</f>
        <v/>
      </c>
      <c r="R18" s="32">
        <f>IF(A18="","",IF(M18&lt;&gt;"",M18,G18))</f>
        <v/>
      </c>
      <c r="S18" s="32">
        <f>IF(A18="","",IF(N18&lt;&gt;"",N18,H18))</f>
        <v/>
      </c>
      <c r="T18" s="32">
        <f>IF(A18="","",IF(C18="✗","Skipped",IF(Q18&gt;0,"Paid","Upcoming")))</f>
        <v/>
      </c>
      <c r="U18" s="36">
        <f>IF(A18="",0,IF(C18="✗",0,IF(L18&lt;&gt;"",L18,F18)))</f>
        <v/>
      </c>
    </row>
    <row r="19">
      <c r="A19" s="39">
        <f>IFERROR(SMALL(Calc!$B$2:$BB$61,14),"")</f>
        <v/>
      </c>
      <c r="B19" s="39">
        <f>IF(A19="","",ROUND(MOD(A19,1)*1000,0))</f>
        <v/>
      </c>
      <c r="C19" s="33" t="n"/>
      <c r="D19" s="40">
        <f>IF(A19="","",INT(A19))</f>
        <v/>
      </c>
      <c r="E19" s="41">
        <f>IF(B19="","",INDEX(Setup!$D$25:$D$84,B19))</f>
        <v/>
      </c>
      <c r="F19" s="42">
        <f>IF(B19="","",INDEX(Setup!$E$25:$E$84,B19))</f>
        <v/>
      </c>
      <c r="G19" s="39">
        <f>IF(B19="","",INDEX(Setup!$I$25:$I$84,B19)&amp;"")</f>
        <v/>
      </c>
      <c r="H19" s="39">
        <f>IF(B19="","",INDEX(Setup!$J$25:$J$84,B19)&amp;"")</f>
        <v/>
      </c>
      <c r="I19" s="39">
        <f>IF(B19="","",INDEX(Setup!$C$25:$C$84,B19))</f>
        <v/>
      </c>
      <c r="J19" s="39" t="n"/>
      <c r="K19" s="37" t="n"/>
      <c r="L19" s="38" t="n"/>
      <c r="M19" s="33" t="n"/>
      <c r="N19" s="33" t="n"/>
      <c r="O19" s="39" t="n"/>
      <c r="P19" s="40">
        <f>IF(A19="","",IF(K19&lt;&gt;"",K19,D19))</f>
        <v/>
      </c>
      <c r="Q19" s="42">
        <f>IF(A19="",0,IF(C19="✗",0,IF(OR(C19="✓",AND(Setup!$D$7="Yes",P19&lt;=TODAY())),IF(L19&lt;&gt;"",L19,F19),0)))</f>
        <v/>
      </c>
      <c r="R19" s="39">
        <f>IF(A19="","",IF(M19&lt;&gt;"",M19,G19))</f>
        <v/>
      </c>
      <c r="S19" s="39">
        <f>IF(A19="","",IF(N19&lt;&gt;"",N19,H19))</f>
        <v/>
      </c>
      <c r="T19" s="39">
        <f>IF(A19="","",IF(C19="✗","Skipped",IF(Q19&gt;0,"Paid","Upcoming")))</f>
        <v/>
      </c>
      <c r="U19" s="42">
        <f>IF(A19="",0,IF(C19="✗",0,IF(L19&lt;&gt;"",L19,F19)))</f>
        <v/>
      </c>
    </row>
    <row r="20">
      <c r="A20" s="32">
        <f>IFERROR(SMALL(Calc!$B$2:$BB$61,15),"")</f>
        <v/>
      </c>
      <c r="B20" s="32">
        <f>IF(A20="","",ROUND(MOD(A20,1)*1000,0))</f>
        <v/>
      </c>
      <c r="C20" s="33" t="n"/>
      <c r="D20" s="34">
        <f>IF(A20="","",INT(A20))</f>
        <v/>
      </c>
      <c r="E20" s="35">
        <f>IF(B20="","",INDEX(Setup!$D$25:$D$84,B20))</f>
        <v/>
      </c>
      <c r="F20" s="36">
        <f>IF(B20="","",INDEX(Setup!$E$25:$E$84,B20))</f>
        <v/>
      </c>
      <c r="G20" s="32">
        <f>IF(B20="","",INDEX(Setup!$I$25:$I$84,B20)&amp;"")</f>
        <v/>
      </c>
      <c r="H20" s="32">
        <f>IF(B20="","",INDEX(Setup!$J$25:$J$84,B20)&amp;"")</f>
        <v/>
      </c>
      <c r="I20" s="32">
        <f>IF(B20="","",INDEX(Setup!$C$25:$C$84,B20))</f>
        <v/>
      </c>
      <c r="J20" s="32" t="n"/>
      <c r="K20" s="37" t="n"/>
      <c r="L20" s="38" t="n"/>
      <c r="M20" s="33" t="n"/>
      <c r="N20" s="33" t="n"/>
      <c r="O20" s="32" t="n"/>
      <c r="P20" s="34">
        <f>IF(A20="","",IF(K20&lt;&gt;"",K20,D20))</f>
        <v/>
      </c>
      <c r="Q20" s="36">
        <f>IF(A20="",0,IF(C20="✗",0,IF(OR(C20="✓",AND(Setup!$D$7="Yes",P20&lt;=TODAY())),IF(L20&lt;&gt;"",L20,F20),0)))</f>
        <v/>
      </c>
      <c r="R20" s="32">
        <f>IF(A20="","",IF(M20&lt;&gt;"",M20,G20))</f>
        <v/>
      </c>
      <c r="S20" s="32">
        <f>IF(A20="","",IF(N20&lt;&gt;"",N20,H20))</f>
        <v/>
      </c>
      <c r="T20" s="32">
        <f>IF(A20="","",IF(C20="✗","Skipped",IF(Q20&gt;0,"Paid","Upcoming")))</f>
        <v/>
      </c>
      <c r="U20" s="36">
        <f>IF(A20="",0,IF(C20="✗",0,IF(L20&lt;&gt;"",L20,F20)))</f>
        <v/>
      </c>
    </row>
    <row r="21">
      <c r="A21" s="39">
        <f>IFERROR(SMALL(Calc!$B$2:$BB$61,16),"")</f>
        <v/>
      </c>
      <c r="B21" s="39">
        <f>IF(A21="","",ROUND(MOD(A21,1)*1000,0))</f>
        <v/>
      </c>
      <c r="C21" s="33" t="n"/>
      <c r="D21" s="40">
        <f>IF(A21="","",INT(A21))</f>
        <v/>
      </c>
      <c r="E21" s="41">
        <f>IF(B21="","",INDEX(Setup!$D$25:$D$84,B21))</f>
        <v/>
      </c>
      <c r="F21" s="42">
        <f>IF(B21="","",INDEX(Setup!$E$25:$E$84,B21))</f>
        <v/>
      </c>
      <c r="G21" s="39">
        <f>IF(B21="","",INDEX(Setup!$I$25:$I$84,B21)&amp;"")</f>
        <v/>
      </c>
      <c r="H21" s="39">
        <f>IF(B21="","",INDEX(Setup!$J$25:$J$84,B21)&amp;"")</f>
        <v/>
      </c>
      <c r="I21" s="39">
        <f>IF(B21="","",INDEX(Setup!$C$25:$C$84,B21))</f>
        <v/>
      </c>
      <c r="J21" s="39" t="n"/>
      <c r="K21" s="37" t="n"/>
      <c r="L21" s="38" t="n"/>
      <c r="M21" s="33" t="n"/>
      <c r="N21" s="33" t="n"/>
      <c r="O21" s="39" t="n"/>
      <c r="P21" s="40">
        <f>IF(A21="","",IF(K21&lt;&gt;"",K21,D21))</f>
        <v/>
      </c>
      <c r="Q21" s="42">
        <f>IF(A21="",0,IF(C21="✗",0,IF(OR(C21="✓",AND(Setup!$D$7="Yes",P21&lt;=TODAY())),IF(L21&lt;&gt;"",L21,F21),0)))</f>
        <v/>
      </c>
      <c r="R21" s="39">
        <f>IF(A21="","",IF(M21&lt;&gt;"",M21,G21))</f>
        <v/>
      </c>
      <c r="S21" s="39">
        <f>IF(A21="","",IF(N21&lt;&gt;"",N21,H21))</f>
        <v/>
      </c>
      <c r="T21" s="39">
        <f>IF(A21="","",IF(C21="✗","Skipped",IF(Q21&gt;0,"Paid","Upcoming")))</f>
        <v/>
      </c>
      <c r="U21" s="42">
        <f>IF(A21="",0,IF(C21="✗",0,IF(L21&lt;&gt;"",L21,F21)))</f>
        <v/>
      </c>
    </row>
    <row r="22">
      <c r="A22" s="32">
        <f>IFERROR(SMALL(Calc!$B$2:$BB$61,17),"")</f>
        <v/>
      </c>
      <c r="B22" s="32">
        <f>IF(A22="","",ROUND(MOD(A22,1)*1000,0))</f>
        <v/>
      </c>
      <c r="C22" s="33" t="n"/>
      <c r="D22" s="34">
        <f>IF(A22="","",INT(A22))</f>
        <v/>
      </c>
      <c r="E22" s="35">
        <f>IF(B22="","",INDEX(Setup!$D$25:$D$84,B22))</f>
        <v/>
      </c>
      <c r="F22" s="36">
        <f>IF(B22="","",INDEX(Setup!$E$25:$E$84,B22))</f>
        <v/>
      </c>
      <c r="G22" s="32">
        <f>IF(B22="","",INDEX(Setup!$I$25:$I$84,B22)&amp;"")</f>
        <v/>
      </c>
      <c r="H22" s="32">
        <f>IF(B22="","",INDEX(Setup!$J$25:$J$84,B22)&amp;"")</f>
        <v/>
      </c>
      <c r="I22" s="32">
        <f>IF(B22="","",INDEX(Setup!$C$25:$C$84,B22))</f>
        <v/>
      </c>
      <c r="J22" s="32" t="n"/>
      <c r="K22" s="37" t="n"/>
      <c r="L22" s="38" t="n"/>
      <c r="M22" s="33" t="n"/>
      <c r="N22" s="33" t="n"/>
      <c r="O22" s="32" t="n"/>
      <c r="P22" s="34">
        <f>IF(A22="","",IF(K22&lt;&gt;"",K22,D22))</f>
        <v/>
      </c>
      <c r="Q22" s="36">
        <f>IF(A22="",0,IF(C22="✗",0,IF(OR(C22="✓",AND(Setup!$D$7="Yes",P22&lt;=TODAY())),IF(L22&lt;&gt;"",L22,F22),0)))</f>
        <v/>
      </c>
      <c r="R22" s="32">
        <f>IF(A22="","",IF(M22&lt;&gt;"",M22,G22))</f>
        <v/>
      </c>
      <c r="S22" s="32">
        <f>IF(A22="","",IF(N22&lt;&gt;"",N22,H22))</f>
        <v/>
      </c>
      <c r="T22" s="32">
        <f>IF(A22="","",IF(C22="✗","Skipped",IF(Q22&gt;0,"Paid","Upcoming")))</f>
        <v/>
      </c>
      <c r="U22" s="36">
        <f>IF(A22="",0,IF(C22="✗",0,IF(L22&lt;&gt;"",L22,F22)))</f>
        <v/>
      </c>
    </row>
    <row r="23">
      <c r="A23" s="39">
        <f>IFERROR(SMALL(Calc!$B$2:$BB$61,18),"")</f>
        <v/>
      </c>
      <c r="B23" s="39">
        <f>IF(A23="","",ROUND(MOD(A23,1)*1000,0))</f>
        <v/>
      </c>
      <c r="C23" s="33" t="n"/>
      <c r="D23" s="40">
        <f>IF(A23="","",INT(A23))</f>
        <v/>
      </c>
      <c r="E23" s="41">
        <f>IF(B23="","",INDEX(Setup!$D$25:$D$84,B23))</f>
        <v/>
      </c>
      <c r="F23" s="42">
        <f>IF(B23="","",INDEX(Setup!$E$25:$E$84,B23))</f>
        <v/>
      </c>
      <c r="G23" s="39">
        <f>IF(B23="","",INDEX(Setup!$I$25:$I$84,B23)&amp;"")</f>
        <v/>
      </c>
      <c r="H23" s="39">
        <f>IF(B23="","",INDEX(Setup!$J$25:$J$84,B23)&amp;"")</f>
        <v/>
      </c>
      <c r="I23" s="39">
        <f>IF(B23="","",INDEX(Setup!$C$25:$C$84,B23))</f>
        <v/>
      </c>
      <c r="J23" s="39" t="n"/>
      <c r="K23" s="37" t="n"/>
      <c r="L23" s="38" t="n"/>
      <c r="M23" s="33" t="n"/>
      <c r="N23" s="33" t="n"/>
      <c r="O23" s="39" t="n"/>
      <c r="P23" s="40">
        <f>IF(A23="","",IF(K23&lt;&gt;"",K23,D23))</f>
        <v/>
      </c>
      <c r="Q23" s="42">
        <f>IF(A23="",0,IF(C23="✗",0,IF(OR(C23="✓",AND(Setup!$D$7="Yes",P23&lt;=TODAY())),IF(L23&lt;&gt;"",L23,F23),0)))</f>
        <v/>
      </c>
      <c r="R23" s="39">
        <f>IF(A23="","",IF(M23&lt;&gt;"",M23,G23))</f>
        <v/>
      </c>
      <c r="S23" s="39">
        <f>IF(A23="","",IF(N23&lt;&gt;"",N23,H23))</f>
        <v/>
      </c>
      <c r="T23" s="39">
        <f>IF(A23="","",IF(C23="✗","Skipped",IF(Q23&gt;0,"Paid","Upcoming")))</f>
        <v/>
      </c>
      <c r="U23" s="42">
        <f>IF(A23="",0,IF(C23="✗",0,IF(L23&lt;&gt;"",L23,F23)))</f>
        <v/>
      </c>
    </row>
    <row r="24">
      <c r="A24" s="32">
        <f>IFERROR(SMALL(Calc!$B$2:$BB$61,19),"")</f>
        <v/>
      </c>
      <c r="B24" s="32">
        <f>IF(A24="","",ROUND(MOD(A24,1)*1000,0))</f>
        <v/>
      </c>
      <c r="C24" s="33" t="n"/>
      <c r="D24" s="34">
        <f>IF(A24="","",INT(A24))</f>
        <v/>
      </c>
      <c r="E24" s="35">
        <f>IF(B24="","",INDEX(Setup!$D$25:$D$84,B24))</f>
        <v/>
      </c>
      <c r="F24" s="36">
        <f>IF(B24="","",INDEX(Setup!$E$25:$E$84,B24))</f>
        <v/>
      </c>
      <c r="G24" s="32">
        <f>IF(B24="","",INDEX(Setup!$I$25:$I$84,B24)&amp;"")</f>
        <v/>
      </c>
      <c r="H24" s="32">
        <f>IF(B24="","",INDEX(Setup!$J$25:$J$84,B24)&amp;"")</f>
        <v/>
      </c>
      <c r="I24" s="32">
        <f>IF(B24="","",INDEX(Setup!$C$25:$C$84,B24))</f>
        <v/>
      </c>
      <c r="J24" s="32" t="n"/>
      <c r="K24" s="37" t="n"/>
      <c r="L24" s="38" t="n"/>
      <c r="M24" s="33" t="n"/>
      <c r="N24" s="33" t="n"/>
      <c r="O24" s="32" t="n"/>
      <c r="P24" s="34">
        <f>IF(A24="","",IF(K24&lt;&gt;"",K24,D24))</f>
        <v/>
      </c>
      <c r="Q24" s="36">
        <f>IF(A24="",0,IF(C24="✗",0,IF(OR(C24="✓",AND(Setup!$D$7="Yes",P24&lt;=TODAY())),IF(L24&lt;&gt;"",L24,F24),0)))</f>
        <v/>
      </c>
      <c r="R24" s="32">
        <f>IF(A24="","",IF(M24&lt;&gt;"",M24,G24))</f>
        <v/>
      </c>
      <c r="S24" s="32">
        <f>IF(A24="","",IF(N24&lt;&gt;"",N24,H24))</f>
        <v/>
      </c>
      <c r="T24" s="32">
        <f>IF(A24="","",IF(C24="✗","Skipped",IF(Q24&gt;0,"Paid","Upcoming")))</f>
        <v/>
      </c>
      <c r="U24" s="36">
        <f>IF(A24="",0,IF(C24="✗",0,IF(L24&lt;&gt;"",L24,F24)))</f>
        <v/>
      </c>
    </row>
    <row r="25">
      <c r="A25" s="39">
        <f>IFERROR(SMALL(Calc!$B$2:$BB$61,20),"")</f>
        <v/>
      </c>
      <c r="B25" s="39">
        <f>IF(A25="","",ROUND(MOD(A25,1)*1000,0))</f>
        <v/>
      </c>
      <c r="C25" s="33" t="n"/>
      <c r="D25" s="40">
        <f>IF(A25="","",INT(A25))</f>
        <v/>
      </c>
      <c r="E25" s="41">
        <f>IF(B25="","",INDEX(Setup!$D$25:$D$84,B25))</f>
        <v/>
      </c>
      <c r="F25" s="42">
        <f>IF(B25="","",INDEX(Setup!$E$25:$E$84,B25))</f>
        <v/>
      </c>
      <c r="G25" s="39">
        <f>IF(B25="","",INDEX(Setup!$I$25:$I$84,B25)&amp;"")</f>
        <v/>
      </c>
      <c r="H25" s="39">
        <f>IF(B25="","",INDEX(Setup!$J$25:$J$84,B25)&amp;"")</f>
        <v/>
      </c>
      <c r="I25" s="39">
        <f>IF(B25="","",INDEX(Setup!$C$25:$C$84,B25))</f>
        <v/>
      </c>
      <c r="J25" s="39" t="n"/>
      <c r="K25" s="37" t="n"/>
      <c r="L25" s="38" t="n"/>
      <c r="M25" s="33" t="n"/>
      <c r="N25" s="33" t="n"/>
      <c r="O25" s="39" t="n"/>
      <c r="P25" s="40">
        <f>IF(A25="","",IF(K25&lt;&gt;"",K25,D25))</f>
        <v/>
      </c>
      <c r="Q25" s="42">
        <f>IF(A25="",0,IF(C25="✗",0,IF(OR(C25="✓",AND(Setup!$D$7="Yes",P25&lt;=TODAY())),IF(L25&lt;&gt;"",L25,F25),0)))</f>
        <v/>
      </c>
      <c r="R25" s="39">
        <f>IF(A25="","",IF(M25&lt;&gt;"",M25,G25))</f>
        <v/>
      </c>
      <c r="S25" s="39">
        <f>IF(A25="","",IF(N25&lt;&gt;"",N25,H25))</f>
        <v/>
      </c>
      <c r="T25" s="39">
        <f>IF(A25="","",IF(C25="✗","Skipped",IF(Q25&gt;0,"Paid","Upcoming")))</f>
        <v/>
      </c>
      <c r="U25" s="42">
        <f>IF(A25="",0,IF(C25="✗",0,IF(L25&lt;&gt;"",L25,F25)))</f>
        <v/>
      </c>
    </row>
    <row r="26">
      <c r="A26" s="32">
        <f>IFERROR(SMALL(Calc!$B$2:$BB$61,21),"")</f>
        <v/>
      </c>
      <c r="B26" s="32">
        <f>IF(A26="","",ROUND(MOD(A26,1)*1000,0))</f>
        <v/>
      </c>
      <c r="C26" s="33" t="n"/>
      <c r="D26" s="34">
        <f>IF(A26="","",INT(A26))</f>
        <v/>
      </c>
      <c r="E26" s="35">
        <f>IF(B26="","",INDEX(Setup!$D$25:$D$84,B26))</f>
        <v/>
      </c>
      <c r="F26" s="36">
        <f>IF(B26="","",INDEX(Setup!$E$25:$E$84,B26))</f>
        <v/>
      </c>
      <c r="G26" s="32">
        <f>IF(B26="","",INDEX(Setup!$I$25:$I$84,B26)&amp;"")</f>
        <v/>
      </c>
      <c r="H26" s="32">
        <f>IF(B26="","",INDEX(Setup!$J$25:$J$84,B26)&amp;"")</f>
        <v/>
      </c>
      <c r="I26" s="32">
        <f>IF(B26="","",INDEX(Setup!$C$25:$C$84,B26))</f>
        <v/>
      </c>
      <c r="J26" s="32" t="n"/>
      <c r="K26" s="37" t="n"/>
      <c r="L26" s="38" t="n"/>
      <c r="M26" s="33" t="n"/>
      <c r="N26" s="33" t="n"/>
      <c r="O26" s="32" t="n"/>
      <c r="P26" s="34">
        <f>IF(A26="","",IF(K26&lt;&gt;"",K26,D26))</f>
        <v/>
      </c>
      <c r="Q26" s="36">
        <f>IF(A26="",0,IF(C26="✗",0,IF(OR(C26="✓",AND(Setup!$D$7="Yes",P26&lt;=TODAY())),IF(L26&lt;&gt;"",L26,F26),0)))</f>
        <v/>
      </c>
      <c r="R26" s="32">
        <f>IF(A26="","",IF(M26&lt;&gt;"",M26,G26))</f>
        <v/>
      </c>
      <c r="S26" s="32">
        <f>IF(A26="","",IF(N26&lt;&gt;"",N26,H26))</f>
        <v/>
      </c>
      <c r="T26" s="32">
        <f>IF(A26="","",IF(C26="✗","Skipped",IF(Q26&gt;0,"Paid","Upcoming")))</f>
        <v/>
      </c>
      <c r="U26" s="36">
        <f>IF(A26="",0,IF(C26="✗",0,IF(L26&lt;&gt;"",L26,F26)))</f>
        <v/>
      </c>
    </row>
    <row r="27">
      <c r="A27" s="39">
        <f>IFERROR(SMALL(Calc!$B$2:$BB$61,22),"")</f>
        <v/>
      </c>
      <c r="B27" s="39">
        <f>IF(A27="","",ROUND(MOD(A27,1)*1000,0))</f>
        <v/>
      </c>
      <c r="C27" s="33" t="n"/>
      <c r="D27" s="40">
        <f>IF(A27="","",INT(A27))</f>
        <v/>
      </c>
      <c r="E27" s="41">
        <f>IF(B27="","",INDEX(Setup!$D$25:$D$84,B27))</f>
        <v/>
      </c>
      <c r="F27" s="42">
        <f>IF(B27="","",INDEX(Setup!$E$25:$E$84,B27))</f>
        <v/>
      </c>
      <c r="G27" s="39">
        <f>IF(B27="","",INDEX(Setup!$I$25:$I$84,B27)&amp;"")</f>
        <v/>
      </c>
      <c r="H27" s="39">
        <f>IF(B27="","",INDEX(Setup!$J$25:$J$84,B27)&amp;"")</f>
        <v/>
      </c>
      <c r="I27" s="39">
        <f>IF(B27="","",INDEX(Setup!$C$25:$C$84,B27))</f>
        <v/>
      </c>
      <c r="J27" s="39" t="n"/>
      <c r="K27" s="37" t="n"/>
      <c r="L27" s="38" t="n"/>
      <c r="M27" s="33" t="n"/>
      <c r="N27" s="33" t="n"/>
      <c r="O27" s="39" t="n"/>
      <c r="P27" s="40">
        <f>IF(A27="","",IF(K27&lt;&gt;"",K27,D27))</f>
        <v/>
      </c>
      <c r="Q27" s="42">
        <f>IF(A27="",0,IF(C27="✗",0,IF(OR(C27="✓",AND(Setup!$D$7="Yes",P27&lt;=TODAY())),IF(L27&lt;&gt;"",L27,F27),0)))</f>
        <v/>
      </c>
      <c r="R27" s="39">
        <f>IF(A27="","",IF(M27&lt;&gt;"",M27,G27))</f>
        <v/>
      </c>
      <c r="S27" s="39">
        <f>IF(A27="","",IF(N27&lt;&gt;"",N27,H27))</f>
        <v/>
      </c>
      <c r="T27" s="39">
        <f>IF(A27="","",IF(C27="✗","Skipped",IF(Q27&gt;0,"Paid","Upcoming")))</f>
        <v/>
      </c>
      <c r="U27" s="42">
        <f>IF(A27="",0,IF(C27="✗",0,IF(L27&lt;&gt;"",L27,F27)))</f>
        <v/>
      </c>
    </row>
    <row r="28">
      <c r="A28" s="32">
        <f>IFERROR(SMALL(Calc!$B$2:$BB$61,23),"")</f>
        <v/>
      </c>
      <c r="B28" s="32">
        <f>IF(A28="","",ROUND(MOD(A28,1)*1000,0))</f>
        <v/>
      </c>
      <c r="C28" s="33" t="n"/>
      <c r="D28" s="34">
        <f>IF(A28="","",INT(A28))</f>
        <v/>
      </c>
      <c r="E28" s="35">
        <f>IF(B28="","",INDEX(Setup!$D$25:$D$84,B28))</f>
        <v/>
      </c>
      <c r="F28" s="36">
        <f>IF(B28="","",INDEX(Setup!$E$25:$E$84,B28))</f>
        <v/>
      </c>
      <c r="G28" s="32">
        <f>IF(B28="","",INDEX(Setup!$I$25:$I$84,B28)&amp;"")</f>
        <v/>
      </c>
      <c r="H28" s="32">
        <f>IF(B28="","",INDEX(Setup!$J$25:$J$84,B28)&amp;"")</f>
        <v/>
      </c>
      <c r="I28" s="32">
        <f>IF(B28="","",INDEX(Setup!$C$25:$C$84,B28))</f>
        <v/>
      </c>
      <c r="J28" s="32" t="n"/>
      <c r="K28" s="37" t="n"/>
      <c r="L28" s="38" t="n"/>
      <c r="M28" s="33" t="n"/>
      <c r="N28" s="33" t="n"/>
      <c r="O28" s="32" t="n"/>
      <c r="P28" s="34">
        <f>IF(A28="","",IF(K28&lt;&gt;"",K28,D28))</f>
        <v/>
      </c>
      <c r="Q28" s="36">
        <f>IF(A28="",0,IF(C28="✗",0,IF(OR(C28="✓",AND(Setup!$D$7="Yes",P28&lt;=TODAY())),IF(L28&lt;&gt;"",L28,F28),0)))</f>
        <v/>
      </c>
      <c r="R28" s="32">
        <f>IF(A28="","",IF(M28&lt;&gt;"",M28,G28))</f>
        <v/>
      </c>
      <c r="S28" s="32">
        <f>IF(A28="","",IF(N28&lt;&gt;"",N28,H28))</f>
        <v/>
      </c>
      <c r="T28" s="32">
        <f>IF(A28="","",IF(C28="✗","Skipped",IF(Q28&gt;0,"Paid","Upcoming")))</f>
        <v/>
      </c>
      <c r="U28" s="36">
        <f>IF(A28="",0,IF(C28="✗",0,IF(L28&lt;&gt;"",L28,F28)))</f>
        <v/>
      </c>
    </row>
    <row r="29">
      <c r="A29" s="39">
        <f>IFERROR(SMALL(Calc!$B$2:$BB$61,24),"")</f>
        <v/>
      </c>
      <c r="B29" s="39">
        <f>IF(A29="","",ROUND(MOD(A29,1)*1000,0))</f>
        <v/>
      </c>
      <c r="C29" s="33" t="n"/>
      <c r="D29" s="40">
        <f>IF(A29="","",INT(A29))</f>
        <v/>
      </c>
      <c r="E29" s="41">
        <f>IF(B29="","",INDEX(Setup!$D$25:$D$84,B29))</f>
        <v/>
      </c>
      <c r="F29" s="42">
        <f>IF(B29="","",INDEX(Setup!$E$25:$E$84,B29))</f>
        <v/>
      </c>
      <c r="G29" s="39">
        <f>IF(B29="","",INDEX(Setup!$I$25:$I$84,B29)&amp;"")</f>
        <v/>
      </c>
      <c r="H29" s="39">
        <f>IF(B29="","",INDEX(Setup!$J$25:$J$84,B29)&amp;"")</f>
        <v/>
      </c>
      <c r="I29" s="39">
        <f>IF(B29="","",INDEX(Setup!$C$25:$C$84,B29))</f>
        <v/>
      </c>
      <c r="J29" s="39" t="n"/>
      <c r="K29" s="37" t="n"/>
      <c r="L29" s="38" t="n"/>
      <c r="M29" s="33" t="n"/>
      <c r="N29" s="33" t="n"/>
      <c r="O29" s="39" t="n"/>
      <c r="P29" s="40">
        <f>IF(A29="","",IF(K29&lt;&gt;"",K29,D29))</f>
        <v/>
      </c>
      <c r="Q29" s="42">
        <f>IF(A29="",0,IF(C29="✗",0,IF(OR(C29="✓",AND(Setup!$D$7="Yes",P29&lt;=TODAY())),IF(L29&lt;&gt;"",L29,F29),0)))</f>
        <v/>
      </c>
      <c r="R29" s="39">
        <f>IF(A29="","",IF(M29&lt;&gt;"",M29,G29))</f>
        <v/>
      </c>
      <c r="S29" s="39">
        <f>IF(A29="","",IF(N29&lt;&gt;"",N29,H29))</f>
        <v/>
      </c>
      <c r="T29" s="39">
        <f>IF(A29="","",IF(C29="✗","Skipped",IF(Q29&gt;0,"Paid","Upcoming")))</f>
        <v/>
      </c>
      <c r="U29" s="42">
        <f>IF(A29="",0,IF(C29="✗",0,IF(L29&lt;&gt;"",L29,F29)))</f>
        <v/>
      </c>
    </row>
    <row r="30">
      <c r="A30" s="32">
        <f>IFERROR(SMALL(Calc!$B$2:$BB$61,25),"")</f>
        <v/>
      </c>
      <c r="B30" s="32">
        <f>IF(A30="","",ROUND(MOD(A30,1)*1000,0))</f>
        <v/>
      </c>
      <c r="C30" s="33" t="n"/>
      <c r="D30" s="34">
        <f>IF(A30="","",INT(A30))</f>
        <v/>
      </c>
      <c r="E30" s="35">
        <f>IF(B30="","",INDEX(Setup!$D$25:$D$84,B30))</f>
        <v/>
      </c>
      <c r="F30" s="36">
        <f>IF(B30="","",INDEX(Setup!$E$25:$E$84,B30))</f>
        <v/>
      </c>
      <c r="G30" s="32">
        <f>IF(B30="","",INDEX(Setup!$I$25:$I$84,B30)&amp;"")</f>
        <v/>
      </c>
      <c r="H30" s="32">
        <f>IF(B30="","",INDEX(Setup!$J$25:$J$84,B30)&amp;"")</f>
        <v/>
      </c>
      <c r="I30" s="32">
        <f>IF(B30="","",INDEX(Setup!$C$25:$C$84,B30))</f>
        <v/>
      </c>
      <c r="J30" s="32" t="n"/>
      <c r="K30" s="37" t="n"/>
      <c r="L30" s="38" t="n"/>
      <c r="M30" s="33" t="n"/>
      <c r="N30" s="33" t="n"/>
      <c r="O30" s="32" t="n"/>
      <c r="P30" s="34">
        <f>IF(A30="","",IF(K30&lt;&gt;"",K30,D30))</f>
        <v/>
      </c>
      <c r="Q30" s="36">
        <f>IF(A30="",0,IF(C30="✗",0,IF(OR(C30="✓",AND(Setup!$D$7="Yes",P30&lt;=TODAY())),IF(L30&lt;&gt;"",L30,F30),0)))</f>
        <v/>
      </c>
      <c r="R30" s="32">
        <f>IF(A30="","",IF(M30&lt;&gt;"",M30,G30))</f>
        <v/>
      </c>
      <c r="S30" s="32">
        <f>IF(A30="","",IF(N30&lt;&gt;"",N30,H30))</f>
        <v/>
      </c>
      <c r="T30" s="32">
        <f>IF(A30="","",IF(C30="✗","Skipped",IF(Q30&gt;0,"Paid","Upcoming")))</f>
        <v/>
      </c>
      <c r="U30" s="36">
        <f>IF(A30="",0,IF(C30="✗",0,IF(L30&lt;&gt;"",L30,F30)))</f>
        <v/>
      </c>
    </row>
    <row r="31">
      <c r="A31" s="39">
        <f>IFERROR(SMALL(Calc!$B$2:$BB$61,26),"")</f>
        <v/>
      </c>
      <c r="B31" s="39">
        <f>IF(A31="","",ROUND(MOD(A31,1)*1000,0))</f>
        <v/>
      </c>
      <c r="C31" s="33" t="n"/>
      <c r="D31" s="40">
        <f>IF(A31="","",INT(A31))</f>
        <v/>
      </c>
      <c r="E31" s="41">
        <f>IF(B31="","",INDEX(Setup!$D$25:$D$84,B31))</f>
        <v/>
      </c>
      <c r="F31" s="42">
        <f>IF(B31="","",INDEX(Setup!$E$25:$E$84,B31))</f>
        <v/>
      </c>
      <c r="G31" s="39">
        <f>IF(B31="","",INDEX(Setup!$I$25:$I$84,B31)&amp;"")</f>
        <v/>
      </c>
      <c r="H31" s="39">
        <f>IF(B31="","",INDEX(Setup!$J$25:$J$84,B31)&amp;"")</f>
        <v/>
      </c>
      <c r="I31" s="39">
        <f>IF(B31="","",INDEX(Setup!$C$25:$C$84,B31))</f>
        <v/>
      </c>
      <c r="J31" s="39" t="n"/>
      <c r="K31" s="37" t="n"/>
      <c r="L31" s="38" t="n"/>
      <c r="M31" s="33" t="n"/>
      <c r="N31" s="33" t="n"/>
      <c r="O31" s="39" t="n"/>
      <c r="P31" s="40">
        <f>IF(A31="","",IF(K31&lt;&gt;"",K31,D31))</f>
        <v/>
      </c>
      <c r="Q31" s="42">
        <f>IF(A31="",0,IF(C31="✗",0,IF(OR(C31="✓",AND(Setup!$D$7="Yes",P31&lt;=TODAY())),IF(L31&lt;&gt;"",L31,F31),0)))</f>
        <v/>
      </c>
      <c r="R31" s="39">
        <f>IF(A31="","",IF(M31&lt;&gt;"",M31,G31))</f>
        <v/>
      </c>
      <c r="S31" s="39">
        <f>IF(A31="","",IF(N31&lt;&gt;"",N31,H31))</f>
        <v/>
      </c>
      <c r="T31" s="39">
        <f>IF(A31="","",IF(C31="✗","Skipped",IF(Q31&gt;0,"Paid","Upcoming")))</f>
        <v/>
      </c>
      <c r="U31" s="42">
        <f>IF(A31="",0,IF(C31="✗",0,IF(L31&lt;&gt;"",L31,F31)))</f>
        <v/>
      </c>
    </row>
    <row r="32">
      <c r="A32" s="32">
        <f>IFERROR(SMALL(Calc!$B$2:$BB$61,27),"")</f>
        <v/>
      </c>
      <c r="B32" s="32">
        <f>IF(A32="","",ROUND(MOD(A32,1)*1000,0))</f>
        <v/>
      </c>
      <c r="C32" s="33" t="n"/>
      <c r="D32" s="34">
        <f>IF(A32="","",INT(A32))</f>
        <v/>
      </c>
      <c r="E32" s="35">
        <f>IF(B32="","",INDEX(Setup!$D$25:$D$84,B32))</f>
        <v/>
      </c>
      <c r="F32" s="36">
        <f>IF(B32="","",INDEX(Setup!$E$25:$E$84,B32))</f>
        <v/>
      </c>
      <c r="G32" s="32">
        <f>IF(B32="","",INDEX(Setup!$I$25:$I$84,B32)&amp;"")</f>
        <v/>
      </c>
      <c r="H32" s="32">
        <f>IF(B32="","",INDEX(Setup!$J$25:$J$84,B32)&amp;"")</f>
        <v/>
      </c>
      <c r="I32" s="32">
        <f>IF(B32="","",INDEX(Setup!$C$25:$C$84,B32))</f>
        <v/>
      </c>
      <c r="J32" s="32" t="n"/>
      <c r="K32" s="37" t="n"/>
      <c r="L32" s="38" t="n"/>
      <c r="M32" s="33" t="n"/>
      <c r="N32" s="33" t="n"/>
      <c r="O32" s="32" t="n"/>
      <c r="P32" s="34">
        <f>IF(A32="","",IF(K32&lt;&gt;"",K32,D32))</f>
        <v/>
      </c>
      <c r="Q32" s="36">
        <f>IF(A32="",0,IF(C32="✗",0,IF(OR(C32="✓",AND(Setup!$D$7="Yes",P32&lt;=TODAY())),IF(L32&lt;&gt;"",L32,F32),0)))</f>
        <v/>
      </c>
      <c r="R32" s="32">
        <f>IF(A32="","",IF(M32&lt;&gt;"",M32,G32))</f>
        <v/>
      </c>
      <c r="S32" s="32">
        <f>IF(A32="","",IF(N32&lt;&gt;"",N32,H32))</f>
        <v/>
      </c>
      <c r="T32" s="32">
        <f>IF(A32="","",IF(C32="✗","Skipped",IF(Q32&gt;0,"Paid","Upcoming")))</f>
        <v/>
      </c>
      <c r="U32" s="36">
        <f>IF(A32="",0,IF(C32="✗",0,IF(L32&lt;&gt;"",L32,F32)))</f>
        <v/>
      </c>
    </row>
    <row r="33">
      <c r="A33" s="39">
        <f>IFERROR(SMALL(Calc!$B$2:$BB$61,28),"")</f>
        <v/>
      </c>
      <c r="B33" s="39">
        <f>IF(A33="","",ROUND(MOD(A33,1)*1000,0))</f>
        <v/>
      </c>
      <c r="C33" s="33" t="n"/>
      <c r="D33" s="40">
        <f>IF(A33="","",INT(A33))</f>
        <v/>
      </c>
      <c r="E33" s="41">
        <f>IF(B33="","",INDEX(Setup!$D$25:$D$84,B33))</f>
        <v/>
      </c>
      <c r="F33" s="42">
        <f>IF(B33="","",INDEX(Setup!$E$25:$E$84,B33))</f>
        <v/>
      </c>
      <c r="G33" s="39">
        <f>IF(B33="","",INDEX(Setup!$I$25:$I$84,B33)&amp;"")</f>
        <v/>
      </c>
      <c r="H33" s="39">
        <f>IF(B33="","",INDEX(Setup!$J$25:$J$84,B33)&amp;"")</f>
        <v/>
      </c>
      <c r="I33" s="39">
        <f>IF(B33="","",INDEX(Setup!$C$25:$C$84,B33))</f>
        <v/>
      </c>
      <c r="J33" s="39" t="n"/>
      <c r="K33" s="37" t="n"/>
      <c r="L33" s="38" t="n"/>
      <c r="M33" s="33" t="n"/>
      <c r="N33" s="33" t="n"/>
      <c r="O33" s="39" t="n"/>
      <c r="P33" s="40">
        <f>IF(A33="","",IF(K33&lt;&gt;"",K33,D33))</f>
        <v/>
      </c>
      <c r="Q33" s="42">
        <f>IF(A33="",0,IF(C33="✗",0,IF(OR(C33="✓",AND(Setup!$D$7="Yes",P33&lt;=TODAY())),IF(L33&lt;&gt;"",L33,F33),0)))</f>
        <v/>
      </c>
      <c r="R33" s="39">
        <f>IF(A33="","",IF(M33&lt;&gt;"",M33,G33))</f>
        <v/>
      </c>
      <c r="S33" s="39">
        <f>IF(A33="","",IF(N33&lt;&gt;"",N33,H33))</f>
        <v/>
      </c>
      <c r="T33" s="39">
        <f>IF(A33="","",IF(C33="✗","Skipped",IF(Q33&gt;0,"Paid","Upcoming")))</f>
        <v/>
      </c>
      <c r="U33" s="42">
        <f>IF(A33="",0,IF(C33="✗",0,IF(L33&lt;&gt;"",L33,F33)))</f>
        <v/>
      </c>
    </row>
    <row r="34">
      <c r="A34" s="32">
        <f>IFERROR(SMALL(Calc!$B$2:$BB$61,29),"")</f>
        <v/>
      </c>
      <c r="B34" s="32">
        <f>IF(A34="","",ROUND(MOD(A34,1)*1000,0))</f>
        <v/>
      </c>
      <c r="C34" s="33" t="n"/>
      <c r="D34" s="34">
        <f>IF(A34="","",INT(A34))</f>
        <v/>
      </c>
      <c r="E34" s="35">
        <f>IF(B34="","",INDEX(Setup!$D$25:$D$84,B34))</f>
        <v/>
      </c>
      <c r="F34" s="36">
        <f>IF(B34="","",INDEX(Setup!$E$25:$E$84,B34))</f>
        <v/>
      </c>
      <c r="G34" s="32">
        <f>IF(B34="","",INDEX(Setup!$I$25:$I$84,B34)&amp;"")</f>
        <v/>
      </c>
      <c r="H34" s="32">
        <f>IF(B34="","",INDEX(Setup!$J$25:$J$84,B34)&amp;"")</f>
        <v/>
      </c>
      <c r="I34" s="32">
        <f>IF(B34="","",INDEX(Setup!$C$25:$C$84,B34))</f>
        <v/>
      </c>
      <c r="J34" s="32" t="n"/>
      <c r="K34" s="37" t="n"/>
      <c r="L34" s="38" t="n"/>
      <c r="M34" s="33" t="n"/>
      <c r="N34" s="33" t="n"/>
      <c r="O34" s="32" t="n"/>
      <c r="P34" s="34">
        <f>IF(A34="","",IF(K34&lt;&gt;"",K34,D34))</f>
        <v/>
      </c>
      <c r="Q34" s="36">
        <f>IF(A34="",0,IF(C34="✗",0,IF(OR(C34="✓",AND(Setup!$D$7="Yes",P34&lt;=TODAY())),IF(L34&lt;&gt;"",L34,F34),0)))</f>
        <v/>
      </c>
      <c r="R34" s="32">
        <f>IF(A34="","",IF(M34&lt;&gt;"",M34,G34))</f>
        <v/>
      </c>
      <c r="S34" s="32">
        <f>IF(A34="","",IF(N34&lt;&gt;"",N34,H34))</f>
        <v/>
      </c>
      <c r="T34" s="32">
        <f>IF(A34="","",IF(C34="✗","Skipped",IF(Q34&gt;0,"Paid","Upcoming")))</f>
        <v/>
      </c>
      <c r="U34" s="36">
        <f>IF(A34="",0,IF(C34="✗",0,IF(L34&lt;&gt;"",L34,F34)))</f>
        <v/>
      </c>
    </row>
    <row r="35">
      <c r="A35" s="39">
        <f>IFERROR(SMALL(Calc!$B$2:$BB$61,30),"")</f>
        <v/>
      </c>
      <c r="B35" s="39">
        <f>IF(A35="","",ROUND(MOD(A35,1)*1000,0))</f>
        <v/>
      </c>
      <c r="C35" s="33" t="n"/>
      <c r="D35" s="40">
        <f>IF(A35="","",INT(A35))</f>
        <v/>
      </c>
      <c r="E35" s="41">
        <f>IF(B35="","",INDEX(Setup!$D$25:$D$84,B35))</f>
        <v/>
      </c>
      <c r="F35" s="42">
        <f>IF(B35="","",INDEX(Setup!$E$25:$E$84,B35))</f>
        <v/>
      </c>
      <c r="G35" s="39">
        <f>IF(B35="","",INDEX(Setup!$I$25:$I$84,B35)&amp;"")</f>
        <v/>
      </c>
      <c r="H35" s="39">
        <f>IF(B35="","",INDEX(Setup!$J$25:$J$84,B35)&amp;"")</f>
        <v/>
      </c>
      <c r="I35" s="39">
        <f>IF(B35="","",INDEX(Setup!$C$25:$C$84,B35))</f>
        <v/>
      </c>
      <c r="J35" s="39" t="n"/>
      <c r="K35" s="37" t="n"/>
      <c r="L35" s="38" t="n"/>
      <c r="M35" s="33" t="n"/>
      <c r="N35" s="33" t="n"/>
      <c r="O35" s="39" t="n"/>
      <c r="P35" s="40">
        <f>IF(A35="","",IF(K35&lt;&gt;"",K35,D35))</f>
        <v/>
      </c>
      <c r="Q35" s="42">
        <f>IF(A35="",0,IF(C35="✗",0,IF(OR(C35="✓",AND(Setup!$D$7="Yes",P35&lt;=TODAY())),IF(L35&lt;&gt;"",L35,F35),0)))</f>
        <v/>
      </c>
      <c r="R35" s="39">
        <f>IF(A35="","",IF(M35&lt;&gt;"",M35,G35))</f>
        <v/>
      </c>
      <c r="S35" s="39">
        <f>IF(A35="","",IF(N35&lt;&gt;"",N35,H35))</f>
        <v/>
      </c>
      <c r="T35" s="39">
        <f>IF(A35="","",IF(C35="✗","Skipped",IF(Q35&gt;0,"Paid","Upcoming")))</f>
        <v/>
      </c>
      <c r="U35" s="42">
        <f>IF(A35="",0,IF(C35="✗",0,IF(L35&lt;&gt;"",L35,F35)))</f>
        <v/>
      </c>
    </row>
    <row r="36">
      <c r="A36" s="32">
        <f>IFERROR(SMALL(Calc!$B$2:$BB$61,31),"")</f>
        <v/>
      </c>
      <c r="B36" s="32">
        <f>IF(A36="","",ROUND(MOD(A36,1)*1000,0))</f>
        <v/>
      </c>
      <c r="C36" s="33" t="n"/>
      <c r="D36" s="34">
        <f>IF(A36="","",INT(A36))</f>
        <v/>
      </c>
      <c r="E36" s="35">
        <f>IF(B36="","",INDEX(Setup!$D$25:$D$84,B36))</f>
        <v/>
      </c>
      <c r="F36" s="36">
        <f>IF(B36="","",INDEX(Setup!$E$25:$E$84,B36))</f>
        <v/>
      </c>
      <c r="G36" s="32">
        <f>IF(B36="","",INDEX(Setup!$I$25:$I$84,B36)&amp;"")</f>
        <v/>
      </c>
      <c r="H36" s="32">
        <f>IF(B36="","",INDEX(Setup!$J$25:$J$84,B36)&amp;"")</f>
        <v/>
      </c>
      <c r="I36" s="32">
        <f>IF(B36="","",INDEX(Setup!$C$25:$C$84,B36))</f>
        <v/>
      </c>
      <c r="J36" s="32" t="n"/>
      <c r="K36" s="37" t="n"/>
      <c r="L36" s="38" t="n"/>
      <c r="M36" s="33" t="n"/>
      <c r="N36" s="33" t="n"/>
      <c r="O36" s="32" t="n"/>
      <c r="P36" s="34">
        <f>IF(A36="","",IF(K36&lt;&gt;"",K36,D36))</f>
        <v/>
      </c>
      <c r="Q36" s="36">
        <f>IF(A36="",0,IF(C36="✗",0,IF(OR(C36="✓",AND(Setup!$D$7="Yes",P36&lt;=TODAY())),IF(L36&lt;&gt;"",L36,F36),0)))</f>
        <v/>
      </c>
      <c r="R36" s="32">
        <f>IF(A36="","",IF(M36&lt;&gt;"",M36,G36))</f>
        <v/>
      </c>
      <c r="S36" s="32">
        <f>IF(A36="","",IF(N36&lt;&gt;"",N36,H36))</f>
        <v/>
      </c>
      <c r="T36" s="32">
        <f>IF(A36="","",IF(C36="✗","Skipped",IF(Q36&gt;0,"Paid","Upcoming")))</f>
        <v/>
      </c>
      <c r="U36" s="36">
        <f>IF(A36="",0,IF(C36="✗",0,IF(L36&lt;&gt;"",L36,F36)))</f>
        <v/>
      </c>
    </row>
    <row r="37">
      <c r="A37" s="39">
        <f>IFERROR(SMALL(Calc!$B$2:$BB$61,32),"")</f>
        <v/>
      </c>
      <c r="B37" s="39">
        <f>IF(A37="","",ROUND(MOD(A37,1)*1000,0))</f>
        <v/>
      </c>
      <c r="C37" s="33" t="n"/>
      <c r="D37" s="40">
        <f>IF(A37="","",INT(A37))</f>
        <v/>
      </c>
      <c r="E37" s="41">
        <f>IF(B37="","",INDEX(Setup!$D$25:$D$84,B37))</f>
        <v/>
      </c>
      <c r="F37" s="42">
        <f>IF(B37="","",INDEX(Setup!$E$25:$E$84,B37))</f>
        <v/>
      </c>
      <c r="G37" s="39">
        <f>IF(B37="","",INDEX(Setup!$I$25:$I$84,B37)&amp;"")</f>
        <v/>
      </c>
      <c r="H37" s="39">
        <f>IF(B37="","",INDEX(Setup!$J$25:$J$84,B37)&amp;"")</f>
        <v/>
      </c>
      <c r="I37" s="39">
        <f>IF(B37="","",INDEX(Setup!$C$25:$C$84,B37))</f>
        <v/>
      </c>
      <c r="J37" s="39" t="n"/>
      <c r="K37" s="37" t="n"/>
      <c r="L37" s="38" t="n"/>
      <c r="M37" s="33" t="n"/>
      <c r="N37" s="33" t="n"/>
      <c r="O37" s="39" t="n"/>
      <c r="P37" s="40">
        <f>IF(A37="","",IF(K37&lt;&gt;"",K37,D37))</f>
        <v/>
      </c>
      <c r="Q37" s="42">
        <f>IF(A37="",0,IF(C37="✗",0,IF(OR(C37="✓",AND(Setup!$D$7="Yes",P37&lt;=TODAY())),IF(L37&lt;&gt;"",L37,F37),0)))</f>
        <v/>
      </c>
      <c r="R37" s="39">
        <f>IF(A37="","",IF(M37&lt;&gt;"",M37,G37))</f>
        <v/>
      </c>
      <c r="S37" s="39">
        <f>IF(A37="","",IF(N37&lt;&gt;"",N37,H37))</f>
        <v/>
      </c>
      <c r="T37" s="39">
        <f>IF(A37="","",IF(C37="✗","Skipped",IF(Q37&gt;0,"Paid","Upcoming")))</f>
        <v/>
      </c>
      <c r="U37" s="42">
        <f>IF(A37="",0,IF(C37="✗",0,IF(L37&lt;&gt;"",L37,F37)))</f>
        <v/>
      </c>
    </row>
    <row r="38">
      <c r="A38" s="32">
        <f>IFERROR(SMALL(Calc!$B$2:$BB$61,33),"")</f>
        <v/>
      </c>
      <c r="B38" s="32">
        <f>IF(A38="","",ROUND(MOD(A38,1)*1000,0))</f>
        <v/>
      </c>
      <c r="C38" s="33" t="n"/>
      <c r="D38" s="34">
        <f>IF(A38="","",INT(A38))</f>
        <v/>
      </c>
      <c r="E38" s="35">
        <f>IF(B38="","",INDEX(Setup!$D$25:$D$84,B38))</f>
        <v/>
      </c>
      <c r="F38" s="36">
        <f>IF(B38="","",INDEX(Setup!$E$25:$E$84,B38))</f>
        <v/>
      </c>
      <c r="G38" s="32">
        <f>IF(B38="","",INDEX(Setup!$I$25:$I$84,B38)&amp;"")</f>
        <v/>
      </c>
      <c r="H38" s="32">
        <f>IF(B38="","",INDEX(Setup!$J$25:$J$84,B38)&amp;"")</f>
        <v/>
      </c>
      <c r="I38" s="32">
        <f>IF(B38="","",INDEX(Setup!$C$25:$C$84,B38))</f>
        <v/>
      </c>
      <c r="J38" s="32" t="n"/>
      <c r="K38" s="37" t="n"/>
      <c r="L38" s="38" t="n"/>
      <c r="M38" s="33" t="n"/>
      <c r="N38" s="33" t="n"/>
      <c r="O38" s="32" t="n"/>
      <c r="P38" s="34">
        <f>IF(A38="","",IF(K38&lt;&gt;"",K38,D38))</f>
        <v/>
      </c>
      <c r="Q38" s="36">
        <f>IF(A38="",0,IF(C38="✗",0,IF(OR(C38="✓",AND(Setup!$D$7="Yes",P38&lt;=TODAY())),IF(L38&lt;&gt;"",L38,F38),0)))</f>
        <v/>
      </c>
      <c r="R38" s="32">
        <f>IF(A38="","",IF(M38&lt;&gt;"",M38,G38))</f>
        <v/>
      </c>
      <c r="S38" s="32">
        <f>IF(A38="","",IF(N38&lt;&gt;"",N38,H38))</f>
        <v/>
      </c>
      <c r="T38" s="32">
        <f>IF(A38="","",IF(C38="✗","Skipped",IF(Q38&gt;0,"Paid","Upcoming")))</f>
        <v/>
      </c>
      <c r="U38" s="36">
        <f>IF(A38="",0,IF(C38="✗",0,IF(L38&lt;&gt;"",L38,F38)))</f>
        <v/>
      </c>
    </row>
    <row r="39">
      <c r="A39" s="39">
        <f>IFERROR(SMALL(Calc!$B$2:$BB$61,34),"")</f>
        <v/>
      </c>
      <c r="B39" s="39">
        <f>IF(A39="","",ROUND(MOD(A39,1)*1000,0))</f>
        <v/>
      </c>
      <c r="C39" s="33" t="n"/>
      <c r="D39" s="40">
        <f>IF(A39="","",INT(A39))</f>
        <v/>
      </c>
      <c r="E39" s="41">
        <f>IF(B39="","",INDEX(Setup!$D$25:$D$84,B39))</f>
        <v/>
      </c>
      <c r="F39" s="42">
        <f>IF(B39="","",INDEX(Setup!$E$25:$E$84,B39))</f>
        <v/>
      </c>
      <c r="G39" s="39">
        <f>IF(B39="","",INDEX(Setup!$I$25:$I$84,B39)&amp;"")</f>
        <v/>
      </c>
      <c r="H39" s="39">
        <f>IF(B39="","",INDEX(Setup!$J$25:$J$84,B39)&amp;"")</f>
        <v/>
      </c>
      <c r="I39" s="39">
        <f>IF(B39="","",INDEX(Setup!$C$25:$C$84,B39))</f>
        <v/>
      </c>
      <c r="J39" s="39" t="n"/>
      <c r="K39" s="37" t="n"/>
      <c r="L39" s="38" t="n"/>
      <c r="M39" s="33" t="n"/>
      <c r="N39" s="33" t="n"/>
      <c r="O39" s="39" t="n"/>
      <c r="P39" s="40">
        <f>IF(A39="","",IF(K39&lt;&gt;"",K39,D39))</f>
        <v/>
      </c>
      <c r="Q39" s="42">
        <f>IF(A39="",0,IF(C39="✗",0,IF(OR(C39="✓",AND(Setup!$D$7="Yes",P39&lt;=TODAY())),IF(L39&lt;&gt;"",L39,F39),0)))</f>
        <v/>
      </c>
      <c r="R39" s="39">
        <f>IF(A39="","",IF(M39&lt;&gt;"",M39,G39))</f>
        <v/>
      </c>
      <c r="S39" s="39">
        <f>IF(A39="","",IF(N39&lt;&gt;"",N39,H39))</f>
        <v/>
      </c>
      <c r="T39" s="39">
        <f>IF(A39="","",IF(C39="✗","Skipped",IF(Q39&gt;0,"Paid","Upcoming")))</f>
        <v/>
      </c>
      <c r="U39" s="42">
        <f>IF(A39="",0,IF(C39="✗",0,IF(L39&lt;&gt;"",L39,F39)))</f>
        <v/>
      </c>
    </row>
    <row r="40">
      <c r="A40" s="32">
        <f>IFERROR(SMALL(Calc!$B$2:$BB$61,35),"")</f>
        <v/>
      </c>
      <c r="B40" s="32">
        <f>IF(A40="","",ROUND(MOD(A40,1)*1000,0))</f>
        <v/>
      </c>
      <c r="C40" s="33" t="n"/>
      <c r="D40" s="34">
        <f>IF(A40="","",INT(A40))</f>
        <v/>
      </c>
      <c r="E40" s="35">
        <f>IF(B40="","",INDEX(Setup!$D$25:$D$84,B40))</f>
        <v/>
      </c>
      <c r="F40" s="36">
        <f>IF(B40="","",INDEX(Setup!$E$25:$E$84,B40))</f>
        <v/>
      </c>
      <c r="G40" s="32">
        <f>IF(B40="","",INDEX(Setup!$I$25:$I$84,B40)&amp;"")</f>
        <v/>
      </c>
      <c r="H40" s="32">
        <f>IF(B40="","",INDEX(Setup!$J$25:$J$84,B40)&amp;"")</f>
        <v/>
      </c>
      <c r="I40" s="32">
        <f>IF(B40="","",INDEX(Setup!$C$25:$C$84,B40))</f>
        <v/>
      </c>
      <c r="J40" s="32" t="n"/>
      <c r="K40" s="37" t="n"/>
      <c r="L40" s="38" t="n"/>
      <c r="M40" s="33" t="n"/>
      <c r="N40" s="33" t="n"/>
      <c r="O40" s="32" t="n"/>
      <c r="P40" s="34">
        <f>IF(A40="","",IF(K40&lt;&gt;"",K40,D40))</f>
        <v/>
      </c>
      <c r="Q40" s="36">
        <f>IF(A40="",0,IF(C40="✗",0,IF(OR(C40="✓",AND(Setup!$D$7="Yes",P40&lt;=TODAY())),IF(L40&lt;&gt;"",L40,F40),0)))</f>
        <v/>
      </c>
      <c r="R40" s="32">
        <f>IF(A40="","",IF(M40&lt;&gt;"",M40,G40))</f>
        <v/>
      </c>
      <c r="S40" s="32">
        <f>IF(A40="","",IF(N40&lt;&gt;"",N40,H40))</f>
        <v/>
      </c>
      <c r="T40" s="32">
        <f>IF(A40="","",IF(C40="✗","Skipped",IF(Q40&gt;0,"Paid","Upcoming")))</f>
        <v/>
      </c>
      <c r="U40" s="36">
        <f>IF(A40="",0,IF(C40="✗",0,IF(L40&lt;&gt;"",L40,F40)))</f>
        <v/>
      </c>
    </row>
    <row r="41">
      <c r="A41" s="39">
        <f>IFERROR(SMALL(Calc!$B$2:$BB$61,36),"")</f>
        <v/>
      </c>
      <c r="B41" s="39">
        <f>IF(A41="","",ROUND(MOD(A41,1)*1000,0))</f>
        <v/>
      </c>
      <c r="C41" s="33" t="n"/>
      <c r="D41" s="40">
        <f>IF(A41="","",INT(A41))</f>
        <v/>
      </c>
      <c r="E41" s="41">
        <f>IF(B41="","",INDEX(Setup!$D$25:$D$84,B41))</f>
        <v/>
      </c>
      <c r="F41" s="42">
        <f>IF(B41="","",INDEX(Setup!$E$25:$E$84,B41))</f>
        <v/>
      </c>
      <c r="G41" s="39">
        <f>IF(B41="","",INDEX(Setup!$I$25:$I$84,B41)&amp;"")</f>
        <v/>
      </c>
      <c r="H41" s="39">
        <f>IF(B41="","",INDEX(Setup!$J$25:$J$84,B41)&amp;"")</f>
        <v/>
      </c>
      <c r="I41" s="39">
        <f>IF(B41="","",INDEX(Setup!$C$25:$C$84,B41))</f>
        <v/>
      </c>
      <c r="J41" s="39" t="n"/>
      <c r="K41" s="37" t="n"/>
      <c r="L41" s="38" t="n"/>
      <c r="M41" s="33" t="n"/>
      <c r="N41" s="33" t="n"/>
      <c r="O41" s="39" t="n"/>
      <c r="P41" s="40">
        <f>IF(A41="","",IF(K41&lt;&gt;"",K41,D41))</f>
        <v/>
      </c>
      <c r="Q41" s="42">
        <f>IF(A41="",0,IF(C41="✗",0,IF(OR(C41="✓",AND(Setup!$D$7="Yes",P41&lt;=TODAY())),IF(L41&lt;&gt;"",L41,F41),0)))</f>
        <v/>
      </c>
      <c r="R41" s="39">
        <f>IF(A41="","",IF(M41&lt;&gt;"",M41,G41))</f>
        <v/>
      </c>
      <c r="S41" s="39">
        <f>IF(A41="","",IF(N41&lt;&gt;"",N41,H41))</f>
        <v/>
      </c>
      <c r="T41" s="39">
        <f>IF(A41="","",IF(C41="✗","Skipped",IF(Q41&gt;0,"Paid","Upcoming")))</f>
        <v/>
      </c>
      <c r="U41" s="42">
        <f>IF(A41="",0,IF(C41="✗",0,IF(L41&lt;&gt;"",L41,F41)))</f>
        <v/>
      </c>
    </row>
    <row r="42">
      <c r="A42" s="32">
        <f>IFERROR(SMALL(Calc!$B$2:$BB$61,37),"")</f>
        <v/>
      </c>
      <c r="B42" s="32">
        <f>IF(A42="","",ROUND(MOD(A42,1)*1000,0))</f>
        <v/>
      </c>
      <c r="C42" s="33" t="n"/>
      <c r="D42" s="34">
        <f>IF(A42="","",INT(A42))</f>
        <v/>
      </c>
      <c r="E42" s="35">
        <f>IF(B42="","",INDEX(Setup!$D$25:$D$84,B42))</f>
        <v/>
      </c>
      <c r="F42" s="36">
        <f>IF(B42="","",INDEX(Setup!$E$25:$E$84,B42))</f>
        <v/>
      </c>
      <c r="G42" s="32">
        <f>IF(B42="","",INDEX(Setup!$I$25:$I$84,B42)&amp;"")</f>
        <v/>
      </c>
      <c r="H42" s="32">
        <f>IF(B42="","",INDEX(Setup!$J$25:$J$84,B42)&amp;"")</f>
        <v/>
      </c>
      <c r="I42" s="32">
        <f>IF(B42="","",INDEX(Setup!$C$25:$C$84,B42))</f>
        <v/>
      </c>
      <c r="J42" s="32" t="n"/>
      <c r="K42" s="37" t="n"/>
      <c r="L42" s="38" t="n"/>
      <c r="M42" s="33" t="n"/>
      <c r="N42" s="33" t="n"/>
      <c r="O42" s="32" t="n"/>
      <c r="P42" s="34">
        <f>IF(A42="","",IF(K42&lt;&gt;"",K42,D42))</f>
        <v/>
      </c>
      <c r="Q42" s="36">
        <f>IF(A42="",0,IF(C42="✗",0,IF(OR(C42="✓",AND(Setup!$D$7="Yes",P42&lt;=TODAY())),IF(L42&lt;&gt;"",L42,F42),0)))</f>
        <v/>
      </c>
      <c r="R42" s="32">
        <f>IF(A42="","",IF(M42&lt;&gt;"",M42,G42))</f>
        <v/>
      </c>
      <c r="S42" s="32">
        <f>IF(A42="","",IF(N42&lt;&gt;"",N42,H42))</f>
        <v/>
      </c>
      <c r="T42" s="32">
        <f>IF(A42="","",IF(C42="✗","Skipped",IF(Q42&gt;0,"Paid","Upcoming")))</f>
        <v/>
      </c>
      <c r="U42" s="36">
        <f>IF(A42="",0,IF(C42="✗",0,IF(L42&lt;&gt;"",L42,F42)))</f>
        <v/>
      </c>
    </row>
    <row r="43">
      <c r="A43" s="39">
        <f>IFERROR(SMALL(Calc!$B$2:$BB$61,38),"")</f>
        <v/>
      </c>
      <c r="B43" s="39">
        <f>IF(A43="","",ROUND(MOD(A43,1)*1000,0))</f>
        <v/>
      </c>
      <c r="C43" s="33" t="n"/>
      <c r="D43" s="40">
        <f>IF(A43="","",INT(A43))</f>
        <v/>
      </c>
      <c r="E43" s="41">
        <f>IF(B43="","",INDEX(Setup!$D$25:$D$84,B43))</f>
        <v/>
      </c>
      <c r="F43" s="42">
        <f>IF(B43="","",INDEX(Setup!$E$25:$E$84,B43))</f>
        <v/>
      </c>
      <c r="G43" s="39">
        <f>IF(B43="","",INDEX(Setup!$I$25:$I$84,B43)&amp;"")</f>
        <v/>
      </c>
      <c r="H43" s="39">
        <f>IF(B43="","",INDEX(Setup!$J$25:$J$84,B43)&amp;"")</f>
        <v/>
      </c>
      <c r="I43" s="39">
        <f>IF(B43="","",INDEX(Setup!$C$25:$C$84,B43))</f>
        <v/>
      </c>
      <c r="J43" s="39" t="n"/>
      <c r="K43" s="37" t="n"/>
      <c r="L43" s="38" t="n"/>
      <c r="M43" s="33" t="n"/>
      <c r="N43" s="33" t="n"/>
      <c r="O43" s="39" t="n"/>
      <c r="P43" s="40">
        <f>IF(A43="","",IF(K43&lt;&gt;"",K43,D43))</f>
        <v/>
      </c>
      <c r="Q43" s="42">
        <f>IF(A43="",0,IF(C43="✗",0,IF(OR(C43="✓",AND(Setup!$D$7="Yes",P43&lt;=TODAY())),IF(L43&lt;&gt;"",L43,F43),0)))</f>
        <v/>
      </c>
      <c r="R43" s="39">
        <f>IF(A43="","",IF(M43&lt;&gt;"",M43,G43))</f>
        <v/>
      </c>
      <c r="S43" s="39">
        <f>IF(A43="","",IF(N43&lt;&gt;"",N43,H43))</f>
        <v/>
      </c>
      <c r="T43" s="39">
        <f>IF(A43="","",IF(C43="✗","Skipped",IF(Q43&gt;0,"Paid","Upcoming")))</f>
        <v/>
      </c>
      <c r="U43" s="42">
        <f>IF(A43="",0,IF(C43="✗",0,IF(L43&lt;&gt;"",L43,F43)))</f>
        <v/>
      </c>
    </row>
    <row r="44">
      <c r="A44" s="32">
        <f>IFERROR(SMALL(Calc!$B$2:$BB$61,39),"")</f>
        <v/>
      </c>
      <c r="B44" s="32">
        <f>IF(A44="","",ROUND(MOD(A44,1)*1000,0))</f>
        <v/>
      </c>
      <c r="C44" s="33" t="n"/>
      <c r="D44" s="34">
        <f>IF(A44="","",INT(A44))</f>
        <v/>
      </c>
      <c r="E44" s="35">
        <f>IF(B44="","",INDEX(Setup!$D$25:$D$84,B44))</f>
        <v/>
      </c>
      <c r="F44" s="36">
        <f>IF(B44="","",INDEX(Setup!$E$25:$E$84,B44))</f>
        <v/>
      </c>
      <c r="G44" s="32">
        <f>IF(B44="","",INDEX(Setup!$I$25:$I$84,B44)&amp;"")</f>
        <v/>
      </c>
      <c r="H44" s="32">
        <f>IF(B44="","",INDEX(Setup!$J$25:$J$84,B44)&amp;"")</f>
        <v/>
      </c>
      <c r="I44" s="32">
        <f>IF(B44="","",INDEX(Setup!$C$25:$C$84,B44))</f>
        <v/>
      </c>
      <c r="J44" s="32" t="n"/>
      <c r="K44" s="37" t="n"/>
      <c r="L44" s="38" t="n"/>
      <c r="M44" s="33" t="n"/>
      <c r="N44" s="33" t="n"/>
      <c r="O44" s="32" t="n"/>
      <c r="P44" s="34">
        <f>IF(A44="","",IF(K44&lt;&gt;"",K44,D44))</f>
        <v/>
      </c>
      <c r="Q44" s="36">
        <f>IF(A44="",0,IF(C44="✗",0,IF(OR(C44="✓",AND(Setup!$D$7="Yes",P44&lt;=TODAY())),IF(L44&lt;&gt;"",L44,F44),0)))</f>
        <v/>
      </c>
      <c r="R44" s="32">
        <f>IF(A44="","",IF(M44&lt;&gt;"",M44,G44))</f>
        <v/>
      </c>
      <c r="S44" s="32">
        <f>IF(A44="","",IF(N44&lt;&gt;"",N44,H44))</f>
        <v/>
      </c>
      <c r="T44" s="32">
        <f>IF(A44="","",IF(C44="✗","Skipped",IF(Q44&gt;0,"Paid","Upcoming")))</f>
        <v/>
      </c>
      <c r="U44" s="36">
        <f>IF(A44="",0,IF(C44="✗",0,IF(L44&lt;&gt;"",L44,F44)))</f>
        <v/>
      </c>
    </row>
    <row r="45">
      <c r="A45" s="39">
        <f>IFERROR(SMALL(Calc!$B$2:$BB$61,40),"")</f>
        <v/>
      </c>
      <c r="B45" s="39">
        <f>IF(A45="","",ROUND(MOD(A45,1)*1000,0))</f>
        <v/>
      </c>
      <c r="C45" s="33" t="n"/>
      <c r="D45" s="40">
        <f>IF(A45="","",INT(A45))</f>
        <v/>
      </c>
      <c r="E45" s="41">
        <f>IF(B45="","",INDEX(Setup!$D$25:$D$84,B45))</f>
        <v/>
      </c>
      <c r="F45" s="42">
        <f>IF(B45="","",INDEX(Setup!$E$25:$E$84,B45))</f>
        <v/>
      </c>
      <c r="G45" s="39">
        <f>IF(B45="","",INDEX(Setup!$I$25:$I$84,B45)&amp;"")</f>
        <v/>
      </c>
      <c r="H45" s="39">
        <f>IF(B45="","",INDEX(Setup!$J$25:$J$84,B45)&amp;"")</f>
        <v/>
      </c>
      <c r="I45" s="39">
        <f>IF(B45="","",INDEX(Setup!$C$25:$C$84,B45))</f>
        <v/>
      </c>
      <c r="J45" s="39" t="n"/>
      <c r="K45" s="37" t="n"/>
      <c r="L45" s="38" t="n"/>
      <c r="M45" s="33" t="n"/>
      <c r="N45" s="33" t="n"/>
      <c r="O45" s="39" t="n"/>
      <c r="P45" s="40">
        <f>IF(A45="","",IF(K45&lt;&gt;"",K45,D45))</f>
        <v/>
      </c>
      <c r="Q45" s="42">
        <f>IF(A45="",0,IF(C45="✗",0,IF(OR(C45="✓",AND(Setup!$D$7="Yes",P45&lt;=TODAY())),IF(L45&lt;&gt;"",L45,F45),0)))</f>
        <v/>
      </c>
      <c r="R45" s="39">
        <f>IF(A45="","",IF(M45&lt;&gt;"",M45,G45))</f>
        <v/>
      </c>
      <c r="S45" s="39">
        <f>IF(A45="","",IF(N45&lt;&gt;"",N45,H45))</f>
        <v/>
      </c>
      <c r="T45" s="39">
        <f>IF(A45="","",IF(C45="✗","Skipped",IF(Q45&gt;0,"Paid","Upcoming")))</f>
        <v/>
      </c>
      <c r="U45" s="42">
        <f>IF(A45="",0,IF(C45="✗",0,IF(L45&lt;&gt;"",L45,F45)))</f>
        <v/>
      </c>
    </row>
    <row r="46">
      <c r="A46" s="32">
        <f>IFERROR(SMALL(Calc!$B$2:$BB$61,41),"")</f>
        <v/>
      </c>
      <c r="B46" s="32">
        <f>IF(A46="","",ROUND(MOD(A46,1)*1000,0))</f>
        <v/>
      </c>
      <c r="C46" s="33" t="n"/>
      <c r="D46" s="34">
        <f>IF(A46="","",INT(A46))</f>
        <v/>
      </c>
      <c r="E46" s="35">
        <f>IF(B46="","",INDEX(Setup!$D$25:$D$84,B46))</f>
        <v/>
      </c>
      <c r="F46" s="36">
        <f>IF(B46="","",INDEX(Setup!$E$25:$E$84,B46))</f>
        <v/>
      </c>
      <c r="G46" s="32">
        <f>IF(B46="","",INDEX(Setup!$I$25:$I$84,B46)&amp;"")</f>
        <v/>
      </c>
      <c r="H46" s="32">
        <f>IF(B46="","",INDEX(Setup!$J$25:$J$84,B46)&amp;"")</f>
        <v/>
      </c>
      <c r="I46" s="32">
        <f>IF(B46="","",INDEX(Setup!$C$25:$C$84,B46))</f>
        <v/>
      </c>
      <c r="J46" s="32" t="n"/>
      <c r="K46" s="37" t="n"/>
      <c r="L46" s="38" t="n"/>
      <c r="M46" s="33" t="n"/>
      <c r="N46" s="33" t="n"/>
      <c r="O46" s="32" t="n"/>
      <c r="P46" s="34">
        <f>IF(A46="","",IF(K46&lt;&gt;"",K46,D46))</f>
        <v/>
      </c>
      <c r="Q46" s="36">
        <f>IF(A46="",0,IF(C46="✗",0,IF(OR(C46="✓",AND(Setup!$D$7="Yes",P46&lt;=TODAY())),IF(L46&lt;&gt;"",L46,F46),0)))</f>
        <v/>
      </c>
      <c r="R46" s="32">
        <f>IF(A46="","",IF(M46&lt;&gt;"",M46,G46))</f>
        <v/>
      </c>
      <c r="S46" s="32">
        <f>IF(A46="","",IF(N46&lt;&gt;"",N46,H46))</f>
        <v/>
      </c>
      <c r="T46" s="32">
        <f>IF(A46="","",IF(C46="✗","Skipped",IF(Q46&gt;0,"Paid","Upcoming")))</f>
        <v/>
      </c>
      <c r="U46" s="36">
        <f>IF(A46="",0,IF(C46="✗",0,IF(L46&lt;&gt;"",L46,F46)))</f>
        <v/>
      </c>
    </row>
    <row r="47">
      <c r="A47" s="39">
        <f>IFERROR(SMALL(Calc!$B$2:$BB$61,42),"")</f>
        <v/>
      </c>
      <c r="B47" s="39">
        <f>IF(A47="","",ROUND(MOD(A47,1)*1000,0))</f>
        <v/>
      </c>
      <c r="C47" s="33" t="n"/>
      <c r="D47" s="40">
        <f>IF(A47="","",INT(A47))</f>
        <v/>
      </c>
      <c r="E47" s="41">
        <f>IF(B47="","",INDEX(Setup!$D$25:$D$84,B47))</f>
        <v/>
      </c>
      <c r="F47" s="42">
        <f>IF(B47="","",INDEX(Setup!$E$25:$E$84,B47))</f>
        <v/>
      </c>
      <c r="G47" s="39">
        <f>IF(B47="","",INDEX(Setup!$I$25:$I$84,B47)&amp;"")</f>
        <v/>
      </c>
      <c r="H47" s="39">
        <f>IF(B47="","",INDEX(Setup!$J$25:$J$84,B47)&amp;"")</f>
        <v/>
      </c>
      <c r="I47" s="39">
        <f>IF(B47="","",INDEX(Setup!$C$25:$C$84,B47))</f>
        <v/>
      </c>
      <c r="J47" s="39" t="n"/>
      <c r="K47" s="37" t="n"/>
      <c r="L47" s="38" t="n"/>
      <c r="M47" s="33" t="n"/>
      <c r="N47" s="33" t="n"/>
      <c r="O47" s="39" t="n"/>
      <c r="P47" s="40">
        <f>IF(A47="","",IF(K47&lt;&gt;"",K47,D47))</f>
        <v/>
      </c>
      <c r="Q47" s="42">
        <f>IF(A47="",0,IF(C47="✗",0,IF(OR(C47="✓",AND(Setup!$D$7="Yes",P47&lt;=TODAY())),IF(L47&lt;&gt;"",L47,F47),0)))</f>
        <v/>
      </c>
      <c r="R47" s="39">
        <f>IF(A47="","",IF(M47&lt;&gt;"",M47,G47))</f>
        <v/>
      </c>
      <c r="S47" s="39">
        <f>IF(A47="","",IF(N47&lt;&gt;"",N47,H47))</f>
        <v/>
      </c>
      <c r="T47" s="39">
        <f>IF(A47="","",IF(C47="✗","Skipped",IF(Q47&gt;0,"Paid","Upcoming")))</f>
        <v/>
      </c>
      <c r="U47" s="42">
        <f>IF(A47="",0,IF(C47="✗",0,IF(L47&lt;&gt;"",L47,F47)))</f>
        <v/>
      </c>
    </row>
    <row r="48">
      <c r="A48" s="32">
        <f>IFERROR(SMALL(Calc!$B$2:$BB$61,43),"")</f>
        <v/>
      </c>
      <c r="B48" s="32">
        <f>IF(A48="","",ROUND(MOD(A48,1)*1000,0))</f>
        <v/>
      </c>
      <c r="C48" s="33" t="n"/>
      <c r="D48" s="34">
        <f>IF(A48="","",INT(A48))</f>
        <v/>
      </c>
      <c r="E48" s="35">
        <f>IF(B48="","",INDEX(Setup!$D$25:$D$84,B48))</f>
        <v/>
      </c>
      <c r="F48" s="36">
        <f>IF(B48="","",INDEX(Setup!$E$25:$E$84,B48))</f>
        <v/>
      </c>
      <c r="G48" s="32">
        <f>IF(B48="","",INDEX(Setup!$I$25:$I$84,B48)&amp;"")</f>
        <v/>
      </c>
      <c r="H48" s="32">
        <f>IF(B48="","",INDEX(Setup!$J$25:$J$84,B48)&amp;"")</f>
        <v/>
      </c>
      <c r="I48" s="32">
        <f>IF(B48="","",INDEX(Setup!$C$25:$C$84,B48))</f>
        <v/>
      </c>
      <c r="J48" s="32" t="n"/>
      <c r="K48" s="37" t="n"/>
      <c r="L48" s="38" t="n"/>
      <c r="M48" s="33" t="n"/>
      <c r="N48" s="33" t="n"/>
      <c r="O48" s="32" t="n"/>
      <c r="P48" s="34">
        <f>IF(A48="","",IF(K48&lt;&gt;"",K48,D48))</f>
        <v/>
      </c>
      <c r="Q48" s="36">
        <f>IF(A48="",0,IF(C48="✗",0,IF(OR(C48="✓",AND(Setup!$D$7="Yes",P48&lt;=TODAY())),IF(L48&lt;&gt;"",L48,F48),0)))</f>
        <v/>
      </c>
      <c r="R48" s="32">
        <f>IF(A48="","",IF(M48&lt;&gt;"",M48,G48))</f>
        <v/>
      </c>
      <c r="S48" s="32">
        <f>IF(A48="","",IF(N48&lt;&gt;"",N48,H48))</f>
        <v/>
      </c>
      <c r="T48" s="32">
        <f>IF(A48="","",IF(C48="✗","Skipped",IF(Q48&gt;0,"Paid","Upcoming")))</f>
        <v/>
      </c>
      <c r="U48" s="36">
        <f>IF(A48="",0,IF(C48="✗",0,IF(L48&lt;&gt;"",L48,F48)))</f>
        <v/>
      </c>
    </row>
    <row r="49">
      <c r="A49" s="39">
        <f>IFERROR(SMALL(Calc!$B$2:$BB$61,44),"")</f>
        <v/>
      </c>
      <c r="B49" s="39">
        <f>IF(A49="","",ROUND(MOD(A49,1)*1000,0))</f>
        <v/>
      </c>
      <c r="C49" s="33" t="n"/>
      <c r="D49" s="40">
        <f>IF(A49="","",INT(A49))</f>
        <v/>
      </c>
      <c r="E49" s="41">
        <f>IF(B49="","",INDEX(Setup!$D$25:$D$84,B49))</f>
        <v/>
      </c>
      <c r="F49" s="42">
        <f>IF(B49="","",INDEX(Setup!$E$25:$E$84,B49))</f>
        <v/>
      </c>
      <c r="G49" s="39">
        <f>IF(B49="","",INDEX(Setup!$I$25:$I$84,B49)&amp;"")</f>
        <v/>
      </c>
      <c r="H49" s="39">
        <f>IF(B49="","",INDEX(Setup!$J$25:$J$84,B49)&amp;"")</f>
        <v/>
      </c>
      <c r="I49" s="39">
        <f>IF(B49="","",INDEX(Setup!$C$25:$C$84,B49))</f>
        <v/>
      </c>
      <c r="J49" s="39" t="n"/>
      <c r="K49" s="37" t="n"/>
      <c r="L49" s="38" t="n"/>
      <c r="M49" s="33" t="n"/>
      <c r="N49" s="33" t="n"/>
      <c r="O49" s="39" t="n"/>
      <c r="P49" s="40">
        <f>IF(A49="","",IF(K49&lt;&gt;"",K49,D49))</f>
        <v/>
      </c>
      <c r="Q49" s="42">
        <f>IF(A49="",0,IF(C49="✗",0,IF(OR(C49="✓",AND(Setup!$D$7="Yes",P49&lt;=TODAY())),IF(L49&lt;&gt;"",L49,F49),0)))</f>
        <v/>
      </c>
      <c r="R49" s="39">
        <f>IF(A49="","",IF(M49&lt;&gt;"",M49,G49))</f>
        <v/>
      </c>
      <c r="S49" s="39">
        <f>IF(A49="","",IF(N49&lt;&gt;"",N49,H49))</f>
        <v/>
      </c>
      <c r="T49" s="39">
        <f>IF(A49="","",IF(C49="✗","Skipped",IF(Q49&gt;0,"Paid","Upcoming")))</f>
        <v/>
      </c>
      <c r="U49" s="42">
        <f>IF(A49="",0,IF(C49="✗",0,IF(L49&lt;&gt;"",L49,F49)))</f>
        <v/>
      </c>
    </row>
    <row r="50">
      <c r="A50" s="32">
        <f>IFERROR(SMALL(Calc!$B$2:$BB$61,45),"")</f>
        <v/>
      </c>
      <c r="B50" s="32">
        <f>IF(A50="","",ROUND(MOD(A50,1)*1000,0))</f>
        <v/>
      </c>
      <c r="C50" s="33" t="n"/>
      <c r="D50" s="34">
        <f>IF(A50="","",INT(A50))</f>
        <v/>
      </c>
      <c r="E50" s="35">
        <f>IF(B50="","",INDEX(Setup!$D$25:$D$84,B50))</f>
        <v/>
      </c>
      <c r="F50" s="36">
        <f>IF(B50="","",INDEX(Setup!$E$25:$E$84,B50))</f>
        <v/>
      </c>
      <c r="G50" s="32">
        <f>IF(B50="","",INDEX(Setup!$I$25:$I$84,B50)&amp;"")</f>
        <v/>
      </c>
      <c r="H50" s="32">
        <f>IF(B50="","",INDEX(Setup!$J$25:$J$84,B50)&amp;"")</f>
        <v/>
      </c>
      <c r="I50" s="32">
        <f>IF(B50="","",INDEX(Setup!$C$25:$C$84,B50))</f>
        <v/>
      </c>
      <c r="J50" s="32" t="n"/>
      <c r="K50" s="37" t="n"/>
      <c r="L50" s="38" t="n"/>
      <c r="M50" s="33" t="n"/>
      <c r="N50" s="33" t="n"/>
      <c r="O50" s="32" t="n"/>
      <c r="P50" s="34">
        <f>IF(A50="","",IF(K50&lt;&gt;"",K50,D50))</f>
        <v/>
      </c>
      <c r="Q50" s="36">
        <f>IF(A50="",0,IF(C50="✗",0,IF(OR(C50="✓",AND(Setup!$D$7="Yes",P50&lt;=TODAY())),IF(L50&lt;&gt;"",L50,F50),0)))</f>
        <v/>
      </c>
      <c r="R50" s="32">
        <f>IF(A50="","",IF(M50&lt;&gt;"",M50,G50))</f>
        <v/>
      </c>
      <c r="S50" s="32">
        <f>IF(A50="","",IF(N50&lt;&gt;"",N50,H50))</f>
        <v/>
      </c>
      <c r="T50" s="32">
        <f>IF(A50="","",IF(C50="✗","Skipped",IF(Q50&gt;0,"Paid","Upcoming")))</f>
        <v/>
      </c>
      <c r="U50" s="36">
        <f>IF(A50="",0,IF(C50="✗",0,IF(L50&lt;&gt;"",L50,F50)))</f>
        <v/>
      </c>
    </row>
    <row r="51">
      <c r="A51" s="39">
        <f>IFERROR(SMALL(Calc!$B$2:$BB$61,46),"")</f>
        <v/>
      </c>
      <c r="B51" s="39">
        <f>IF(A51="","",ROUND(MOD(A51,1)*1000,0))</f>
        <v/>
      </c>
      <c r="C51" s="33" t="n"/>
      <c r="D51" s="40">
        <f>IF(A51="","",INT(A51))</f>
        <v/>
      </c>
      <c r="E51" s="41">
        <f>IF(B51="","",INDEX(Setup!$D$25:$D$84,B51))</f>
        <v/>
      </c>
      <c r="F51" s="42">
        <f>IF(B51="","",INDEX(Setup!$E$25:$E$84,B51))</f>
        <v/>
      </c>
      <c r="G51" s="39">
        <f>IF(B51="","",INDEX(Setup!$I$25:$I$84,B51)&amp;"")</f>
        <v/>
      </c>
      <c r="H51" s="39">
        <f>IF(B51="","",INDEX(Setup!$J$25:$J$84,B51)&amp;"")</f>
        <v/>
      </c>
      <c r="I51" s="39">
        <f>IF(B51="","",INDEX(Setup!$C$25:$C$84,B51))</f>
        <v/>
      </c>
      <c r="J51" s="39" t="n"/>
      <c r="K51" s="37" t="n"/>
      <c r="L51" s="38" t="n"/>
      <c r="M51" s="33" t="n"/>
      <c r="N51" s="33" t="n"/>
      <c r="O51" s="39" t="n"/>
      <c r="P51" s="40">
        <f>IF(A51="","",IF(K51&lt;&gt;"",K51,D51))</f>
        <v/>
      </c>
      <c r="Q51" s="42">
        <f>IF(A51="",0,IF(C51="✗",0,IF(OR(C51="✓",AND(Setup!$D$7="Yes",P51&lt;=TODAY())),IF(L51&lt;&gt;"",L51,F51),0)))</f>
        <v/>
      </c>
      <c r="R51" s="39">
        <f>IF(A51="","",IF(M51&lt;&gt;"",M51,G51))</f>
        <v/>
      </c>
      <c r="S51" s="39">
        <f>IF(A51="","",IF(N51&lt;&gt;"",N51,H51))</f>
        <v/>
      </c>
      <c r="T51" s="39">
        <f>IF(A51="","",IF(C51="✗","Skipped",IF(Q51&gt;0,"Paid","Upcoming")))</f>
        <v/>
      </c>
      <c r="U51" s="42">
        <f>IF(A51="",0,IF(C51="✗",0,IF(L51&lt;&gt;"",L51,F51)))</f>
        <v/>
      </c>
    </row>
    <row r="52">
      <c r="A52" s="32">
        <f>IFERROR(SMALL(Calc!$B$2:$BB$61,47),"")</f>
        <v/>
      </c>
      <c r="B52" s="32">
        <f>IF(A52="","",ROUND(MOD(A52,1)*1000,0))</f>
        <v/>
      </c>
      <c r="C52" s="33" t="n"/>
      <c r="D52" s="34">
        <f>IF(A52="","",INT(A52))</f>
        <v/>
      </c>
      <c r="E52" s="35">
        <f>IF(B52="","",INDEX(Setup!$D$25:$D$84,B52))</f>
        <v/>
      </c>
      <c r="F52" s="36">
        <f>IF(B52="","",INDEX(Setup!$E$25:$E$84,B52))</f>
        <v/>
      </c>
      <c r="G52" s="32">
        <f>IF(B52="","",INDEX(Setup!$I$25:$I$84,B52)&amp;"")</f>
        <v/>
      </c>
      <c r="H52" s="32">
        <f>IF(B52="","",INDEX(Setup!$J$25:$J$84,B52)&amp;"")</f>
        <v/>
      </c>
      <c r="I52" s="32">
        <f>IF(B52="","",INDEX(Setup!$C$25:$C$84,B52))</f>
        <v/>
      </c>
      <c r="J52" s="32" t="n"/>
      <c r="K52" s="37" t="n"/>
      <c r="L52" s="38" t="n"/>
      <c r="M52" s="33" t="n"/>
      <c r="N52" s="33" t="n"/>
      <c r="O52" s="32" t="n"/>
      <c r="P52" s="34">
        <f>IF(A52="","",IF(K52&lt;&gt;"",K52,D52))</f>
        <v/>
      </c>
      <c r="Q52" s="36">
        <f>IF(A52="",0,IF(C52="✗",0,IF(OR(C52="✓",AND(Setup!$D$7="Yes",P52&lt;=TODAY())),IF(L52&lt;&gt;"",L52,F52),0)))</f>
        <v/>
      </c>
      <c r="R52" s="32">
        <f>IF(A52="","",IF(M52&lt;&gt;"",M52,G52))</f>
        <v/>
      </c>
      <c r="S52" s="32">
        <f>IF(A52="","",IF(N52&lt;&gt;"",N52,H52))</f>
        <v/>
      </c>
      <c r="T52" s="32">
        <f>IF(A52="","",IF(C52="✗","Skipped",IF(Q52&gt;0,"Paid","Upcoming")))</f>
        <v/>
      </c>
      <c r="U52" s="36">
        <f>IF(A52="",0,IF(C52="✗",0,IF(L52&lt;&gt;"",L52,F52)))</f>
        <v/>
      </c>
    </row>
    <row r="53">
      <c r="A53" s="39">
        <f>IFERROR(SMALL(Calc!$B$2:$BB$61,48),"")</f>
        <v/>
      </c>
      <c r="B53" s="39">
        <f>IF(A53="","",ROUND(MOD(A53,1)*1000,0))</f>
        <v/>
      </c>
      <c r="C53" s="33" t="n"/>
      <c r="D53" s="40">
        <f>IF(A53="","",INT(A53))</f>
        <v/>
      </c>
      <c r="E53" s="41">
        <f>IF(B53="","",INDEX(Setup!$D$25:$D$84,B53))</f>
        <v/>
      </c>
      <c r="F53" s="42">
        <f>IF(B53="","",INDEX(Setup!$E$25:$E$84,B53))</f>
        <v/>
      </c>
      <c r="G53" s="39">
        <f>IF(B53="","",INDEX(Setup!$I$25:$I$84,B53)&amp;"")</f>
        <v/>
      </c>
      <c r="H53" s="39">
        <f>IF(B53="","",INDEX(Setup!$J$25:$J$84,B53)&amp;"")</f>
        <v/>
      </c>
      <c r="I53" s="39">
        <f>IF(B53="","",INDEX(Setup!$C$25:$C$84,B53))</f>
        <v/>
      </c>
      <c r="J53" s="39" t="n"/>
      <c r="K53" s="37" t="n"/>
      <c r="L53" s="38" t="n"/>
      <c r="M53" s="33" t="n"/>
      <c r="N53" s="33" t="n"/>
      <c r="O53" s="39" t="n"/>
      <c r="P53" s="40">
        <f>IF(A53="","",IF(K53&lt;&gt;"",K53,D53))</f>
        <v/>
      </c>
      <c r="Q53" s="42">
        <f>IF(A53="",0,IF(C53="✗",0,IF(OR(C53="✓",AND(Setup!$D$7="Yes",P53&lt;=TODAY())),IF(L53&lt;&gt;"",L53,F53),0)))</f>
        <v/>
      </c>
      <c r="R53" s="39">
        <f>IF(A53="","",IF(M53&lt;&gt;"",M53,G53))</f>
        <v/>
      </c>
      <c r="S53" s="39">
        <f>IF(A53="","",IF(N53&lt;&gt;"",N53,H53))</f>
        <v/>
      </c>
      <c r="T53" s="39">
        <f>IF(A53="","",IF(C53="✗","Skipped",IF(Q53&gt;0,"Paid","Upcoming")))</f>
        <v/>
      </c>
      <c r="U53" s="42">
        <f>IF(A53="",0,IF(C53="✗",0,IF(L53&lt;&gt;"",L53,F53)))</f>
        <v/>
      </c>
    </row>
    <row r="54">
      <c r="A54" s="32">
        <f>IFERROR(SMALL(Calc!$B$2:$BB$61,49),"")</f>
        <v/>
      </c>
      <c r="B54" s="32">
        <f>IF(A54="","",ROUND(MOD(A54,1)*1000,0))</f>
        <v/>
      </c>
      <c r="C54" s="33" t="n"/>
      <c r="D54" s="34">
        <f>IF(A54="","",INT(A54))</f>
        <v/>
      </c>
      <c r="E54" s="35">
        <f>IF(B54="","",INDEX(Setup!$D$25:$D$84,B54))</f>
        <v/>
      </c>
      <c r="F54" s="36">
        <f>IF(B54="","",INDEX(Setup!$E$25:$E$84,B54))</f>
        <v/>
      </c>
      <c r="G54" s="32">
        <f>IF(B54="","",INDEX(Setup!$I$25:$I$84,B54)&amp;"")</f>
        <v/>
      </c>
      <c r="H54" s="32">
        <f>IF(B54="","",INDEX(Setup!$J$25:$J$84,B54)&amp;"")</f>
        <v/>
      </c>
      <c r="I54" s="32">
        <f>IF(B54="","",INDEX(Setup!$C$25:$C$84,B54))</f>
        <v/>
      </c>
      <c r="J54" s="32" t="n"/>
      <c r="K54" s="37" t="n"/>
      <c r="L54" s="38" t="n"/>
      <c r="M54" s="33" t="n"/>
      <c r="N54" s="33" t="n"/>
      <c r="O54" s="32" t="n"/>
      <c r="P54" s="34">
        <f>IF(A54="","",IF(K54&lt;&gt;"",K54,D54))</f>
        <v/>
      </c>
      <c r="Q54" s="36">
        <f>IF(A54="",0,IF(C54="✗",0,IF(OR(C54="✓",AND(Setup!$D$7="Yes",P54&lt;=TODAY())),IF(L54&lt;&gt;"",L54,F54),0)))</f>
        <v/>
      </c>
      <c r="R54" s="32">
        <f>IF(A54="","",IF(M54&lt;&gt;"",M54,G54))</f>
        <v/>
      </c>
      <c r="S54" s="32">
        <f>IF(A54="","",IF(N54&lt;&gt;"",N54,H54))</f>
        <v/>
      </c>
      <c r="T54" s="32">
        <f>IF(A54="","",IF(C54="✗","Skipped",IF(Q54&gt;0,"Paid","Upcoming")))</f>
        <v/>
      </c>
      <c r="U54" s="36">
        <f>IF(A54="",0,IF(C54="✗",0,IF(L54&lt;&gt;"",L54,F54)))</f>
        <v/>
      </c>
    </row>
    <row r="55">
      <c r="A55" s="39">
        <f>IFERROR(SMALL(Calc!$B$2:$BB$61,50),"")</f>
        <v/>
      </c>
      <c r="B55" s="39">
        <f>IF(A55="","",ROUND(MOD(A55,1)*1000,0))</f>
        <v/>
      </c>
      <c r="C55" s="33" t="n"/>
      <c r="D55" s="40">
        <f>IF(A55="","",INT(A55))</f>
        <v/>
      </c>
      <c r="E55" s="41">
        <f>IF(B55="","",INDEX(Setup!$D$25:$D$84,B55))</f>
        <v/>
      </c>
      <c r="F55" s="42">
        <f>IF(B55="","",INDEX(Setup!$E$25:$E$84,B55))</f>
        <v/>
      </c>
      <c r="G55" s="39">
        <f>IF(B55="","",INDEX(Setup!$I$25:$I$84,B55)&amp;"")</f>
        <v/>
      </c>
      <c r="H55" s="39">
        <f>IF(B55="","",INDEX(Setup!$J$25:$J$84,B55)&amp;"")</f>
        <v/>
      </c>
      <c r="I55" s="39">
        <f>IF(B55="","",INDEX(Setup!$C$25:$C$84,B55))</f>
        <v/>
      </c>
      <c r="J55" s="39" t="n"/>
      <c r="K55" s="37" t="n"/>
      <c r="L55" s="38" t="n"/>
      <c r="M55" s="33" t="n"/>
      <c r="N55" s="33" t="n"/>
      <c r="O55" s="39" t="n"/>
      <c r="P55" s="40">
        <f>IF(A55="","",IF(K55&lt;&gt;"",K55,D55))</f>
        <v/>
      </c>
      <c r="Q55" s="42">
        <f>IF(A55="",0,IF(C55="✗",0,IF(OR(C55="✓",AND(Setup!$D$7="Yes",P55&lt;=TODAY())),IF(L55&lt;&gt;"",L55,F55),0)))</f>
        <v/>
      </c>
      <c r="R55" s="39">
        <f>IF(A55="","",IF(M55&lt;&gt;"",M55,G55))</f>
        <v/>
      </c>
      <c r="S55" s="39">
        <f>IF(A55="","",IF(N55&lt;&gt;"",N55,H55))</f>
        <v/>
      </c>
      <c r="T55" s="39">
        <f>IF(A55="","",IF(C55="✗","Skipped",IF(Q55&gt;0,"Paid","Upcoming")))</f>
        <v/>
      </c>
      <c r="U55" s="42">
        <f>IF(A55="",0,IF(C55="✗",0,IF(L55&lt;&gt;"",L55,F55)))</f>
        <v/>
      </c>
    </row>
    <row r="56">
      <c r="A56" s="32">
        <f>IFERROR(SMALL(Calc!$B$2:$BB$61,51),"")</f>
        <v/>
      </c>
      <c r="B56" s="32">
        <f>IF(A56="","",ROUND(MOD(A56,1)*1000,0))</f>
        <v/>
      </c>
      <c r="C56" s="33" t="n"/>
      <c r="D56" s="34">
        <f>IF(A56="","",INT(A56))</f>
        <v/>
      </c>
      <c r="E56" s="35">
        <f>IF(B56="","",INDEX(Setup!$D$25:$D$84,B56))</f>
        <v/>
      </c>
      <c r="F56" s="36">
        <f>IF(B56="","",INDEX(Setup!$E$25:$E$84,B56))</f>
        <v/>
      </c>
      <c r="G56" s="32">
        <f>IF(B56="","",INDEX(Setup!$I$25:$I$84,B56)&amp;"")</f>
        <v/>
      </c>
      <c r="H56" s="32">
        <f>IF(B56="","",INDEX(Setup!$J$25:$J$84,B56)&amp;"")</f>
        <v/>
      </c>
      <c r="I56" s="32">
        <f>IF(B56="","",INDEX(Setup!$C$25:$C$84,B56))</f>
        <v/>
      </c>
      <c r="J56" s="32" t="n"/>
      <c r="K56" s="37" t="n"/>
      <c r="L56" s="38" t="n"/>
      <c r="M56" s="33" t="n"/>
      <c r="N56" s="33" t="n"/>
      <c r="O56" s="32" t="n"/>
      <c r="P56" s="34">
        <f>IF(A56="","",IF(K56&lt;&gt;"",K56,D56))</f>
        <v/>
      </c>
      <c r="Q56" s="36">
        <f>IF(A56="",0,IF(C56="✗",0,IF(OR(C56="✓",AND(Setup!$D$7="Yes",P56&lt;=TODAY())),IF(L56&lt;&gt;"",L56,F56),0)))</f>
        <v/>
      </c>
      <c r="R56" s="32">
        <f>IF(A56="","",IF(M56&lt;&gt;"",M56,G56))</f>
        <v/>
      </c>
      <c r="S56" s="32">
        <f>IF(A56="","",IF(N56&lt;&gt;"",N56,H56))</f>
        <v/>
      </c>
      <c r="T56" s="32">
        <f>IF(A56="","",IF(C56="✗","Skipped",IF(Q56&gt;0,"Paid","Upcoming")))</f>
        <v/>
      </c>
      <c r="U56" s="36">
        <f>IF(A56="",0,IF(C56="✗",0,IF(L56&lt;&gt;"",L56,F56)))</f>
        <v/>
      </c>
    </row>
    <row r="57">
      <c r="A57" s="39">
        <f>IFERROR(SMALL(Calc!$B$2:$BB$61,52),"")</f>
        <v/>
      </c>
      <c r="B57" s="39">
        <f>IF(A57="","",ROUND(MOD(A57,1)*1000,0))</f>
        <v/>
      </c>
      <c r="C57" s="33" t="n"/>
      <c r="D57" s="40">
        <f>IF(A57="","",INT(A57))</f>
        <v/>
      </c>
      <c r="E57" s="41">
        <f>IF(B57="","",INDEX(Setup!$D$25:$D$84,B57))</f>
        <v/>
      </c>
      <c r="F57" s="42">
        <f>IF(B57="","",INDEX(Setup!$E$25:$E$84,B57))</f>
        <v/>
      </c>
      <c r="G57" s="39">
        <f>IF(B57="","",INDEX(Setup!$I$25:$I$84,B57)&amp;"")</f>
        <v/>
      </c>
      <c r="H57" s="39">
        <f>IF(B57="","",INDEX(Setup!$J$25:$J$84,B57)&amp;"")</f>
        <v/>
      </c>
      <c r="I57" s="39">
        <f>IF(B57="","",INDEX(Setup!$C$25:$C$84,B57))</f>
        <v/>
      </c>
      <c r="J57" s="39" t="n"/>
      <c r="K57" s="37" t="n"/>
      <c r="L57" s="38" t="n"/>
      <c r="M57" s="33" t="n"/>
      <c r="N57" s="33" t="n"/>
      <c r="O57" s="39" t="n"/>
      <c r="P57" s="40">
        <f>IF(A57="","",IF(K57&lt;&gt;"",K57,D57))</f>
        <v/>
      </c>
      <c r="Q57" s="42">
        <f>IF(A57="",0,IF(C57="✗",0,IF(OR(C57="✓",AND(Setup!$D$7="Yes",P57&lt;=TODAY())),IF(L57&lt;&gt;"",L57,F57),0)))</f>
        <v/>
      </c>
      <c r="R57" s="39">
        <f>IF(A57="","",IF(M57&lt;&gt;"",M57,G57))</f>
        <v/>
      </c>
      <c r="S57" s="39">
        <f>IF(A57="","",IF(N57&lt;&gt;"",N57,H57))</f>
        <v/>
      </c>
      <c r="T57" s="39">
        <f>IF(A57="","",IF(C57="✗","Skipped",IF(Q57&gt;0,"Paid","Upcoming")))</f>
        <v/>
      </c>
      <c r="U57" s="42">
        <f>IF(A57="",0,IF(C57="✗",0,IF(L57&lt;&gt;"",L57,F57)))</f>
        <v/>
      </c>
    </row>
    <row r="58">
      <c r="A58" s="32">
        <f>IFERROR(SMALL(Calc!$B$2:$BB$61,53),"")</f>
        <v/>
      </c>
      <c r="B58" s="32">
        <f>IF(A58="","",ROUND(MOD(A58,1)*1000,0))</f>
        <v/>
      </c>
      <c r="C58" s="33" t="n"/>
      <c r="D58" s="34">
        <f>IF(A58="","",INT(A58))</f>
        <v/>
      </c>
      <c r="E58" s="35">
        <f>IF(B58="","",INDEX(Setup!$D$25:$D$84,B58))</f>
        <v/>
      </c>
      <c r="F58" s="36">
        <f>IF(B58="","",INDEX(Setup!$E$25:$E$84,B58))</f>
        <v/>
      </c>
      <c r="G58" s="32">
        <f>IF(B58="","",INDEX(Setup!$I$25:$I$84,B58)&amp;"")</f>
        <v/>
      </c>
      <c r="H58" s="32">
        <f>IF(B58="","",INDEX(Setup!$J$25:$J$84,B58)&amp;"")</f>
        <v/>
      </c>
      <c r="I58" s="32">
        <f>IF(B58="","",INDEX(Setup!$C$25:$C$84,B58))</f>
        <v/>
      </c>
      <c r="J58" s="32" t="n"/>
      <c r="K58" s="37" t="n"/>
      <c r="L58" s="38" t="n"/>
      <c r="M58" s="33" t="n"/>
      <c r="N58" s="33" t="n"/>
      <c r="O58" s="32" t="n"/>
      <c r="P58" s="34">
        <f>IF(A58="","",IF(K58&lt;&gt;"",K58,D58))</f>
        <v/>
      </c>
      <c r="Q58" s="36">
        <f>IF(A58="",0,IF(C58="✗",0,IF(OR(C58="✓",AND(Setup!$D$7="Yes",P58&lt;=TODAY())),IF(L58&lt;&gt;"",L58,F58),0)))</f>
        <v/>
      </c>
      <c r="R58" s="32">
        <f>IF(A58="","",IF(M58&lt;&gt;"",M58,G58))</f>
        <v/>
      </c>
      <c r="S58" s="32">
        <f>IF(A58="","",IF(N58&lt;&gt;"",N58,H58))</f>
        <v/>
      </c>
      <c r="T58" s="32">
        <f>IF(A58="","",IF(C58="✗","Skipped",IF(Q58&gt;0,"Paid","Upcoming")))</f>
        <v/>
      </c>
      <c r="U58" s="36">
        <f>IF(A58="",0,IF(C58="✗",0,IF(L58&lt;&gt;"",L58,F58)))</f>
        <v/>
      </c>
    </row>
    <row r="59">
      <c r="A59" s="39">
        <f>IFERROR(SMALL(Calc!$B$2:$BB$61,54),"")</f>
        <v/>
      </c>
      <c r="B59" s="39">
        <f>IF(A59="","",ROUND(MOD(A59,1)*1000,0))</f>
        <v/>
      </c>
      <c r="C59" s="33" t="n"/>
      <c r="D59" s="40">
        <f>IF(A59="","",INT(A59))</f>
        <v/>
      </c>
      <c r="E59" s="41">
        <f>IF(B59="","",INDEX(Setup!$D$25:$D$84,B59))</f>
        <v/>
      </c>
      <c r="F59" s="42">
        <f>IF(B59="","",INDEX(Setup!$E$25:$E$84,B59))</f>
        <v/>
      </c>
      <c r="G59" s="39">
        <f>IF(B59="","",INDEX(Setup!$I$25:$I$84,B59)&amp;"")</f>
        <v/>
      </c>
      <c r="H59" s="39">
        <f>IF(B59="","",INDEX(Setup!$J$25:$J$84,B59)&amp;"")</f>
        <v/>
      </c>
      <c r="I59" s="39">
        <f>IF(B59="","",INDEX(Setup!$C$25:$C$84,B59))</f>
        <v/>
      </c>
      <c r="J59" s="39" t="n"/>
      <c r="K59" s="37" t="n"/>
      <c r="L59" s="38" t="n"/>
      <c r="M59" s="33" t="n"/>
      <c r="N59" s="33" t="n"/>
      <c r="O59" s="39" t="n"/>
      <c r="P59" s="40">
        <f>IF(A59="","",IF(K59&lt;&gt;"",K59,D59))</f>
        <v/>
      </c>
      <c r="Q59" s="42">
        <f>IF(A59="",0,IF(C59="✗",0,IF(OR(C59="✓",AND(Setup!$D$7="Yes",P59&lt;=TODAY())),IF(L59&lt;&gt;"",L59,F59),0)))</f>
        <v/>
      </c>
      <c r="R59" s="39">
        <f>IF(A59="","",IF(M59&lt;&gt;"",M59,G59))</f>
        <v/>
      </c>
      <c r="S59" s="39">
        <f>IF(A59="","",IF(N59&lt;&gt;"",N59,H59))</f>
        <v/>
      </c>
      <c r="T59" s="39">
        <f>IF(A59="","",IF(C59="✗","Skipped",IF(Q59&gt;0,"Paid","Upcoming")))</f>
        <v/>
      </c>
      <c r="U59" s="42">
        <f>IF(A59="",0,IF(C59="✗",0,IF(L59&lt;&gt;"",L59,F59)))</f>
        <v/>
      </c>
    </row>
    <row r="60">
      <c r="A60" s="32">
        <f>IFERROR(SMALL(Calc!$B$2:$BB$61,55),"")</f>
        <v/>
      </c>
      <c r="B60" s="32">
        <f>IF(A60="","",ROUND(MOD(A60,1)*1000,0))</f>
        <v/>
      </c>
      <c r="C60" s="33" t="n"/>
      <c r="D60" s="34">
        <f>IF(A60="","",INT(A60))</f>
        <v/>
      </c>
      <c r="E60" s="35">
        <f>IF(B60="","",INDEX(Setup!$D$25:$D$84,B60))</f>
        <v/>
      </c>
      <c r="F60" s="36">
        <f>IF(B60="","",INDEX(Setup!$E$25:$E$84,B60))</f>
        <v/>
      </c>
      <c r="G60" s="32">
        <f>IF(B60="","",INDEX(Setup!$I$25:$I$84,B60)&amp;"")</f>
        <v/>
      </c>
      <c r="H60" s="32">
        <f>IF(B60="","",INDEX(Setup!$J$25:$J$84,B60)&amp;"")</f>
        <v/>
      </c>
      <c r="I60" s="32">
        <f>IF(B60="","",INDEX(Setup!$C$25:$C$84,B60))</f>
        <v/>
      </c>
      <c r="J60" s="32" t="n"/>
      <c r="K60" s="37" t="n"/>
      <c r="L60" s="38" t="n"/>
      <c r="M60" s="33" t="n"/>
      <c r="N60" s="33" t="n"/>
      <c r="O60" s="32" t="n"/>
      <c r="P60" s="34">
        <f>IF(A60="","",IF(K60&lt;&gt;"",K60,D60))</f>
        <v/>
      </c>
      <c r="Q60" s="36">
        <f>IF(A60="",0,IF(C60="✗",0,IF(OR(C60="✓",AND(Setup!$D$7="Yes",P60&lt;=TODAY())),IF(L60&lt;&gt;"",L60,F60),0)))</f>
        <v/>
      </c>
      <c r="R60" s="32">
        <f>IF(A60="","",IF(M60&lt;&gt;"",M60,G60))</f>
        <v/>
      </c>
      <c r="S60" s="32">
        <f>IF(A60="","",IF(N60&lt;&gt;"",N60,H60))</f>
        <v/>
      </c>
      <c r="T60" s="32">
        <f>IF(A60="","",IF(C60="✗","Skipped",IF(Q60&gt;0,"Paid","Upcoming")))</f>
        <v/>
      </c>
      <c r="U60" s="36">
        <f>IF(A60="",0,IF(C60="✗",0,IF(L60&lt;&gt;"",L60,F60)))</f>
        <v/>
      </c>
    </row>
    <row r="61">
      <c r="A61" s="39">
        <f>IFERROR(SMALL(Calc!$B$2:$BB$61,56),"")</f>
        <v/>
      </c>
      <c r="B61" s="39">
        <f>IF(A61="","",ROUND(MOD(A61,1)*1000,0))</f>
        <v/>
      </c>
      <c r="C61" s="33" t="n"/>
      <c r="D61" s="40">
        <f>IF(A61="","",INT(A61))</f>
        <v/>
      </c>
      <c r="E61" s="41">
        <f>IF(B61="","",INDEX(Setup!$D$25:$D$84,B61))</f>
        <v/>
      </c>
      <c r="F61" s="42">
        <f>IF(B61="","",INDEX(Setup!$E$25:$E$84,B61))</f>
        <v/>
      </c>
      <c r="G61" s="39">
        <f>IF(B61="","",INDEX(Setup!$I$25:$I$84,B61)&amp;"")</f>
        <v/>
      </c>
      <c r="H61" s="39">
        <f>IF(B61="","",INDEX(Setup!$J$25:$J$84,B61)&amp;"")</f>
        <v/>
      </c>
      <c r="I61" s="39">
        <f>IF(B61="","",INDEX(Setup!$C$25:$C$84,B61))</f>
        <v/>
      </c>
      <c r="J61" s="39" t="n"/>
      <c r="K61" s="37" t="n"/>
      <c r="L61" s="38" t="n"/>
      <c r="M61" s="33" t="n"/>
      <c r="N61" s="33" t="n"/>
      <c r="O61" s="39" t="n"/>
      <c r="P61" s="40">
        <f>IF(A61="","",IF(K61&lt;&gt;"",K61,D61))</f>
        <v/>
      </c>
      <c r="Q61" s="42">
        <f>IF(A61="",0,IF(C61="✗",0,IF(OR(C61="✓",AND(Setup!$D$7="Yes",P61&lt;=TODAY())),IF(L61&lt;&gt;"",L61,F61),0)))</f>
        <v/>
      </c>
      <c r="R61" s="39">
        <f>IF(A61="","",IF(M61&lt;&gt;"",M61,G61))</f>
        <v/>
      </c>
      <c r="S61" s="39">
        <f>IF(A61="","",IF(N61&lt;&gt;"",N61,H61))</f>
        <v/>
      </c>
      <c r="T61" s="39">
        <f>IF(A61="","",IF(C61="✗","Skipped",IF(Q61&gt;0,"Paid","Upcoming")))</f>
        <v/>
      </c>
      <c r="U61" s="42">
        <f>IF(A61="",0,IF(C61="✗",0,IF(L61&lt;&gt;"",L61,F61)))</f>
        <v/>
      </c>
    </row>
    <row r="62">
      <c r="A62" s="32">
        <f>IFERROR(SMALL(Calc!$B$2:$BB$61,57),"")</f>
        <v/>
      </c>
      <c r="B62" s="32">
        <f>IF(A62="","",ROUND(MOD(A62,1)*1000,0))</f>
        <v/>
      </c>
      <c r="C62" s="33" t="n"/>
      <c r="D62" s="34">
        <f>IF(A62="","",INT(A62))</f>
        <v/>
      </c>
      <c r="E62" s="35">
        <f>IF(B62="","",INDEX(Setup!$D$25:$D$84,B62))</f>
        <v/>
      </c>
      <c r="F62" s="36">
        <f>IF(B62="","",INDEX(Setup!$E$25:$E$84,B62))</f>
        <v/>
      </c>
      <c r="G62" s="32">
        <f>IF(B62="","",INDEX(Setup!$I$25:$I$84,B62)&amp;"")</f>
        <v/>
      </c>
      <c r="H62" s="32">
        <f>IF(B62="","",INDEX(Setup!$J$25:$J$84,B62)&amp;"")</f>
        <v/>
      </c>
      <c r="I62" s="32">
        <f>IF(B62="","",INDEX(Setup!$C$25:$C$84,B62))</f>
        <v/>
      </c>
      <c r="J62" s="32" t="n"/>
      <c r="K62" s="37" t="n"/>
      <c r="L62" s="38" t="n"/>
      <c r="M62" s="33" t="n"/>
      <c r="N62" s="33" t="n"/>
      <c r="O62" s="32" t="n"/>
      <c r="P62" s="34">
        <f>IF(A62="","",IF(K62&lt;&gt;"",K62,D62))</f>
        <v/>
      </c>
      <c r="Q62" s="36">
        <f>IF(A62="",0,IF(C62="✗",0,IF(OR(C62="✓",AND(Setup!$D$7="Yes",P62&lt;=TODAY())),IF(L62&lt;&gt;"",L62,F62),0)))</f>
        <v/>
      </c>
      <c r="R62" s="32">
        <f>IF(A62="","",IF(M62&lt;&gt;"",M62,G62))</f>
        <v/>
      </c>
      <c r="S62" s="32">
        <f>IF(A62="","",IF(N62&lt;&gt;"",N62,H62))</f>
        <v/>
      </c>
      <c r="T62" s="32">
        <f>IF(A62="","",IF(C62="✗","Skipped",IF(Q62&gt;0,"Paid","Upcoming")))</f>
        <v/>
      </c>
      <c r="U62" s="36">
        <f>IF(A62="",0,IF(C62="✗",0,IF(L62&lt;&gt;"",L62,F62)))</f>
        <v/>
      </c>
    </row>
    <row r="63">
      <c r="A63" s="39">
        <f>IFERROR(SMALL(Calc!$B$2:$BB$61,58),"")</f>
        <v/>
      </c>
      <c r="B63" s="39">
        <f>IF(A63="","",ROUND(MOD(A63,1)*1000,0))</f>
        <v/>
      </c>
      <c r="C63" s="33" t="n"/>
      <c r="D63" s="40">
        <f>IF(A63="","",INT(A63))</f>
        <v/>
      </c>
      <c r="E63" s="41">
        <f>IF(B63="","",INDEX(Setup!$D$25:$D$84,B63))</f>
        <v/>
      </c>
      <c r="F63" s="42">
        <f>IF(B63="","",INDEX(Setup!$E$25:$E$84,B63))</f>
        <v/>
      </c>
      <c r="G63" s="39">
        <f>IF(B63="","",INDEX(Setup!$I$25:$I$84,B63)&amp;"")</f>
        <v/>
      </c>
      <c r="H63" s="39">
        <f>IF(B63="","",INDEX(Setup!$J$25:$J$84,B63)&amp;"")</f>
        <v/>
      </c>
      <c r="I63" s="39">
        <f>IF(B63="","",INDEX(Setup!$C$25:$C$84,B63))</f>
        <v/>
      </c>
      <c r="J63" s="39" t="n"/>
      <c r="K63" s="37" t="n"/>
      <c r="L63" s="38" t="n"/>
      <c r="M63" s="33" t="n"/>
      <c r="N63" s="33" t="n"/>
      <c r="O63" s="39" t="n"/>
      <c r="P63" s="40">
        <f>IF(A63="","",IF(K63&lt;&gt;"",K63,D63))</f>
        <v/>
      </c>
      <c r="Q63" s="42">
        <f>IF(A63="",0,IF(C63="✗",0,IF(OR(C63="✓",AND(Setup!$D$7="Yes",P63&lt;=TODAY())),IF(L63&lt;&gt;"",L63,F63),0)))</f>
        <v/>
      </c>
      <c r="R63" s="39">
        <f>IF(A63="","",IF(M63&lt;&gt;"",M63,G63))</f>
        <v/>
      </c>
      <c r="S63" s="39">
        <f>IF(A63="","",IF(N63&lt;&gt;"",N63,H63))</f>
        <v/>
      </c>
      <c r="T63" s="39">
        <f>IF(A63="","",IF(C63="✗","Skipped",IF(Q63&gt;0,"Paid","Upcoming")))</f>
        <v/>
      </c>
      <c r="U63" s="42">
        <f>IF(A63="",0,IF(C63="✗",0,IF(L63&lt;&gt;"",L63,F63)))</f>
        <v/>
      </c>
    </row>
    <row r="64">
      <c r="A64" s="32">
        <f>IFERROR(SMALL(Calc!$B$2:$BB$61,59),"")</f>
        <v/>
      </c>
      <c r="B64" s="32">
        <f>IF(A64="","",ROUND(MOD(A64,1)*1000,0))</f>
        <v/>
      </c>
      <c r="C64" s="33" t="n"/>
      <c r="D64" s="34">
        <f>IF(A64="","",INT(A64))</f>
        <v/>
      </c>
      <c r="E64" s="35">
        <f>IF(B64="","",INDEX(Setup!$D$25:$D$84,B64))</f>
        <v/>
      </c>
      <c r="F64" s="36">
        <f>IF(B64="","",INDEX(Setup!$E$25:$E$84,B64))</f>
        <v/>
      </c>
      <c r="G64" s="32">
        <f>IF(B64="","",INDEX(Setup!$I$25:$I$84,B64)&amp;"")</f>
        <v/>
      </c>
      <c r="H64" s="32">
        <f>IF(B64="","",INDEX(Setup!$J$25:$J$84,B64)&amp;"")</f>
        <v/>
      </c>
      <c r="I64" s="32">
        <f>IF(B64="","",INDEX(Setup!$C$25:$C$84,B64))</f>
        <v/>
      </c>
      <c r="J64" s="32" t="n"/>
      <c r="K64" s="37" t="n"/>
      <c r="L64" s="38" t="n"/>
      <c r="M64" s="33" t="n"/>
      <c r="N64" s="33" t="n"/>
      <c r="O64" s="32" t="n"/>
      <c r="P64" s="34">
        <f>IF(A64="","",IF(K64&lt;&gt;"",K64,D64))</f>
        <v/>
      </c>
      <c r="Q64" s="36">
        <f>IF(A64="",0,IF(C64="✗",0,IF(OR(C64="✓",AND(Setup!$D$7="Yes",P64&lt;=TODAY())),IF(L64&lt;&gt;"",L64,F64),0)))</f>
        <v/>
      </c>
      <c r="R64" s="32">
        <f>IF(A64="","",IF(M64&lt;&gt;"",M64,G64))</f>
        <v/>
      </c>
      <c r="S64" s="32">
        <f>IF(A64="","",IF(N64&lt;&gt;"",N64,H64))</f>
        <v/>
      </c>
      <c r="T64" s="32">
        <f>IF(A64="","",IF(C64="✗","Skipped",IF(Q64&gt;0,"Paid","Upcoming")))</f>
        <v/>
      </c>
      <c r="U64" s="36">
        <f>IF(A64="",0,IF(C64="✗",0,IF(L64&lt;&gt;"",L64,F64)))</f>
        <v/>
      </c>
    </row>
    <row r="65">
      <c r="A65" s="39">
        <f>IFERROR(SMALL(Calc!$B$2:$BB$61,60),"")</f>
        <v/>
      </c>
      <c r="B65" s="39">
        <f>IF(A65="","",ROUND(MOD(A65,1)*1000,0))</f>
        <v/>
      </c>
      <c r="C65" s="33" t="n"/>
      <c r="D65" s="40">
        <f>IF(A65="","",INT(A65))</f>
        <v/>
      </c>
      <c r="E65" s="41">
        <f>IF(B65="","",INDEX(Setup!$D$25:$D$84,B65))</f>
        <v/>
      </c>
      <c r="F65" s="42">
        <f>IF(B65="","",INDEX(Setup!$E$25:$E$84,B65))</f>
        <v/>
      </c>
      <c r="G65" s="39">
        <f>IF(B65="","",INDEX(Setup!$I$25:$I$84,B65)&amp;"")</f>
        <v/>
      </c>
      <c r="H65" s="39">
        <f>IF(B65="","",INDEX(Setup!$J$25:$J$84,B65)&amp;"")</f>
        <v/>
      </c>
      <c r="I65" s="39">
        <f>IF(B65="","",INDEX(Setup!$C$25:$C$84,B65))</f>
        <v/>
      </c>
      <c r="J65" s="39" t="n"/>
      <c r="K65" s="37" t="n"/>
      <c r="L65" s="38" t="n"/>
      <c r="M65" s="33" t="n"/>
      <c r="N65" s="33" t="n"/>
      <c r="O65" s="39" t="n"/>
      <c r="P65" s="40">
        <f>IF(A65="","",IF(K65&lt;&gt;"",K65,D65))</f>
        <v/>
      </c>
      <c r="Q65" s="42">
        <f>IF(A65="",0,IF(C65="✗",0,IF(OR(C65="✓",AND(Setup!$D$7="Yes",P65&lt;=TODAY())),IF(L65&lt;&gt;"",L65,F65),0)))</f>
        <v/>
      </c>
      <c r="R65" s="39">
        <f>IF(A65="","",IF(M65&lt;&gt;"",M65,G65))</f>
        <v/>
      </c>
      <c r="S65" s="39">
        <f>IF(A65="","",IF(N65&lt;&gt;"",N65,H65))</f>
        <v/>
      </c>
      <c r="T65" s="39">
        <f>IF(A65="","",IF(C65="✗","Skipped",IF(Q65&gt;0,"Paid","Upcoming")))</f>
        <v/>
      </c>
      <c r="U65" s="42">
        <f>IF(A65="",0,IF(C65="✗",0,IF(L65&lt;&gt;"",L65,F65)))</f>
        <v/>
      </c>
    </row>
    <row r="66">
      <c r="A66" s="32">
        <f>IFERROR(SMALL(Calc!$B$2:$BB$61,61),"")</f>
        <v/>
      </c>
      <c r="B66" s="32">
        <f>IF(A66="","",ROUND(MOD(A66,1)*1000,0))</f>
        <v/>
      </c>
      <c r="C66" s="33" t="n"/>
      <c r="D66" s="34">
        <f>IF(A66="","",INT(A66))</f>
        <v/>
      </c>
      <c r="E66" s="35">
        <f>IF(B66="","",INDEX(Setup!$D$25:$D$84,B66))</f>
        <v/>
      </c>
      <c r="F66" s="36">
        <f>IF(B66="","",INDEX(Setup!$E$25:$E$84,B66))</f>
        <v/>
      </c>
      <c r="G66" s="32">
        <f>IF(B66="","",INDEX(Setup!$I$25:$I$84,B66)&amp;"")</f>
        <v/>
      </c>
      <c r="H66" s="32">
        <f>IF(B66="","",INDEX(Setup!$J$25:$J$84,B66)&amp;"")</f>
        <v/>
      </c>
      <c r="I66" s="32">
        <f>IF(B66="","",INDEX(Setup!$C$25:$C$84,B66))</f>
        <v/>
      </c>
      <c r="J66" s="32" t="n"/>
      <c r="K66" s="37" t="n"/>
      <c r="L66" s="38" t="n"/>
      <c r="M66" s="33" t="n"/>
      <c r="N66" s="33" t="n"/>
      <c r="O66" s="32" t="n"/>
      <c r="P66" s="34">
        <f>IF(A66="","",IF(K66&lt;&gt;"",K66,D66))</f>
        <v/>
      </c>
      <c r="Q66" s="36">
        <f>IF(A66="",0,IF(C66="✗",0,IF(OR(C66="✓",AND(Setup!$D$7="Yes",P66&lt;=TODAY())),IF(L66&lt;&gt;"",L66,F66),0)))</f>
        <v/>
      </c>
      <c r="R66" s="32">
        <f>IF(A66="","",IF(M66&lt;&gt;"",M66,G66))</f>
        <v/>
      </c>
      <c r="S66" s="32">
        <f>IF(A66="","",IF(N66&lt;&gt;"",N66,H66))</f>
        <v/>
      </c>
      <c r="T66" s="32">
        <f>IF(A66="","",IF(C66="✗","Skipped",IF(Q66&gt;0,"Paid","Upcoming")))</f>
        <v/>
      </c>
      <c r="U66" s="36">
        <f>IF(A66="",0,IF(C66="✗",0,IF(L66&lt;&gt;"",L66,F66)))</f>
        <v/>
      </c>
    </row>
    <row r="67">
      <c r="A67" s="39">
        <f>IFERROR(SMALL(Calc!$B$2:$BB$61,62),"")</f>
        <v/>
      </c>
      <c r="B67" s="39">
        <f>IF(A67="","",ROUND(MOD(A67,1)*1000,0))</f>
        <v/>
      </c>
      <c r="C67" s="33" t="n"/>
      <c r="D67" s="40">
        <f>IF(A67="","",INT(A67))</f>
        <v/>
      </c>
      <c r="E67" s="41">
        <f>IF(B67="","",INDEX(Setup!$D$25:$D$84,B67))</f>
        <v/>
      </c>
      <c r="F67" s="42">
        <f>IF(B67="","",INDEX(Setup!$E$25:$E$84,B67))</f>
        <v/>
      </c>
      <c r="G67" s="39">
        <f>IF(B67="","",INDEX(Setup!$I$25:$I$84,B67)&amp;"")</f>
        <v/>
      </c>
      <c r="H67" s="39">
        <f>IF(B67="","",INDEX(Setup!$J$25:$J$84,B67)&amp;"")</f>
        <v/>
      </c>
      <c r="I67" s="39">
        <f>IF(B67="","",INDEX(Setup!$C$25:$C$84,B67))</f>
        <v/>
      </c>
      <c r="J67" s="39" t="n"/>
      <c r="K67" s="37" t="n"/>
      <c r="L67" s="38" t="n"/>
      <c r="M67" s="33" t="n"/>
      <c r="N67" s="33" t="n"/>
      <c r="O67" s="39" t="n"/>
      <c r="P67" s="40">
        <f>IF(A67="","",IF(K67&lt;&gt;"",K67,D67))</f>
        <v/>
      </c>
      <c r="Q67" s="42">
        <f>IF(A67="",0,IF(C67="✗",0,IF(OR(C67="✓",AND(Setup!$D$7="Yes",P67&lt;=TODAY())),IF(L67&lt;&gt;"",L67,F67),0)))</f>
        <v/>
      </c>
      <c r="R67" s="39">
        <f>IF(A67="","",IF(M67&lt;&gt;"",M67,G67))</f>
        <v/>
      </c>
      <c r="S67" s="39">
        <f>IF(A67="","",IF(N67&lt;&gt;"",N67,H67))</f>
        <v/>
      </c>
      <c r="T67" s="39">
        <f>IF(A67="","",IF(C67="✗","Skipped",IF(Q67&gt;0,"Paid","Upcoming")))</f>
        <v/>
      </c>
      <c r="U67" s="42">
        <f>IF(A67="",0,IF(C67="✗",0,IF(L67&lt;&gt;"",L67,F67)))</f>
        <v/>
      </c>
    </row>
    <row r="68">
      <c r="A68" s="32">
        <f>IFERROR(SMALL(Calc!$B$2:$BB$61,63),"")</f>
        <v/>
      </c>
      <c r="B68" s="32">
        <f>IF(A68="","",ROUND(MOD(A68,1)*1000,0))</f>
        <v/>
      </c>
      <c r="C68" s="33" t="n"/>
      <c r="D68" s="34">
        <f>IF(A68="","",INT(A68))</f>
        <v/>
      </c>
      <c r="E68" s="35">
        <f>IF(B68="","",INDEX(Setup!$D$25:$D$84,B68))</f>
        <v/>
      </c>
      <c r="F68" s="36">
        <f>IF(B68="","",INDEX(Setup!$E$25:$E$84,B68))</f>
        <v/>
      </c>
      <c r="G68" s="32">
        <f>IF(B68="","",INDEX(Setup!$I$25:$I$84,B68)&amp;"")</f>
        <v/>
      </c>
      <c r="H68" s="32">
        <f>IF(B68="","",INDEX(Setup!$J$25:$J$84,B68)&amp;"")</f>
        <v/>
      </c>
      <c r="I68" s="32">
        <f>IF(B68="","",INDEX(Setup!$C$25:$C$84,B68))</f>
        <v/>
      </c>
      <c r="J68" s="32" t="n"/>
      <c r="K68" s="37" t="n"/>
      <c r="L68" s="38" t="n"/>
      <c r="M68" s="33" t="n"/>
      <c r="N68" s="33" t="n"/>
      <c r="O68" s="32" t="n"/>
      <c r="P68" s="34">
        <f>IF(A68="","",IF(K68&lt;&gt;"",K68,D68))</f>
        <v/>
      </c>
      <c r="Q68" s="36">
        <f>IF(A68="",0,IF(C68="✗",0,IF(OR(C68="✓",AND(Setup!$D$7="Yes",P68&lt;=TODAY())),IF(L68&lt;&gt;"",L68,F68),0)))</f>
        <v/>
      </c>
      <c r="R68" s="32">
        <f>IF(A68="","",IF(M68&lt;&gt;"",M68,G68))</f>
        <v/>
      </c>
      <c r="S68" s="32">
        <f>IF(A68="","",IF(N68&lt;&gt;"",N68,H68))</f>
        <v/>
      </c>
      <c r="T68" s="32">
        <f>IF(A68="","",IF(C68="✗","Skipped",IF(Q68&gt;0,"Paid","Upcoming")))</f>
        <v/>
      </c>
      <c r="U68" s="36">
        <f>IF(A68="",0,IF(C68="✗",0,IF(L68&lt;&gt;"",L68,F68)))</f>
        <v/>
      </c>
    </row>
    <row r="69">
      <c r="A69" s="39">
        <f>IFERROR(SMALL(Calc!$B$2:$BB$61,64),"")</f>
        <v/>
      </c>
      <c r="B69" s="39">
        <f>IF(A69="","",ROUND(MOD(A69,1)*1000,0))</f>
        <v/>
      </c>
      <c r="C69" s="33" t="n"/>
      <c r="D69" s="40">
        <f>IF(A69="","",INT(A69))</f>
        <v/>
      </c>
      <c r="E69" s="41">
        <f>IF(B69="","",INDEX(Setup!$D$25:$D$84,B69))</f>
        <v/>
      </c>
      <c r="F69" s="42">
        <f>IF(B69="","",INDEX(Setup!$E$25:$E$84,B69))</f>
        <v/>
      </c>
      <c r="G69" s="39">
        <f>IF(B69="","",INDEX(Setup!$I$25:$I$84,B69)&amp;"")</f>
        <v/>
      </c>
      <c r="H69" s="39">
        <f>IF(B69="","",INDEX(Setup!$J$25:$J$84,B69)&amp;"")</f>
        <v/>
      </c>
      <c r="I69" s="39">
        <f>IF(B69="","",INDEX(Setup!$C$25:$C$84,B69))</f>
        <v/>
      </c>
      <c r="J69" s="39" t="n"/>
      <c r="K69" s="37" t="n"/>
      <c r="L69" s="38" t="n"/>
      <c r="M69" s="33" t="n"/>
      <c r="N69" s="33" t="n"/>
      <c r="O69" s="39" t="n"/>
      <c r="P69" s="40">
        <f>IF(A69="","",IF(K69&lt;&gt;"",K69,D69))</f>
        <v/>
      </c>
      <c r="Q69" s="42">
        <f>IF(A69="",0,IF(C69="✗",0,IF(OR(C69="✓",AND(Setup!$D$7="Yes",P69&lt;=TODAY())),IF(L69&lt;&gt;"",L69,F69),0)))</f>
        <v/>
      </c>
      <c r="R69" s="39">
        <f>IF(A69="","",IF(M69&lt;&gt;"",M69,G69))</f>
        <v/>
      </c>
      <c r="S69" s="39">
        <f>IF(A69="","",IF(N69&lt;&gt;"",N69,H69))</f>
        <v/>
      </c>
      <c r="T69" s="39">
        <f>IF(A69="","",IF(C69="✗","Skipped",IF(Q69&gt;0,"Paid","Upcoming")))</f>
        <v/>
      </c>
      <c r="U69" s="42">
        <f>IF(A69="",0,IF(C69="✗",0,IF(L69&lt;&gt;"",L69,F69)))</f>
        <v/>
      </c>
    </row>
    <row r="70">
      <c r="A70" s="32">
        <f>IFERROR(SMALL(Calc!$B$2:$BB$61,65),"")</f>
        <v/>
      </c>
      <c r="B70" s="32">
        <f>IF(A70="","",ROUND(MOD(A70,1)*1000,0))</f>
        <v/>
      </c>
      <c r="C70" s="33" t="n"/>
      <c r="D70" s="34">
        <f>IF(A70="","",INT(A70))</f>
        <v/>
      </c>
      <c r="E70" s="35">
        <f>IF(B70="","",INDEX(Setup!$D$25:$D$84,B70))</f>
        <v/>
      </c>
      <c r="F70" s="36">
        <f>IF(B70="","",INDEX(Setup!$E$25:$E$84,B70))</f>
        <v/>
      </c>
      <c r="G70" s="32">
        <f>IF(B70="","",INDEX(Setup!$I$25:$I$84,B70)&amp;"")</f>
        <v/>
      </c>
      <c r="H70" s="32">
        <f>IF(B70="","",INDEX(Setup!$J$25:$J$84,B70)&amp;"")</f>
        <v/>
      </c>
      <c r="I70" s="32">
        <f>IF(B70="","",INDEX(Setup!$C$25:$C$84,B70))</f>
        <v/>
      </c>
      <c r="J70" s="32" t="n"/>
      <c r="K70" s="37" t="n"/>
      <c r="L70" s="38" t="n"/>
      <c r="M70" s="33" t="n"/>
      <c r="N70" s="33" t="n"/>
      <c r="O70" s="32" t="n"/>
      <c r="P70" s="34">
        <f>IF(A70="","",IF(K70&lt;&gt;"",K70,D70))</f>
        <v/>
      </c>
      <c r="Q70" s="36">
        <f>IF(A70="",0,IF(C70="✗",0,IF(OR(C70="✓",AND(Setup!$D$7="Yes",P70&lt;=TODAY())),IF(L70&lt;&gt;"",L70,F70),0)))</f>
        <v/>
      </c>
      <c r="R70" s="32">
        <f>IF(A70="","",IF(M70&lt;&gt;"",M70,G70))</f>
        <v/>
      </c>
      <c r="S70" s="32">
        <f>IF(A70="","",IF(N70&lt;&gt;"",N70,H70))</f>
        <v/>
      </c>
      <c r="T70" s="32">
        <f>IF(A70="","",IF(C70="✗","Skipped",IF(Q70&gt;0,"Paid","Upcoming")))</f>
        <v/>
      </c>
      <c r="U70" s="36">
        <f>IF(A70="",0,IF(C70="✗",0,IF(L70&lt;&gt;"",L70,F70)))</f>
        <v/>
      </c>
    </row>
    <row r="71">
      <c r="A71" s="39">
        <f>IFERROR(SMALL(Calc!$B$2:$BB$61,66),"")</f>
        <v/>
      </c>
      <c r="B71" s="39">
        <f>IF(A71="","",ROUND(MOD(A71,1)*1000,0))</f>
        <v/>
      </c>
      <c r="C71" s="33" t="n"/>
      <c r="D71" s="40">
        <f>IF(A71="","",INT(A71))</f>
        <v/>
      </c>
      <c r="E71" s="41">
        <f>IF(B71="","",INDEX(Setup!$D$25:$D$84,B71))</f>
        <v/>
      </c>
      <c r="F71" s="42">
        <f>IF(B71="","",INDEX(Setup!$E$25:$E$84,B71))</f>
        <v/>
      </c>
      <c r="G71" s="39">
        <f>IF(B71="","",INDEX(Setup!$I$25:$I$84,B71)&amp;"")</f>
        <v/>
      </c>
      <c r="H71" s="39">
        <f>IF(B71="","",INDEX(Setup!$J$25:$J$84,B71)&amp;"")</f>
        <v/>
      </c>
      <c r="I71" s="39">
        <f>IF(B71="","",INDEX(Setup!$C$25:$C$84,B71))</f>
        <v/>
      </c>
      <c r="J71" s="39" t="n"/>
      <c r="K71" s="37" t="n"/>
      <c r="L71" s="38" t="n"/>
      <c r="M71" s="33" t="n"/>
      <c r="N71" s="33" t="n"/>
      <c r="O71" s="39" t="n"/>
      <c r="P71" s="40">
        <f>IF(A71="","",IF(K71&lt;&gt;"",K71,D71))</f>
        <v/>
      </c>
      <c r="Q71" s="42">
        <f>IF(A71="",0,IF(C71="✗",0,IF(OR(C71="✓",AND(Setup!$D$7="Yes",P71&lt;=TODAY())),IF(L71&lt;&gt;"",L71,F71),0)))</f>
        <v/>
      </c>
      <c r="R71" s="39">
        <f>IF(A71="","",IF(M71&lt;&gt;"",M71,G71))</f>
        <v/>
      </c>
      <c r="S71" s="39">
        <f>IF(A71="","",IF(N71&lt;&gt;"",N71,H71))</f>
        <v/>
      </c>
      <c r="T71" s="39">
        <f>IF(A71="","",IF(C71="✗","Skipped",IF(Q71&gt;0,"Paid","Upcoming")))</f>
        <v/>
      </c>
      <c r="U71" s="42">
        <f>IF(A71="",0,IF(C71="✗",0,IF(L71&lt;&gt;"",L71,F71)))</f>
        <v/>
      </c>
    </row>
    <row r="72">
      <c r="A72" s="32">
        <f>IFERROR(SMALL(Calc!$B$2:$BB$61,67),"")</f>
        <v/>
      </c>
      <c r="B72" s="32">
        <f>IF(A72="","",ROUND(MOD(A72,1)*1000,0))</f>
        <v/>
      </c>
      <c r="C72" s="33" t="n"/>
      <c r="D72" s="34">
        <f>IF(A72="","",INT(A72))</f>
        <v/>
      </c>
      <c r="E72" s="35">
        <f>IF(B72="","",INDEX(Setup!$D$25:$D$84,B72))</f>
        <v/>
      </c>
      <c r="F72" s="36">
        <f>IF(B72="","",INDEX(Setup!$E$25:$E$84,B72))</f>
        <v/>
      </c>
      <c r="G72" s="32">
        <f>IF(B72="","",INDEX(Setup!$I$25:$I$84,B72)&amp;"")</f>
        <v/>
      </c>
      <c r="H72" s="32">
        <f>IF(B72="","",INDEX(Setup!$J$25:$J$84,B72)&amp;"")</f>
        <v/>
      </c>
      <c r="I72" s="32">
        <f>IF(B72="","",INDEX(Setup!$C$25:$C$84,B72))</f>
        <v/>
      </c>
      <c r="J72" s="32" t="n"/>
      <c r="K72" s="37" t="n"/>
      <c r="L72" s="38" t="n"/>
      <c r="M72" s="33" t="n"/>
      <c r="N72" s="33" t="n"/>
      <c r="O72" s="32" t="n"/>
      <c r="P72" s="34">
        <f>IF(A72="","",IF(K72&lt;&gt;"",K72,D72))</f>
        <v/>
      </c>
      <c r="Q72" s="36">
        <f>IF(A72="",0,IF(C72="✗",0,IF(OR(C72="✓",AND(Setup!$D$7="Yes",P72&lt;=TODAY())),IF(L72&lt;&gt;"",L72,F72),0)))</f>
        <v/>
      </c>
      <c r="R72" s="32">
        <f>IF(A72="","",IF(M72&lt;&gt;"",M72,G72))</f>
        <v/>
      </c>
      <c r="S72" s="32">
        <f>IF(A72="","",IF(N72&lt;&gt;"",N72,H72))</f>
        <v/>
      </c>
      <c r="T72" s="32">
        <f>IF(A72="","",IF(C72="✗","Skipped",IF(Q72&gt;0,"Paid","Upcoming")))</f>
        <v/>
      </c>
      <c r="U72" s="36">
        <f>IF(A72="",0,IF(C72="✗",0,IF(L72&lt;&gt;"",L72,F72)))</f>
        <v/>
      </c>
    </row>
    <row r="73">
      <c r="A73" s="39">
        <f>IFERROR(SMALL(Calc!$B$2:$BB$61,68),"")</f>
        <v/>
      </c>
      <c r="B73" s="39">
        <f>IF(A73="","",ROUND(MOD(A73,1)*1000,0))</f>
        <v/>
      </c>
      <c r="C73" s="33" t="n"/>
      <c r="D73" s="40">
        <f>IF(A73="","",INT(A73))</f>
        <v/>
      </c>
      <c r="E73" s="41">
        <f>IF(B73="","",INDEX(Setup!$D$25:$D$84,B73))</f>
        <v/>
      </c>
      <c r="F73" s="42">
        <f>IF(B73="","",INDEX(Setup!$E$25:$E$84,B73))</f>
        <v/>
      </c>
      <c r="G73" s="39">
        <f>IF(B73="","",INDEX(Setup!$I$25:$I$84,B73)&amp;"")</f>
        <v/>
      </c>
      <c r="H73" s="39">
        <f>IF(B73="","",INDEX(Setup!$J$25:$J$84,B73)&amp;"")</f>
        <v/>
      </c>
      <c r="I73" s="39">
        <f>IF(B73="","",INDEX(Setup!$C$25:$C$84,B73))</f>
        <v/>
      </c>
      <c r="J73" s="39" t="n"/>
      <c r="K73" s="37" t="n"/>
      <c r="L73" s="38" t="n"/>
      <c r="M73" s="33" t="n"/>
      <c r="N73" s="33" t="n"/>
      <c r="O73" s="39" t="n"/>
      <c r="P73" s="40">
        <f>IF(A73="","",IF(K73&lt;&gt;"",K73,D73))</f>
        <v/>
      </c>
      <c r="Q73" s="42">
        <f>IF(A73="",0,IF(C73="✗",0,IF(OR(C73="✓",AND(Setup!$D$7="Yes",P73&lt;=TODAY())),IF(L73&lt;&gt;"",L73,F73),0)))</f>
        <v/>
      </c>
      <c r="R73" s="39">
        <f>IF(A73="","",IF(M73&lt;&gt;"",M73,G73))</f>
        <v/>
      </c>
      <c r="S73" s="39">
        <f>IF(A73="","",IF(N73&lt;&gt;"",N73,H73))</f>
        <v/>
      </c>
      <c r="T73" s="39">
        <f>IF(A73="","",IF(C73="✗","Skipped",IF(Q73&gt;0,"Paid","Upcoming")))</f>
        <v/>
      </c>
      <c r="U73" s="42">
        <f>IF(A73="",0,IF(C73="✗",0,IF(L73&lt;&gt;"",L73,F73)))</f>
        <v/>
      </c>
    </row>
    <row r="74">
      <c r="A74" s="32">
        <f>IFERROR(SMALL(Calc!$B$2:$BB$61,69),"")</f>
        <v/>
      </c>
      <c r="B74" s="32">
        <f>IF(A74="","",ROUND(MOD(A74,1)*1000,0))</f>
        <v/>
      </c>
      <c r="C74" s="33" t="n"/>
      <c r="D74" s="34">
        <f>IF(A74="","",INT(A74))</f>
        <v/>
      </c>
      <c r="E74" s="35">
        <f>IF(B74="","",INDEX(Setup!$D$25:$D$84,B74))</f>
        <v/>
      </c>
      <c r="F74" s="36">
        <f>IF(B74="","",INDEX(Setup!$E$25:$E$84,B74))</f>
        <v/>
      </c>
      <c r="G74" s="32">
        <f>IF(B74="","",INDEX(Setup!$I$25:$I$84,B74)&amp;"")</f>
        <v/>
      </c>
      <c r="H74" s="32">
        <f>IF(B74="","",INDEX(Setup!$J$25:$J$84,B74)&amp;"")</f>
        <v/>
      </c>
      <c r="I74" s="32">
        <f>IF(B74="","",INDEX(Setup!$C$25:$C$84,B74))</f>
        <v/>
      </c>
      <c r="J74" s="32" t="n"/>
      <c r="K74" s="37" t="n"/>
      <c r="L74" s="38" t="n"/>
      <c r="M74" s="33" t="n"/>
      <c r="N74" s="33" t="n"/>
      <c r="O74" s="32" t="n"/>
      <c r="P74" s="34">
        <f>IF(A74="","",IF(K74&lt;&gt;"",K74,D74))</f>
        <v/>
      </c>
      <c r="Q74" s="36">
        <f>IF(A74="",0,IF(C74="✗",0,IF(OR(C74="✓",AND(Setup!$D$7="Yes",P74&lt;=TODAY())),IF(L74&lt;&gt;"",L74,F74),0)))</f>
        <v/>
      </c>
      <c r="R74" s="32">
        <f>IF(A74="","",IF(M74&lt;&gt;"",M74,G74))</f>
        <v/>
      </c>
      <c r="S74" s="32">
        <f>IF(A74="","",IF(N74&lt;&gt;"",N74,H74))</f>
        <v/>
      </c>
      <c r="T74" s="32">
        <f>IF(A74="","",IF(C74="✗","Skipped",IF(Q74&gt;0,"Paid","Upcoming")))</f>
        <v/>
      </c>
      <c r="U74" s="36">
        <f>IF(A74="",0,IF(C74="✗",0,IF(L74&lt;&gt;"",L74,F74)))</f>
        <v/>
      </c>
    </row>
    <row r="75">
      <c r="A75" s="39">
        <f>IFERROR(SMALL(Calc!$B$2:$BB$61,70),"")</f>
        <v/>
      </c>
      <c r="B75" s="39">
        <f>IF(A75="","",ROUND(MOD(A75,1)*1000,0))</f>
        <v/>
      </c>
      <c r="C75" s="33" t="n"/>
      <c r="D75" s="40">
        <f>IF(A75="","",INT(A75))</f>
        <v/>
      </c>
      <c r="E75" s="41">
        <f>IF(B75="","",INDEX(Setup!$D$25:$D$84,B75))</f>
        <v/>
      </c>
      <c r="F75" s="42">
        <f>IF(B75="","",INDEX(Setup!$E$25:$E$84,B75))</f>
        <v/>
      </c>
      <c r="G75" s="39">
        <f>IF(B75="","",INDEX(Setup!$I$25:$I$84,B75)&amp;"")</f>
        <v/>
      </c>
      <c r="H75" s="39">
        <f>IF(B75="","",INDEX(Setup!$J$25:$J$84,B75)&amp;"")</f>
        <v/>
      </c>
      <c r="I75" s="39">
        <f>IF(B75="","",INDEX(Setup!$C$25:$C$84,B75))</f>
        <v/>
      </c>
      <c r="J75" s="39" t="n"/>
      <c r="K75" s="37" t="n"/>
      <c r="L75" s="38" t="n"/>
      <c r="M75" s="33" t="n"/>
      <c r="N75" s="33" t="n"/>
      <c r="O75" s="39" t="n"/>
      <c r="P75" s="40">
        <f>IF(A75="","",IF(K75&lt;&gt;"",K75,D75))</f>
        <v/>
      </c>
      <c r="Q75" s="42">
        <f>IF(A75="",0,IF(C75="✗",0,IF(OR(C75="✓",AND(Setup!$D$7="Yes",P75&lt;=TODAY())),IF(L75&lt;&gt;"",L75,F75),0)))</f>
        <v/>
      </c>
      <c r="R75" s="39">
        <f>IF(A75="","",IF(M75&lt;&gt;"",M75,G75))</f>
        <v/>
      </c>
      <c r="S75" s="39">
        <f>IF(A75="","",IF(N75&lt;&gt;"",N75,H75))</f>
        <v/>
      </c>
      <c r="T75" s="39">
        <f>IF(A75="","",IF(C75="✗","Skipped",IF(Q75&gt;0,"Paid","Upcoming")))</f>
        <v/>
      </c>
      <c r="U75" s="42">
        <f>IF(A75="",0,IF(C75="✗",0,IF(L75&lt;&gt;"",L75,F75)))</f>
        <v/>
      </c>
    </row>
    <row r="76">
      <c r="A76" s="32">
        <f>IFERROR(SMALL(Calc!$B$2:$BB$61,71),"")</f>
        <v/>
      </c>
      <c r="B76" s="32">
        <f>IF(A76="","",ROUND(MOD(A76,1)*1000,0))</f>
        <v/>
      </c>
      <c r="C76" s="33" t="n"/>
      <c r="D76" s="34">
        <f>IF(A76="","",INT(A76))</f>
        <v/>
      </c>
      <c r="E76" s="35">
        <f>IF(B76="","",INDEX(Setup!$D$25:$D$84,B76))</f>
        <v/>
      </c>
      <c r="F76" s="36">
        <f>IF(B76="","",INDEX(Setup!$E$25:$E$84,B76))</f>
        <v/>
      </c>
      <c r="G76" s="32">
        <f>IF(B76="","",INDEX(Setup!$I$25:$I$84,B76)&amp;"")</f>
        <v/>
      </c>
      <c r="H76" s="32">
        <f>IF(B76="","",INDEX(Setup!$J$25:$J$84,B76)&amp;"")</f>
        <v/>
      </c>
      <c r="I76" s="32">
        <f>IF(B76="","",INDEX(Setup!$C$25:$C$84,B76))</f>
        <v/>
      </c>
      <c r="J76" s="32" t="n"/>
      <c r="K76" s="37" t="n"/>
      <c r="L76" s="38" t="n"/>
      <c r="M76" s="33" t="n"/>
      <c r="N76" s="33" t="n"/>
      <c r="O76" s="32" t="n"/>
      <c r="P76" s="34">
        <f>IF(A76="","",IF(K76&lt;&gt;"",K76,D76))</f>
        <v/>
      </c>
      <c r="Q76" s="36">
        <f>IF(A76="",0,IF(C76="✗",0,IF(OR(C76="✓",AND(Setup!$D$7="Yes",P76&lt;=TODAY())),IF(L76&lt;&gt;"",L76,F76),0)))</f>
        <v/>
      </c>
      <c r="R76" s="32">
        <f>IF(A76="","",IF(M76&lt;&gt;"",M76,G76))</f>
        <v/>
      </c>
      <c r="S76" s="32">
        <f>IF(A76="","",IF(N76&lt;&gt;"",N76,H76))</f>
        <v/>
      </c>
      <c r="T76" s="32">
        <f>IF(A76="","",IF(C76="✗","Skipped",IF(Q76&gt;0,"Paid","Upcoming")))</f>
        <v/>
      </c>
      <c r="U76" s="36">
        <f>IF(A76="",0,IF(C76="✗",0,IF(L76&lt;&gt;"",L76,F76)))</f>
        <v/>
      </c>
    </row>
    <row r="77">
      <c r="A77" s="39">
        <f>IFERROR(SMALL(Calc!$B$2:$BB$61,72),"")</f>
        <v/>
      </c>
      <c r="B77" s="39">
        <f>IF(A77="","",ROUND(MOD(A77,1)*1000,0))</f>
        <v/>
      </c>
      <c r="C77" s="33" t="n"/>
      <c r="D77" s="40">
        <f>IF(A77="","",INT(A77))</f>
        <v/>
      </c>
      <c r="E77" s="41">
        <f>IF(B77="","",INDEX(Setup!$D$25:$D$84,B77))</f>
        <v/>
      </c>
      <c r="F77" s="42">
        <f>IF(B77="","",INDEX(Setup!$E$25:$E$84,B77))</f>
        <v/>
      </c>
      <c r="G77" s="39">
        <f>IF(B77="","",INDEX(Setup!$I$25:$I$84,B77)&amp;"")</f>
        <v/>
      </c>
      <c r="H77" s="39">
        <f>IF(B77="","",INDEX(Setup!$J$25:$J$84,B77)&amp;"")</f>
        <v/>
      </c>
      <c r="I77" s="39">
        <f>IF(B77="","",INDEX(Setup!$C$25:$C$84,B77))</f>
        <v/>
      </c>
      <c r="J77" s="39" t="n"/>
      <c r="K77" s="37" t="n"/>
      <c r="L77" s="38" t="n"/>
      <c r="M77" s="33" t="n"/>
      <c r="N77" s="33" t="n"/>
      <c r="O77" s="39" t="n"/>
      <c r="P77" s="40">
        <f>IF(A77="","",IF(K77&lt;&gt;"",K77,D77))</f>
        <v/>
      </c>
      <c r="Q77" s="42">
        <f>IF(A77="",0,IF(C77="✗",0,IF(OR(C77="✓",AND(Setup!$D$7="Yes",P77&lt;=TODAY())),IF(L77&lt;&gt;"",L77,F77),0)))</f>
        <v/>
      </c>
      <c r="R77" s="39">
        <f>IF(A77="","",IF(M77&lt;&gt;"",M77,G77))</f>
        <v/>
      </c>
      <c r="S77" s="39">
        <f>IF(A77="","",IF(N77&lt;&gt;"",N77,H77))</f>
        <v/>
      </c>
      <c r="T77" s="39">
        <f>IF(A77="","",IF(C77="✗","Skipped",IF(Q77&gt;0,"Paid","Upcoming")))</f>
        <v/>
      </c>
      <c r="U77" s="42">
        <f>IF(A77="",0,IF(C77="✗",0,IF(L77&lt;&gt;"",L77,F77)))</f>
        <v/>
      </c>
    </row>
    <row r="78">
      <c r="A78" s="32">
        <f>IFERROR(SMALL(Calc!$B$2:$BB$61,73),"")</f>
        <v/>
      </c>
      <c r="B78" s="32">
        <f>IF(A78="","",ROUND(MOD(A78,1)*1000,0))</f>
        <v/>
      </c>
      <c r="C78" s="33" t="n"/>
      <c r="D78" s="34">
        <f>IF(A78="","",INT(A78))</f>
        <v/>
      </c>
      <c r="E78" s="35">
        <f>IF(B78="","",INDEX(Setup!$D$25:$D$84,B78))</f>
        <v/>
      </c>
      <c r="F78" s="36">
        <f>IF(B78="","",INDEX(Setup!$E$25:$E$84,B78))</f>
        <v/>
      </c>
      <c r="G78" s="32">
        <f>IF(B78="","",INDEX(Setup!$I$25:$I$84,B78)&amp;"")</f>
        <v/>
      </c>
      <c r="H78" s="32">
        <f>IF(B78="","",INDEX(Setup!$J$25:$J$84,B78)&amp;"")</f>
        <v/>
      </c>
      <c r="I78" s="32">
        <f>IF(B78="","",INDEX(Setup!$C$25:$C$84,B78))</f>
        <v/>
      </c>
      <c r="J78" s="32" t="n"/>
      <c r="K78" s="37" t="n"/>
      <c r="L78" s="38" t="n"/>
      <c r="M78" s="33" t="n"/>
      <c r="N78" s="33" t="n"/>
      <c r="O78" s="32" t="n"/>
      <c r="P78" s="34">
        <f>IF(A78="","",IF(K78&lt;&gt;"",K78,D78))</f>
        <v/>
      </c>
      <c r="Q78" s="36">
        <f>IF(A78="",0,IF(C78="✗",0,IF(OR(C78="✓",AND(Setup!$D$7="Yes",P78&lt;=TODAY())),IF(L78&lt;&gt;"",L78,F78),0)))</f>
        <v/>
      </c>
      <c r="R78" s="32">
        <f>IF(A78="","",IF(M78&lt;&gt;"",M78,G78))</f>
        <v/>
      </c>
      <c r="S78" s="32">
        <f>IF(A78="","",IF(N78&lt;&gt;"",N78,H78))</f>
        <v/>
      </c>
      <c r="T78" s="32">
        <f>IF(A78="","",IF(C78="✗","Skipped",IF(Q78&gt;0,"Paid","Upcoming")))</f>
        <v/>
      </c>
      <c r="U78" s="36">
        <f>IF(A78="",0,IF(C78="✗",0,IF(L78&lt;&gt;"",L78,F78)))</f>
        <v/>
      </c>
    </row>
    <row r="79">
      <c r="A79" s="39">
        <f>IFERROR(SMALL(Calc!$B$2:$BB$61,74),"")</f>
        <v/>
      </c>
      <c r="B79" s="39">
        <f>IF(A79="","",ROUND(MOD(A79,1)*1000,0))</f>
        <v/>
      </c>
      <c r="C79" s="33" t="n"/>
      <c r="D79" s="40">
        <f>IF(A79="","",INT(A79))</f>
        <v/>
      </c>
      <c r="E79" s="41">
        <f>IF(B79="","",INDEX(Setup!$D$25:$D$84,B79))</f>
        <v/>
      </c>
      <c r="F79" s="42">
        <f>IF(B79="","",INDEX(Setup!$E$25:$E$84,B79))</f>
        <v/>
      </c>
      <c r="G79" s="39">
        <f>IF(B79="","",INDEX(Setup!$I$25:$I$84,B79)&amp;"")</f>
        <v/>
      </c>
      <c r="H79" s="39">
        <f>IF(B79="","",INDEX(Setup!$J$25:$J$84,B79)&amp;"")</f>
        <v/>
      </c>
      <c r="I79" s="39">
        <f>IF(B79="","",INDEX(Setup!$C$25:$C$84,B79))</f>
        <v/>
      </c>
      <c r="J79" s="39" t="n"/>
      <c r="K79" s="37" t="n"/>
      <c r="L79" s="38" t="n"/>
      <c r="M79" s="33" t="n"/>
      <c r="N79" s="33" t="n"/>
      <c r="O79" s="39" t="n"/>
      <c r="P79" s="40">
        <f>IF(A79="","",IF(K79&lt;&gt;"",K79,D79))</f>
        <v/>
      </c>
      <c r="Q79" s="42">
        <f>IF(A79="",0,IF(C79="✗",0,IF(OR(C79="✓",AND(Setup!$D$7="Yes",P79&lt;=TODAY())),IF(L79&lt;&gt;"",L79,F79),0)))</f>
        <v/>
      </c>
      <c r="R79" s="39">
        <f>IF(A79="","",IF(M79&lt;&gt;"",M79,G79))</f>
        <v/>
      </c>
      <c r="S79" s="39">
        <f>IF(A79="","",IF(N79&lt;&gt;"",N79,H79))</f>
        <v/>
      </c>
      <c r="T79" s="39">
        <f>IF(A79="","",IF(C79="✗","Skipped",IF(Q79&gt;0,"Paid","Upcoming")))</f>
        <v/>
      </c>
      <c r="U79" s="42">
        <f>IF(A79="",0,IF(C79="✗",0,IF(L79&lt;&gt;"",L79,F79)))</f>
        <v/>
      </c>
    </row>
    <row r="80">
      <c r="A80" s="32">
        <f>IFERROR(SMALL(Calc!$B$2:$BB$61,75),"")</f>
        <v/>
      </c>
      <c r="B80" s="32">
        <f>IF(A80="","",ROUND(MOD(A80,1)*1000,0))</f>
        <v/>
      </c>
      <c r="C80" s="33" t="n"/>
      <c r="D80" s="34">
        <f>IF(A80="","",INT(A80))</f>
        <v/>
      </c>
      <c r="E80" s="35">
        <f>IF(B80="","",INDEX(Setup!$D$25:$D$84,B80))</f>
        <v/>
      </c>
      <c r="F80" s="36">
        <f>IF(B80="","",INDEX(Setup!$E$25:$E$84,B80))</f>
        <v/>
      </c>
      <c r="G80" s="32">
        <f>IF(B80="","",INDEX(Setup!$I$25:$I$84,B80)&amp;"")</f>
        <v/>
      </c>
      <c r="H80" s="32">
        <f>IF(B80="","",INDEX(Setup!$J$25:$J$84,B80)&amp;"")</f>
        <v/>
      </c>
      <c r="I80" s="32">
        <f>IF(B80="","",INDEX(Setup!$C$25:$C$84,B80))</f>
        <v/>
      </c>
      <c r="J80" s="32" t="n"/>
      <c r="K80" s="37" t="n"/>
      <c r="L80" s="38" t="n"/>
      <c r="M80" s="33" t="n"/>
      <c r="N80" s="33" t="n"/>
      <c r="O80" s="32" t="n"/>
      <c r="P80" s="34">
        <f>IF(A80="","",IF(K80&lt;&gt;"",K80,D80))</f>
        <v/>
      </c>
      <c r="Q80" s="36">
        <f>IF(A80="",0,IF(C80="✗",0,IF(OR(C80="✓",AND(Setup!$D$7="Yes",P80&lt;=TODAY())),IF(L80&lt;&gt;"",L80,F80),0)))</f>
        <v/>
      </c>
      <c r="R80" s="32">
        <f>IF(A80="","",IF(M80&lt;&gt;"",M80,G80))</f>
        <v/>
      </c>
      <c r="S80" s="32">
        <f>IF(A80="","",IF(N80&lt;&gt;"",N80,H80))</f>
        <v/>
      </c>
      <c r="T80" s="32">
        <f>IF(A80="","",IF(C80="✗","Skipped",IF(Q80&gt;0,"Paid","Upcoming")))</f>
        <v/>
      </c>
      <c r="U80" s="36">
        <f>IF(A80="",0,IF(C80="✗",0,IF(L80&lt;&gt;"",L80,F80)))</f>
        <v/>
      </c>
    </row>
    <row r="81">
      <c r="A81" s="39">
        <f>IFERROR(SMALL(Calc!$B$2:$BB$61,76),"")</f>
        <v/>
      </c>
      <c r="B81" s="39">
        <f>IF(A81="","",ROUND(MOD(A81,1)*1000,0))</f>
        <v/>
      </c>
      <c r="C81" s="33" t="n"/>
      <c r="D81" s="40">
        <f>IF(A81="","",INT(A81))</f>
        <v/>
      </c>
      <c r="E81" s="41">
        <f>IF(B81="","",INDEX(Setup!$D$25:$D$84,B81))</f>
        <v/>
      </c>
      <c r="F81" s="42">
        <f>IF(B81="","",INDEX(Setup!$E$25:$E$84,B81))</f>
        <v/>
      </c>
      <c r="G81" s="39">
        <f>IF(B81="","",INDEX(Setup!$I$25:$I$84,B81)&amp;"")</f>
        <v/>
      </c>
      <c r="H81" s="39">
        <f>IF(B81="","",INDEX(Setup!$J$25:$J$84,B81)&amp;"")</f>
        <v/>
      </c>
      <c r="I81" s="39">
        <f>IF(B81="","",INDEX(Setup!$C$25:$C$84,B81))</f>
        <v/>
      </c>
      <c r="J81" s="39" t="n"/>
      <c r="K81" s="37" t="n"/>
      <c r="L81" s="38" t="n"/>
      <c r="M81" s="33" t="n"/>
      <c r="N81" s="33" t="n"/>
      <c r="O81" s="39" t="n"/>
      <c r="P81" s="40">
        <f>IF(A81="","",IF(K81&lt;&gt;"",K81,D81))</f>
        <v/>
      </c>
      <c r="Q81" s="42">
        <f>IF(A81="",0,IF(C81="✗",0,IF(OR(C81="✓",AND(Setup!$D$7="Yes",P81&lt;=TODAY())),IF(L81&lt;&gt;"",L81,F81),0)))</f>
        <v/>
      </c>
      <c r="R81" s="39">
        <f>IF(A81="","",IF(M81&lt;&gt;"",M81,G81))</f>
        <v/>
      </c>
      <c r="S81" s="39">
        <f>IF(A81="","",IF(N81&lt;&gt;"",N81,H81))</f>
        <v/>
      </c>
      <c r="T81" s="39">
        <f>IF(A81="","",IF(C81="✗","Skipped",IF(Q81&gt;0,"Paid","Upcoming")))</f>
        <v/>
      </c>
      <c r="U81" s="42">
        <f>IF(A81="",0,IF(C81="✗",0,IF(L81&lt;&gt;"",L81,F81)))</f>
        <v/>
      </c>
    </row>
    <row r="82">
      <c r="A82" s="32">
        <f>IFERROR(SMALL(Calc!$B$2:$BB$61,77),"")</f>
        <v/>
      </c>
      <c r="B82" s="32">
        <f>IF(A82="","",ROUND(MOD(A82,1)*1000,0))</f>
        <v/>
      </c>
      <c r="C82" s="33" t="n"/>
      <c r="D82" s="34">
        <f>IF(A82="","",INT(A82))</f>
        <v/>
      </c>
      <c r="E82" s="35">
        <f>IF(B82="","",INDEX(Setup!$D$25:$D$84,B82))</f>
        <v/>
      </c>
      <c r="F82" s="36">
        <f>IF(B82="","",INDEX(Setup!$E$25:$E$84,B82))</f>
        <v/>
      </c>
      <c r="G82" s="32">
        <f>IF(B82="","",INDEX(Setup!$I$25:$I$84,B82)&amp;"")</f>
        <v/>
      </c>
      <c r="H82" s="32">
        <f>IF(B82="","",INDEX(Setup!$J$25:$J$84,B82)&amp;"")</f>
        <v/>
      </c>
      <c r="I82" s="32">
        <f>IF(B82="","",INDEX(Setup!$C$25:$C$84,B82))</f>
        <v/>
      </c>
      <c r="J82" s="32" t="n"/>
      <c r="K82" s="37" t="n"/>
      <c r="L82" s="38" t="n"/>
      <c r="M82" s="33" t="n"/>
      <c r="N82" s="33" t="n"/>
      <c r="O82" s="32" t="n"/>
      <c r="P82" s="34">
        <f>IF(A82="","",IF(K82&lt;&gt;"",K82,D82))</f>
        <v/>
      </c>
      <c r="Q82" s="36">
        <f>IF(A82="",0,IF(C82="✗",0,IF(OR(C82="✓",AND(Setup!$D$7="Yes",P82&lt;=TODAY())),IF(L82&lt;&gt;"",L82,F82),0)))</f>
        <v/>
      </c>
      <c r="R82" s="32">
        <f>IF(A82="","",IF(M82&lt;&gt;"",M82,G82))</f>
        <v/>
      </c>
      <c r="S82" s="32">
        <f>IF(A82="","",IF(N82&lt;&gt;"",N82,H82))</f>
        <v/>
      </c>
      <c r="T82" s="32">
        <f>IF(A82="","",IF(C82="✗","Skipped",IF(Q82&gt;0,"Paid","Upcoming")))</f>
        <v/>
      </c>
      <c r="U82" s="36">
        <f>IF(A82="",0,IF(C82="✗",0,IF(L82&lt;&gt;"",L82,F82)))</f>
        <v/>
      </c>
    </row>
    <row r="83">
      <c r="A83" s="39">
        <f>IFERROR(SMALL(Calc!$B$2:$BB$61,78),"")</f>
        <v/>
      </c>
      <c r="B83" s="39">
        <f>IF(A83="","",ROUND(MOD(A83,1)*1000,0))</f>
        <v/>
      </c>
      <c r="C83" s="33" t="n"/>
      <c r="D83" s="40">
        <f>IF(A83="","",INT(A83))</f>
        <v/>
      </c>
      <c r="E83" s="41">
        <f>IF(B83="","",INDEX(Setup!$D$25:$D$84,B83))</f>
        <v/>
      </c>
      <c r="F83" s="42">
        <f>IF(B83="","",INDEX(Setup!$E$25:$E$84,B83))</f>
        <v/>
      </c>
      <c r="G83" s="39">
        <f>IF(B83="","",INDEX(Setup!$I$25:$I$84,B83)&amp;"")</f>
        <v/>
      </c>
      <c r="H83" s="39">
        <f>IF(B83="","",INDEX(Setup!$J$25:$J$84,B83)&amp;"")</f>
        <v/>
      </c>
      <c r="I83" s="39">
        <f>IF(B83="","",INDEX(Setup!$C$25:$C$84,B83))</f>
        <v/>
      </c>
      <c r="J83" s="39" t="n"/>
      <c r="K83" s="37" t="n"/>
      <c r="L83" s="38" t="n"/>
      <c r="M83" s="33" t="n"/>
      <c r="N83" s="33" t="n"/>
      <c r="O83" s="39" t="n"/>
      <c r="P83" s="40">
        <f>IF(A83="","",IF(K83&lt;&gt;"",K83,D83))</f>
        <v/>
      </c>
      <c r="Q83" s="42">
        <f>IF(A83="",0,IF(C83="✗",0,IF(OR(C83="✓",AND(Setup!$D$7="Yes",P83&lt;=TODAY())),IF(L83&lt;&gt;"",L83,F83),0)))</f>
        <v/>
      </c>
      <c r="R83" s="39">
        <f>IF(A83="","",IF(M83&lt;&gt;"",M83,G83))</f>
        <v/>
      </c>
      <c r="S83" s="39">
        <f>IF(A83="","",IF(N83&lt;&gt;"",N83,H83))</f>
        <v/>
      </c>
      <c r="T83" s="39">
        <f>IF(A83="","",IF(C83="✗","Skipped",IF(Q83&gt;0,"Paid","Upcoming")))</f>
        <v/>
      </c>
      <c r="U83" s="42">
        <f>IF(A83="",0,IF(C83="✗",0,IF(L83&lt;&gt;"",L83,F83)))</f>
        <v/>
      </c>
    </row>
    <row r="84">
      <c r="A84" s="32">
        <f>IFERROR(SMALL(Calc!$B$2:$BB$61,79),"")</f>
        <v/>
      </c>
      <c r="B84" s="32">
        <f>IF(A84="","",ROUND(MOD(A84,1)*1000,0))</f>
        <v/>
      </c>
      <c r="C84" s="33" t="n"/>
      <c r="D84" s="34">
        <f>IF(A84="","",INT(A84))</f>
        <v/>
      </c>
      <c r="E84" s="35">
        <f>IF(B84="","",INDEX(Setup!$D$25:$D$84,B84))</f>
        <v/>
      </c>
      <c r="F84" s="36">
        <f>IF(B84="","",INDEX(Setup!$E$25:$E$84,B84))</f>
        <v/>
      </c>
      <c r="G84" s="32">
        <f>IF(B84="","",INDEX(Setup!$I$25:$I$84,B84)&amp;"")</f>
        <v/>
      </c>
      <c r="H84" s="32">
        <f>IF(B84="","",INDEX(Setup!$J$25:$J$84,B84)&amp;"")</f>
        <v/>
      </c>
      <c r="I84" s="32">
        <f>IF(B84="","",INDEX(Setup!$C$25:$C$84,B84))</f>
        <v/>
      </c>
      <c r="J84" s="32" t="n"/>
      <c r="K84" s="37" t="n"/>
      <c r="L84" s="38" t="n"/>
      <c r="M84" s="33" t="n"/>
      <c r="N84" s="33" t="n"/>
      <c r="O84" s="32" t="n"/>
      <c r="P84" s="34">
        <f>IF(A84="","",IF(K84&lt;&gt;"",K84,D84))</f>
        <v/>
      </c>
      <c r="Q84" s="36">
        <f>IF(A84="",0,IF(C84="✗",0,IF(OR(C84="✓",AND(Setup!$D$7="Yes",P84&lt;=TODAY())),IF(L84&lt;&gt;"",L84,F84),0)))</f>
        <v/>
      </c>
      <c r="R84" s="32">
        <f>IF(A84="","",IF(M84&lt;&gt;"",M84,G84))</f>
        <v/>
      </c>
      <c r="S84" s="32">
        <f>IF(A84="","",IF(N84&lt;&gt;"",N84,H84))</f>
        <v/>
      </c>
      <c r="T84" s="32">
        <f>IF(A84="","",IF(C84="✗","Skipped",IF(Q84&gt;0,"Paid","Upcoming")))</f>
        <v/>
      </c>
      <c r="U84" s="36">
        <f>IF(A84="",0,IF(C84="✗",0,IF(L84&lt;&gt;"",L84,F84)))</f>
        <v/>
      </c>
    </row>
    <row r="85">
      <c r="A85" s="39">
        <f>IFERROR(SMALL(Calc!$B$2:$BB$61,80),"")</f>
        <v/>
      </c>
      <c r="B85" s="39">
        <f>IF(A85="","",ROUND(MOD(A85,1)*1000,0))</f>
        <v/>
      </c>
      <c r="C85" s="33" t="n"/>
      <c r="D85" s="40">
        <f>IF(A85="","",INT(A85))</f>
        <v/>
      </c>
      <c r="E85" s="41">
        <f>IF(B85="","",INDEX(Setup!$D$25:$D$84,B85))</f>
        <v/>
      </c>
      <c r="F85" s="42">
        <f>IF(B85="","",INDEX(Setup!$E$25:$E$84,B85))</f>
        <v/>
      </c>
      <c r="G85" s="39">
        <f>IF(B85="","",INDEX(Setup!$I$25:$I$84,B85)&amp;"")</f>
        <v/>
      </c>
      <c r="H85" s="39">
        <f>IF(B85="","",INDEX(Setup!$J$25:$J$84,B85)&amp;"")</f>
        <v/>
      </c>
      <c r="I85" s="39">
        <f>IF(B85="","",INDEX(Setup!$C$25:$C$84,B85))</f>
        <v/>
      </c>
      <c r="J85" s="39" t="n"/>
      <c r="K85" s="37" t="n"/>
      <c r="L85" s="38" t="n"/>
      <c r="M85" s="33" t="n"/>
      <c r="N85" s="33" t="n"/>
      <c r="O85" s="39" t="n"/>
      <c r="P85" s="40">
        <f>IF(A85="","",IF(K85&lt;&gt;"",K85,D85))</f>
        <v/>
      </c>
      <c r="Q85" s="42">
        <f>IF(A85="",0,IF(C85="✗",0,IF(OR(C85="✓",AND(Setup!$D$7="Yes",P85&lt;=TODAY())),IF(L85&lt;&gt;"",L85,F85),0)))</f>
        <v/>
      </c>
      <c r="R85" s="39">
        <f>IF(A85="","",IF(M85&lt;&gt;"",M85,G85))</f>
        <v/>
      </c>
      <c r="S85" s="39">
        <f>IF(A85="","",IF(N85&lt;&gt;"",N85,H85))</f>
        <v/>
      </c>
      <c r="T85" s="39">
        <f>IF(A85="","",IF(C85="✗","Skipped",IF(Q85&gt;0,"Paid","Upcoming")))</f>
        <v/>
      </c>
      <c r="U85" s="42">
        <f>IF(A85="",0,IF(C85="✗",0,IF(L85&lt;&gt;"",L85,F85)))</f>
        <v/>
      </c>
    </row>
    <row r="86">
      <c r="A86" s="32">
        <f>IFERROR(SMALL(Calc!$B$2:$BB$61,81),"")</f>
        <v/>
      </c>
      <c r="B86" s="32">
        <f>IF(A86="","",ROUND(MOD(A86,1)*1000,0))</f>
        <v/>
      </c>
      <c r="C86" s="33" t="n"/>
      <c r="D86" s="34">
        <f>IF(A86="","",INT(A86))</f>
        <v/>
      </c>
      <c r="E86" s="35">
        <f>IF(B86="","",INDEX(Setup!$D$25:$D$84,B86))</f>
        <v/>
      </c>
      <c r="F86" s="36">
        <f>IF(B86="","",INDEX(Setup!$E$25:$E$84,B86))</f>
        <v/>
      </c>
      <c r="G86" s="32">
        <f>IF(B86="","",INDEX(Setup!$I$25:$I$84,B86)&amp;"")</f>
        <v/>
      </c>
      <c r="H86" s="32">
        <f>IF(B86="","",INDEX(Setup!$J$25:$J$84,B86)&amp;"")</f>
        <v/>
      </c>
      <c r="I86" s="32">
        <f>IF(B86="","",INDEX(Setup!$C$25:$C$84,B86))</f>
        <v/>
      </c>
      <c r="J86" s="32" t="n"/>
      <c r="K86" s="37" t="n"/>
      <c r="L86" s="38" t="n"/>
      <c r="M86" s="33" t="n"/>
      <c r="N86" s="33" t="n"/>
      <c r="O86" s="32" t="n"/>
      <c r="P86" s="34">
        <f>IF(A86="","",IF(K86&lt;&gt;"",K86,D86))</f>
        <v/>
      </c>
      <c r="Q86" s="36">
        <f>IF(A86="",0,IF(C86="✗",0,IF(OR(C86="✓",AND(Setup!$D$7="Yes",P86&lt;=TODAY())),IF(L86&lt;&gt;"",L86,F86),0)))</f>
        <v/>
      </c>
      <c r="R86" s="32">
        <f>IF(A86="","",IF(M86&lt;&gt;"",M86,G86))</f>
        <v/>
      </c>
      <c r="S86" s="32">
        <f>IF(A86="","",IF(N86&lt;&gt;"",N86,H86))</f>
        <v/>
      </c>
      <c r="T86" s="32">
        <f>IF(A86="","",IF(C86="✗","Skipped",IF(Q86&gt;0,"Paid","Upcoming")))</f>
        <v/>
      </c>
      <c r="U86" s="36">
        <f>IF(A86="",0,IF(C86="✗",0,IF(L86&lt;&gt;"",L86,F86)))</f>
        <v/>
      </c>
    </row>
    <row r="87">
      <c r="A87" s="39">
        <f>IFERROR(SMALL(Calc!$B$2:$BB$61,82),"")</f>
        <v/>
      </c>
      <c r="B87" s="39">
        <f>IF(A87="","",ROUND(MOD(A87,1)*1000,0))</f>
        <v/>
      </c>
      <c r="C87" s="33" t="n"/>
      <c r="D87" s="40">
        <f>IF(A87="","",INT(A87))</f>
        <v/>
      </c>
      <c r="E87" s="41">
        <f>IF(B87="","",INDEX(Setup!$D$25:$D$84,B87))</f>
        <v/>
      </c>
      <c r="F87" s="42">
        <f>IF(B87="","",INDEX(Setup!$E$25:$E$84,B87))</f>
        <v/>
      </c>
      <c r="G87" s="39">
        <f>IF(B87="","",INDEX(Setup!$I$25:$I$84,B87)&amp;"")</f>
        <v/>
      </c>
      <c r="H87" s="39">
        <f>IF(B87="","",INDEX(Setup!$J$25:$J$84,B87)&amp;"")</f>
        <v/>
      </c>
      <c r="I87" s="39">
        <f>IF(B87="","",INDEX(Setup!$C$25:$C$84,B87))</f>
        <v/>
      </c>
      <c r="J87" s="39" t="n"/>
      <c r="K87" s="37" t="n"/>
      <c r="L87" s="38" t="n"/>
      <c r="M87" s="33" t="n"/>
      <c r="N87" s="33" t="n"/>
      <c r="O87" s="39" t="n"/>
      <c r="P87" s="40">
        <f>IF(A87="","",IF(K87&lt;&gt;"",K87,D87))</f>
        <v/>
      </c>
      <c r="Q87" s="42">
        <f>IF(A87="",0,IF(C87="✗",0,IF(OR(C87="✓",AND(Setup!$D$7="Yes",P87&lt;=TODAY())),IF(L87&lt;&gt;"",L87,F87),0)))</f>
        <v/>
      </c>
      <c r="R87" s="39">
        <f>IF(A87="","",IF(M87&lt;&gt;"",M87,G87))</f>
        <v/>
      </c>
      <c r="S87" s="39">
        <f>IF(A87="","",IF(N87&lt;&gt;"",N87,H87))</f>
        <v/>
      </c>
      <c r="T87" s="39">
        <f>IF(A87="","",IF(C87="✗","Skipped",IF(Q87&gt;0,"Paid","Upcoming")))</f>
        <v/>
      </c>
      <c r="U87" s="42">
        <f>IF(A87="",0,IF(C87="✗",0,IF(L87&lt;&gt;"",L87,F87)))</f>
        <v/>
      </c>
    </row>
    <row r="88">
      <c r="A88" s="32">
        <f>IFERROR(SMALL(Calc!$B$2:$BB$61,83),"")</f>
        <v/>
      </c>
      <c r="B88" s="32">
        <f>IF(A88="","",ROUND(MOD(A88,1)*1000,0))</f>
        <v/>
      </c>
      <c r="C88" s="33" t="n"/>
      <c r="D88" s="34">
        <f>IF(A88="","",INT(A88))</f>
        <v/>
      </c>
      <c r="E88" s="35">
        <f>IF(B88="","",INDEX(Setup!$D$25:$D$84,B88))</f>
        <v/>
      </c>
      <c r="F88" s="36">
        <f>IF(B88="","",INDEX(Setup!$E$25:$E$84,B88))</f>
        <v/>
      </c>
      <c r="G88" s="32">
        <f>IF(B88="","",INDEX(Setup!$I$25:$I$84,B88)&amp;"")</f>
        <v/>
      </c>
      <c r="H88" s="32">
        <f>IF(B88="","",INDEX(Setup!$J$25:$J$84,B88)&amp;"")</f>
        <v/>
      </c>
      <c r="I88" s="32">
        <f>IF(B88="","",INDEX(Setup!$C$25:$C$84,B88))</f>
        <v/>
      </c>
      <c r="J88" s="32" t="n"/>
      <c r="K88" s="37" t="n"/>
      <c r="L88" s="38" t="n"/>
      <c r="M88" s="33" t="n"/>
      <c r="N88" s="33" t="n"/>
      <c r="O88" s="32" t="n"/>
      <c r="P88" s="34">
        <f>IF(A88="","",IF(K88&lt;&gt;"",K88,D88))</f>
        <v/>
      </c>
      <c r="Q88" s="36">
        <f>IF(A88="",0,IF(C88="✗",0,IF(OR(C88="✓",AND(Setup!$D$7="Yes",P88&lt;=TODAY())),IF(L88&lt;&gt;"",L88,F88),0)))</f>
        <v/>
      </c>
      <c r="R88" s="32">
        <f>IF(A88="","",IF(M88&lt;&gt;"",M88,G88))</f>
        <v/>
      </c>
      <c r="S88" s="32">
        <f>IF(A88="","",IF(N88&lt;&gt;"",N88,H88))</f>
        <v/>
      </c>
      <c r="T88" s="32">
        <f>IF(A88="","",IF(C88="✗","Skipped",IF(Q88&gt;0,"Paid","Upcoming")))</f>
        <v/>
      </c>
      <c r="U88" s="36">
        <f>IF(A88="",0,IF(C88="✗",0,IF(L88&lt;&gt;"",L88,F88)))</f>
        <v/>
      </c>
    </row>
    <row r="89">
      <c r="A89" s="39">
        <f>IFERROR(SMALL(Calc!$B$2:$BB$61,84),"")</f>
        <v/>
      </c>
      <c r="B89" s="39">
        <f>IF(A89="","",ROUND(MOD(A89,1)*1000,0))</f>
        <v/>
      </c>
      <c r="C89" s="33" t="n"/>
      <c r="D89" s="40">
        <f>IF(A89="","",INT(A89))</f>
        <v/>
      </c>
      <c r="E89" s="41">
        <f>IF(B89="","",INDEX(Setup!$D$25:$D$84,B89))</f>
        <v/>
      </c>
      <c r="F89" s="42">
        <f>IF(B89="","",INDEX(Setup!$E$25:$E$84,B89))</f>
        <v/>
      </c>
      <c r="G89" s="39">
        <f>IF(B89="","",INDEX(Setup!$I$25:$I$84,B89)&amp;"")</f>
        <v/>
      </c>
      <c r="H89" s="39">
        <f>IF(B89="","",INDEX(Setup!$J$25:$J$84,B89)&amp;"")</f>
        <v/>
      </c>
      <c r="I89" s="39">
        <f>IF(B89="","",INDEX(Setup!$C$25:$C$84,B89))</f>
        <v/>
      </c>
      <c r="J89" s="39" t="n"/>
      <c r="K89" s="37" t="n"/>
      <c r="L89" s="38" t="n"/>
      <c r="M89" s="33" t="n"/>
      <c r="N89" s="33" t="n"/>
      <c r="O89" s="39" t="n"/>
      <c r="P89" s="40">
        <f>IF(A89="","",IF(K89&lt;&gt;"",K89,D89))</f>
        <v/>
      </c>
      <c r="Q89" s="42">
        <f>IF(A89="",0,IF(C89="✗",0,IF(OR(C89="✓",AND(Setup!$D$7="Yes",P89&lt;=TODAY())),IF(L89&lt;&gt;"",L89,F89),0)))</f>
        <v/>
      </c>
      <c r="R89" s="39">
        <f>IF(A89="","",IF(M89&lt;&gt;"",M89,G89))</f>
        <v/>
      </c>
      <c r="S89" s="39">
        <f>IF(A89="","",IF(N89&lt;&gt;"",N89,H89))</f>
        <v/>
      </c>
      <c r="T89" s="39">
        <f>IF(A89="","",IF(C89="✗","Skipped",IF(Q89&gt;0,"Paid","Upcoming")))</f>
        <v/>
      </c>
      <c r="U89" s="42">
        <f>IF(A89="",0,IF(C89="✗",0,IF(L89&lt;&gt;"",L89,F89)))</f>
        <v/>
      </c>
    </row>
    <row r="90">
      <c r="A90" s="32">
        <f>IFERROR(SMALL(Calc!$B$2:$BB$61,85),"")</f>
        <v/>
      </c>
      <c r="B90" s="32">
        <f>IF(A90="","",ROUND(MOD(A90,1)*1000,0))</f>
        <v/>
      </c>
      <c r="C90" s="33" t="n"/>
      <c r="D90" s="34">
        <f>IF(A90="","",INT(A90))</f>
        <v/>
      </c>
      <c r="E90" s="35">
        <f>IF(B90="","",INDEX(Setup!$D$25:$D$84,B90))</f>
        <v/>
      </c>
      <c r="F90" s="36">
        <f>IF(B90="","",INDEX(Setup!$E$25:$E$84,B90))</f>
        <v/>
      </c>
      <c r="G90" s="32">
        <f>IF(B90="","",INDEX(Setup!$I$25:$I$84,B90)&amp;"")</f>
        <v/>
      </c>
      <c r="H90" s="32">
        <f>IF(B90="","",INDEX(Setup!$J$25:$J$84,B90)&amp;"")</f>
        <v/>
      </c>
      <c r="I90" s="32">
        <f>IF(B90="","",INDEX(Setup!$C$25:$C$84,B90))</f>
        <v/>
      </c>
      <c r="J90" s="32" t="n"/>
      <c r="K90" s="37" t="n"/>
      <c r="L90" s="38" t="n"/>
      <c r="M90" s="33" t="n"/>
      <c r="N90" s="33" t="n"/>
      <c r="O90" s="32" t="n"/>
      <c r="P90" s="34">
        <f>IF(A90="","",IF(K90&lt;&gt;"",K90,D90))</f>
        <v/>
      </c>
      <c r="Q90" s="36">
        <f>IF(A90="",0,IF(C90="✗",0,IF(OR(C90="✓",AND(Setup!$D$7="Yes",P90&lt;=TODAY())),IF(L90&lt;&gt;"",L90,F90),0)))</f>
        <v/>
      </c>
      <c r="R90" s="32">
        <f>IF(A90="","",IF(M90&lt;&gt;"",M90,G90))</f>
        <v/>
      </c>
      <c r="S90" s="32">
        <f>IF(A90="","",IF(N90&lt;&gt;"",N90,H90))</f>
        <v/>
      </c>
      <c r="T90" s="32">
        <f>IF(A90="","",IF(C90="✗","Skipped",IF(Q90&gt;0,"Paid","Upcoming")))</f>
        <v/>
      </c>
      <c r="U90" s="36">
        <f>IF(A90="",0,IF(C90="✗",0,IF(L90&lt;&gt;"",L90,F90)))</f>
        <v/>
      </c>
    </row>
    <row r="91">
      <c r="A91" s="39">
        <f>IFERROR(SMALL(Calc!$B$2:$BB$61,86),"")</f>
        <v/>
      </c>
      <c r="B91" s="39">
        <f>IF(A91="","",ROUND(MOD(A91,1)*1000,0))</f>
        <v/>
      </c>
      <c r="C91" s="33" t="n"/>
      <c r="D91" s="40">
        <f>IF(A91="","",INT(A91))</f>
        <v/>
      </c>
      <c r="E91" s="41">
        <f>IF(B91="","",INDEX(Setup!$D$25:$D$84,B91))</f>
        <v/>
      </c>
      <c r="F91" s="42">
        <f>IF(B91="","",INDEX(Setup!$E$25:$E$84,B91))</f>
        <v/>
      </c>
      <c r="G91" s="39">
        <f>IF(B91="","",INDEX(Setup!$I$25:$I$84,B91)&amp;"")</f>
        <v/>
      </c>
      <c r="H91" s="39">
        <f>IF(B91="","",INDEX(Setup!$J$25:$J$84,B91)&amp;"")</f>
        <v/>
      </c>
      <c r="I91" s="39">
        <f>IF(B91="","",INDEX(Setup!$C$25:$C$84,B91))</f>
        <v/>
      </c>
      <c r="J91" s="39" t="n"/>
      <c r="K91" s="37" t="n"/>
      <c r="L91" s="38" t="n"/>
      <c r="M91" s="33" t="n"/>
      <c r="N91" s="33" t="n"/>
      <c r="O91" s="39" t="n"/>
      <c r="P91" s="40">
        <f>IF(A91="","",IF(K91&lt;&gt;"",K91,D91))</f>
        <v/>
      </c>
      <c r="Q91" s="42">
        <f>IF(A91="",0,IF(C91="✗",0,IF(OR(C91="✓",AND(Setup!$D$7="Yes",P91&lt;=TODAY())),IF(L91&lt;&gt;"",L91,F91),0)))</f>
        <v/>
      </c>
      <c r="R91" s="39">
        <f>IF(A91="","",IF(M91&lt;&gt;"",M91,G91))</f>
        <v/>
      </c>
      <c r="S91" s="39">
        <f>IF(A91="","",IF(N91&lt;&gt;"",N91,H91))</f>
        <v/>
      </c>
      <c r="T91" s="39">
        <f>IF(A91="","",IF(C91="✗","Skipped",IF(Q91&gt;0,"Paid","Upcoming")))</f>
        <v/>
      </c>
      <c r="U91" s="42">
        <f>IF(A91="",0,IF(C91="✗",0,IF(L91&lt;&gt;"",L91,F91)))</f>
        <v/>
      </c>
    </row>
    <row r="92">
      <c r="A92" s="32">
        <f>IFERROR(SMALL(Calc!$B$2:$BB$61,87),"")</f>
        <v/>
      </c>
      <c r="B92" s="32">
        <f>IF(A92="","",ROUND(MOD(A92,1)*1000,0))</f>
        <v/>
      </c>
      <c r="C92" s="33" t="n"/>
      <c r="D92" s="34">
        <f>IF(A92="","",INT(A92))</f>
        <v/>
      </c>
      <c r="E92" s="35">
        <f>IF(B92="","",INDEX(Setup!$D$25:$D$84,B92))</f>
        <v/>
      </c>
      <c r="F92" s="36">
        <f>IF(B92="","",INDEX(Setup!$E$25:$E$84,B92))</f>
        <v/>
      </c>
      <c r="G92" s="32">
        <f>IF(B92="","",INDEX(Setup!$I$25:$I$84,B92)&amp;"")</f>
        <v/>
      </c>
      <c r="H92" s="32">
        <f>IF(B92="","",INDEX(Setup!$J$25:$J$84,B92)&amp;"")</f>
        <v/>
      </c>
      <c r="I92" s="32">
        <f>IF(B92="","",INDEX(Setup!$C$25:$C$84,B92))</f>
        <v/>
      </c>
      <c r="J92" s="32" t="n"/>
      <c r="K92" s="37" t="n"/>
      <c r="L92" s="38" t="n"/>
      <c r="M92" s="33" t="n"/>
      <c r="N92" s="33" t="n"/>
      <c r="O92" s="32" t="n"/>
      <c r="P92" s="34">
        <f>IF(A92="","",IF(K92&lt;&gt;"",K92,D92))</f>
        <v/>
      </c>
      <c r="Q92" s="36">
        <f>IF(A92="",0,IF(C92="✗",0,IF(OR(C92="✓",AND(Setup!$D$7="Yes",P92&lt;=TODAY())),IF(L92&lt;&gt;"",L92,F92),0)))</f>
        <v/>
      </c>
      <c r="R92" s="32">
        <f>IF(A92="","",IF(M92&lt;&gt;"",M92,G92))</f>
        <v/>
      </c>
      <c r="S92" s="32">
        <f>IF(A92="","",IF(N92&lt;&gt;"",N92,H92))</f>
        <v/>
      </c>
      <c r="T92" s="32">
        <f>IF(A92="","",IF(C92="✗","Skipped",IF(Q92&gt;0,"Paid","Upcoming")))</f>
        <v/>
      </c>
      <c r="U92" s="36">
        <f>IF(A92="",0,IF(C92="✗",0,IF(L92&lt;&gt;"",L92,F92)))</f>
        <v/>
      </c>
    </row>
    <row r="93">
      <c r="A93" s="39">
        <f>IFERROR(SMALL(Calc!$B$2:$BB$61,88),"")</f>
        <v/>
      </c>
      <c r="B93" s="39">
        <f>IF(A93="","",ROUND(MOD(A93,1)*1000,0))</f>
        <v/>
      </c>
      <c r="C93" s="33" t="n"/>
      <c r="D93" s="40">
        <f>IF(A93="","",INT(A93))</f>
        <v/>
      </c>
      <c r="E93" s="41">
        <f>IF(B93="","",INDEX(Setup!$D$25:$D$84,B93))</f>
        <v/>
      </c>
      <c r="F93" s="42">
        <f>IF(B93="","",INDEX(Setup!$E$25:$E$84,B93))</f>
        <v/>
      </c>
      <c r="G93" s="39">
        <f>IF(B93="","",INDEX(Setup!$I$25:$I$84,B93)&amp;"")</f>
        <v/>
      </c>
      <c r="H93" s="39">
        <f>IF(B93="","",INDEX(Setup!$J$25:$J$84,B93)&amp;"")</f>
        <v/>
      </c>
      <c r="I93" s="39">
        <f>IF(B93="","",INDEX(Setup!$C$25:$C$84,B93))</f>
        <v/>
      </c>
      <c r="J93" s="39" t="n"/>
      <c r="K93" s="37" t="n"/>
      <c r="L93" s="38" t="n"/>
      <c r="M93" s="33" t="n"/>
      <c r="N93" s="33" t="n"/>
      <c r="O93" s="39" t="n"/>
      <c r="P93" s="40">
        <f>IF(A93="","",IF(K93&lt;&gt;"",K93,D93))</f>
        <v/>
      </c>
      <c r="Q93" s="42">
        <f>IF(A93="",0,IF(C93="✗",0,IF(OR(C93="✓",AND(Setup!$D$7="Yes",P93&lt;=TODAY())),IF(L93&lt;&gt;"",L93,F93),0)))</f>
        <v/>
      </c>
      <c r="R93" s="39">
        <f>IF(A93="","",IF(M93&lt;&gt;"",M93,G93))</f>
        <v/>
      </c>
      <c r="S93" s="39">
        <f>IF(A93="","",IF(N93&lt;&gt;"",N93,H93))</f>
        <v/>
      </c>
      <c r="T93" s="39">
        <f>IF(A93="","",IF(C93="✗","Skipped",IF(Q93&gt;0,"Paid","Upcoming")))</f>
        <v/>
      </c>
      <c r="U93" s="42">
        <f>IF(A93="",0,IF(C93="✗",0,IF(L93&lt;&gt;"",L93,F93)))</f>
        <v/>
      </c>
    </row>
    <row r="94">
      <c r="A94" s="32">
        <f>IFERROR(SMALL(Calc!$B$2:$BB$61,89),"")</f>
        <v/>
      </c>
      <c r="B94" s="32">
        <f>IF(A94="","",ROUND(MOD(A94,1)*1000,0))</f>
        <v/>
      </c>
      <c r="C94" s="33" t="n"/>
      <c r="D94" s="34">
        <f>IF(A94="","",INT(A94))</f>
        <v/>
      </c>
      <c r="E94" s="35">
        <f>IF(B94="","",INDEX(Setup!$D$25:$D$84,B94))</f>
        <v/>
      </c>
      <c r="F94" s="36">
        <f>IF(B94="","",INDEX(Setup!$E$25:$E$84,B94))</f>
        <v/>
      </c>
      <c r="G94" s="32">
        <f>IF(B94="","",INDEX(Setup!$I$25:$I$84,B94)&amp;"")</f>
        <v/>
      </c>
      <c r="H94" s="32">
        <f>IF(B94="","",INDEX(Setup!$J$25:$J$84,B94)&amp;"")</f>
        <v/>
      </c>
      <c r="I94" s="32">
        <f>IF(B94="","",INDEX(Setup!$C$25:$C$84,B94))</f>
        <v/>
      </c>
      <c r="J94" s="32" t="n"/>
      <c r="K94" s="37" t="n"/>
      <c r="L94" s="38" t="n"/>
      <c r="M94" s="33" t="n"/>
      <c r="N94" s="33" t="n"/>
      <c r="O94" s="32" t="n"/>
      <c r="P94" s="34">
        <f>IF(A94="","",IF(K94&lt;&gt;"",K94,D94))</f>
        <v/>
      </c>
      <c r="Q94" s="36">
        <f>IF(A94="",0,IF(C94="✗",0,IF(OR(C94="✓",AND(Setup!$D$7="Yes",P94&lt;=TODAY())),IF(L94&lt;&gt;"",L94,F94),0)))</f>
        <v/>
      </c>
      <c r="R94" s="32">
        <f>IF(A94="","",IF(M94&lt;&gt;"",M94,G94))</f>
        <v/>
      </c>
      <c r="S94" s="32">
        <f>IF(A94="","",IF(N94&lt;&gt;"",N94,H94))</f>
        <v/>
      </c>
      <c r="T94" s="32">
        <f>IF(A94="","",IF(C94="✗","Skipped",IF(Q94&gt;0,"Paid","Upcoming")))</f>
        <v/>
      </c>
      <c r="U94" s="36">
        <f>IF(A94="",0,IF(C94="✗",0,IF(L94&lt;&gt;"",L94,F94)))</f>
        <v/>
      </c>
    </row>
    <row r="95">
      <c r="A95" s="39">
        <f>IFERROR(SMALL(Calc!$B$2:$BB$61,90),"")</f>
        <v/>
      </c>
      <c r="B95" s="39">
        <f>IF(A95="","",ROUND(MOD(A95,1)*1000,0))</f>
        <v/>
      </c>
      <c r="C95" s="33" t="n"/>
      <c r="D95" s="40">
        <f>IF(A95="","",INT(A95))</f>
        <v/>
      </c>
      <c r="E95" s="41">
        <f>IF(B95="","",INDEX(Setup!$D$25:$D$84,B95))</f>
        <v/>
      </c>
      <c r="F95" s="42">
        <f>IF(B95="","",INDEX(Setup!$E$25:$E$84,B95))</f>
        <v/>
      </c>
      <c r="G95" s="39">
        <f>IF(B95="","",INDEX(Setup!$I$25:$I$84,B95)&amp;"")</f>
        <v/>
      </c>
      <c r="H95" s="39">
        <f>IF(B95="","",INDEX(Setup!$J$25:$J$84,B95)&amp;"")</f>
        <v/>
      </c>
      <c r="I95" s="39">
        <f>IF(B95="","",INDEX(Setup!$C$25:$C$84,B95))</f>
        <v/>
      </c>
      <c r="J95" s="39" t="n"/>
      <c r="K95" s="37" t="n"/>
      <c r="L95" s="38" t="n"/>
      <c r="M95" s="33" t="n"/>
      <c r="N95" s="33" t="n"/>
      <c r="O95" s="39" t="n"/>
      <c r="P95" s="40">
        <f>IF(A95="","",IF(K95&lt;&gt;"",K95,D95))</f>
        <v/>
      </c>
      <c r="Q95" s="42">
        <f>IF(A95="",0,IF(C95="✗",0,IF(OR(C95="✓",AND(Setup!$D$7="Yes",P95&lt;=TODAY())),IF(L95&lt;&gt;"",L95,F95),0)))</f>
        <v/>
      </c>
      <c r="R95" s="39">
        <f>IF(A95="","",IF(M95&lt;&gt;"",M95,G95))</f>
        <v/>
      </c>
      <c r="S95" s="39">
        <f>IF(A95="","",IF(N95&lt;&gt;"",N95,H95))</f>
        <v/>
      </c>
      <c r="T95" s="39">
        <f>IF(A95="","",IF(C95="✗","Skipped",IF(Q95&gt;0,"Paid","Upcoming")))</f>
        <v/>
      </c>
      <c r="U95" s="42">
        <f>IF(A95="",0,IF(C95="✗",0,IF(L95&lt;&gt;"",L95,F95)))</f>
        <v/>
      </c>
    </row>
    <row r="96">
      <c r="A96" s="32">
        <f>IFERROR(SMALL(Calc!$B$2:$BB$61,91),"")</f>
        <v/>
      </c>
      <c r="B96" s="32">
        <f>IF(A96="","",ROUND(MOD(A96,1)*1000,0))</f>
        <v/>
      </c>
      <c r="C96" s="33" t="n"/>
      <c r="D96" s="34">
        <f>IF(A96="","",INT(A96))</f>
        <v/>
      </c>
      <c r="E96" s="35">
        <f>IF(B96="","",INDEX(Setup!$D$25:$D$84,B96))</f>
        <v/>
      </c>
      <c r="F96" s="36">
        <f>IF(B96="","",INDEX(Setup!$E$25:$E$84,B96))</f>
        <v/>
      </c>
      <c r="G96" s="32">
        <f>IF(B96="","",INDEX(Setup!$I$25:$I$84,B96)&amp;"")</f>
        <v/>
      </c>
      <c r="H96" s="32">
        <f>IF(B96="","",INDEX(Setup!$J$25:$J$84,B96)&amp;"")</f>
        <v/>
      </c>
      <c r="I96" s="32">
        <f>IF(B96="","",INDEX(Setup!$C$25:$C$84,B96))</f>
        <v/>
      </c>
      <c r="J96" s="32" t="n"/>
      <c r="K96" s="37" t="n"/>
      <c r="L96" s="38" t="n"/>
      <c r="M96" s="33" t="n"/>
      <c r="N96" s="33" t="n"/>
      <c r="O96" s="32" t="n"/>
      <c r="P96" s="34">
        <f>IF(A96="","",IF(K96&lt;&gt;"",K96,D96))</f>
        <v/>
      </c>
      <c r="Q96" s="36">
        <f>IF(A96="",0,IF(C96="✗",0,IF(OR(C96="✓",AND(Setup!$D$7="Yes",P96&lt;=TODAY())),IF(L96&lt;&gt;"",L96,F96),0)))</f>
        <v/>
      </c>
      <c r="R96" s="32">
        <f>IF(A96="","",IF(M96&lt;&gt;"",M96,G96))</f>
        <v/>
      </c>
      <c r="S96" s="32">
        <f>IF(A96="","",IF(N96&lt;&gt;"",N96,H96))</f>
        <v/>
      </c>
      <c r="T96" s="32">
        <f>IF(A96="","",IF(C96="✗","Skipped",IF(Q96&gt;0,"Paid","Upcoming")))</f>
        <v/>
      </c>
      <c r="U96" s="36">
        <f>IF(A96="",0,IF(C96="✗",0,IF(L96&lt;&gt;"",L96,F96)))</f>
        <v/>
      </c>
    </row>
    <row r="97">
      <c r="A97" s="39">
        <f>IFERROR(SMALL(Calc!$B$2:$BB$61,92),"")</f>
        <v/>
      </c>
      <c r="B97" s="39">
        <f>IF(A97="","",ROUND(MOD(A97,1)*1000,0))</f>
        <v/>
      </c>
      <c r="C97" s="33" t="n"/>
      <c r="D97" s="40">
        <f>IF(A97="","",INT(A97))</f>
        <v/>
      </c>
      <c r="E97" s="41">
        <f>IF(B97="","",INDEX(Setup!$D$25:$D$84,B97))</f>
        <v/>
      </c>
      <c r="F97" s="42">
        <f>IF(B97="","",INDEX(Setup!$E$25:$E$84,B97))</f>
        <v/>
      </c>
      <c r="G97" s="39">
        <f>IF(B97="","",INDEX(Setup!$I$25:$I$84,B97)&amp;"")</f>
        <v/>
      </c>
      <c r="H97" s="39">
        <f>IF(B97="","",INDEX(Setup!$J$25:$J$84,B97)&amp;"")</f>
        <v/>
      </c>
      <c r="I97" s="39">
        <f>IF(B97="","",INDEX(Setup!$C$25:$C$84,B97))</f>
        <v/>
      </c>
      <c r="J97" s="39" t="n"/>
      <c r="K97" s="37" t="n"/>
      <c r="L97" s="38" t="n"/>
      <c r="M97" s="33" t="n"/>
      <c r="N97" s="33" t="n"/>
      <c r="O97" s="39" t="n"/>
      <c r="P97" s="40">
        <f>IF(A97="","",IF(K97&lt;&gt;"",K97,D97))</f>
        <v/>
      </c>
      <c r="Q97" s="42">
        <f>IF(A97="",0,IF(C97="✗",0,IF(OR(C97="✓",AND(Setup!$D$7="Yes",P97&lt;=TODAY())),IF(L97&lt;&gt;"",L97,F97),0)))</f>
        <v/>
      </c>
      <c r="R97" s="39">
        <f>IF(A97="","",IF(M97&lt;&gt;"",M97,G97))</f>
        <v/>
      </c>
      <c r="S97" s="39">
        <f>IF(A97="","",IF(N97&lt;&gt;"",N97,H97))</f>
        <v/>
      </c>
      <c r="T97" s="39">
        <f>IF(A97="","",IF(C97="✗","Skipped",IF(Q97&gt;0,"Paid","Upcoming")))</f>
        <v/>
      </c>
      <c r="U97" s="42">
        <f>IF(A97="",0,IF(C97="✗",0,IF(L97&lt;&gt;"",L97,F97)))</f>
        <v/>
      </c>
    </row>
    <row r="98">
      <c r="A98" s="32">
        <f>IFERROR(SMALL(Calc!$B$2:$BB$61,93),"")</f>
        <v/>
      </c>
      <c r="B98" s="32">
        <f>IF(A98="","",ROUND(MOD(A98,1)*1000,0))</f>
        <v/>
      </c>
      <c r="C98" s="33" t="n"/>
      <c r="D98" s="34">
        <f>IF(A98="","",INT(A98))</f>
        <v/>
      </c>
      <c r="E98" s="35">
        <f>IF(B98="","",INDEX(Setup!$D$25:$D$84,B98))</f>
        <v/>
      </c>
      <c r="F98" s="36">
        <f>IF(B98="","",INDEX(Setup!$E$25:$E$84,B98))</f>
        <v/>
      </c>
      <c r="G98" s="32">
        <f>IF(B98="","",INDEX(Setup!$I$25:$I$84,B98)&amp;"")</f>
        <v/>
      </c>
      <c r="H98" s="32">
        <f>IF(B98="","",INDEX(Setup!$J$25:$J$84,B98)&amp;"")</f>
        <v/>
      </c>
      <c r="I98" s="32">
        <f>IF(B98="","",INDEX(Setup!$C$25:$C$84,B98))</f>
        <v/>
      </c>
      <c r="J98" s="32" t="n"/>
      <c r="K98" s="37" t="n"/>
      <c r="L98" s="38" t="n"/>
      <c r="M98" s="33" t="n"/>
      <c r="N98" s="33" t="n"/>
      <c r="O98" s="32" t="n"/>
      <c r="P98" s="34">
        <f>IF(A98="","",IF(K98&lt;&gt;"",K98,D98))</f>
        <v/>
      </c>
      <c r="Q98" s="36">
        <f>IF(A98="",0,IF(C98="✗",0,IF(OR(C98="✓",AND(Setup!$D$7="Yes",P98&lt;=TODAY())),IF(L98&lt;&gt;"",L98,F98),0)))</f>
        <v/>
      </c>
      <c r="R98" s="32">
        <f>IF(A98="","",IF(M98&lt;&gt;"",M98,G98))</f>
        <v/>
      </c>
      <c r="S98" s="32">
        <f>IF(A98="","",IF(N98&lt;&gt;"",N98,H98))</f>
        <v/>
      </c>
      <c r="T98" s="32">
        <f>IF(A98="","",IF(C98="✗","Skipped",IF(Q98&gt;0,"Paid","Upcoming")))</f>
        <v/>
      </c>
      <c r="U98" s="36">
        <f>IF(A98="",0,IF(C98="✗",0,IF(L98&lt;&gt;"",L98,F98)))</f>
        <v/>
      </c>
    </row>
    <row r="99">
      <c r="A99" s="39">
        <f>IFERROR(SMALL(Calc!$B$2:$BB$61,94),"")</f>
        <v/>
      </c>
      <c r="B99" s="39">
        <f>IF(A99="","",ROUND(MOD(A99,1)*1000,0))</f>
        <v/>
      </c>
      <c r="C99" s="33" t="n"/>
      <c r="D99" s="40">
        <f>IF(A99="","",INT(A99))</f>
        <v/>
      </c>
      <c r="E99" s="41">
        <f>IF(B99="","",INDEX(Setup!$D$25:$D$84,B99))</f>
        <v/>
      </c>
      <c r="F99" s="42">
        <f>IF(B99="","",INDEX(Setup!$E$25:$E$84,B99))</f>
        <v/>
      </c>
      <c r="G99" s="39">
        <f>IF(B99="","",INDEX(Setup!$I$25:$I$84,B99)&amp;"")</f>
        <v/>
      </c>
      <c r="H99" s="39">
        <f>IF(B99="","",INDEX(Setup!$J$25:$J$84,B99)&amp;"")</f>
        <v/>
      </c>
      <c r="I99" s="39">
        <f>IF(B99="","",INDEX(Setup!$C$25:$C$84,B99))</f>
        <v/>
      </c>
      <c r="J99" s="39" t="n"/>
      <c r="K99" s="37" t="n"/>
      <c r="L99" s="38" t="n"/>
      <c r="M99" s="33" t="n"/>
      <c r="N99" s="33" t="n"/>
      <c r="O99" s="39" t="n"/>
      <c r="P99" s="40">
        <f>IF(A99="","",IF(K99&lt;&gt;"",K99,D99))</f>
        <v/>
      </c>
      <c r="Q99" s="42">
        <f>IF(A99="",0,IF(C99="✗",0,IF(OR(C99="✓",AND(Setup!$D$7="Yes",P99&lt;=TODAY())),IF(L99&lt;&gt;"",L99,F99),0)))</f>
        <v/>
      </c>
      <c r="R99" s="39">
        <f>IF(A99="","",IF(M99&lt;&gt;"",M99,G99))</f>
        <v/>
      </c>
      <c r="S99" s="39">
        <f>IF(A99="","",IF(N99&lt;&gt;"",N99,H99))</f>
        <v/>
      </c>
      <c r="T99" s="39">
        <f>IF(A99="","",IF(C99="✗","Skipped",IF(Q99&gt;0,"Paid","Upcoming")))</f>
        <v/>
      </c>
      <c r="U99" s="42">
        <f>IF(A99="",0,IF(C99="✗",0,IF(L99&lt;&gt;"",L99,F99)))</f>
        <v/>
      </c>
    </row>
    <row r="100">
      <c r="A100" s="32">
        <f>IFERROR(SMALL(Calc!$B$2:$BB$61,95),"")</f>
        <v/>
      </c>
      <c r="B100" s="32">
        <f>IF(A100="","",ROUND(MOD(A100,1)*1000,0))</f>
        <v/>
      </c>
      <c r="C100" s="33" t="n"/>
      <c r="D100" s="34">
        <f>IF(A100="","",INT(A100))</f>
        <v/>
      </c>
      <c r="E100" s="35">
        <f>IF(B100="","",INDEX(Setup!$D$25:$D$84,B100))</f>
        <v/>
      </c>
      <c r="F100" s="36">
        <f>IF(B100="","",INDEX(Setup!$E$25:$E$84,B100))</f>
        <v/>
      </c>
      <c r="G100" s="32">
        <f>IF(B100="","",INDEX(Setup!$I$25:$I$84,B100)&amp;"")</f>
        <v/>
      </c>
      <c r="H100" s="32">
        <f>IF(B100="","",INDEX(Setup!$J$25:$J$84,B100)&amp;"")</f>
        <v/>
      </c>
      <c r="I100" s="32">
        <f>IF(B100="","",INDEX(Setup!$C$25:$C$84,B100))</f>
        <v/>
      </c>
      <c r="J100" s="32" t="n"/>
      <c r="K100" s="37" t="n"/>
      <c r="L100" s="38" t="n"/>
      <c r="M100" s="33" t="n"/>
      <c r="N100" s="33" t="n"/>
      <c r="O100" s="32" t="n"/>
      <c r="P100" s="34">
        <f>IF(A100="","",IF(K100&lt;&gt;"",K100,D100))</f>
        <v/>
      </c>
      <c r="Q100" s="36">
        <f>IF(A100="",0,IF(C100="✗",0,IF(OR(C100="✓",AND(Setup!$D$7="Yes",P100&lt;=TODAY())),IF(L100&lt;&gt;"",L100,F100),0)))</f>
        <v/>
      </c>
      <c r="R100" s="32">
        <f>IF(A100="","",IF(M100&lt;&gt;"",M100,G100))</f>
        <v/>
      </c>
      <c r="S100" s="32">
        <f>IF(A100="","",IF(N100&lt;&gt;"",N100,H100))</f>
        <v/>
      </c>
      <c r="T100" s="32">
        <f>IF(A100="","",IF(C100="✗","Skipped",IF(Q100&gt;0,"Paid","Upcoming")))</f>
        <v/>
      </c>
      <c r="U100" s="36">
        <f>IF(A100="",0,IF(C100="✗",0,IF(L100&lt;&gt;"",L100,F100)))</f>
        <v/>
      </c>
    </row>
    <row r="101">
      <c r="A101" s="39">
        <f>IFERROR(SMALL(Calc!$B$2:$BB$61,96),"")</f>
        <v/>
      </c>
      <c r="B101" s="39">
        <f>IF(A101="","",ROUND(MOD(A101,1)*1000,0))</f>
        <v/>
      </c>
      <c r="C101" s="33" t="n"/>
      <c r="D101" s="40">
        <f>IF(A101="","",INT(A101))</f>
        <v/>
      </c>
      <c r="E101" s="41">
        <f>IF(B101="","",INDEX(Setup!$D$25:$D$84,B101))</f>
        <v/>
      </c>
      <c r="F101" s="42">
        <f>IF(B101="","",INDEX(Setup!$E$25:$E$84,B101))</f>
        <v/>
      </c>
      <c r="G101" s="39">
        <f>IF(B101="","",INDEX(Setup!$I$25:$I$84,B101)&amp;"")</f>
        <v/>
      </c>
      <c r="H101" s="39">
        <f>IF(B101="","",INDEX(Setup!$J$25:$J$84,B101)&amp;"")</f>
        <v/>
      </c>
      <c r="I101" s="39">
        <f>IF(B101="","",INDEX(Setup!$C$25:$C$84,B101))</f>
        <v/>
      </c>
      <c r="J101" s="39" t="n"/>
      <c r="K101" s="37" t="n"/>
      <c r="L101" s="38" t="n"/>
      <c r="M101" s="33" t="n"/>
      <c r="N101" s="33" t="n"/>
      <c r="O101" s="39" t="n"/>
      <c r="P101" s="40">
        <f>IF(A101="","",IF(K101&lt;&gt;"",K101,D101))</f>
        <v/>
      </c>
      <c r="Q101" s="42">
        <f>IF(A101="",0,IF(C101="✗",0,IF(OR(C101="✓",AND(Setup!$D$7="Yes",P101&lt;=TODAY())),IF(L101&lt;&gt;"",L101,F101),0)))</f>
        <v/>
      </c>
      <c r="R101" s="39">
        <f>IF(A101="","",IF(M101&lt;&gt;"",M101,G101))</f>
        <v/>
      </c>
      <c r="S101" s="39">
        <f>IF(A101="","",IF(N101&lt;&gt;"",N101,H101))</f>
        <v/>
      </c>
      <c r="T101" s="39">
        <f>IF(A101="","",IF(C101="✗","Skipped",IF(Q101&gt;0,"Paid","Upcoming")))</f>
        <v/>
      </c>
      <c r="U101" s="42">
        <f>IF(A101="",0,IF(C101="✗",0,IF(L101&lt;&gt;"",L101,F101)))</f>
        <v/>
      </c>
    </row>
    <row r="102">
      <c r="A102" s="32">
        <f>IFERROR(SMALL(Calc!$B$2:$BB$61,97),"")</f>
        <v/>
      </c>
      <c r="B102" s="32">
        <f>IF(A102="","",ROUND(MOD(A102,1)*1000,0))</f>
        <v/>
      </c>
      <c r="C102" s="33" t="n"/>
      <c r="D102" s="34">
        <f>IF(A102="","",INT(A102))</f>
        <v/>
      </c>
      <c r="E102" s="35">
        <f>IF(B102="","",INDEX(Setup!$D$25:$D$84,B102))</f>
        <v/>
      </c>
      <c r="F102" s="36">
        <f>IF(B102="","",INDEX(Setup!$E$25:$E$84,B102))</f>
        <v/>
      </c>
      <c r="G102" s="32">
        <f>IF(B102="","",INDEX(Setup!$I$25:$I$84,B102)&amp;"")</f>
        <v/>
      </c>
      <c r="H102" s="32">
        <f>IF(B102="","",INDEX(Setup!$J$25:$J$84,B102)&amp;"")</f>
        <v/>
      </c>
      <c r="I102" s="32">
        <f>IF(B102="","",INDEX(Setup!$C$25:$C$84,B102))</f>
        <v/>
      </c>
      <c r="J102" s="32" t="n"/>
      <c r="K102" s="37" t="n"/>
      <c r="L102" s="38" t="n"/>
      <c r="M102" s="33" t="n"/>
      <c r="N102" s="33" t="n"/>
      <c r="O102" s="32" t="n"/>
      <c r="P102" s="34">
        <f>IF(A102="","",IF(K102&lt;&gt;"",K102,D102))</f>
        <v/>
      </c>
      <c r="Q102" s="36">
        <f>IF(A102="",0,IF(C102="✗",0,IF(OR(C102="✓",AND(Setup!$D$7="Yes",P102&lt;=TODAY())),IF(L102&lt;&gt;"",L102,F102),0)))</f>
        <v/>
      </c>
      <c r="R102" s="32">
        <f>IF(A102="","",IF(M102&lt;&gt;"",M102,G102))</f>
        <v/>
      </c>
      <c r="S102" s="32">
        <f>IF(A102="","",IF(N102&lt;&gt;"",N102,H102))</f>
        <v/>
      </c>
      <c r="T102" s="32">
        <f>IF(A102="","",IF(C102="✗","Skipped",IF(Q102&gt;0,"Paid","Upcoming")))</f>
        <v/>
      </c>
      <c r="U102" s="36">
        <f>IF(A102="",0,IF(C102="✗",0,IF(L102&lt;&gt;"",L102,F102)))</f>
        <v/>
      </c>
    </row>
    <row r="103">
      <c r="A103" s="39">
        <f>IFERROR(SMALL(Calc!$B$2:$BB$61,98),"")</f>
        <v/>
      </c>
      <c r="B103" s="39">
        <f>IF(A103="","",ROUND(MOD(A103,1)*1000,0))</f>
        <v/>
      </c>
      <c r="C103" s="33" t="n"/>
      <c r="D103" s="40">
        <f>IF(A103="","",INT(A103))</f>
        <v/>
      </c>
      <c r="E103" s="41">
        <f>IF(B103="","",INDEX(Setup!$D$25:$D$84,B103))</f>
        <v/>
      </c>
      <c r="F103" s="42">
        <f>IF(B103="","",INDEX(Setup!$E$25:$E$84,B103))</f>
        <v/>
      </c>
      <c r="G103" s="39">
        <f>IF(B103="","",INDEX(Setup!$I$25:$I$84,B103)&amp;"")</f>
        <v/>
      </c>
      <c r="H103" s="39">
        <f>IF(B103="","",INDEX(Setup!$J$25:$J$84,B103)&amp;"")</f>
        <v/>
      </c>
      <c r="I103" s="39">
        <f>IF(B103="","",INDEX(Setup!$C$25:$C$84,B103))</f>
        <v/>
      </c>
      <c r="J103" s="39" t="n"/>
      <c r="K103" s="37" t="n"/>
      <c r="L103" s="38" t="n"/>
      <c r="M103" s="33" t="n"/>
      <c r="N103" s="33" t="n"/>
      <c r="O103" s="39" t="n"/>
      <c r="P103" s="40">
        <f>IF(A103="","",IF(K103&lt;&gt;"",K103,D103))</f>
        <v/>
      </c>
      <c r="Q103" s="42">
        <f>IF(A103="",0,IF(C103="✗",0,IF(OR(C103="✓",AND(Setup!$D$7="Yes",P103&lt;=TODAY())),IF(L103&lt;&gt;"",L103,F103),0)))</f>
        <v/>
      </c>
      <c r="R103" s="39">
        <f>IF(A103="","",IF(M103&lt;&gt;"",M103,G103))</f>
        <v/>
      </c>
      <c r="S103" s="39">
        <f>IF(A103="","",IF(N103&lt;&gt;"",N103,H103))</f>
        <v/>
      </c>
      <c r="T103" s="39">
        <f>IF(A103="","",IF(C103="✗","Skipped",IF(Q103&gt;0,"Paid","Upcoming")))</f>
        <v/>
      </c>
      <c r="U103" s="42">
        <f>IF(A103="",0,IF(C103="✗",0,IF(L103&lt;&gt;"",L103,F103)))</f>
        <v/>
      </c>
    </row>
    <row r="104">
      <c r="A104" s="32">
        <f>IFERROR(SMALL(Calc!$B$2:$BB$61,99),"")</f>
        <v/>
      </c>
      <c r="B104" s="32">
        <f>IF(A104="","",ROUND(MOD(A104,1)*1000,0))</f>
        <v/>
      </c>
      <c r="C104" s="33" t="n"/>
      <c r="D104" s="34">
        <f>IF(A104="","",INT(A104))</f>
        <v/>
      </c>
      <c r="E104" s="35">
        <f>IF(B104="","",INDEX(Setup!$D$25:$D$84,B104))</f>
        <v/>
      </c>
      <c r="F104" s="36">
        <f>IF(B104="","",INDEX(Setup!$E$25:$E$84,B104))</f>
        <v/>
      </c>
      <c r="G104" s="32">
        <f>IF(B104="","",INDEX(Setup!$I$25:$I$84,B104)&amp;"")</f>
        <v/>
      </c>
      <c r="H104" s="32">
        <f>IF(B104="","",INDEX(Setup!$J$25:$J$84,B104)&amp;"")</f>
        <v/>
      </c>
      <c r="I104" s="32">
        <f>IF(B104="","",INDEX(Setup!$C$25:$C$84,B104))</f>
        <v/>
      </c>
      <c r="J104" s="32" t="n"/>
      <c r="K104" s="37" t="n"/>
      <c r="L104" s="38" t="n"/>
      <c r="M104" s="33" t="n"/>
      <c r="N104" s="33" t="n"/>
      <c r="O104" s="32" t="n"/>
      <c r="P104" s="34">
        <f>IF(A104="","",IF(K104&lt;&gt;"",K104,D104))</f>
        <v/>
      </c>
      <c r="Q104" s="36">
        <f>IF(A104="",0,IF(C104="✗",0,IF(OR(C104="✓",AND(Setup!$D$7="Yes",P104&lt;=TODAY())),IF(L104&lt;&gt;"",L104,F104),0)))</f>
        <v/>
      </c>
      <c r="R104" s="32">
        <f>IF(A104="","",IF(M104&lt;&gt;"",M104,G104))</f>
        <v/>
      </c>
      <c r="S104" s="32">
        <f>IF(A104="","",IF(N104&lt;&gt;"",N104,H104))</f>
        <v/>
      </c>
      <c r="T104" s="32">
        <f>IF(A104="","",IF(C104="✗","Skipped",IF(Q104&gt;0,"Paid","Upcoming")))</f>
        <v/>
      </c>
      <c r="U104" s="36">
        <f>IF(A104="",0,IF(C104="✗",0,IF(L104&lt;&gt;"",L104,F104)))</f>
        <v/>
      </c>
    </row>
    <row r="105">
      <c r="A105" s="39">
        <f>IFERROR(SMALL(Calc!$B$2:$BB$61,100),"")</f>
        <v/>
      </c>
      <c r="B105" s="39">
        <f>IF(A105="","",ROUND(MOD(A105,1)*1000,0))</f>
        <v/>
      </c>
      <c r="C105" s="33" t="n"/>
      <c r="D105" s="40">
        <f>IF(A105="","",INT(A105))</f>
        <v/>
      </c>
      <c r="E105" s="41">
        <f>IF(B105="","",INDEX(Setup!$D$25:$D$84,B105))</f>
        <v/>
      </c>
      <c r="F105" s="42">
        <f>IF(B105="","",INDEX(Setup!$E$25:$E$84,B105))</f>
        <v/>
      </c>
      <c r="G105" s="39">
        <f>IF(B105="","",INDEX(Setup!$I$25:$I$84,B105)&amp;"")</f>
        <v/>
      </c>
      <c r="H105" s="39">
        <f>IF(B105="","",INDEX(Setup!$J$25:$J$84,B105)&amp;"")</f>
        <v/>
      </c>
      <c r="I105" s="39">
        <f>IF(B105="","",INDEX(Setup!$C$25:$C$84,B105))</f>
        <v/>
      </c>
      <c r="J105" s="39" t="n"/>
      <c r="K105" s="37" t="n"/>
      <c r="L105" s="38" t="n"/>
      <c r="M105" s="33" t="n"/>
      <c r="N105" s="33" t="n"/>
      <c r="O105" s="39" t="n"/>
      <c r="P105" s="40">
        <f>IF(A105="","",IF(K105&lt;&gt;"",K105,D105))</f>
        <v/>
      </c>
      <c r="Q105" s="42">
        <f>IF(A105="",0,IF(C105="✗",0,IF(OR(C105="✓",AND(Setup!$D$7="Yes",P105&lt;=TODAY())),IF(L105&lt;&gt;"",L105,F105),0)))</f>
        <v/>
      </c>
      <c r="R105" s="39">
        <f>IF(A105="","",IF(M105&lt;&gt;"",M105,G105))</f>
        <v/>
      </c>
      <c r="S105" s="39">
        <f>IF(A105="","",IF(N105&lt;&gt;"",N105,H105))</f>
        <v/>
      </c>
      <c r="T105" s="39">
        <f>IF(A105="","",IF(C105="✗","Skipped",IF(Q105&gt;0,"Paid","Upcoming")))</f>
        <v/>
      </c>
      <c r="U105" s="42">
        <f>IF(A105="",0,IF(C105="✗",0,IF(L105&lt;&gt;"",L105,F105)))</f>
        <v/>
      </c>
    </row>
    <row r="106">
      <c r="A106" s="32">
        <f>IFERROR(SMALL(Calc!$B$2:$BB$61,101),"")</f>
        <v/>
      </c>
      <c r="B106" s="32">
        <f>IF(A106="","",ROUND(MOD(A106,1)*1000,0))</f>
        <v/>
      </c>
      <c r="C106" s="33" t="n"/>
      <c r="D106" s="34">
        <f>IF(A106="","",INT(A106))</f>
        <v/>
      </c>
      <c r="E106" s="35">
        <f>IF(B106="","",INDEX(Setup!$D$25:$D$84,B106))</f>
        <v/>
      </c>
      <c r="F106" s="36">
        <f>IF(B106="","",INDEX(Setup!$E$25:$E$84,B106))</f>
        <v/>
      </c>
      <c r="G106" s="32">
        <f>IF(B106="","",INDEX(Setup!$I$25:$I$84,B106)&amp;"")</f>
        <v/>
      </c>
      <c r="H106" s="32">
        <f>IF(B106="","",INDEX(Setup!$J$25:$J$84,B106)&amp;"")</f>
        <v/>
      </c>
      <c r="I106" s="32">
        <f>IF(B106="","",INDEX(Setup!$C$25:$C$84,B106))</f>
        <v/>
      </c>
      <c r="J106" s="32" t="n"/>
      <c r="K106" s="37" t="n"/>
      <c r="L106" s="38" t="n"/>
      <c r="M106" s="33" t="n"/>
      <c r="N106" s="33" t="n"/>
      <c r="O106" s="32" t="n"/>
      <c r="P106" s="34">
        <f>IF(A106="","",IF(K106&lt;&gt;"",K106,D106))</f>
        <v/>
      </c>
      <c r="Q106" s="36">
        <f>IF(A106="",0,IF(C106="✗",0,IF(OR(C106="✓",AND(Setup!$D$7="Yes",P106&lt;=TODAY())),IF(L106&lt;&gt;"",L106,F106),0)))</f>
        <v/>
      </c>
      <c r="R106" s="32">
        <f>IF(A106="","",IF(M106&lt;&gt;"",M106,G106))</f>
        <v/>
      </c>
      <c r="S106" s="32">
        <f>IF(A106="","",IF(N106&lt;&gt;"",N106,H106))</f>
        <v/>
      </c>
      <c r="T106" s="32">
        <f>IF(A106="","",IF(C106="✗","Skipped",IF(Q106&gt;0,"Paid","Upcoming")))</f>
        <v/>
      </c>
      <c r="U106" s="36">
        <f>IF(A106="",0,IF(C106="✗",0,IF(L106&lt;&gt;"",L106,F106)))</f>
        <v/>
      </c>
    </row>
    <row r="107">
      <c r="A107" s="39">
        <f>IFERROR(SMALL(Calc!$B$2:$BB$61,102),"")</f>
        <v/>
      </c>
      <c r="B107" s="39">
        <f>IF(A107="","",ROUND(MOD(A107,1)*1000,0))</f>
        <v/>
      </c>
      <c r="C107" s="33" t="n"/>
      <c r="D107" s="40">
        <f>IF(A107="","",INT(A107))</f>
        <v/>
      </c>
      <c r="E107" s="41">
        <f>IF(B107="","",INDEX(Setup!$D$25:$D$84,B107))</f>
        <v/>
      </c>
      <c r="F107" s="42">
        <f>IF(B107="","",INDEX(Setup!$E$25:$E$84,B107))</f>
        <v/>
      </c>
      <c r="G107" s="39">
        <f>IF(B107="","",INDEX(Setup!$I$25:$I$84,B107)&amp;"")</f>
        <v/>
      </c>
      <c r="H107" s="39">
        <f>IF(B107="","",INDEX(Setup!$J$25:$J$84,B107)&amp;"")</f>
        <v/>
      </c>
      <c r="I107" s="39">
        <f>IF(B107="","",INDEX(Setup!$C$25:$C$84,B107))</f>
        <v/>
      </c>
      <c r="J107" s="39" t="n"/>
      <c r="K107" s="37" t="n"/>
      <c r="L107" s="38" t="n"/>
      <c r="M107" s="33" t="n"/>
      <c r="N107" s="33" t="n"/>
      <c r="O107" s="39" t="n"/>
      <c r="P107" s="40">
        <f>IF(A107="","",IF(K107&lt;&gt;"",K107,D107))</f>
        <v/>
      </c>
      <c r="Q107" s="42">
        <f>IF(A107="",0,IF(C107="✗",0,IF(OR(C107="✓",AND(Setup!$D$7="Yes",P107&lt;=TODAY())),IF(L107&lt;&gt;"",L107,F107),0)))</f>
        <v/>
      </c>
      <c r="R107" s="39">
        <f>IF(A107="","",IF(M107&lt;&gt;"",M107,G107))</f>
        <v/>
      </c>
      <c r="S107" s="39">
        <f>IF(A107="","",IF(N107&lt;&gt;"",N107,H107))</f>
        <v/>
      </c>
      <c r="T107" s="39">
        <f>IF(A107="","",IF(C107="✗","Skipped",IF(Q107&gt;0,"Paid","Upcoming")))</f>
        <v/>
      </c>
      <c r="U107" s="42">
        <f>IF(A107="",0,IF(C107="✗",0,IF(L107&lt;&gt;"",L107,F107)))</f>
        <v/>
      </c>
    </row>
    <row r="108">
      <c r="A108" s="32">
        <f>IFERROR(SMALL(Calc!$B$2:$BB$61,103),"")</f>
        <v/>
      </c>
      <c r="B108" s="32">
        <f>IF(A108="","",ROUND(MOD(A108,1)*1000,0))</f>
        <v/>
      </c>
      <c r="C108" s="33" t="n"/>
      <c r="D108" s="34">
        <f>IF(A108="","",INT(A108))</f>
        <v/>
      </c>
      <c r="E108" s="35">
        <f>IF(B108="","",INDEX(Setup!$D$25:$D$84,B108))</f>
        <v/>
      </c>
      <c r="F108" s="36">
        <f>IF(B108="","",INDEX(Setup!$E$25:$E$84,B108))</f>
        <v/>
      </c>
      <c r="G108" s="32">
        <f>IF(B108="","",INDEX(Setup!$I$25:$I$84,B108)&amp;"")</f>
        <v/>
      </c>
      <c r="H108" s="32">
        <f>IF(B108="","",INDEX(Setup!$J$25:$J$84,B108)&amp;"")</f>
        <v/>
      </c>
      <c r="I108" s="32">
        <f>IF(B108="","",INDEX(Setup!$C$25:$C$84,B108))</f>
        <v/>
      </c>
      <c r="J108" s="32" t="n"/>
      <c r="K108" s="37" t="n"/>
      <c r="L108" s="38" t="n"/>
      <c r="M108" s="33" t="n"/>
      <c r="N108" s="33" t="n"/>
      <c r="O108" s="32" t="n"/>
      <c r="P108" s="34">
        <f>IF(A108="","",IF(K108&lt;&gt;"",K108,D108))</f>
        <v/>
      </c>
      <c r="Q108" s="36">
        <f>IF(A108="",0,IF(C108="✗",0,IF(OR(C108="✓",AND(Setup!$D$7="Yes",P108&lt;=TODAY())),IF(L108&lt;&gt;"",L108,F108),0)))</f>
        <v/>
      </c>
      <c r="R108" s="32">
        <f>IF(A108="","",IF(M108&lt;&gt;"",M108,G108))</f>
        <v/>
      </c>
      <c r="S108" s="32">
        <f>IF(A108="","",IF(N108&lt;&gt;"",N108,H108))</f>
        <v/>
      </c>
      <c r="T108" s="32">
        <f>IF(A108="","",IF(C108="✗","Skipped",IF(Q108&gt;0,"Paid","Upcoming")))</f>
        <v/>
      </c>
      <c r="U108" s="36">
        <f>IF(A108="",0,IF(C108="✗",0,IF(L108&lt;&gt;"",L108,F108)))</f>
        <v/>
      </c>
    </row>
    <row r="109">
      <c r="A109" s="39">
        <f>IFERROR(SMALL(Calc!$B$2:$BB$61,104),"")</f>
        <v/>
      </c>
      <c r="B109" s="39">
        <f>IF(A109="","",ROUND(MOD(A109,1)*1000,0))</f>
        <v/>
      </c>
      <c r="C109" s="33" t="n"/>
      <c r="D109" s="40">
        <f>IF(A109="","",INT(A109))</f>
        <v/>
      </c>
      <c r="E109" s="41">
        <f>IF(B109="","",INDEX(Setup!$D$25:$D$84,B109))</f>
        <v/>
      </c>
      <c r="F109" s="42">
        <f>IF(B109="","",INDEX(Setup!$E$25:$E$84,B109))</f>
        <v/>
      </c>
      <c r="G109" s="39">
        <f>IF(B109="","",INDEX(Setup!$I$25:$I$84,B109)&amp;"")</f>
        <v/>
      </c>
      <c r="H109" s="39">
        <f>IF(B109="","",INDEX(Setup!$J$25:$J$84,B109)&amp;"")</f>
        <v/>
      </c>
      <c r="I109" s="39">
        <f>IF(B109="","",INDEX(Setup!$C$25:$C$84,B109))</f>
        <v/>
      </c>
      <c r="J109" s="39" t="n"/>
      <c r="K109" s="37" t="n"/>
      <c r="L109" s="38" t="n"/>
      <c r="M109" s="33" t="n"/>
      <c r="N109" s="33" t="n"/>
      <c r="O109" s="39" t="n"/>
      <c r="P109" s="40">
        <f>IF(A109="","",IF(K109&lt;&gt;"",K109,D109))</f>
        <v/>
      </c>
      <c r="Q109" s="42">
        <f>IF(A109="",0,IF(C109="✗",0,IF(OR(C109="✓",AND(Setup!$D$7="Yes",P109&lt;=TODAY())),IF(L109&lt;&gt;"",L109,F109),0)))</f>
        <v/>
      </c>
      <c r="R109" s="39">
        <f>IF(A109="","",IF(M109&lt;&gt;"",M109,G109))</f>
        <v/>
      </c>
      <c r="S109" s="39">
        <f>IF(A109="","",IF(N109&lt;&gt;"",N109,H109))</f>
        <v/>
      </c>
      <c r="T109" s="39">
        <f>IF(A109="","",IF(C109="✗","Skipped",IF(Q109&gt;0,"Paid","Upcoming")))</f>
        <v/>
      </c>
      <c r="U109" s="42">
        <f>IF(A109="",0,IF(C109="✗",0,IF(L109&lt;&gt;"",L109,F109)))</f>
        <v/>
      </c>
    </row>
    <row r="110">
      <c r="A110" s="32">
        <f>IFERROR(SMALL(Calc!$B$2:$BB$61,105),"")</f>
        <v/>
      </c>
      <c r="B110" s="32">
        <f>IF(A110="","",ROUND(MOD(A110,1)*1000,0))</f>
        <v/>
      </c>
      <c r="C110" s="33" t="n"/>
      <c r="D110" s="34">
        <f>IF(A110="","",INT(A110))</f>
        <v/>
      </c>
      <c r="E110" s="35">
        <f>IF(B110="","",INDEX(Setup!$D$25:$D$84,B110))</f>
        <v/>
      </c>
      <c r="F110" s="36">
        <f>IF(B110="","",INDEX(Setup!$E$25:$E$84,B110))</f>
        <v/>
      </c>
      <c r="G110" s="32">
        <f>IF(B110="","",INDEX(Setup!$I$25:$I$84,B110)&amp;"")</f>
        <v/>
      </c>
      <c r="H110" s="32">
        <f>IF(B110="","",INDEX(Setup!$J$25:$J$84,B110)&amp;"")</f>
        <v/>
      </c>
      <c r="I110" s="32">
        <f>IF(B110="","",INDEX(Setup!$C$25:$C$84,B110))</f>
        <v/>
      </c>
      <c r="J110" s="32" t="n"/>
      <c r="K110" s="37" t="n"/>
      <c r="L110" s="38" t="n"/>
      <c r="M110" s="33" t="n"/>
      <c r="N110" s="33" t="n"/>
      <c r="O110" s="32" t="n"/>
      <c r="P110" s="34">
        <f>IF(A110="","",IF(K110&lt;&gt;"",K110,D110))</f>
        <v/>
      </c>
      <c r="Q110" s="36">
        <f>IF(A110="",0,IF(C110="✗",0,IF(OR(C110="✓",AND(Setup!$D$7="Yes",P110&lt;=TODAY())),IF(L110&lt;&gt;"",L110,F110),0)))</f>
        <v/>
      </c>
      <c r="R110" s="32">
        <f>IF(A110="","",IF(M110&lt;&gt;"",M110,G110))</f>
        <v/>
      </c>
      <c r="S110" s="32">
        <f>IF(A110="","",IF(N110&lt;&gt;"",N110,H110))</f>
        <v/>
      </c>
      <c r="T110" s="32">
        <f>IF(A110="","",IF(C110="✗","Skipped",IF(Q110&gt;0,"Paid","Upcoming")))</f>
        <v/>
      </c>
      <c r="U110" s="36">
        <f>IF(A110="",0,IF(C110="✗",0,IF(L110&lt;&gt;"",L110,F110)))</f>
        <v/>
      </c>
    </row>
    <row r="111">
      <c r="A111" s="39">
        <f>IFERROR(SMALL(Calc!$B$2:$BB$61,106),"")</f>
        <v/>
      </c>
      <c r="B111" s="39">
        <f>IF(A111="","",ROUND(MOD(A111,1)*1000,0))</f>
        <v/>
      </c>
      <c r="C111" s="33" t="n"/>
      <c r="D111" s="40">
        <f>IF(A111="","",INT(A111))</f>
        <v/>
      </c>
      <c r="E111" s="41">
        <f>IF(B111="","",INDEX(Setup!$D$25:$D$84,B111))</f>
        <v/>
      </c>
      <c r="F111" s="42">
        <f>IF(B111="","",INDEX(Setup!$E$25:$E$84,B111))</f>
        <v/>
      </c>
      <c r="G111" s="39">
        <f>IF(B111="","",INDEX(Setup!$I$25:$I$84,B111)&amp;"")</f>
        <v/>
      </c>
      <c r="H111" s="39">
        <f>IF(B111="","",INDEX(Setup!$J$25:$J$84,B111)&amp;"")</f>
        <v/>
      </c>
      <c r="I111" s="39">
        <f>IF(B111="","",INDEX(Setup!$C$25:$C$84,B111))</f>
        <v/>
      </c>
      <c r="J111" s="39" t="n"/>
      <c r="K111" s="37" t="n"/>
      <c r="L111" s="38" t="n"/>
      <c r="M111" s="33" t="n"/>
      <c r="N111" s="33" t="n"/>
      <c r="O111" s="39" t="n"/>
      <c r="P111" s="40">
        <f>IF(A111="","",IF(K111&lt;&gt;"",K111,D111))</f>
        <v/>
      </c>
      <c r="Q111" s="42">
        <f>IF(A111="",0,IF(C111="✗",0,IF(OR(C111="✓",AND(Setup!$D$7="Yes",P111&lt;=TODAY())),IF(L111&lt;&gt;"",L111,F111),0)))</f>
        <v/>
      </c>
      <c r="R111" s="39">
        <f>IF(A111="","",IF(M111&lt;&gt;"",M111,G111))</f>
        <v/>
      </c>
      <c r="S111" s="39">
        <f>IF(A111="","",IF(N111&lt;&gt;"",N111,H111))</f>
        <v/>
      </c>
      <c r="T111" s="39">
        <f>IF(A111="","",IF(C111="✗","Skipped",IF(Q111&gt;0,"Paid","Upcoming")))</f>
        <v/>
      </c>
      <c r="U111" s="42">
        <f>IF(A111="",0,IF(C111="✗",0,IF(L111&lt;&gt;"",L111,F111)))</f>
        <v/>
      </c>
    </row>
    <row r="112">
      <c r="A112" s="32">
        <f>IFERROR(SMALL(Calc!$B$2:$BB$61,107),"")</f>
        <v/>
      </c>
      <c r="B112" s="32">
        <f>IF(A112="","",ROUND(MOD(A112,1)*1000,0))</f>
        <v/>
      </c>
      <c r="C112" s="33" t="n"/>
      <c r="D112" s="34">
        <f>IF(A112="","",INT(A112))</f>
        <v/>
      </c>
      <c r="E112" s="35">
        <f>IF(B112="","",INDEX(Setup!$D$25:$D$84,B112))</f>
        <v/>
      </c>
      <c r="F112" s="36">
        <f>IF(B112="","",INDEX(Setup!$E$25:$E$84,B112))</f>
        <v/>
      </c>
      <c r="G112" s="32">
        <f>IF(B112="","",INDEX(Setup!$I$25:$I$84,B112)&amp;"")</f>
        <v/>
      </c>
      <c r="H112" s="32">
        <f>IF(B112="","",INDEX(Setup!$J$25:$J$84,B112)&amp;"")</f>
        <v/>
      </c>
      <c r="I112" s="32">
        <f>IF(B112="","",INDEX(Setup!$C$25:$C$84,B112))</f>
        <v/>
      </c>
      <c r="J112" s="32" t="n"/>
      <c r="K112" s="37" t="n"/>
      <c r="L112" s="38" t="n"/>
      <c r="M112" s="33" t="n"/>
      <c r="N112" s="33" t="n"/>
      <c r="O112" s="32" t="n"/>
      <c r="P112" s="34">
        <f>IF(A112="","",IF(K112&lt;&gt;"",K112,D112))</f>
        <v/>
      </c>
      <c r="Q112" s="36">
        <f>IF(A112="",0,IF(C112="✗",0,IF(OR(C112="✓",AND(Setup!$D$7="Yes",P112&lt;=TODAY())),IF(L112&lt;&gt;"",L112,F112),0)))</f>
        <v/>
      </c>
      <c r="R112" s="32">
        <f>IF(A112="","",IF(M112&lt;&gt;"",M112,G112))</f>
        <v/>
      </c>
      <c r="S112" s="32">
        <f>IF(A112="","",IF(N112&lt;&gt;"",N112,H112))</f>
        <v/>
      </c>
      <c r="T112" s="32">
        <f>IF(A112="","",IF(C112="✗","Skipped",IF(Q112&gt;0,"Paid","Upcoming")))</f>
        <v/>
      </c>
      <c r="U112" s="36">
        <f>IF(A112="",0,IF(C112="✗",0,IF(L112&lt;&gt;"",L112,F112)))</f>
        <v/>
      </c>
    </row>
    <row r="113">
      <c r="A113" s="39">
        <f>IFERROR(SMALL(Calc!$B$2:$BB$61,108),"")</f>
        <v/>
      </c>
      <c r="B113" s="39">
        <f>IF(A113="","",ROUND(MOD(A113,1)*1000,0))</f>
        <v/>
      </c>
      <c r="C113" s="33" t="n"/>
      <c r="D113" s="40">
        <f>IF(A113="","",INT(A113))</f>
        <v/>
      </c>
      <c r="E113" s="41">
        <f>IF(B113="","",INDEX(Setup!$D$25:$D$84,B113))</f>
        <v/>
      </c>
      <c r="F113" s="42">
        <f>IF(B113="","",INDEX(Setup!$E$25:$E$84,B113))</f>
        <v/>
      </c>
      <c r="G113" s="39">
        <f>IF(B113="","",INDEX(Setup!$I$25:$I$84,B113)&amp;"")</f>
        <v/>
      </c>
      <c r="H113" s="39">
        <f>IF(B113="","",INDEX(Setup!$J$25:$J$84,B113)&amp;"")</f>
        <v/>
      </c>
      <c r="I113" s="39">
        <f>IF(B113="","",INDEX(Setup!$C$25:$C$84,B113))</f>
        <v/>
      </c>
      <c r="J113" s="39" t="n"/>
      <c r="K113" s="37" t="n"/>
      <c r="L113" s="38" t="n"/>
      <c r="M113" s="33" t="n"/>
      <c r="N113" s="33" t="n"/>
      <c r="O113" s="39" t="n"/>
      <c r="P113" s="40">
        <f>IF(A113="","",IF(K113&lt;&gt;"",K113,D113))</f>
        <v/>
      </c>
      <c r="Q113" s="42">
        <f>IF(A113="",0,IF(C113="✗",0,IF(OR(C113="✓",AND(Setup!$D$7="Yes",P113&lt;=TODAY())),IF(L113&lt;&gt;"",L113,F113),0)))</f>
        <v/>
      </c>
      <c r="R113" s="39">
        <f>IF(A113="","",IF(M113&lt;&gt;"",M113,G113))</f>
        <v/>
      </c>
      <c r="S113" s="39">
        <f>IF(A113="","",IF(N113&lt;&gt;"",N113,H113))</f>
        <v/>
      </c>
      <c r="T113" s="39">
        <f>IF(A113="","",IF(C113="✗","Skipped",IF(Q113&gt;0,"Paid","Upcoming")))</f>
        <v/>
      </c>
      <c r="U113" s="42">
        <f>IF(A113="",0,IF(C113="✗",0,IF(L113&lt;&gt;"",L113,F113)))</f>
        <v/>
      </c>
    </row>
    <row r="114">
      <c r="A114" s="32">
        <f>IFERROR(SMALL(Calc!$B$2:$BB$61,109),"")</f>
        <v/>
      </c>
      <c r="B114" s="32">
        <f>IF(A114="","",ROUND(MOD(A114,1)*1000,0))</f>
        <v/>
      </c>
      <c r="C114" s="33" t="n"/>
      <c r="D114" s="34">
        <f>IF(A114="","",INT(A114))</f>
        <v/>
      </c>
      <c r="E114" s="35">
        <f>IF(B114="","",INDEX(Setup!$D$25:$D$84,B114))</f>
        <v/>
      </c>
      <c r="F114" s="36">
        <f>IF(B114="","",INDEX(Setup!$E$25:$E$84,B114))</f>
        <v/>
      </c>
      <c r="G114" s="32">
        <f>IF(B114="","",INDEX(Setup!$I$25:$I$84,B114)&amp;"")</f>
        <v/>
      </c>
      <c r="H114" s="32">
        <f>IF(B114="","",INDEX(Setup!$J$25:$J$84,B114)&amp;"")</f>
        <v/>
      </c>
      <c r="I114" s="32">
        <f>IF(B114="","",INDEX(Setup!$C$25:$C$84,B114))</f>
        <v/>
      </c>
      <c r="J114" s="32" t="n"/>
      <c r="K114" s="37" t="n"/>
      <c r="L114" s="38" t="n"/>
      <c r="M114" s="33" t="n"/>
      <c r="N114" s="33" t="n"/>
      <c r="O114" s="32" t="n"/>
      <c r="P114" s="34">
        <f>IF(A114="","",IF(K114&lt;&gt;"",K114,D114))</f>
        <v/>
      </c>
      <c r="Q114" s="36">
        <f>IF(A114="",0,IF(C114="✗",0,IF(OR(C114="✓",AND(Setup!$D$7="Yes",P114&lt;=TODAY())),IF(L114&lt;&gt;"",L114,F114),0)))</f>
        <v/>
      </c>
      <c r="R114" s="32">
        <f>IF(A114="","",IF(M114&lt;&gt;"",M114,G114))</f>
        <v/>
      </c>
      <c r="S114" s="32">
        <f>IF(A114="","",IF(N114&lt;&gt;"",N114,H114))</f>
        <v/>
      </c>
      <c r="T114" s="32">
        <f>IF(A114="","",IF(C114="✗","Skipped",IF(Q114&gt;0,"Paid","Upcoming")))</f>
        <v/>
      </c>
      <c r="U114" s="36">
        <f>IF(A114="",0,IF(C114="✗",0,IF(L114&lt;&gt;"",L114,F114)))</f>
        <v/>
      </c>
    </row>
    <row r="115">
      <c r="A115" s="39">
        <f>IFERROR(SMALL(Calc!$B$2:$BB$61,110),"")</f>
        <v/>
      </c>
      <c r="B115" s="39">
        <f>IF(A115="","",ROUND(MOD(A115,1)*1000,0))</f>
        <v/>
      </c>
      <c r="C115" s="33" t="n"/>
      <c r="D115" s="40">
        <f>IF(A115="","",INT(A115))</f>
        <v/>
      </c>
      <c r="E115" s="41">
        <f>IF(B115="","",INDEX(Setup!$D$25:$D$84,B115))</f>
        <v/>
      </c>
      <c r="F115" s="42">
        <f>IF(B115="","",INDEX(Setup!$E$25:$E$84,B115))</f>
        <v/>
      </c>
      <c r="G115" s="39">
        <f>IF(B115="","",INDEX(Setup!$I$25:$I$84,B115)&amp;"")</f>
        <v/>
      </c>
      <c r="H115" s="39">
        <f>IF(B115="","",INDEX(Setup!$J$25:$J$84,B115)&amp;"")</f>
        <v/>
      </c>
      <c r="I115" s="39">
        <f>IF(B115="","",INDEX(Setup!$C$25:$C$84,B115))</f>
        <v/>
      </c>
      <c r="J115" s="39" t="n"/>
      <c r="K115" s="37" t="n"/>
      <c r="L115" s="38" t="n"/>
      <c r="M115" s="33" t="n"/>
      <c r="N115" s="33" t="n"/>
      <c r="O115" s="39" t="n"/>
      <c r="P115" s="40">
        <f>IF(A115="","",IF(K115&lt;&gt;"",K115,D115))</f>
        <v/>
      </c>
      <c r="Q115" s="42">
        <f>IF(A115="",0,IF(C115="✗",0,IF(OR(C115="✓",AND(Setup!$D$7="Yes",P115&lt;=TODAY())),IF(L115&lt;&gt;"",L115,F115),0)))</f>
        <v/>
      </c>
      <c r="R115" s="39">
        <f>IF(A115="","",IF(M115&lt;&gt;"",M115,G115))</f>
        <v/>
      </c>
      <c r="S115" s="39">
        <f>IF(A115="","",IF(N115&lt;&gt;"",N115,H115))</f>
        <v/>
      </c>
      <c r="T115" s="39">
        <f>IF(A115="","",IF(C115="✗","Skipped",IF(Q115&gt;0,"Paid","Upcoming")))</f>
        <v/>
      </c>
      <c r="U115" s="42">
        <f>IF(A115="",0,IF(C115="✗",0,IF(L115&lt;&gt;"",L115,F115)))</f>
        <v/>
      </c>
    </row>
    <row r="116">
      <c r="A116" s="32">
        <f>IFERROR(SMALL(Calc!$B$2:$BB$61,111),"")</f>
        <v/>
      </c>
      <c r="B116" s="32">
        <f>IF(A116="","",ROUND(MOD(A116,1)*1000,0))</f>
        <v/>
      </c>
      <c r="C116" s="33" t="n"/>
      <c r="D116" s="34">
        <f>IF(A116="","",INT(A116))</f>
        <v/>
      </c>
      <c r="E116" s="35">
        <f>IF(B116="","",INDEX(Setup!$D$25:$D$84,B116))</f>
        <v/>
      </c>
      <c r="F116" s="36">
        <f>IF(B116="","",INDEX(Setup!$E$25:$E$84,B116))</f>
        <v/>
      </c>
      <c r="G116" s="32">
        <f>IF(B116="","",INDEX(Setup!$I$25:$I$84,B116)&amp;"")</f>
        <v/>
      </c>
      <c r="H116" s="32">
        <f>IF(B116="","",INDEX(Setup!$J$25:$J$84,B116)&amp;"")</f>
        <v/>
      </c>
      <c r="I116" s="32">
        <f>IF(B116="","",INDEX(Setup!$C$25:$C$84,B116))</f>
        <v/>
      </c>
      <c r="J116" s="32" t="n"/>
      <c r="K116" s="37" t="n"/>
      <c r="L116" s="38" t="n"/>
      <c r="M116" s="33" t="n"/>
      <c r="N116" s="33" t="n"/>
      <c r="O116" s="32" t="n"/>
      <c r="P116" s="34">
        <f>IF(A116="","",IF(K116&lt;&gt;"",K116,D116))</f>
        <v/>
      </c>
      <c r="Q116" s="36">
        <f>IF(A116="",0,IF(C116="✗",0,IF(OR(C116="✓",AND(Setup!$D$7="Yes",P116&lt;=TODAY())),IF(L116&lt;&gt;"",L116,F116),0)))</f>
        <v/>
      </c>
      <c r="R116" s="32">
        <f>IF(A116="","",IF(M116&lt;&gt;"",M116,G116))</f>
        <v/>
      </c>
      <c r="S116" s="32">
        <f>IF(A116="","",IF(N116&lt;&gt;"",N116,H116))</f>
        <v/>
      </c>
      <c r="T116" s="32">
        <f>IF(A116="","",IF(C116="✗","Skipped",IF(Q116&gt;0,"Paid","Upcoming")))</f>
        <v/>
      </c>
      <c r="U116" s="36">
        <f>IF(A116="",0,IF(C116="✗",0,IF(L116&lt;&gt;"",L116,F116)))</f>
        <v/>
      </c>
    </row>
    <row r="117">
      <c r="A117" s="39">
        <f>IFERROR(SMALL(Calc!$B$2:$BB$61,112),"")</f>
        <v/>
      </c>
      <c r="B117" s="39">
        <f>IF(A117="","",ROUND(MOD(A117,1)*1000,0))</f>
        <v/>
      </c>
      <c r="C117" s="33" t="n"/>
      <c r="D117" s="40">
        <f>IF(A117="","",INT(A117))</f>
        <v/>
      </c>
      <c r="E117" s="41">
        <f>IF(B117="","",INDEX(Setup!$D$25:$D$84,B117))</f>
        <v/>
      </c>
      <c r="F117" s="42">
        <f>IF(B117="","",INDEX(Setup!$E$25:$E$84,B117))</f>
        <v/>
      </c>
      <c r="G117" s="39">
        <f>IF(B117="","",INDEX(Setup!$I$25:$I$84,B117)&amp;"")</f>
        <v/>
      </c>
      <c r="H117" s="39">
        <f>IF(B117="","",INDEX(Setup!$J$25:$J$84,B117)&amp;"")</f>
        <v/>
      </c>
      <c r="I117" s="39">
        <f>IF(B117="","",INDEX(Setup!$C$25:$C$84,B117))</f>
        <v/>
      </c>
      <c r="J117" s="39" t="n"/>
      <c r="K117" s="37" t="n"/>
      <c r="L117" s="38" t="n"/>
      <c r="M117" s="33" t="n"/>
      <c r="N117" s="33" t="n"/>
      <c r="O117" s="39" t="n"/>
      <c r="P117" s="40">
        <f>IF(A117="","",IF(K117&lt;&gt;"",K117,D117))</f>
        <v/>
      </c>
      <c r="Q117" s="42">
        <f>IF(A117="",0,IF(C117="✗",0,IF(OR(C117="✓",AND(Setup!$D$7="Yes",P117&lt;=TODAY())),IF(L117&lt;&gt;"",L117,F117),0)))</f>
        <v/>
      </c>
      <c r="R117" s="39">
        <f>IF(A117="","",IF(M117&lt;&gt;"",M117,G117))</f>
        <v/>
      </c>
      <c r="S117" s="39">
        <f>IF(A117="","",IF(N117&lt;&gt;"",N117,H117))</f>
        <v/>
      </c>
      <c r="T117" s="39">
        <f>IF(A117="","",IF(C117="✗","Skipped",IF(Q117&gt;0,"Paid","Upcoming")))</f>
        <v/>
      </c>
      <c r="U117" s="42">
        <f>IF(A117="",0,IF(C117="✗",0,IF(L117&lt;&gt;"",L117,F117)))</f>
        <v/>
      </c>
    </row>
    <row r="118">
      <c r="A118" s="32">
        <f>IFERROR(SMALL(Calc!$B$2:$BB$61,113),"")</f>
        <v/>
      </c>
      <c r="B118" s="32">
        <f>IF(A118="","",ROUND(MOD(A118,1)*1000,0))</f>
        <v/>
      </c>
      <c r="C118" s="33" t="n"/>
      <c r="D118" s="34">
        <f>IF(A118="","",INT(A118))</f>
        <v/>
      </c>
      <c r="E118" s="35">
        <f>IF(B118="","",INDEX(Setup!$D$25:$D$84,B118))</f>
        <v/>
      </c>
      <c r="F118" s="36">
        <f>IF(B118="","",INDEX(Setup!$E$25:$E$84,B118))</f>
        <v/>
      </c>
      <c r="G118" s="32">
        <f>IF(B118="","",INDEX(Setup!$I$25:$I$84,B118)&amp;"")</f>
        <v/>
      </c>
      <c r="H118" s="32">
        <f>IF(B118="","",INDEX(Setup!$J$25:$J$84,B118)&amp;"")</f>
        <v/>
      </c>
      <c r="I118" s="32">
        <f>IF(B118="","",INDEX(Setup!$C$25:$C$84,B118))</f>
        <v/>
      </c>
      <c r="J118" s="32" t="n"/>
      <c r="K118" s="37" t="n"/>
      <c r="L118" s="38" t="n"/>
      <c r="M118" s="33" t="n"/>
      <c r="N118" s="33" t="n"/>
      <c r="O118" s="32" t="n"/>
      <c r="P118" s="34">
        <f>IF(A118="","",IF(K118&lt;&gt;"",K118,D118))</f>
        <v/>
      </c>
      <c r="Q118" s="36">
        <f>IF(A118="",0,IF(C118="✗",0,IF(OR(C118="✓",AND(Setup!$D$7="Yes",P118&lt;=TODAY())),IF(L118&lt;&gt;"",L118,F118),0)))</f>
        <v/>
      </c>
      <c r="R118" s="32">
        <f>IF(A118="","",IF(M118&lt;&gt;"",M118,G118))</f>
        <v/>
      </c>
      <c r="S118" s="32">
        <f>IF(A118="","",IF(N118&lt;&gt;"",N118,H118))</f>
        <v/>
      </c>
      <c r="T118" s="32">
        <f>IF(A118="","",IF(C118="✗","Skipped",IF(Q118&gt;0,"Paid","Upcoming")))</f>
        <v/>
      </c>
      <c r="U118" s="36">
        <f>IF(A118="",0,IF(C118="✗",0,IF(L118&lt;&gt;"",L118,F118)))</f>
        <v/>
      </c>
    </row>
    <row r="119">
      <c r="A119" s="39">
        <f>IFERROR(SMALL(Calc!$B$2:$BB$61,114),"")</f>
        <v/>
      </c>
      <c r="B119" s="39">
        <f>IF(A119="","",ROUND(MOD(A119,1)*1000,0))</f>
        <v/>
      </c>
      <c r="C119" s="33" t="n"/>
      <c r="D119" s="40">
        <f>IF(A119="","",INT(A119))</f>
        <v/>
      </c>
      <c r="E119" s="41">
        <f>IF(B119="","",INDEX(Setup!$D$25:$D$84,B119))</f>
        <v/>
      </c>
      <c r="F119" s="42">
        <f>IF(B119="","",INDEX(Setup!$E$25:$E$84,B119))</f>
        <v/>
      </c>
      <c r="G119" s="39">
        <f>IF(B119="","",INDEX(Setup!$I$25:$I$84,B119)&amp;"")</f>
        <v/>
      </c>
      <c r="H119" s="39">
        <f>IF(B119="","",INDEX(Setup!$J$25:$J$84,B119)&amp;"")</f>
        <v/>
      </c>
      <c r="I119" s="39">
        <f>IF(B119="","",INDEX(Setup!$C$25:$C$84,B119))</f>
        <v/>
      </c>
      <c r="J119" s="39" t="n"/>
      <c r="K119" s="37" t="n"/>
      <c r="L119" s="38" t="n"/>
      <c r="M119" s="33" t="n"/>
      <c r="N119" s="33" t="n"/>
      <c r="O119" s="39" t="n"/>
      <c r="P119" s="40">
        <f>IF(A119="","",IF(K119&lt;&gt;"",K119,D119))</f>
        <v/>
      </c>
      <c r="Q119" s="42">
        <f>IF(A119="",0,IF(C119="✗",0,IF(OR(C119="✓",AND(Setup!$D$7="Yes",P119&lt;=TODAY())),IF(L119&lt;&gt;"",L119,F119),0)))</f>
        <v/>
      </c>
      <c r="R119" s="39">
        <f>IF(A119="","",IF(M119&lt;&gt;"",M119,G119))</f>
        <v/>
      </c>
      <c r="S119" s="39">
        <f>IF(A119="","",IF(N119&lt;&gt;"",N119,H119))</f>
        <v/>
      </c>
      <c r="T119" s="39">
        <f>IF(A119="","",IF(C119="✗","Skipped",IF(Q119&gt;0,"Paid","Upcoming")))</f>
        <v/>
      </c>
      <c r="U119" s="42">
        <f>IF(A119="",0,IF(C119="✗",0,IF(L119&lt;&gt;"",L119,F119)))</f>
        <v/>
      </c>
    </row>
    <row r="120">
      <c r="A120" s="32">
        <f>IFERROR(SMALL(Calc!$B$2:$BB$61,115),"")</f>
        <v/>
      </c>
      <c r="B120" s="32">
        <f>IF(A120="","",ROUND(MOD(A120,1)*1000,0))</f>
        <v/>
      </c>
      <c r="C120" s="33" t="n"/>
      <c r="D120" s="34">
        <f>IF(A120="","",INT(A120))</f>
        <v/>
      </c>
      <c r="E120" s="35">
        <f>IF(B120="","",INDEX(Setup!$D$25:$D$84,B120))</f>
        <v/>
      </c>
      <c r="F120" s="36">
        <f>IF(B120="","",INDEX(Setup!$E$25:$E$84,B120))</f>
        <v/>
      </c>
      <c r="G120" s="32">
        <f>IF(B120="","",INDEX(Setup!$I$25:$I$84,B120)&amp;"")</f>
        <v/>
      </c>
      <c r="H120" s="32">
        <f>IF(B120="","",INDEX(Setup!$J$25:$J$84,B120)&amp;"")</f>
        <v/>
      </c>
      <c r="I120" s="32">
        <f>IF(B120="","",INDEX(Setup!$C$25:$C$84,B120))</f>
        <v/>
      </c>
      <c r="J120" s="32" t="n"/>
      <c r="K120" s="37" t="n"/>
      <c r="L120" s="38" t="n"/>
      <c r="M120" s="33" t="n"/>
      <c r="N120" s="33" t="n"/>
      <c r="O120" s="32" t="n"/>
      <c r="P120" s="34">
        <f>IF(A120="","",IF(K120&lt;&gt;"",K120,D120))</f>
        <v/>
      </c>
      <c r="Q120" s="36">
        <f>IF(A120="",0,IF(C120="✗",0,IF(OR(C120="✓",AND(Setup!$D$7="Yes",P120&lt;=TODAY())),IF(L120&lt;&gt;"",L120,F120),0)))</f>
        <v/>
      </c>
      <c r="R120" s="32">
        <f>IF(A120="","",IF(M120&lt;&gt;"",M120,G120))</f>
        <v/>
      </c>
      <c r="S120" s="32">
        <f>IF(A120="","",IF(N120&lt;&gt;"",N120,H120))</f>
        <v/>
      </c>
      <c r="T120" s="32">
        <f>IF(A120="","",IF(C120="✗","Skipped",IF(Q120&gt;0,"Paid","Upcoming")))</f>
        <v/>
      </c>
      <c r="U120" s="36">
        <f>IF(A120="",0,IF(C120="✗",0,IF(L120&lt;&gt;"",L120,F120)))</f>
        <v/>
      </c>
    </row>
    <row r="121">
      <c r="A121" s="39">
        <f>IFERROR(SMALL(Calc!$B$2:$BB$61,116),"")</f>
        <v/>
      </c>
      <c r="B121" s="39">
        <f>IF(A121="","",ROUND(MOD(A121,1)*1000,0))</f>
        <v/>
      </c>
      <c r="C121" s="33" t="n"/>
      <c r="D121" s="40">
        <f>IF(A121="","",INT(A121))</f>
        <v/>
      </c>
      <c r="E121" s="41">
        <f>IF(B121="","",INDEX(Setup!$D$25:$D$84,B121))</f>
        <v/>
      </c>
      <c r="F121" s="42">
        <f>IF(B121="","",INDEX(Setup!$E$25:$E$84,B121))</f>
        <v/>
      </c>
      <c r="G121" s="39">
        <f>IF(B121="","",INDEX(Setup!$I$25:$I$84,B121)&amp;"")</f>
        <v/>
      </c>
      <c r="H121" s="39">
        <f>IF(B121="","",INDEX(Setup!$J$25:$J$84,B121)&amp;"")</f>
        <v/>
      </c>
      <c r="I121" s="39">
        <f>IF(B121="","",INDEX(Setup!$C$25:$C$84,B121))</f>
        <v/>
      </c>
      <c r="J121" s="39" t="n"/>
      <c r="K121" s="37" t="n"/>
      <c r="L121" s="38" t="n"/>
      <c r="M121" s="33" t="n"/>
      <c r="N121" s="33" t="n"/>
      <c r="O121" s="39" t="n"/>
      <c r="P121" s="40">
        <f>IF(A121="","",IF(K121&lt;&gt;"",K121,D121))</f>
        <v/>
      </c>
      <c r="Q121" s="42">
        <f>IF(A121="",0,IF(C121="✗",0,IF(OR(C121="✓",AND(Setup!$D$7="Yes",P121&lt;=TODAY())),IF(L121&lt;&gt;"",L121,F121),0)))</f>
        <v/>
      </c>
      <c r="R121" s="39">
        <f>IF(A121="","",IF(M121&lt;&gt;"",M121,G121))</f>
        <v/>
      </c>
      <c r="S121" s="39">
        <f>IF(A121="","",IF(N121&lt;&gt;"",N121,H121))</f>
        <v/>
      </c>
      <c r="T121" s="39">
        <f>IF(A121="","",IF(C121="✗","Skipped",IF(Q121&gt;0,"Paid","Upcoming")))</f>
        <v/>
      </c>
      <c r="U121" s="42">
        <f>IF(A121="",0,IF(C121="✗",0,IF(L121&lt;&gt;"",L121,F121)))</f>
        <v/>
      </c>
    </row>
    <row r="122">
      <c r="A122" s="32">
        <f>IFERROR(SMALL(Calc!$B$2:$BB$61,117),"")</f>
        <v/>
      </c>
      <c r="B122" s="32">
        <f>IF(A122="","",ROUND(MOD(A122,1)*1000,0))</f>
        <v/>
      </c>
      <c r="C122" s="33" t="n"/>
      <c r="D122" s="34">
        <f>IF(A122="","",INT(A122))</f>
        <v/>
      </c>
      <c r="E122" s="35">
        <f>IF(B122="","",INDEX(Setup!$D$25:$D$84,B122))</f>
        <v/>
      </c>
      <c r="F122" s="36">
        <f>IF(B122="","",INDEX(Setup!$E$25:$E$84,B122))</f>
        <v/>
      </c>
      <c r="G122" s="32">
        <f>IF(B122="","",INDEX(Setup!$I$25:$I$84,B122)&amp;"")</f>
        <v/>
      </c>
      <c r="H122" s="32">
        <f>IF(B122="","",INDEX(Setup!$J$25:$J$84,B122)&amp;"")</f>
        <v/>
      </c>
      <c r="I122" s="32">
        <f>IF(B122="","",INDEX(Setup!$C$25:$C$84,B122))</f>
        <v/>
      </c>
      <c r="J122" s="32" t="n"/>
      <c r="K122" s="37" t="n"/>
      <c r="L122" s="38" t="n"/>
      <c r="M122" s="33" t="n"/>
      <c r="N122" s="33" t="n"/>
      <c r="O122" s="32" t="n"/>
      <c r="P122" s="34">
        <f>IF(A122="","",IF(K122&lt;&gt;"",K122,D122))</f>
        <v/>
      </c>
      <c r="Q122" s="36">
        <f>IF(A122="",0,IF(C122="✗",0,IF(OR(C122="✓",AND(Setup!$D$7="Yes",P122&lt;=TODAY())),IF(L122&lt;&gt;"",L122,F122),0)))</f>
        <v/>
      </c>
      <c r="R122" s="32">
        <f>IF(A122="","",IF(M122&lt;&gt;"",M122,G122))</f>
        <v/>
      </c>
      <c r="S122" s="32">
        <f>IF(A122="","",IF(N122&lt;&gt;"",N122,H122))</f>
        <v/>
      </c>
      <c r="T122" s="32">
        <f>IF(A122="","",IF(C122="✗","Skipped",IF(Q122&gt;0,"Paid","Upcoming")))</f>
        <v/>
      </c>
      <c r="U122" s="36">
        <f>IF(A122="",0,IF(C122="✗",0,IF(L122&lt;&gt;"",L122,F122)))</f>
        <v/>
      </c>
    </row>
    <row r="123">
      <c r="A123" s="39">
        <f>IFERROR(SMALL(Calc!$B$2:$BB$61,118),"")</f>
        <v/>
      </c>
      <c r="B123" s="39">
        <f>IF(A123="","",ROUND(MOD(A123,1)*1000,0))</f>
        <v/>
      </c>
      <c r="C123" s="33" t="n"/>
      <c r="D123" s="40">
        <f>IF(A123="","",INT(A123))</f>
        <v/>
      </c>
      <c r="E123" s="41">
        <f>IF(B123="","",INDEX(Setup!$D$25:$D$84,B123))</f>
        <v/>
      </c>
      <c r="F123" s="42">
        <f>IF(B123="","",INDEX(Setup!$E$25:$E$84,B123))</f>
        <v/>
      </c>
      <c r="G123" s="39">
        <f>IF(B123="","",INDEX(Setup!$I$25:$I$84,B123)&amp;"")</f>
        <v/>
      </c>
      <c r="H123" s="39">
        <f>IF(B123="","",INDEX(Setup!$J$25:$J$84,B123)&amp;"")</f>
        <v/>
      </c>
      <c r="I123" s="39">
        <f>IF(B123="","",INDEX(Setup!$C$25:$C$84,B123))</f>
        <v/>
      </c>
      <c r="J123" s="39" t="n"/>
      <c r="K123" s="37" t="n"/>
      <c r="L123" s="38" t="n"/>
      <c r="M123" s="33" t="n"/>
      <c r="N123" s="33" t="n"/>
      <c r="O123" s="39" t="n"/>
      <c r="P123" s="40">
        <f>IF(A123="","",IF(K123&lt;&gt;"",K123,D123))</f>
        <v/>
      </c>
      <c r="Q123" s="42">
        <f>IF(A123="",0,IF(C123="✗",0,IF(OR(C123="✓",AND(Setup!$D$7="Yes",P123&lt;=TODAY())),IF(L123&lt;&gt;"",L123,F123),0)))</f>
        <v/>
      </c>
      <c r="R123" s="39">
        <f>IF(A123="","",IF(M123&lt;&gt;"",M123,G123))</f>
        <v/>
      </c>
      <c r="S123" s="39">
        <f>IF(A123="","",IF(N123&lt;&gt;"",N123,H123))</f>
        <v/>
      </c>
      <c r="T123" s="39">
        <f>IF(A123="","",IF(C123="✗","Skipped",IF(Q123&gt;0,"Paid","Upcoming")))</f>
        <v/>
      </c>
      <c r="U123" s="42">
        <f>IF(A123="",0,IF(C123="✗",0,IF(L123&lt;&gt;"",L123,F123)))</f>
        <v/>
      </c>
    </row>
    <row r="124">
      <c r="A124" s="32">
        <f>IFERROR(SMALL(Calc!$B$2:$BB$61,119),"")</f>
        <v/>
      </c>
      <c r="B124" s="32">
        <f>IF(A124="","",ROUND(MOD(A124,1)*1000,0))</f>
        <v/>
      </c>
      <c r="C124" s="33" t="n"/>
      <c r="D124" s="34">
        <f>IF(A124="","",INT(A124))</f>
        <v/>
      </c>
      <c r="E124" s="35">
        <f>IF(B124="","",INDEX(Setup!$D$25:$D$84,B124))</f>
        <v/>
      </c>
      <c r="F124" s="36">
        <f>IF(B124="","",INDEX(Setup!$E$25:$E$84,B124))</f>
        <v/>
      </c>
      <c r="G124" s="32">
        <f>IF(B124="","",INDEX(Setup!$I$25:$I$84,B124)&amp;"")</f>
        <v/>
      </c>
      <c r="H124" s="32">
        <f>IF(B124="","",INDEX(Setup!$J$25:$J$84,B124)&amp;"")</f>
        <v/>
      </c>
      <c r="I124" s="32">
        <f>IF(B124="","",INDEX(Setup!$C$25:$C$84,B124))</f>
        <v/>
      </c>
      <c r="J124" s="32" t="n"/>
      <c r="K124" s="37" t="n"/>
      <c r="L124" s="38" t="n"/>
      <c r="M124" s="33" t="n"/>
      <c r="N124" s="33" t="n"/>
      <c r="O124" s="32" t="n"/>
      <c r="P124" s="34">
        <f>IF(A124="","",IF(K124&lt;&gt;"",K124,D124))</f>
        <v/>
      </c>
      <c r="Q124" s="36">
        <f>IF(A124="",0,IF(C124="✗",0,IF(OR(C124="✓",AND(Setup!$D$7="Yes",P124&lt;=TODAY())),IF(L124&lt;&gt;"",L124,F124),0)))</f>
        <v/>
      </c>
      <c r="R124" s="32">
        <f>IF(A124="","",IF(M124&lt;&gt;"",M124,G124))</f>
        <v/>
      </c>
      <c r="S124" s="32">
        <f>IF(A124="","",IF(N124&lt;&gt;"",N124,H124))</f>
        <v/>
      </c>
      <c r="T124" s="32">
        <f>IF(A124="","",IF(C124="✗","Skipped",IF(Q124&gt;0,"Paid","Upcoming")))</f>
        <v/>
      </c>
      <c r="U124" s="36">
        <f>IF(A124="",0,IF(C124="✗",0,IF(L124&lt;&gt;"",L124,F124)))</f>
        <v/>
      </c>
    </row>
    <row r="125">
      <c r="A125" s="39">
        <f>IFERROR(SMALL(Calc!$B$2:$BB$61,120),"")</f>
        <v/>
      </c>
      <c r="B125" s="39">
        <f>IF(A125="","",ROUND(MOD(A125,1)*1000,0))</f>
        <v/>
      </c>
      <c r="C125" s="33" t="n"/>
      <c r="D125" s="40">
        <f>IF(A125="","",INT(A125))</f>
        <v/>
      </c>
      <c r="E125" s="41">
        <f>IF(B125="","",INDEX(Setup!$D$25:$D$84,B125))</f>
        <v/>
      </c>
      <c r="F125" s="42">
        <f>IF(B125="","",INDEX(Setup!$E$25:$E$84,B125))</f>
        <v/>
      </c>
      <c r="G125" s="39">
        <f>IF(B125="","",INDEX(Setup!$I$25:$I$84,B125)&amp;"")</f>
        <v/>
      </c>
      <c r="H125" s="39">
        <f>IF(B125="","",INDEX(Setup!$J$25:$J$84,B125)&amp;"")</f>
        <v/>
      </c>
      <c r="I125" s="39">
        <f>IF(B125="","",INDEX(Setup!$C$25:$C$84,B125))</f>
        <v/>
      </c>
      <c r="J125" s="39" t="n"/>
      <c r="K125" s="37" t="n"/>
      <c r="L125" s="38" t="n"/>
      <c r="M125" s="33" t="n"/>
      <c r="N125" s="33" t="n"/>
      <c r="O125" s="39" t="n"/>
      <c r="P125" s="40">
        <f>IF(A125="","",IF(K125&lt;&gt;"",K125,D125))</f>
        <v/>
      </c>
      <c r="Q125" s="42">
        <f>IF(A125="",0,IF(C125="✗",0,IF(OR(C125="✓",AND(Setup!$D$7="Yes",P125&lt;=TODAY())),IF(L125&lt;&gt;"",L125,F125),0)))</f>
        <v/>
      </c>
      <c r="R125" s="39">
        <f>IF(A125="","",IF(M125&lt;&gt;"",M125,G125))</f>
        <v/>
      </c>
      <c r="S125" s="39">
        <f>IF(A125="","",IF(N125&lt;&gt;"",N125,H125))</f>
        <v/>
      </c>
      <c r="T125" s="39">
        <f>IF(A125="","",IF(C125="✗","Skipped",IF(Q125&gt;0,"Paid","Upcoming")))</f>
        <v/>
      </c>
      <c r="U125" s="42">
        <f>IF(A125="",0,IF(C125="✗",0,IF(L125&lt;&gt;"",L125,F125)))</f>
        <v/>
      </c>
    </row>
    <row r="126">
      <c r="A126" s="32">
        <f>IFERROR(SMALL(Calc!$B$2:$BB$61,121),"")</f>
        <v/>
      </c>
      <c r="B126" s="32">
        <f>IF(A126="","",ROUND(MOD(A126,1)*1000,0))</f>
        <v/>
      </c>
      <c r="C126" s="33" t="n"/>
      <c r="D126" s="34">
        <f>IF(A126="","",INT(A126))</f>
        <v/>
      </c>
      <c r="E126" s="35">
        <f>IF(B126="","",INDEX(Setup!$D$25:$D$84,B126))</f>
        <v/>
      </c>
      <c r="F126" s="36">
        <f>IF(B126="","",INDEX(Setup!$E$25:$E$84,B126))</f>
        <v/>
      </c>
      <c r="G126" s="32">
        <f>IF(B126="","",INDEX(Setup!$I$25:$I$84,B126)&amp;"")</f>
        <v/>
      </c>
      <c r="H126" s="32">
        <f>IF(B126="","",INDEX(Setup!$J$25:$J$84,B126)&amp;"")</f>
        <v/>
      </c>
      <c r="I126" s="32">
        <f>IF(B126="","",INDEX(Setup!$C$25:$C$84,B126))</f>
        <v/>
      </c>
      <c r="J126" s="32" t="n"/>
      <c r="K126" s="37" t="n"/>
      <c r="L126" s="38" t="n"/>
      <c r="M126" s="33" t="n"/>
      <c r="N126" s="33" t="n"/>
      <c r="O126" s="32" t="n"/>
      <c r="P126" s="34">
        <f>IF(A126="","",IF(K126&lt;&gt;"",K126,D126))</f>
        <v/>
      </c>
      <c r="Q126" s="36">
        <f>IF(A126="",0,IF(C126="✗",0,IF(OR(C126="✓",AND(Setup!$D$7="Yes",P126&lt;=TODAY())),IF(L126&lt;&gt;"",L126,F126),0)))</f>
        <v/>
      </c>
      <c r="R126" s="32">
        <f>IF(A126="","",IF(M126&lt;&gt;"",M126,G126))</f>
        <v/>
      </c>
      <c r="S126" s="32">
        <f>IF(A126="","",IF(N126&lt;&gt;"",N126,H126))</f>
        <v/>
      </c>
      <c r="T126" s="32">
        <f>IF(A126="","",IF(C126="✗","Skipped",IF(Q126&gt;0,"Paid","Upcoming")))</f>
        <v/>
      </c>
      <c r="U126" s="36">
        <f>IF(A126="",0,IF(C126="✗",0,IF(L126&lt;&gt;"",L126,F126)))</f>
        <v/>
      </c>
    </row>
    <row r="127">
      <c r="A127" s="39">
        <f>IFERROR(SMALL(Calc!$B$2:$BB$61,122),"")</f>
        <v/>
      </c>
      <c r="B127" s="39">
        <f>IF(A127="","",ROUND(MOD(A127,1)*1000,0))</f>
        <v/>
      </c>
      <c r="C127" s="33" t="n"/>
      <c r="D127" s="40">
        <f>IF(A127="","",INT(A127))</f>
        <v/>
      </c>
      <c r="E127" s="41">
        <f>IF(B127="","",INDEX(Setup!$D$25:$D$84,B127))</f>
        <v/>
      </c>
      <c r="F127" s="42">
        <f>IF(B127="","",INDEX(Setup!$E$25:$E$84,B127))</f>
        <v/>
      </c>
      <c r="G127" s="39">
        <f>IF(B127="","",INDEX(Setup!$I$25:$I$84,B127)&amp;"")</f>
        <v/>
      </c>
      <c r="H127" s="39">
        <f>IF(B127="","",INDEX(Setup!$J$25:$J$84,B127)&amp;"")</f>
        <v/>
      </c>
      <c r="I127" s="39">
        <f>IF(B127="","",INDEX(Setup!$C$25:$C$84,B127))</f>
        <v/>
      </c>
      <c r="J127" s="39" t="n"/>
      <c r="K127" s="37" t="n"/>
      <c r="L127" s="38" t="n"/>
      <c r="M127" s="33" t="n"/>
      <c r="N127" s="33" t="n"/>
      <c r="O127" s="39" t="n"/>
      <c r="P127" s="40">
        <f>IF(A127="","",IF(K127&lt;&gt;"",K127,D127))</f>
        <v/>
      </c>
      <c r="Q127" s="42">
        <f>IF(A127="",0,IF(C127="✗",0,IF(OR(C127="✓",AND(Setup!$D$7="Yes",P127&lt;=TODAY())),IF(L127&lt;&gt;"",L127,F127),0)))</f>
        <v/>
      </c>
      <c r="R127" s="39">
        <f>IF(A127="","",IF(M127&lt;&gt;"",M127,G127))</f>
        <v/>
      </c>
      <c r="S127" s="39">
        <f>IF(A127="","",IF(N127&lt;&gt;"",N127,H127))</f>
        <v/>
      </c>
      <c r="T127" s="39">
        <f>IF(A127="","",IF(C127="✗","Skipped",IF(Q127&gt;0,"Paid","Upcoming")))</f>
        <v/>
      </c>
      <c r="U127" s="42">
        <f>IF(A127="",0,IF(C127="✗",0,IF(L127&lt;&gt;"",L127,F127)))</f>
        <v/>
      </c>
    </row>
    <row r="128">
      <c r="A128" s="32">
        <f>IFERROR(SMALL(Calc!$B$2:$BB$61,123),"")</f>
        <v/>
      </c>
      <c r="B128" s="32">
        <f>IF(A128="","",ROUND(MOD(A128,1)*1000,0))</f>
        <v/>
      </c>
      <c r="C128" s="33" t="n"/>
      <c r="D128" s="34">
        <f>IF(A128="","",INT(A128))</f>
        <v/>
      </c>
      <c r="E128" s="35">
        <f>IF(B128="","",INDEX(Setup!$D$25:$D$84,B128))</f>
        <v/>
      </c>
      <c r="F128" s="36">
        <f>IF(B128="","",INDEX(Setup!$E$25:$E$84,B128))</f>
        <v/>
      </c>
      <c r="G128" s="32">
        <f>IF(B128="","",INDEX(Setup!$I$25:$I$84,B128)&amp;"")</f>
        <v/>
      </c>
      <c r="H128" s="32">
        <f>IF(B128="","",INDEX(Setup!$J$25:$J$84,B128)&amp;"")</f>
        <v/>
      </c>
      <c r="I128" s="32">
        <f>IF(B128="","",INDEX(Setup!$C$25:$C$84,B128))</f>
        <v/>
      </c>
      <c r="J128" s="32" t="n"/>
      <c r="K128" s="37" t="n"/>
      <c r="L128" s="38" t="n"/>
      <c r="M128" s="33" t="n"/>
      <c r="N128" s="33" t="n"/>
      <c r="O128" s="32" t="n"/>
      <c r="P128" s="34">
        <f>IF(A128="","",IF(K128&lt;&gt;"",K128,D128))</f>
        <v/>
      </c>
      <c r="Q128" s="36">
        <f>IF(A128="",0,IF(C128="✗",0,IF(OR(C128="✓",AND(Setup!$D$7="Yes",P128&lt;=TODAY())),IF(L128&lt;&gt;"",L128,F128),0)))</f>
        <v/>
      </c>
      <c r="R128" s="32">
        <f>IF(A128="","",IF(M128&lt;&gt;"",M128,G128))</f>
        <v/>
      </c>
      <c r="S128" s="32">
        <f>IF(A128="","",IF(N128&lt;&gt;"",N128,H128))</f>
        <v/>
      </c>
      <c r="T128" s="32">
        <f>IF(A128="","",IF(C128="✗","Skipped",IF(Q128&gt;0,"Paid","Upcoming")))</f>
        <v/>
      </c>
      <c r="U128" s="36">
        <f>IF(A128="",0,IF(C128="✗",0,IF(L128&lt;&gt;"",L128,F128)))</f>
        <v/>
      </c>
    </row>
    <row r="129">
      <c r="A129" s="39">
        <f>IFERROR(SMALL(Calc!$B$2:$BB$61,124),"")</f>
        <v/>
      </c>
      <c r="B129" s="39">
        <f>IF(A129="","",ROUND(MOD(A129,1)*1000,0))</f>
        <v/>
      </c>
      <c r="C129" s="33" t="n"/>
      <c r="D129" s="40">
        <f>IF(A129="","",INT(A129))</f>
        <v/>
      </c>
      <c r="E129" s="41">
        <f>IF(B129="","",INDEX(Setup!$D$25:$D$84,B129))</f>
        <v/>
      </c>
      <c r="F129" s="42">
        <f>IF(B129="","",INDEX(Setup!$E$25:$E$84,B129))</f>
        <v/>
      </c>
      <c r="G129" s="39">
        <f>IF(B129="","",INDEX(Setup!$I$25:$I$84,B129)&amp;"")</f>
        <v/>
      </c>
      <c r="H129" s="39">
        <f>IF(B129="","",INDEX(Setup!$J$25:$J$84,B129)&amp;"")</f>
        <v/>
      </c>
      <c r="I129" s="39">
        <f>IF(B129="","",INDEX(Setup!$C$25:$C$84,B129))</f>
        <v/>
      </c>
      <c r="J129" s="39" t="n"/>
      <c r="K129" s="37" t="n"/>
      <c r="L129" s="38" t="n"/>
      <c r="M129" s="33" t="n"/>
      <c r="N129" s="33" t="n"/>
      <c r="O129" s="39" t="n"/>
      <c r="P129" s="40">
        <f>IF(A129="","",IF(K129&lt;&gt;"",K129,D129))</f>
        <v/>
      </c>
      <c r="Q129" s="42">
        <f>IF(A129="",0,IF(C129="✗",0,IF(OR(C129="✓",AND(Setup!$D$7="Yes",P129&lt;=TODAY())),IF(L129&lt;&gt;"",L129,F129),0)))</f>
        <v/>
      </c>
      <c r="R129" s="39">
        <f>IF(A129="","",IF(M129&lt;&gt;"",M129,G129))</f>
        <v/>
      </c>
      <c r="S129" s="39">
        <f>IF(A129="","",IF(N129&lt;&gt;"",N129,H129))</f>
        <v/>
      </c>
      <c r="T129" s="39">
        <f>IF(A129="","",IF(C129="✗","Skipped",IF(Q129&gt;0,"Paid","Upcoming")))</f>
        <v/>
      </c>
      <c r="U129" s="42">
        <f>IF(A129="",0,IF(C129="✗",0,IF(L129&lt;&gt;"",L129,F129)))</f>
        <v/>
      </c>
    </row>
    <row r="130">
      <c r="A130" s="32">
        <f>IFERROR(SMALL(Calc!$B$2:$BB$61,125),"")</f>
        <v/>
      </c>
      <c r="B130" s="32">
        <f>IF(A130="","",ROUND(MOD(A130,1)*1000,0))</f>
        <v/>
      </c>
      <c r="C130" s="33" t="n"/>
      <c r="D130" s="34">
        <f>IF(A130="","",INT(A130))</f>
        <v/>
      </c>
      <c r="E130" s="35">
        <f>IF(B130="","",INDEX(Setup!$D$25:$D$84,B130))</f>
        <v/>
      </c>
      <c r="F130" s="36">
        <f>IF(B130="","",INDEX(Setup!$E$25:$E$84,B130))</f>
        <v/>
      </c>
      <c r="G130" s="32">
        <f>IF(B130="","",INDEX(Setup!$I$25:$I$84,B130)&amp;"")</f>
        <v/>
      </c>
      <c r="H130" s="32">
        <f>IF(B130="","",INDEX(Setup!$J$25:$J$84,B130)&amp;"")</f>
        <v/>
      </c>
      <c r="I130" s="32">
        <f>IF(B130="","",INDEX(Setup!$C$25:$C$84,B130))</f>
        <v/>
      </c>
      <c r="J130" s="32" t="n"/>
      <c r="K130" s="37" t="n"/>
      <c r="L130" s="38" t="n"/>
      <c r="M130" s="33" t="n"/>
      <c r="N130" s="33" t="n"/>
      <c r="O130" s="32" t="n"/>
      <c r="P130" s="34">
        <f>IF(A130="","",IF(K130&lt;&gt;"",K130,D130))</f>
        <v/>
      </c>
      <c r="Q130" s="36">
        <f>IF(A130="",0,IF(C130="✗",0,IF(OR(C130="✓",AND(Setup!$D$7="Yes",P130&lt;=TODAY())),IF(L130&lt;&gt;"",L130,F130),0)))</f>
        <v/>
      </c>
      <c r="R130" s="32">
        <f>IF(A130="","",IF(M130&lt;&gt;"",M130,G130))</f>
        <v/>
      </c>
      <c r="S130" s="32">
        <f>IF(A130="","",IF(N130&lt;&gt;"",N130,H130))</f>
        <v/>
      </c>
      <c r="T130" s="32">
        <f>IF(A130="","",IF(C130="✗","Skipped",IF(Q130&gt;0,"Paid","Upcoming")))</f>
        <v/>
      </c>
      <c r="U130" s="36">
        <f>IF(A130="",0,IF(C130="✗",0,IF(L130&lt;&gt;"",L130,F130)))</f>
        <v/>
      </c>
    </row>
    <row r="131">
      <c r="A131" s="39">
        <f>IFERROR(SMALL(Calc!$B$2:$BB$61,126),"")</f>
        <v/>
      </c>
      <c r="B131" s="39">
        <f>IF(A131="","",ROUND(MOD(A131,1)*1000,0))</f>
        <v/>
      </c>
      <c r="C131" s="33" t="n"/>
      <c r="D131" s="40">
        <f>IF(A131="","",INT(A131))</f>
        <v/>
      </c>
      <c r="E131" s="41">
        <f>IF(B131="","",INDEX(Setup!$D$25:$D$84,B131))</f>
        <v/>
      </c>
      <c r="F131" s="42">
        <f>IF(B131="","",INDEX(Setup!$E$25:$E$84,B131))</f>
        <v/>
      </c>
      <c r="G131" s="39">
        <f>IF(B131="","",INDEX(Setup!$I$25:$I$84,B131)&amp;"")</f>
        <v/>
      </c>
      <c r="H131" s="39">
        <f>IF(B131="","",INDEX(Setup!$J$25:$J$84,B131)&amp;"")</f>
        <v/>
      </c>
      <c r="I131" s="39">
        <f>IF(B131="","",INDEX(Setup!$C$25:$C$84,B131))</f>
        <v/>
      </c>
      <c r="J131" s="39" t="n"/>
      <c r="K131" s="37" t="n"/>
      <c r="L131" s="38" t="n"/>
      <c r="M131" s="33" t="n"/>
      <c r="N131" s="33" t="n"/>
      <c r="O131" s="39" t="n"/>
      <c r="P131" s="40">
        <f>IF(A131="","",IF(K131&lt;&gt;"",K131,D131))</f>
        <v/>
      </c>
      <c r="Q131" s="42">
        <f>IF(A131="",0,IF(C131="✗",0,IF(OR(C131="✓",AND(Setup!$D$7="Yes",P131&lt;=TODAY())),IF(L131&lt;&gt;"",L131,F131),0)))</f>
        <v/>
      </c>
      <c r="R131" s="39">
        <f>IF(A131="","",IF(M131&lt;&gt;"",M131,G131))</f>
        <v/>
      </c>
      <c r="S131" s="39">
        <f>IF(A131="","",IF(N131&lt;&gt;"",N131,H131))</f>
        <v/>
      </c>
      <c r="T131" s="39">
        <f>IF(A131="","",IF(C131="✗","Skipped",IF(Q131&gt;0,"Paid","Upcoming")))</f>
        <v/>
      </c>
      <c r="U131" s="42">
        <f>IF(A131="",0,IF(C131="✗",0,IF(L131&lt;&gt;"",L131,F131)))</f>
        <v/>
      </c>
    </row>
    <row r="132">
      <c r="A132" s="32">
        <f>IFERROR(SMALL(Calc!$B$2:$BB$61,127),"")</f>
        <v/>
      </c>
      <c r="B132" s="32">
        <f>IF(A132="","",ROUND(MOD(A132,1)*1000,0))</f>
        <v/>
      </c>
      <c r="C132" s="33" t="n"/>
      <c r="D132" s="34">
        <f>IF(A132="","",INT(A132))</f>
        <v/>
      </c>
      <c r="E132" s="35">
        <f>IF(B132="","",INDEX(Setup!$D$25:$D$84,B132))</f>
        <v/>
      </c>
      <c r="F132" s="36">
        <f>IF(B132="","",INDEX(Setup!$E$25:$E$84,B132))</f>
        <v/>
      </c>
      <c r="G132" s="32">
        <f>IF(B132="","",INDEX(Setup!$I$25:$I$84,B132)&amp;"")</f>
        <v/>
      </c>
      <c r="H132" s="32">
        <f>IF(B132="","",INDEX(Setup!$J$25:$J$84,B132)&amp;"")</f>
        <v/>
      </c>
      <c r="I132" s="32">
        <f>IF(B132="","",INDEX(Setup!$C$25:$C$84,B132))</f>
        <v/>
      </c>
      <c r="J132" s="32" t="n"/>
      <c r="K132" s="37" t="n"/>
      <c r="L132" s="38" t="n"/>
      <c r="M132" s="33" t="n"/>
      <c r="N132" s="33" t="n"/>
      <c r="O132" s="32" t="n"/>
      <c r="P132" s="34">
        <f>IF(A132="","",IF(K132&lt;&gt;"",K132,D132))</f>
        <v/>
      </c>
      <c r="Q132" s="36">
        <f>IF(A132="",0,IF(C132="✗",0,IF(OR(C132="✓",AND(Setup!$D$7="Yes",P132&lt;=TODAY())),IF(L132&lt;&gt;"",L132,F132),0)))</f>
        <v/>
      </c>
      <c r="R132" s="32">
        <f>IF(A132="","",IF(M132&lt;&gt;"",M132,G132))</f>
        <v/>
      </c>
      <c r="S132" s="32">
        <f>IF(A132="","",IF(N132&lt;&gt;"",N132,H132))</f>
        <v/>
      </c>
      <c r="T132" s="32">
        <f>IF(A132="","",IF(C132="✗","Skipped",IF(Q132&gt;0,"Paid","Upcoming")))</f>
        <v/>
      </c>
      <c r="U132" s="36">
        <f>IF(A132="",0,IF(C132="✗",0,IF(L132&lt;&gt;"",L132,F132)))</f>
        <v/>
      </c>
    </row>
    <row r="133">
      <c r="A133" s="39">
        <f>IFERROR(SMALL(Calc!$B$2:$BB$61,128),"")</f>
        <v/>
      </c>
      <c r="B133" s="39">
        <f>IF(A133="","",ROUND(MOD(A133,1)*1000,0))</f>
        <v/>
      </c>
      <c r="C133" s="33" t="n"/>
      <c r="D133" s="40">
        <f>IF(A133="","",INT(A133))</f>
        <v/>
      </c>
      <c r="E133" s="41">
        <f>IF(B133="","",INDEX(Setup!$D$25:$D$84,B133))</f>
        <v/>
      </c>
      <c r="F133" s="42">
        <f>IF(B133="","",INDEX(Setup!$E$25:$E$84,B133))</f>
        <v/>
      </c>
      <c r="G133" s="39">
        <f>IF(B133="","",INDEX(Setup!$I$25:$I$84,B133)&amp;"")</f>
        <v/>
      </c>
      <c r="H133" s="39">
        <f>IF(B133="","",INDEX(Setup!$J$25:$J$84,B133)&amp;"")</f>
        <v/>
      </c>
      <c r="I133" s="39">
        <f>IF(B133="","",INDEX(Setup!$C$25:$C$84,B133))</f>
        <v/>
      </c>
      <c r="J133" s="39" t="n"/>
      <c r="K133" s="37" t="n"/>
      <c r="L133" s="38" t="n"/>
      <c r="M133" s="33" t="n"/>
      <c r="N133" s="33" t="n"/>
      <c r="O133" s="39" t="n"/>
      <c r="P133" s="40">
        <f>IF(A133="","",IF(K133&lt;&gt;"",K133,D133))</f>
        <v/>
      </c>
      <c r="Q133" s="42">
        <f>IF(A133="",0,IF(C133="✗",0,IF(OR(C133="✓",AND(Setup!$D$7="Yes",P133&lt;=TODAY())),IF(L133&lt;&gt;"",L133,F133),0)))</f>
        <v/>
      </c>
      <c r="R133" s="39">
        <f>IF(A133="","",IF(M133&lt;&gt;"",M133,G133))</f>
        <v/>
      </c>
      <c r="S133" s="39">
        <f>IF(A133="","",IF(N133&lt;&gt;"",N133,H133))</f>
        <v/>
      </c>
      <c r="T133" s="39">
        <f>IF(A133="","",IF(C133="✗","Skipped",IF(Q133&gt;0,"Paid","Upcoming")))</f>
        <v/>
      </c>
      <c r="U133" s="42">
        <f>IF(A133="",0,IF(C133="✗",0,IF(L133&lt;&gt;"",L133,F133)))</f>
        <v/>
      </c>
    </row>
    <row r="134">
      <c r="A134" s="32">
        <f>IFERROR(SMALL(Calc!$B$2:$BB$61,129),"")</f>
        <v/>
      </c>
      <c r="B134" s="32">
        <f>IF(A134="","",ROUND(MOD(A134,1)*1000,0))</f>
        <v/>
      </c>
      <c r="C134" s="33" t="n"/>
      <c r="D134" s="34">
        <f>IF(A134="","",INT(A134))</f>
        <v/>
      </c>
      <c r="E134" s="35">
        <f>IF(B134="","",INDEX(Setup!$D$25:$D$84,B134))</f>
        <v/>
      </c>
      <c r="F134" s="36">
        <f>IF(B134="","",INDEX(Setup!$E$25:$E$84,B134))</f>
        <v/>
      </c>
      <c r="G134" s="32">
        <f>IF(B134="","",INDEX(Setup!$I$25:$I$84,B134)&amp;"")</f>
        <v/>
      </c>
      <c r="H134" s="32">
        <f>IF(B134="","",INDEX(Setup!$J$25:$J$84,B134)&amp;"")</f>
        <v/>
      </c>
      <c r="I134" s="32">
        <f>IF(B134="","",INDEX(Setup!$C$25:$C$84,B134))</f>
        <v/>
      </c>
      <c r="J134" s="32" t="n"/>
      <c r="K134" s="37" t="n"/>
      <c r="L134" s="38" t="n"/>
      <c r="M134" s="33" t="n"/>
      <c r="N134" s="33" t="n"/>
      <c r="O134" s="32" t="n"/>
      <c r="P134" s="34">
        <f>IF(A134="","",IF(K134&lt;&gt;"",K134,D134))</f>
        <v/>
      </c>
      <c r="Q134" s="36">
        <f>IF(A134="",0,IF(C134="✗",0,IF(OR(C134="✓",AND(Setup!$D$7="Yes",P134&lt;=TODAY())),IF(L134&lt;&gt;"",L134,F134),0)))</f>
        <v/>
      </c>
      <c r="R134" s="32">
        <f>IF(A134="","",IF(M134&lt;&gt;"",M134,G134))</f>
        <v/>
      </c>
      <c r="S134" s="32">
        <f>IF(A134="","",IF(N134&lt;&gt;"",N134,H134))</f>
        <v/>
      </c>
      <c r="T134" s="32">
        <f>IF(A134="","",IF(C134="✗","Skipped",IF(Q134&gt;0,"Paid","Upcoming")))</f>
        <v/>
      </c>
      <c r="U134" s="36">
        <f>IF(A134="",0,IF(C134="✗",0,IF(L134&lt;&gt;"",L134,F134)))</f>
        <v/>
      </c>
    </row>
    <row r="135">
      <c r="A135" s="39">
        <f>IFERROR(SMALL(Calc!$B$2:$BB$61,130),"")</f>
        <v/>
      </c>
      <c r="B135" s="39">
        <f>IF(A135="","",ROUND(MOD(A135,1)*1000,0))</f>
        <v/>
      </c>
      <c r="C135" s="33" t="n"/>
      <c r="D135" s="40">
        <f>IF(A135="","",INT(A135))</f>
        <v/>
      </c>
      <c r="E135" s="41">
        <f>IF(B135="","",INDEX(Setup!$D$25:$D$84,B135))</f>
        <v/>
      </c>
      <c r="F135" s="42">
        <f>IF(B135="","",INDEX(Setup!$E$25:$E$84,B135))</f>
        <v/>
      </c>
      <c r="G135" s="39">
        <f>IF(B135="","",INDEX(Setup!$I$25:$I$84,B135)&amp;"")</f>
        <v/>
      </c>
      <c r="H135" s="39">
        <f>IF(B135="","",INDEX(Setup!$J$25:$J$84,B135)&amp;"")</f>
        <v/>
      </c>
      <c r="I135" s="39">
        <f>IF(B135="","",INDEX(Setup!$C$25:$C$84,B135))</f>
        <v/>
      </c>
      <c r="J135" s="39" t="n"/>
      <c r="K135" s="37" t="n"/>
      <c r="L135" s="38" t="n"/>
      <c r="M135" s="33" t="n"/>
      <c r="N135" s="33" t="n"/>
      <c r="O135" s="39" t="n"/>
      <c r="P135" s="40">
        <f>IF(A135="","",IF(K135&lt;&gt;"",K135,D135))</f>
        <v/>
      </c>
      <c r="Q135" s="42">
        <f>IF(A135="",0,IF(C135="✗",0,IF(OR(C135="✓",AND(Setup!$D$7="Yes",P135&lt;=TODAY())),IF(L135&lt;&gt;"",L135,F135),0)))</f>
        <v/>
      </c>
      <c r="R135" s="39">
        <f>IF(A135="","",IF(M135&lt;&gt;"",M135,G135))</f>
        <v/>
      </c>
      <c r="S135" s="39">
        <f>IF(A135="","",IF(N135&lt;&gt;"",N135,H135))</f>
        <v/>
      </c>
      <c r="T135" s="39">
        <f>IF(A135="","",IF(C135="✗","Skipped",IF(Q135&gt;0,"Paid","Upcoming")))</f>
        <v/>
      </c>
      <c r="U135" s="42">
        <f>IF(A135="",0,IF(C135="✗",0,IF(L135&lt;&gt;"",L135,F135)))</f>
        <v/>
      </c>
    </row>
    <row r="136">
      <c r="A136" s="32">
        <f>IFERROR(SMALL(Calc!$B$2:$BB$61,131),"")</f>
        <v/>
      </c>
      <c r="B136" s="32">
        <f>IF(A136="","",ROUND(MOD(A136,1)*1000,0))</f>
        <v/>
      </c>
      <c r="C136" s="33" t="n"/>
      <c r="D136" s="34">
        <f>IF(A136="","",INT(A136))</f>
        <v/>
      </c>
      <c r="E136" s="35">
        <f>IF(B136="","",INDEX(Setup!$D$25:$D$84,B136))</f>
        <v/>
      </c>
      <c r="F136" s="36">
        <f>IF(B136="","",INDEX(Setup!$E$25:$E$84,B136))</f>
        <v/>
      </c>
      <c r="G136" s="32">
        <f>IF(B136="","",INDEX(Setup!$I$25:$I$84,B136)&amp;"")</f>
        <v/>
      </c>
      <c r="H136" s="32">
        <f>IF(B136="","",INDEX(Setup!$J$25:$J$84,B136)&amp;"")</f>
        <v/>
      </c>
      <c r="I136" s="32">
        <f>IF(B136="","",INDEX(Setup!$C$25:$C$84,B136))</f>
        <v/>
      </c>
      <c r="J136" s="32" t="n"/>
      <c r="K136" s="37" t="n"/>
      <c r="L136" s="38" t="n"/>
      <c r="M136" s="33" t="n"/>
      <c r="N136" s="33" t="n"/>
      <c r="O136" s="32" t="n"/>
      <c r="P136" s="34">
        <f>IF(A136="","",IF(K136&lt;&gt;"",K136,D136))</f>
        <v/>
      </c>
      <c r="Q136" s="36">
        <f>IF(A136="",0,IF(C136="✗",0,IF(OR(C136="✓",AND(Setup!$D$7="Yes",P136&lt;=TODAY())),IF(L136&lt;&gt;"",L136,F136),0)))</f>
        <v/>
      </c>
      <c r="R136" s="32">
        <f>IF(A136="","",IF(M136&lt;&gt;"",M136,G136))</f>
        <v/>
      </c>
      <c r="S136" s="32">
        <f>IF(A136="","",IF(N136&lt;&gt;"",N136,H136))</f>
        <v/>
      </c>
      <c r="T136" s="32">
        <f>IF(A136="","",IF(C136="✗","Skipped",IF(Q136&gt;0,"Paid","Upcoming")))</f>
        <v/>
      </c>
      <c r="U136" s="36">
        <f>IF(A136="",0,IF(C136="✗",0,IF(L136&lt;&gt;"",L136,F136)))</f>
        <v/>
      </c>
    </row>
    <row r="137">
      <c r="A137" s="39">
        <f>IFERROR(SMALL(Calc!$B$2:$BB$61,132),"")</f>
        <v/>
      </c>
      <c r="B137" s="39">
        <f>IF(A137="","",ROUND(MOD(A137,1)*1000,0))</f>
        <v/>
      </c>
      <c r="C137" s="33" t="n"/>
      <c r="D137" s="40">
        <f>IF(A137="","",INT(A137))</f>
        <v/>
      </c>
      <c r="E137" s="41">
        <f>IF(B137="","",INDEX(Setup!$D$25:$D$84,B137))</f>
        <v/>
      </c>
      <c r="F137" s="42">
        <f>IF(B137="","",INDEX(Setup!$E$25:$E$84,B137))</f>
        <v/>
      </c>
      <c r="G137" s="39">
        <f>IF(B137="","",INDEX(Setup!$I$25:$I$84,B137)&amp;"")</f>
        <v/>
      </c>
      <c r="H137" s="39">
        <f>IF(B137="","",INDEX(Setup!$J$25:$J$84,B137)&amp;"")</f>
        <v/>
      </c>
      <c r="I137" s="39">
        <f>IF(B137="","",INDEX(Setup!$C$25:$C$84,B137))</f>
        <v/>
      </c>
      <c r="J137" s="39" t="n"/>
      <c r="K137" s="37" t="n"/>
      <c r="L137" s="38" t="n"/>
      <c r="M137" s="33" t="n"/>
      <c r="N137" s="33" t="n"/>
      <c r="O137" s="39" t="n"/>
      <c r="P137" s="40">
        <f>IF(A137="","",IF(K137&lt;&gt;"",K137,D137))</f>
        <v/>
      </c>
      <c r="Q137" s="42">
        <f>IF(A137="",0,IF(C137="✗",0,IF(OR(C137="✓",AND(Setup!$D$7="Yes",P137&lt;=TODAY())),IF(L137&lt;&gt;"",L137,F137),0)))</f>
        <v/>
      </c>
      <c r="R137" s="39">
        <f>IF(A137="","",IF(M137&lt;&gt;"",M137,G137))</f>
        <v/>
      </c>
      <c r="S137" s="39">
        <f>IF(A137="","",IF(N137&lt;&gt;"",N137,H137))</f>
        <v/>
      </c>
      <c r="T137" s="39">
        <f>IF(A137="","",IF(C137="✗","Skipped",IF(Q137&gt;0,"Paid","Upcoming")))</f>
        <v/>
      </c>
      <c r="U137" s="42">
        <f>IF(A137="",0,IF(C137="✗",0,IF(L137&lt;&gt;"",L137,F137)))</f>
        <v/>
      </c>
    </row>
    <row r="138">
      <c r="A138" s="32">
        <f>IFERROR(SMALL(Calc!$B$2:$BB$61,133),"")</f>
        <v/>
      </c>
      <c r="B138" s="32">
        <f>IF(A138="","",ROUND(MOD(A138,1)*1000,0))</f>
        <v/>
      </c>
      <c r="C138" s="33" t="n"/>
      <c r="D138" s="34">
        <f>IF(A138="","",INT(A138))</f>
        <v/>
      </c>
      <c r="E138" s="35">
        <f>IF(B138="","",INDEX(Setup!$D$25:$D$84,B138))</f>
        <v/>
      </c>
      <c r="F138" s="36">
        <f>IF(B138="","",INDEX(Setup!$E$25:$E$84,B138))</f>
        <v/>
      </c>
      <c r="G138" s="32">
        <f>IF(B138="","",INDEX(Setup!$I$25:$I$84,B138)&amp;"")</f>
        <v/>
      </c>
      <c r="H138" s="32">
        <f>IF(B138="","",INDEX(Setup!$J$25:$J$84,B138)&amp;"")</f>
        <v/>
      </c>
      <c r="I138" s="32">
        <f>IF(B138="","",INDEX(Setup!$C$25:$C$84,B138))</f>
        <v/>
      </c>
      <c r="J138" s="32" t="n"/>
      <c r="K138" s="37" t="n"/>
      <c r="L138" s="38" t="n"/>
      <c r="M138" s="33" t="n"/>
      <c r="N138" s="33" t="n"/>
      <c r="O138" s="32" t="n"/>
      <c r="P138" s="34">
        <f>IF(A138="","",IF(K138&lt;&gt;"",K138,D138))</f>
        <v/>
      </c>
      <c r="Q138" s="36">
        <f>IF(A138="",0,IF(C138="✗",0,IF(OR(C138="✓",AND(Setup!$D$7="Yes",P138&lt;=TODAY())),IF(L138&lt;&gt;"",L138,F138),0)))</f>
        <v/>
      </c>
      <c r="R138" s="32">
        <f>IF(A138="","",IF(M138&lt;&gt;"",M138,G138))</f>
        <v/>
      </c>
      <c r="S138" s="32">
        <f>IF(A138="","",IF(N138&lt;&gt;"",N138,H138))</f>
        <v/>
      </c>
      <c r="T138" s="32">
        <f>IF(A138="","",IF(C138="✗","Skipped",IF(Q138&gt;0,"Paid","Upcoming")))</f>
        <v/>
      </c>
      <c r="U138" s="36">
        <f>IF(A138="",0,IF(C138="✗",0,IF(L138&lt;&gt;"",L138,F138)))</f>
        <v/>
      </c>
    </row>
    <row r="139">
      <c r="A139" s="39">
        <f>IFERROR(SMALL(Calc!$B$2:$BB$61,134),"")</f>
        <v/>
      </c>
      <c r="B139" s="39">
        <f>IF(A139="","",ROUND(MOD(A139,1)*1000,0))</f>
        <v/>
      </c>
      <c r="C139" s="33" t="n"/>
      <c r="D139" s="40">
        <f>IF(A139="","",INT(A139))</f>
        <v/>
      </c>
      <c r="E139" s="41">
        <f>IF(B139="","",INDEX(Setup!$D$25:$D$84,B139))</f>
        <v/>
      </c>
      <c r="F139" s="42">
        <f>IF(B139="","",INDEX(Setup!$E$25:$E$84,B139))</f>
        <v/>
      </c>
      <c r="G139" s="39">
        <f>IF(B139="","",INDEX(Setup!$I$25:$I$84,B139)&amp;"")</f>
        <v/>
      </c>
      <c r="H139" s="39">
        <f>IF(B139="","",INDEX(Setup!$J$25:$J$84,B139)&amp;"")</f>
        <v/>
      </c>
      <c r="I139" s="39">
        <f>IF(B139="","",INDEX(Setup!$C$25:$C$84,B139))</f>
        <v/>
      </c>
      <c r="J139" s="39" t="n"/>
      <c r="K139" s="37" t="n"/>
      <c r="L139" s="38" t="n"/>
      <c r="M139" s="33" t="n"/>
      <c r="N139" s="33" t="n"/>
      <c r="O139" s="39" t="n"/>
      <c r="P139" s="40">
        <f>IF(A139="","",IF(K139&lt;&gt;"",K139,D139))</f>
        <v/>
      </c>
      <c r="Q139" s="42">
        <f>IF(A139="",0,IF(C139="✗",0,IF(OR(C139="✓",AND(Setup!$D$7="Yes",P139&lt;=TODAY())),IF(L139&lt;&gt;"",L139,F139),0)))</f>
        <v/>
      </c>
      <c r="R139" s="39">
        <f>IF(A139="","",IF(M139&lt;&gt;"",M139,G139))</f>
        <v/>
      </c>
      <c r="S139" s="39">
        <f>IF(A139="","",IF(N139&lt;&gt;"",N139,H139))</f>
        <v/>
      </c>
      <c r="T139" s="39">
        <f>IF(A139="","",IF(C139="✗","Skipped",IF(Q139&gt;0,"Paid","Upcoming")))</f>
        <v/>
      </c>
      <c r="U139" s="42">
        <f>IF(A139="",0,IF(C139="✗",0,IF(L139&lt;&gt;"",L139,F139)))</f>
        <v/>
      </c>
    </row>
    <row r="140">
      <c r="A140" s="32">
        <f>IFERROR(SMALL(Calc!$B$2:$BB$61,135),"")</f>
        <v/>
      </c>
      <c r="B140" s="32">
        <f>IF(A140="","",ROUND(MOD(A140,1)*1000,0))</f>
        <v/>
      </c>
      <c r="C140" s="33" t="n"/>
      <c r="D140" s="34">
        <f>IF(A140="","",INT(A140))</f>
        <v/>
      </c>
      <c r="E140" s="35">
        <f>IF(B140="","",INDEX(Setup!$D$25:$D$84,B140))</f>
        <v/>
      </c>
      <c r="F140" s="36">
        <f>IF(B140="","",INDEX(Setup!$E$25:$E$84,B140))</f>
        <v/>
      </c>
      <c r="G140" s="32">
        <f>IF(B140="","",INDEX(Setup!$I$25:$I$84,B140)&amp;"")</f>
        <v/>
      </c>
      <c r="H140" s="32">
        <f>IF(B140="","",INDEX(Setup!$J$25:$J$84,B140)&amp;"")</f>
        <v/>
      </c>
      <c r="I140" s="32">
        <f>IF(B140="","",INDEX(Setup!$C$25:$C$84,B140))</f>
        <v/>
      </c>
      <c r="J140" s="32" t="n"/>
      <c r="K140" s="37" t="n"/>
      <c r="L140" s="38" t="n"/>
      <c r="M140" s="33" t="n"/>
      <c r="N140" s="33" t="n"/>
      <c r="O140" s="32" t="n"/>
      <c r="P140" s="34">
        <f>IF(A140="","",IF(K140&lt;&gt;"",K140,D140))</f>
        <v/>
      </c>
      <c r="Q140" s="36">
        <f>IF(A140="",0,IF(C140="✗",0,IF(OR(C140="✓",AND(Setup!$D$7="Yes",P140&lt;=TODAY())),IF(L140&lt;&gt;"",L140,F140),0)))</f>
        <v/>
      </c>
      <c r="R140" s="32">
        <f>IF(A140="","",IF(M140&lt;&gt;"",M140,G140))</f>
        <v/>
      </c>
      <c r="S140" s="32">
        <f>IF(A140="","",IF(N140&lt;&gt;"",N140,H140))</f>
        <v/>
      </c>
      <c r="T140" s="32">
        <f>IF(A140="","",IF(C140="✗","Skipped",IF(Q140&gt;0,"Paid","Upcoming")))</f>
        <v/>
      </c>
      <c r="U140" s="36">
        <f>IF(A140="",0,IF(C140="✗",0,IF(L140&lt;&gt;"",L140,F140)))</f>
        <v/>
      </c>
    </row>
    <row r="141">
      <c r="A141" s="39">
        <f>IFERROR(SMALL(Calc!$B$2:$BB$61,136),"")</f>
        <v/>
      </c>
      <c r="B141" s="39">
        <f>IF(A141="","",ROUND(MOD(A141,1)*1000,0))</f>
        <v/>
      </c>
      <c r="C141" s="33" t="n"/>
      <c r="D141" s="40">
        <f>IF(A141="","",INT(A141))</f>
        <v/>
      </c>
      <c r="E141" s="41">
        <f>IF(B141="","",INDEX(Setup!$D$25:$D$84,B141))</f>
        <v/>
      </c>
      <c r="F141" s="42">
        <f>IF(B141="","",INDEX(Setup!$E$25:$E$84,B141))</f>
        <v/>
      </c>
      <c r="G141" s="39">
        <f>IF(B141="","",INDEX(Setup!$I$25:$I$84,B141)&amp;"")</f>
        <v/>
      </c>
      <c r="H141" s="39">
        <f>IF(B141="","",INDEX(Setup!$J$25:$J$84,B141)&amp;"")</f>
        <v/>
      </c>
      <c r="I141" s="39">
        <f>IF(B141="","",INDEX(Setup!$C$25:$C$84,B141))</f>
        <v/>
      </c>
      <c r="J141" s="39" t="n"/>
      <c r="K141" s="37" t="n"/>
      <c r="L141" s="38" t="n"/>
      <c r="M141" s="33" t="n"/>
      <c r="N141" s="33" t="n"/>
      <c r="O141" s="39" t="n"/>
      <c r="P141" s="40">
        <f>IF(A141="","",IF(K141&lt;&gt;"",K141,D141))</f>
        <v/>
      </c>
      <c r="Q141" s="42">
        <f>IF(A141="",0,IF(C141="✗",0,IF(OR(C141="✓",AND(Setup!$D$7="Yes",P141&lt;=TODAY())),IF(L141&lt;&gt;"",L141,F141),0)))</f>
        <v/>
      </c>
      <c r="R141" s="39">
        <f>IF(A141="","",IF(M141&lt;&gt;"",M141,G141))</f>
        <v/>
      </c>
      <c r="S141" s="39">
        <f>IF(A141="","",IF(N141&lt;&gt;"",N141,H141))</f>
        <v/>
      </c>
      <c r="T141" s="39">
        <f>IF(A141="","",IF(C141="✗","Skipped",IF(Q141&gt;0,"Paid","Upcoming")))</f>
        <v/>
      </c>
      <c r="U141" s="42">
        <f>IF(A141="",0,IF(C141="✗",0,IF(L141&lt;&gt;"",L141,F141)))</f>
        <v/>
      </c>
    </row>
    <row r="142">
      <c r="A142" s="32">
        <f>IFERROR(SMALL(Calc!$B$2:$BB$61,137),"")</f>
        <v/>
      </c>
      <c r="B142" s="32">
        <f>IF(A142="","",ROUND(MOD(A142,1)*1000,0))</f>
        <v/>
      </c>
      <c r="C142" s="33" t="n"/>
      <c r="D142" s="34">
        <f>IF(A142="","",INT(A142))</f>
        <v/>
      </c>
      <c r="E142" s="35">
        <f>IF(B142="","",INDEX(Setup!$D$25:$D$84,B142))</f>
        <v/>
      </c>
      <c r="F142" s="36">
        <f>IF(B142="","",INDEX(Setup!$E$25:$E$84,B142))</f>
        <v/>
      </c>
      <c r="G142" s="32">
        <f>IF(B142="","",INDEX(Setup!$I$25:$I$84,B142)&amp;"")</f>
        <v/>
      </c>
      <c r="H142" s="32">
        <f>IF(B142="","",INDEX(Setup!$J$25:$J$84,B142)&amp;"")</f>
        <v/>
      </c>
      <c r="I142" s="32">
        <f>IF(B142="","",INDEX(Setup!$C$25:$C$84,B142))</f>
        <v/>
      </c>
      <c r="J142" s="32" t="n"/>
      <c r="K142" s="37" t="n"/>
      <c r="L142" s="38" t="n"/>
      <c r="M142" s="33" t="n"/>
      <c r="N142" s="33" t="n"/>
      <c r="O142" s="32" t="n"/>
      <c r="P142" s="34">
        <f>IF(A142="","",IF(K142&lt;&gt;"",K142,D142))</f>
        <v/>
      </c>
      <c r="Q142" s="36">
        <f>IF(A142="",0,IF(C142="✗",0,IF(OR(C142="✓",AND(Setup!$D$7="Yes",P142&lt;=TODAY())),IF(L142&lt;&gt;"",L142,F142),0)))</f>
        <v/>
      </c>
      <c r="R142" s="32">
        <f>IF(A142="","",IF(M142&lt;&gt;"",M142,G142))</f>
        <v/>
      </c>
      <c r="S142" s="32">
        <f>IF(A142="","",IF(N142&lt;&gt;"",N142,H142))</f>
        <v/>
      </c>
      <c r="T142" s="32">
        <f>IF(A142="","",IF(C142="✗","Skipped",IF(Q142&gt;0,"Paid","Upcoming")))</f>
        <v/>
      </c>
      <c r="U142" s="36">
        <f>IF(A142="",0,IF(C142="✗",0,IF(L142&lt;&gt;"",L142,F142)))</f>
        <v/>
      </c>
    </row>
    <row r="143">
      <c r="A143" s="39">
        <f>IFERROR(SMALL(Calc!$B$2:$BB$61,138),"")</f>
        <v/>
      </c>
      <c r="B143" s="39">
        <f>IF(A143="","",ROUND(MOD(A143,1)*1000,0))</f>
        <v/>
      </c>
      <c r="C143" s="33" t="n"/>
      <c r="D143" s="40">
        <f>IF(A143="","",INT(A143))</f>
        <v/>
      </c>
      <c r="E143" s="41">
        <f>IF(B143="","",INDEX(Setup!$D$25:$D$84,B143))</f>
        <v/>
      </c>
      <c r="F143" s="42">
        <f>IF(B143="","",INDEX(Setup!$E$25:$E$84,B143))</f>
        <v/>
      </c>
      <c r="G143" s="39">
        <f>IF(B143="","",INDEX(Setup!$I$25:$I$84,B143)&amp;"")</f>
        <v/>
      </c>
      <c r="H143" s="39">
        <f>IF(B143="","",INDEX(Setup!$J$25:$J$84,B143)&amp;"")</f>
        <v/>
      </c>
      <c r="I143" s="39">
        <f>IF(B143="","",INDEX(Setup!$C$25:$C$84,B143))</f>
        <v/>
      </c>
      <c r="J143" s="39" t="n"/>
      <c r="K143" s="37" t="n"/>
      <c r="L143" s="38" t="n"/>
      <c r="M143" s="33" t="n"/>
      <c r="N143" s="33" t="n"/>
      <c r="O143" s="39" t="n"/>
      <c r="P143" s="40">
        <f>IF(A143="","",IF(K143&lt;&gt;"",K143,D143))</f>
        <v/>
      </c>
      <c r="Q143" s="42">
        <f>IF(A143="",0,IF(C143="✗",0,IF(OR(C143="✓",AND(Setup!$D$7="Yes",P143&lt;=TODAY())),IF(L143&lt;&gt;"",L143,F143),0)))</f>
        <v/>
      </c>
      <c r="R143" s="39">
        <f>IF(A143="","",IF(M143&lt;&gt;"",M143,G143))</f>
        <v/>
      </c>
      <c r="S143" s="39">
        <f>IF(A143="","",IF(N143&lt;&gt;"",N143,H143))</f>
        <v/>
      </c>
      <c r="T143" s="39">
        <f>IF(A143="","",IF(C143="✗","Skipped",IF(Q143&gt;0,"Paid","Upcoming")))</f>
        <v/>
      </c>
      <c r="U143" s="42">
        <f>IF(A143="",0,IF(C143="✗",0,IF(L143&lt;&gt;"",L143,F143)))</f>
        <v/>
      </c>
    </row>
    <row r="144">
      <c r="A144" s="32">
        <f>IFERROR(SMALL(Calc!$B$2:$BB$61,139),"")</f>
        <v/>
      </c>
      <c r="B144" s="32">
        <f>IF(A144="","",ROUND(MOD(A144,1)*1000,0))</f>
        <v/>
      </c>
      <c r="C144" s="33" t="n"/>
      <c r="D144" s="34">
        <f>IF(A144="","",INT(A144))</f>
        <v/>
      </c>
      <c r="E144" s="35">
        <f>IF(B144="","",INDEX(Setup!$D$25:$D$84,B144))</f>
        <v/>
      </c>
      <c r="F144" s="36">
        <f>IF(B144="","",INDEX(Setup!$E$25:$E$84,B144))</f>
        <v/>
      </c>
      <c r="G144" s="32">
        <f>IF(B144="","",INDEX(Setup!$I$25:$I$84,B144)&amp;"")</f>
        <v/>
      </c>
      <c r="H144" s="32">
        <f>IF(B144="","",INDEX(Setup!$J$25:$J$84,B144)&amp;"")</f>
        <v/>
      </c>
      <c r="I144" s="32">
        <f>IF(B144="","",INDEX(Setup!$C$25:$C$84,B144))</f>
        <v/>
      </c>
      <c r="J144" s="32" t="n"/>
      <c r="K144" s="37" t="n"/>
      <c r="L144" s="38" t="n"/>
      <c r="M144" s="33" t="n"/>
      <c r="N144" s="33" t="n"/>
      <c r="O144" s="32" t="n"/>
      <c r="P144" s="34">
        <f>IF(A144="","",IF(K144&lt;&gt;"",K144,D144))</f>
        <v/>
      </c>
      <c r="Q144" s="36">
        <f>IF(A144="",0,IF(C144="✗",0,IF(OR(C144="✓",AND(Setup!$D$7="Yes",P144&lt;=TODAY())),IF(L144&lt;&gt;"",L144,F144),0)))</f>
        <v/>
      </c>
      <c r="R144" s="32">
        <f>IF(A144="","",IF(M144&lt;&gt;"",M144,G144))</f>
        <v/>
      </c>
      <c r="S144" s="32">
        <f>IF(A144="","",IF(N144&lt;&gt;"",N144,H144))</f>
        <v/>
      </c>
      <c r="T144" s="32">
        <f>IF(A144="","",IF(C144="✗","Skipped",IF(Q144&gt;0,"Paid","Upcoming")))</f>
        <v/>
      </c>
      <c r="U144" s="36">
        <f>IF(A144="",0,IF(C144="✗",0,IF(L144&lt;&gt;"",L144,F144)))</f>
        <v/>
      </c>
    </row>
    <row r="145">
      <c r="A145" s="39">
        <f>IFERROR(SMALL(Calc!$B$2:$BB$61,140),"")</f>
        <v/>
      </c>
      <c r="B145" s="39">
        <f>IF(A145="","",ROUND(MOD(A145,1)*1000,0))</f>
        <v/>
      </c>
      <c r="C145" s="33" t="n"/>
      <c r="D145" s="40">
        <f>IF(A145="","",INT(A145))</f>
        <v/>
      </c>
      <c r="E145" s="41">
        <f>IF(B145="","",INDEX(Setup!$D$25:$D$84,B145))</f>
        <v/>
      </c>
      <c r="F145" s="42">
        <f>IF(B145="","",INDEX(Setup!$E$25:$E$84,B145))</f>
        <v/>
      </c>
      <c r="G145" s="39">
        <f>IF(B145="","",INDEX(Setup!$I$25:$I$84,B145)&amp;"")</f>
        <v/>
      </c>
      <c r="H145" s="39">
        <f>IF(B145="","",INDEX(Setup!$J$25:$J$84,B145)&amp;"")</f>
        <v/>
      </c>
      <c r="I145" s="39">
        <f>IF(B145="","",INDEX(Setup!$C$25:$C$84,B145))</f>
        <v/>
      </c>
      <c r="J145" s="39" t="n"/>
      <c r="K145" s="37" t="n"/>
      <c r="L145" s="38" t="n"/>
      <c r="M145" s="33" t="n"/>
      <c r="N145" s="33" t="n"/>
      <c r="O145" s="39" t="n"/>
      <c r="P145" s="40">
        <f>IF(A145="","",IF(K145&lt;&gt;"",K145,D145))</f>
        <v/>
      </c>
      <c r="Q145" s="42">
        <f>IF(A145="",0,IF(C145="✗",0,IF(OR(C145="✓",AND(Setup!$D$7="Yes",P145&lt;=TODAY())),IF(L145&lt;&gt;"",L145,F145),0)))</f>
        <v/>
      </c>
      <c r="R145" s="39">
        <f>IF(A145="","",IF(M145&lt;&gt;"",M145,G145))</f>
        <v/>
      </c>
      <c r="S145" s="39">
        <f>IF(A145="","",IF(N145&lt;&gt;"",N145,H145))</f>
        <v/>
      </c>
      <c r="T145" s="39">
        <f>IF(A145="","",IF(C145="✗","Skipped",IF(Q145&gt;0,"Paid","Upcoming")))</f>
        <v/>
      </c>
      <c r="U145" s="42">
        <f>IF(A145="",0,IF(C145="✗",0,IF(L145&lt;&gt;"",L145,F145)))</f>
        <v/>
      </c>
    </row>
    <row r="146">
      <c r="A146" s="32">
        <f>IFERROR(SMALL(Calc!$B$2:$BB$61,141),"")</f>
        <v/>
      </c>
      <c r="B146" s="32">
        <f>IF(A146="","",ROUND(MOD(A146,1)*1000,0))</f>
        <v/>
      </c>
      <c r="C146" s="33" t="n"/>
      <c r="D146" s="34">
        <f>IF(A146="","",INT(A146))</f>
        <v/>
      </c>
      <c r="E146" s="35">
        <f>IF(B146="","",INDEX(Setup!$D$25:$D$84,B146))</f>
        <v/>
      </c>
      <c r="F146" s="36">
        <f>IF(B146="","",INDEX(Setup!$E$25:$E$84,B146))</f>
        <v/>
      </c>
      <c r="G146" s="32">
        <f>IF(B146="","",INDEX(Setup!$I$25:$I$84,B146)&amp;"")</f>
        <v/>
      </c>
      <c r="H146" s="32">
        <f>IF(B146="","",INDEX(Setup!$J$25:$J$84,B146)&amp;"")</f>
        <v/>
      </c>
      <c r="I146" s="32">
        <f>IF(B146="","",INDEX(Setup!$C$25:$C$84,B146))</f>
        <v/>
      </c>
      <c r="J146" s="32" t="n"/>
      <c r="K146" s="37" t="n"/>
      <c r="L146" s="38" t="n"/>
      <c r="M146" s="33" t="n"/>
      <c r="N146" s="33" t="n"/>
      <c r="O146" s="32" t="n"/>
      <c r="P146" s="34">
        <f>IF(A146="","",IF(K146&lt;&gt;"",K146,D146))</f>
        <v/>
      </c>
      <c r="Q146" s="36">
        <f>IF(A146="",0,IF(C146="✗",0,IF(OR(C146="✓",AND(Setup!$D$7="Yes",P146&lt;=TODAY())),IF(L146&lt;&gt;"",L146,F146),0)))</f>
        <v/>
      </c>
      <c r="R146" s="32">
        <f>IF(A146="","",IF(M146&lt;&gt;"",M146,G146))</f>
        <v/>
      </c>
      <c r="S146" s="32">
        <f>IF(A146="","",IF(N146&lt;&gt;"",N146,H146))</f>
        <v/>
      </c>
      <c r="T146" s="32">
        <f>IF(A146="","",IF(C146="✗","Skipped",IF(Q146&gt;0,"Paid","Upcoming")))</f>
        <v/>
      </c>
      <c r="U146" s="36">
        <f>IF(A146="",0,IF(C146="✗",0,IF(L146&lt;&gt;"",L146,F146)))</f>
        <v/>
      </c>
    </row>
    <row r="147">
      <c r="A147" s="39">
        <f>IFERROR(SMALL(Calc!$B$2:$BB$61,142),"")</f>
        <v/>
      </c>
      <c r="B147" s="39">
        <f>IF(A147="","",ROUND(MOD(A147,1)*1000,0))</f>
        <v/>
      </c>
      <c r="C147" s="33" t="n"/>
      <c r="D147" s="40">
        <f>IF(A147="","",INT(A147))</f>
        <v/>
      </c>
      <c r="E147" s="41">
        <f>IF(B147="","",INDEX(Setup!$D$25:$D$84,B147))</f>
        <v/>
      </c>
      <c r="F147" s="42">
        <f>IF(B147="","",INDEX(Setup!$E$25:$E$84,B147))</f>
        <v/>
      </c>
      <c r="G147" s="39">
        <f>IF(B147="","",INDEX(Setup!$I$25:$I$84,B147)&amp;"")</f>
        <v/>
      </c>
      <c r="H147" s="39">
        <f>IF(B147="","",INDEX(Setup!$J$25:$J$84,B147)&amp;"")</f>
        <v/>
      </c>
      <c r="I147" s="39">
        <f>IF(B147="","",INDEX(Setup!$C$25:$C$84,B147))</f>
        <v/>
      </c>
      <c r="J147" s="39" t="n"/>
      <c r="K147" s="37" t="n"/>
      <c r="L147" s="38" t="n"/>
      <c r="M147" s="33" t="n"/>
      <c r="N147" s="33" t="n"/>
      <c r="O147" s="39" t="n"/>
      <c r="P147" s="40">
        <f>IF(A147="","",IF(K147&lt;&gt;"",K147,D147))</f>
        <v/>
      </c>
      <c r="Q147" s="42">
        <f>IF(A147="",0,IF(C147="✗",0,IF(OR(C147="✓",AND(Setup!$D$7="Yes",P147&lt;=TODAY())),IF(L147&lt;&gt;"",L147,F147),0)))</f>
        <v/>
      </c>
      <c r="R147" s="39">
        <f>IF(A147="","",IF(M147&lt;&gt;"",M147,G147))</f>
        <v/>
      </c>
      <c r="S147" s="39">
        <f>IF(A147="","",IF(N147&lt;&gt;"",N147,H147))</f>
        <v/>
      </c>
      <c r="T147" s="39">
        <f>IF(A147="","",IF(C147="✗","Skipped",IF(Q147&gt;0,"Paid","Upcoming")))</f>
        <v/>
      </c>
      <c r="U147" s="42">
        <f>IF(A147="",0,IF(C147="✗",0,IF(L147&lt;&gt;"",L147,F147)))</f>
        <v/>
      </c>
    </row>
    <row r="148">
      <c r="A148" s="32">
        <f>IFERROR(SMALL(Calc!$B$2:$BB$61,143),"")</f>
        <v/>
      </c>
      <c r="B148" s="32">
        <f>IF(A148="","",ROUND(MOD(A148,1)*1000,0))</f>
        <v/>
      </c>
      <c r="C148" s="33" t="n"/>
      <c r="D148" s="34">
        <f>IF(A148="","",INT(A148))</f>
        <v/>
      </c>
      <c r="E148" s="35">
        <f>IF(B148="","",INDEX(Setup!$D$25:$D$84,B148))</f>
        <v/>
      </c>
      <c r="F148" s="36">
        <f>IF(B148="","",INDEX(Setup!$E$25:$E$84,B148))</f>
        <v/>
      </c>
      <c r="G148" s="32">
        <f>IF(B148="","",INDEX(Setup!$I$25:$I$84,B148)&amp;"")</f>
        <v/>
      </c>
      <c r="H148" s="32">
        <f>IF(B148="","",INDEX(Setup!$J$25:$J$84,B148)&amp;"")</f>
        <v/>
      </c>
      <c r="I148" s="32">
        <f>IF(B148="","",INDEX(Setup!$C$25:$C$84,B148))</f>
        <v/>
      </c>
      <c r="J148" s="32" t="n"/>
      <c r="K148" s="37" t="n"/>
      <c r="L148" s="38" t="n"/>
      <c r="M148" s="33" t="n"/>
      <c r="N148" s="33" t="n"/>
      <c r="O148" s="32" t="n"/>
      <c r="P148" s="34">
        <f>IF(A148="","",IF(K148&lt;&gt;"",K148,D148))</f>
        <v/>
      </c>
      <c r="Q148" s="36">
        <f>IF(A148="",0,IF(C148="✗",0,IF(OR(C148="✓",AND(Setup!$D$7="Yes",P148&lt;=TODAY())),IF(L148&lt;&gt;"",L148,F148),0)))</f>
        <v/>
      </c>
      <c r="R148" s="32">
        <f>IF(A148="","",IF(M148&lt;&gt;"",M148,G148))</f>
        <v/>
      </c>
      <c r="S148" s="32">
        <f>IF(A148="","",IF(N148&lt;&gt;"",N148,H148))</f>
        <v/>
      </c>
      <c r="T148" s="32">
        <f>IF(A148="","",IF(C148="✗","Skipped",IF(Q148&gt;0,"Paid","Upcoming")))</f>
        <v/>
      </c>
      <c r="U148" s="36">
        <f>IF(A148="",0,IF(C148="✗",0,IF(L148&lt;&gt;"",L148,F148)))</f>
        <v/>
      </c>
    </row>
    <row r="149">
      <c r="A149" s="39">
        <f>IFERROR(SMALL(Calc!$B$2:$BB$61,144),"")</f>
        <v/>
      </c>
      <c r="B149" s="39">
        <f>IF(A149="","",ROUND(MOD(A149,1)*1000,0))</f>
        <v/>
      </c>
      <c r="C149" s="33" t="n"/>
      <c r="D149" s="40">
        <f>IF(A149="","",INT(A149))</f>
        <v/>
      </c>
      <c r="E149" s="41">
        <f>IF(B149="","",INDEX(Setup!$D$25:$D$84,B149))</f>
        <v/>
      </c>
      <c r="F149" s="42">
        <f>IF(B149="","",INDEX(Setup!$E$25:$E$84,B149))</f>
        <v/>
      </c>
      <c r="G149" s="39">
        <f>IF(B149="","",INDEX(Setup!$I$25:$I$84,B149)&amp;"")</f>
        <v/>
      </c>
      <c r="H149" s="39">
        <f>IF(B149="","",INDEX(Setup!$J$25:$J$84,B149)&amp;"")</f>
        <v/>
      </c>
      <c r="I149" s="39">
        <f>IF(B149="","",INDEX(Setup!$C$25:$C$84,B149))</f>
        <v/>
      </c>
      <c r="J149" s="39" t="n"/>
      <c r="K149" s="37" t="n"/>
      <c r="L149" s="38" t="n"/>
      <c r="M149" s="33" t="n"/>
      <c r="N149" s="33" t="n"/>
      <c r="O149" s="39" t="n"/>
      <c r="P149" s="40">
        <f>IF(A149="","",IF(K149&lt;&gt;"",K149,D149))</f>
        <v/>
      </c>
      <c r="Q149" s="42">
        <f>IF(A149="",0,IF(C149="✗",0,IF(OR(C149="✓",AND(Setup!$D$7="Yes",P149&lt;=TODAY())),IF(L149&lt;&gt;"",L149,F149),0)))</f>
        <v/>
      </c>
      <c r="R149" s="39">
        <f>IF(A149="","",IF(M149&lt;&gt;"",M149,G149))</f>
        <v/>
      </c>
      <c r="S149" s="39">
        <f>IF(A149="","",IF(N149&lt;&gt;"",N149,H149))</f>
        <v/>
      </c>
      <c r="T149" s="39">
        <f>IF(A149="","",IF(C149="✗","Skipped",IF(Q149&gt;0,"Paid","Upcoming")))</f>
        <v/>
      </c>
      <c r="U149" s="42">
        <f>IF(A149="",0,IF(C149="✗",0,IF(L149&lt;&gt;"",L149,F149)))</f>
        <v/>
      </c>
    </row>
    <row r="150">
      <c r="A150" s="32">
        <f>IFERROR(SMALL(Calc!$B$2:$BB$61,145),"")</f>
        <v/>
      </c>
      <c r="B150" s="32">
        <f>IF(A150="","",ROUND(MOD(A150,1)*1000,0))</f>
        <v/>
      </c>
      <c r="C150" s="33" t="n"/>
      <c r="D150" s="34">
        <f>IF(A150="","",INT(A150))</f>
        <v/>
      </c>
      <c r="E150" s="35">
        <f>IF(B150="","",INDEX(Setup!$D$25:$D$84,B150))</f>
        <v/>
      </c>
      <c r="F150" s="36">
        <f>IF(B150="","",INDEX(Setup!$E$25:$E$84,B150))</f>
        <v/>
      </c>
      <c r="G150" s="32">
        <f>IF(B150="","",INDEX(Setup!$I$25:$I$84,B150)&amp;"")</f>
        <v/>
      </c>
      <c r="H150" s="32">
        <f>IF(B150="","",INDEX(Setup!$J$25:$J$84,B150)&amp;"")</f>
        <v/>
      </c>
      <c r="I150" s="32">
        <f>IF(B150="","",INDEX(Setup!$C$25:$C$84,B150))</f>
        <v/>
      </c>
      <c r="J150" s="32" t="n"/>
      <c r="K150" s="37" t="n"/>
      <c r="L150" s="38" t="n"/>
      <c r="M150" s="33" t="n"/>
      <c r="N150" s="33" t="n"/>
      <c r="O150" s="32" t="n"/>
      <c r="P150" s="34">
        <f>IF(A150="","",IF(K150&lt;&gt;"",K150,D150))</f>
        <v/>
      </c>
      <c r="Q150" s="36">
        <f>IF(A150="",0,IF(C150="✗",0,IF(OR(C150="✓",AND(Setup!$D$7="Yes",P150&lt;=TODAY())),IF(L150&lt;&gt;"",L150,F150),0)))</f>
        <v/>
      </c>
      <c r="R150" s="32">
        <f>IF(A150="","",IF(M150&lt;&gt;"",M150,G150))</f>
        <v/>
      </c>
      <c r="S150" s="32">
        <f>IF(A150="","",IF(N150&lt;&gt;"",N150,H150))</f>
        <v/>
      </c>
      <c r="T150" s="32">
        <f>IF(A150="","",IF(C150="✗","Skipped",IF(Q150&gt;0,"Paid","Upcoming")))</f>
        <v/>
      </c>
      <c r="U150" s="36">
        <f>IF(A150="",0,IF(C150="✗",0,IF(L150&lt;&gt;"",L150,F150)))</f>
        <v/>
      </c>
    </row>
    <row r="151">
      <c r="A151" s="39">
        <f>IFERROR(SMALL(Calc!$B$2:$BB$61,146),"")</f>
        <v/>
      </c>
      <c r="B151" s="39">
        <f>IF(A151="","",ROUND(MOD(A151,1)*1000,0))</f>
        <v/>
      </c>
      <c r="C151" s="33" t="n"/>
      <c r="D151" s="40">
        <f>IF(A151="","",INT(A151))</f>
        <v/>
      </c>
      <c r="E151" s="41">
        <f>IF(B151="","",INDEX(Setup!$D$25:$D$84,B151))</f>
        <v/>
      </c>
      <c r="F151" s="42">
        <f>IF(B151="","",INDEX(Setup!$E$25:$E$84,B151))</f>
        <v/>
      </c>
      <c r="G151" s="39">
        <f>IF(B151="","",INDEX(Setup!$I$25:$I$84,B151)&amp;"")</f>
        <v/>
      </c>
      <c r="H151" s="39">
        <f>IF(B151="","",INDEX(Setup!$J$25:$J$84,B151)&amp;"")</f>
        <v/>
      </c>
      <c r="I151" s="39">
        <f>IF(B151="","",INDEX(Setup!$C$25:$C$84,B151))</f>
        <v/>
      </c>
      <c r="J151" s="39" t="n"/>
      <c r="K151" s="37" t="n"/>
      <c r="L151" s="38" t="n"/>
      <c r="M151" s="33" t="n"/>
      <c r="N151" s="33" t="n"/>
      <c r="O151" s="39" t="n"/>
      <c r="P151" s="40">
        <f>IF(A151="","",IF(K151&lt;&gt;"",K151,D151))</f>
        <v/>
      </c>
      <c r="Q151" s="42">
        <f>IF(A151="",0,IF(C151="✗",0,IF(OR(C151="✓",AND(Setup!$D$7="Yes",P151&lt;=TODAY())),IF(L151&lt;&gt;"",L151,F151),0)))</f>
        <v/>
      </c>
      <c r="R151" s="39">
        <f>IF(A151="","",IF(M151&lt;&gt;"",M151,G151))</f>
        <v/>
      </c>
      <c r="S151" s="39">
        <f>IF(A151="","",IF(N151&lt;&gt;"",N151,H151))</f>
        <v/>
      </c>
      <c r="T151" s="39">
        <f>IF(A151="","",IF(C151="✗","Skipped",IF(Q151&gt;0,"Paid","Upcoming")))</f>
        <v/>
      </c>
      <c r="U151" s="42">
        <f>IF(A151="",0,IF(C151="✗",0,IF(L151&lt;&gt;"",L151,F151)))</f>
        <v/>
      </c>
    </row>
    <row r="152">
      <c r="A152" s="32">
        <f>IFERROR(SMALL(Calc!$B$2:$BB$61,147),"")</f>
        <v/>
      </c>
      <c r="B152" s="32">
        <f>IF(A152="","",ROUND(MOD(A152,1)*1000,0))</f>
        <v/>
      </c>
      <c r="C152" s="33" t="n"/>
      <c r="D152" s="34">
        <f>IF(A152="","",INT(A152))</f>
        <v/>
      </c>
      <c r="E152" s="35">
        <f>IF(B152="","",INDEX(Setup!$D$25:$D$84,B152))</f>
        <v/>
      </c>
      <c r="F152" s="36">
        <f>IF(B152="","",INDEX(Setup!$E$25:$E$84,B152))</f>
        <v/>
      </c>
      <c r="G152" s="32">
        <f>IF(B152="","",INDEX(Setup!$I$25:$I$84,B152)&amp;"")</f>
        <v/>
      </c>
      <c r="H152" s="32">
        <f>IF(B152="","",INDEX(Setup!$J$25:$J$84,B152)&amp;"")</f>
        <v/>
      </c>
      <c r="I152" s="32">
        <f>IF(B152="","",INDEX(Setup!$C$25:$C$84,B152))</f>
        <v/>
      </c>
      <c r="J152" s="32" t="n"/>
      <c r="K152" s="37" t="n"/>
      <c r="L152" s="38" t="n"/>
      <c r="M152" s="33" t="n"/>
      <c r="N152" s="33" t="n"/>
      <c r="O152" s="32" t="n"/>
      <c r="P152" s="34">
        <f>IF(A152="","",IF(K152&lt;&gt;"",K152,D152))</f>
        <v/>
      </c>
      <c r="Q152" s="36">
        <f>IF(A152="",0,IF(C152="✗",0,IF(OR(C152="✓",AND(Setup!$D$7="Yes",P152&lt;=TODAY())),IF(L152&lt;&gt;"",L152,F152),0)))</f>
        <v/>
      </c>
      <c r="R152" s="32">
        <f>IF(A152="","",IF(M152&lt;&gt;"",M152,G152))</f>
        <v/>
      </c>
      <c r="S152" s="32">
        <f>IF(A152="","",IF(N152&lt;&gt;"",N152,H152))</f>
        <v/>
      </c>
      <c r="T152" s="32">
        <f>IF(A152="","",IF(C152="✗","Skipped",IF(Q152&gt;0,"Paid","Upcoming")))</f>
        <v/>
      </c>
      <c r="U152" s="36">
        <f>IF(A152="",0,IF(C152="✗",0,IF(L152&lt;&gt;"",L152,F152)))</f>
        <v/>
      </c>
    </row>
    <row r="153">
      <c r="A153" s="39">
        <f>IFERROR(SMALL(Calc!$B$2:$BB$61,148),"")</f>
        <v/>
      </c>
      <c r="B153" s="39">
        <f>IF(A153="","",ROUND(MOD(A153,1)*1000,0))</f>
        <v/>
      </c>
      <c r="C153" s="33" t="n"/>
      <c r="D153" s="40">
        <f>IF(A153="","",INT(A153))</f>
        <v/>
      </c>
      <c r="E153" s="41">
        <f>IF(B153="","",INDEX(Setup!$D$25:$D$84,B153))</f>
        <v/>
      </c>
      <c r="F153" s="42">
        <f>IF(B153="","",INDEX(Setup!$E$25:$E$84,B153))</f>
        <v/>
      </c>
      <c r="G153" s="39">
        <f>IF(B153="","",INDEX(Setup!$I$25:$I$84,B153)&amp;"")</f>
        <v/>
      </c>
      <c r="H153" s="39">
        <f>IF(B153="","",INDEX(Setup!$J$25:$J$84,B153)&amp;"")</f>
        <v/>
      </c>
      <c r="I153" s="39">
        <f>IF(B153="","",INDEX(Setup!$C$25:$C$84,B153))</f>
        <v/>
      </c>
      <c r="J153" s="39" t="n"/>
      <c r="K153" s="37" t="n"/>
      <c r="L153" s="38" t="n"/>
      <c r="M153" s="33" t="n"/>
      <c r="N153" s="33" t="n"/>
      <c r="O153" s="39" t="n"/>
      <c r="P153" s="40">
        <f>IF(A153="","",IF(K153&lt;&gt;"",K153,D153))</f>
        <v/>
      </c>
      <c r="Q153" s="42">
        <f>IF(A153="",0,IF(C153="✗",0,IF(OR(C153="✓",AND(Setup!$D$7="Yes",P153&lt;=TODAY())),IF(L153&lt;&gt;"",L153,F153),0)))</f>
        <v/>
      </c>
      <c r="R153" s="39">
        <f>IF(A153="","",IF(M153&lt;&gt;"",M153,G153))</f>
        <v/>
      </c>
      <c r="S153" s="39">
        <f>IF(A153="","",IF(N153&lt;&gt;"",N153,H153))</f>
        <v/>
      </c>
      <c r="T153" s="39">
        <f>IF(A153="","",IF(C153="✗","Skipped",IF(Q153&gt;0,"Paid","Upcoming")))</f>
        <v/>
      </c>
      <c r="U153" s="42">
        <f>IF(A153="",0,IF(C153="✗",0,IF(L153&lt;&gt;"",L153,F153)))</f>
        <v/>
      </c>
    </row>
    <row r="154">
      <c r="A154" s="32">
        <f>IFERROR(SMALL(Calc!$B$2:$BB$61,149),"")</f>
        <v/>
      </c>
      <c r="B154" s="32">
        <f>IF(A154="","",ROUND(MOD(A154,1)*1000,0))</f>
        <v/>
      </c>
      <c r="C154" s="33" t="n"/>
      <c r="D154" s="34">
        <f>IF(A154="","",INT(A154))</f>
        <v/>
      </c>
      <c r="E154" s="35">
        <f>IF(B154="","",INDEX(Setup!$D$25:$D$84,B154))</f>
        <v/>
      </c>
      <c r="F154" s="36">
        <f>IF(B154="","",INDEX(Setup!$E$25:$E$84,B154))</f>
        <v/>
      </c>
      <c r="G154" s="32">
        <f>IF(B154="","",INDEX(Setup!$I$25:$I$84,B154)&amp;"")</f>
        <v/>
      </c>
      <c r="H154" s="32">
        <f>IF(B154="","",INDEX(Setup!$J$25:$J$84,B154)&amp;"")</f>
        <v/>
      </c>
      <c r="I154" s="32">
        <f>IF(B154="","",INDEX(Setup!$C$25:$C$84,B154))</f>
        <v/>
      </c>
      <c r="J154" s="32" t="n"/>
      <c r="K154" s="37" t="n"/>
      <c r="L154" s="38" t="n"/>
      <c r="M154" s="33" t="n"/>
      <c r="N154" s="33" t="n"/>
      <c r="O154" s="32" t="n"/>
      <c r="P154" s="34">
        <f>IF(A154="","",IF(K154&lt;&gt;"",K154,D154))</f>
        <v/>
      </c>
      <c r="Q154" s="36">
        <f>IF(A154="",0,IF(C154="✗",0,IF(OR(C154="✓",AND(Setup!$D$7="Yes",P154&lt;=TODAY())),IF(L154&lt;&gt;"",L154,F154),0)))</f>
        <v/>
      </c>
      <c r="R154" s="32">
        <f>IF(A154="","",IF(M154&lt;&gt;"",M154,G154))</f>
        <v/>
      </c>
      <c r="S154" s="32">
        <f>IF(A154="","",IF(N154&lt;&gt;"",N154,H154))</f>
        <v/>
      </c>
      <c r="T154" s="32">
        <f>IF(A154="","",IF(C154="✗","Skipped",IF(Q154&gt;0,"Paid","Upcoming")))</f>
        <v/>
      </c>
      <c r="U154" s="36">
        <f>IF(A154="",0,IF(C154="✗",0,IF(L154&lt;&gt;"",L154,F154)))</f>
        <v/>
      </c>
    </row>
    <row r="155">
      <c r="A155" s="39">
        <f>IFERROR(SMALL(Calc!$B$2:$BB$61,150),"")</f>
        <v/>
      </c>
      <c r="B155" s="39">
        <f>IF(A155="","",ROUND(MOD(A155,1)*1000,0))</f>
        <v/>
      </c>
      <c r="C155" s="33" t="n"/>
      <c r="D155" s="40">
        <f>IF(A155="","",INT(A155))</f>
        <v/>
      </c>
      <c r="E155" s="41">
        <f>IF(B155="","",INDEX(Setup!$D$25:$D$84,B155))</f>
        <v/>
      </c>
      <c r="F155" s="42">
        <f>IF(B155="","",INDEX(Setup!$E$25:$E$84,B155))</f>
        <v/>
      </c>
      <c r="G155" s="39">
        <f>IF(B155="","",INDEX(Setup!$I$25:$I$84,B155)&amp;"")</f>
        <v/>
      </c>
      <c r="H155" s="39">
        <f>IF(B155="","",INDEX(Setup!$J$25:$J$84,B155)&amp;"")</f>
        <v/>
      </c>
      <c r="I155" s="39">
        <f>IF(B155="","",INDEX(Setup!$C$25:$C$84,B155))</f>
        <v/>
      </c>
      <c r="J155" s="39" t="n"/>
      <c r="K155" s="37" t="n"/>
      <c r="L155" s="38" t="n"/>
      <c r="M155" s="33" t="n"/>
      <c r="N155" s="33" t="n"/>
      <c r="O155" s="39" t="n"/>
      <c r="P155" s="40">
        <f>IF(A155="","",IF(K155&lt;&gt;"",K155,D155))</f>
        <v/>
      </c>
      <c r="Q155" s="42">
        <f>IF(A155="",0,IF(C155="✗",0,IF(OR(C155="✓",AND(Setup!$D$7="Yes",P155&lt;=TODAY())),IF(L155&lt;&gt;"",L155,F155),0)))</f>
        <v/>
      </c>
      <c r="R155" s="39">
        <f>IF(A155="","",IF(M155&lt;&gt;"",M155,G155))</f>
        <v/>
      </c>
      <c r="S155" s="39">
        <f>IF(A155="","",IF(N155&lt;&gt;"",N155,H155))</f>
        <v/>
      </c>
      <c r="T155" s="39">
        <f>IF(A155="","",IF(C155="✗","Skipped",IF(Q155&gt;0,"Paid","Upcoming")))</f>
        <v/>
      </c>
      <c r="U155" s="42">
        <f>IF(A155="",0,IF(C155="✗",0,IF(L155&lt;&gt;"",L155,F155)))</f>
        <v/>
      </c>
    </row>
    <row r="156">
      <c r="A156" s="32">
        <f>IFERROR(SMALL(Calc!$B$2:$BB$61,151),"")</f>
        <v/>
      </c>
      <c r="B156" s="32">
        <f>IF(A156="","",ROUND(MOD(A156,1)*1000,0))</f>
        <v/>
      </c>
      <c r="C156" s="33" t="n"/>
      <c r="D156" s="34">
        <f>IF(A156="","",INT(A156))</f>
        <v/>
      </c>
      <c r="E156" s="35">
        <f>IF(B156="","",INDEX(Setup!$D$25:$D$84,B156))</f>
        <v/>
      </c>
      <c r="F156" s="36">
        <f>IF(B156="","",INDEX(Setup!$E$25:$E$84,B156))</f>
        <v/>
      </c>
      <c r="G156" s="32">
        <f>IF(B156="","",INDEX(Setup!$I$25:$I$84,B156)&amp;"")</f>
        <v/>
      </c>
      <c r="H156" s="32">
        <f>IF(B156="","",INDEX(Setup!$J$25:$J$84,B156)&amp;"")</f>
        <v/>
      </c>
      <c r="I156" s="32">
        <f>IF(B156="","",INDEX(Setup!$C$25:$C$84,B156))</f>
        <v/>
      </c>
      <c r="J156" s="32" t="n"/>
      <c r="K156" s="37" t="n"/>
      <c r="L156" s="38" t="n"/>
      <c r="M156" s="33" t="n"/>
      <c r="N156" s="33" t="n"/>
      <c r="O156" s="32" t="n"/>
      <c r="P156" s="34">
        <f>IF(A156="","",IF(K156&lt;&gt;"",K156,D156))</f>
        <v/>
      </c>
      <c r="Q156" s="36">
        <f>IF(A156="",0,IF(C156="✗",0,IF(OR(C156="✓",AND(Setup!$D$7="Yes",P156&lt;=TODAY())),IF(L156&lt;&gt;"",L156,F156),0)))</f>
        <v/>
      </c>
      <c r="R156" s="32">
        <f>IF(A156="","",IF(M156&lt;&gt;"",M156,G156))</f>
        <v/>
      </c>
      <c r="S156" s="32">
        <f>IF(A156="","",IF(N156&lt;&gt;"",N156,H156))</f>
        <v/>
      </c>
      <c r="T156" s="32">
        <f>IF(A156="","",IF(C156="✗","Skipped",IF(Q156&gt;0,"Paid","Upcoming")))</f>
        <v/>
      </c>
      <c r="U156" s="36">
        <f>IF(A156="",0,IF(C156="✗",0,IF(L156&lt;&gt;"",L156,F156)))</f>
        <v/>
      </c>
    </row>
    <row r="157">
      <c r="A157" s="39">
        <f>IFERROR(SMALL(Calc!$B$2:$BB$61,152),"")</f>
        <v/>
      </c>
      <c r="B157" s="39">
        <f>IF(A157="","",ROUND(MOD(A157,1)*1000,0))</f>
        <v/>
      </c>
      <c r="C157" s="33" t="n"/>
      <c r="D157" s="40">
        <f>IF(A157="","",INT(A157))</f>
        <v/>
      </c>
      <c r="E157" s="41">
        <f>IF(B157="","",INDEX(Setup!$D$25:$D$84,B157))</f>
        <v/>
      </c>
      <c r="F157" s="42">
        <f>IF(B157="","",INDEX(Setup!$E$25:$E$84,B157))</f>
        <v/>
      </c>
      <c r="G157" s="39">
        <f>IF(B157="","",INDEX(Setup!$I$25:$I$84,B157)&amp;"")</f>
        <v/>
      </c>
      <c r="H157" s="39">
        <f>IF(B157="","",INDEX(Setup!$J$25:$J$84,B157)&amp;"")</f>
        <v/>
      </c>
      <c r="I157" s="39">
        <f>IF(B157="","",INDEX(Setup!$C$25:$C$84,B157))</f>
        <v/>
      </c>
      <c r="J157" s="39" t="n"/>
      <c r="K157" s="37" t="n"/>
      <c r="L157" s="38" t="n"/>
      <c r="M157" s="33" t="n"/>
      <c r="N157" s="33" t="n"/>
      <c r="O157" s="39" t="n"/>
      <c r="P157" s="40">
        <f>IF(A157="","",IF(K157&lt;&gt;"",K157,D157))</f>
        <v/>
      </c>
      <c r="Q157" s="42">
        <f>IF(A157="",0,IF(C157="✗",0,IF(OR(C157="✓",AND(Setup!$D$7="Yes",P157&lt;=TODAY())),IF(L157&lt;&gt;"",L157,F157),0)))</f>
        <v/>
      </c>
      <c r="R157" s="39">
        <f>IF(A157="","",IF(M157&lt;&gt;"",M157,G157))</f>
        <v/>
      </c>
      <c r="S157" s="39">
        <f>IF(A157="","",IF(N157&lt;&gt;"",N157,H157))</f>
        <v/>
      </c>
      <c r="T157" s="39">
        <f>IF(A157="","",IF(C157="✗","Skipped",IF(Q157&gt;0,"Paid","Upcoming")))</f>
        <v/>
      </c>
      <c r="U157" s="42">
        <f>IF(A157="",0,IF(C157="✗",0,IF(L157&lt;&gt;"",L157,F157)))</f>
        <v/>
      </c>
    </row>
    <row r="158">
      <c r="A158" s="32">
        <f>IFERROR(SMALL(Calc!$B$2:$BB$61,153),"")</f>
        <v/>
      </c>
      <c r="B158" s="32">
        <f>IF(A158="","",ROUND(MOD(A158,1)*1000,0))</f>
        <v/>
      </c>
      <c r="C158" s="33" t="n"/>
      <c r="D158" s="34">
        <f>IF(A158="","",INT(A158))</f>
        <v/>
      </c>
      <c r="E158" s="35">
        <f>IF(B158="","",INDEX(Setup!$D$25:$D$84,B158))</f>
        <v/>
      </c>
      <c r="F158" s="36">
        <f>IF(B158="","",INDEX(Setup!$E$25:$E$84,B158))</f>
        <v/>
      </c>
      <c r="G158" s="32">
        <f>IF(B158="","",INDEX(Setup!$I$25:$I$84,B158)&amp;"")</f>
        <v/>
      </c>
      <c r="H158" s="32">
        <f>IF(B158="","",INDEX(Setup!$J$25:$J$84,B158)&amp;"")</f>
        <v/>
      </c>
      <c r="I158" s="32">
        <f>IF(B158="","",INDEX(Setup!$C$25:$C$84,B158))</f>
        <v/>
      </c>
      <c r="J158" s="32" t="n"/>
      <c r="K158" s="37" t="n"/>
      <c r="L158" s="38" t="n"/>
      <c r="M158" s="33" t="n"/>
      <c r="N158" s="33" t="n"/>
      <c r="O158" s="32" t="n"/>
      <c r="P158" s="34">
        <f>IF(A158="","",IF(K158&lt;&gt;"",K158,D158))</f>
        <v/>
      </c>
      <c r="Q158" s="36">
        <f>IF(A158="",0,IF(C158="✗",0,IF(OR(C158="✓",AND(Setup!$D$7="Yes",P158&lt;=TODAY())),IF(L158&lt;&gt;"",L158,F158),0)))</f>
        <v/>
      </c>
      <c r="R158" s="32">
        <f>IF(A158="","",IF(M158&lt;&gt;"",M158,G158))</f>
        <v/>
      </c>
      <c r="S158" s="32">
        <f>IF(A158="","",IF(N158&lt;&gt;"",N158,H158))</f>
        <v/>
      </c>
      <c r="T158" s="32">
        <f>IF(A158="","",IF(C158="✗","Skipped",IF(Q158&gt;0,"Paid","Upcoming")))</f>
        <v/>
      </c>
      <c r="U158" s="36">
        <f>IF(A158="",0,IF(C158="✗",0,IF(L158&lt;&gt;"",L158,F158)))</f>
        <v/>
      </c>
    </row>
    <row r="159">
      <c r="A159" s="39">
        <f>IFERROR(SMALL(Calc!$B$2:$BB$61,154),"")</f>
        <v/>
      </c>
      <c r="B159" s="39">
        <f>IF(A159="","",ROUND(MOD(A159,1)*1000,0))</f>
        <v/>
      </c>
      <c r="C159" s="33" t="n"/>
      <c r="D159" s="40">
        <f>IF(A159="","",INT(A159))</f>
        <v/>
      </c>
      <c r="E159" s="41">
        <f>IF(B159="","",INDEX(Setup!$D$25:$D$84,B159))</f>
        <v/>
      </c>
      <c r="F159" s="42">
        <f>IF(B159="","",INDEX(Setup!$E$25:$E$84,B159))</f>
        <v/>
      </c>
      <c r="G159" s="39">
        <f>IF(B159="","",INDEX(Setup!$I$25:$I$84,B159)&amp;"")</f>
        <v/>
      </c>
      <c r="H159" s="39">
        <f>IF(B159="","",INDEX(Setup!$J$25:$J$84,B159)&amp;"")</f>
        <v/>
      </c>
      <c r="I159" s="39">
        <f>IF(B159="","",INDEX(Setup!$C$25:$C$84,B159))</f>
        <v/>
      </c>
      <c r="J159" s="39" t="n"/>
      <c r="K159" s="37" t="n"/>
      <c r="L159" s="38" t="n"/>
      <c r="M159" s="33" t="n"/>
      <c r="N159" s="33" t="n"/>
      <c r="O159" s="39" t="n"/>
      <c r="P159" s="40">
        <f>IF(A159="","",IF(K159&lt;&gt;"",K159,D159))</f>
        <v/>
      </c>
      <c r="Q159" s="42">
        <f>IF(A159="",0,IF(C159="✗",0,IF(OR(C159="✓",AND(Setup!$D$7="Yes",P159&lt;=TODAY())),IF(L159&lt;&gt;"",L159,F159),0)))</f>
        <v/>
      </c>
      <c r="R159" s="39">
        <f>IF(A159="","",IF(M159&lt;&gt;"",M159,G159))</f>
        <v/>
      </c>
      <c r="S159" s="39">
        <f>IF(A159="","",IF(N159&lt;&gt;"",N159,H159))</f>
        <v/>
      </c>
      <c r="T159" s="39">
        <f>IF(A159="","",IF(C159="✗","Skipped",IF(Q159&gt;0,"Paid","Upcoming")))</f>
        <v/>
      </c>
      <c r="U159" s="42">
        <f>IF(A159="",0,IF(C159="✗",0,IF(L159&lt;&gt;"",L159,F159)))</f>
        <v/>
      </c>
    </row>
    <row r="160">
      <c r="A160" s="32">
        <f>IFERROR(SMALL(Calc!$B$2:$BB$61,155),"")</f>
        <v/>
      </c>
      <c r="B160" s="32">
        <f>IF(A160="","",ROUND(MOD(A160,1)*1000,0))</f>
        <v/>
      </c>
      <c r="C160" s="33" t="n"/>
      <c r="D160" s="34">
        <f>IF(A160="","",INT(A160))</f>
        <v/>
      </c>
      <c r="E160" s="35">
        <f>IF(B160="","",INDEX(Setup!$D$25:$D$84,B160))</f>
        <v/>
      </c>
      <c r="F160" s="36">
        <f>IF(B160="","",INDEX(Setup!$E$25:$E$84,B160))</f>
        <v/>
      </c>
      <c r="G160" s="32">
        <f>IF(B160="","",INDEX(Setup!$I$25:$I$84,B160)&amp;"")</f>
        <v/>
      </c>
      <c r="H160" s="32">
        <f>IF(B160="","",INDEX(Setup!$J$25:$J$84,B160)&amp;"")</f>
        <v/>
      </c>
      <c r="I160" s="32">
        <f>IF(B160="","",INDEX(Setup!$C$25:$C$84,B160))</f>
        <v/>
      </c>
      <c r="J160" s="32" t="n"/>
      <c r="K160" s="37" t="n"/>
      <c r="L160" s="38" t="n"/>
      <c r="M160" s="33" t="n"/>
      <c r="N160" s="33" t="n"/>
      <c r="O160" s="32" t="n"/>
      <c r="P160" s="34">
        <f>IF(A160="","",IF(K160&lt;&gt;"",K160,D160))</f>
        <v/>
      </c>
      <c r="Q160" s="36">
        <f>IF(A160="",0,IF(C160="✗",0,IF(OR(C160="✓",AND(Setup!$D$7="Yes",P160&lt;=TODAY())),IF(L160&lt;&gt;"",L160,F160),0)))</f>
        <v/>
      </c>
      <c r="R160" s="32">
        <f>IF(A160="","",IF(M160&lt;&gt;"",M160,G160))</f>
        <v/>
      </c>
      <c r="S160" s="32">
        <f>IF(A160="","",IF(N160&lt;&gt;"",N160,H160))</f>
        <v/>
      </c>
      <c r="T160" s="32">
        <f>IF(A160="","",IF(C160="✗","Skipped",IF(Q160&gt;0,"Paid","Upcoming")))</f>
        <v/>
      </c>
      <c r="U160" s="36">
        <f>IF(A160="",0,IF(C160="✗",0,IF(L160&lt;&gt;"",L160,F160)))</f>
        <v/>
      </c>
    </row>
    <row r="161">
      <c r="A161" s="39">
        <f>IFERROR(SMALL(Calc!$B$2:$BB$61,156),"")</f>
        <v/>
      </c>
      <c r="B161" s="39">
        <f>IF(A161="","",ROUND(MOD(A161,1)*1000,0))</f>
        <v/>
      </c>
      <c r="C161" s="33" t="n"/>
      <c r="D161" s="40">
        <f>IF(A161="","",INT(A161))</f>
        <v/>
      </c>
      <c r="E161" s="41">
        <f>IF(B161="","",INDEX(Setup!$D$25:$D$84,B161))</f>
        <v/>
      </c>
      <c r="F161" s="42">
        <f>IF(B161="","",INDEX(Setup!$E$25:$E$84,B161))</f>
        <v/>
      </c>
      <c r="G161" s="39">
        <f>IF(B161="","",INDEX(Setup!$I$25:$I$84,B161)&amp;"")</f>
        <v/>
      </c>
      <c r="H161" s="39">
        <f>IF(B161="","",INDEX(Setup!$J$25:$J$84,B161)&amp;"")</f>
        <v/>
      </c>
      <c r="I161" s="39">
        <f>IF(B161="","",INDEX(Setup!$C$25:$C$84,B161))</f>
        <v/>
      </c>
      <c r="J161" s="39" t="n"/>
      <c r="K161" s="37" t="n"/>
      <c r="L161" s="38" t="n"/>
      <c r="M161" s="33" t="n"/>
      <c r="N161" s="33" t="n"/>
      <c r="O161" s="39" t="n"/>
      <c r="P161" s="40">
        <f>IF(A161="","",IF(K161&lt;&gt;"",K161,D161))</f>
        <v/>
      </c>
      <c r="Q161" s="42">
        <f>IF(A161="",0,IF(C161="✗",0,IF(OR(C161="✓",AND(Setup!$D$7="Yes",P161&lt;=TODAY())),IF(L161&lt;&gt;"",L161,F161),0)))</f>
        <v/>
      </c>
      <c r="R161" s="39">
        <f>IF(A161="","",IF(M161&lt;&gt;"",M161,G161))</f>
        <v/>
      </c>
      <c r="S161" s="39">
        <f>IF(A161="","",IF(N161&lt;&gt;"",N161,H161))</f>
        <v/>
      </c>
      <c r="T161" s="39">
        <f>IF(A161="","",IF(C161="✗","Skipped",IF(Q161&gt;0,"Paid","Upcoming")))</f>
        <v/>
      </c>
      <c r="U161" s="42">
        <f>IF(A161="",0,IF(C161="✗",0,IF(L161&lt;&gt;"",L161,F161)))</f>
        <v/>
      </c>
    </row>
    <row r="162">
      <c r="A162" s="32">
        <f>IFERROR(SMALL(Calc!$B$2:$BB$61,157),"")</f>
        <v/>
      </c>
      <c r="B162" s="32">
        <f>IF(A162="","",ROUND(MOD(A162,1)*1000,0))</f>
        <v/>
      </c>
      <c r="C162" s="33" t="n"/>
      <c r="D162" s="34">
        <f>IF(A162="","",INT(A162))</f>
        <v/>
      </c>
      <c r="E162" s="35">
        <f>IF(B162="","",INDEX(Setup!$D$25:$D$84,B162))</f>
        <v/>
      </c>
      <c r="F162" s="36">
        <f>IF(B162="","",INDEX(Setup!$E$25:$E$84,B162))</f>
        <v/>
      </c>
      <c r="G162" s="32">
        <f>IF(B162="","",INDEX(Setup!$I$25:$I$84,B162)&amp;"")</f>
        <v/>
      </c>
      <c r="H162" s="32">
        <f>IF(B162="","",INDEX(Setup!$J$25:$J$84,B162)&amp;"")</f>
        <v/>
      </c>
      <c r="I162" s="32">
        <f>IF(B162="","",INDEX(Setup!$C$25:$C$84,B162))</f>
        <v/>
      </c>
      <c r="J162" s="32" t="n"/>
      <c r="K162" s="37" t="n"/>
      <c r="L162" s="38" t="n"/>
      <c r="M162" s="33" t="n"/>
      <c r="N162" s="33" t="n"/>
      <c r="O162" s="32" t="n"/>
      <c r="P162" s="34">
        <f>IF(A162="","",IF(K162&lt;&gt;"",K162,D162))</f>
        <v/>
      </c>
      <c r="Q162" s="36">
        <f>IF(A162="",0,IF(C162="✗",0,IF(OR(C162="✓",AND(Setup!$D$7="Yes",P162&lt;=TODAY())),IF(L162&lt;&gt;"",L162,F162),0)))</f>
        <v/>
      </c>
      <c r="R162" s="32">
        <f>IF(A162="","",IF(M162&lt;&gt;"",M162,G162))</f>
        <v/>
      </c>
      <c r="S162" s="32">
        <f>IF(A162="","",IF(N162&lt;&gt;"",N162,H162))</f>
        <v/>
      </c>
      <c r="T162" s="32">
        <f>IF(A162="","",IF(C162="✗","Skipped",IF(Q162&gt;0,"Paid","Upcoming")))</f>
        <v/>
      </c>
      <c r="U162" s="36">
        <f>IF(A162="",0,IF(C162="✗",0,IF(L162&lt;&gt;"",L162,F162)))</f>
        <v/>
      </c>
    </row>
    <row r="163">
      <c r="A163" s="39">
        <f>IFERROR(SMALL(Calc!$B$2:$BB$61,158),"")</f>
        <v/>
      </c>
      <c r="B163" s="39">
        <f>IF(A163="","",ROUND(MOD(A163,1)*1000,0))</f>
        <v/>
      </c>
      <c r="C163" s="33" t="n"/>
      <c r="D163" s="40">
        <f>IF(A163="","",INT(A163))</f>
        <v/>
      </c>
      <c r="E163" s="41">
        <f>IF(B163="","",INDEX(Setup!$D$25:$D$84,B163))</f>
        <v/>
      </c>
      <c r="F163" s="42">
        <f>IF(B163="","",INDEX(Setup!$E$25:$E$84,B163))</f>
        <v/>
      </c>
      <c r="G163" s="39">
        <f>IF(B163="","",INDEX(Setup!$I$25:$I$84,B163)&amp;"")</f>
        <v/>
      </c>
      <c r="H163" s="39">
        <f>IF(B163="","",INDEX(Setup!$J$25:$J$84,B163)&amp;"")</f>
        <v/>
      </c>
      <c r="I163" s="39">
        <f>IF(B163="","",INDEX(Setup!$C$25:$C$84,B163))</f>
        <v/>
      </c>
      <c r="J163" s="39" t="n"/>
      <c r="K163" s="37" t="n"/>
      <c r="L163" s="38" t="n"/>
      <c r="M163" s="33" t="n"/>
      <c r="N163" s="33" t="n"/>
      <c r="O163" s="39" t="n"/>
      <c r="P163" s="40">
        <f>IF(A163="","",IF(K163&lt;&gt;"",K163,D163))</f>
        <v/>
      </c>
      <c r="Q163" s="42">
        <f>IF(A163="",0,IF(C163="✗",0,IF(OR(C163="✓",AND(Setup!$D$7="Yes",P163&lt;=TODAY())),IF(L163&lt;&gt;"",L163,F163),0)))</f>
        <v/>
      </c>
      <c r="R163" s="39">
        <f>IF(A163="","",IF(M163&lt;&gt;"",M163,G163))</f>
        <v/>
      </c>
      <c r="S163" s="39">
        <f>IF(A163="","",IF(N163&lt;&gt;"",N163,H163))</f>
        <v/>
      </c>
      <c r="T163" s="39">
        <f>IF(A163="","",IF(C163="✗","Skipped",IF(Q163&gt;0,"Paid","Upcoming")))</f>
        <v/>
      </c>
      <c r="U163" s="42">
        <f>IF(A163="",0,IF(C163="✗",0,IF(L163&lt;&gt;"",L163,F163)))</f>
        <v/>
      </c>
    </row>
    <row r="164">
      <c r="A164" s="32">
        <f>IFERROR(SMALL(Calc!$B$2:$BB$61,159),"")</f>
        <v/>
      </c>
      <c r="B164" s="32">
        <f>IF(A164="","",ROUND(MOD(A164,1)*1000,0))</f>
        <v/>
      </c>
      <c r="C164" s="33" t="n"/>
      <c r="D164" s="34">
        <f>IF(A164="","",INT(A164))</f>
        <v/>
      </c>
      <c r="E164" s="35">
        <f>IF(B164="","",INDEX(Setup!$D$25:$D$84,B164))</f>
        <v/>
      </c>
      <c r="F164" s="36">
        <f>IF(B164="","",INDEX(Setup!$E$25:$E$84,B164))</f>
        <v/>
      </c>
      <c r="G164" s="32">
        <f>IF(B164="","",INDEX(Setup!$I$25:$I$84,B164)&amp;"")</f>
        <v/>
      </c>
      <c r="H164" s="32">
        <f>IF(B164="","",INDEX(Setup!$J$25:$J$84,B164)&amp;"")</f>
        <v/>
      </c>
      <c r="I164" s="32">
        <f>IF(B164="","",INDEX(Setup!$C$25:$C$84,B164))</f>
        <v/>
      </c>
      <c r="J164" s="32" t="n"/>
      <c r="K164" s="37" t="n"/>
      <c r="L164" s="38" t="n"/>
      <c r="M164" s="33" t="n"/>
      <c r="N164" s="33" t="n"/>
      <c r="O164" s="32" t="n"/>
      <c r="P164" s="34">
        <f>IF(A164="","",IF(K164&lt;&gt;"",K164,D164))</f>
        <v/>
      </c>
      <c r="Q164" s="36">
        <f>IF(A164="",0,IF(C164="✗",0,IF(OR(C164="✓",AND(Setup!$D$7="Yes",P164&lt;=TODAY())),IF(L164&lt;&gt;"",L164,F164),0)))</f>
        <v/>
      </c>
      <c r="R164" s="32">
        <f>IF(A164="","",IF(M164&lt;&gt;"",M164,G164))</f>
        <v/>
      </c>
      <c r="S164" s="32">
        <f>IF(A164="","",IF(N164&lt;&gt;"",N164,H164))</f>
        <v/>
      </c>
      <c r="T164" s="32">
        <f>IF(A164="","",IF(C164="✗","Skipped",IF(Q164&gt;0,"Paid","Upcoming")))</f>
        <v/>
      </c>
      <c r="U164" s="36">
        <f>IF(A164="",0,IF(C164="✗",0,IF(L164&lt;&gt;"",L164,F164)))</f>
        <v/>
      </c>
    </row>
    <row r="165">
      <c r="A165" s="39">
        <f>IFERROR(SMALL(Calc!$B$2:$BB$61,160),"")</f>
        <v/>
      </c>
      <c r="B165" s="39">
        <f>IF(A165="","",ROUND(MOD(A165,1)*1000,0))</f>
        <v/>
      </c>
      <c r="C165" s="33" t="n"/>
      <c r="D165" s="40">
        <f>IF(A165="","",INT(A165))</f>
        <v/>
      </c>
      <c r="E165" s="41">
        <f>IF(B165="","",INDEX(Setup!$D$25:$D$84,B165))</f>
        <v/>
      </c>
      <c r="F165" s="42">
        <f>IF(B165="","",INDEX(Setup!$E$25:$E$84,B165))</f>
        <v/>
      </c>
      <c r="G165" s="39">
        <f>IF(B165="","",INDEX(Setup!$I$25:$I$84,B165)&amp;"")</f>
        <v/>
      </c>
      <c r="H165" s="39">
        <f>IF(B165="","",INDEX(Setup!$J$25:$J$84,B165)&amp;"")</f>
        <v/>
      </c>
      <c r="I165" s="39">
        <f>IF(B165="","",INDEX(Setup!$C$25:$C$84,B165))</f>
        <v/>
      </c>
      <c r="J165" s="39" t="n"/>
      <c r="K165" s="37" t="n"/>
      <c r="L165" s="38" t="n"/>
      <c r="M165" s="33" t="n"/>
      <c r="N165" s="33" t="n"/>
      <c r="O165" s="39" t="n"/>
      <c r="P165" s="40">
        <f>IF(A165="","",IF(K165&lt;&gt;"",K165,D165))</f>
        <v/>
      </c>
      <c r="Q165" s="42">
        <f>IF(A165="",0,IF(C165="✗",0,IF(OR(C165="✓",AND(Setup!$D$7="Yes",P165&lt;=TODAY())),IF(L165&lt;&gt;"",L165,F165),0)))</f>
        <v/>
      </c>
      <c r="R165" s="39">
        <f>IF(A165="","",IF(M165&lt;&gt;"",M165,G165))</f>
        <v/>
      </c>
      <c r="S165" s="39">
        <f>IF(A165="","",IF(N165&lt;&gt;"",N165,H165))</f>
        <v/>
      </c>
      <c r="T165" s="39">
        <f>IF(A165="","",IF(C165="✗","Skipped",IF(Q165&gt;0,"Paid","Upcoming")))</f>
        <v/>
      </c>
      <c r="U165" s="42">
        <f>IF(A165="",0,IF(C165="✗",0,IF(L165&lt;&gt;"",L165,F165)))</f>
        <v/>
      </c>
    </row>
    <row r="166">
      <c r="A166" s="32">
        <f>IFERROR(SMALL(Calc!$B$2:$BB$61,161),"")</f>
        <v/>
      </c>
      <c r="B166" s="32">
        <f>IF(A166="","",ROUND(MOD(A166,1)*1000,0))</f>
        <v/>
      </c>
      <c r="C166" s="33" t="n"/>
      <c r="D166" s="34">
        <f>IF(A166="","",INT(A166))</f>
        <v/>
      </c>
      <c r="E166" s="35">
        <f>IF(B166="","",INDEX(Setup!$D$25:$D$84,B166))</f>
        <v/>
      </c>
      <c r="F166" s="36">
        <f>IF(B166="","",INDEX(Setup!$E$25:$E$84,B166))</f>
        <v/>
      </c>
      <c r="G166" s="32">
        <f>IF(B166="","",INDEX(Setup!$I$25:$I$84,B166)&amp;"")</f>
        <v/>
      </c>
      <c r="H166" s="32">
        <f>IF(B166="","",INDEX(Setup!$J$25:$J$84,B166)&amp;"")</f>
        <v/>
      </c>
      <c r="I166" s="32">
        <f>IF(B166="","",INDEX(Setup!$C$25:$C$84,B166))</f>
        <v/>
      </c>
      <c r="J166" s="32" t="n"/>
      <c r="K166" s="37" t="n"/>
      <c r="L166" s="38" t="n"/>
      <c r="M166" s="33" t="n"/>
      <c r="N166" s="33" t="n"/>
      <c r="O166" s="32" t="n"/>
      <c r="P166" s="34">
        <f>IF(A166="","",IF(K166&lt;&gt;"",K166,D166))</f>
        <v/>
      </c>
      <c r="Q166" s="36">
        <f>IF(A166="",0,IF(C166="✗",0,IF(OR(C166="✓",AND(Setup!$D$7="Yes",P166&lt;=TODAY())),IF(L166&lt;&gt;"",L166,F166),0)))</f>
        <v/>
      </c>
      <c r="R166" s="32">
        <f>IF(A166="","",IF(M166&lt;&gt;"",M166,G166))</f>
        <v/>
      </c>
      <c r="S166" s="32">
        <f>IF(A166="","",IF(N166&lt;&gt;"",N166,H166))</f>
        <v/>
      </c>
      <c r="T166" s="32">
        <f>IF(A166="","",IF(C166="✗","Skipped",IF(Q166&gt;0,"Paid","Upcoming")))</f>
        <v/>
      </c>
      <c r="U166" s="36">
        <f>IF(A166="",0,IF(C166="✗",0,IF(L166&lt;&gt;"",L166,F166)))</f>
        <v/>
      </c>
    </row>
    <row r="167">
      <c r="A167" s="39">
        <f>IFERROR(SMALL(Calc!$B$2:$BB$61,162),"")</f>
        <v/>
      </c>
      <c r="B167" s="39">
        <f>IF(A167="","",ROUND(MOD(A167,1)*1000,0))</f>
        <v/>
      </c>
      <c r="C167" s="33" t="n"/>
      <c r="D167" s="40">
        <f>IF(A167="","",INT(A167))</f>
        <v/>
      </c>
      <c r="E167" s="41">
        <f>IF(B167="","",INDEX(Setup!$D$25:$D$84,B167))</f>
        <v/>
      </c>
      <c r="F167" s="42">
        <f>IF(B167="","",INDEX(Setup!$E$25:$E$84,B167))</f>
        <v/>
      </c>
      <c r="G167" s="39">
        <f>IF(B167="","",INDEX(Setup!$I$25:$I$84,B167)&amp;"")</f>
        <v/>
      </c>
      <c r="H167" s="39">
        <f>IF(B167="","",INDEX(Setup!$J$25:$J$84,B167)&amp;"")</f>
        <v/>
      </c>
      <c r="I167" s="39">
        <f>IF(B167="","",INDEX(Setup!$C$25:$C$84,B167))</f>
        <v/>
      </c>
      <c r="J167" s="39" t="n"/>
      <c r="K167" s="37" t="n"/>
      <c r="L167" s="38" t="n"/>
      <c r="M167" s="33" t="n"/>
      <c r="N167" s="33" t="n"/>
      <c r="O167" s="39" t="n"/>
      <c r="P167" s="40">
        <f>IF(A167="","",IF(K167&lt;&gt;"",K167,D167))</f>
        <v/>
      </c>
      <c r="Q167" s="42">
        <f>IF(A167="",0,IF(C167="✗",0,IF(OR(C167="✓",AND(Setup!$D$7="Yes",P167&lt;=TODAY())),IF(L167&lt;&gt;"",L167,F167),0)))</f>
        <v/>
      </c>
      <c r="R167" s="39">
        <f>IF(A167="","",IF(M167&lt;&gt;"",M167,G167))</f>
        <v/>
      </c>
      <c r="S167" s="39">
        <f>IF(A167="","",IF(N167&lt;&gt;"",N167,H167))</f>
        <v/>
      </c>
      <c r="T167" s="39">
        <f>IF(A167="","",IF(C167="✗","Skipped",IF(Q167&gt;0,"Paid","Upcoming")))</f>
        <v/>
      </c>
      <c r="U167" s="42">
        <f>IF(A167="",0,IF(C167="✗",0,IF(L167&lt;&gt;"",L167,F167)))</f>
        <v/>
      </c>
    </row>
    <row r="168">
      <c r="A168" s="32">
        <f>IFERROR(SMALL(Calc!$B$2:$BB$61,163),"")</f>
        <v/>
      </c>
      <c r="B168" s="32">
        <f>IF(A168="","",ROUND(MOD(A168,1)*1000,0))</f>
        <v/>
      </c>
      <c r="C168" s="33" t="n"/>
      <c r="D168" s="34">
        <f>IF(A168="","",INT(A168))</f>
        <v/>
      </c>
      <c r="E168" s="35">
        <f>IF(B168="","",INDEX(Setup!$D$25:$D$84,B168))</f>
        <v/>
      </c>
      <c r="F168" s="36">
        <f>IF(B168="","",INDEX(Setup!$E$25:$E$84,B168))</f>
        <v/>
      </c>
      <c r="G168" s="32">
        <f>IF(B168="","",INDEX(Setup!$I$25:$I$84,B168)&amp;"")</f>
        <v/>
      </c>
      <c r="H168" s="32">
        <f>IF(B168="","",INDEX(Setup!$J$25:$J$84,B168)&amp;"")</f>
        <v/>
      </c>
      <c r="I168" s="32">
        <f>IF(B168="","",INDEX(Setup!$C$25:$C$84,B168))</f>
        <v/>
      </c>
      <c r="J168" s="32" t="n"/>
      <c r="K168" s="37" t="n"/>
      <c r="L168" s="38" t="n"/>
      <c r="M168" s="33" t="n"/>
      <c r="N168" s="33" t="n"/>
      <c r="O168" s="32" t="n"/>
      <c r="P168" s="34">
        <f>IF(A168="","",IF(K168&lt;&gt;"",K168,D168))</f>
        <v/>
      </c>
      <c r="Q168" s="36">
        <f>IF(A168="",0,IF(C168="✗",0,IF(OR(C168="✓",AND(Setup!$D$7="Yes",P168&lt;=TODAY())),IF(L168&lt;&gt;"",L168,F168),0)))</f>
        <v/>
      </c>
      <c r="R168" s="32">
        <f>IF(A168="","",IF(M168&lt;&gt;"",M168,G168))</f>
        <v/>
      </c>
      <c r="S168" s="32">
        <f>IF(A168="","",IF(N168&lt;&gt;"",N168,H168))</f>
        <v/>
      </c>
      <c r="T168" s="32">
        <f>IF(A168="","",IF(C168="✗","Skipped",IF(Q168&gt;0,"Paid","Upcoming")))</f>
        <v/>
      </c>
      <c r="U168" s="36">
        <f>IF(A168="",0,IF(C168="✗",0,IF(L168&lt;&gt;"",L168,F168)))</f>
        <v/>
      </c>
    </row>
    <row r="169">
      <c r="A169" s="39">
        <f>IFERROR(SMALL(Calc!$B$2:$BB$61,164),"")</f>
        <v/>
      </c>
      <c r="B169" s="39">
        <f>IF(A169="","",ROUND(MOD(A169,1)*1000,0))</f>
        <v/>
      </c>
      <c r="C169" s="33" t="n"/>
      <c r="D169" s="40">
        <f>IF(A169="","",INT(A169))</f>
        <v/>
      </c>
      <c r="E169" s="41">
        <f>IF(B169="","",INDEX(Setup!$D$25:$D$84,B169))</f>
        <v/>
      </c>
      <c r="F169" s="42">
        <f>IF(B169="","",INDEX(Setup!$E$25:$E$84,B169))</f>
        <v/>
      </c>
      <c r="G169" s="39">
        <f>IF(B169="","",INDEX(Setup!$I$25:$I$84,B169)&amp;"")</f>
        <v/>
      </c>
      <c r="H169" s="39">
        <f>IF(B169="","",INDEX(Setup!$J$25:$J$84,B169)&amp;"")</f>
        <v/>
      </c>
      <c r="I169" s="39">
        <f>IF(B169="","",INDEX(Setup!$C$25:$C$84,B169))</f>
        <v/>
      </c>
      <c r="J169" s="39" t="n"/>
      <c r="K169" s="37" t="n"/>
      <c r="L169" s="38" t="n"/>
      <c r="M169" s="33" t="n"/>
      <c r="N169" s="33" t="n"/>
      <c r="O169" s="39" t="n"/>
      <c r="P169" s="40">
        <f>IF(A169="","",IF(K169&lt;&gt;"",K169,D169))</f>
        <v/>
      </c>
      <c r="Q169" s="42">
        <f>IF(A169="",0,IF(C169="✗",0,IF(OR(C169="✓",AND(Setup!$D$7="Yes",P169&lt;=TODAY())),IF(L169&lt;&gt;"",L169,F169),0)))</f>
        <v/>
      </c>
      <c r="R169" s="39">
        <f>IF(A169="","",IF(M169&lt;&gt;"",M169,G169))</f>
        <v/>
      </c>
      <c r="S169" s="39">
        <f>IF(A169="","",IF(N169&lt;&gt;"",N169,H169))</f>
        <v/>
      </c>
      <c r="T169" s="39">
        <f>IF(A169="","",IF(C169="✗","Skipped",IF(Q169&gt;0,"Paid","Upcoming")))</f>
        <v/>
      </c>
      <c r="U169" s="42">
        <f>IF(A169="",0,IF(C169="✗",0,IF(L169&lt;&gt;"",L169,F169)))</f>
        <v/>
      </c>
    </row>
    <row r="170">
      <c r="A170" s="32">
        <f>IFERROR(SMALL(Calc!$B$2:$BB$61,165),"")</f>
        <v/>
      </c>
      <c r="B170" s="32">
        <f>IF(A170="","",ROUND(MOD(A170,1)*1000,0))</f>
        <v/>
      </c>
      <c r="C170" s="33" t="n"/>
      <c r="D170" s="34">
        <f>IF(A170="","",INT(A170))</f>
        <v/>
      </c>
      <c r="E170" s="35">
        <f>IF(B170="","",INDEX(Setup!$D$25:$D$84,B170))</f>
        <v/>
      </c>
      <c r="F170" s="36">
        <f>IF(B170="","",INDEX(Setup!$E$25:$E$84,B170))</f>
        <v/>
      </c>
      <c r="G170" s="32">
        <f>IF(B170="","",INDEX(Setup!$I$25:$I$84,B170)&amp;"")</f>
        <v/>
      </c>
      <c r="H170" s="32">
        <f>IF(B170="","",INDEX(Setup!$J$25:$J$84,B170)&amp;"")</f>
        <v/>
      </c>
      <c r="I170" s="32">
        <f>IF(B170="","",INDEX(Setup!$C$25:$C$84,B170))</f>
        <v/>
      </c>
      <c r="J170" s="32" t="n"/>
      <c r="K170" s="37" t="n"/>
      <c r="L170" s="38" t="n"/>
      <c r="M170" s="33" t="n"/>
      <c r="N170" s="33" t="n"/>
      <c r="O170" s="32" t="n"/>
      <c r="P170" s="34">
        <f>IF(A170="","",IF(K170&lt;&gt;"",K170,D170))</f>
        <v/>
      </c>
      <c r="Q170" s="36">
        <f>IF(A170="",0,IF(C170="✗",0,IF(OR(C170="✓",AND(Setup!$D$7="Yes",P170&lt;=TODAY())),IF(L170&lt;&gt;"",L170,F170),0)))</f>
        <v/>
      </c>
      <c r="R170" s="32">
        <f>IF(A170="","",IF(M170&lt;&gt;"",M170,G170))</f>
        <v/>
      </c>
      <c r="S170" s="32">
        <f>IF(A170="","",IF(N170&lt;&gt;"",N170,H170))</f>
        <v/>
      </c>
      <c r="T170" s="32">
        <f>IF(A170="","",IF(C170="✗","Skipped",IF(Q170&gt;0,"Paid","Upcoming")))</f>
        <v/>
      </c>
      <c r="U170" s="36">
        <f>IF(A170="",0,IF(C170="✗",0,IF(L170&lt;&gt;"",L170,F170)))</f>
        <v/>
      </c>
    </row>
    <row r="171">
      <c r="A171" s="39">
        <f>IFERROR(SMALL(Calc!$B$2:$BB$61,166),"")</f>
        <v/>
      </c>
      <c r="B171" s="39">
        <f>IF(A171="","",ROUND(MOD(A171,1)*1000,0))</f>
        <v/>
      </c>
      <c r="C171" s="33" t="n"/>
      <c r="D171" s="40">
        <f>IF(A171="","",INT(A171))</f>
        <v/>
      </c>
      <c r="E171" s="41">
        <f>IF(B171="","",INDEX(Setup!$D$25:$D$84,B171))</f>
        <v/>
      </c>
      <c r="F171" s="42">
        <f>IF(B171="","",INDEX(Setup!$E$25:$E$84,B171))</f>
        <v/>
      </c>
      <c r="G171" s="39">
        <f>IF(B171="","",INDEX(Setup!$I$25:$I$84,B171)&amp;"")</f>
        <v/>
      </c>
      <c r="H171" s="39">
        <f>IF(B171="","",INDEX(Setup!$J$25:$J$84,B171)&amp;"")</f>
        <v/>
      </c>
      <c r="I171" s="39">
        <f>IF(B171="","",INDEX(Setup!$C$25:$C$84,B171))</f>
        <v/>
      </c>
      <c r="J171" s="39" t="n"/>
      <c r="K171" s="37" t="n"/>
      <c r="L171" s="38" t="n"/>
      <c r="M171" s="33" t="n"/>
      <c r="N171" s="33" t="n"/>
      <c r="O171" s="39" t="n"/>
      <c r="P171" s="40">
        <f>IF(A171="","",IF(K171&lt;&gt;"",K171,D171))</f>
        <v/>
      </c>
      <c r="Q171" s="42">
        <f>IF(A171="",0,IF(C171="✗",0,IF(OR(C171="✓",AND(Setup!$D$7="Yes",P171&lt;=TODAY())),IF(L171&lt;&gt;"",L171,F171),0)))</f>
        <v/>
      </c>
      <c r="R171" s="39">
        <f>IF(A171="","",IF(M171&lt;&gt;"",M171,G171))</f>
        <v/>
      </c>
      <c r="S171" s="39">
        <f>IF(A171="","",IF(N171&lt;&gt;"",N171,H171))</f>
        <v/>
      </c>
      <c r="T171" s="39">
        <f>IF(A171="","",IF(C171="✗","Skipped",IF(Q171&gt;0,"Paid","Upcoming")))</f>
        <v/>
      </c>
      <c r="U171" s="42">
        <f>IF(A171="",0,IF(C171="✗",0,IF(L171&lt;&gt;"",L171,F171)))</f>
        <v/>
      </c>
    </row>
    <row r="172">
      <c r="A172" s="32">
        <f>IFERROR(SMALL(Calc!$B$2:$BB$61,167),"")</f>
        <v/>
      </c>
      <c r="B172" s="32">
        <f>IF(A172="","",ROUND(MOD(A172,1)*1000,0))</f>
        <v/>
      </c>
      <c r="C172" s="33" t="n"/>
      <c r="D172" s="34">
        <f>IF(A172="","",INT(A172))</f>
        <v/>
      </c>
      <c r="E172" s="35">
        <f>IF(B172="","",INDEX(Setup!$D$25:$D$84,B172))</f>
        <v/>
      </c>
      <c r="F172" s="36">
        <f>IF(B172="","",INDEX(Setup!$E$25:$E$84,B172))</f>
        <v/>
      </c>
      <c r="G172" s="32">
        <f>IF(B172="","",INDEX(Setup!$I$25:$I$84,B172)&amp;"")</f>
        <v/>
      </c>
      <c r="H172" s="32">
        <f>IF(B172="","",INDEX(Setup!$J$25:$J$84,B172)&amp;"")</f>
        <v/>
      </c>
      <c r="I172" s="32">
        <f>IF(B172="","",INDEX(Setup!$C$25:$C$84,B172))</f>
        <v/>
      </c>
      <c r="J172" s="32" t="n"/>
      <c r="K172" s="37" t="n"/>
      <c r="L172" s="38" t="n"/>
      <c r="M172" s="33" t="n"/>
      <c r="N172" s="33" t="n"/>
      <c r="O172" s="32" t="n"/>
      <c r="P172" s="34">
        <f>IF(A172="","",IF(K172&lt;&gt;"",K172,D172))</f>
        <v/>
      </c>
      <c r="Q172" s="36">
        <f>IF(A172="",0,IF(C172="✗",0,IF(OR(C172="✓",AND(Setup!$D$7="Yes",P172&lt;=TODAY())),IF(L172&lt;&gt;"",L172,F172),0)))</f>
        <v/>
      </c>
      <c r="R172" s="32">
        <f>IF(A172="","",IF(M172&lt;&gt;"",M172,G172))</f>
        <v/>
      </c>
      <c r="S172" s="32">
        <f>IF(A172="","",IF(N172&lt;&gt;"",N172,H172))</f>
        <v/>
      </c>
      <c r="T172" s="32">
        <f>IF(A172="","",IF(C172="✗","Skipped",IF(Q172&gt;0,"Paid","Upcoming")))</f>
        <v/>
      </c>
      <c r="U172" s="36">
        <f>IF(A172="",0,IF(C172="✗",0,IF(L172&lt;&gt;"",L172,F172)))</f>
        <v/>
      </c>
    </row>
    <row r="173">
      <c r="A173" s="39">
        <f>IFERROR(SMALL(Calc!$B$2:$BB$61,168),"")</f>
        <v/>
      </c>
      <c r="B173" s="39">
        <f>IF(A173="","",ROUND(MOD(A173,1)*1000,0))</f>
        <v/>
      </c>
      <c r="C173" s="33" t="n"/>
      <c r="D173" s="40">
        <f>IF(A173="","",INT(A173))</f>
        <v/>
      </c>
      <c r="E173" s="41">
        <f>IF(B173="","",INDEX(Setup!$D$25:$D$84,B173))</f>
        <v/>
      </c>
      <c r="F173" s="42">
        <f>IF(B173="","",INDEX(Setup!$E$25:$E$84,B173))</f>
        <v/>
      </c>
      <c r="G173" s="39">
        <f>IF(B173="","",INDEX(Setup!$I$25:$I$84,B173)&amp;"")</f>
        <v/>
      </c>
      <c r="H173" s="39">
        <f>IF(B173="","",INDEX(Setup!$J$25:$J$84,B173)&amp;"")</f>
        <v/>
      </c>
      <c r="I173" s="39">
        <f>IF(B173="","",INDEX(Setup!$C$25:$C$84,B173))</f>
        <v/>
      </c>
      <c r="J173" s="39" t="n"/>
      <c r="K173" s="37" t="n"/>
      <c r="L173" s="38" t="n"/>
      <c r="M173" s="33" t="n"/>
      <c r="N173" s="33" t="n"/>
      <c r="O173" s="39" t="n"/>
      <c r="P173" s="40">
        <f>IF(A173="","",IF(K173&lt;&gt;"",K173,D173))</f>
        <v/>
      </c>
      <c r="Q173" s="42">
        <f>IF(A173="",0,IF(C173="✗",0,IF(OR(C173="✓",AND(Setup!$D$7="Yes",P173&lt;=TODAY())),IF(L173&lt;&gt;"",L173,F173),0)))</f>
        <v/>
      </c>
      <c r="R173" s="39">
        <f>IF(A173="","",IF(M173&lt;&gt;"",M173,G173))</f>
        <v/>
      </c>
      <c r="S173" s="39">
        <f>IF(A173="","",IF(N173&lt;&gt;"",N173,H173))</f>
        <v/>
      </c>
      <c r="T173" s="39">
        <f>IF(A173="","",IF(C173="✗","Skipped",IF(Q173&gt;0,"Paid","Upcoming")))</f>
        <v/>
      </c>
      <c r="U173" s="42">
        <f>IF(A173="",0,IF(C173="✗",0,IF(L173&lt;&gt;"",L173,F173)))</f>
        <v/>
      </c>
    </row>
    <row r="174">
      <c r="A174" s="32">
        <f>IFERROR(SMALL(Calc!$B$2:$BB$61,169),"")</f>
        <v/>
      </c>
      <c r="B174" s="32">
        <f>IF(A174="","",ROUND(MOD(A174,1)*1000,0))</f>
        <v/>
      </c>
      <c r="C174" s="33" t="n"/>
      <c r="D174" s="34">
        <f>IF(A174="","",INT(A174))</f>
        <v/>
      </c>
      <c r="E174" s="35">
        <f>IF(B174="","",INDEX(Setup!$D$25:$D$84,B174))</f>
        <v/>
      </c>
      <c r="F174" s="36">
        <f>IF(B174="","",INDEX(Setup!$E$25:$E$84,B174))</f>
        <v/>
      </c>
      <c r="G174" s="32">
        <f>IF(B174="","",INDEX(Setup!$I$25:$I$84,B174)&amp;"")</f>
        <v/>
      </c>
      <c r="H174" s="32">
        <f>IF(B174="","",INDEX(Setup!$J$25:$J$84,B174)&amp;"")</f>
        <v/>
      </c>
      <c r="I174" s="32">
        <f>IF(B174="","",INDEX(Setup!$C$25:$C$84,B174))</f>
        <v/>
      </c>
      <c r="J174" s="32" t="n"/>
      <c r="K174" s="37" t="n"/>
      <c r="L174" s="38" t="n"/>
      <c r="M174" s="33" t="n"/>
      <c r="N174" s="33" t="n"/>
      <c r="O174" s="32" t="n"/>
      <c r="P174" s="34">
        <f>IF(A174="","",IF(K174&lt;&gt;"",K174,D174))</f>
        <v/>
      </c>
      <c r="Q174" s="36">
        <f>IF(A174="",0,IF(C174="✗",0,IF(OR(C174="✓",AND(Setup!$D$7="Yes",P174&lt;=TODAY())),IF(L174&lt;&gt;"",L174,F174),0)))</f>
        <v/>
      </c>
      <c r="R174" s="32">
        <f>IF(A174="","",IF(M174&lt;&gt;"",M174,G174))</f>
        <v/>
      </c>
      <c r="S174" s="32">
        <f>IF(A174="","",IF(N174&lt;&gt;"",N174,H174))</f>
        <v/>
      </c>
      <c r="T174" s="32">
        <f>IF(A174="","",IF(C174="✗","Skipped",IF(Q174&gt;0,"Paid","Upcoming")))</f>
        <v/>
      </c>
      <c r="U174" s="36">
        <f>IF(A174="",0,IF(C174="✗",0,IF(L174&lt;&gt;"",L174,F174)))</f>
        <v/>
      </c>
    </row>
    <row r="175">
      <c r="A175" s="39">
        <f>IFERROR(SMALL(Calc!$B$2:$BB$61,170),"")</f>
        <v/>
      </c>
      <c r="B175" s="39">
        <f>IF(A175="","",ROUND(MOD(A175,1)*1000,0))</f>
        <v/>
      </c>
      <c r="C175" s="33" t="n"/>
      <c r="D175" s="40">
        <f>IF(A175="","",INT(A175))</f>
        <v/>
      </c>
      <c r="E175" s="41">
        <f>IF(B175="","",INDEX(Setup!$D$25:$D$84,B175))</f>
        <v/>
      </c>
      <c r="F175" s="42">
        <f>IF(B175="","",INDEX(Setup!$E$25:$E$84,B175))</f>
        <v/>
      </c>
      <c r="G175" s="39">
        <f>IF(B175="","",INDEX(Setup!$I$25:$I$84,B175)&amp;"")</f>
        <v/>
      </c>
      <c r="H175" s="39">
        <f>IF(B175="","",INDEX(Setup!$J$25:$J$84,B175)&amp;"")</f>
        <v/>
      </c>
      <c r="I175" s="39">
        <f>IF(B175="","",INDEX(Setup!$C$25:$C$84,B175))</f>
        <v/>
      </c>
      <c r="J175" s="39" t="n"/>
      <c r="K175" s="37" t="n"/>
      <c r="L175" s="38" t="n"/>
      <c r="M175" s="33" t="n"/>
      <c r="N175" s="33" t="n"/>
      <c r="O175" s="39" t="n"/>
      <c r="P175" s="40">
        <f>IF(A175="","",IF(K175&lt;&gt;"",K175,D175))</f>
        <v/>
      </c>
      <c r="Q175" s="42">
        <f>IF(A175="",0,IF(C175="✗",0,IF(OR(C175="✓",AND(Setup!$D$7="Yes",P175&lt;=TODAY())),IF(L175&lt;&gt;"",L175,F175),0)))</f>
        <v/>
      </c>
      <c r="R175" s="39">
        <f>IF(A175="","",IF(M175&lt;&gt;"",M175,G175))</f>
        <v/>
      </c>
      <c r="S175" s="39">
        <f>IF(A175="","",IF(N175&lt;&gt;"",N175,H175))</f>
        <v/>
      </c>
      <c r="T175" s="39">
        <f>IF(A175="","",IF(C175="✗","Skipped",IF(Q175&gt;0,"Paid","Upcoming")))</f>
        <v/>
      </c>
      <c r="U175" s="42">
        <f>IF(A175="",0,IF(C175="✗",0,IF(L175&lt;&gt;"",L175,F175)))</f>
        <v/>
      </c>
    </row>
    <row r="176">
      <c r="A176" s="32">
        <f>IFERROR(SMALL(Calc!$B$2:$BB$61,171),"")</f>
        <v/>
      </c>
      <c r="B176" s="32">
        <f>IF(A176="","",ROUND(MOD(A176,1)*1000,0))</f>
        <v/>
      </c>
      <c r="C176" s="33" t="n"/>
      <c r="D176" s="34">
        <f>IF(A176="","",INT(A176))</f>
        <v/>
      </c>
      <c r="E176" s="35">
        <f>IF(B176="","",INDEX(Setup!$D$25:$D$84,B176))</f>
        <v/>
      </c>
      <c r="F176" s="36">
        <f>IF(B176="","",INDEX(Setup!$E$25:$E$84,B176))</f>
        <v/>
      </c>
      <c r="G176" s="32">
        <f>IF(B176="","",INDEX(Setup!$I$25:$I$84,B176)&amp;"")</f>
        <v/>
      </c>
      <c r="H176" s="32">
        <f>IF(B176="","",INDEX(Setup!$J$25:$J$84,B176)&amp;"")</f>
        <v/>
      </c>
      <c r="I176" s="32">
        <f>IF(B176="","",INDEX(Setup!$C$25:$C$84,B176))</f>
        <v/>
      </c>
      <c r="J176" s="32" t="n"/>
      <c r="K176" s="37" t="n"/>
      <c r="L176" s="38" t="n"/>
      <c r="M176" s="33" t="n"/>
      <c r="N176" s="33" t="n"/>
      <c r="O176" s="32" t="n"/>
      <c r="P176" s="34">
        <f>IF(A176="","",IF(K176&lt;&gt;"",K176,D176))</f>
        <v/>
      </c>
      <c r="Q176" s="36">
        <f>IF(A176="",0,IF(C176="✗",0,IF(OR(C176="✓",AND(Setup!$D$7="Yes",P176&lt;=TODAY())),IF(L176&lt;&gt;"",L176,F176),0)))</f>
        <v/>
      </c>
      <c r="R176" s="32">
        <f>IF(A176="","",IF(M176&lt;&gt;"",M176,G176))</f>
        <v/>
      </c>
      <c r="S176" s="32">
        <f>IF(A176="","",IF(N176&lt;&gt;"",N176,H176))</f>
        <v/>
      </c>
      <c r="T176" s="32">
        <f>IF(A176="","",IF(C176="✗","Skipped",IF(Q176&gt;0,"Paid","Upcoming")))</f>
        <v/>
      </c>
      <c r="U176" s="36">
        <f>IF(A176="",0,IF(C176="✗",0,IF(L176&lt;&gt;"",L176,F176)))</f>
        <v/>
      </c>
    </row>
    <row r="177">
      <c r="A177" s="39">
        <f>IFERROR(SMALL(Calc!$B$2:$BB$61,172),"")</f>
        <v/>
      </c>
      <c r="B177" s="39">
        <f>IF(A177="","",ROUND(MOD(A177,1)*1000,0))</f>
        <v/>
      </c>
      <c r="C177" s="33" t="n"/>
      <c r="D177" s="40">
        <f>IF(A177="","",INT(A177))</f>
        <v/>
      </c>
      <c r="E177" s="41">
        <f>IF(B177="","",INDEX(Setup!$D$25:$D$84,B177))</f>
        <v/>
      </c>
      <c r="F177" s="42">
        <f>IF(B177="","",INDEX(Setup!$E$25:$E$84,B177))</f>
        <v/>
      </c>
      <c r="G177" s="39">
        <f>IF(B177="","",INDEX(Setup!$I$25:$I$84,B177)&amp;"")</f>
        <v/>
      </c>
      <c r="H177" s="39">
        <f>IF(B177="","",INDEX(Setup!$J$25:$J$84,B177)&amp;"")</f>
        <v/>
      </c>
      <c r="I177" s="39">
        <f>IF(B177="","",INDEX(Setup!$C$25:$C$84,B177))</f>
        <v/>
      </c>
      <c r="J177" s="39" t="n"/>
      <c r="K177" s="37" t="n"/>
      <c r="L177" s="38" t="n"/>
      <c r="M177" s="33" t="n"/>
      <c r="N177" s="33" t="n"/>
      <c r="O177" s="39" t="n"/>
      <c r="P177" s="40">
        <f>IF(A177="","",IF(K177&lt;&gt;"",K177,D177))</f>
        <v/>
      </c>
      <c r="Q177" s="42">
        <f>IF(A177="",0,IF(C177="✗",0,IF(OR(C177="✓",AND(Setup!$D$7="Yes",P177&lt;=TODAY())),IF(L177&lt;&gt;"",L177,F177),0)))</f>
        <v/>
      </c>
      <c r="R177" s="39">
        <f>IF(A177="","",IF(M177&lt;&gt;"",M177,G177))</f>
        <v/>
      </c>
      <c r="S177" s="39">
        <f>IF(A177="","",IF(N177&lt;&gt;"",N177,H177))</f>
        <v/>
      </c>
      <c r="T177" s="39">
        <f>IF(A177="","",IF(C177="✗","Skipped",IF(Q177&gt;0,"Paid","Upcoming")))</f>
        <v/>
      </c>
      <c r="U177" s="42">
        <f>IF(A177="",0,IF(C177="✗",0,IF(L177&lt;&gt;"",L177,F177)))</f>
        <v/>
      </c>
    </row>
    <row r="178">
      <c r="A178" s="32">
        <f>IFERROR(SMALL(Calc!$B$2:$BB$61,173),"")</f>
        <v/>
      </c>
      <c r="B178" s="32">
        <f>IF(A178="","",ROUND(MOD(A178,1)*1000,0))</f>
        <v/>
      </c>
      <c r="C178" s="33" t="n"/>
      <c r="D178" s="34">
        <f>IF(A178="","",INT(A178))</f>
        <v/>
      </c>
      <c r="E178" s="35">
        <f>IF(B178="","",INDEX(Setup!$D$25:$D$84,B178))</f>
        <v/>
      </c>
      <c r="F178" s="36">
        <f>IF(B178="","",INDEX(Setup!$E$25:$E$84,B178))</f>
        <v/>
      </c>
      <c r="G178" s="32">
        <f>IF(B178="","",INDEX(Setup!$I$25:$I$84,B178)&amp;"")</f>
        <v/>
      </c>
      <c r="H178" s="32">
        <f>IF(B178="","",INDEX(Setup!$J$25:$J$84,B178)&amp;"")</f>
        <v/>
      </c>
      <c r="I178" s="32">
        <f>IF(B178="","",INDEX(Setup!$C$25:$C$84,B178))</f>
        <v/>
      </c>
      <c r="J178" s="32" t="n"/>
      <c r="K178" s="37" t="n"/>
      <c r="L178" s="38" t="n"/>
      <c r="M178" s="33" t="n"/>
      <c r="N178" s="33" t="n"/>
      <c r="O178" s="32" t="n"/>
      <c r="P178" s="34">
        <f>IF(A178="","",IF(K178&lt;&gt;"",K178,D178))</f>
        <v/>
      </c>
      <c r="Q178" s="36">
        <f>IF(A178="",0,IF(C178="✗",0,IF(OR(C178="✓",AND(Setup!$D$7="Yes",P178&lt;=TODAY())),IF(L178&lt;&gt;"",L178,F178),0)))</f>
        <v/>
      </c>
      <c r="R178" s="32">
        <f>IF(A178="","",IF(M178&lt;&gt;"",M178,G178))</f>
        <v/>
      </c>
      <c r="S178" s="32">
        <f>IF(A178="","",IF(N178&lt;&gt;"",N178,H178))</f>
        <v/>
      </c>
      <c r="T178" s="32">
        <f>IF(A178="","",IF(C178="✗","Skipped",IF(Q178&gt;0,"Paid","Upcoming")))</f>
        <v/>
      </c>
      <c r="U178" s="36">
        <f>IF(A178="",0,IF(C178="✗",0,IF(L178&lt;&gt;"",L178,F178)))</f>
        <v/>
      </c>
    </row>
    <row r="179">
      <c r="A179" s="39">
        <f>IFERROR(SMALL(Calc!$B$2:$BB$61,174),"")</f>
        <v/>
      </c>
      <c r="B179" s="39">
        <f>IF(A179="","",ROUND(MOD(A179,1)*1000,0))</f>
        <v/>
      </c>
      <c r="C179" s="33" t="n"/>
      <c r="D179" s="40">
        <f>IF(A179="","",INT(A179))</f>
        <v/>
      </c>
      <c r="E179" s="41">
        <f>IF(B179="","",INDEX(Setup!$D$25:$D$84,B179))</f>
        <v/>
      </c>
      <c r="F179" s="42">
        <f>IF(B179="","",INDEX(Setup!$E$25:$E$84,B179))</f>
        <v/>
      </c>
      <c r="G179" s="39">
        <f>IF(B179="","",INDEX(Setup!$I$25:$I$84,B179)&amp;"")</f>
        <v/>
      </c>
      <c r="H179" s="39">
        <f>IF(B179="","",INDEX(Setup!$J$25:$J$84,B179)&amp;"")</f>
        <v/>
      </c>
      <c r="I179" s="39">
        <f>IF(B179="","",INDEX(Setup!$C$25:$C$84,B179))</f>
        <v/>
      </c>
      <c r="J179" s="39" t="n"/>
      <c r="K179" s="37" t="n"/>
      <c r="L179" s="38" t="n"/>
      <c r="M179" s="33" t="n"/>
      <c r="N179" s="33" t="n"/>
      <c r="O179" s="39" t="n"/>
      <c r="P179" s="40">
        <f>IF(A179="","",IF(K179&lt;&gt;"",K179,D179))</f>
        <v/>
      </c>
      <c r="Q179" s="42">
        <f>IF(A179="",0,IF(C179="✗",0,IF(OR(C179="✓",AND(Setup!$D$7="Yes",P179&lt;=TODAY())),IF(L179&lt;&gt;"",L179,F179),0)))</f>
        <v/>
      </c>
      <c r="R179" s="39">
        <f>IF(A179="","",IF(M179&lt;&gt;"",M179,G179))</f>
        <v/>
      </c>
      <c r="S179" s="39">
        <f>IF(A179="","",IF(N179&lt;&gt;"",N179,H179))</f>
        <v/>
      </c>
      <c r="T179" s="39">
        <f>IF(A179="","",IF(C179="✗","Skipped",IF(Q179&gt;0,"Paid","Upcoming")))</f>
        <v/>
      </c>
      <c r="U179" s="42">
        <f>IF(A179="",0,IF(C179="✗",0,IF(L179&lt;&gt;"",L179,F179)))</f>
        <v/>
      </c>
    </row>
    <row r="180">
      <c r="A180" s="32">
        <f>IFERROR(SMALL(Calc!$B$2:$BB$61,175),"")</f>
        <v/>
      </c>
      <c r="B180" s="32">
        <f>IF(A180="","",ROUND(MOD(A180,1)*1000,0))</f>
        <v/>
      </c>
      <c r="C180" s="33" t="n"/>
      <c r="D180" s="34">
        <f>IF(A180="","",INT(A180))</f>
        <v/>
      </c>
      <c r="E180" s="35">
        <f>IF(B180="","",INDEX(Setup!$D$25:$D$84,B180))</f>
        <v/>
      </c>
      <c r="F180" s="36">
        <f>IF(B180="","",INDEX(Setup!$E$25:$E$84,B180))</f>
        <v/>
      </c>
      <c r="G180" s="32">
        <f>IF(B180="","",INDEX(Setup!$I$25:$I$84,B180)&amp;"")</f>
        <v/>
      </c>
      <c r="H180" s="32">
        <f>IF(B180="","",INDEX(Setup!$J$25:$J$84,B180)&amp;"")</f>
        <v/>
      </c>
      <c r="I180" s="32">
        <f>IF(B180="","",INDEX(Setup!$C$25:$C$84,B180))</f>
        <v/>
      </c>
      <c r="J180" s="32" t="n"/>
      <c r="K180" s="37" t="n"/>
      <c r="L180" s="38" t="n"/>
      <c r="M180" s="33" t="n"/>
      <c r="N180" s="33" t="n"/>
      <c r="O180" s="32" t="n"/>
      <c r="P180" s="34">
        <f>IF(A180="","",IF(K180&lt;&gt;"",K180,D180))</f>
        <v/>
      </c>
      <c r="Q180" s="36">
        <f>IF(A180="",0,IF(C180="✗",0,IF(OR(C180="✓",AND(Setup!$D$7="Yes",P180&lt;=TODAY())),IF(L180&lt;&gt;"",L180,F180),0)))</f>
        <v/>
      </c>
      <c r="R180" s="32">
        <f>IF(A180="","",IF(M180&lt;&gt;"",M180,G180))</f>
        <v/>
      </c>
      <c r="S180" s="32">
        <f>IF(A180="","",IF(N180&lt;&gt;"",N180,H180))</f>
        <v/>
      </c>
      <c r="T180" s="32">
        <f>IF(A180="","",IF(C180="✗","Skipped",IF(Q180&gt;0,"Paid","Upcoming")))</f>
        <v/>
      </c>
      <c r="U180" s="36">
        <f>IF(A180="",0,IF(C180="✗",0,IF(L180&lt;&gt;"",L180,F180)))</f>
        <v/>
      </c>
    </row>
    <row r="181">
      <c r="A181" s="39">
        <f>IFERROR(SMALL(Calc!$B$2:$BB$61,176),"")</f>
        <v/>
      </c>
      <c r="B181" s="39">
        <f>IF(A181="","",ROUND(MOD(A181,1)*1000,0))</f>
        <v/>
      </c>
      <c r="C181" s="33" t="n"/>
      <c r="D181" s="40">
        <f>IF(A181="","",INT(A181))</f>
        <v/>
      </c>
      <c r="E181" s="41">
        <f>IF(B181="","",INDEX(Setup!$D$25:$D$84,B181))</f>
        <v/>
      </c>
      <c r="F181" s="42">
        <f>IF(B181="","",INDEX(Setup!$E$25:$E$84,B181))</f>
        <v/>
      </c>
      <c r="G181" s="39">
        <f>IF(B181="","",INDEX(Setup!$I$25:$I$84,B181)&amp;"")</f>
        <v/>
      </c>
      <c r="H181" s="39">
        <f>IF(B181="","",INDEX(Setup!$J$25:$J$84,B181)&amp;"")</f>
        <v/>
      </c>
      <c r="I181" s="39">
        <f>IF(B181="","",INDEX(Setup!$C$25:$C$84,B181))</f>
        <v/>
      </c>
      <c r="J181" s="39" t="n"/>
      <c r="K181" s="37" t="n"/>
      <c r="L181" s="38" t="n"/>
      <c r="M181" s="33" t="n"/>
      <c r="N181" s="33" t="n"/>
      <c r="O181" s="39" t="n"/>
      <c r="P181" s="40">
        <f>IF(A181="","",IF(K181&lt;&gt;"",K181,D181))</f>
        <v/>
      </c>
      <c r="Q181" s="42">
        <f>IF(A181="",0,IF(C181="✗",0,IF(OR(C181="✓",AND(Setup!$D$7="Yes",P181&lt;=TODAY())),IF(L181&lt;&gt;"",L181,F181),0)))</f>
        <v/>
      </c>
      <c r="R181" s="39">
        <f>IF(A181="","",IF(M181&lt;&gt;"",M181,G181))</f>
        <v/>
      </c>
      <c r="S181" s="39">
        <f>IF(A181="","",IF(N181&lt;&gt;"",N181,H181))</f>
        <v/>
      </c>
      <c r="T181" s="39">
        <f>IF(A181="","",IF(C181="✗","Skipped",IF(Q181&gt;0,"Paid","Upcoming")))</f>
        <v/>
      </c>
      <c r="U181" s="42">
        <f>IF(A181="",0,IF(C181="✗",0,IF(L181&lt;&gt;"",L181,F181)))</f>
        <v/>
      </c>
    </row>
    <row r="182">
      <c r="A182" s="32">
        <f>IFERROR(SMALL(Calc!$B$2:$BB$61,177),"")</f>
        <v/>
      </c>
      <c r="B182" s="32">
        <f>IF(A182="","",ROUND(MOD(A182,1)*1000,0))</f>
        <v/>
      </c>
      <c r="C182" s="33" t="n"/>
      <c r="D182" s="34">
        <f>IF(A182="","",INT(A182))</f>
        <v/>
      </c>
      <c r="E182" s="35">
        <f>IF(B182="","",INDEX(Setup!$D$25:$D$84,B182))</f>
        <v/>
      </c>
      <c r="F182" s="36">
        <f>IF(B182="","",INDEX(Setup!$E$25:$E$84,B182))</f>
        <v/>
      </c>
      <c r="G182" s="32">
        <f>IF(B182="","",INDEX(Setup!$I$25:$I$84,B182)&amp;"")</f>
        <v/>
      </c>
      <c r="H182" s="32">
        <f>IF(B182="","",INDEX(Setup!$J$25:$J$84,B182)&amp;"")</f>
        <v/>
      </c>
      <c r="I182" s="32">
        <f>IF(B182="","",INDEX(Setup!$C$25:$C$84,B182))</f>
        <v/>
      </c>
      <c r="J182" s="32" t="n"/>
      <c r="K182" s="37" t="n"/>
      <c r="L182" s="38" t="n"/>
      <c r="M182" s="33" t="n"/>
      <c r="N182" s="33" t="n"/>
      <c r="O182" s="32" t="n"/>
      <c r="P182" s="34">
        <f>IF(A182="","",IF(K182&lt;&gt;"",K182,D182))</f>
        <v/>
      </c>
      <c r="Q182" s="36">
        <f>IF(A182="",0,IF(C182="✗",0,IF(OR(C182="✓",AND(Setup!$D$7="Yes",P182&lt;=TODAY())),IF(L182&lt;&gt;"",L182,F182),0)))</f>
        <v/>
      </c>
      <c r="R182" s="32">
        <f>IF(A182="","",IF(M182&lt;&gt;"",M182,G182))</f>
        <v/>
      </c>
      <c r="S182" s="32">
        <f>IF(A182="","",IF(N182&lt;&gt;"",N182,H182))</f>
        <v/>
      </c>
      <c r="T182" s="32">
        <f>IF(A182="","",IF(C182="✗","Skipped",IF(Q182&gt;0,"Paid","Upcoming")))</f>
        <v/>
      </c>
      <c r="U182" s="36">
        <f>IF(A182="",0,IF(C182="✗",0,IF(L182&lt;&gt;"",L182,F182)))</f>
        <v/>
      </c>
    </row>
    <row r="183">
      <c r="A183" s="39">
        <f>IFERROR(SMALL(Calc!$B$2:$BB$61,178),"")</f>
        <v/>
      </c>
      <c r="B183" s="39">
        <f>IF(A183="","",ROUND(MOD(A183,1)*1000,0))</f>
        <v/>
      </c>
      <c r="C183" s="33" t="n"/>
      <c r="D183" s="40">
        <f>IF(A183="","",INT(A183))</f>
        <v/>
      </c>
      <c r="E183" s="41">
        <f>IF(B183="","",INDEX(Setup!$D$25:$D$84,B183))</f>
        <v/>
      </c>
      <c r="F183" s="42">
        <f>IF(B183="","",INDEX(Setup!$E$25:$E$84,B183))</f>
        <v/>
      </c>
      <c r="G183" s="39">
        <f>IF(B183="","",INDEX(Setup!$I$25:$I$84,B183)&amp;"")</f>
        <v/>
      </c>
      <c r="H183" s="39">
        <f>IF(B183="","",INDEX(Setup!$J$25:$J$84,B183)&amp;"")</f>
        <v/>
      </c>
      <c r="I183" s="39">
        <f>IF(B183="","",INDEX(Setup!$C$25:$C$84,B183))</f>
        <v/>
      </c>
      <c r="J183" s="39" t="n"/>
      <c r="K183" s="37" t="n"/>
      <c r="L183" s="38" t="n"/>
      <c r="M183" s="33" t="n"/>
      <c r="N183" s="33" t="n"/>
      <c r="O183" s="39" t="n"/>
      <c r="P183" s="40">
        <f>IF(A183="","",IF(K183&lt;&gt;"",K183,D183))</f>
        <v/>
      </c>
      <c r="Q183" s="42">
        <f>IF(A183="",0,IF(C183="✗",0,IF(OR(C183="✓",AND(Setup!$D$7="Yes",P183&lt;=TODAY())),IF(L183&lt;&gt;"",L183,F183),0)))</f>
        <v/>
      </c>
      <c r="R183" s="39">
        <f>IF(A183="","",IF(M183&lt;&gt;"",M183,G183))</f>
        <v/>
      </c>
      <c r="S183" s="39">
        <f>IF(A183="","",IF(N183&lt;&gt;"",N183,H183))</f>
        <v/>
      </c>
      <c r="T183" s="39">
        <f>IF(A183="","",IF(C183="✗","Skipped",IF(Q183&gt;0,"Paid","Upcoming")))</f>
        <v/>
      </c>
      <c r="U183" s="42">
        <f>IF(A183="",0,IF(C183="✗",0,IF(L183&lt;&gt;"",L183,F183)))</f>
        <v/>
      </c>
    </row>
    <row r="184">
      <c r="A184" s="32">
        <f>IFERROR(SMALL(Calc!$B$2:$BB$61,179),"")</f>
        <v/>
      </c>
      <c r="B184" s="32">
        <f>IF(A184="","",ROUND(MOD(A184,1)*1000,0))</f>
        <v/>
      </c>
      <c r="C184" s="33" t="n"/>
      <c r="D184" s="34">
        <f>IF(A184="","",INT(A184))</f>
        <v/>
      </c>
      <c r="E184" s="35">
        <f>IF(B184="","",INDEX(Setup!$D$25:$D$84,B184))</f>
        <v/>
      </c>
      <c r="F184" s="36">
        <f>IF(B184="","",INDEX(Setup!$E$25:$E$84,B184))</f>
        <v/>
      </c>
      <c r="G184" s="32">
        <f>IF(B184="","",INDEX(Setup!$I$25:$I$84,B184)&amp;"")</f>
        <v/>
      </c>
      <c r="H184" s="32">
        <f>IF(B184="","",INDEX(Setup!$J$25:$J$84,B184)&amp;"")</f>
        <v/>
      </c>
      <c r="I184" s="32">
        <f>IF(B184="","",INDEX(Setup!$C$25:$C$84,B184))</f>
        <v/>
      </c>
      <c r="J184" s="32" t="n"/>
      <c r="K184" s="37" t="n"/>
      <c r="L184" s="38" t="n"/>
      <c r="M184" s="33" t="n"/>
      <c r="N184" s="33" t="n"/>
      <c r="O184" s="32" t="n"/>
      <c r="P184" s="34">
        <f>IF(A184="","",IF(K184&lt;&gt;"",K184,D184))</f>
        <v/>
      </c>
      <c r="Q184" s="36">
        <f>IF(A184="",0,IF(C184="✗",0,IF(OR(C184="✓",AND(Setup!$D$7="Yes",P184&lt;=TODAY())),IF(L184&lt;&gt;"",L184,F184),0)))</f>
        <v/>
      </c>
      <c r="R184" s="32">
        <f>IF(A184="","",IF(M184&lt;&gt;"",M184,G184))</f>
        <v/>
      </c>
      <c r="S184" s="32">
        <f>IF(A184="","",IF(N184&lt;&gt;"",N184,H184))</f>
        <v/>
      </c>
      <c r="T184" s="32">
        <f>IF(A184="","",IF(C184="✗","Skipped",IF(Q184&gt;0,"Paid","Upcoming")))</f>
        <v/>
      </c>
      <c r="U184" s="36">
        <f>IF(A184="",0,IF(C184="✗",0,IF(L184&lt;&gt;"",L184,F184)))</f>
        <v/>
      </c>
    </row>
    <row r="185">
      <c r="A185" s="39">
        <f>IFERROR(SMALL(Calc!$B$2:$BB$61,180),"")</f>
        <v/>
      </c>
      <c r="B185" s="39">
        <f>IF(A185="","",ROUND(MOD(A185,1)*1000,0))</f>
        <v/>
      </c>
      <c r="C185" s="33" t="n"/>
      <c r="D185" s="40">
        <f>IF(A185="","",INT(A185))</f>
        <v/>
      </c>
      <c r="E185" s="41">
        <f>IF(B185="","",INDEX(Setup!$D$25:$D$84,B185))</f>
        <v/>
      </c>
      <c r="F185" s="42">
        <f>IF(B185="","",INDEX(Setup!$E$25:$E$84,B185))</f>
        <v/>
      </c>
      <c r="G185" s="39">
        <f>IF(B185="","",INDEX(Setup!$I$25:$I$84,B185)&amp;"")</f>
        <v/>
      </c>
      <c r="H185" s="39">
        <f>IF(B185="","",INDEX(Setup!$J$25:$J$84,B185)&amp;"")</f>
        <v/>
      </c>
      <c r="I185" s="39">
        <f>IF(B185="","",INDEX(Setup!$C$25:$C$84,B185))</f>
        <v/>
      </c>
      <c r="J185" s="39" t="n"/>
      <c r="K185" s="37" t="n"/>
      <c r="L185" s="38" t="n"/>
      <c r="M185" s="33" t="n"/>
      <c r="N185" s="33" t="n"/>
      <c r="O185" s="39" t="n"/>
      <c r="P185" s="40">
        <f>IF(A185="","",IF(K185&lt;&gt;"",K185,D185))</f>
        <v/>
      </c>
      <c r="Q185" s="42">
        <f>IF(A185="",0,IF(C185="✗",0,IF(OR(C185="✓",AND(Setup!$D$7="Yes",P185&lt;=TODAY())),IF(L185&lt;&gt;"",L185,F185),0)))</f>
        <v/>
      </c>
      <c r="R185" s="39">
        <f>IF(A185="","",IF(M185&lt;&gt;"",M185,G185))</f>
        <v/>
      </c>
      <c r="S185" s="39">
        <f>IF(A185="","",IF(N185&lt;&gt;"",N185,H185))</f>
        <v/>
      </c>
      <c r="T185" s="39">
        <f>IF(A185="","",IF(C185="✗","Skipped",IF(Q185&gt;0,"Paid","Upcoming")))</f>
        <v/>
      </c>
      <c r="U185" s="42">
        <f>IF(A185="",0,IF(C185="✗",0,IF(L185&lt;&gt;"",L185,F185)))</f>
        <v/>
      </c>
    </row>
    <row r="186">
      <c r="A186" s="32">
        <f>IFERROR(SMALL(Calc!$B$2:$BB$61,181),"")</f>
        <v/>
      </c>
      <c r="B186" s="32">
        <f>IF(A186="","",ROUND(MOD(A186,1)*1000,0))</f>
        <v/>
      </c>
      <c r="C186" s="33" t="n"/>
      <c r="D186" s="34">
        <f>IF(A186="","",INT(A186))</f>
        <v/>
      </c>
      <c r="E186" s="35">
        <f>IF(B186="","",INDEX(Setup!$D$25:$D$84,B186))</f>
        <v/>
      </c>
      <c r="F186" s="36">
        <f>IF(B186="","",INDEX(Setup!$E$25:$E$84,B186))</f>
        <v/>
      </c>
      <c r="G186" s="32">
        <f>IF(B186="","",INDEX(Setup!$I$25:$I$84,B186)&amp;"")</f>
        <v/>
      </c>
      <c r="H186" s="32">
        <f>IF(B186="","",INDEX(Setup!$J$25:$J$84,B186)&amp;"")</f>
        <v/>
      </c>
      <c r="I186" s="32">
        <f>IF(B186="","",INDEX(Setup!$C$25:$C$84,B186))</f>
        <v/>
      </c>
      <c r="J186" s="32" t="n"/>
      <c r="K186" s="37" t="n"/>
      <c r="L186" s="38" t="n"/>
      <c r="M186" s="33" t="n"/>
      <c r="N186" s="33" t="n"/>
      <c r="O186" s="32" t="n"/>
      <c r="P186" s="34">
        <f>IF(A186="","",IF(K186&lt;&gt;"",K186,D186))</f>
        <v/>
      </c>
      <c r="Q186" s="36">
        <f>IF(A186="",0,IF(C186="✗",0,IF(OR(C186="✓",AND(Setup!$D$7="Yes",P186&lt;=TODAY())),IF(L186&lt;&gt;"",L186,F186),0)))</f>
        <v/>
      </c>
      <c r="R186" s="32">
        <f>IF(A186="","",IF(M186&lt;&gt;"",M186,G186))</f>
        <v/>
      </c>
      <c r="S186" s="32">
        <f>IF(A186="","",IF(N186&lt;&gt;"",N186,H186))</f>
        <v/>
      </c>
      <c r="T186" s="32">
        <f>IF(A186="","",IF(C186="✗","Skipped",IF(Q186&gt;0,"Paid","Upcoming")))</f>
        <v/>
      </c>
      <c r="U186" s="36">
        <f>IF(A186="",0,IF(C186="✗",0,IF(L186&lt;&gt;"",L186,F186)))</f>
        <v/>
      </c>
    </row>
    <row r="187">
      <c r="A187" s="39">
        <f>IFERROR(SMALL(Calc!$B$2:$BB$61,182),"")</f>
        <v/>
      </c>
      <c r="B187" s="39">
        <f>IF(A187="","",ROUND(MOD(A187,1)*1000,0))</f>
        <v/>
      </c>
      <c r="C187" s="33" t="n"/>
      <c r="D187" s="40">
        <f>IF(A187="","",INT(A187))</f>
        <v/>
      </c>
      <c r="E187" s="41">
        <f>IF(B187="","",INDEX(Setup!$D$25:$D$84,B187))</f>
        <v/>
      </c>
      <c r="F187" s="42">
        <f>IF(B187="","",INDEX(Setup!$E$25:$E$84,B187))</f>
        <v/>
      </c>
      <c r="G187" s="39">
        <f>IF(B187="","",INDEX(Setup!$I$25:$I$84,B187)&amp;"")</f>
        <v/>
      </c>
      <c r="H187" s="39">
        <f>IF(B187="","",INDEX(Setup!$J$25:$J$84,B187)&amp;"")</f>
        <v/>
      </c>
      <c r="I187" s="39">
        <f>IF(B187="","",INDEX(Setup!$C$25:$C$84,B187))</f>
        <v/>
      </c>
      <c r="J187" s="39" t="n"/>
      <c r="K187" s="37" t="n"/>
      <c r="L187" s="38" t="n"/>
      <c r="M187" s="33" t="n"/>
      <c r="N187" s="33" t="n"/>
      <c r="O187" s="39" t="n"/>
      <c r="P187" s="40">
        <f>IF(A187="","",IF(K187&lt;&gt;"",K187,D187))</f>
        <v/>
      </c>
      <c r="Q187" s="42">
        <f>IF(A187="",0,IF(C187="✗",0,IF(OR(C187="✓",AND(Setup!$D$7="Yes",P187&lt;=TODAY())),IF(L187&lt;&gt;"",L187,F187),0)))</f>
        <v/>
      </c>
      <c r="R187" s="39">
        <f>IF(A187="","",IF(M187&lt;&gt;"",M187,G187))</f>
        <v/>
      </c>
      <c r="S187" s="39">
        <f>IF(A187="","",IF(N187&lt;&gt;"",N187,H187))</f>
        <v/>
      </c>
      <c r="T187" s="39">
        <f>IF(A187="","",IF(C187="✗","Skipped",IF(Q187&gt;0,"Paid","Upcoming")))</f>
        <v/>
      </c>
      <c r="U187" s="42">
        <f>IF(A187="",0,IF(C187="✗",0,IF(L187&lt;&gt;"",L187,F187)))</f>
        <v/>
      </c>
    </row>
    <row r="188">
      <c r="A188" s="32">
        <f>IFERROR(SMALL(Calc!$B$2:$BB$61,183),"")</f>
        <v/>
      </c>
      <c r="B188" s="32">
        <f>IF(A188="","",ROUND(MOD(A188,1)*1000,0))</f>
        <v/>
      </c>
      <c r="C188" s="33" t="n"/>
      <c r="D188" s="34">
        <f>IF(A188="","",INT(A188))</f>
        <v/>
      </c>
      <c r="E188" s="35">
        <f>IF(B188="","",INDEX(Setup!$D$25:$D$84,B188))</f>
        <v/>
      </c>
      <c r="F188" s="36">
        <f>IF(B188="","",INDEX(Setup!$E$25:$E$84,B188))</f>
        <v/>
      </c>
      <c r="G188" s="32">
        <f>IF(B188="","",INDEX(Setup!$I$25:$I$84,B188)&amp;"")</f>
        <v/>
      </c>
      <c r="H188" s="32">
        <f>IF(B188="","",INDEX(Setup!$J$25:$J$84,B188)&amp;"")</f>
        <v/>
      </c>
      <c r="I188" s="32">
        <f>IF(B188="","",INDEX(Setup!$C$25:$C$84,B188))</f>
        <v/>
      </c>
      <c r="J188" s="32" t="n"/>
      <c r="K188" s="37" t="n"/>
      <c r="L188" s="38" t="n"/>
      <c r="M188" s="33" t="n"/>
      <c r="N188" s="33" t="n"/>
      <c r="O188" s="32" t="n"/>
      <c r="P188" s="34">
        <f>IF(A188="","",IF(K188&lt;&gt;"",K188,D188))</f>
        <v/>
      </c>
      <c r="Q188" s="36">
        <f>IF(A188="",0,IF(C188="✗",0,IF(OR(C188="✓",AND(Setup!$D$7="Yes",P188&lt;=TODAY())),IF(L188&lt;&gt;"",L188,F188),0)))</f>
        <v/>
      </c>
      <c r="R188" s="32">
        <f>IF(A188="","",IF(M188&lt;&gt;"",M188,G188))</f>
        <v/>
      </c>
      <c r="S188" s="32">
        <f>IF(A188="","",IF(N188&lt;&gt;"",N188,H188))</f>
        <v/>
      </c>
      <c r="T188" s="32">
        <f>IF(A188="","",IF(C188="✗","Skipped",IF(Q188&gt;0,"Paid","Upcoming")))</f>
        <v/>
      </c>
      <c r="U188" s="36">
        <f>IF(A188="",0,IF(C188="✗",0,IF(L188&lt;&gt;"",L188,F188)))</f>
        <v/>
      </c>
    </row>
    <row r="189">
      <c r="A189" s="39">
        <f>IFERROR(SMALL(Calc!$B$2:$BB$61,184),"")</f>
        <v/>
      </c>
      <c r="B189" s="39">
        <f>IF(A189="","",ROUND(MOD(A189,1)*1000,0))</f>
        <v/>
      </c>
      <c r="C189" s="33" t="n"/>
      <c r="D189" s="40">
        <f>IF(A189="","",INT(A189))</f>
        <v/>
      </c>
      <c r="E189" s="41">
        <f>IF(B189="","",INDEX(Setup!$D$25:$D$84,B189))</f>
        <v/>
      </c>
      <c r="F189" s="42">
        <f>IF(B189="","",INDEX(Setup!$E$25:$E$84,B189))</f>
        <v/>
      </c>
      <c r="G189" s="39">
        <f>IF(B189="","",INDEX(Setup!$I$25:$I$84,B189)&amp;"")</f>
        <v/>
      </c>
      <c r="H189" s="39">
        <f>IF(B189="","",INDEX(Setup!$J$25:$J$84,B189)&amp;"")</f>
        <v/>
      </c>
      <c r="I189" s="39">
        <f>IF(B189="","",INDEX(Setup!$C$25:$C$84,B189))</f>
        <v/>
      </c>
      <c r="J189" s="39" t="n"/>
      <c r="K189" s="37" t="n"/>
      <c r="L189" s="38" t="n"/>
      <c r="M189" s="33" t="n"/>
      <c r="N189" s="33" t="n"/>
      <c r="O189" s="39" t="n"/>
      <c r="P189" s="40">
        <f>IF(A189="","",IF(K189&lt;&gt;"",K189,D189))</f>
        <v/>
      </c>
      <c r="Q189" s="42">
        <f>IF(A189="",0,IF(C189="✗",0,IF(OR(C189="✓",AND(Setup!$D$7="Yes",P189&lt;=TODAY())),IF(L189&lt;&gt;"",L189,F189),0)))</f>
        <v/>
      </c>
      <c r="R189" s="39">
        <f>IF(A189="","",IF(M189&lt;&gt;"",M189,G189))</f>
        <v/>
      </c>
      <c r="S189" s="39">
        <f>IF(A189="","",IF(N189&lt;&gt;"",N189,H189))</f>
        <v/>
      </c>
      <c r="T189" s="39">
        <f>IF(A189="","",IF(C189="✗","Skipped",IF(Q189&gt;0,"Paid","Upcoming")))</f>
        <v/>
      </c>
      <c r="U189" s="42">
        <f>IF(A189="",0,IF(C189="✗",0,IF(L189&lt;&gt;"",L189,F189)))</f>
        <v/>
      </c>
    </row>
    <row r="190">
      <c r="A190" s="32">
        <f>IFERROR(SMALL(Calc!$B$2:$BB$61,185),"")</f>
        <v/>
      </c>
      <c r="B190" s="32">
        <f>IF(A190="","",ROUND(MOD(A190,1)*1000,0))</f>
        <v/>
      </c>
      <c r="C190" s="33" t="n"/>
      <c r="D190" s="34">
        <f>IF(A190="","",INT(A190))</f>
        <v/>
      </c>
      <c r="E190" s="35">
        <f>IF(B190="","",INDEX(Setup!$D$25:$D$84,B190))</f>
        <v/>
      </c>
      <c r="F190" s="36">
        <f>IF(B190="","",INDEX(Setup!$E$25:$E$84,B190))</f>
        <v/>
      </c>
      <c r="G190" s="32">
        <f>IF(B190="","",INDEX(Setup!$I$25:$I$84,B190)&amp;"")</f>
        <v/>
      </c>
      <c r="H190" s="32">
        <f>IF(B190="","",INDEX(Setup!$J$25:$J$84,B190)&amp;"")</f>
        <v/>
      </c>
      <c r="I190" s="32">
        <f>IF(B190="","",INDEX(Setup!$C$25:$C$84,B190))</f>
        <v/>
      </c>
      <c r="J190" s="32" t="n"/>
      <c r="K190" s="37" t="n"/>
      <c r="L190" s="38" t="n"/>
      <c r="M190" s="33" t="n"/>
      <c r="N190" s="33" t="n"/>
      <c r="O190" s="32" t="n"/>
      <c r="P190" s="34">
        <f>IF(A190="","",IF(K190&lt;&gt;"",K190,D190))</f>
        <v/>
      </c>
      <c r="Q190" s="36">
        <f>IF(A190="",0,IF(C190="✗",0,IF(OR(C190="✓",AND(Setup!$D$7="Yes",P190&lt;=TODAY())),IF(L190&lt;&gt;"",L190,F190),0)))</f>
        <v/>
      </c>
      <c r="R190" s="32">
        <f>IF(A190="","",IF(M190&lt;&gt;"",M190,G190))</f>
        <v/>
      </c>
      <c r="S190" s="32">
        <f>IF(A190="","",IF(N190&lt;&gt;"",N190,H190))</f>
        <v/>
      </c>
      <c r="T190" s="32">
        <f>IF(A190="","",IF(C190="✗","Skipped",IF(Q190&gt;0,"Paid","Upcoming")))</f>
        <v/>
      </c>
      <c r="U190" s="36">
        <f>IF(A190="",0,IF(C190="✗",0,IF(L190&lt;&gt;"",L190,F190)))</f>
        <v/>
      </c>
    </row>
    <row r="191">
      <c r="A191" s="39">
        <f>IFERROR(SMALL(Calc!$B$2:$BB$61,186),"")</f>
        <v/>
      </c>
      <c r="B191" s="39">
        <f>IF(A191="","",ROUND(MOD(A191,1)*1000,0))</f>
        <v/>
      </c>
      <c r="C191" s="33" t="n"/>
      <c r="D191" s="40">
        <f>IF(A191="","",INT(A191))</f>
        <v/>
      </c>
      <c r="E191" s="41">
        <f>IF(B191="","",INDEX(Setup!$D$25:$D$84,B191))</f>
        <v/>
      </c>
      <c r="F191" s="42">
        <f>IF(B191="","",INDEX(Setup!$E$25:$E$84,B191))</f>
        <v/>
      </c>
      <c r="G191" s="39">
        <f>IF(B191="","",INDEX(Setup!$I$25:$I$84,B191)&amp;"")</f>
        <v/>
      </c>
      <c r="H191" s="39">
        <f>IF(B191="","",INDEX(Setup!$J$25:$J$84,B191)&amp;"")</f>
        <v/>
      </c>
      <c r="I191" s="39">
        <f>IF(B191="","",INDEX(Setup!$C$25:$C$84,B191))</f>
        <v/>
      </c>
      <c r="J191" s="39" t="n"/>
      <c r="K191" s="37" t="n"/>
      <c r="L191" s="38" t="n"/>
      <c r="M191" s="33" t="n"/>
      <c r="N191" s="33" t="n"/>
      <c r="O191" s="39" t="n"/>
      <c r="P191" s="40">
        <f>IF(A191="","",IF(K191&lt;&gt;"",K191,D191))</f>
        <v/>
      </c>
      <c r="Q191" s="42">
        <f>IF(A191="",0,IF(C191="✗",0,IF(OR(C191="✓",AND(Setup!$D$7="Yes",P191&lt;=TODAY())),IF(L191&lt;&gt;"",L191,F191),0)))</f>
        <v/>
      </c>
      <c r="R191" s="39">
        <f>IF(A191="","",IF(M191&lt;&gt;"",M191,G191))</f>
        <v/>
      </c>
      <c r="S191" s="39">
        <f>IF(A191="","",IF(N191&lt;&gt;"",N191,H191))</f>
        <v/>
      </c>
      <c r="T191" s="39">
        <f>IF(A191="","",IF(C191="✗","Skipped",IF(Q191&gt;0,"Paid","Upcoming")))</f>
        <v/>
      </c>
      <c r="U191" s="42">
        <f>IF(A191="",0,IF(C191="✗",0,IF(L191&lt;&gt;"",L191,F191)))</f>
        <v/>
      </c>
    </row>
    <row r="192">
      <c r="A192" s="32">
        <f>IFERROR(SMALL(Calc!$B$2:$BB$61,187),"")</f>
        <v/>
      </c>
      <c r="B192" s="32">
        <f>IF(A192="","",ROUND(MOD(A192,1)*1000,0))</f>
        <v/>
      </c>
      <c r="C192" s="33" t="n"/>
      <c r="D192" s="34">
        <f>IF(A192="","",INT(A192))</f>
        <v/>
      </c>
      <c r="E192" s="35">
        <f>IF(B192="","",INDEX(Setup!$D$25:$D$84,B192))</f>
        <v/>
      </c>
      <c r="F192" s="36">
        <f>IF(B192="","",INDEX(Setup!$E$25:$E$84,B192))</f>
        <v/>
      </c>
      <c r="G192" s="32">
        <f>IF(B192="","",INDEX(Setup!$I$25:$I$84,B192)&amp;"")</f>
        <v/>
      </c>
      <c r="H192" s="32">
        <f>IF(B192="","",INDEX(Setup!$J$25:$J$84,B192)&amp;"")</f>
        <v/>
      </c>
      <c r="I192" s="32">
        <f>IF(B192="","",INDEX(Setup!$C$25:$C$84,B192))</f>
        <v/>
      </c>
      <c r="J192" s="32" t="n"/>
      <c r="K192" s="37" t="n"/>
      <c r="L192" s="38" t="n"/>
      <c r="M192" s="33" t="n"/>
      <c r="N192" s="33" t="n"/>
      <c r="O192" s="32" t="n"/>
      <c r="P192" s="34">
        <f>IF(A192="","",IF(K192&lt;&gt;"",K192,D192))</f>
        <v/>
      </c>
      <c r="Q192" s="36">
        <f>IF(A192="",0,IF(C192="✗",0,IF(OR(C192="✓",AND(Setup!$D$7="Yes",P192&lt;=TODAY())),IF(L192&lt;&gt;"",L192,F192),0)))</f>
        <v/>
      </c>
      <c r="R192" s="32">
        <f>IF(A192="","",IF(M192&lt;&gt;"",M192,G192))</f>
        <v/>
      </c>
      <c r="S192" s="32">
        <f>IF(A192="","",IF(N192&lt;&gt;"",N192,H192))</f>
        <v/>
      </c>
      <c r="T192" s="32">
        <f>IF(A192="","",IF(C192="✗","Skipped",IF(Q192&gt;0,"Paid","Upcoming")))</f>
        <v/>
      </c>
      <c r="U192" s="36">
        <f>IF(A192="",0,IF(C192="✗",0,IF(L192&lt;&gt;"",L192,F192)))</f>
        <v/>
      </c>
    </row>
    <row r="193">
      <c r="A193" s="39">
        <f>IFERROR(SMALL(Calc!$B$2:$BB$61,188),"")</f>
        <v/>
      </c>
      <c r="B193" s="39">
        <f>IF(A193="","",ROUND(MOD(A193,1)*1000,0))</f>
        <v/>
      </c>
      <c r="C193" s="33" t="n"/>
      <c r="D193" s="40">
        <f>IF(A193="","",INT(A193))</f>
        <v/>
      </c>
      <c r="E193" s="41">
        <f>IF(B193="","",INDEX(Setup!$D$25:$D$84,B193))</f>
        <v/>
      </c>
      <c r="F193" s="42">
        <f>IF(B193="","",INDEX(Setup!$E$25:$E$84,B193))</f>
        <v/>
      </c>
      <c r="G193" s="39">
        <f>IF(B193="","",INDEX(Setup!$I$25:$I$84,B193)&amp;"")</f>
        <v/>
      </c>
      <c r="H193" s="39">
        <f>IF(B193="","",INDEX(Setup!$J$25:$J$84,B193)&amp;"")</f>
        <v/>
      </c>
      <c r="I193" s="39">
        <f>IF(B193="","",INDEX(Setup!$C$25:$C$84,B193))</f>
        <v/>
      </c>
      <c r="J193" s="39" t="n"/>
      <c r="K193" s="37" t="n"/>
      <c r="L193" s="38" t="n"/>
      <c r="M193" s="33" t="n"/>
      <c r="N193" s="33" t="n"/>
      <c r="O193" s="39" t="n"/>
      <c r="P193" s="40">
        <f>IF(A193="","",IF(K193&lt;&gt;"",K193,D193))</f>
        <v/>
      </c>
      <c r="Q193" s="42">
        <f>IF(A193="",0,IF(C193="✗",0,IF(OR(C193="✓",AND(Setup!$D$7="Yes",P193&lt;=TODAY())),IF(L193&lt;&gt;"",L193,F193),0)))</f>
        <v/>
      </c>
      <c r="R193" s="39">
        <f>IF(A193="","",IF(M193&lt;&gt;"",M193,G193))</f>
        <v/>
      </c>
      <c r="S193" s="39">
        <f>IF(A193="","",IF(N193&lt;&gt;"",N193,H193))</f>
        <v/>
      </c>
      <c r="T193" s="39">
        <f>IF(A193="","",IF(C193="✗","Skipped",IF(Q193&gt;0,"Paid","Upcoming")))</f>
        <v/>
      </c>
      <c r="U193" s="42">
        <f>IF(A193="",0,IF(C193="✗",0,IF(L193&lt;&gt;"",L193,F193)))</f>
        <v/>
      </c>
    </row>
    <row r="194">
      <c r="A194" s="32">
        <f>IFERROR(SMALL(Calc!$B$2:$BB$61,189),"")</f>
        <v/>
      </c>
      <c r="B194" s="32">
        <f>IF(A194="","",ROUND(MOD(A194,1)*1000,0))</f>
        <v/>
      </c>
      <c r="C194" s="33" t="n"/>
      <c r="D194" s="34">
        <f>IF(A194="","",INT(A194))</f>
        <v/>
      </c>
      <c r="E194" s="35">
        <f>IF(B194="","",INDEX(Setup!$D$25:$D$84,B194))</f>
        <v/>
      </c>
      <c r="F194" s="36">
        <f>IF(B194="","",INDEX(Setup!$E$25:$E$84,B194))</f>
        <v/>
      </c>
      <c r="G194" s="32">
        <f>IF(B194="","",INDEX(Setup!$I$25:$I$84,B194)&amp;"")</f>
        <v/>
      </c>
      <c r="H194" s="32">
        <f>IF(B194="","",INDEX(Setup!$J$25:$J$84,B194)&amp;"")</f>
        <v/>
      </c>
      <c r="I194" s="32">
        <f>IF(B194="","",INDEX(Setup!$C$25:$C$84,B194))</f>
        <v/>
      </c>
      <c r="J194" s="32" t="n"/>
      <c r="K194" s="37" t="n"/>
      <c r="L194" s="38" t="n"/>
      <c r="M194" s="33" t="n"/>
      <c r="N194" s="33" t="n"/>
      <c r="O194" s="32" t="n"/>
      <c r="P194" s="34">
        <f>IF(A194="","",IF(K194&lt;&gt;"",K194,D194))</f>
        <v/>
      </c>
      <c r="Q194" s="36">
        <f>IF(A194="",0,IF(C194="✗",0,IF(OR(C194="✓",AND(Setup!$D$7="Yes",P194&lt;=TODAY())),IF(L194&lt;&gt;"",L194,F194),0)))</f>
        <v/>
      </c>
      <c r="R194" s="32">
        <f>IF(A194="","",IF(M194&lt;&gt;"",M194,G194))</f>
        <v/>
      </c>
      <c r="S194" s="32">
        <f>IF(A194="","",IF(N194&lt;&gt;"",N194,H194))</f>
        <v/>
      </c>
      <c r="T194" s="32">
        <f>IF(A194="","",IF(C194="✗","Skipped",IF(Q194&gt;0,"Paid","Upcoming")))</f>
        <v/>
      </c>
      <c r="U194" s="36">
        <f>IF(A194="",0,IF(C194="✗",0,IF(L194&lt;&gt;"",L194,F194)))</f>
        <v/>
      </c>
    </row>
    <row r="195">
      <c r="A195" s="39">
        <f>IFERROR(SMALL(Calc!$B$2:$BB$61,190),"")</f>
        <v/>
      </c>
      <c r="B195" s="39">
        <f>IF(A195="","",ROUND(MOD(A195,1)*1000,0))</f>
        <v/>
      </c>
      <c r="C195" s="33" t="n"/>
      <c r="D195" s="40">
        <f>IF(A195="","",INT(A195))</f>
        <v/>
      </c>
      <c r="E195" s="41">
        <f>IF(B195="","",INDEX(Setup!$D$25:$D$84,B195))</f>
        <v/>
      </c>
      <c r="F195" s="42">
        <f>IF(B195="","",INDEX(Setup!$E$25:$E$84,B195))</f>
        <v/>
      </c>
      <c r="G195" s="39">
        <f>IF(B195="","",INDEX(Setup!$I$25:$I$84,B195)&amp;"")</f>
        <v/>
      </c>
      <c r="H195" s="39">
        <f>IF(B195="","",INDEX(Setup!$J$25:$J$84,B195)&amp;"")</f>
        <v/>
      </c>
      <c r="I195" s="39">
        <f>IF(B195="","",INDEX(Setup!$C$25:$C$84,B195))</f>
        <v/>
      </c>
      <c r="J195" s="39" t="n"/>
      <c r="K195" s="37" t="n"/>
      <c r="L195" s="38" t="n"/>
      <c r="M195" s="33" t="n"/>
      <c r="N195" s="33" t="n"/>
      <c r="O195" s="39" t="n"/>
      <c r="P195" s="40">
        <f>IF(A195="","",IF(K195&lt;&gt;"",K195,D195))</f>
        <v/>
      </c>
      <c r="Q195" s="42">
        <f>IF(A195="",0,IF(C195="✗",0,IF(OR(C195="✓",AND(Setup!$D$7="Yes",P195&lt;=TODAY())),IF(L195&lt;&gt;"",L195,F195),0)))</f>
        <v/>
      </c>
      <c r="R195" s="39">
        <f>IF(A195="","",IF(M195&lt;&gt;"",M195,G195))</f>
        <v/>
      </c>
      <c r="S195" s="39">
        <f>IF(A195="","",IF(N195&lt;&gt;"",N195,H195))</f>
        <v/>
      </c>
      <c r="T195" s="39">
        <f>IF(A195="","",IF(C195="✗","Skipped",IF(Q195&gt;0,"Paid","Upcoming")))</f>
        <v/>
      </c>
      <c r="U195" s="42">
        <f>IF(A195="",0,IF(C195="✗",0,IF(L195&lt;&gt;"",L195,F195)))</f>
        <v/>
      </c>
    </row>
    <row r="196">
      <c r="A196" s="32">
        <f>IFERROR(SMALL(Calc!$B$2:$BB$61,191),"")</f>
        <v/>
      </c>
      <c r="B196" s="32">
        <f>IF(A196="","",ROUND(MOD(A196,1)*1000,0))</f>
        <v/>
      </c>
      <c r="C196" s="33" t="n"/>
      <c r="D196" s="34">
        <f>IF(A196="","",INT(A196))</f>
        <v/>
      </c>
      <c r="E196" s="35">
        <f>IF(B196="","",INDEX(Setup!$D$25:$D$84,B196))</f>
        <v/>
      </c>
      <c r="F196" s="36">
        <f>IF(B196="","",INDEX(Setup!$E$25:$E$84,B196))</f>
        <v/>
      </c>
      <c r="G196" s="32">
        <f>IF(B196="","",INDEX(Setup!$I$25:$I$84,B196)&amp;"")</f>
        <v/>
      </c>
      <c r="H196" s="32">
        <f>IF(B196="","",INDEX(Setup!$J$25:$J$84,B196)&amp;"")</f>
        <v/>
      </c>
      <c r="I196" s="32">
        <f>IF(B196="","",INDEX(Setup!$C$25:$C$84,B196))</f>
        <v/>
      </c>
      <c r="J196" s="32" t="n"/>
      <c r="K196" s="37" t="n"/>
      <c r="L196" s="38" t="n"/>
      <c r="M196" s="33" t="n"/>
      <c r="N196" s="33" t="n"/>
      <c r="O196" s="32" t="n"/>
      <c r="P196" s="34">
        <f>IF(A196="","",IF(K196&lt;&gt;"",K196,D196))</f>
        <v/>
      </c>
      <c r="Q196" s="36">
        <f>IF(A196="",0,IF(C196="✗",0,IF(OR(C196="✓",AND(Setup!$D$7="Yes",P196&lt;=TODAY())),IF(L196&lt;&gt;"",L196,F196),0)))</f>
        <v/>
      </c>
      <c r="R196" s="32">
        <f>IF(A196="","",IF(M196&lt;&gt;"",M196,G196))</f>
        <v/>
      </c>
      <c r="S196" s="32">
        <f>IF(A196="","",IF(N196&lt;&gt;"",N196,H196))</f>
        <v/>
      </c>
      <c r="T196" s="32">
        <f>IF(A196="","",IF(C196="✗","Skipped",IF(Q196&gt;0,"Paid","Upcoming")))</f>
        <v/>
      </c>
      <c r="U196" s="36">
        <f>IF(A196="",0,IF(C196="✗",0,IF(L196&lt;&gt;"",L196,F196)))</f>
        <v/>
      </c>
    </row>
    <row r="197">
      <c r="A197" s="39">
        <f>IFERROR(SMALL(Calc!$B$2:$BB$61,192),"")</f>
        <v/>
      </c>
      <c r="B197" s="39">
        <f>IF(A197="","",ROUND(MOD(A197,1)*1000,0))</f>
        <v/>
      </c>
      <c r="C197" s="33" t="n"/>
      <c r="D197" s="40">
        <f>IF(A197="","",INT(A197))</f>
        <v/>
      </c>
      <c r="E197" s="41">
        <f>IF(B197="","",INDEX(Setup!$D$25:$D$84,B197))</f>
        <v/>
      </c>
      <c r="F197" s="42">
        <f>IF(B197="","",INDEX(Setup!$E$25:$E$84,B197))</f>
        <v/>
      </c>
      <c r="G197" s="39">
        <f>IF(B197="","",INDEX(Setup!$I$25:$I$84,B197)&amp;"")</f>
        <v/>
      </c>
      <c r="H197" s="39">
        <f>IF(B197="","",INDEX(Setup!$J$25:$J$84,B197)&amp;"")</f>
        <v/>
      </c>
      <c r="I197" s="39">
        <f>IF(B197="","",INDEX(Setup!$C$25:$C$84,B197))</f>
        <v/>
      </c>
      <c r="J197" s="39" t="n"/>
      <c r="K197" s="37" t="n"/>
      <c r="L197" s="38" t="n"/>
      <c r="M197" s="33" t="n"/>
      <c r="N197" s="33" t="n"/>
      <c r="O197" s="39" t="n"/>
      <c r="P197" s="40">
        <f>IF(A197="","",IF(K197&lt;&gt;"",K197,D197))</f>
        <v/>
      </c>
      <c r="Q197" s="42">
        <f>IF(A197="",0,IF(C197="✗",0,IF(OR(C197="✓",AND(Setup!$D$7="Yes",P197&lt;=TODAY())),IF(L197&lt;&gt;"",L197,F197),0)))</f>
        <v/>
      </c>
      <c r="R197" s="39">
        <f>IF(A197="","",IF(M197&lt;&gt;"",M197,G197))</f>
        <v/>
      </c>
      <c r="S197" s="39">
        <f>IF(A197="","",IF(N197&lt;&gt;"",N197,H197))</f>
        <v/>
      </c>
      <c r="T197" s="39">
        <f>IF(A197="","",IF(C197="✗","Skipped",IF(Q197&gt;0,"Paid","Upcoming")))</f>
        <v/>
      </c>
      <c r="U197" s="42">
        <f>IF(A197="",0,IF(C197="✗",0,IF(L197&lt;&gt;"",L197,F197)))</f>
        <v/>
      </c>
    </row>
    <row r="198">
      <c r="A198" s="32">
        <f>IFERROR(SMALL(Calc!$B$2:$BB$61,193),"")</f>
        <v/>
      </c>
      <c r="B198" s="32">
        <f>IF(A198="","",ROUND(MOD(A198,1)*1000,0))</f>
        <v/>
      </c>
      <c r="C198" s="33" t="n"/>
      <c r="D198" s="34">
        <f>IF(A198="","",INT(A198))</f>
        <v/>
      </c>
      <c r="E198" s="35">
        <f>IF(B198="","",INDEX(Setup!$D$25:$D$84,B198))</f>
        <v/>
      </c>
      <c r="F198" s="36">
        <f>IF(B198="","",INDEX(Setup!$E$25:$E$84,B198))</f>
        <v/>
      </c>
      <c r="G198" s="32">
        <f>IF(B198="","",INDEX(Setup!$I$25:$I$84,B198)&amp;"")</f>
        <v/>
      </c>
      <c r="H198" s="32">
        <f>IF(B198="","",INDEX(Setup!$J$25:$J$84,B198)&amp;"")</f>
        <v/>
      </c>
      <c r="I198" s="32">
        <f>IF(B198="","",INDEX(Setup!$C$25:$C$84,B198))</f>
        <v/>
      </c>
      <c r="J198" s="32" t="n"/>
      <c r="K198" s="37" t="n"/>
      <c r="L198" s="38" t="n"/>
      <c r="M198" s="33" t="n"/>
      <c r="N198" s="33" t="n"/>
      <c r="O198" s="32" t="n"/>
      <c r="P198" s="34">
        <f>IF(A198="","",IF(K198&lt;&gt;"",K198,D198))</f>
        <v/>
      </c>
      <c r="Q198" s="36">
        <f>IF(A198="",0,IF(C198="✗",0,IF(OR(C198="✓",AND(Setup!$D$7="Yes",P198&lt;=TODAY())),IF(L198&lt;&gt;"",L198,F198),0)))</f>
        <v/>
      </c>
      <c r="R198" s="32">
        <f>IF(A198="","",IF(M198&lt;&gt;"",M198,G198))</f>
        <v/>
      </c>
      <c r="S198" s="32">
        <f>IF(A198="","",IF(N198&lt;&gt;"",N198,H198))</f>
        <v/>
      </c>
      <c r="T198" s="32">
        <f>IF(A198="","",IF(C198="✗","Skipped",IF(Q198&gt;0,"Paid","Upcoming")))</f>
        <v/>
      </c>
      <c r="U198" s="36">
        <f>IF(A198="",0,IF(C198="✗",0,IF(L198&lt;&gt;"",L198,F198)))</f>
        <v/>
      </c>
    </row>
    <row r="199">
      <c r="A199" s="39">
        <f>IFERROR(SMALL(Calc!$B$2:$BB$61,194),"")</f>
        <v/>
      </c>
      <c r="B199" s="39">
        <f>IF(A199="","",ROUND(MOD(A199,1)*1000,0))</f>
        <v/>
      </c>
      <c r="C199" s="33" t="n"/>
      <c r="D199" s="40">
        <f>IF(A199="","",INT(A199))</f>
        <v/>
      </c>
      <c r="E199" s="41">
        <f>IF(B199="","",INDEX(Setup!$D$25:$D$84,B199))</f>
        <v/>
      </c>
      <c r="F199" s="42">
        <f>IF(B199="","",INDEX(Setup!$E$25:$E$84,B199))</f>
        <v/>
      </c>
      <c r="G199" s="39">
        <f>IF(B199="","",INDEX(Setup!$I$25:$I$84,B199)&amp;"")</f>
        <v/>
      </c>
      <c r="H199" s="39">
        <f>IF(B199="","",INDEX(Setup!$J$25:$J$84,B199)&amp;"")</f>
        <v/>
      </c>
      <c r="I199" s="39">
        <f>IF(B199="","",INDEX(Setup!$C$25:$C$84,B199))</f>
        <v/>
      </c>
      <c r="J199" s="39" t="n"/>
      <c r="K199" s="37" t="n"/>
      <c r="L199" s="38" t="n"/>
      <c r="M199" s="33" t="n"/>
      <c r="N199" s="33" t="n"/>
      <c r="O199" s="39" t="n"/>
      <c r="P199" s="40">
        <f>IF(A199="","",IF(K199&lt;&gt;"",K199,D199))</f>
        <v/>
      </c>
      <c r="Q199" s="42">
        <f>IF(A199="",0,IF(C199="✗",0,IF(OR(C199="✓",AND(Setup!$D$7="Yes",P199&lt;=TODAY())),IF(L199&lt;&gt;"",L199,F199),0)))</f>
        <v/>
      </c>
      <c r="R199" s="39">
        <f>IF(A199="","",IF(M199&lt;&gt;"",M199,G199))</f>
        <v/>
      </c>
      <c r="S199" s="39">
        <f>IF(A199="","",IF(N199&lt;&gt;"",N199,H199))</f>
        <v/>
      </c>
      <c r="T199" s="39">
        <f>IF(A199="","",IF(C199="✗","Skipped",IF(Q199&gt;0,"Paid","Upcoming")))</f>
        <v/>
      </c>
      <c r="U199" s="42">
        <f>IF(A199="",0,IF(C199="✗",0,IF(L199&lt;&gt;"",L199,F199)))</f>
        <v/>
      </c>
    </row>
    <row r="200">
      <c r="A200" s="32">
        <f>IFERROR(SMALL(Calc!$B$2:$BB$61,195),"")</f>
        <v/>
      </c>
      <c r="B200" s="32">
        <f>IF(A200="","",ROUND(MOD(A200,1)*1000,0))</f>
        <v/>
      </c>
      <c r="C200" s="33" t="n"/>
      <c r="D200" s="34">
        <f>IF(A200="","",INT(A200))</f>
        <v/>
      </c>
      <c r="E200" s="35">
        <f>IF(B200="","",INDEX(Setup!$D$25:$D$84,B200))</f>
        <v/>
      </c>
      <c r="F200" s="36">
        <f>IF(B200="","",INDEX(Setup!$E$25:$E$84,B200))</f>
        <v/>
      </c>
      <c r="G200" s="32">
        <f>IF(B200="","",INDEX(Setup!$I$25:$I$84,B200)&amp;"")</f>
        <v/>
      </c>
      <c r="H200" s="32">
        <f>IF(B200="","",INDEX(Setup!$J$25:$J$84,B200)&amp;"")</f>
        <v/>
      </c>
      <c r="I200" s="32">
        <f>IF(B200="","",INDEX(Setup!$C$25:$C$84,B200))</f>
        <v/>
      </c>
      <c r="J200" s="32" t="n"/>
      <c r="K200" s="37" t="n"/>
      <c r="L200" s="38" t="n"/>
      <c r="M200" s="33" t="n"/>
      <c r="N200" s="33" t="n"/>
      <c r="O200" s="32" t="n"/>
      <c r="P200" s="34">
        <f>IF(A200="","",IF(K200&lt;&gt;"",K200,D200))</f>
        <v/>
      </c>
      <c r="Q200" s="36">
        <f>IF(A200="",0,IF(C200="✗",0,IF(OR(C200="✓",AND(Setup!$D$7="Yes",P200&lt;=TODAY())),IF(L200&lt;&gt;"",L200,F200),0)))</f>
        <v/>
      </c>
      <c r="R200" s="32">
        <f>IF(A200="","",IF(M200&lt;&gt;"",M200,G200))</f>
        <v/>
      </c>
      <c r="S200" s="32">
        <f>IF(A200="","",IF(N200&lt;&gt;"",N200,H200))</f>
        <v/>
      </c>
      <c r="T200" s="32">
        <f>IF(A200="","",IF(C200="✗","Skipped",IF(Q200&gt;0,"Paid","Upcoming")))</f>
        <v/>
      </c>
      <c r="U200" s="36">
        <f>IF(A200="",0,IF(C200="✗",0,IF(L200&lt;&gt;"",L200,F200)))</f>
        <v/>
      </c>
    </row>
    <row r="201">
      <c r="A201" s="39">
        <f>IFERROR(SMALL(Calc!$B$2:$BB$61,196),"")</f>
        <v/>
      </c>
      <c r="B201" s="39">
        <f>IF(A201="","",ROUND(MOD(A201,1)*1000,0))</f>
        <v/>
      </c>
      <c r="C201" s="33" t="n"/>
      <c r="D201" s="40">
        <f>IF(A201="","",INT(A201))</f>
        <v/>
      </c>
      <c r="E201" s="41">
        <f>IF(B201="","",INDEX(Setup!$D$25:$D$84,B201))</f>
        <v/>
      </c>
      <c r="F201" s="42">
        <f>IF(B201="","",INDEX(Setup!$E$25:$E$84,B201))</f>
        <v/>
      </c>
      <c r="G201" s="39">
        <f>IF(B201="","",INDEX(Setup!$I$25:$I$84,B201)&amp;"")</f>
        <v/>
      </c>
      <c r="H201" s="39">
        <f>IF(B201="","",INDEX(Setup!$J$25:$J$84,B201)&amp;"")</f>
        <v/>
      </c>
      <c r="I201" s="39">
        <f>IF(B201="","",INDEX(Setup!$C$25:$C$84,B201))</f>
        <v/>
      </c>
      <c r="J201" s="39" t="n"/>
      <c r="K201" s="37" t="n"/>
      <c r="L201" s="38" t="n"/>
      <c r="M201" s="33" t="n"/>
      <c r="N201" s="33" t="n"/>
      <c r="O201" s="39" t="n"/>
      <c r="P201" s="40">
        <f>IF(A201="","",IF(K201&lt;&gt;"",K201,D201))</f>
        <v/>
      </c>
      <c r="Q201" s="42">
        <f>IF(A201="",0,IF(C201="✗",0,IF(OR(C201="✓",AND(Setup!$D$7="Yes",P201&lt;=TODAY())),IF(L201&lt;&gt;"",L201,F201),0)))</f>
        <v/>
      </c>
      <c r="R201" s="39">
        <f>IF(A201="","",IF(M201&lt;&gt;"",M201,G201))</f>
        <v/>
      </c>
      <c r="S201" s="39">
        <f>IF(A201="","",IF(N201&lt;&gt;"",N201,H201))</f>
        <v/>
      </c>
      <c r="T201" s="39">
        <f>IF(A201="","",IF(C201="✗","Skipped",IF(Q201&gt;0,"Paid","Upcoming")))</f>
        <v/>
      </c>
      <c r="U201" s="42">
        <f>IF(A201="",0,IF(C201="✗",0,IF(L201&lt;&gt;"",L201,F201)))</f>
        <v/>
      </c>
    </row>
    <row r="202">
      <c r="A202" s="32">
        <f>IFERROR(SMALL(Calc!$B$2:$BB$61,197),"")</f>
        <v/>
      </c>
      <c r="B202" s="32">
        <f>IF(A202="","",ROUND(MOD(A202,1)*1000,0))</f>
        <v/>
      </c>
      <c r="C202" s="33" t="n"/>
      <c r="D202" s="34">
        <f>IF(A202="","",INT(A202))</f>
        <v/>
      </c>
      <c r="E202" s="35">
        <f>IF(B202="","",INDEX(Setup!$D$25:$D$84,B202))</f>
        <v/>
      </c>
      <c r="F202" s="36">
        <f>IF(B202="","",INDEX(Setup!$E$25:$E$84,B202))</f>
        <v/>
      </c>
      <c r="G202" s="32">
        <f>IF(B202="","",INDEX(Setup!$I$25:$I$84,B202)&amp;"")</f>
        <v/>
      </c>
      <c r="H202" s="32">
        <f>IF(B202="","",INDEX(Setup!$J$25:$J$84,B202)&amp;"")</f>
        <v/>
      </c>
      <c r="I202" s="32">
        <f>IF(B202="","",INDEX(Setup!$C$25:$C$84,B202))</f>
        <v/>
      </c>
      <c r="J202" s="32" t="n"/>
      <c r="K202" s="37" t="n"/>
      <c r="L202" s="38" t="n"/>
      <c r="M202" s="33" t="n"/>
      <c r="N202" s="33" t="n"/>
      <c r="O202" s="32" t="n"/>
      <c r="P202" s="34">
        <f>IF(A202="","",IF(K202&lt;&gt;"",K202,D202))</f>
        <v/>
      </c>
      <c r="Q202" s="36">
        <f>IF(A202="",0,IF(C202="✗",0,IF(OR(C202="✓",AND(Setup!$D$7="Yes",P202&lt;=TODAY())),IF(L202&lt;&gt;"",L202,F202),0)))</f>
        <v/>
      </c>
      <c r="R202" s="32">
        <f>IF(A202="","",IF(M202&lt;&gt;"",M202,G202))</f>
        <v/>
      </c>
      <c r="S202" s="32">
        <f>IF(A202="","",IF(N202&lt;&gt;"",N202,H202))</f>
        <v/>
      </c>
      <c r="T202" s="32">
        <f>IF(A202="","",IF(C202="✗","Skipped",IF(Q202&gt;0,"Paid","Upcoming")))</f>
        <v/>
      </c>
      <c r="U202" s="36">
        <f>IF(A202="",0,IF(C202="✗",0,IF(L202&lt;&gt;"",L202,F202)))</f>
        <v/>
      </c>
    </row>
    <row r="203">
      <c r="A203" s="39">
        <f>IFERROR(SMALL(Calc!$B$2:$BB$61,198),"")</f>
        <v/>
      </c>
      <c r="B203" s="39">
        <f>IF(A203="","",ROUND(MOD(A203,1)*1000,0))</f>
        <v/>
      </c>
      <c r="C203" s="33" t="n"/>
      <c r="D203" s="40">
        <f>IF(A203="","",INT(A203))</f>
        <v/>
      </c>
      <c r="E203" s="41">
        <f>IF(B203="","",INDEX(Setup!$D$25:$D$84,B203))</f>
        <v/>
      </c>
      <c r="F203" s="42">
        <f>IF(B203="","",INDEX(Setup!$E$25:$E$84,B203))</f>
        <v/>
      </c>
      <c r="G203" s="39">
        <f>IF(B203="","",INDEX(Setup!$I$25:$I$84,B203)&amp;"")</f>
        <v/>
      </c>
      <c r="H203" s="39">
        <f>IF(B203="","",INDEX(Setup!$J$25:$J$84,B203)&amp;"")</f>
        <v/>
      </c>
      <c r="I203" s="39">
        <f>IF(B203="","",INDEX(Setup!$C$25:$C$84,B203))</f>
        <v/>
      </c>
      <c r="J203" s="39" t="n"/>
      <c r="K203" s="37" t="n"/>
      <c r="L203" s="38" t="n"/>
      <c r="M203" s="33" t="n"/>
      <c r="N203" s="33" t="n"/>
      <c r="O203" s="39" t="n"/>
      <c r="P203" s="40">
        <f>IF(A203="","",IF(K203&lt;&gt;"",K203,D203))</f>
        <v/>
      </c>
      <c r="Q203" s="42">
        <f>IF(A203="",0,IF(C203="✗",0,IF(OR(C203="✓",AND(Setup!$D$7="Yes",P203&lt;=TODAY())),IF(L203&lt;&gt;"",L203,F203),0)))</f>
        <v/>
      </c>
      <c r="R203" s="39">
        <f>IF(A203="","",IF(M203&lt;&gt;"",M203,G203))</f>
        <v/>
      </c>
      <c r="S203" s="39">
        <f>IF(A203="","",IF(N203&lt;&gt;"",N203,H203))</f>
        <v/>
      </c>
      <c r="T203" s="39">
        <f>IF(A203="","",IF(C203="✗","Skipped",IF(Q203&gt;0,"Paid","Upcoming")))</f>
        <v/>
      </c>
      <c r="U203" s="42">
        <f>IF(A203="",0,IF(C203="✗",0,IF(L203&lt;&gt;"",L203,F203)))</f>
        <v/>
      </c>
    </row>
    <row r="204">
      <c r="A204" s="32">
        <f>IFERROR(SMALL(Calc!$B$2:$BB$61,199),"")</f>
        <v/>
      </c>
      <c r="B204" s="32">
        <f>IF(A204="","",ROUND(MOD(A204,1)*1000,0))</f>
        <v/>
      </c>
      <c r="C204" s="33" t="n"/>
      <c r="D204" s="34">
        <f>IF(A204="","",INT(A204))</f>
        <v/>
      </c>
      <c r="E204" s="35">
        <f>IF(B204="","",INDEX(Setup!$D$25:$D$84,B204))</f>
        <v/>
      </c>
      <c r="F204" s="36">
        <f>IF(B204="","",INDEX(Setup!$E$25:$E$84,B204))</f>
        <v/>
      </c>
      <c r="G204" s="32">
        <f>IF(B204="","",INDEX(Setup!$I$25:$I$84,B204)&amp;"")</f>
        <v/>
      </c>
      <c r="H204" s="32">
        <f>IF(B204="","",INDEX(Setup!$J$25:$J$84,B204)&amp;"")</f>
        <v/>
      </c>
      <c r="I204" s="32">
        <f>IF(B204="","",INDEX(Setup!$C$25:$C$84,B204))</f>
        <v/>
      </c>
      <c r="J204" s="32" t="n"/>
      <c r="K204" s="37" t="n"/>
      <c r="L204" s="38" t="n"/>
      <c r="M204" s="33" t="n"/>
      <c r="N204" s="33" t="n"/>
      <c r="O204" s="32" t="n"/>
      <c r="P204" s="34">
        <f>IF(A204="","",IF(K204&lt;&gt;"",K204,D204))</f>
        <v/>
      </c>
      <c r="Q204" s="36">
        <f>IF(A204="",0,IF(C204="✗",0,IF(OR(C204="✓",AND(Setup!$D$7="Yes",P204&lt;=TODAY())),IF(L204&lt;&gt;"",L204,F204),0)))</f>
        <v/>
      </c>
      <c r="R204" s="32">
        <f>IF(A204="","",IF(M204&lt;&gt;"",M204,G204))</f>
        <v/>
      </c>
      <c r="S204" s="32">
        <f>IF(A204="","",IF(N204&lt;&gt;"",N204,H204))</f>
        <v/>
      </c>
      <c r="T204" s="32">
        <f>IF(A204="","",IF(C204="✗","Skipped",IF(Q204&gt;0,"Paid","Upcoming")))</f>
        <v/>
      </c>
      <c r="U204" s="36">
        <f>IF(A204="",0,IF(C204="✗",0,IF(L204&lt;&gt;"",L204,F204)))</f>
        <v/>
      </c>
    </row>
    <row r="205">
      <c r="A205" s="39">
        <f>IFERROR(SMALL(Calc!$B$2:$BB$61,200),"")</f>
        <v/>
      </c>
      <c r="B205" s="39">
        <f>IF(A205="","",ROUND(MOD(A205,1)*1000,0))</f>
        <v/>
      </c>
      <c r="C205" s="33" t="n"/>
      <c r="D205" s="40">
        <f>IF(A205="","",INT(A205))</f>
        <v/>
      </c>
      <c r="E205" s="41">
        <f>IF(B205="","",INDEX(Setup!$D$25:$D$84,B205))</f>
        <v/>
      </c>
      <c r="F205" s="42">
        <f>IF(B205="","",INDEX(Setup!$E$25:$E$84,B205))</f>
        <v/>
      </c>
      <c r="G205" s="39">
        <f>IF(B205="","",INDEX(Setup!$I$25:$I$84,B205)&amp;"")</f>
        <v/>
      </c>
      <c r="H205" s="39">
        <f>IF(B205="","",INDEX(Setup!$J$25:$J$84,B205)&amp;"")</f>
        <v/>
      </c>
      <c r="I205" s="39">
        <f>IF(B205="","",INDEX(Setup!$C$25:$C$84,B205))</f>
        <v/>
      </c>
      <c r="J205" s="39" t="n"/>
      <c r="K205" s="37" t="n"/>
      <c r="L205" s="38" t="n"/>
      <c r="M205" s="33" t="n"/>
      <c r="N205" s="33" t="n"/>
      <c r="O205" s="39" t="n"/>
      <c r="P205" s="40">
        <f>IF(A205="","",IF(K205&lt;&gt;"",K205,D205))</f>
        <v/>
      </c>
      <c r="Q205" s="42">
        <f>IF(A205="",0,IF(C205="✗",0,IF(OR(C205="✓",AND(Setup!$D$7="Yes",P205&lt;=TODAY())),IF(L205&lt;&gt;"",L205,F205),0)))</f>
        <v/>
      </c>
      <c r="R205" s="39">
        <f>IF(A205="","",IF(M205&lt;&gt;"",M205,G205))</f>
        <v/>
      </c>
      <c r="S205" s="39">
        <f>IF(A205="","",IF(N205&lt;&gt;"",N205,H205))</f>
        <v/>
      </c>
      <c r="T205" s="39">
        <f>IF(A205="","",IF(C205="✗","Skipped",IF(Q205&gt;0,"Paid","Upcoming")))</f>
        <v/>
      </c>
      <c r="U205" s="42">
        <f>IF(A205="",0,IF(C205="✗",0,IF(L205&lt;&gt;"",L205,F205)))</f>
        <v/>
      </c>
    </row>
    <row r="206">
      <c r="A206" s="32">
        <f>IFERROR(SMALL(Calc!$B$2:$BB$61,201),"")</f>
        <v/>
      </c>
      <c r="B206" s="32">
        <f>IF(A206="","",ROUND(MOD(A206,1)*1000,0))</f>
        <v/>
      </c>
      <c r="C206" s="33" t="n"/>
      <c r="D206" s="34">
        <f>IF(A206="","",INT(A206))</f>
        <v/>
      </c>
      <c r="E206" s="35">
        <f>IF(B206="","",INDEX(Setup!$D$25:$D$84,B206))</f>
        <v/>
      </c>
      <c r="F206" s="36">
        <f>IF(B206="","",INDEX(Setup!$E$25:$E$84,B206))</f>
        <v/>
      </c>
      <c r="G206" s="32">
        <f>IF(B206="","",INDEX(Setup!$I$25:$I$84,B206)&amp;"")</f>
        <v/>
      </c>
      <c r="H206" s="32">
        <f>IF(B206="","",INDEX(Setup!$J$25:$J$84,B206)&amp;"")</f>
        <v/>
      </c>
      <c r="I206" s="32">
        <f>IF(B206="","",INDEX(Setup!$C$25:$C$84,B206))</f>
        <v/>
      </c>
      <c r="J206" s="32" t="n"/>
      <c r="K206" s="37" t="n"/>
      <c r="L206" s="38" t="n"/>
      <c r="M206" s="33" t="n"/>
      <c r="N206" s="33" t="n"/>
      <c r="O206" s="32" t="n"/>
      <c r="P206" s="34">
        <f>IF(A206="","",IF(K206&lt;&gt;"",K206,D206))</f>
        <v/>
      </c>
      <c r="Q206" s="36">
        <f>IF(A206="",0,IF(C206="✗",0,IF(OR(C206="✓",AND(Setup!$D$7="Yes",P206&lt;=TODAY())),IF(L206&lt;&gt;"",L206,F206),0)))</f>
        <v/>
      </c>
      <c r="R206" s="32">
        <f>IF(A206="","",IF(M206&lt;&gt;"",M206,G206))</f>
        <v/>
      </c>
      <c r="S206" s="32">
        <f>IF(A206="","",IF(N206&lt;&gt;"",N206,H206))</f>
        <v/>
      </c>
      <c r="T206" s="32">
        <f>IF(A206="","",IF(C206="✗","Skipped",IF(Q206&gt;0,"Paid","Upcoming")))</f>
        <v/>
      </c>
      <c r="U206" s="36">
        <f>IF(A206="",0,IF(C206="✗",0,IF(L206&lt;&gt;"",L206,F206)))</f>
        <v/>
      </c>
    </row>
    <row r="207">
      <c r="A207" s="39">
        <f>IFERROR(SMALL(Calc!$B$2:$BB$61,202),"")</f>
        <v/>
      </c>
      <c r="B207" s="39">
        <f>IF(A207="","",ROUND(MOD(A207,1)*1000,0))</f>
        <v/>
      </c>
      <c r="C207" s="33" t="n"/>
      <c r="D207" s="40">
        <f>IF(A207="","",INT(A207))</f>
        <v/>
      </c>
      <c r="E207" s="41">
        <f>IF(B207="","",INDEX(Setup!$D$25:$D$84,B207))</f>
        <v/>
      </c>
      <c r="F207" s="42">
        <f>IF(B207="","",INDEX(Setup!$E$25:$E$84,B207))</f>
        <v/>
      </c>
      <c r="G207" s="39">
        <f>IF(B207="","",INDEX(Setup!$I$25:$I$84,B207)&amp;"")</f>
        <v/>
      </c>
      <c r="H207" s="39">
        <f>IF(B207="","",INDEX(Setup!$J$25:$J$84,B207)&amp;"")</f>
        <v/>
      </c>
      <c r="I207" s="39">
        <f>IF(B207="","",INDEX(Setup!$C$25:$C$84,B207))</f>
        <v/>
      </c>
      <c r="J207" s="39" t="n"/>
      <c r="K207" s="37" t="n"/>
      <c r="L207" s="38" t="n"/>
      <c r="M207" s="33" t="n"/>
      <c r="N207" s="33" t="n"/>
      <c r="O207" s="39" t="n"/>
      <c r="P207" s="40">
        <f>IF(A207="","",IF(K207&lt;&gt;"",K207,D207))</f>
        <v/>
      </c>
      <c r="Q207" s="42">
        <f>IF(A207="",0,IF(C207="✗",0,IF(OR(C207="✓",AND(Setup!$D$7="Yes",P207&lt;=TODAY())),IF(L207&lt;&gt;"",L207,F207),0)))</f>
        <v/>
      </c>
      <c r="R207" s="39">
        <f>IF(A207="","",IF(M207&lt;&gt;"",M207,G207))</f>
        <v/>
      </c>
      <c r="S207" s="39">
        <f>IF(A207="","",IF(N207&lt;&gt;"",N207,H207))</f>
        <v/>
      </c>
      <c r="T207" s="39">
        <f>IF(A207="","",IF(C207="✗","Skipped",IF(Q207&gt;0,"Paid","Upcoming")))</f>
        <v/>
      </c>
      <c r="U207" s="42">
        <f>IF(A207="",0,IF(C207="✗",0,IF(L207&lt;&gt;"",L207,F207)))</f>
        <v/>
      </c>
    </row>
    <row r="208">
      <c r="A208" s="32">
        <f>IFERROR(SMALL(Calc!$B$2:$BB$61,203),"")</f>
        <v/>
      </c>
      <c r="B208" s="32">
        <f>IF(A208="","",ROUND(MOD(A208,1)*1000,0))</f>
        <v/>
      </c>
      <c r="C208" s="33" t="n"/>
      <c r="D208" s="34">
        <f>IF(A208="","",INT(A208))</f>
        <v/>
      </c>
      <c r="E208" s="35">
        <f>IF(B208="","",INDEX(Setup!$D$25:$D$84,B208))</f>
        <v/>
      </c>
      <c r="F208" s="36">
        <f>IF(B208="","",INDEX(Setup!$E$25:$E$84,B208))</f>
        <v/>
      </c>
      <c r="G208" s="32">
        <f>IF(B208="","",INDEX(Setup!$I$25:$I$84,B208)&amp;"")</f>
        <v/>
      </c>
      <c r="H208" s="32">
        <f>IF(B208="","",INDEX(Setup!$J$25:$J$84,B208)&amp;"")</f>
        <v/>
      </c>
      <c r="I208" s="32">
        <f>IF(B208="","",INDEX(Setup!$C$25:$C$84,B208))</f>
        <v/>
      </c>
      <c r="J208" s="32" t="n"/>
      <c r="K208" s="37" t="n"/>
      <c r="L208" s="38" t="n"/>
      <c r="M208" s="33" t="n"/>
      <c r="N208" s="33" t="n"/>
      <c r="O208" s="32" t="n"/>
      <c r="P208" s="34">
        <f>IF(A208="","",IF(K208&lt;&gt;"",K208,D208))</f>
        <v/>
      </c>
      <c r="Q208" s="36">
        <f>IF(A208="",0,IF(C208="✗",0,IF(OR(C208="✓",AND(Setup!$D$7="Yes",P208&lt;=TODAY())),IF(L208&lt;&gt;"",L208,F208),0)))</f>
        <v/>
      </c>
      <c r="R208" s="32">
        <f>IF(A208="","",IF(M208&lt;&gt;"",M208,G208))</f>
        <v/>
      </c>
      <c r="S208" s="32">
        <f>IF(A208="","",IF(N208&lt;&gt;"",N208,H208))</f>
        <v/>
      </c>
      <c r="T208" s="32">
        <f>IF(A208="","",IF(C208="✗","Skipped",IF(Q208&gt;0,"Paid","Upcoming")))</f>
        <v/>
      </c>
      <c r="U208" s="36">
        <f>IF(A208="",0,IF(C208="✗",0,IF(L208&lt;&gt;"",L208,F208)))</f>
        <v/>
      </c>
    </row>
    <row r="209">
      <c r="A209" s="39">
        <f>IFERROR(SMALL(Calc!$B$2:$BB$61,204),"")</f>
        <v/>
      </c>
      <c r="B209" s="39">
        <f>IF(A209="","",ROUND(MOD(A209,1)*1000,0))</f>
        <v/>
      </c>
      <c r="C209" s="33" t="n"/>
      <c r="D209" s="40">
        <f>IF(A209="","",INT(A209))</f>
        <v/>
      </c>
      <c r="E209" s="41">
        <f>IF(B209="","",INDEX(Setup!$D$25:$D$84,B209))</f>
        <v/>
      </c>
      <c r="F209" s="42">
        <f>IF(B209="","",INDEX(Setup!$E$25:$E$84,B209))</f>
        <v/>
      </c>
      <c r="G209" s="39">
        <f>IF(B209="","",INDEX(Setup!$I$25:$I$84,B209)&amp;"")</f>
        <v/>
      </c>
      <c r="H209" s="39">
        <f>IF(B209="","",INDEX(Setup!$J$25:$J$84,B209)&amp;"")</f>
        <v/>
      </c>
      <c r="I209" s="39">
        <f>IF(B209="","",INDEX(Setup!$C$25:$C$84,B209))</f>
        <v/>
      </c>
      <c r="J209" s="39" t="n"/>
      <c r="K209" s="37" t="n"/>
      <c r="L209" s="38" t="n"/>
      <c r="M209" s="33" t="n"/>
      <c r="N209" s="33" t="n"/>
      <c r="O209" s="39" t="n"/>
      <c r="P209" s="40">
        <f>IF(A209="","",IF(K209&lt;&gt;"",K209,D209))</f>
        <v/>
      </c>
      <c r="Q209" s="42">
        <f>IF(A209="",0,IF(C209="✗",0,IF(OR(C209="✓",AND(Setup!$D$7="Yes",P209&lt;=TODAY())),IF(L209&lt;&gt;"",L209,F209),0)))</f>
        <v/>
      </c>
      <c r="R209" s="39">
        <f>IF(A209="","",IF(M209&lt;&gt;"",M209,G209))</f>
        <v/>
      </c>
      <c r="S209" s="39">
        <f>IF(A209="","",IF(N209&lt;&gt;"",N209,H209))</f>
        <v/>
      </c>
      <c r="T209" s="39">
        <f>IF(A209="","",IF(C209="✗","Skipped",IF(Q209&gt;0,"Paid","Upcoming")))</f>
        <v/>
      </c>
      <c r="U209" s="42">
        <f>IF(A209="",0,IF(C209="✗",0,IF(L209&lt;&gt;"",L209,F209)))</f>
        <v/>
      </c>
    </row>
    <row r="210">
      <c r="A210" s="32">
        <f>IFERROR(SMALL(Calc!$B$2:$BB$61,205),"")</f>
        <v/>
      </c>
      <c r="B210" s="32">
        <f>IF(A210="","",ROUND(MOD(A210,1)*1000,0))</f>
        <v/>
      </c>
      <c r="C210" s="33" t="n"/>
      <c r="D210" s="34">
        <f>IF(A210="","",INT(A210))</f>
        <v/>
      </c>
      <c r="E210" s="35">
        <f>IF(B210="","",INDEX(Setup!$D$25:$D$84,B210))</f>
        <v/>
      </c>
      <c r="F210" s="36">
        <f>IF(B210="","",INDEX(Setup!$E$25:$E$84,B210))</f>
        <v/>
      </c>
      <c r="G210" s="32">
        <f>IF(B210="","",INDEX(Setup!$I$25:$I$84,B210)&amp;"")</f>
        <v/>
      </c>
      <c r="H210" s="32">
        <f>IF(B210="","",INDEX(Setup!$J$25:$J$84,B210)&amp;"")</f>
        <v/>
      </c>
      <c r="I210" s="32">
        <f>IF(B210="","",INDEX(Setup!$C$25:$C$84,B210))</f>
        <v/>
      </c>
      <c r="J210" s="32" t="n"/>
      <c r="K210" s="37" t="n"/>
      <c r="L210" s="38" t="n"/>
      <c r="M210" s="33" t="n"/>
      <c r="N210" s="33" t="n"/>
      <c r="O210" s="32" t="n"/>
      <c r="P210" s="34">
        <f>IF(A210="","",IF(K210&lt;&gt;"",K210,D210))</f>
        <v/>
      </c>
      <c r="Q210" s="36">
        <f>IF(A210="",0,IF(C210="✗",0,IF(OR(C210="✓",AND(Setup!$D$7="Yes",P210&lt;=TODAY())),IF(L210&lt;&gt;"",L210,F210),0)))</f>
        <v/>
      </c>
      <c r="R210" s="32">
        <f>IF(A210="","",IF(M210&lt;&gt;"",M210,G210))</f>
        <v/>
      </c>
      <c r="S210" s="32">
        <f>IF(A210="","",IF(N210&lt;&gt;"",N210,H210))</f>
        <v/>
      </c>
      <c r="T210" s="32">
        <f>IF(A210="","",IF(C210="✗","Skipped",IF(Q210&gt;0,"Paid","Upcoming")))</f>
        <v/>
      </c>
      <c r="U210" s="36">
        <f>IF(A210="",0,IF(C210="✗",0,IF(L210&lt;&gt;"",L210,F210)))</f>
        <v/>
      </c>
    </row>
    <row r="211">
      <c r="A211" s="39">
        <f>IFERROR(SMALL(Calc!$B$2:$BB$61,206),"")</f>
        <v/>
      </c>
      <c r="B211" s="39">
        <f>IF(A211="","",ROUND(MOD(A211,1)*1000,0))</f>
        <v/>
      </c>
      <c r="C211" s="33" t="n"/>
      <c r="D211" s="40">
        <f>IF(A211="","",INT(A211))</f>
        <v/>
      </c>
      <c r="E211" s="41">
        <f>IF(B211="","",INDEX(Setup!$D$25:$D$84,B211))</f>
        <v/>
      </c>
      <c r="F211" s="42">
        <f>IF(B211="","",INDEX(Setup!$E$25:$E$84,B211))</f>
        <v/>
      </c>
      <c r="G211" s="39">
        <f>IF(B211="","",INDEX(Setup!$I$25:$I$84,B211)&amp;"")</f>
        <v/>
      </c>
      <c r="H211" s="39">
        <f>IF(B211="","",INDEX(Setup!$J$25:$J$84,B211)&amp;"")</f>
        <v/>
      </c>
      <c r="I211" s="39">
        <f>IF(B211="","",INDEX(Setup!$C$25:$C$84,B211))</f>
        <v/>
      </c>
      <c r="J211" s="39" t="n"/>
      <c r="K211" s="37" t="n"/>
      <c r="L211" s="38" t="n"/>
      <c r="M211" s="33" t="n"/>
      <c r="N211" s="33" t="n"/>
      <c r="O211" s="39" t="n"/>
      <c r="P211" s="40">
        <f>IF(A211="","",IF(K211&lt;&gt;"",K211,D211))</f>
        <v/>
      </c>
      <c r="Q211" s="42">
        <f>IF(A211="",0,IF(C211="✗",0,IF(OR(C211="✓",AND(Setup!$D$7="Yes",P211&lt;=TODAY())),IF(L211&lt;&gt;"",L211,F211),0)))</f>
        <v/>
      </c>
      <c r="R211" s="39">
        <f>IF(A211="","",IF(M211&lt;&gt;"",M211,G211))</f>
        <v/>
      </c>
      <c r="S211" s="39">
        <f>IF(A211="","",IF(N211&lt;&gt;"",N211,H211))</f>
        <v/>
      </c>
      <c r="T211" s="39">
        <f>IF(A211="","",IF(C211="✗","Skipped",IF(Q211&gt;0,"Paid","Upcoming")))</f>
        <v/>
      </c>
      <c r="U211" s="42">
        <f>IF(A211="",0,IF(C211="✗",0,IF(L211&lt;&gt;"",L211,F211)))</f>
        <v/>
      </c>
    </row>
    <row r="212">
      <c r="A212" s="32">
        <f>IFERROR(SMALL(Calc!$B$2:$BB$61,207),"")</f>
        <v/>
      </c>
      <c r="B212" s="32">
        <f>IF(A212="","",ROUND(MOD(A212,1)*1000,0))</f>
        <v/>
      </c>
      <c r="C212" s="33" t="n"/>
      <c r="D212" s="34">
        <f>IF(A212="","",INT(A212))</f>
        <v/>
      </c>
      <c r="E212" s="35">
        <f>IF(B212="","",INDEX(Setup!$D$25:$D$84,B212))</f>
        <v/>
      </c>
      <c r="F212" s="36">
        <f>IF(B212="","",INDEX(Setup!$E$25:$E$84,B212))</f>
        <v/>
      </c>
      <c r="G212" s="32">
        <f>IF(B212="","",INDEX(Setup!$I$25:$I$84,B212)&amp;"")</f>
        <v/>
      </c>
      <c r="H212" s="32">
        <f>IF(B212="","",INDEX(Setup!$J$25:$J$84,B212)&amp;"")</f>
        <v/>
      </c>
      <c r="I212" s="32">
        <f>IF(B212="","",INDEX(Setup!$C$25:$C$84,B212))</f>
        <v/>
      </c>
      <c r="J212" s="32" t="n"/>
      <c r="K212" s="37" t="n"/>
      <c r="L212" s="38" t="n"/>
      <c r="M212" s="33" t="n"/>
      <c r="N212" s="33" t="n"/>
      <c r="O212" s="32" t="n"/>
      <c r="P212" s="34">
        <f>IF(A212="","",IF(K212&lt;&gt;"",K212,D212))</f>
        <v/>
      </c>
      <c r="Q212" s="36">
        <f>IF(A212="",0,IF(C212="✗",0,IF(OR(C212="✓",AND(Setup!$D$7="Yes",P212&lt;=TODAY())),IF(L212&lt;&gt;"",L212,F212),0)))</f>
        <v/>
      </c>
      <c r="R212" s="32">
        <f>IF(A212="","",IF(M212&lt;&gt;"",M212,G212))</f>
        <v/>
      </c>
      <c r="S212" s="32">
        <f>IF(A212="","",IF(N212&lt;&gt;"",N212,H212))</f>
        <v/>
      </c>
      <c r="T212" s="32">
        <f>IF(A212="","",IF(C212="✗","Skipped",IF(Q212&gt;0,"Paid","Upcoming")))</f>
        <v/>
      </c>
      <c r="U212" s="36">
        <f>IF(A212="",0,IF(C212="✗",0,IF(L212&lt;&gt;"",L212,F212)))</f>
        <v/>
      </c>
    </row>
    <row r="213">
      <c r="A213" s="39">
        <f>IFERROR(SMALL(Calc!$B$2:$BB$61,208),"")</f>
        <v/>
      </c>
      <c r="B213" s="39">
        <f>IF(A213="","",ROUND(MOD(A213,1)*1000,0))</f>
        <v/>
      </c>
      <c r="C213" s="33" t="n"/>
      <c r="D213" s="40">
        <f>IF(A213="","",INT(A213))</f>
        <v/>
      </c>
      <c r="E213" s="41">
        <f>IF(B213="","",INDEX(Setup!$D$25:$D$84,B213))</f>
        <v/>
      </c>
      <c r="F213" s="42">
        <f>IF(B213="","",INDEX(Setup!$E$25:$E$84,B213))</f>
        <v/>
      </c>
      <c r="G213" s="39">
        <f>IF(B213="","",INDEX(Setup!$I$25:$I$84,B213)&amp;"")</f>
        <v/>
      </c>
      <c r="H213" s="39">
        <f>IF(B213="","",INDEX(Setup!$J$25:$J$84,B213)&amp;"")</f>
        <v/>
      </c>
      <c r="I213" s="39">
        <f>IF(B213="","",INDEX(Setup!$C$25:$C$84,B213))</f>
        <v/>
      </c>
      <c r="J213" s="39" t="n"/>
      <c r="K213" s="37" t="n"/>
      <c r="L213" s="38" t="n"/>
      <c r="M213" s="33" t="n"/>
      <c r="N213" s="33" t="n"/>
      <c r="O213" s="39" t="n"/>
      <c r="P213" s="40">
        <f>IF(A213="","",IF(K213&lt;&gt;"",K213,D213))</f>
        <v/>
      </c>
      <c r="Q213" s="42">
        <f>IF(A213="",0,IF(C213="✗",0,IF(OR(C213="✓",AND(Setup!$D$7="Yes",P213&lt;=TODAY())),IF(L213&lt;&gt;"",L213,F213),0)))</f>
        <v/>
      </c>
      <c r="R213" s="39">
        <f>IF(A213="","",IF(M213&lt;&gt;"",M213,G213))</f>
        <v/>
      </c>
      <c r="S213" s="39">
        <f>IF(A213="","",IF(N213&lt;&gt;"",N213,H213))</f>
        <v/>
      </c>
      <c r="T213" s="39">
        <f>IF(A213="","",IF(C213="✗","Skipped",IF(Q213&gt;0,"Paid","Upcoming")))</f>
        <v/>
      </c>
      <c r="U213" s="42">
        <f>IF(A213="",0,IF(C213="✗",0,IF(L213&lt;&gt;"",L213,F213)))</f>
        <v/>
      </c>
    </row>
    <row r="214">
      <c r="A214" s="32">
        <f>IFERROR(SMALL(Calc!$B$2:$BB$61,209),"")</f>
        <v/>
      </c>
      <c r="B214" s="32">
        <f>IF(A214="","",ROUND(MOD(A214,1)*1000,0))</f>
        <v/>
      </c>
      <c r="C214" s="33" t="n"/>
      <c r="D214" s="34">
        <f>IF(A214="","",INT(A214))</f>
        <v/>
      </c>
      <c r="E214" s="35">
        <f>IF(B214="","",INDEX(Setup!$D$25:$D$84,B214))</f>
        <v/>
      </c>
      <c r="F214" s="36">
        <f>IF(B214="","",INDEX(Setup!$E$25:$E$84,B214))</f>
        <v/>
      </c>
      <c r="G214" s="32">
        <f>IF(B214="","",INDEX(Setup!$I$25:$I$84,B214)&amp;"")</f>
        <v/>
      </c>
      <c r="H214" s="32">
        <f>IF(B214="","",INDEX(Setup!$J$25:$J$84,B214)&amp;"")</f>
        <v/>
      </c>
      <c r="I214" s="32">
        <f>IF(B214="","",INDEX(Setup!$C$25:$C$84,B214))</f>
        <v/>
      </c>
      <c r="J214" s="32" t="n"/>
      <c r="K214" s="37" t="n"/>
      <c r="L214" s="38" t="n"/>
      <c r="M214" s="33" t="n"/>
      <c r="N214" s="33" t="n"/>
      <c r="O214" s="32" t="n"/>
      <c r="P214" s="34">
        <f>IF(A214="","",IF(K214&lt;&gt;"",K214,D214))</f>
        <v/>
      </c>
      <c r="Q214" s="36">
        <f>IF(A214="",0,IF(C214="✗",0,IF(OR(C214="✓",AND(Setup!$D$7="Yes",P214&lt;=TODAY())),IF(L214&lt;&gt;"",L214,F214),0)))</f>
        <v/>
      </c>
      <c r="R214" s="32">
        <f>IF(A214="","",IF(M214&lt;&gt;"",M214,G214))</f>
        <v/>
      </c>
      <c r="S214" s="32">
        <f>IF(A214="","",IF(N214&lt;&gt;"",N214,H214))</f>
        <v/>
      </c>
      <c r="T214" s="32">
        <f>IF(A214="","",IF(C214="✗","Skipped",IF(Q214&gt;0,"Paid","Upcoming")))</f>
        <v/>
      </c>
      <c r="U214" s="36">
        <f>IF(A214="",0,IF(C214="✗",0,IF(L214&lt;&gt;"",L214,F214)))</f>
        <v/>
      </c>
    </row>
    <row r="215">
      <c r="A215" s="39">
        <f>IFERROR(SMALL(Calc!$B$2:$BB$61,210),"")</f>
        <v/>
      </c>
      <c r="B215" s="39">
        <f>IF(A215="","",ROUND(MOD(A215,1)*1000,0))</f>
        <v/>
      </c>
      <c r="C215" s="33" t="n"/>
      <c r="D215" s="40">
        <f>IF(A215="","",INT(A215))</f>
        <v/>
      </c>
      <c r="E215" s="41">
        <f>IF(B215="","",INDEX(Setup!$D$25:$D$84,B215))</f>
        <v/>
      </c>
      <c r="F215" s="42">
        <f>IF(B215="","",INDEX(Setup!$E$25:$E$84,B215))</f>
        <v/>
      </c>
      <c r="G215" s="39">
        <f>IF(B215="","",INDEX(Setup!$I$25:$I$84,B215)&amp;"")</f>
        <v/>
      </c>
      <c r="H215" s="39">
        <f>IF(B215="","",INDEX(Setup!$J$25:$J$84,B215)&amp;"")</f>
        <v/>
      </c>
      <c r="I215" s="39">
        <f>IF(B215="","",INDEX(Setup!$C$25:$C$84,B215))</f>
        <v/>
      </c>
      <c r="J215" s="39" t="n"/>
      <c r="K215" s="37" t="n"/>
      <c r="L215" s="38" t="n"/>
      <c r="M215" s="33" t="n"/>
      <c r="N215" s="33" t="n"/>
      <c r="O215" s="39" t="n"/>
      <c r="P215" s="40">
        <f>IF(A215="","",IF(K215&lt;&gt;"",K215,D215))</f>
        <v/>
      </c>
      <c r="Q215" s="42">
        <f>IF(A215="",0,IF(C215="✗",0,IF(OR(C215="✓",AND(Setup!$D$7="Yes",P215&lt;=TODAY())),IF(L215&lt;&gt;"",L215,F215),0)))</f>
        <v/>
      </c>
      <c r="R215" s="39">
        <f>IF(A215="","",IF(M215&lt;&gt;"",M215,G215))</f>
        <v/>
      </c>
      <c r="S215" s="39">
        <f>IF(A215="","",IF(N215&lt;&gt;"",N215,H215))</f>
        <v/>
      </c>
      <c r="T215" s="39">
        <f>IF(A215="","",IF(C215="✗","Skipped",IF(Q215&gt;0,"Paid","Upcoming")))</f>
        <v/>
      </c>
      <c r="U215" s="42">
        <f>IF(A215="",0,IF(C215="✗",0,IF(L215&lt;&gt;"",L215,F215)))</f>
        <v/>
      </c>
    </row>
    <row r="216">
      <c r="A216" s="32">
        <f>IFERROR(SMALL(Calc!$B$2:$BB$61,211),"")</f>
        <v/>
      </c>
      <c r="B216" s="32">
        <f>IF(A216="","",ROUND(MOD(A216,1)*1000,0))</f>
        <v/>
      </c>
      <c r="C216" s="33" t="n"/>
      <c r="D216" s="34">
        <f>IF(A216="","",INT(A216))</f>
        <v/>
      </c>
      <c r="E216" s="35">
        <f>IF(B216="","",INDEX(Setup!$D$25:$D$84,B216))</f>
        <v/>
      </c>
      <c r="F216" s="36">
        <f>IF(B216="","",INDEX(Setup!$E$25:$E$84,B216))</f>
        <v/>
      </c>
      <c r="G216" s="32">
        <f>IF(B216="","",INDEX(Setup!$I$25:$I$84,B216)&amp;"")</f>
        <v/>
      </c>
      <c r="H216" s="32">
        <f>IF(B216="","",INDEX(Setup!$J$25:$J$84,B216)&amp;"")</f>
        <v/>
      </c>
      <c r="I216" s="32">
        <f>IF(B216="","",INDEX(Setup!$C$25:$C$84,B216))</f>
        <v/>
      </c>
      <c r="J216" s="32" t="n"/>
      <c r="K216" s="37" t="n"/>
      <c r="L216" s="38" t="n"/>
      <c r="M216" s="33" t="n"/>
      <c r="N216" s="33" t="n"/>
      <c r="O216" s="32" t="n"/>
      <c r="P216" s="34">
        <f>IF(A216="","",IF(K216&lt;&gt;"",K216,D216))</f>
        <v/>
      </c>
      <c r="Q216" s="36">
        <f>IF(A216="",0,IF(C216="✗",0,IF(OR(C216="✓",AND(Setup!$D$7="Yes",P216&lt;=TODAY())),IF(L216&lt;&gt;"",L216,F216),0)))</f>
        <v/>
      </c>
      <c r="R216" s="32">
        <f>IF(A216="","",IF(M216&lt;&gt;"",M216,G216))</f>
        <v/>
      </c>
      <c r="S216" s="32">
        <f>IF(A216="","",IF(N216&lt;&gt;"",N216,H216))</f>
        <v/>
      </c>
      <c r="T216" s="32">
        <f>IF(A216="","",IF(C216="✗","Skipped",IF(Q216&gt;0,"Paid","Upcoming")))</f>
        <v/>
      </c>
      <c r="U216" s="36">
        <f>IF(A216="",0,IF(C216="✗",0,IF(L216&lt;&gt;"",L216,F216)))</f>
        <v/>
      </c>
    </row>
    <row r="217">
      <c r="A217" s="39">
        <f>IFERROR(SMALL(Calc!$B$2:$BB$61,212),"")</f>
        <v/>
      </c>
      <c r="B217" s="39">
        <f>IF(A217="","",ROUND(MOD(A217,1)*1000,0))</f>
        <v/>
      </c>
      <c r="C217" s="33" t="n"/>
      <c r="D217" s="40">
        <f>IF(A217="","",INT(A217))</f>
        <v/>
      </c>
      <c r="E217" s="41">
        <f>IF(B217="","",INDEX(Setup!$D$25:$D$84,B217))</f>
        <v/>
      </c>
      <c r="F217" s="42">
        <f>IF(B217="","",INDEX(Setup!$E$25:$E$84,B217))</f>
        <v/>
      </c>
      <c r="G217" s="39">
        <f>IF(B217="","",INDEX(Setup!$I$25:$I$84,B217)&amp;"")</f>
        <v/>
      </c>
      <c r="H217" s="39">
        <f>IF(B217="","",INDEX(Setup!$J$25:$J$84,B217)&amp;"")</f>
        <v/>
      </c>
      <c r="I217" s="39">
        <f>IF(B217="","",INDEX(Setup!$C$25:$C$84,B217))</f>
        <v/>
      </c>
      <c r="J217" s="39" t="n"/>
      <c r="K217" s="37" t="n"/>
      <c r="L217" s="38" t="n"/>
      <c r="M217" s="33" t="n"/>
      <c r="N217" s="33" t="n"/>
      <c r="O217" s="39" t="n"/>
      <c r="P217" s="40">
        <f>IF(A217="","",IF(K217&lt;&gt;"",K217,D217))</f>
        <v/>
      </c>
      <c r="Q217" s="42">
        <f>IF(A217="",0,IF(C217="✗",0,IF(OR(C217="✓",AND(Setup!$D$7="Yes",P217&lt;=TODAY())),IF(L217&lt;&gt;"",L217,F217),0)))</f>
        <v/>
      </c>
      <c r="R217" s="39">
        <f>IF(A217="","",IF(M217&lt;&gt;"",M217,G217))</f>
        <v/>
      </c>
      <c r="S217" s="39">
        <f>IF(A217="","",IF(N217&lt;&gt;"",N217,H217))</f>
        <v/>
      </c>
      <c r="T217" s="39">
        <f>IF(A217="","",IF(C217="✗","Skipped",IF(Q217&gt;0,"Paid","Upcoming")))</f>
        <v/>
      </c>
      <c r="U217" s="42">
        <f>IF(A217="",0,IF(C217="✗",0,IF(L217&lt;&gt;"",L217,F217)))</f>
        <v/>
      </c>
    </row>
    <row r="218">
      <c r="A218" s="32">
        <f>IFERROR(SMALL(Calc!$B$2:$BB$61,213),"")</f>
        <v/>
      </c>
      <c r="B218" s="32">
        <f>IF(A218="","",ROUND(MOD(A218,1)*1000,0))</f>
        <v/>
      </c>
      <c r="C218" s="33" t="n"/>
      <c r="D218" s="34">
        <f>IF(A218="","",INT(A218))</f>
        <v/>
      </c>
      <c r="E218" s="35">
        <f>IF(B218="","",INDEX(Setup!$D$25:$D$84,B218))</f>
        <v/>
      </c>
      <c r="F218" s="36">
        <f>IF(B218="","",INDEX(Setup!$E$25:$E$84,B218))</f>
        <v/>
      </c>
      <c r="G218" s="32">
        <f>IF(B218="","",INDEX(Setup!$I$25:$I$84,B218)&amp;"")</f>
        <v/>
      </c>
      <c r="H218" s="32">
        <f>IF(B218="","",INDEX(Setup!$J$25:$J$84,B218)&amp;"")</f>
        <v/>
      </c>
      <c r="I218" s="32">
        <f>IF(B218="","",INDEX(Setup!$C$25:$C$84,B218))</f>
        <v/>
      </c>
      <c r="J218" s="32" t="n"/>
      <c r="K218" s="37" t="n"/>
      <c r="L218" s="38" t="n"/>
      <c r="M218" s="33" t="n"/>
      <c r="N218" s="33" t="n"/>
      <c r="O218" s="32" t="n"/>
      <c r="P218" s="34">
        <f>IF(A218="","",IF(K218&lt;&gt;"",K218,D218))</f>
        <v/>
      </c>
      <c r="Q218" s="36">
        <f>IF(A218="",0,IF(C218="✗",0,IF(OR(C218="✓",AND(Setup!$D$7="Yes",P218&lt;=TODAY())),IF(L218&lt;&gt;"",L218,F218),0)))</f>
        <v/>
      </c>
      <c r="R218" s="32">
        <f>IF(A218="","",IF(M218&lt;&gt;"",M218,G218))</f>
        <v/>
      </c>
      <c r="S218" s="32">
        <f>IF(A218="","",IF(N218&lt;&gt;"",N218,H218))</f>
        <v/>
      </c>
      <c r="T218" s="32">
        <f>IF(A218="","",IF(C218="✗","Skipped",IF(Q218&gt;0,"Paid","Upcoming")))</f>
        <v/>
      </c>
      <c r="U218" s="36">
        <f>IF(A218="",0,IF(C218="✗",0,IF(L218&lt;&gt;"",L218,F218)))</f>
        <v/>
      </c>
    </row>
    <row r="219">
      <c r="A219" s="39">
        <f>IFERROR(SMALL(Calc!$B$2:$BB$61,214),"")</f>
        <v/>
      </c>
      <c r="B219" s="39">
        <f>IF(A219="","",ROUND(MOD(A219,1)*1000,0))</f>
        <v/>
      </c>
      <c r="C219" s="33" t="n"/>
      <c r="D219" s="40">
        <f>IF(A219="","",INT(A219))</f>
        <v/>
      </c>
      <c r="E219" s="41">
        <f>IF(B219="","",INDEX(Setup!$D$25:$D$84,B219))</f>
        <v/>
      </c>
      <c r="F219" s="42">
        <f>IF(B219="","",INDEX(Setup!$E$25:$E$84,B219))</f>
        <v/>
      </c>
      <c r="G219" s="39">
        <f>IF(B219="","",INDEX(Setup!$I$25:$I$84,B219)&amp;"")</f>
        <v/>
      </c>
      <c r="H219" s="39">
        <f>IF(B219="","",INDEX(Setup!$J$25:$J$84,B219)&amp;"")</f>
        <v/>
      </c>
      <c r="I219" s="39">
        <f>IF(B219="","",INDEX(Setup!$C$25:$C$84,B219))</f>
        <v/>
      </c>
      <c r="J219" s="39" t="n"/>
      <c r="K219" s="37" t="n"/>
      <c r="L219" s="38" t="n"/>
      <c r="M219" s="33" t="n"/>
      <c r="N219" s="33" t="n"/>
      <c r="O219" s="39" t="n"/>
      <c r="P219" s="40">
        <f>IF(A219="","",IF(K219&lt;&gt;"",K219,D219))</f>
        <v/>
      </c>
      <c r="Q219" s="42">
        <f>IF(A219="",0,IF(C219="✗",0,IF(OR(C219="✓",AND(Setup!$D$7="Yes",P219&lt;=TODAY())),IF(L219&lt;&gt;"",L219,F219),0)))</f>
        <v/>
      </c>
      <c r="R219" s="39">
        <f>IF(A219="","",IF(M219&lt;&gt;"",M219,G219))</f>
        <v/>
      </c>
      <c r="S219" s="39">
        <f>IF(A219="","",IF(N219&lt;&gt;"",N219,H219))</f>
        <v/>
      </c>
      <c r="T219" s="39">
        <f>IF(A219="","",IF(C219="✗","Skipped",IF(Q219&gt;0,"Paid","Upcoming")))</f>
        <v/>
      </c>
      <c r="U219" s="42">
        <f>IF(A219="",0,IF(C219="✗",0,IF(L219&lt;&gt;"",L219,F219)))</f>
        <v/>
      </c>
    </row>
    <row r="220">
      <c r="A220" s="32">
        <f>IFERROR(SMALL(Calc!$B$2:$BB$61,215),"")</f>
        <v/>
      </c>
      <c r="B220" s="32">
        <f>IF(A220="","",ROUND(MOD(A220,1)*1000,0))</f>
        <v/>
      </c>
      <c r="C220" s="33" t="n"/>
      <c r="D220" s="34">
        <f>IF(A220="","",INT(A220))</f>
        <v/>
      </c>
      <c r="E220" s="35">
        <f>IF(B220="","",INDEX(Setup!$D$25:$D$84,B220))</f>
        <v/>
      </c>
      <c r="F220" s="36">
        <f>IF(B220="","",INDEX(Setup!$E$25:$E$84,B220))</f>
        <v/>
      </c>
      <c r="G220" s="32">
        <f>IF(B220="","",INDEX(Setup!$I$25:$I$84,B220)&amp;"")</f>
        <v/>
      </c>
      <c r="H220" s="32">
        <f>IF(B220="","",INDEX(Setup!$J$25:$J$84,B220)&amp;"")</f>
        <v/>
      </c>
      <c r="I220" s="32">
        <f>IF(B220="","",INDEX(Setup!$C$25:$C$84,B220))</f>
        <v/>
      </c>
      <c r="J220" s="32" t="n"/>
      <c r="K220" s="37" t="n"/>
      <c r="L220" s="38" t="n"/>
      <c r="M220" s="33" t="n"/>
      <c r="N220" s="33" t="n"/>
      <c r="O220" s="32" t="n"/>
      <c r="P220" s="34">
        <f>IF(A220="","",IF(K220&lt;&gt;"",K220,D220))</f>
        <v/>
      </c>
      <c r="Q220" s="36">
        <f>IF(A220="",0,IF(C220="✗",0,IF(OR(C220="✓",AND(Setup!$D$7="Yes",P220&lt;=TODAY())),IF(L220&lt;&gt;"",L220,F220),0)))</f>
        <v/>
      </c>
      <c r="R220" s="32">
        <f>IF(A220="","",IF(M220&lt;&gt;"",M220,G220))</f>
        <v/>
      </c>
      <c r="S220" s="32">
        <f>IF(A220="","",IF(N220&lt;&gt;"",N220,H220))</f>
        <v/>
      </c>
      <c r="T220" s="32">
        <f>IF(A220="","",IF(C220="✗","Skipped",IF(Q220&gt;0,"Paid","Upcoming")))</f>
        <v/>
      </c>
      <c r="U220" s="36">
        <f>IF(A220="",0,IF(C220="✗",0,IF(L220&lt;&gt;"",L220,F220)))</f>
        <v/>
      </c>
    </row>
    <row r="221">
      <c r="A221" s="39">
        <f>IFERROR(SMALL(Calc!$B$2:$BB$61,216),"")</f>
        <v/>
      </c>
      <c r="B221" s="39">
        <f>IF(A221="","",ROUND(MOD(A221,1)*1000,0))</f>
        <v/>
      </c>
      <c r="C221" s="33" t="n"/>
      <c r="D221" s="40">
        <f>IF(A221="","",INT(A221))</f>
        <v/>
      </c>
      <c r="E221" s="41">
        <f>IF(B221="","",INDEX(Setup!$D$25:$D$84,B221))</f>
        <v/>
      </c>
      <c r="F221" s="42">
        <f>IF(B221="","",INDEX(Setup!$E$25:$E$84,B221))</f>
        <v/>
      </c>
      <c r="G221" s="39">
        <f>IF(B221="","",INDEX(Setup!$I$25:$I$84,B221)&amp;"")</f>
        <v/>
      </c>
      <c r="H221" s="39">
        <f>IF(B221="","",INDEX(Setup!$J$25:$J$84,B221)&amp;"")</f>
        <v/>
      </c>
      <c r="I221" s="39">
        <f>IF(B221="","",INDEX(Setup!$C$25:$C$84,B221))</f>
        <v/>
      </c>
      <c r="J221" s="39" t="n"/>
      <c r="K221" s="37" t="n"/>
      <c r="L221" s="38" t="n"/>
      <c r="M221" s="33" t="n"/>
      <c r="N221" s="33" t="n"/>
      <c r="O221" s="39" t="n"/>
      <c r="P221" s="40">
        <f>IF(A221="","",IF(K221&lt;&gt;"",K221,D221))</f>
        <v/>
      </c>
      <c r="Q221" s="42">
        <f>IF(A221="",0,IF(C221="✗",0,IF(OR(C221="✓",AND(Setup!$D$7="Yes",P221&lt;=TODAY())),IF(L221&lt;&gt;"",L221,F221),0)))</f>
        <v/>
      </c>
      <c r="R221" s="39">
        <f>IF(A221="","",IF(M221&lt;&gt;"",M221,G221))</f>
        <v/>
      </c>
      <c r="S221" s="39">
        <f>IF(A221="","",IF(N221&lt;&gt;"",N221,H221))</f>
        <v/>
      </c>
      <c r="T221" s="39">
        <f>IF(A221="","",IF(C221="✗","Skipped",IF(Q221&gt;0,"Paid","Upcoming")))</f>
        <v/>
      </c>
      <c r="U221" s="42">
        <f>IF(A221="",0,IF(C221="✗",0,IF(L221&lt;&gt;"",L221,F221)))</f>
        <v/>
      </c>
    </row>
    <row r="222">
      <c r="A222" s="32">
        <f>IFERROR(SMALL(Calc!$B$2:$BB$61,217),"")</f>
        <v/>
      </c>
      <c r="B222" s="32">
        <f>IF(A222="","",ROUND(MOD(A222,1)*1000,0))</f>
        <v/>
      </c>
      <c r="C222" s="33" t="n"/>
      <c r="D222" s="34">
        <f>IF(A222="","",INT(A222))</f>
        <v/>
      </c>
      <c r="E222" s="35">
        <f>IF(B222="","",INDEX(Setup!$D$25:$D$84,B222))</f>
        <v/>
      </c>
      <c r="F222" s="36">
        <f>IF(B222="","",INDEX(Setup!$E$25:$E$84,B222))</f>
        <v/>
      </c>
      <c r="G222" s="32">
        <f>IF(B222="","",INDEX(Setup!$I$25:$I$84,B222)&amp;"")</f>
        <v/>
      </c>
      <c r="H222" s="32">
        <f>IF(B222="","",INDEX(Setup!$J$25:$J$84,B222)&amp;"")</f>
        <v/>
      </c>
      <c r="I222" s="32">
        <f>IF(B222="","",INDEX(Setup!$C$25:$C$84,B222))</f>
        <v/>
      </c>
      <c r="J222" s="32" t="n"/>
      <c r="K222" s="37" t="n"/>
      <c r="L222" s="38" t="n"/>
      <c r="M222" s="33" t="n"/>
      <c r="N222" s="33" t="n"/>
      <c r="O222" s="32" t="n"/>
      <c r="P222" s="34">
        <f>IF(A222="","",IF(K222&lt;&gt;"",K222,D222))</f>
        <v/>
      </c>
      <c r="Q222" s="36">
        <f>IF(A222="",0,IF(C222="✗",0,IF(OR(C222="✓",AND(Setup!$D$7="Yes",P222&lt;=TODAY())),IF(L222&lt;&gt;"",L222,F222),0)))</f>
        <v/>
      </c>
      <c r="R222" s="32">
        <f>IF(A222="","",IF(M222&lt;&gt;"",M222,G222))</f>
        <v/>
      </c>
      <c r="S222" s="32">
        <f>IF(A222="","",IF(N222&lt;&gt;"",N222,H222))</f>
        <v/>
      </c>
      <c r="T222" s="32">
        <f>IF(A222="","",IF(C222="✗","Skipped",IF(Q222&gt;0,"Paid","Upcoming")))</f>
        <v/>
      </c>
      <c r="U222" s="36">
        <f>IF(A222="",0,IF(C222="✗",0,IF(L222&lt;&gt;"",L222,F222)))</f>
        <v/>
      </c>
    </row>
    <row r="223">
      <c r="A223" s="39">
        <f>IFERROR(SMALL(Calc!$B$2:$BB$61,218),"")</f>
        <v/>
      </c>
      <c r="B223" s="39">
        <f>IF(A223="","",ROUND(MOD(A223,1)*1000,0))</f>
        <v/>
      </c>
      <c r="C223" s="33" t="n"/>
      <c r="D223" s="40">
        <f>IF(A223="","",INT(A223))</f>
        <v/>
      </c>
      <c r="E223" s="41">
        <f>IF(B223="","",INDEX(Setup!$D$25:$D$84,B223))</f>
        <v/>
      </c>
      <c r="F223" s="42">
        <f>IF(B223="","",INDEX(Setup!$E$25:$E$84,B223))</f>
        <v/>
      </c>
      <c r="G223" s="39">
        <f>IF(B223="","",INDEX(Setup!$I$25:$I$84,B223)&amp;"")</f>
        <v/>
      </c>
      <c r="H223" s="39">
        <f>IF(B223="","",INDEX(Setup!$J$25:$J$84,B223)&amp;"")</f>
        <v/>
      </c>
      <c r="I223" s="39">
        <f>IF(B223="","",INDEX(Setup!$C$25:$C$84,B223))</f>
        <v/>
      </c>
      <c r="J223" s="39" t="n"/>
      <c r="K223" s="37" t="n"/>
      <c r="L223" s="38" t="n"/>
      <c r="M223" s="33" t="n"/>
      <c r="N223" s="33" t="n"/>
      <c r="O223" s="39" t="n"/>
      <c r="P223" s="40">
        <f>IF(A223="","",IF(K223&lt;&gt;"",K223,D223))</f>
        <v/>
      </c>
      <c r="Q223" s="42">
        <f>IF(A223="",0,IF(C223="✗",0,IF(OR(C223="✓",AND(Setup!$D$7="Yes",P223&lt;=TODAY())),IF(L223&lt;&gt;"",L223,F223),0)))</f>
        <v/>
      </c>
      <c r="R223" s="39">
        <f>IF(A223="","",IF(M223&lt;&gt;"",M223,G223))</f>
        <v/>
      </c>
      <c r="S223" s="39">
        <f>IF(A223="","",IF(N223&lt;&gt;"",N223,H223))</f>
        <v/>
      </c>
      <c r="T223" s="39">
        <f>IF(A223="","",IF(C223="✗","Skipped",IF(Q223&gt;0,"Paid","Upcoming")))</f>
        <v/>
      </c>
      <c r="U223" s="42">
        <f>IF(A223="",0,IF(C223="✗",0,IF(L223&lt;&gt;"",L223,F223)))</f>
        <v/>
      </c>
    </row>
    <row r="224">
      <c r="A224" s="32">
        <f>IFERROR(SMALL(Calc!$B$2:$BB$61,219),"")</f>
        <v/>
      </c>
      <c r="B224" s="32">
        <f>IF(A224="","",ROUND(MOD(A224,1)*1000,0))</f>
        <v/>
      </c>
      <c r="C224" s="33" t="n"/>
      <c r="D224" s="34">
        <f>IF(A224="","",INT(A224))</f>
        <v/>
      </c>
      <c r="E224" s="35">
        <f>IF(B224="","",INDEX(Setup!$D$25:$D$84,B224))</f>
        <v/>
      </c>
      <c r="F224" s="36">
        <f>IF(B224="","",INDEX(Setup!$E$25:$E$84,B224))</f>
        <v/>
      </c>
      <c r="G224" s="32">
        <f>IF(B224="","",INDEX(Setup!$I$25:$I$84,B224)&amp;"")</f>
        <v/>
      </c>
      <c r="H224" s="32">
        <f>IF(B224="","",INDEX(Setup!$J$25:$J$84,B224)&amp;"")</f>
        <v/>
      </c>
      <c r="I224" s="32">
        <f>IF(B224="","",INDEX(Setup!$C$25:$C$84,B224))</f>
        <v/>
      </c>
      <c r="J224" s="32" t="n"/>
      <c r="K224" s="37" t="n"/>
      <c r="L224" s="38" t="n"/>
      <c r="M224" s="33" t="n"/>
      <c r="N224" s="33" t="n"/>
      <c r="O224" s="32" t="n"/>
      <c r="P224" s="34">
        <f>IF(A224="","",IF(K224&lt;&gt;"",K224,D224))</f>
        <v/>
      </c>
      <c r="Q224" s="36">
        <f>IF(A224="",0,IF(C224="✗",0,IF(OR(C224="✓",AND(Setup!$D$7="Yes",P224&lt;=TODAY())),IF(L224&lt;&gt;"",L224,F224),0)))</f>
        <v/>
      </c>
      <c r="R224" s="32">
        <f>IF(A224="","",IF(M224&lt;&gt;"",M224,G224))</f>
        <v/>
      </c>
      <c r="S224" s="32">
        <f>IF(A224="","",IF(N224&lt;&gt;"",N224,H224))</f>
        <v/>
      </c>
      <c r="T224" s="32">
        <f>IF(A224="","",IF(C224="✗","Skipped",IF(Q224&gt;0,"Paid","Upcoming")))</f>
        <v/>
      </c>
      <c r="U224" s="36">
        <f>IF(A224="",0,IF(C224="✗",0,IF(L224&lt;&gt;"",L224,F224)))</f>
        <v/>
      </c>
    </row>
    <row r="225">
      <c r="A225" s="39">
        <f>IFERROR(SMALL(Calc!$B$2:$BB$61,220),"")</f>
        <v/>
      </c>
      <c r="B225" s="39">
        <f>IF(A225="","",ROUND(MOD(A225,1)*1000,0))</f>
        <v/>
      </c>
      <c r="C225" s="33" t="n"/>
      <c r="D225" s="40">
        <f>IF(A225="","",INT(A225))</f>
        <v/>
      </c>
      <c r="E225" s="41">
        <f>IF(B225="","",INDEX(Setup!$D$25:$D$84,B225))</f>
        <v/>
      </c>
      <c r="F225" s="42">
        <f>IF(B225="","",INDEX(Setup!$E$25:$E$84,B225))</f>
        <v/>
      </c>
      <c r="G225" s="39">
        <f>IF(B225="","",INDEX(Setup!$I$25:$I$84,B225)&amp;"")</f>
        <v/>
      </c>
      <c r="H225" s="39">
        <f>IF(B225="","",INDEX(Setup!$J$25:$J$84,B225)&amp;"")</f>
        <v/>
      </c>
      <c r="I225" s="39">
        <f>IF(B225="","",INDEX(Setup!$C$25:$C$84,B225))</f>
        <v/>
      </c>
      <c r="J225" s="39" t="n"/>
      <c r="K225" s="37" t="n"/>
      <c r="L225" s="38" t="n"/>
      <c r="M225" s="33" t="n"/>
      <c r="N225" s="33" t="n"/>
      <c r="O225" s="39" t="n"/>
      <c r="P225" s="40">
        <f>IF(A225="","",IF(K225&lt;&gt;"",K225,D225))</f>
        <v/>
      </c>
      <c r="Q225" s="42">
        <f>IF(A225="",0,IF(C225="✗",0,IF(OR(C225="✓",AND(Setup!$D$7="Yes",P225&lt;=TODAY())),IF(L225&lt;&gt;"",L225,F225),0)))</f>
        <v/>
      </c>
      <c r="R225" s="39">
        <f>IF(A225="","",IF(M225&lt;&gt;"",M225,G225))</f>
        <v/>
      </c>
      <c r="S225" s="39">
        <f>IF(A225="","",IF(N225&lt;&gt;"",N225,H225))</f>
        <v/>
      </c>
      <c r="T225" s="39">
        <f>IF(A225="","",IF(C225="✗","Skipped",IF(Q225&gt;0,"Paid","Upcoming")))</f>
        <v/>
      </c>
      <c r="U225" s="42">
        <f>IF(A225="",0,IF(C225="✗",0,IF(L225&lt;&gt;"",L225,F225)))</f>
        <v/>
      </c>
    </row>
    <row r="226">
      <c r="A226" s="32">
        <f>IFERROR(SMALL(Calc!$B$2:$BB$61,221),"")</f>
        <v/>
      </c>
      <c r="B226" s="32">
        <f>IF(A226="","",ROUND(MOD(A226,1)*1000,0))</f>
        <v/>
      </c>
      <c r="C226" s="33" t="n"/>
      <c r="D226" s="34">
        <f>IF(A226="","",INT(A226))</f>
        <v/>
      </c>
      <c r="E226" s="35">
        <f>IF(B226="","",INDEX(Setup!$D$25:$D$84,B226))</f>
        <v/>
      </c>
      <c r="F226" s="36">
        <f>IF(B226="","",INDEX(Setup!$E$25:$E$84,B226))</f>
        <v/>
      </c>
      <c r="G226" s="32">
        <f>IF(B226="","",INDEX(Setup!$I$25:$I$84,B226)&amp;"")</f>
        <v/>
      </c>
      <c r="H226" s="32">
        <f>IF(B226="","",INDEX(Setup!$J$25:$J$84,B226)&amp;"")</f>
        <v/>
      </c>
      <c r="I226" s="32">
        <f>IF(B226="","",INDEX(Setup!$C$25:$C$84,B226))</f>
        <v/>
      </c>
      <c r="J226" s="32" t="n"/>
      <c r="K226" s="37" t="n"/>
      <c r="L226" s="38" t="n"/>
      <c r="M226" s="33" t="n"/>
      <c r="N226" s="33" t="n"/>
      <c r="O226" s="32" t="n"/>
      <c r="P226" s="34">
        <f>IF(A226="","",IF(K226&lt;&gt;"",K226,D226))</f>
        <v/>
      </c>
      <c r="Q226" s="36">
        <f>IF(A226="",0,IF(C226="✗",0,IF(OR(C226="✓",AND(Setup!$D$7="Yes",P226&lt;=TODAY())),IF(L226&lt;&gt;"",L226,F226),0)))</f>
        <v/>
      </c>
      <c r="R226" s="32">
        <f>IF(A226="","",IF(M226&lt;&gt;"",M226,G226))</f>
        <v/>
      </c>
      <c r="S226" s="32">
        <f>IF(A226="","",IF(N226&lt;&gt;"",N226,H226))</f>
        <v/>
      </c>
      <c r="T226" s="32">
        <f>IF(A226="","",IF(C226="✗","Skipped",IF(Q226&gt;0,"Paid","Upcoming")))</f>
        <v/>
      </c>
      <c r="U226" s="36">
        <f>IF(A226="",0,IF(C226="✗",0,IF(L226&lt;&gt;"",L226,F226)))</f>
        <v/>
      </c>
    </row>
    <row r="227">
      <c r="A227" s="39">
        <f>IFERROR(SMALL(Calc!$B$2:$BB$61,222),"")</f>
        <v/>
      </c>
      <c r="B227" s="39">
        <f>IF(A227="","",ROUND(MOD(A227,1)*1000,0))</f>
        <v/>
      </c>
      <c r="C227" s="33" t="n"/>
      <c r="D227" s="40">
        <f>IF(A227="","",INT(A227))</f>
        <v/>
      </c>
      <c r="E227" s="41">
        <f>IF(B227="","",INDEX(Setup!$D$25:$D$84,B227))</f>
        <v/>
      </c>
      <c r="F227" s="42">
        <f>IF(B227="","",INDEX(Setup!$E$25:$E$84,B227))</f>
        <v/>
      </c>
      <c r="G227" s="39">
        <f>IF(B227="","",INDEX(Setup!$I$25:$I$84,B227)&amp;"")</f>
        <v/>
      </c>
      <c r="H227" s="39">
        <f>IF(B227="","",INDEX(Setup!$J$25:$J$84,B227)&amp;"")</f>
        <v/>
      </c>
      <c r="I227" s="39">
        <f>IF(B227="","",INDEX(Setup!$C$25:$C$84,B227))</f>
        <v/>
      </c>
      <c r="J227" s="39" t="n"/>
      <c r="K227" s="37" t="n"/>
      <c r="L227" s="38" t="n"/>
      <c r="M227" s="33" t="n"/>
      <c r="N227" s="33" t="n"/>
      <c r="O227" s="39" t="n"/>
      <c r="P227" s="40">
        <f>IF(A227="","",IF(K227&lt;&gt;"",K227,D227))</f>
        <v/>
      </c>
      <c r="Q227" s="42">
        <f>IF(A227="",0,IF(C227="✗",0,IF(OR(C227="✓",AND(Setup!$D$7="Yes",P227&lt;=TODAY())),IF(L227&lt;&gt;"",L227,F227),0)))</f>
        <v/>
      </c>
      <c r="R227" s="39">
        <f>IF(A227="","",IF(M227&lt;&gt;"",M227,G227))</f>
        <v/>
      </c>
      <c r="S227" s="39">
        <f>IF(A227="","",IF(N227&lt;&gt;"",N227,H227))</f>
        <v/>
      </c>
      <c r="T227" s="39">
        <f>IF(A227="","",IF(C227="✗","Skipped",IF(Q227&gt;0,"Paid","Upcoming")))</f>
        <v/>
      </c>
      <c r="U227" s="42">
        <f>IF(A227="",0,IF(C227="✗",0,IF(L227&lt;&gt;"",L227,F227)))</f>
        <v/>
      </c>
    </row>
    <row r="228">
      <c r="A228" s="32">
        <f>IFERROR(SMALL(Calc!$B$2:$BB$61,223),"")</f>
        <v/>
      </c>
      <c r="B228" s="32">
        <f>IF(A228="","",ROUND(MOD(A228,1)*1000,0))</f>
        <v/>
      </c>
      <c r="C228" s="33" t="n"/>
      <c r="D228" s="34">
        <f>IF(A228="","",INT(A228))</f>
        <v/>
      </c>
      <c r="E228" s="35">
        <f>IF(B228="","",INDEX(Setup!$D$25:$D$84,B228))</f>
        <v/>
      </c>
      <c r="F228" s="36">
        <f>IF(B228="","",INDEX(Setup!$E$25:$E$84,B228))</f>
        <v/>
      </c>
      <c r="G228" s="32">
        <f>IF(B228="","",INDEX(Setup!$I$25:$I$84,B228)&amp;"")</f>
        <v/>
      </c>
      <c r="H228" s="32">
        <f>IF(B228="","",INDEX(Setup!$J$25:$J$84,B228)&amp;"")</f>
        <v/>
      </c>
      <c r="I228" s="32">
        <f>IF(B228="","",INDEX(Setup!$C$25:$C$84,B228))</f>
        <v/>
      </c>
      <c r="J228" s="32" t="n"/>
      <c r="K228" s="37" t="n"/>
      <c r="L228" s="38" t="n"/>
      <c r="M228" s="33" t="n"/>
      <c r="N228" s="33" t="n"/>
      <c r="O228" s="32" t="n"/>
      <c r="P228" s="34">
        <f>IF(A228="","",IF(K228&lt;&gt;"",K228,D228))</f>
        <v/>
      </c>
      <c r="Q228" s="36">
        <f>IF(A228="",0,IF(C228="✗",0,IF(OR(C228="✓",AND(Setup!$D$7="Yes",P228&lt;=TODAY())),IF(L228&lt;&gt;"",L228,F228),0)))</f>
        <v/>
      </c>
      <c r="R228" s="32">
        <f>IF(A228="","",IF(M228&lt;&gt;"",M228,G228))</f>
        <v/>
      </c>
      <c r="S228" s="32">
        <f>IF(A228="","",IF(N228&lt;&gt;"",N228,H228))</f>
        <v/>
      </c>
      <c r="T228" s="32">
        <f>IF(A228="","",IF(C228="✗","Skipped",IF(Q228&gt;0,"Paid","Upcoming")))</f>
        <v/>
      </c>
      <c r="U228" s="36">
        <f>IF(A228="",0,IF(C228="✗",0,IF(L228&lt;&gt;"",L228,F228)))</f>
        <v/>
      </c>
    </row>
    <row r="229">
      <c r="A229" s="39">
        <f>IFERROR(SMALL(Calc!$B$2:$BB$61,224),"")</f>
        <v/>
      </c>
      <c r="B229" s="39">
        <f>IF(A229="","",ROUND(MOD(A229,1)*1000,0))</f>
        <v/>
      </c>
      <c r="C229" s="33" t="n"/>
      <c r="D229" s="40">
        <f>IF(A229="","",INT(A229))</f>
        <v/>
      </c>
      <c r="E229" s="41">
        <f>IF(B229="","",INDEX(Setup!$D$25:$D$84,B229))</f>
        <v/>
      </c>
      <c r="F229" s="42">
        <f>IF(B229="","",INDEX(Setup!$E$25:$E$84,B229))</f>
        <v/>
      </c>
      <c r="G229" s="39">
        <f>IF(B229="","",INDEX(Setup!$I$25:$I$84,B229)&amp;"")</f>
        <v/>
      </c>
      <c r="H229" s="39">
        <f>IF(B229="","",INDEX(Setup!$J$25:$J$84,B229)&amp;"")</f>
        <v/>
      </c>
      <c r="I229" s="39">
        <f>IF(B229="","",INDEX(Setup!$C$25:$C$84,B229))</f>
        <v/>
      </c>
      <c r="J229" s="39" t="n"/>
      <c r="K229" s="37" t="n"/>
      <c r="L229" s="38" t="n"/>
      <c r="M229" s="33" t="n"/>
      <c r="N229" s="33" t="n"/>
      <c r="O229" s="39" t="n"/>
      <c r="P229" s="40">
        <f>IF(A229="","",IF(K229&lt;&gt;"",K229,D229))</f>
        <v/>
      </c>
      <c r="Q229" s="42">
        <f>IF(A229="",0,IF(C229="✗",0,IF(OR(C229="✓",AND(Setup!$D$7="Yes",P229&lt;=TODAY())),IF(L229&lt;&gt;"",L229,F229),0)))</f>
        <v/>
      </c>
      <c r="R229" s="39">
        <f>IF(A229="","",IF(M229&lt;&gt;"",M229,G229))</f>
        <v/>
      </c>
      <c r="S229" s="39">
        <f>IF(A229="","",IF(N229&lt;&gt;"",N229,H229))</f>
        <v/>
      </c>
      <c r="T229" s="39">
        <f>IF(A229="","",IF(C229="✗","Skipped",IF(Q229&gt;0,"Paid","Upcoming")))</f>
        <v/>
      </c>
      <c r="U229" s="42">
        <f>IF(A229="",0,IF(C229="✗",0,IF(L229&lt;&gt;"",L229,F229)))</f>
        <v/>
      </c>
    </row>
    <row r="230">
      <c r="A230" s="32">
        <f>IFERROR(SMALL(Calc!$B$2:$BB$61,225),"")</f>
        <v/>
      </c>
      <c r="B230" s="32">
        <f>IF(A230="","",ROUND(MOD(A230,1)*1000,0))</f>
        <v/>
      </c>
      <c r="C230" s="33" t="n"/>
      <c r="D230" s="34">
        <f>IF(A230="","",INT(A230))</f>
        <v/>
      </c>
      <c r="E230" s="35">
        <f>IF(B230="","",INDEX(Setup!$D$25:$D$84,B230))</f>
        <v/>
      </c>
      <c r="F230" s="36">
        <f>IF(B230="","",INDEX(Setup!$E$25:$E$84,B230))</f>
        <v/>
      </c>
      <c r="G230" s="32">
        <f>IF(B230="","",INDEX(Setup!$I$25:$I$84,B230)&amp;"")</f>
        <v/>
      </c>
      <c r="H230" s="32">
        <f>IF(B230="","",INDEX(Setup!$J$25:$J$84,B230)&amp;"")</f>
        <v/>
      </c>
      <c r="I230" s="32">
        <f>IF(B230="","",INDEX(Setup!$C$25:$C$84,B230))</f>
        <v/>
      </c>
      <c r="J230" s="32" t="n"/>
      <c r="K230" s="37" t="n"/>
      <c r="L230" s="38" t="n"/>
      <c r="M230" s="33" t="n"/>
      <c r="N230" s="33" t="n"/>
      <c r="O230" s="32" t="n"/>
      <c r="P230" s="34">
        <f>IF(A230="","",IF(K230&lt;&gt;"",K230,D230))</f>
        <v/>
      </c>
      <c r="Q230" s="36">
        <f>IF(A230="",0,IF(C230="✗",0,IF(OR(C230="✓",AND(Setup!$D$7="Yes",P230&lt;=TODAY())),IF(L230&lt;&gt;"",L230,F230),0)))</f>
        <v/>
      </c>
      <c r="R230" s="32">
        <f>IF(A230="","",IF(M230&lt;&gt;"",M230,G230))</f>
        <v/>
      </c>
      <c r="S230" s="32">
        <f>IF(A230="","",IF(N230&lt;&gt;"",N230,H230))</f>
        <v/>
      </c>
      <c r="T230" s="32">
        <f>IF(A230="","",IF(C230="✗","Skipped",IF(Q230&gt;0,"Paid","Upcoming")))</f>
        <v/>
      </c>
      <c r="U230" s="36">
        <f>IF(A230="",0,IF(C230="✗",0,IF(L230&lt;&gt;"",L230,F230)))</f>
        <v/>
      </c>
    </row>
    <row r="231">
      <c r="A231" s="39">
        <f>IFERROR(SMALL(Calc!$B$2:$BB$61,226),"")</f>
        <v/>
      </c>
      <c r="B231" s="39">
        <f>IF(A231="","",ROUND(MOD(A231,1)*1000,0))</f>
        <v/>
      </c>
      <c r="C231" s="33" t="n"/>
      <c r="D231" s="40">
        <f>IF(A231="","",INT(A231))</f>
        <v/>
      </c>
      <c r="E231" s="41">
        <f>IF(B231="","",INDEX(Setup!$D$25:$D$84,B231))</f>
        <v/>
      </c>
      <c r="F231" s="42">
        <f>IF(B231="","",INDEX(Setup!$E$25:$E$84,B231))</f>
        <v/>
      </c>
      <c r="G231" s="39">
        <f>IF(B231="","",INDEX(Setup!$I$25:$I$84,B231)&amp;"")</f>
        <v/>
      </c>
      <c r="H231" s="39">
        <f>IF(B231="","",INDEX(Setup!$J$25:$J$84,B231)&amp;"")</f>
        <v/>
      </c>
      <c r="I231" s="39">
        <f>IF(B231="","",INDEX(Setup!$C$25:$C$84,B231))</f>
        <v/>
      </c>
      <c r="J231" s="39" t="n"/>
      <c r="K231" s="37" t="n"/>
      <c r="L231" s="38" t="n"/>
      <c r="M231" s="33" t="n"/>
      <c r="N231" s="33" t="n"/>
      <c r="O231" s="39" t="n"/>
      <c r="P231" s="40">
        <f>IF(A231="","",IF(K231&lt;&gt;"",K231,D231))</f>
        <v/>
      </c>
      <c r="Q231" s="42">
        <f>IF(A231="",0,IF(C231="✗",0,IF(OR(C231="✓",AND(Setup!$D$7="Yes",P231&lt;=TODAY())),IF(L231&lt;&gt;"",L231,F231),0)))</f>
        <v/>
      </c>
      <c r="R231" s="39">
        <f>IF(A231="","",IF(M231&lt;&gt;"",M231,G231))</f>
        <v/>
      </c>
      <c r="S231" s="39">
        <f>IF(A231="","",IF(N231&lt;&gt;"",N231,H231))</f>
        <v/>
      </c>
      <c r="T231" s="39">
        <f>IF(A231="","",IF(C231="✗","Skipped",IF(Q231&gt;0,"Paid","Upcoming")))</f>
        <v/>
      </c>
      <c r="U231" s="42">
        <f>IF(A231="",0,IF(C231="✗",0,IF(L231&lt;&gt;"",L231,F231)))</f>
        <v/>
      </c>
    </row>
    <row r="232">
      <c r="A232" s="32">
        <f>IFERROR(SMALL(Calc!$B$2:$BB$61,227),"")</f>
        <v/>
      </c>
      <c r="B232" s="32">
        <f>IF(A232="","",ROUND(MOD(A232,1)*1000,0))</f>
        <v/>
      </c>
      <c r="C232" s="33" t="n"/>
      <c r="D232" s="34">
        <f>IF(A232="","",INT(A232))</f>
        <v/>
      </c>
      <c r="E232" s="35">
        <f>IF(B232="","",INDEX(Setup!$D$25:$D$84,B232))</f>
        <v/>
      </c>
      <c r="F232" s="36">
        <f>IF(B232="","",INDEX(Setup!$E$25:$E$84,B232))</f>
        <v/>
      </c>
      <c r="G232" s="32">
        <f>IF(B232="","",INDEX(Setup!$I$25:$I$84,B232)&amp;"")</f>
        <v/>
      </c>
      <c r="H232" s="32">
        <f>IF(B232="","",INDEX(Setup!$J$25:$J$84,B232)&amp;"")</f>
        <v/>
      </c>
      <c r="I232" s="32">
        <f>IF(B232="","",INDEX(Setup!$C$25:$C$84,B232))</f>
        <v/>
      </c>
      <c r="J232" s="32" t="n"/>
      <c r="K232" s="37" t="n"/>
      <c r="L232" s="38" t="n"/>
      <c r="M232" s="33" t="n"/>
      <c r="N232" s="33" t="n"/>
      <c r="O232" s="32" t="n"/>
      <c r="P232" s="34">
        <f>IF(A232="","",IF(K232&lt;&gt;"",K232,D232))</f>
        <v/>
      </c>
      <c r="Q232" s="36">
        <f>IF(A232="",0,IF(C232="✗",0,IF(OR(C232="✓",AND(Setup!$D$7="Yes",P232&lt;=TODAY())),IF(L232&lt;&gt;"",L232,F232),0)))</f>
        <v/>
      </c>
      <c r="R232" s="32">
        <f>IF(A232="","",IF(M232&lt;&gt;"",M232,G232))</f>
        <v/>
      </c>
      <c r="S232" s="32">
        <f>IF(A232="","",IF(N232&lt;&gt;"",N232,H232))</f>
        <v/>
      </c>
      <c r="T232" s="32">
        <f>IF(A232="","",IF(C232="✗","Skipped",IF(Q232&gt;0,"Paid","Upcoming")))</f>
        <v/>
      </c>
      <c r="U232" s="36">
        <f>IF(A232="",0,IF(C232="✗",0,IF(L232&lt;&gt;"",L232,F232)))</f>
        <v/>
      </c>
    </row>
    <row r="233">
      <c r="A233" s="39">
        <f>IFERROR(SMALL(Calc!$B$2:$BB$61,228),"")</f>
        <v/>
      </c>
      <c r="B233" s="39">
        <f>IF(A233="","",ROUND(MOD(A233,1)*1000,0))</f>
        <v/>
      </c>
      <c r="C233" s="33" t="n"/>
      <c r="D233" s="40">
        <f>IF(A233="","",INT(A233))</f>
        <v/>
      </c>
      <c r="E233" s="41">
        <f>IF(B233="","",INDEX(Setup!$D$25:$D$84,B233))</f>
        <v/>
      </c>
      <c r="F233" s="42">
        <f>IF(B233="","",INDEX(Setup!$E$25:$E$84,B233))</f>
        <v/>
      </c>
      <c r="G233" s="39">
        <f>IF(B233="","",INDEX(Setup!$I$25:$I$84,B233)&amp;"")</f>
        <v/>
      </c>
      <c r="H233" s="39">
        <f>IF(B233="","",INDEX(Setup!$J$25:$J$84,B233)&amp;"")</f>
        <v/>
      </c>
      <c r="I233" s="39">
        <f>IF(B233="","",INDEX(Setup!$C$25:$C$84,B233))</f>
        <v/>
      </c>
      <c r="J233" s="39" t="n"/>
      <c r="K233" s="37" t="n"/>
      <c r="L233" s="38" t="n"/>
      <c r="M233" s="33" t="n"/>
      <c r="N233" s="33" t="n"/>
      <c r="O233" s="39" t="n"/>
      <c r="P233" s="40">
        <f>IF(A233="","",IF(K233&lt;&gt;"",K233,D233))</f>
        <v/>
      </c>
      <c r="Q233" s="42">
        <f>IF(A233="",0,IF(C233="✗",0,IF(OR(C233="✓",AND(Setup!$D$7="Yes",P233&lt;=TODAY())),IF(L233&lt;&gt;"",L233,F233),0)))</f>
        <v/>
      </c>
      <c r="R233" s="39">
        <f>IF(A233="","",IF(M233&lt;&gt;"",M233,G233))</f>
        <v/>
      </c>
      <c r="S233" s="39">
        <f>IF(A233="","",IF(N233&lt;&gt;"",N233,H233))</f>
        <v/>
      </c>
      <c r="T233" s="39">
        <f>IF(A233="","",IF(C233="✗","Skipped",IF(Q233&gt;0,"Paid","Upcoming")))</f>
        <v/>
      </c>
      <c r="U233" s="42">
        <f>IF(A233="",0,IF(C233="✗",0,IF(L233&lt;&gt;"",L233,F233)))</f>
        <v/>
      </c>
    </row>
    <row r="234">
      <c r="A234" s="32">
        <f>IFERROR(SMALL(Calc!$B$2:$BB$61,229),"")</f>
        <v/>
      </c>
      <c r="B234" s="32">
        <f>IF(A234="","",ROUND(MOD(A234,1)*1000,0))</f>
        <v/>
      </c>
      <c r="C234" s="33" t="n"/>
      <c r="D234" s="34">
        <f>IF(A234="","",INT(A234))</f>
        <v/>
      </c>
      <c r="E234" s="35">
        <f>IF(B234="","",INDEX(Setup!$D$25:$D$84,B234))</f>
        <v/>
      </c>
      <c r="F234" s="36">
        <f>IF(B234="","",INDEX(Setup!$E$25:$E$84,B234))</f>
        <v/>
      </c>
      <c r="G234" s="32">
        <f>IF(B234="","",INDEX(Setup!$I$25:$I$84,B234)&amp;"")</f>
        <v/>
      </c>
      <c r="H234" s="32">
        <f>IF(B234="","",INDEX(Setup!$J$25:$J$84,B234)&amp;"")</f>
        <v/>
      </c>
      <c r="I234" s="32">
        <f>IF(B234="","",INDEX(Setup!$C$25:$C$84,B234))</f>
        <v/>
      </c>
      <c r="J234" s="32" t="n"/>
      <c r="K234" s="37" t="n"/>
      <c r="L234" s="38" t="n"/>
      <c r="M234" s="33" t="n"/>
      <c r="N234" s="33" t="n"/>
      <c r="O234" s="32" t="n"/>
      <c r="P234" s="34">
        <f>IF(A234="","",IF(K234&lt;&gt;"",K234,D234))</f>
        <v/>
      </c>
      <c r="Q234" s="36">
        <f>IF(A234="",0,IF(C234="✗",0,IF(OR(C234="✓",AND(Setup!$D$7="Yes",P234&lt;=TODAY())),IF(L234&lt;&gt;"",L234,F234),0)))</f>
        <v/>
      </c>
      <c r="R234" s="32">
        <f>IF(A234="","",IF(M234&lt;&gt;"",M234,G234))</f>
        <v/>
      </c>
      <c r="S234" s="32">
        <f>IF(A234="","",IF(N234&lt;&gt;"",N234,H234))</f>
        <v/>
      </c>
      <c r="T234" s="32">
        <f>IF(A234="","",IF(C234="✗","Skipped",IF(Q234&gt;0,"Paid","Upcoming")))</f>
        <v/>
      </c>
      <c r="U234" s="36">
        <f>IF(A234="",0,IF(C234="✗",0,IF(L234&lt;&gt;"",L234,F234)))</f>
        <v/>
      </c>
    </row>
    <row r="235">
      <c r="A235" s="39">
        <f>IFERROR(SMALL(Calc!$B$2:$BB$61,230),"")</f>
        <v/>
      </c>
      <c r="B235" s="39">
        <f>IF(A235="","",ROUND(MOD(A235,1)*1000,0))</f>
        <v/>
      </c>
      <c r="C235" s="33" t="n"/>
      <c r="D235" s="40">
        <f>IF(A235="","",INT(A235))</f>
        <v/>
      </c>
      <c r="E235" s="41">
        <f>IF(B235="","",INDEX(Setup!$D$25:$D$84,B235))</f>
        <v/>
      </c>
      <c r="F235" s="42">
        <f>IF(B235="","",INDEX(Setup!$E$25:$E$84,B235))</f>
        <v/>
      </c>
      <c r="G235" s="39">
        <f>IF(B235="","",INDEX(Setup!$I$25:$I$84,B235)&amp;"")</f>
        <v/>
      </c>
      <c r="H235" s="39">
        <f>IF(B235="","",INDEX(Setup!$J$25:$J$84,B235)&amp;"")</f>
        <v/>
      </c>
      <c r="I235" s="39">
        <f>IF(B235="","",INDEX(Setup!$C$25:$C$84,B235))</f>
        <v/>
      </c>
      <c r="J235" s="39" t="n"/>
      <c r="K235" s="37" t="n"/>
      <c r="L235" s="38" t="n"/>
      <c r="M235" s="33" t="n"/>
      <c r="N235" s="33" t="n"/>
      <c r="O235" s="39" t="n"/>
      <c r="P235" s="40">
        <f>IF(A235="","",IF(K235&lt;&gt;"",K235,D235))</f>
        <v/>
      </c>
      <c r="Q235" s="42">
        <f>IF(A235="",0,IF(C235="✗",0,IF(OR(C235="✓",AND(Setup!$D$7="Yes",P235&lt;=TODAY())),IF(L235&lt;&gt;"",L235,F235),0)))</f>
        <v/>
      </c>
      <c r="R235" s="39">
        <f>IF(A235="","",IF(M235&lt;&gt;"",M235,G235))</f>
        <v/>
      </c>
      <c r="S235" s="39">
        <f>IF(A235="","",IF(N235&lt;&gt;"",N235,H235))</f>
        <v/>
      </c>
      <c r="T235" s="39">
        <f>IF(A235="","",IF(C235="✗","Skipped",IF(Q235&gt;0,"Paid","Upcoming")))</f>
        <v/>
      </c>
      <c r="U235" s="42">
        <f>IF(A235="",0,IF(C235="✗",0,IF(L235&lt;&gt;"",L235,F235)))</f>
        <v/>
      </c>
    </row>
    <row r="236">
      <c r="A236" s="32">
        <f>IFERROR(SMALL(Calc!$B$2:$BB$61,231),"")</f>
        <v/>
      </c>
      <c r="B236" s="32">
        <f>IF(A236="","",ROUND(MOD(A236,1)*1000,0))</f>
        <v/>
      </c>
      <c r="C236" s="33" t="n"/>
      <c r="D236" s="34">
        <f>IF(A236="","",INT(A236))</f>
        <v/>
      </c>
      <c r="E236" s="35">
        <f>IF(B236="","",INDEX(Setup!$D$25:$D$84,B236))</f>
        <v/>
      </c>
      <c r="F236" s="36">
        <f>IF(B236="","",INDEX(Setup!$E$25:$E$84,B236))</f>
        <v/>
      </c>
      <c r="G236" s="32">
        <f>IF(B236="","",INDEX(Setup!$I$25:$I$84,B236)&amp;"")</f>
        <v/>
      </c>
      <c r="H236" s="32">
        <f>IF(B236="","",INDEX(Setup!$J$25:$J$84,B236)&amp;"")</f>
        <v/>
      </c>
      <c r="I236" s="32">
        <f>IF(B236="","",INDEX(Setup!$C$25:$C$84,B236))</f>
        <v/>
      </c>
      <c r="J236" s="32" t="n"/>
      <c r="K236" s="37" t="n"/>
      <c r="L236" s="38" t="n"/>
      <c r="M236" s="33" t="n"/>
      <c r="N236" s="33" t="n"/>
      <c r="O236" s="32" t="n"/>
      <c r="P236" s="34">
        <f>IF(A236="","",IF(K236&lt;&gt;"",K236,D236))</f>
        <v/>
      </c>
      <c r="Q236" s="36">
        <f>IF(A236="",0,IF(C236="✗",0,IF(OR(C236="✓",AND(Setup!$D$7="Yes",P236&lt;=TODAY())),IF(L236&lt;&gt;"",L236,F236),0)))</f>
        <v/>
      </c>
      <c r="R236" s="32">
        <f>IF(A236="","",IF(M236&lt;&gt;"",M236,G236))</f>
        <v/>
      </c>
      <c r="S236" s="32">
        <f>IF(A236="","",IF(N236&lt;&gt;"",N236,H236))</f>
        <v/>
      </c>
      <c r="T236" s="32">
        <f>IF(A236="","",IF(C236="✗","Skipped",IF(Q236&gt;0,"Paid","Upcoming")))</f>
        <v/>
      </c>
      <c r="U236" s="36">
        <f>IF(A236="",0,IF(C236="✗",0,IF(L236&lt;&gt;"",L236,F236)))</f>
        <v/>
      </c>
    </row>
    <row r="237">
      <c r="A237" s="39">
        <f>IFERROR(SMALL(Calc!$B$2:$BB$61,232),"")</f>
        <v/>
      </c>
      <c r="B237" s="39">
        <f>IF(A237="","",ROUND(MOD(A237,1)*1000,0))</f>
        <v/>
      </c>
      <c r="C237" s="33" t="n"/>
      <c r="D237" s="40">
        <f>IF(A237="","",INT(A237))</f>
        <v/>
      </c>
      <c r="E237" s="41">
        <f>IF(B237="","",INDEX(Setup!$D$25:$D$84,B237))</f>
        <v/>
      </c>
      <c r="F237" s="42">
        <f>IF(B237="","",INDEX(Setup!$E$25:$E$84,B237))</f>
        <v/>
      </c>
      <c r="G237" s="39">
        <f>IF(B237="","",INDEX(Setup!$I$25:$I$84,B237)&amp;"")</f>
        <v/>
      </c>
      <c r="H237" s="39">
        <f>IF(B237="","",INDEX(Setup!$J$25:$J$84,B237)&amp;"")</f>
        <v/>
      </c>
      <c r="I237" s="39">
        <f>IF(B237="","",INDEX(Setup!$C$25:$C$84,B237))</f>
        <v/>
      </c>
      <c r="J237" s="39" t="n"/>
      <c r="K237" s="37" t="n"/>
      <c r="L237" s="38" t="n"/>
      <c r="M237" s="33" t="n"/>
      <c r="N237" s="33" t="n"/>
      <c r="O237" s="39" t="n"/>
      <c r="P237" s="40">
        <f>IF(A237="","",IF(K237&lt;&gt;"",K237,D237))</f>
        <v/>
      </c>
      <c r="Q237" s="42">
        <f>IF(A237="",0,IF(C237="✗",0,IF(OR(C237="✓",AND(Setup!$D$7="Yes",P237&lt;=TODAY())),IF(L237&lt;&gt;"",L237,F237),0)))</f>
        <v/>
      </c>
      <c r="R237" s="39">
        <f>IF(A237="","",IF(M237&lt;&gt;"",M237,G237))</f>
        <v/>
      </c>
      <c r="S237" s="39">
        <f>IF(A237="","",IF(N237&lt;&gt;"",N237,H237))</f>
        <v/>
      </c>
      <c r="T237" s="39">
        <f>IF(A237="","",IF(C237="✗","Skipped",IF(Q237&gt;0,"Paid","Upcoming")))</f>
        <v/>
      </c>
      <c r="U237" s="42">
        <f>IF(A237="",0,IF(C237="✗",0,IF(L237&lt;&gt;"",L237,F237)))</f>
        <v/>
      </c>
    </row>
    <row r="238">
      <c r="A238" s="32">
        <f>IFERROR(SMALL(Calc!$B$2:$BB$61,233),"")</f>
        <v/>
      </c>
      <c r="B238" s="32">
        <f>IF(A238="","",ROUND(MOD(A238,1)*1000,0))</f>
        <v/>
      </c>
      <c r="C238" s="33" t="n"/>
      <c r="D238" s="34">
        <f>IF(A238="","",INT(A238))</f>
        <v/>
      </c>
      <c r="E238" s="35">
        <f>IF(B238="","",INDEX(Setup!$D$25:$D$84,B238))</f>
        <v/>
      </c>
      <c r="F238" s="36">
        <f>IF(B238="","",INDEX(Setup!$E$25:$E$84,B238))</f>
        <v/>
      </c>
      <c r="G238" s="32">
        <f>IF(B238="","",INDEX(Setup!$I$25:$I$84,B238)&amp;"")</f>
        <v/>
      </c>
      <c r="H238" s="32">
        <f>IF(B238="","",INDEX(Setup!$J$25:$J$84,B238)&amp;"")</f>
        <v/>
      </c>
      <c r="I238" s="32">
        <f>IF(B238="","",INDEX(Setup!$C$25:$C$84,B238))</f>
        <v/>
      </c>
      <c r="J238" s="32" t="n"/>
      <c r="K238" s="37" t="n"/>
      <c r="L238" s="38" t="n"/>
      <c r="M238" s="33" t="n"/>
      <c r="N238" s="33" t="n"/>
      <c r="O238" s="32" t="n"/>
      <c r="P238" s="34">
        <f>IF(A238="","",IF(K238&lt;&gt;"",K238,D238))</f>
        <v/>
      </c>
      <c r="Q238" s="36">
        <f>IF(A238="",0,IF(C238="✗",0,IF(OR(C238="✓",AND(Setup!$D$7="Yes",P238&lt;=TODAY())),IF(L238&lt;&gt;"",L238,F238),0)))</f>
        <v/>
      </c>
      <c r="R238" s="32">
        <f>IF(A238="","",IF(M238&lt;&gt;"",M238,G238))</f>
        <v/>
      </c>
      <c r="S238" s="32">
        <f>IF(A238="","",IF(N238&lt;&gt;"",N238,H238))</f>
        <v/>
      </c>
      <c r="T238" s="32">
        <f>IF(A238="","",IF(C238="✗","Skipped",IF(Q238&gt;0,"Paid","Upcoming")))</f>
        <v/>
      </c>
      <c r="U238" s="36">
        <f>IF(A238="",0,IF(C238="✗",0,IF(L238&lt;&gt;"",L238,F238)))</f>
        <v/>
      </c>
    </row>
    <row r="239">
      <c r="A239" s="39">
        <f>IFERROR(SMALL(Calc!$B$2:$BB$61,234),"")</f>
        <v/>
      </c>
      <c r="B239" s="39">
        <f>IF(A239="","",ROUND(MOD(A239,1)*1000,0))</f>
        <v/>
      </c>
      <c r="C239" s="33" t="n"/>
      <c r="D239" s="40">
        <f>IF(A239="","",INT(A239))</f>
        <v/>
      </c>
      <c r="E239" s="41">
        <f>IF(B239="","",INDEX(Setup!$D$25:$D$84,B239))</f>
        <v/>
      </c>
      <c r="F239" s="42">
        <f>IF(B239="","",INDEX(Setup!$E$25:$E$84,B239))</f>
        <v/>
      </c>
      <c r="G239" s="39">
        <f>IF(B239="","",INDEX(Setup!$I$25:$I$84,B239)&amp;"")</f>
        <v/>
      </c>
      <c r="H239" s="39">
        <f>IF(B239="","",INDEX(Setup!$J$25:$J$84,B239)&amp;"")</f>
        <v/>
      </c>
      <c r="I239" s="39">
        <f>IF(B239="","",INDEX(Setup!$C$25:$C$84,B239))</f>
        <v/>
      </c>
      <c r="J239" s="39" t="n"/>
      <c r="K239" s="37" t="n"/>
      <c r="L239" s="38" t="n"/>
      <c r="M239" s="33" t="n"/>
      <c r="N239" s="33" t="n"/>
      <c r="O239" s="39" t="n"/>
      <c r="P239" s="40">
        <f>IF(A239="","",IF(K239&lt;&gt;"",K239,D239))</f>
        <v/>
      </c>
      <c r="Q239" s="42">
        <f>IF(A239="",0,IF(C239="✗",0,IF(OR(C239="✓",AND(Setup!$D$7="Yes",P239&lt;=TODAY())),IF(L239&lt;&gt;"",L239,F239),0)))</f>
        <v/>
      </c>
      <c r="R239" s="39">
        <f>IF(A239="","",IF(M239&lt;&gt;"",M239,G239))</f>
        <v/>
      </c>
      <c r="S239" s="39">
        <f>IF(A239="","",IF(N239&lt;&gt;"",N239,H239))</f>
        <v/>
      </c>
      <c r="T239" s="39">
        <f>IF(A239="","",IF(C239="✗","Skipped",IF(Q239&gt;0,"Paid","Upcoming")))</f>
        <v/>
      </c>
      <c r="U239" s="42">
        <f>IF(A239="",0,IF(C239="✗",0,IF(L239&lt;&gt;"",L239,F239)))</f>
        <v/>
      </c>
    </row>
    <row r="240">
      <c r="A240" s="32">
        <f>IFERROR(SMALL(Calc!$B$2:$BB$61,235),"")</f>
        <v/>
      </c>
      <c r="B240" s="32">
        <f>IF(A240="","",ROUND(MOD(A240,1)*1000,0))</f>
        <v/>
      </c>
      <c r="C240" s="33" t="n"/>
      <c r="D240" s="34">
        <f>IF(A240="","",INT(A240))</f>
        <v/>
      </c>
      <c r="E240" s="35">
        <f>IF(B240="","",INDEX(Setup!$D$25:$D$84,B240))</f>
        <v/>
      </c>
      <c r="F240" s="36">
        <f>IF(B240="","",INDEX(Setup!$E$25:$E$84,B240))</f>
        <v/>
      </c>
      <c r="G240" s="32">
        <f>IF(B240="","",INDEX(Setup!$I$25:$I$84,B240)&amp;"")</f>
        <v/>
      </c>
      <c r="H240" s="32">
        <f>IF(B240="","",INDEX(Setup!$J$25:$J$84,B240)&amp;"")</f>
        <v/>
      </c>
      <c r="I240" s="32">
        <f>IF(B240="","",INDEX(Setup!$C$25:$C$84,B240))</f>
        <v/>
      </c>
      <c r="J240" s="32" t="n"/>
      <c r="K240" s="37" t="n"/>
      <c r="L240" s="38" t="n"/>
      <c r="M240" s="33" t="n"/>
      <c r="N240" s="33" t="n"/>
      <c r="O240" s="32" t="n"/>
      <c r="P240" s="34">
        <f>IF(A240="","",IF(K240&lt;&gt;"",K240,D240))</f>
        <v/>
      </c>
      <c r="Q240" s="36">
        <f>IF(A240="",0,IF(C240="✗",0,IF(OR(C240="✓",AND(Setup!$D$7="Yes",P240&lt;=TODAY())),IF(L240&lt;&gt;"",L240,F240),0)))</f>
        <v/>
      </c>
      <c r="R240" s="32">
        <f>IF(A240="","",IF(M240&lt;&gt;"",M240,G240))</f>
        <v/>
      </c>
      <c r="S240" s="32">
        <f>IF(A240="","",IF(N240&lt;&gt;"",N240,H240))</f>
        <v/>
      </c>
      <c r="T240" s="32">
        <f>IF(A240="","",IF(C240="✗","Skipped",IF(Q240&gt;0,"Paid","Upcoming")))</f>
        <v/>
      </c>
      <c r="U240" s="36">
        <f>IF(A240="",0,IF(C240="✗",0,IF(L240&lt;&gt;"",L240,F240)))</f>
        <v/>
      </c>
    </row>
    <row r="241">
      <c r="A241" s="39">
        <f>IFERROR(SMALL(Calc!$B$2:$BB$61,236),"")</f>
        <v/>
      </c>
      <c r="B241" s="39">
        <f>IF(A241="","",ROUND(MOD(A241,1)*1000,0))</f>
        <v/>
      </c>
      <c r="C241" s="33" t="n"/>
      <c r="D241" s="40">
        <f>IF(A241="","",INT(A241))</f>
        <v/>
      </c>
      <c r="E241" s="41">
        <f>IF(B241="","",INDEX(Setup!$D$25:$D$84,B241))</f>
        <v/>
      </c>
      <c r="F241" s="42">
        <f>IF(B241="","",INDEX(Setup!$E$25:$E$84,B241))</f>
        <v/>
      </c>
      <c r="G241" s="39">
        <f>IF(B241="","",INDEX(Setup!$I$25:$I$84,B241)&amp;"")</f>
        <v/>
      </c>
      <c r="H241" s="39">
        <f>IF(B241="","",INDEX(Setup!$J$25:$J$84,B241)&amp;"")</f>
        <v/>
      </c>
      <c r="I241" s="39">
        <f>IF(B241="","",INDEX(Setup!$C$25:$C$84,B241))</f>
        <v/>
      </c>
      <c r="J241" s="39" t="n"/>
      <c r="K241" s="37" t="n"/>
      <c r="L241" s="38" t="n"/>
      <c r="M241" s="33" t="n"/>
      <c r="N241" s="33" t="n"/>
      <c r="O241" s="39" t="n"/>
      <c r="P241" s="40">
        <f>IF(A241="","",IF(K241&lt;&gt;"",K241,D241))</f>
        <v/>
      </c>
      <c r="Q241" s="42">
        <f>IF(A241="",0,IF(C241="✗",0,IF(OR(C241="✓",AND(Setup!$D$7="Yes",P241&lt;=TODAY())),IF(L241&lt;&gt;"",L241,F241),0)))</f>
        <v/>
      </c>
      <c r="R241" s="39">
        <f>IF(A241="","",IF(M241&lt;&gt;"",M241,G241))</f>
        <v/>
      </c>
      <c r="S241" s="39">
        <f>IF(A241="","",IF(N241&lt;&gt;"",N241,H241))</f>
        <v/>
      </c>
      <c r="T241" s="39">
        <f>IF(A241="","",IF(C241="✗","Skipped",IF(Q241&gt;0,"Paid","Upcoming")))</f>
        <v/>
      </c>
      <c r="U241" s="42">
        <f>IF(A241="",0,IF(C241="✗",0,IF(L241&lt;&gt;"",L241,F241)))</f>
        <v/>
      </c>
    </row>
    <row r="242">
      <c r="A242" s="32">
        <f>IFERROR(SMALL(Calc!$B$2:$BB$61,237),"")</f>
        <v/>
      </c>
      <c r="B242" s="32">
        <f>IF(A242="","",ROUND(MOD(A242,1)*1000,0))</f>
        <v/>
      </c>
      <c r="C242" s="33" t="n"/>
      <c r="D242" s="34">
        <f>IF(A242="","",INT(A242))</f>
        <v/>
      </c>
      <c r="E242" s="35">
        <f>IF(B242="","",INDEX(Setup!$D$25:$D$84,B242))</f>
        <v/>
      </c>
      <c r="F242" s="36">
        <f>IF(B242="","",INDEX(Setup!$E$25:$E$84,B242))</f>
        <v/>
      </c>
      <c r="G242" s="32">
        <f>IF(B242="","",INDEX(Setup!$I$25:$I$84,B242)&amp;"")</f>
        <v/>
      </c>
      <c r="H242" s="32">
        <f>IF(B242="","",INDEX(Setup!$J$25:$J$84,B242)&amp;"")</f>
        <v/>
      </c>
      <c r="I242" s="32">
        <f>IF(B242="","",INDEX(Setup!$C$25:$C$84,B242))</f>
        <v/>
      </c>
      <c r="J242" s="32" t="n"/>
      <c r="K242" s="37" t="n"/>
      <c r="L242" s="38" t="n"/>
      <c r="M242" s="33" t="n"/>
      <c r="N242" s="33" t="n"/>
      <c r="O242" s="32" t="n"/>
      <c r="P242" s="34">
        <f>IF(A242="","",IF(K242&lt;&gt;"",K242,D242))</f>
        <v/>
      </c>
      <c r="Q242" s="36">
        <f>IF(A242="",0,IF(C242="✗",0,IF(OR(C242="✓",AND(Setup!$D$7="Yes",P242&lt;=TODAY())),IF(L242&lt;&gt;"",L242,F242),0)))</f>
        <v/>
      </c>
      <c r="R242" s="32">
        <f>IF(A242="","",IF(M242&lt;&gt;"",M242,G242))</f>
        <v/>
      </c>
      <c r="S242" s="32">
        <f>IF(A242="","",IF(N242&lt;&gt;"",N242,H242))</f>
        <v/>
      </c>
      <c r="T242" s="32">
        <f>IF(A242="","",IF(C242="✗","Skipped",IF(Q242&gt;0,"Paid","Upcoming")))</f>
        <v/>
      </c>
      <c r="U242" s="36">
        <f>IF(A242="",0,IF(C242="✗",0,IF(L242&lt;&gt;"",L242,F242)))</f>
        <v/>
      </c>
    </row>
    <row r="243">
      <c r="A243" s="39">
        <f>IFERROR(SMALL(Calc!$B$2:$BB$61,238),"")</f>
        <v/>
      </c>
      <c r="B243" s="39">
        <f>IF(A243="","",ROUND(MOD(A243,1)*1000,0))</f>
        <v/>
      </c>
      <c r="C243" s="33" t="n"/>
      <c r="D243" s="40">
        <f>IF(A243="","",INT(A243))</f>
        <v/>
      </c>
      <c r="E243" s="41">
        <f>IF(B243="","",INDEX(Setup!$D$25:$D$84,B243))</f>
        <v/>
      </c>
      <c r="F243" s="42">
        <f>IF(B243="","",INDEX(Setup!$E$25:$E$84,B243))</f>
        <v/>
      </c>
      <c r="G243" s="39">
        <f>IF(B243="","",INDEX(Setup!$I$25:$I$84,B243)&amp;"")</f>
        <v/>
      </c>
      <c r="H243" s="39">
        <f>IF(B243="","",INDEX(Setup!$J$25:$J$84,B243)&amp;"")</f>
        <v/>
      </c>
      <c r="I243" s="39">
        <f>IF(B243="","",INDEX(Setup!$C$25:$C$84,B243))</f>
        <v/>
      </c>
      <c r="J243" s="39" t="n"/>
      <c r="K243" s="37" t="n"/>
      <c r="L243" s="38" t="n"/>
      <c r="M243" s="33" t="n"/>
      <c r="N243" s="33" t="n"/>
      <c r="O243" s="39" t="n"/>
      <c r="P243" s="40">
        <f>IF(A243="","",IF(K243&lt;&gt;"",K243,D243))</f>
        <v/>
      </c>
      <c r="Q243" s="42">
        <f>IF(A243="",0,IF(C243="✗",0,IF(OR(C243="✓",AND(Setup!$D$7="Yes",P243&lt;=TODAY())),IF(L243&lt;&gt;"",L243,F243),0)))</f>
        <v/>
      </c>
      <c r="R243" s="39">
        <f>IF(A243="","",IF(M243&lt;&gt;"",M243,G243))</f>
        <v/>
      </c>
      <c r="S243" s="39">
        <f>IF(A243="","",IF(N243&lt;&gt;"",N243,H243))</f>
        <v/>
      </c>
      <c r="T243" s="39">
        <f>IF(A243="","",IF(C243="✗","Skipped",IF(Q243&gt;0,"Paid","Upcoming")))</f>
        <v/>
      </c>
      <c r="U243" s="42">
        <f>IF(A243="",0,IF(C243="✗",0,IF(L243&lt;&gt;"",L243,F243)))</f>
        <v/>
      </c>
    </row>
    <row r="244">
      <c r="A244" s="32">
        <f>IFERROR(SMALL(Calc!$B$2:$BB$61,239),"")</f>
        <v/>
      </c>
      <c r="B244" s="32">
        <f>IF(A244="","",ROUND(MOD(A244,1)*1000,0))</f>
        <v/>
      </c>
      <c r="C244" s="33" t="n"/>
      <c r="D244" s="34">
        <f>IF(A244="","",INT(A244))</f>
        <v/>
      </c>
      <c r="E244" s="35">
        <f>IF(B244="","",INDEX(Setup!$D$25:$D$84,B244))</f>
        <v/>
      </c>
      <c r="F244" s="36">
        <f>IF(B244="","",INDEX(Setup!$E$25:$E$84,B244))</f>
        <v/>
      </c>
      <c r="G244" s="32">
        <f>IF(B244="","",INDEX(Setup!$I$25:$I$84,B244)&amp;"")</f>
        <v/>
      </c>
      <c r="H244" s="32">
        <f>IF(B244="","",INDEX(Setup!$J$25:$J$84,B244)&amp;"")</f>
        <v/>
      </c>
      <c r="I244" s="32">
        <f>IF(B244="","",INDEX(Setup!$C$25:$C$84,B244))</f>
        <v/>
      </c>
      <c r="J244" s="32" t="n"/>
      <c r="K244" s="37" t="n"/>
      <c r="L244" s="38" t="n"/>
      <c r="M244" s="33" t="n"/>
      <c r="N244" s="33" t="n"/>
      <c r="O244" s="32" t="n"/>
      <c r="P244" s="34">
        <f>IF(A244="","",IF(K244&lt;&gt;"",K244,D244))</f>
        <v/>
      </c>
      <c r="Q244" s="36">
        <f>IF(A244="",0,IF(C244="✗",0,IF(OR(C244="✓",AND(Setup!$D$7="Yes",P244&lt;=TODAY())),IF(L244&lt;&gt;"",L244,F244),0)))</f>
        <v/>
      </c>
      <c r="R244" s="32">
        <f>IF(A244="","",IF(M244&lt;&gt;"",M244,G244))</f>
        <v/>
      </c>
      <c r="S244" s="32">
        <f>IF(A244="","",IF(N244&lt;&gt;"",N244,H244))</f>
        <v/>
      </c>
      <c r="T244" s="32">
        <f>IF(A244="","",IF(C244="✗","Skipped",IF(Q244&gt;0,"Paid","Upcoming")))</f>
        <v/>
      </c>
      <c r="U244" s="36">
        <f>IF(A244="",0,IF(C244="✗",0,IF(L244&lt;&gt;"",L244,F244)))</f>
        <v/>
      </c>
    </row>
    <row r="245">
      <c r="A245" s="39">
        <f>IFERROR(SMALL(Calc!$B$2:$BB$61,240),"")</f>
        <v/>
      </c>
      <c r="B245" s="39">
        <f>IF(A245="","",ROUND(MOD(A245,1)*1000,0))</f>
        <v/>
      </c>
      <c r="C245" s="33" t="n"/>
      <c r="D245" s="40">
        <f>IF(A245="","",INT(A245))</f>
        <v/>
      </c>
      <c r="E245" s="41">
        <f>IF(B245="","",INDEX(Setup!$D$25:$D$84,B245))</f>
        <v/>
      </c>
      <c r="F245" s="42">
        <f>IF(B245="","",INDEX(Setup!$E$25:$E$84,B245))</f>
        <v/>
      </c>
      <c r="G245" s="39">
        <f>IF(B245="","",INDEX(Setup!$I$25:$I$84,B245)&amp;"")</f>
        <v/>
      </c>
      <c r="H245" s="39">
        <f>IF(B245="","",INDEX(Setup!$J$25:$J$84,B245)&amp;"")</f>
        <v/>
      </c>
      <c r="I245" s="39">
        <f>IF(B245="","",INDEX(Setup!$C$25:$C$84,B245))</f>
        <v/>
      </c>
      <c r="J245" s="39" t="n"/>
      <c r="K245" s="37" t="n"/>
      <c r="L245" s="38" t="n"/>
      <c r="M245" s="33" t="n"/>
      <c r="N245" s="33" t="n"/>
      <c r="O245" s="39" t="n"/>
      <c r="P245" s="40">
        <f>IF(A245="","",IF(K245&lt;&gt;"",K245,D245))</f>
        <v/>
      </c>
      <c r="Q245" s="42">
        <f>IF(A245="",0,IF(C245="✗",0,IF(OR(C245="✓",AND(Setup!$D$7="Yes",P245&lt;=TODAY())),IF(L245&lt;&gt;"",L245,F245),0)))</f>
        <v/>
      </c>
      <c r="R245" s="39">
        <f>IF(A245="","",IF(M245&lt;&gt;"",M245,G245))</f>
        <v/>
      </c>
      <c r="S245" s="39">
        <f>IF(A245="","",IF(N245&lt;&gt;"",N245,H245))</f>
        <v/>
      </c>
      <c r="T245" s="39">
        <f>IF(A245="","",IF(C245="✗","Skipped",IF(Q245&gt;0,"Paid","Upcoming")))</f>
        <v/>
      </c>
      <c r="U245" s="42">
        <f>IF(A245="",0,IF(C245="✗",0,IF(L245&lt;&gt;"",L245,F245)))</f>
        <v/>
      </c>
    </row>
    <row r="246">
      <c r="A246" s="32">
        <f>IFERROR(SMALL(Calc!$B$2:$BB$61,241),"")</f>
        <v/>
      </c>
      <c r="B246" s="32">
        <f>IF(A246="","",ROUND(MOD(A246,1)*1000,0))</f>
        <v/>
      </c>
      <c r="C246" s="33" t="n"/>
      <c r="D246" s="34">
        <f>IF(A246="","",INT(A246))</f>
        <v/>
      </c>
      <c r="E246" s="35">
        <f>IF(B246="","",INDEX(Setup!$D$25:$D$84,B246))</f>
        <v/>
      </c>
      <c r="F246" s="36">
        <f>IF(B246="","",INDEX(Setup!$E$25:$E$84,B246))</f>
        <v/>
      </c>
      <c r="G246" s="32">
        <f>IF(B246="","",INDEX(Setup!$I$25:$I$84,B246)&amp;"")</f>
        <v/>
      </c>
      <c r="H246" s="32">
        <f>IF(B246="","",INDEX(Setup!$J$25:$J$84,B246)&amp;"")</f>
        <v/>
      </c>
      <c r="I246" s="32">
        <f>IF(B246="","",INDEX(Setup!$C$25:$C$84,B246))</f>
        <v/>
      </c>
      <c r="J246" s="32" t="n"/>
      <c r="K246" s="37" t="n"/>
      <c r="L246" s="38" t="n"/>
      <c r="M246" s="33" t="n"/>
      <c r="N246" s="33" t="n"/>
      <c r="O246" s="32" t="n"/>
      <c r="P246" s="34">
        <f>IF(A246="","",IF(K246&lt;&gt;"",K246,D246))</f>
        <v/>
      </c>
      <c r="Q246" s="36">
        <f>IF(A246="",0,IF(C246="✗",0,IF(OR(C246="✓",AND(Setup!$D$7="Yes",P246&lt;=TODAY())),IF(L246&lt;&gt;"",L246,F246),0)))</f>
        <v/>
      </c>
      <c r="R246" s="32">
        <f>IF(A246="","",IF(M246&lt;&gt;"",M246,G246))</f>
        <v/>
      </c>
      <c r="S246" s="32">
        <f>IF(A246="","",IF(N246&lt;&gt;"",N246,H246))</f>
        <v/>
      </c>
      <c r="T246" s="32">
        <f>IF(A246="","",IF(C246="✗","Skipped",IF(Q246&gt;0,"Paid","Upcoming")))</f>
        <v/>
      </c>
      <c r="U246" s="36">
        <f>IF(A246="",0,IF(C246="✗",0,IF(L246&lt;&gt;"",L246,F246)))</f>
        <v/>
      </c>
    </row>
    <row r="247">
      <c r="A247" s="39">
        <f>IFERROR(SMALL(Calc!$B$2:$BB$61,242),"")</f>
        <v/>
      </c>
      <c r="B247" s="39">
        <f>IF(A247="","",ROUND(MOD(A247,1)*1000,0))</f>
        <v/>
      </c>
      <c r="C247" s="33" t="n"/>
      <c r="D247" s="40">
        <f>IF(A247="","",INT(A247))</f>
        <v/>
      </c>
      <c r="E247" s="41">
        <f>IF(B247="","",INDEX(Setup!$D$25:$D$84,B247))</f>
        <v/>
      </c>
      <c r="F247" s="42">
        <f>IF(B247="","",INDEX(Setup!$E$25:$E$84,B247))</f>
        <v/>
      </c>
      <c r="G247" s="39">
        <f>IF(B247="","",INDEX(Setup!$I$25:$I$84,B247)&amp;"")</f>
        <v/>
      </c>
      <c r="H247" s="39">
        <f>IF(B247="","",INDEX(Setup!$J$25:$J$84,B247)&amp;"")</f>
        <v/>
      </c>
      <c r="I247" s="39">
        <f>IF(B247="","",INDEX(Setup!$C$25:$C$84,B247))</f>
        <v/>
      </c>
      <c r="J247" s="39" t="n"/>
      <c r="K247" s="37" t="n"/>
      <c r="L247" s="38" t="n"/>
      <c r="M247" s="33" t="n"/>
      <c r="N247" s="33" t="n"/>
      <c r="O247" s="39" t="n"/>
      <c r="P247" s="40">
        <f>IF(A247="","",IF(K247&lt;&gt;"",K247,D247))</f>
        <v/>
      </c>
      <c r="Q247" s="42">
        <f>IF(A247="",0,IF(C247="✗",0,IF(OR(C247="✓",AND(Setup!$D$7="Yes",P247&lt;=TODAY())),IF(L247&lt;&gt;"",L247,F247),0)))</f>
        <v/>
      </c>
      <c r="R247" s="39">
        <f>IF(A247="","",IF(M247&lt;&gt;"",M247,G247))</f>
        <v/>
      </c>
      <c r="S247" s="39">
        <f>IF(A247="","",IF(N247&lt;&gt;"",N247,H247))</f>
        <v/>
      </c>
      <c r="T247" s="39">
        <f>IF(A247="","",IF(C247="✗","Skipped",IF(Q247&gt;0,"Paid","Upcoming")))</f>
        <v/>
      </c>
      <c r="U247" s="42">
        <f>IF(A247="",0,IF(C247="✗",0,IF(L247&lt;&gt;"",L247,F247)))</f>
        <v/>
      </c>
    </row>
    <row r="248">
      <c r="A248" s="32">
        <f>IFERROR(SMALL(Calc!$B$2:$BB$61,243),"")</f>
        <v/>
      </c>
      <c r="B248" s="32">
        <f>IF(A248="","",ROUND(MOD(A248,1)*1000,0))</f>
        <v/>
      </c>
      <c r="C248" s="33" t="n"/>
      <c r="D248" s="34">
        <f>IF(A248="","",INT(A248))</f>
        <v/>
      </c>
      <c r="E248" s="35">
        <f>IF(B248="","",INDEX(Setup!$D$25:$D$84,B248))</f>
        <v/>
      </c>
      <c r="F248" s="36">
        <f>IF(B248="","",INDEX(Setup!$E$25:$E$84,B248))</f>
        <v/>
      </c>
      <c r="G248" s="32">
        <f>IF(B248="","",INDEX(Setup!$I$25:$I$84,B248)&amp;"")</f>
        <v/>
      </c>
      <c r="H248" s="32">
        <f>IF(B248="","",INDEX(Setup!$J$25:$J$84,B248)&amp;"")</f>
        <v/>
      </c>
      <c r="I248" s="32">
        <f>IF(B248="","",INDEX(Setup!$C$25:$C$84,B248))</f>
        <v/>
      </c>
      <c r="J248" s="32" t="n"/>
      <c r="K248" s="37" t="n"/>
      <c r="L248" s="38" t="n"/>
      <c r="M248" s="33" t="n"/>
      <c r="N248" s="33" t="n"/>
      <c r="O248" s="32" t="n"/>
      <c r="P248" s="34">
        <f>IF(A248="","",IF(K248&lt;&gt;"",K248,D248))</f>
        <v/>
      </c>
      <c r="Q248" s="36">
        <f>IF(A248="",0,IF(C248="✗",0,IF(OR(C248="✓",AND(Setup!$D$7="Yes",P248&lt;=TODAY())),IF(L248&lt;&gt;"",L248,F248),0)))</f>
        <v/>
      </c>
      <c r="R248" s="32">
        <f>IF(A248="","",IF(M248&lt;&gt;"",M248,G248))</f>
        <v/>
      </c>
      <c r="S248" s="32">
        <f>IF(A248="","",IF(N248&lt;&gt;"",N248,H248))</f>
        <v/>
      </c>
      <c r="T248" s="32">
        <f>IF(A248="","",IF(C248="✗","Skipped",IF(Q248&gt;0,"Paid","Upcoming")))</f>
        <v/>
      </c>
      <c r="U248" s="36">
        <f>IF(A248="",0,IF(C248="✗",0,IF(L248&lt;&gt;"",L248,F248)))</f>
        <v/>
      </c>
    </row>
    <row r="249">
      <c r="A249" s="39">
        <f>IFERROR(SMALL(Calc!$B$2:$BB$61,244),"")</f>
        <v/>
      </c>
      <c r="B249" s="39">
        <f>IF(A249="","",ROUND(MOD(A249,1)*1000,0))</f>
        <v/>
      </c>
      <c r="C249" s="33" t="n"/>
      <c r="D249" s="40">
        <f>IF(A249="","",INT(A249))</f>
        <v/>
      </c>
      <c r="E249" s="41">
        <f>IF(B249="","",INDEX(Setup!$D$25:$D$84,B249))</f>
        <v/>
      </c>
      <c r="F249" s="42">
        <f>IF(B249="","",INDEX(Setup!$E$25:$E$84,B249))</f>
        <v/>
      </c>
      <c r="G249" s="39">
        <f>IF(B249="","",INDEX(Setup!$I$25:$I$84,B249)&amp;"")</f>
        <v/>
      </c>
      <c r="H249" s="39">
        <f>IF(B249="","",INDEX(Setup!$J$25:$J$84,B249)&amp;"")</f>
        <v/>
      </c>
      <c r="I249" s="39">
        <f>IF(B249="","",INDEX(Setup!$C$25:$C$84,B249))</f>
        <v/>
      </c>
      <c r="J249" s="39" t="n"/>
      <c r="K249" s="37" t="n"/>
      <c r="L249" s="38" t="n"/>
      <c r="M249" s="33" t="n"/>
      <c r="N249" s="33" t="n"/>
      <c r="O249" s="39" t="n"/>
      <c r="P249" s="40">
        <f>IF(A249="","",IF(K249&lt;&gt;"",K249,D249))</f>
        <v/>
      </c>
      <c r="Q249" s="42">
        <f>IF(A249="",0,IF(C249="✗",0,IF(OR(C249="✓",AND(Setup!$D$7="Yes",P249&lt;=TODAY())),IF(L249&lt;&gt;"",L249,F249),0)))</f>
        <v/>
      </c>
      <c r="R249" s="39">
        <f>IF(A249="","",IF(M249&lt;&gt;"",M249,G249))</f>
        <v/>
      </c>
      <c r="S249" s="39">
        <f>IF(A249="","",IF(N249&lt;&gt;"",N249,H249))</f>
        <v/>
      </c>
      <c r="T249" s="39">
        <f>IF(A249="","",IF(C249="✗","Skipped",IF(Q249&gt;0,"Paid","Upcoming")))</f>
        <v/>
      </c>
      <c r="U249" s="42">
        <f>IF(A249="",0,IF(C249="✗",0,IF(L249&lt;&gt;"",L249,F249)))</f>
        <v/>
      </c>
    </row>
    <row r="250">
      <c r="A250" s="32">
        <f>IFERROR(SMALL(Calc!$B$2:$BB$61,245),"")</f>
        <v/>
      </c>
      <c r="B250" s="32">
        <f>IF(A250="","",ROUND(MOD(A250,1)*1000,0))</f>
        <v/>
      </c>
      <c r="C250" s="33" t="n"/>
      <c r="D250" s="34">
        <f>IF(A250="","",INT(A250))</f>
        <v/>
      </c>
      <c r="E250" s="35">
        <f>IF(B250="","",INDEX(Setup!$D$25:$D$84,B250))</f>
        <v/>
      </c>
      <c r="F250" s="36">
        <f>IF(B250="","",INDEX(Setup!$E$25:$E$84,B250))</f>
        <v/>
      </c>
      <c r="G250" s="32">
        <f>IF(B250="","",INDEX(Setup!$I$25:$I$84,B250)&amp;"")</f>
        <v/>
      </c>
      <c r="H250" s="32">
        <f>IF(B250="","",INDEX(Setup!$J$25:$J$84,B250)&amp;"")</f>
        <v/>
      </c>
      <c r="I250" s="32">
        <f>IF(B250="","",INDEX(Setup!$C$25:$C$84,B250))</f>
        <v/>
      </c>
      <c r="J250" s="32" t="n"/>
      <c r="K250" s="37" t="n"/>
      <c r="L250" s="38" t="n"/>
      <c r="M250" s="33" t="n"/>
      <c r="N250" s="33" t="n"/>
      <c r="O250" s="32" t="n"/>
      <c r="P250" s="34">
        <f>IF(A250="","",IF(K250&lt;&gt;"",K250,D250))</f>
        <v/>
      </c>
      <c r="Q250" s="36">
        <f>IF(A250="",0,IF(C250="✗",0,IF(OR(C250="✓",AND(Setup!$D$7="Yes",P250&lt;=TODAY())),IF(L250&lt;&gt;"",L250,F250),0)))</f>
        <v/>
      </c>
      <c r="R250" s="32">
        <f>IF(A250="","",IF(M250&lt;&gt;"",M250,G250))</f>
        <v/>
      </c>
      <c r="S250" s="32">
        <f>IF(A250="","",IF(N250&lt;&gt;"",N250,H250))</f>
        <v/>
      </c>
      <c r="T250" s="32">
        <f>IF(A250="","",IF(C250="✗","Skipped",IF(Q250&gt;0,"Paid","Upcoming")))</f>
        <v/>
      </c>
      <c r="U250" s="36">
        <f>IF(A250="",0,IF(C250="✗",0,IF(L250&lt;&gt;"",L250,F250)))</f>
        <v/>
      </c>
    </row>
    <row r="251">
      <c r="A251" s="39">
        <f>IFERROR(SMALL(Calc!$B$2:$BB$61,246),"")</f>
        <v/>
      </c>
      <c r="B251" s="39">
        <f>IF(A251="","",ROUND(MOD(A251,1)*1000,0))</f>
        <v/>
      </c>
      <c r="C251" s="33" t="n"/>
      <c r="D251" s="40">
        <f>IF(A251="","",INT(A251))</f>
        <v/>
      </c>
      <c r="E251" s="41">
        <f>IF(B251="","",INDEX(Setup!$D$25:$D$84,B251))</f>
        <v/>
      </c>
      <c r="F251" s="42">
        <f>IF(B251="","",INDEX(Setup!$E$25:$E$84,B251))</f>
        <v/>
      </c>
      <c r="G251" s="39">
        <f>IF(B251="","",INDEX(Setup!$I$25:$I$84,B251)&amp;"")</f>
        <v/>
      </c>
      <c r="H251" s="39">
        <f>IF(B251="","",INDEX(Setup!$J$25:$J$84,B251)&amp;"")</f>
        <v/>
      </c>
      <c r="I251" s="39">
        <f>IF(B251="","",INDEX(Setup!$C$25:$C$84,B251))</f>
        <v/>
      </c>
      <c r="J251" s="39" t="n"/>
      <c r="K251" s="37" t="n"/>
      <c r="L251" s="38" t="n"/>
      <c r="M251" s="33" t="n"/>
      <c r="N251" s="33" t="n"/>
      <c r="O251" s="39" t="n"/>
      <c r="P251" s="40">
        <f>IF(A251="","",IF(K251&lt;&gt;"",K251,D251))</f>
        <v/>
      </c>
      <c r="Q251" s="42">
        <f>IF(A251="",0,IF(C251="✗",0,IF(OR(C251="✓",AND(Setup!$D$7="Yes",P251&lt;=TODAY())),IF(L251&lt;&gt;"",L251,F251),0)))</f>
        <v/>
      </c>
      <c r="R251" s="39">
        <f>IF(A251="","",IF(M251&lt;&gt;"",M251,G251))</f>
        <v/>
      </c>
      <c r="S251" s="39">
        <f>IF(A251="","",IF(N251&lt;&gt;"",N251,H251))</f>
        <v/>
      </c>
      <c r="T251" s="39">
        <f>IF(A251="","",IF(C251="✗","Skipped",IF(Q251&gt;0,"Paid","Upcoming")))</f>
        <v/>
      </c>
      <c r="U251" s="42">
        <f>IF(A251="",0,IF(C251="✗",0,IF(L251&lt;&gt;"",L251,F251)))</f>
        <v/>
      </c>
    </row>
    <row r="252">
      <c r="A252" s="32">
        <f>IFERROR(SMALL(Calc!$B$2:$BB$61,247),"")</f>
        <v/>
      </c>
      <c r="B252" s="32">
        <f>IF(A252="","",ROUND(MOD(A252,1)*1000,0))</f>
        <v/>
      </c>
      <c r="C252" s="33" t="n"/>
      <c r="D252" s="34">
        <f>IF(A252="","",INT(A252))</f>
        <v/>
      </c>
      <c r="E252" s="35">
        <f>IF(B252="","",INDEX(Setup!$D$25:$D$84,B252))</f>
        <v/>
      </c>
      <c r="F252" s="36">
        <f>IF(B252="","",INDEX(Setup!$E$25:$E$84,B252))</f>
        <v/>
      </c>
      <c r="G252" s="32">
        <f>IF(B252="","",INDEX(Setup!$I$25:$I$84,B252)&amp;"")</f>
        <v/>
      </c>
      <c r="H252" s="32">
        <f>IF(B252="","",INDEX(Setup!$J$25:$J$84,B252)&amp;"")</f>
        <v/>
      </c>
      <c r="I252" s="32">
        <f>IF(B252="","",INDEX(Setup!$C$25:$C$84,B252))</f>
        <v/>
      </c>
      <c r="J252" s="32" t="n"/>
      <c r="K252" s="37" t="n"/>
      <c r="L252" s="38" t="n"/>
      <c r="M252" s="33" t="n"/>
      <c r="N252" s="33" t="n"/>
      <c r="O252" s="32" t="n"/>
      <c r="P252" s="34">
        <f>IF(A252="","",IF(K252&lt;&gt;"",K252,D252))</f>
        <v/>
      </c>
      <c r="Q252" s="36">
        <f>IF(A252="",0,IF(C252="✗",0,IF(OR(C252="✓",AND(Setup!$D$7="Yes",P252&lt;=TODAY())),IF(L252&lt;&gt;"",L252,F252),0)))</f>
        <v/>
      </c>
      <c r="R252" s="32">
        <f>IF(A252="","",IF(M252&lt;&gt;"",M252,G252))</f>
        <v/>
      </c>
      <c r="S252" s="32">
        <f>IF(A252="","",IF(N252&lt;&gt;"",N252,H252))</f>
        <v/>
      </c>
      <c r="T252" s="32">
        <f>IF(A252="","",IF(C252="✗","Skipped",IF(Q252&gt;0,"Paid","Upcoming")))</f>
        <v/>
      </c>
      <c r="U252" s="36">
        <f>IF(A252="",0,IF(C252="✗",0,IF(L252&lt;&gt;"",L252,F252)))</f>
        <v/>
      </c>
    </row>
    <row r="253">
      <c r="A253" s="39">
        <f>IFERROR(SMALL(Calc!$B$2:$BB$61,248),"")</f>
        <v/>
      </c>
      <c r="B253" s="39">
        <f>IF(A253="","",ROUND(MOD(A253,1)*1000,0))</f>
        <v/>
      </c>
      <c r="C253" s="33" t="n"/>
      <c r="D253" s="40">
        <f>IF(A253="","",INT(A253))</f>
        <v/>
      </c>
      <c r="E253" s="41">
        <f>IF(B253="","",INDEX(Setup!$D$25:$D$84,B253))</f>
        <v/>
      </c>
      <c r="F253" s="42">
        <f>IF(B253="","",INDEX(Setup!$E$25:$E$84,B253))</f>
        <v/>
      </c>
      <c r="G253" s="39">
        <f>IF(B253="","",INDEX(Setup!$I$25:$I$84,B253)&amp;"")</f>
        <v/>
      </c>
      <c r="H253" s="39">
        <f>IF(B253="","",INDEX(Setup!$J$25:$J$84,B253)&amp;"")</f>
        <v/>
      </c>
      <c r="I253" s="39">
        <f>IF(B253="","",INDEX(Setup!$C$25:$C$84,B253))</f>
        <v/>
      </c>
      <c r="J253" s="39" t="n"/>
      <c r="K253" s="37" t="n"/>
      <c r="L253" s="38" t="n"/>
      <c r="M253" s="33" t="n"/>
      <c r="N253" s="33" t="n"/>
      <c r="O253" s="39" t="n"/>
      <c r="P253" s="40">
        <f>IF(A253="","",IF(K253&lt;&gt;"",K253,D253))</f>
        <v/>
      </c>
      <c r="Q253" s="42">
        <f>IF(A253="",0,IF(C253="✗",0,IF(OR(C253="✓",AND(Setup!$D$7="Yes",P253&lt;=TODAY())),IF(L253&lt;&gt;"",L253,F253),0)))</f>
        <v/>
      </c>
      <c r="R253" s="39">
        <f>IF(A253="","",IF(M253&lt;&gt;"",M253,G253))</f>
        <v/>
      </c>
      <c r="S253" s="39">
        <f>IF(A253="","",IF(N253&lt;&gt;"",N253,H253))</f>
        <v/>
      </c>
      <c r="T253" s="39">
        <f>IF(A253="","",IF(C253="✗","Skipped",IF(Q253&gt;0,"Paid","Upcoming")))</f>
        <v/>
      </c>
      <c r="U253" s="42">
        <f>IF(A253="",0,IF(C253="✗",0,IF(L253&lt;&gt;"",L253,F253)))</f>
        <v/>
      </c>
    </row>
    <row r="254">
      <c r="A254" s="32">
        <f>IFERROR(SMALL(Calc!$B$2:$BB$61,249),"")</f>
        <v/>
      </c>
      <c r="B254" s="32">
        <f>IF(A254="","",ROUND(MOD(A254,1)*1000,0))</f>
        <v/>
      </c>
      <c r="C254" s="33" t="n"/>
      <c r="D254" s="34">
        <f>IF(A254="","",INT(A254))</f>
        <v/>
      </c>
      <c r="E254" s="35">
        <f>IF(B254="","",INDEX(Setup!$D$25:$D$84,B254))</f>
        <v/>
      </c>
      <c r="F254" s="36">
        <f>IF(B254="","",INDEX(Setup!$E$25:$E$84,B254))</f>
        <v/>
      </c>
      <c r="G254" s="32">
        <f>IF(B254="","",INDEX(Setup!$I$25:$I$84,B254)&amp;"")</f>
        <v/>
      </c>
      <c r="H254" s="32">
        <f>IF(B254="","",INDEX(Setup!$J$25:$J$84,B254)&amp;"")</f>
        <v/>
      </c>
      <c r="I254" s="32">
        <f>IF(B254="","",INDEX(Setup!$C$25:$C$84,B254))</f>
        <v/>
      </c>
      <c r="J254" s="32" t="n"/>
      <c r="K254" s="37" t="n"/>
      <c r="L254" s="38" t="n"/>
      <c r="M254" s="33" t="n"/>
      <c r="N254" s="33" t="n"/>
      <c r="O254" s="32" t="n"/>
      <c r="P254" s="34">
        <f>IF(A254="","",IF(K254&lt;&gt;"",K254,D254))</f>
        <v/>
      </c>
      <c r="Q254" s="36">
        <f>IF(A254="",0,IF(C254="✗",0,IF(OR(C254="✓",AND(Setup!$D$7="Yes",P254&lt;=TODAY())),IF(L254&lt;&gt;"",L254,F254),0)))</f>
        <v/>
      </c>
      <c r="R254" s="32">
        <f>IF(A254="","",IF(M254&lt;&gt;"",M254,G254))</f>
        <v/>
      </c>
      <c r="S254" s="32">
        <f>IF(A254="","",IF(N254&lt;&gt;"",N254,H254))</f>
        <v/>
      </c>
      <c r="T254" s="32">
        <f>IF(A254="","",IF(C254="✗","Skipped",IF(Q254&gt;0,"Paid","Upcoming")))</f>
        <v/>
      </c>
      <c r="U254" s="36">
        <f>IF(A254="",0,IF(C254="✗",0,IF(L254&lt;&gt;"",L254,F254)))</f>
        <v/>
      </c>
    </row>
    <row r="255">
      <c r="A255" s="39">
        <f>IFERROR(SMALL(Calc!$B$2:$BB$61,250),"")</f>
        <v/>
      </c>
      <c r="B255" s="39">
        <f>IF(A255="","",ROUND(MOD(A255,1)*1000,0))</f>
        <v/>
      </c>
      <c r="C255" s="33" t="n"/>
      <c r="D255" s="40">
        <f>IF(A255="","",INT(A255))</f>
        <v/>
      </c>
      <c r="E255" s="41">
        <f>IF(B255="","",INDEX(Setup!$D$25:$D$84,B255))</f>
        <v/>
      </c>
      <c r="F255" s="42">
        <f>IF(B255="","",INDEX(Setup!$E$25:$E$84,B255))</f>
        <v/>
      </c>
      <c r="G255" s="39">
        <f>IF(B255="","",INDEX(Setup!$I$25:$I$84,B255)&amp;"")</f>
        <v/>
      </c>
      <c r="H255" s="39">
        <f>IF(B255="","",INDEX(Setup!$J$25:$J$84,B255)&amp;"")</f>
        <v/>
      </c>
      <c r="I255" s="39">
        <f>IF(B255="","",INDEX(Setup!$C$25:$C$84,B255))</f>
        <v/>
      </c>
      <c r="J255" s="39" t="n"/>
      <c r="K255" s="37" t="n"/>
      <c r="L255" s="38" t="n"/>
      <c r="M255" s="33" t="n"/>
      <c r="N255" s="33" t="n"/>
      <c r="O255" s="39" t="n"/>
      <c r="P255" s="40">
        <f>IF(A255="","",IF(K255&lt;&gt;"",K255,D255))</f>
        <v/>
      </c>
      <c r="Q255" s="42">
        <f>IF(A255="",0,IF(C255="✗",0,IF(OR(C255="✓",AND(Setup!$D$7="Yes",P255&lt;=TODAY())),IF(L255&lt;&gt;"",L255,F255),0)))</f>
        <v/>
      </c>
      <c r="R255" s="39">
        <f>IF(A255="","",IF(M255&lt;&gt;"",M255,G255))</f>
        <v/>
      </c>
      <c r="S255" s="39">
        <f>IF(A255="","",IF(N255&lt;&gt;"",N255,H255))</f>
        <v/>
      </c>
      <c r="T255" s="39">
        <f>IF(A255="","",IF(C255="✗","Skipped",IF(Q255&gt;0,"Paid","Upcoming")))</f>
        <v/>
      </c>
      <c r="U255" s="42">
        <f>IF(A255="",0,IF(C255="✗",0,IF(L255&lt;&gt;"",L255,F255)))</f>
        <v/>
      </c>
    </row>
    <row r="256">
      <c r="A256" s="32">
        <f>IFERROR(SMALL(Calc!$B$2:$BB$61,251),"")</f>
        <v/>
      </c>
      <c r="B256" s="32">
        <f>IF(A256="","",ROUND(MOD(A256,1)*1000,0))</f>
        <v/>
      </c>
      <c r="C256" s="33" t="n"/>
      <c r="D256" s="34">
        <f>IF(A256="","",INT(A256))</f>
        <v/>
      </c>
      <c r="E256" s="35">
        <f>IF(B256="","",INDEX(Setup!$D$25:$D$84,B256))</f>
        <v/>
      </c>
      <c r="F256" s="36">
        <f>IF(B256="","",INDEX(Setup!$E$25:$E$84,B256))</f>
        <v/>
      </c>
      <c r="G256" s="32">
        <f>IF(B256="","",INDEX(Setup!$I$25:$I$84,B256)&amp;"")</f>
        <v/>
      </c>
      <c r="H256" s="32">
        <f>IF(B256="","",INDEX(Setup!$J$25:$J$84,B256)&amp;"")</f>
        <v/>
      </c>
      <c r="I256" s="32">
        <f>IF(B256="","",INDEX(Setup!$C$25:$C$84,B256))</f>
        <v/>
      </c>
      <c r="J256" s="32" t="n"/>
      <c r="K256" s="37" t="n"/>
      <c r="L256" s="38" t="n"/>
      <c r="M256" s="33" t="n"/>
      <c r="N256" s="33" t="n"/>
      <c r="O256" s="32" t="n"/>
      <c r="P256" s="34">
        <f>IF(A256="","",IF(K256&lt;&gt;"",K256,D256))</f>
        <v/>
      </c>
      <c r="Q256" s="36">
        <f>IF(A256="",0,IF(C256="✗",0,IF(OR(C256="✓",AND(Setup!$D$7="Yes",P256&lt;=TODAY())),IF(L256&lt;&gt;"",L256,F256),0)))</f>
        <v/>
      </c>
      <c r="R256" s="32">
        <f>IF(A256="","",IF(M256&lt;&gt;"",M256,G256))</f>
        <v/>
      </c>
      <c r="S256" s="32">
        <f>IF(A256="","",IF(N256&lt;&gt;"",N256,H256))</f>
        <v/>
      </c>
      <c r="T256" s="32">
        <f>IF(A256="","",IF(C256="✗","Skipped",IF(Q256&gt;0,"Paid","Upcoming")))</f>
        <v/>
      </c>
      <c r="U256" s="36">
        <f>IF(A256="",0,IF(C256="✗",0,IF(L256&lt;&gt;"",L256,F256)))</f>
        <v/>
      </c>
    </row>
    <row r="257">
      <c r="A257" s="39">
        <f>IFERROR(SMALL(Calc!$B$2:$BB$61,252),"")</f>
        <v/>
      </c>
      <c r="B257" s="39">
        <f>IF(A257="","",ROUND(MOD(A257,1)*1000,0))</f>
        <v/>
      </c>
      <c r="C257" s="33" t="n"/>
      <c r="D257" s="40">
        <f>IF(A257="","",INT(A257))</f>
        <v/>
      </c>
      <c r="E257" s="41">
        <f>IF(B257="","",INDEX(Setup!$D$25:$D$84,B257))</f>
        <v/>
      </c>
      <c r="F257" s="42">
        <f>IF(B257="","",INDEX(Setup!$E$25:$E$84,B257))</f>
        <v/>
      </c>
      <c r="G257" s="39">
        <f>IF(B257="","",INDEX(Setup!$I$25:$I$84,B257)&amp;"")</f>
        <v/>
      </c>
      <c r="H257" s="39">
        <f>IF(B257="","",INDEX(Setup!$J$25:$J$84,B257)&amp;"")</f>
        <v/>
      </c>
      <c r="I257" s="39">
        <f>IF(B257="","",INDEX(Setup!$C$25:$C$84,B257))</f>
        <v/>
      </c>
      <c r="J257" s="39" t="n"/>
      <c r="K257" s="37" t="n"/>
      <c r="L257" s="38" t="n"/>
      <c r="M257" s="33" t="n"/>
      <c r="N257" s="33" t="n"/>
      <c r="O257" s="39" t="n"/>
      <c r="P257" s="40">
        <f>IF(A257="","",IF(K257&lt;&gt;"",K257,D257))</f>
        <v/>
      </c>
      <c r="Q257" s="42">
        <f>IF(A257="",0,IF(C257="✗",0,IF(OR(C257="✓",AND(Setup!$D$7="Yes",P257&lt;=TODAY())),IF(L257&lt;&gt;"",L257,F257),0)))</f>
        <v/>
      </c>
      <c r="R257" s="39">
        <f>IF(A257="","",IF(M257&lt;&gt;"",M257,G257))</f>
        <v/>
      </c>
      <c r="S257" s="39">
        <f>IF(A257="","",IF(N257&lt;&gt;"",N257,H257))</f>
        <v/>
      </c>
      <c r="T257" s="39">
        <f>IF(A257="","",IF(C257="✗","Skipped",IF(Q257&gt;0,"Paid","Upcoming")))</f>
        <v/>
      </c>
      <c r="U257" s="42">
        <f>IF(A257="",0,IF(C257="✗",0,IF(L257&lt;&gt;"",L257,F257)))</f>
        <v/>
      </c>
    </row>
    <row r="258">
      <c r="A258" s="32">
        <f>IFERROR(SMALL(Calc!$B$2:$BB$61,253),"")</f>
        <v/>
      </c>
      <c r="B258" s="32">
        <f>IF(A258="","",ROUND(MOD(A258,1)*1000,0))</f>
        <v/>
      </c>
      <c r="C258" s="33" t="n"/>
      <c r="D258" s="34">
        <f>IF(A258="","",INT(A258))</f>
        <v/>
      </c>
      <c r="E258" s="35">
        <f>IF(B258="","",INDEX(Setup!$D$25:$D$84,B258))</f>
        <v/>
      </c>
      <c r="F258" s="36">
        <f>IF(B258="","",INDEX(Setup!$E$25:$E$84,B258))</f>
        <v/>
      </c>
      <c r="G258" s="32">
        <f>IF(B258="","",INDEX(Setup!$I$25:$I$84,B258)&amp;"")</f>
        <v/>
      </c>
      <c r="H258" s="32">
        <f>IF(B258="","",INDEX(Setup!$J$25:$J$84,B258)&amp;"")</f>
        <v/>
      </c>
      <c r="I258" s="32">
        <f>IF(B258="","",INDEX(Setup!$C$25:$C$84,B258))</f>
        <v/>
      </c>
      <c r="J258" s="32" t="n"/>
      <c r="K258" s="37" t="n"/>
      <c r="L258" s="38" t="n"/>
      <c r="M258" s="33" t="n"/>
      <c r="N258" s="33" t="n"/>
      <c r="O258" s="32" t="n"/>
      <c r="P258" s="34">
        <f>IF(A258="","",IF(K258&lt;&gt;"",K258,D258))</f>
        <v/>
      </c>
      <c r="Q258" s="36">
        <f>IF(A258="",0,IF(C258="✗",0,IF(OR(C258="✓",AND(Setup!$D$7="Yes",P258&lt;=TODAY())),IF(L258&lt;&gt;"",L258,F258),0)))</f>
        <v/>
      </c>
      <c r="R258" s="32">
        <f>IF(A258="","",IF(M258&lt;&gt;"",M258,G258))</f>
        <v/>
      </c>
      <c r="S258" s="32">
        <f>IF(A258="","",IF(N258&lt;&gt;"",N258,H258))</f>
        <v/>
      </c>
      <c r="T258" s="32">
        <f>IF(A258="","",IF(C258="✗","Skipped",IF(Q258&gt;0,"Paid","Upcoming")))</f>
        <v/>
      </c>
      <c r="U258" s="36">
        <f>IF(A258="",0,IF(C258="✗",0,IF(L258&lt;&gt;"",L258,F258)))</f>
        <v/>
      </c>
    </row>
    <row r="259">
      <c r="A259" s="39">
        <f>IFERROR(SMALL(Calc!$B$2:$BB$61,254),"")</f>
        <v/>
      </c>
      <c r="B259" s="39">
        <f>IF(A259="","",ROUND(MOD(A259,1)*1000,0))</f>
        <v/>
      </c>
      <c r="C259" s="33" t="n"/>
      <c r="D259" s="40">
        <f>IF(A259="","",INT(A259))</f>
        <v/>
      </c>
      <c r="E259" s="41">
        <f>IF(B259="","",INDEX(Setup!$D$25:$D$84,B259))</f>
        <v/>
      </c>
      <c r="F259" s="42">
        <f>IF(B259="","",INDEX(Setup!$E$25:$E$84,B259))</f>
        <v/>
      </c>
      <c r="G259" s="39">
        <f>IF(B259="","",INDEX(Setup!$I$25:$I$84,B259)&amp;"")</f>
        <v/>
      </c>
      <c r="H259" s="39">
        <f>IF(B259="","",INDEX(Setup!$J$25:$J$84,B259)&amp;"")</f>
        <v/>
      </c>
      <c r="I259" s="39">
        <f>IF(B259="","",INDEX(Setup!$C$25:$C$84,B259))</f>
        <v/>
      </c>
      <c r="J259" s="39" t="n"/>
      <c r="K259" s="37" t="n"/>
      <c r="L259" s="38" t="n"/>
      <c r="M259" s="33" t="n"/>
      <c r="N259" s="33" t="n"/>
      <c r="O259" s="39" t="n"/>
      <c r="P259" s="40">
        <f>IF(A259="","",IF(K259&lt;&gt;"",K259,D259))</f>
        <v/>
      </c>
      <c r="Q259" s="42">
        <f>IF(A259="",0,IF(C259="✗",0,IF(OR(C259="✓",AND(Setup!$D$7="Yes",P259&lt;=TODAY())),IF(L259&lt;&gt;"",L259,F259),0)))</f>
        <v/>
      </c>
      <c r="R259" s="39">
        <f>IF(A259="","",IF(M259&lt;&gt;"",M259,G259))</f>
        <v/>
      </c>
      <c r="S259" s="39">
        <f>IF(A259="","",IF(N259&lt;&gt;"",N259,H259))</f>
        <v/>
      </c>
      <c r="T259" s="39">
        <f>IF(A259="","",IF(C259="✗","Skipped",IF(Q259&gt;0,"Paid","Upcoming")))</f>
        <v/>
      </c>
      <c r="U259" s="42">
        <f>IF(A259="",0,IF(C259="✗",0,IF(L259&lt;&gt;"",L259,F259)))</f>
        <v/>
      </c>
    </row>
    <row r="260">
      <c r="A260" s="32">
        <f>IFERROR(SMALL(Calc!$B$2:$BB$61,255),"")</f>
        <v/>
      </c>
      <c r="B260" s="32">
        <f>IF(A260="","",ROUND(MOD(A260,1)*1000,0))</f>
        <v/>
      </c>
      <c r="C260" s="33" t="n"/>
      <c r="D260" s="34">
        <f>IF(A260="","",INT(A260))</f>
        <v/>
      </c>
      <c r="E260" s="35">
        <f>IF(B260="","",INDEX(Setup!$D$25:$D$84,B260))</f>
        <v/>
      </c>
      <c r="F260" s="36">
        <f>IF(B260="","",INDEX(Setup!$E$25:$E$84,B260))</f>
        <v/>
      </c>
      <c r="G260" s="32">
        <f>IF(B260="","",INDEX(Setup!$I$25:$I$84,B260)&amp;"")</f>
        <v/>
      </c>
      <c r="H260" s="32">
        <f>IF(B260="","",INDEX(Setup!$J$25:$J$84,B260)&amp;"")</f>
        <v/>
      </c>
      <c r="I260" s="32">
        <f>IF(B260="","",INDEX(Setup!$C$25:$C$84,B260))</f>
        <v/>
      </c>
      <c r="J260" s="32" t="n"/>
      <c r="K260" s="37" t="n"/>
      <c r="L260" s="38" t="n"/>
      <c r="M260" s="33" t="n"/>
      <c r="N260" s="33" t="n"/>
      <c r="O260" s="32" t="n"/>
      <c r="P260" s="34">
        <f>IF(A260="","",IF(K260&lt;&gt;"",K260,D260))</f>
        <v/>
      </c>
      <c r="Q260" s="36">
        <f>IF(A260="",0,IF(C260="✗",0,IF(OR(C260="✓",AND(Setup!$D$7="Yes",P260&lt;=TODAY())),IF(L260&lt;&gt;"",L260,F260),0)))</f>
        <v/>
      </c>
      <c r="R260" s="32">
        <f>IF(A260="","",IF(M260&lt;&gt;"",M260,G260))</f>
        <v/>
      </c>
      <c r="S260" s="32">
        <f>IF(A260="","",IF(N260&lt;&gt;"",N260,H260))</f>
        <v/>
      </c>
      <c r="T260" s="32">
        <f>IF(A260="","",IF(C260="✗","Skipped",IF(Q260&gt;0,"Paid","Upcoming")))</f>
        <v/>
      </c>
      <c r="U260" s="36">
        <f>IF(A260="",0,IF(C260="✗",0,IF(L260&lt;&gt;"",L260,F260)))</f>
        <v/>
      </c>
    </row>
    <row r="261">
      <c r="A261" s="39">
        <f>IFERROR(SMALL(Calc!$B$2:$BB$61,256),"")</f>
        <v/>
      </c>
      <c r="B261" s="39">
        <f>IF(A261="","",ROUND(MOD(A261,1)*1000,0))</f>
        <v/>
      </c>
      <c r="C261" s="33" t="n"/>
      <c r="D261" s="40">
        <f>IF(A261="","",INT(A261))</f>
        <v/>
      </c>
      <c r="E261" s="41">
        <f>IF(B261="","",INDEX(Setup!$D$25:$D$84,B261))</f>
        <v/>
      </c>
      <c r="F261" s="42">
        <f>IF(B261="","",INDEX(Setup!$E$25:$E$84,B261))</f>
        <v/>
      </c>
      <c r="G261" s="39">
        <f>IF(B261="","",INDEX(Setup!$I$25:$I$84,B261)&amp;"")</f>
        <v/>
      </c>
      <c r="H261" s="39">
        <f>IF(B261="","",INDEX(Setup!$J$25:$J$84,B261)&amp;"")</f>
        <v/>
      </c>
      <c r="I261" s="39">
        <f>IF(B261="","",INDEX(Setup!$C$25:$C$84,B261))</f>
        <v/>
      </c>
      <c r="J261" s="39" t="n"/>
      <c r="K261" s="37" t="n"/>
      <c r="L261" s="38" t="n"/>
      <c r="M261" s="33" t="n"/>
      <c r="N261" s="33" t="n"/>
      <c r="O261" s="39" t="n"/>
      <c r="P261" s="40">
        <f>IF(A261="","",IF(K261&lt;&gt;"",K261,D261))</f>
        <v/>
      </c>
      <c r="Q261" s="42">
        <f>IF(A261="",0,IF(C261="✗",0,IF(OR(C261="✓",AND(Setup!$D$7="Yes",P261&lt;=TODAY())),IF(L261&lt;&gt;"",L261,F261),0)))</f>
        <v/>
      </c>
      <c r="R261" s="39">
        <f>IF(A261="","",IF(M261&lt;&gt;"",M261,G261))</f>
        <v/>
      </c>
      <c r="S261" s="39">
        <f>IF(A261="","",IF(N261&lt;&gt;"",N261,H261))</f>
        <v/>
      </c>
      <c r="T261" s="39">
        <f>IF(A261="","",IF(C261="✗","Skipped",IF(Q261&gt;0,"Paid","Upcoming")))</f>
        <v/>
      </c>
      <c r="U261" s="42">
        <f>IF(A261="",0,IF(C261="✗",0,IF(L261&lt;&gt;"",L261,F261)))</f>
        <v/>
      </c>
    </row>
    <row r="262">
      <c r="A262" s="32">
        <f>IFERROR(SMALL(Calc!$B$2:$BB$61,257),"")</f>
        <v/>
      </c>
      <c r="B262" s="32">
        <f>IF(A262="","",ROUND(MOD(A262,1)*1000,0))</f>
        <v/>
      </c>
      <c r="C262" s="33" t="n"/>
      <c r="D262" s="34">
        <f>IF(A262="","",INT(A262))</f>
        <v/>
      </c>
      <c r="E262" s="35">
        <f>IF(B262="","",INDEX(Setup!$D$25:$D$84,B262))</f>
        <v/>
      </c>
      <c r="F262" s="36">
        <f>IF(B262="","",INDEX(Setup!$E$25:$E$84,B262))</f>
        <v/>
      </c>
      <c r="G262" s="32">
        <f>IF(B262="","",INDEX(Setup!$I$25:$I$84,B262)&amp;"")</f>
        <v/>
      </c>
      <c r="H262" s="32">
        <f>IF(B262="","",INDEX(Setup!$J$25:$J$84,B262)&amp;"")</f>
        <v/>
      </c>
      <c r="I262" s="32">
        <f>IF(B262="","",INDEX(Setup!$C$25:$C$84,B262))</f>
        <v/>
      </c>
      <c r="J262" s="32" t="n"/>
      <c r="K262" s="37" t="n"/>
      <c r="L262" s="38" t="n"/>
      <c r="M262" s="33" t="n"/>
      <c r="N262" s="33" t="n"/>
      <c r="O262" s="32" t="n"/>
      <c r="P262" s="34">
        <f>IF(A262="","",IF(K262&lt;&gt;"",K262,D262))</f>
        <v/>
      </c>
      <c r="Q262" s="36">
        <f>IF(A262="",0,IF(C262="✗",0,IF(OR(C262="✓",AND(Setup!$D$7="Yes",P262&lt;=TODAY())),IF(L262&lt;&gt;"",L262,F262),0)))</f>
        <v/>
      </c>
      <c r="R262" s="32">
        <f>IF(A262="","",IF(M262&lt;&gt;"",M262,G262))</f>
        <v/>
      </c>
      <c r="S262" s="32">
        <f>IF(A262="","",IF(N262&lt;&gt;"",N262,H262))</f>
        <v/>
      </c>
      <c r="T262" s="32">
        <f>IF(A262="","",IF(C262="✗","Skipped",IF(Q262&gt;0,"Paid","Upcoming")))</f>
        <v/>
      </c>
      <c r="U262" s="36">
        <f>IF(A262="",0,IF(C262="✗",0,IF(L262&lt;&gt;"",L262,F262)))</f>
        <v/>
      </c>
    </row>
    <row r="263">
      <c r="A263" s="39">
        <f>IFERROR(SMALL(Calc!$B$2:$BB$61,258),"")</f>
        <v/>
      </c>
      <c r="B263" s="39">
        <f>IF(A263="","",ROUND(MOD(A263,1)*1000,0))</f>
        <v/>
      </c>
      <c r="C263" s="33" t="n"/>
      <c r="D263" s="40">
        <f>IF(A263="","",INT(A263))</f>
        <v/>
      </c>
      <c r="E263" s="41">
        <f>IF(B263="","",INDEX(Setup!$D$25:$D$84,B263))</f>
        <v/>
      </c>
      <c r="F263" s="42">
        <f>IF(B263="","",INDEX(Setup!$E$25:$E$84,B263))</f>
        <v/>
      </c>
      <c r="G263" s="39">
        <f>IF(B263="","",INDEX(Setup!$I$25:$I$84,B263)&amp;"")</f>
        <v/>
      </c>
      <c r="H263" s="39">
        <f>IF(B263="","",INDEX(Setup!$J$25:$J$84,B263)&amp;"")</f>
        <v/>
      </c>
      <c r="I263" s="39">
        <f>IF(B263="","",INDEX(Setup!$C$25:$C$84,B263))</f>
        <v/>
      </c>
      <c r="J263" s="39" t="n"/>
      <c r="K263" s="37" t="n"/>
      <c r="L263" s="38" t="n"/>
      <c r="M263" s="33" t="n"/>
      <c r="N263" s="33" t="n"/>
      <c r="O263" s="39" t="n"/>
      <c r="P263" s="40">
        <f>IF(A263="","",IF(K263&lt;&gt;"",K263,D263))</f>
        <v/>
      </c>
      <c r="Q263" s="42">
        <f>IF(A263="",0,IF(C263="✗",0,IF(OR(C263="✓",AND(Setup!$D$7="Yes",P263&lt;=TODAY())),IF(L263&lt;&gt;"",L263,F263),0)))</f>
        <v/>
      </c>
      <c r="R263" s="39">
        <f>IF(A263="","",IF(M263&lt;&gt;"",M263,G263))</f>
        <v/>
      </c>
      <c r="S263" s="39">
        <f>IF(A263="","",IF(N263&lt;&gt;"",N263,H263))</f>
        <v/>
      </c>
      <c r="T263" s="39">
        <f>IF(A263="","",IF(C263="✗","Skipped",IF(Q263&gt;0,"Paid","Upcoming")))</f>
        <v/>
      </c>
      <c r="U263" s="42">
        <f>IF(A263="",0,IF(C263="✗",0,IF(L263&lt;&gt;"",L263,F263)))</f>
        <v/>
      </c>
    </row>
    <row r="264">
      <c r="A264" s="32">
        <f>IFERROR(SMALL(Calc!$B$2:$BB$61,259),"")</f>
        <v/>
      </c>
      <c r="B264" s="32">
        <f>IF(A264="","",ROUND(MOD(A264,1)*1000,0))</f>
        <v/>
      </c>
      <c r="C264" s="33" t="n"/>
      <c r="D264" s="34">
        <f>IF(A264="","",INT(A264))</f>
        <v/>
      </c>
      <c r="E264" s="35">
        <f>IF(B264="","",INDEX(Setup!$D$25:$D$84,B264))</f>
        <v/>
      </c>
      <c r="F264" s="36">
        <f>IF(B264="","",INDEX(Setup!$E$25:$E$84,B264))</f>
        <v/>
      </c>
      <c r="G264" s="32">
        <f>IF(B264="","",INDEX(Setup!$I$25:$I$84,B264)&amp;"")</f>
        <v/>
      </c>
      <c r="H264" s="32">
        <f>IF(B264="","",INDEX(Setup!$J$25:$J$84,B264)&amp;"")</f>
        <v/>
      </c>
      <c r="I264" s="32">
        <f>IF(B264="","",INDEX(Setup!$C$25:$C$84,B264))</f>
        <v/>
      </c>
      <c r="J264" s="32" t="n"/>
      <c r="K264" s="37" t="n"/>
      <c r="L264" s="38" t="n"/>
      <c r="M264" s="33" t="n"/>
      <c r="N264" s="33" t="n"/>
      <c r="O264" s="32" t="n"/>
      <c r="P264" s="34">
        <f>IF(A264="","",IF(K264&lt;&gt;"",K264,D264))</f>
        <v/>
      </c>
      <c r="Q264" s="36">
        <f>IF(A264="",0,IF(C264="✗",0,IF(OR(C264="✓",AND(Setup!$D$7="Yes",P264&lt;=TODAY())),IF(L264&lt;&gt;"",L264,F264),0)))</f>
        <v/>
      </c>
      <c r="R264" s="32">
        <f>IF(A264="","",IF(M264&lt;&gt;"",M264,G264))</f>
        <v/>
      </c>
      <c r="S264" s="32">
        <f>IF(A264="","",IF(N264&lt;&gt;"",N264,H264))</f>
        <v/>
      </c>
      <c r="T264" s="32">
        <f>IF(A264="","",IF(C264="✗","Skipped",IF(Q264&gt;0,"Paid","Upcoming")))</f>
        <v/>
      </c>
      <c r="U264" s="36">
        <f>IF(A264="",0,IF(C264="✗",0,IF(L264&lt;&gt;"",L264,F264)))</f>
        <v/>
      </c>
    </row>
    <row r="265">
      <c r="A265" s="39">
        <f>IFERROR(SMALL(Calc!$B$2:$BB$61,260),"")</f>
        <v/>
      </c>
      <c r="B265" s="39">
        <f>IF(A265="","",ROUND(MOD(A265,1)*1000,0))</f>
        <v/>
      </c>
      <c r="C265" s="33" t="n"/>
      <c r="D265" s="40">
        <f>IF(A265="","",INT(A265))</f>
        <v/>
      </c>
      <c r="E265" s="41">
        <f>IF(B265="","",INDEX(Setup!$D$25:$D$84,B265))</f>
        <v/>
      </c>
      <c r="F265" s="42">
        <f>IF(B265="","",INDEX(Setup!$E$25:$E$84,B265))</f>
        <v/>
      </c>
      <c r="G265" s="39">
        <f>IF(B265="","",INDEX(Setup!$I$25:$I$84,B265)&amp;"")</f>
        <v/>
      </c>
      <c r="H265" s="39">
        <f>IF(B265="","",INDEX(Setup!$J$25:$J$84,B265)&amp;"")</f>
        <v/>
      </c>
      <c r="I265" s="39">
        <f>IF(B265="","",INDEX(Setup!$C$25:$C$84,B265))</f>
        <v/>
      </c>
      <c r="J265" s="39" t="n"/>
      <c r="K265" s="37" t="n"/>
      <c r="L265" s="38" t="n"/>
      <c r="M265" s="33" t="n"/>
      <c r="N265" s="33" t="n"/>
      <c r="O265" s="39" t="n"/>
      <c r="P265" s="40">
        <f>IF(A265="","",IF(K265&lt;&gt;"",K265,D265))</f>
        <v/>
      </c>
      <c r="Q265" s="42">
        <f>IF(A265="",0,IF(C265="✗",0,IF(OR(C265="✓",AND(Setup!$D$7="Yes",P265&lt;=TODAY())),IF(L265&lt;&gt;"",L265,F265),0)))</f>
        <v/>
      </c>
      <c r="R265" s="39">
        <f>IF(A265="","",IF(M265&lt;&gt;"",M265,G265))</f>
        <v/>
      </c>
      <c r="S265" s="39">
        <f>IF(A265="","",IF(N265&lt;&gt;"",N265,H265))</f>
        <v/>
      </c>
      <c r="T265" s="39">
        <f>IF(A265="","",IF(C265="✗","Skipped",IF(Q265&gt;0,"Paid","Upcoming")))</f>
        <v/>
      </c>
      <c r="U265" s="42">
        <f>IF(A265="",0,IF(C265="✗",0,IF(L265&lt;&gt;"",L265,F265)))</f>
        <v/>
      </c>
    </row>
    <row r="266">
      <c r="A266" s="32">
        <f>IFERROR(SMALL(Calc!$B$2:$BB$61,261),"")</f>
        <v/>
      </c>
      <c r="B266" s="32">
        <f>IF(A266="","",ROUND(MOD(A266,1)*1000,0))</f>
        <v/>
      </c>
      <c r="C266" s="33" t="n"/>
      <c r="D266" s="34">
        <f>IF(A266="","",INT(A266))</f>
        <v/>
      </c>
      <c r="E266" s="35">
        <f>IF(B266="","",INDEX(Setup!$D$25:$D$84,B266))</f>
        <v/>
      </c>
      <c r="F266" s="36">
        <f>IF(B266="","",INDEX(Setup!$E$25:$E$84,B266))</f>
        <v/>
      </c>
      <c r="G266" s="32">
        <f>IF(B266="","",INDEX(Setup!$I$25:$I$84,B266)&amp;"")</f>
        <v/>
      </c>
      <c r="H266" s="32">
        <f>IF(B266="","",INDEX(Setup!$J$25:$J$84,B266)&amp;"")</f>
        <v/>
      </c>
      <c r="I266" s="32">
        <f>IF(B266="","",INDEX(Setup!$C$25:$C$84,B266))</f>
        <v/>
      </c>
      <c r="J266" s="32" t="n"/>
      <c r="K266" s="37" t="n"/>
      <c r="L266" s="38" t="n"/>
      <c r="M266" s="33" t="n"/>
      <c r="N266" s="33" t="n"/>
      <c r="O266" s="32" t="n"/>
      <c r="P266" s="34">
        <f>IF(A266="","",IF(K266&lt;&gt;"",K266,D266))</f>
        <v/>
      </c>
      <c r="Q266" s="36">
        <f>IF(A266="",0,IF(C266="✗",0,IF(OR(C266="✓",AND(Setup!$D$7="Yes",P266&lt;=TODAY())),IF(L266&lt;&gt;"",L266,F266),0)))</f>
        <v/>
      </c>
      <c r="R266" s="32">
        <f>IF(A266="","",IF(M266&lt;&gt;"",M266,G266))</f>
        <v/>
      </c>
      <c r="S266" s="32">
        <f>IF(A266="","",IF(N266&lt;&gt;"",N266,H266))</f>
        <v/>
      </c>
      <c r="T266" s="32">
        <f>IF(A266="","",IF(C266="✗","Skipped",IF(Q266&gt;0,"Paid","Upcoming")))</f>
        <v/>
      </c>
      <c r="U266" s="36">
        <f>IF(A266="",0,IF(C266="✗",0,IF(L266&lt;&gt;"",L266,F266)))</f>
        <v/>
      </c>
    </row>
    <row r="267">
      <c r="A267" s="39">
        <f>IFERROR(SMALL(Calc!$B$2:$BB$61,262),"")</f>
        <v/>
      </c>
      <c r="B267" s="39">
        <f>IF(A267="","",ROUND(MOD(A267,1)*1000,0))</f>
        <v/>
      </c>
      <c r="C267" s="33" t="n"/>
      <c r="D267" s="40">
        <f>IF(A267="","",INT(A267))</f>
        <v/>
      </c>
      <c r="E267" s="41">
        <f>IF(B267="","",INDEX(Setup!$D$25:$D$84,B267))</f>
        <v/>
      </c>
      <c r="F267" s="42">
        <f>IF(B267="","",INDEX(Setup!$E$25:$E$84,B267))</f>
        <v/>
      </c>
      <c r="G267" s="39">
        <f>IF(B267="","",INDEX(Setup!$I$25:$I$84,B267)&amp;"")</f>
        <v/>
      </c>
      <c r="H267" s="39">
        <f>IF(B267="","",INDEX(Setup!$J$25:$J$84,B267)&amp;"")</f>
        <v/>
      </c>
      <c r="I267" s="39">
        <f>IF(B267="","",INDEX(Setup!$C$25:$C$84,B267))</f>
        <v/>
      </c>
      <c r="J267" s="39" t="n"/>
      <c r="K267" s="37" t="n"/>
      <c r="L267" s="38" t="n"/>
      <c r="M267" s="33" t="n"/>
      <c r="N267" s="33" t="n"/>
      <c r="O267" s="39" t="n"/>
      <c r="P267" s="40">
        <f>IF(A267="","",IF(K267&lt;&gt;"",K267,D267))</f>
        <v/>
      </c>
      <c r="Q267" s="42">
        <f>IF(A267="",0,IF(C267="✗",0,IF(OR(C267="✓",AND(Setup!$D$7="Yes",P267&lt;=TODAY())),IF(L267&lt;&gt;"",L267,F267),0)))</f>
        <v/>
      </c>
      <c r="R267" s="39">
        <f>IF(A267="","",IF(M267&lt;&gt;"",M267,G267))</f>
        <v/>
      </c>
      <c r="S267" s="39">
        <f>IF(A267="","",IF(N267&lt;&gt;"",N267,H267))</f>
        <v/>
      </c>
      <c r="T267" s="39">
        <f>IF(A267="","",IF(C267="✗","Skipped",IF(Q267&gt;0,"Paid","Upcoming")))</f>
        <v/>
      </c>
      <c r="U267" s="42">
        <f>IF(A267="",0,IF(C267="✗",0,IF(L267&lt;&gt;"",L267,F267)))</f>
        <v/>
      </c>
    </row>
    <row r="268">
      <c r="A268" s="32">
        <f>IFERROR(SMALL(Calc!$B$2:$BB$61,263),"")</f>
        <v/>
      </c>
      <c r="B268" s="32">
        <f>IF(A268="","",ROUND(MOD(A268,1)*1000,0))</f>
        <v/>
      </c>
      <c r="C268" s="33" t="n"/>
      <c r="D268" s="34">
        <f>IF(A268="","",INT(A268))</f>
        <v/>
      </c>
      <c r="E268" s="35">
        <f>IF(B268="","",INDEX(Setup!$D$25:$D$84,B268))</f>
        <v/>
      </c>
      <c r="F268" s="36">
        <f>IF(B268="","",INDEX(Setup!$E$25:$E$84,B268))</f>
        <v/>
      </c>
      <c r="G268" s="32">
        <f>IF(B268="","",INDEX(Setup!$I$25:$I$84,B268)&amp;"")</f>
        <v/>
      </c>
      <c r="H268" s="32">
        <f>IF(B268="","",INDEX(Setup!$J$25:$J$84,B268)&amp;"")</f>
        <v/>
      </c>
      <c r="I268" s="32">
        <f>IF(B268="","",INDEX(Setup!$C$25:$C$84,B268))</f>
        <v/>
      </c>
      <c r="J268" s="32" t="n"/>
      <c r="K268" s="37" t="n"/>
      <c r="L268" s="38" t="n"/>
      <c r="M268" s="33" t="n"/>
      <c r="N268" s="33" t="n"/>
      <c r="O268" s="32" t="n"/>
      <c r="P268" s="34">
        <f>IF(A268="","",IF(K268&lt;&gt;"",K268,D268))</f>
        <v/>
      </c>
      <c r="Q268" s="36">
        <f>IF(A268="",0,IF(C268="✗",0,IF(OR(C268="✓",AND(Setup!$D$7="Yes",P268&lt;=TODAY())),IF(L268&lt;&gt;"",L268,F268),0)))</f>
        <v/>
      </c>
      <c r="R268" s="32">
        <f>IF(A268="","",IF(M268&lt;&gt;"",M268,G268))</f>
        <v/>
      </c>
      <c r="S268" s="32">
        <f>IF(A268="","",IF(N268&lt;&gt;"",N268,H268))</f>
        <v/>
      </c>
      <c r="T268" s="32">
        <f>IF(A268="","",IF(C268="✗","Skipped",IF(Q268&gt;0,"Paid","Upcoming")))</f>
        <v/>
      </c>
      <c r="U268" s="36">
        <f>IF(A268="",0,IF(C268="✗",0,IF(L268&lt;&gt;"",L268,F268)))</f>
        <v/>
      </c>
    </row>
    <row r="269">
      <c r="A269" s="39">
        <f>IFERROR(SMALL(Calc!$B$2:$BB$61,264),"")</f>
        <v/>
      </c>
      <c r="B269" s="39">
        <f>IF(A269="","",ROUND(MOD(A269,1)*1000,0))</f>
        <v/>
      </c>
      <c r="C269" s="33" t="n"/>
      <c r="D269" s="40">
        <f>IF(A269="","",INT(A269))</f>
        <v/>
      </c>
      <c r="E269" s="41">
        <f>IF(B269="","",INDEX(Setup!$D$25:$D$84,B269))</f>
        <v/>
      </c>
      <c r="F269" s="42">
        <f>IF(B269="","",INDEX(Setup!$E$25:$E$84,B269))</f>
        <v/>
      </c>
      <c r="G269" s="39">
        <f>IF(B269="","",INDEX(Setup!$I$25:$I$84,B269)&amp;"")</f>
        <v/>
      </c>
      <c r="H269" s="39">
        <f>IF(B269="","",INDEX(Setup!$J$25:$J$84,B269)&amp;"")</f>
        <v/>
      </c>
      <c r="I269" s="39">
        <f>IF(B269="","",INDEX(Setup!$C$25:$C$84,B269))</f>
        <v/>
      </c>
      <c r="J269" s="39" t="n"/>
      <c r="K269" s="37" t="n"/>
      <c r="L269" s="38" t="n"/>
      <c r="M269" s="33" t="n"/>
      <c r="N269" s="33" t="n"/>
      <c r="O269" s="39" t="n"/>
      <c r="P269" s="40">
        <f>IF(A269="","",IF(K269&lt;&gt;"",K269,D269))</f>
        <v/>
      </c>
      <c r="Q269" s="42">
        <f>IF(A269="",0,IF(C269="✗",0,IF(OR(C269="✓",AND(Setup!$D$7="Yes",P269&lt;=TODAY())),IF(L269&lt;&gt;"",L269,F269),0)))</f>
        <v/>
      </c>
      <c r="R269" s="39">
        <f>IF(A269="","",IF(M269&lt;&gt;"",M269,G269))</f>
        <v/>
      </c>
      <c r="S269" s="39">
        <f>IF(A269="","",IF(N269&lt;&gt;"",N269,H269))</f>
        <v/>
      </c>
      <c r="T269" s="39">
        <f>IF(A269="","",IF(C269="✗","Skipped",IF(Q269&gt;0,"Paid","Upcoming")))</f>
        <v/>
      </c>
      <c r="U269" s="42">
        <f>IF(A269="",0,IF(C269="✗",0,IF(L269&lt;&gt;"",L269,F269)))</f>
        <v/>
      </c>
    </row>
    <row r="270">
      <c r="A270" s="32">
        <f>IFERROR(SMALL(Calc!$B$2:$BB$61,265),"")</f>
        <v/>
      </c>
      <c r="B270" s="32">
        <f>IF(A270="","",ROUND(MOD(A270,1)*1000,0))</f>
        <v/>
      </c>
      <c r="C270" s="33" t="n"/>
      <c r="D270" s="34">
        <f>IF(A270="","",INT(A270))</f>
        <v/>
      </c>
      <c r="E270" s="35">
        <f>IF(B270="","",INDEX(Setup!$D$25:$D$84,B270))</f>
        <v/>
      </c>
      <c r="F270" s="36">
        <f>IF(B270="","",INDEX(Setup!$E$25:$E$84,B270))</f>
        <v/>
      </c>
      <c r="G270" s="32">
        <f>IF(B270="","",INDEX(Setup!$I$25:$I$84,B270)&amp;"")</f>
        <v/>
      </c>
      <c r="H270" s="32">
        <f>IF(B270="","",INDEX(Setup!$J$25:$J$84,B270)&amp;"")</f>
        <v/>
      </c>
      <c r="I270" s="32">
        <f>IF(B270="","",INDEX(Setup!$C$25:$C$84,B270))</f>
        <v/>
      </c>
      <c r="J270" s="32" t="n"/>
      <c r="K270" s="37" t="n"/>
      <c r="L270" s="38" t="n"/>
      <c r="M270" s="33" t="n"/>
      <c r="N270" s="33" t="n"/>
      <c r="O270" s="32" t="n"/>
      <c r="P270" s="34">
        <f>IF(A270="","",IF(K270&lt;&gt;"",K270,D270))</f>
        <v/>
      </c>
      <c r="Q270" s="36">
        <f>IF(A270="",0,IF(C270="✗",0,IF(OR(C270="✓",AND(Setup!$D$7="Yes",P270&lt;=TODAY())),IF(L270&lt;&gt;"",L270,F270),0)))</f>
        <v/>
      </c>
      <c r="R270" s="32">
        <f>IF(A270="","",IF(M270&lt;&gt;"",M270,G270))</f>
        <v/>
      </c>
      <c r="S270" s="32">
        <f>IF(A270="","",IF(N270&lt;&gt;"",N270,H270))</f>
        <v/>
      </c>
      <c r="T270" s="32">
        <f>IF(A270="","",IF(C270="✗","Skipped",IF(Q270&gt;0,"Paid","Upcoming")))</f>
        <v/>
      </c>
      <c r="U270" s="36">
        <f>IF(A270="",0,IF(C270="✗",0,IF(L270&lt;&gt;"",L270,F270)))</f>
        <v/>
      </c>
    </row>
    <row r="271">
      <c r="A271" s="39">
        <f>IFERROR(SMALL(Calc!$B$2:$BB$61,266),"")</f>
        <v/>
      </c>
      <c r="B271" s="39">
        <f>IF(A271="","",ROUND(MOD(A271,1)*1000,0))</f>
        <v/>
      </c>
      <c r="C271" s="33" t="n"/>
      <c r="D271" s="40">
        <f>IF(A271="","",INT(A271))</f>
        <v/>
      </c>
      <c r="E271" s="41">
        <f>IF(B271="","",INDEX(Setup!$D$25:$D$84,B271))</f>
        <v/>
      </c>
      <c r="F271" s="42">
        <f>IF(B271="","",INDEX(Setup!$E$25:$E$84,B271))</f>
        <v/>
      </c>
      <c r="G271" s="39">
        <f>IF(B271="","",INDEX(Setup!$I$25:$I$84,B271)&amp;"")</f>
        <v/>
      </c>
      <c r="H271" s="39">
        <f>IF(B271="","",INDEX(Setup!$J$25:$J$84,B271)&amp;"")</f>
        <v/>
      </c>
      <c r="I271" s="39">
        <f>IF(B271="","",INDEX(Setup!$C$25:$C$84,B271))</f>
        <v/>
      </c>
      <c r="J271" s="39" t="n"/>
      <c r="K271" s="37" t="n"/>
      <c r="L271" s="38" t="n"/>
      <c r="M271" s="33" t="n"/>
      <c r="N271" s="33" t="n"/>
      <c r="O271" s="39" t="n"/>
      <c r="P271" s="40">
        <f>IF(A271="","",IF(K271&lt;&gt;"",K271,D271))</f>
        <v/>
      </c>
      <c r="Q271" s="42">
        <f>IF(A271="",0,IF(C271="✗",0,IF(OR(C271="✓",AND(Setup!$D$7="Yes",P271&lt;=TODAY())),IF(L271&lt;&gt;"",L271,F271),0)))</f>
        <v/>
      </c>
      <c r="R271" s="39">
        <f>IF(A271="","",IF(M271&lt;&gt;"",M271,G271))</f>
        <v/>
      </c>
      <c r="S271" s="39">
        <f>IF(A271="","",IF(N271&lt;&gt;"",N271,H271))</f>
        <v/>
      </c>
      <c r="T271" s="39">
        <f>IF(A271="","",IF(C271="✗","Skipped",IF(Q271&gt;0,"Paid","Upcoming")))</f>
        <v/>
      </c>
      <c r="U271" s="42">
        <f>IF(A271="",0,IF(C271="✗",0,IF(L271&lt;&gt;"",L271,F271)))</f>
        <v/>
      </c>
    </row>
    <row r="272">
      <c r="A272" s="32">
        <f>IFERROR(SMALL(Calc!$B$2:$BB$61,267),"")</f>
        <v/>
      </c>
      <c r="B272" s="32">
        <f>IF(A272="","",ROUND(MOD(A272,1)*1000,0))</f>
        <v/>
      </c>
      <c r="C272" s="33" t="n"/>
      <c r="D272" s="34">
        <f>IF(A272="","",INT(A272))</f>
        <v/>
      </c>
      <c r="E272" s="35">
        <f>IF(B272="","",INDEX(Setup!$D$25:$D$84,B272))</f>
        <v/>
      </c>
      <c r="F272" s="36">
        <f>IF(B272="","",INDEX(Setup!$E$25:$E$84,B272))</f>
        <v/>
      </c>
      <c r="G272" s="32">
        <f>IF(B272="","",INDEX(Setup!$I$25:$I$84,B272)&amp;"")</f>
        <v/>
      </c>
      <c r="H272" s="32">
        <f>IF(B272="","",INDEX(Setup!$J$25:$J$84,B272)&amp;"")</f>
        <v/>
      </c>
      <c r="I272" s="32">
        <f>IF(B272="","",INDEX(Setup!$C$25:$C$84,B272))</f>
        <v/>
      </c>
      <c r="J272" s="32" t="n"/>
      <c r="K272" s="37" t="n"/>
      <c r="L272" s="38" t="n"/>
      <c r="M272" s="33" t="n"/>
      <c r="N272" s="33" t="n"/>
      <c r="O272" s="32" t="n"/>
      <c r="P272" s="34">
        <f>IF(A272="","",IF(K272&lt;&gt;"",K272,D272))</f>
        <v/>
      </c>
      <c r="Q272" s="36">
        <f>IF(A272="",0,IF(C272="✗",0,IF(OR(C272="✓",AND(Setup!$D$7="Yes",P272&lt;=TODAY())),IF(L272&lt;&gt;"",L272,F272),0)))</f>
        <v/>
      </c>
      <c r="R272" s="32">
        <f>IF(A272="","",IF(M272&lt;&gt;"",M272,G272))</f>
        <v/>
      </c>
      <c r="S272" s="32">
        <f>IF(A272="","",IF(N272&lt;&gt;"",N272,H272))</f>
        <v/>
      </c>
      <c r="T272" s="32">
        <f>IF(A272="","",IF(C272="✗","Skipped",IF(Q272&gt;0,"Paid","Upcoming")))</f>
        <v/>
      </c>
      <c r="U272" s="36">
        <f>IF(A272="",0,IF(C272="✗",0,IF(L272&lt;&gt;"",L272,F272)))</f>
        <v/>
      </c>
    </row>
    <row r="273">
      <c r="A273" s="39">
        <f>IFERROR(SMALL(Calc!$B$2:$BB$61,268),"")</f>
        <v/>
      </c>
      <c r="B273" s="39">
        <f>IF(A273="","",ROUND(MOD(A273,1)*1000,0))</f>
        <v/>
      </c>
      <c r="C273" s="33" t="n"/>
      <c r="D273" s="40">
        <f>IF(A273="","",INT(A273))</f>
        <v/>
      </c>
      <c r="E273" s="41">
        <f>IF(B273="","",INDEX(Setup!$D$25:$D$84,B273))</f>
        <v/>
      </c>
      <c r="F273" s="42">
        <f>IF(B273="","",INDEX(Setup!$E$25:$E$84,B273))</f>
        <v/>
      </c>
      <c r="G273" s="39">
        <f>IF(B273="","",INDEX(Setup!$I$25:$I$84,B273)&amp;"")</f>
        <v/>
      </c>
      <c r="H273" s="39">
        <f>IF(B273="","",INDEX(Setup!$J$25:$J$84,B273)&amp;"")</f>
        <v/>
      </c>
      <c r="I273" s="39">
        <f>IF(B273="","",INDEX(Setup!$C$25:$C$84,B273))</f>
        <v/>
      </c>
      <c r="J273" s="39" t="n"/>
      <c r="K273" s="37" t="n"/>
      <c r="L273" s="38" t="n"/>
      <c r="M273" s="33" t="n"/>
      <c r="N273" s="33" t="n"/>
      <c r="O273" s="39" t="n"/>
      <c r="P273" s="40">
        <f>IF(A273="","",IF(K273&lt;&gt;"",K273,D273))</f>
        <v/>
      </c>
      <c r="Q273" s="42">
        <f>IF(A273="",0,IF(C273="✗",0,IF(OR(C273="✓",AND(Setup!$D$7="Yes",P273&lt;=TODAY())),IF(L273&lt;&gt;"",L273,F273),0)))</f>
        <v/>
      </c>
      <c r="R273" s="39">
        <f>IF(A273="","",IF(M273&lt;&gt;"",M273,G273))</f>
        <v/>
      </c>
      <c r="S273" s="39">
        <f>IF(A273="","",IF(N273&lt;&gt;"",N273,H273))</f>
        <v/>
      </c>
      <c r="T273" s="39">
        <f>IF(A273="","",IF(C273="✗","Skipped",IF(Q273&gt;0,"Paid","Upcoming")))</f>
        <v/>
      </c>
      <c r="U273" s="42">
        <f>IF(A273="",0,IF(C273="✗",0,IF(L273&lt;&gt;"",L273,F273)))</f>
        <v/>
      </c>
    </row>
    <row r="274">
      <c r="A274" s="32">
        <f>IFERROR(SMALL(Calc!$B$2:$BB$61,269),"")</f>
        <v/>
      </c>
      <c r="B274" s="32">
        <f>IF(A274="","",ROUND(MOD(A274,1)*1000,0))</f>
        <v/>
      </c>
      <c r="C274" s="33" t="n"/>
      <c r="D274" s="34">
        <f>IF(A274="","",INT(A274))</f>
        <v/>
      </c>
      <c r="E274" s="35">
        <f>IF(B274="","",INDEX(Setup!$D$25:$D$84,B274))</f>
        <v/>
      </c>
      <c r="F274" s="36">
        <f>IF(B274="","",INDEX(Setup!$E$25:$E$84,B274))</f>
        <v/>
      </c>
      <c r="G274" s="32">
        <f>IF(B274="","",INDEX(Setup!$I$25:$I$84,B274)&amp;"")</f>
        <v/>
      </c>
      <c r="H274" s="32">
        <f>IF(B274="","",INDEX(Setup!$J$25:$J$84,B274)&amp;"")</f>
        <v/>
      </c>
      <c r="I274" s="32">
        <f>IF(B274="","",INDEX(Setup!$C$25:$C$84,B274))</f>
        <v/>
      </c>
      <c r="J274" s="32" t="n"/>
      <c r="K274" s="37" t="n"/>
      <c r="L274" s="38" t="n"/>
      <c r="M274" s="33" t="n"/>
      <c r="N274" s="33" t="n"/>
      <c r="O274" s="32" t="n"/>
      <c r="P274" s="34">
        <f>IF(A274="","",IF(K274&lt;&gt;"",K274,D274))</f>
        <v/>
      </c>
      <c r="Q274" s="36">
        <f>IF(A274="",0,IF(C274="✗",0,IF(OR(C274="✓",AND(Setup!$D$7="Yes",P274&lt;=TODAY())),IF(L274&lt;&gt;"",L274,F274),0)))</f>
        <v/>
      </c>
      <c r="R274" s="32">
        <f>IF(A274="","",IF(M274&lt;&gt;"",M274,G274))</f>
        <v/>
      </c>
      <c r="S274" s="32">
        <f>IF(A274="","",IF(N274&lt;&gt;"",N274,H274))</f>
        <v/>
      </c>
      <c r="T274" s="32">
        <f>IF(A274="","",IF(C274="✗","Skipped",IF(Q274&gt;0,"Paid","Upcoming")))</f>
        <v/>
      </c>
      <c r="U274" s="36">
        <f>IF(A274="",0,IF(C274="✗",0,IF(L274&lt;&gt;"",L274,F274)))</f>
        <v/>
      </c>
    </row>
    <row r="275">
      <c r="A275" s="39">
        <f>IFERROR(SMALL(Calc!$B$2:$BB$61,270),"")</f>
        <v/>
      </c>
      <c r="B275" s="39">
        <f>IF(A275="","",ROUND(MOD(A275,1)*1000,0))</f>
        <v/>
      </c>
      <c r="C275" s="33" t="n"/>
      <c r="D275" s="40">
        <f>IF(A275="","",INT(A275))</f>
        <v/>
      </c>
      <c r="E275" s="41">
        <f>IF(B275="","",INDEX(Setup!$D$25:$D$84,B275))</f>
        <v/>
      </c>
      <c r="F275" s="42">
        <f>IF(B275="","",INDEX(Setup!$E$25:$E$84,B275))</f>
        <v/>
      </c>
      <c r="G275" s="39">
        <f>IF(B275="","",INDEX(Setup!$I$25:$I$84,B275)&amp;"")</f>
        <v/>
      </c>
      <c r="H275" s="39">
        <f>IF(B275="","",INDEX(Setup!$J$25:$J$84,B275)&amp;"")</f>
        <v/>
      </c>
      <c r="I275" s="39">
        <f>IF(B275="","",INDEX(Setup!$C$25:$C$84,B275))</f>
        <v/>
      </c>
      <c r="J275" s="39" t="n"/>
      <c r="K275" s="37" t="n"/>
      <c r="L275" s="38" t="n"/>
      <c r="M275" s="33" t="n"/>
      <c r="N275" s="33" t="n"/>
      <c r="O275" s="39" t="n"/>
      <c r="P275" s="40">
        <f>IF(A275="","",IF(K275&lt;&gt;"",K275,D275))</f>
        <v/>
      </c>
      <c r="Q275" s="42">
        <f>IF(A275="",0,IF(C275="✗",0,IF(OR(C275="✓",AND(Setup!$D$7="Yes",P275&lt;=TODAY())),IF(L275&lt;&gt;"",L275,F275),0)))</f>
        <v/>
      </c>
      <c r="R275" s="39">
        <f>IF(A275="","",IF(M275&lt;&gt;"",M275,G275))</f>
        <v/>
      </c>
      <c r="S275" s="39">
        <f>IF(A275="","",IF(N275&lt;&gt;"",N275,H275))</f>
        <v/>
      </c>
      <c r="T275" s="39">
        <f>IF(A275="","",IF(C275="✗","Skipped",IF(Q275&gt;0,"Paid","Upcoming")))</f>
        <v/>
      </c>
      <c r="U275" s="42">
        <f>IF(A275="",0,IF(C275="✗",0,IF(L275&lt;&gt;"",L275,F275)))</f>
        <v/>
      </c>
    </row>
    <row r="276">
      <c r="A276" s="32">
        <f>IFERROR(SMALL(Calc!$B$2:$BB$61,271),"")</f>
        <v/>
      </c>
      <c r="B276" s="32">
        <f>IF(A276="","",ROUND(MOD(A276,1)*1000,0))</f>
        <v/>
      </c>
      <c r="C276" s="33" t="n"/>
      <c r="D276" s="34">
        <f>IF(A276="","",INT(A276))</f>
        <v/>
      </c>
      <c r="E276" s="35">
        <f>IF(B276="","",INDEX(Setup!$D$25:$D$84,B276))</f>
        <v/>
      </c>
      <c r="F276" s="36">
        <f>IF(B276="","",INDEX(Setup!$E$25:$E$84,B276))</f>
        <v/>
      </c>
      <c r="G276" s="32">
        <f>IF(B276="","",INDEX(Setup!$I$25:$I$84,B276)&amp;"")</f>
        <v/>
      </c>
      <c r="H276" s="32">
        <f>IF(B276="","",INDEX(Setup!$J$25:$J$84,B276)&amp;"")</f>
        <v/>
      </c>
      <c r="I276" s="32">
        <f>IF(B276="","",INDEX(Setup!$C$25:$C$84,B276))</f>
        <v/>
      </c>
      <c r="J276" s="32" t="n"/>
      <c r="K276" s="37" t="n"/>
      <c r="L276" s="38" t="n"/>
      <c r="M276" s="33" t="n"/>
      <c r="N276" s="33" t="n"/>
      <c r="O276" s="32" t="n"/>
      <c r="P276" s="34">
        <f>IF(A276="","",IF(K276&lt;&gt;"",K276,D276))</f>
        <v/>
      </c>
      <c r="Q276" s="36">
        <f>IF(A276="",0,IF(C276="✗",0,IF(OR(C276="✓",AND(Setup!$D$7="Yes",P276&lt;=TODAY())),IF(L276&lt;&gt;"",L276,F276),0)))</f>
        <v/>
      </c>
      <c r="R276" s="32">
        <f>IF(A276="","",IF(M276&lt;&gt;"",M276,G276))</f>
        <v/>
      </c>
      <c r="S276" s="32">
        <f>IF(A276="","",IF(N276&lt;&gt;"",N276,H276))</f>
        <v/>
      </c>
      <c r="T276" s="32">
        <f>IF(A276="","",IF(C276="✗","Skipped",IF(Q276&gt;0,"Paid","Upcoming")))</f>
        <v/>
      </c>
      <c r="U276" s="36">
        <f>IF(A276="",0,IF(C276="✗",0,IF(L276&lt;&gt;"",L276,F276)))</f>
        <v/>
      </c>
    </row>
    <row r="277">
      <c r="A277" s="39">
        <f>IFERROR(SMALL(Calc!$B$2:$BB$61,272),"")</f>
        <v/>
      </c>
      <c r="B277" s="39">
        <f>IF(A277="","",ROUND(MOD(A277,1)*1000,0))</f>
        <v/>
      </c>
      <c r="C277" s="33" t="n"/>
      <c r="D277" s="40">
        <f>IF(A277="","",INT(A277))</f>
        <v/>
      </c>
      <c r="E277" s="41">
        <f>IF(B277="","",INDEX(Setup!$D$25:$D$84,B277))</f>
        <v/>
      </c>
      <c r="F277" s="42">
        <f>IF(B277="","",INDEX(Setup!$E$25:$E$84,B277))</f>
        <v/>
      </c>
      <c r="G277" s="39">
        <f>IF(B277="","",INDEX(Setup!$I$25:$I$84,B277)&amp;"")</f>
        <v/>
      </c>
      <c r="H277" s="39">
        <f>IF(B277="","",INDEX(Setup!$J$25:$J$84,B277)&amp;"")</f>
        <v/>
      </c>
      <c r="I277" s="39">
        <f>IF(B277="","",INDEX(Setup!$C$25:$C$84,B277))</f>
        <v/>
      </c>
      <c r="J277" s="39" t="n"/>
      <c r="K277" s="37" t="n"/>
      <c r="L277" s="38" t="n"/>
      <c r="M277" s="33" t="n"/>
      <c r="N277" s="33" t="n"/>
      <c r="O277" s="39" t="n"/>
      <c r="P277" s="40">
        <f>IF(A277="","",IF(K277&lt;&gt;"",K277,D277))</f>
        <v/>
      </c>
      <c r="Q277" s="42">
        <f>IF(A277="",0,IF(C277="✗",0,IF(OR(C277="✓",AND(Setup!$D$7="Yes",P277&lt;=TODAY())),IF(L277&lt;&gt;"",L277,F277),0)))</f>
        <v/>
      </c>
      <c r="R277" s="39">
        <f>IF(A277="","",IF(M277&lt;&gt;"",M277,G277))</f>
        <v/>
      </c>
      <c r="S277" s="39">
        <f>IF(A277="","",IF(N277&lt;&gt;"",N277,H277))</f>
        <v/>
      </c>
      <c r="T277" s="39">
        <f>IF(A277="","",IF(C277="✗","Skipped",IF(Q277&gt;0,"Paid","Upcoming")))</f>
        <v/>
      </c>
      <c r="U277" s="42">
        <f>IF(A277="",0,IF(C277="✗",0,IF(L277&lt;&gt;"",L277,F277)))</f>
        <v/>
      </c>
    </row>
    <row r="278">
      <c r="A278" s="32">
        <f>IFERROR(SMALL(Calc!$B$2:$BB$61,273),"")</f>
        <v/>
      </c>
      <c r="B278" s="32">
        <f>IF(A278="","",ROUND(MOD(A278,1)*1000,0))</f>
        <v/>
      </c>
      <c r="C278" s="33" t="n"/>
      <c r="D278" s="34">
        <f>IF(A278="","",INT(A278))</f>
        <v/>
      </c>
      <c r="E278" s="35">
        <f>IF(B278="","",INDEX(Setup!$D$25:$D$84,B278))</f>
        <v/>
      </c>
      <c r="F278" s="36">
        <f>IF(B278="","",INDEX(Setup!$E$25:$E$84,B278))</f>
        <v/>
      </c>
      <c r="G278" s="32">
        <f>IF(B278="","",INDEX(Setup!$I$25:$I$84,B278)&amp;"")</f>
        <v/>
      </c>
      <c r="H278" s="32">
        <f>IF(B278="","",INDEX(Setup!$J$25:$J$84,B278)&amp;"")</f>
        <v/>
      </c>
      <c r="I278" s="32">
        <f>IF(B278="","",INDEX(Setup!$C$25:$C$84,B278))</f>
        <v/>
      </c>
      <c r="J278" s="32" t="n"/>
      <c r="K278" s="37" t="n"/>
      <c r="L278" s="38" t="n"/>
      <c r="M278" s="33" t="n"/>
      <c r="N278" s="33" t="n"/>
      <c r="O278" s="32" t="n"/>
      <c r="P278" s="34">
        <f>IF(A278="","",IF(K278&lt;&gt;"",K278,D278))</f>
        <v/>
      </c>
      <c r="Q278" s="36">
        <f>IF(A278="",0,IF(C278="✗",0,IF(OR(C278="✓",AND(Setup!$D$7="Yes",P278&lt;=TODAY())),IF(L278&lt;&gt;"",L278,F278),0)))</f>
        <v/>
      </c>
      <c r="R278" s="32">
        <f>IF(A278="","",IF(M278&lt;&gt;"",M278,G278))</f>
        <v/>
      </c>
      <c r="S278" s="32">
        <f>IF(A278="","",IF(N278&lt;&gt;"",N278,H278))</f>
        <v/>
      </c>
      <c r="T278" s="32">
        <f>IF(A278="","",IF(C278="✗","Skipped",IF(Q278&gt;0,"Paid","Upcoming")))</f>
        <v/>
      </c>
      <c r="U278" s="36">
        <f>IF(A278="",0,IF(C278="✗",0,IF(L278&lt;&gt;"",L278,F278)))</f>
        <v/>
      </c>
    </row>
    <row r="279">
      <c r="A279" s="39">
        <f>IFERROR(SMALL(Calc!$B$2:$BB$61,274),"")</f>
        <v/>
      </c>
      <c r="B279" s="39">
        <f>IF(A279="","",ROUND(MOD(A279,1)*1000,0))</f>
        <v/>
      </c>
      <c r="C279" s="33" t="n"/>
      <c r="D279" s="40">
        <f>IF(A279="","",INT(A279))</f>
        <v/>
      </c>
      <c r="E279" s="41">
        <f>IF(B279="","",INDEX(Setup!$D$25:$D$84,B279))</f>
        <v/>
      </c>
      <c r="F279" s="42">
        <f>IF(B279="","",INDEX(Setup!$E$25:$E$84,B279))</f>
        <v/>
      </c>
      <c r="G279" s="39">
        <f>IF(B279="","",INDEX(Setup!$I$25:$I$84,B279)&amp;"")</f>
        <v/>
      </c>
      <c r="H279" s="39">
        <f>IF(B279="","",INDEX(Setup!$J$25:$J$84,B279)&amp;"")</f>
        <v/>
      </c>
      <c r="I279" s="39">
        <f>IF(B279="","",INDEX(Setup!$C$25:$C$84,B279))</f>
        <v/>
      </c>
      <c r="J279" s="39" t="n"/>
      <c r="K279" s="37" t="n"/>
      <c r="L279" s="38" t="n"/>
      <c r="M279" s="33" t="n"/>
      <c r="N279" s="33" t="n"/>
      <c r="O279" s="39" t="n"/>
      <c r="P279" s="40">
        <f>IF(A279="","",IF(K279&lt;&gt;"",K279,D279))</f>
        <v/>
      </c>
      <c r="Q279" s="42">
        <f>IF(A279="",0,IF(C279="✗",0,IF(OR(C279="✓",AND(Setup!$D$7="Yes",P279&lt;=TODAY())),IF(L279&lt;&gt;"",L279,F279),0)))</f>
        <v/>
      </c>
      <c r="R279" s="39">
        <f>IF(A279="","",IF(M279&lt;&gt;"",M279,G279))</f>
        <v/>
      </c>
      <c r="S279" s="39">
        <f>IF(A279="","",IF(N279&lt;&gt;"",N279,H279))</f>
        <v/>
      </c>
      <c r="T279" s="39">
        <f>IF(A279="","",IF(C279="✗","Skipped",IF(Q279&gt;0,"Paid","Upcoming")))</f>
        <v/>
      </c>
      <c r="U279" s="42">
        <f>IF(A279="",0,IF(C279="✗",0,IF(L279&lt;&gt;"",L279,F279)))</f>
        <v/>
      </c>
    </row>
    <row r="280">
      <c r="A280" s="32">
        <f>IFERROR(SMALL(Calc!$B$2:$BB$61,275),"")</f>
        <v/>
      </c>
      <c r="B280" s="32">
        <f>IF(A280="","",ROUND(MOD(A280,1)*1000,0))</f>
        <v/>
      </c>
      <c r="C280" s="33" t="n"/>
      <c r="D280" s="34">
        <f>IF(A280="","",INT(A280))</f>
        <v/>
      </c>
      <c r="E280" s="35">
        <f>IF(B280="","",INDEX(Setup!$D$25:$D$84,B280))</f>
        <v/>
      </c>
      <c r="F280" s="36">
        <f>IF(B280="","",INDEX(Setup!$E$25:$E$84,B280))</f>
        <v/>
      </c>
      <c r="G280" s="32">
        <f>IF(B280="","",INDEX(Setup!$I$25:$I$84,B280)&amp;"")</f>
        <v/>
      </c>
      <c r="H280" s="32">
        <f>IF(B280="","",INDEX(Setup!$J$25:$J$84,B280)&amp;"")</f>
        <v/>
      </c>
      <c r="I280" s="32">
        <f>IF(B280="","",INDEX(Setup!$C$25:$C$84,B280))</f>
        <v/>
      </c>
      <c r="J280" s="32" t="n"/>
      <c r="K280" s="37" t="n"/>
      <c r="L280" s="38" t="n"/>
      <c r="M280" s="33" t="n"/>
      <c r="N280" s="33" t="n"/>
      <c r="O280" s="32" t="n"/>
      <c r="P280" s="34">
        <f>IF(A280="","",IF(K280&lt;&gt;"",K280,D280))</f>
        <v/>
      </c>
      <c r="Q280" s="36">
        <f>IF(A280="",0,IF(C280="✗",0,IF(OR(C280="✓",AND(Setup!$D$7="Yes",P280&lt;=TODAY())),IF(L280&lt;&gt;"",L280,F280),0)))</f>
        <v/>
      </c>
      <c r="R280" s="32">
        <f>IF(A280="","",IF(M280&lt;&gt;"",M280,G280))</f>
        <v/>
      </c>
      <c r="S280" s="32">
        <f>IF(A280="","",IF(N280&lt;&gt;"",N280,H280))</f>
        <v/>
      </c>
      <c r="T280" s="32">
        <f>IF(A280="","",IF(C280="✗","Skipped",IF(Q280&gt;0,"Paid","Upcoming")))</f>
        <v/>
      </c>
      <c r="U280" s="36">
        <f>IF(A280="",0,IF(C280="✗",0,IF(L280&lt;&gt;"",L280,F280)))</f>
        <v/>
      </c>
    </row>
    <row r="281">
      <c r="A281" s="39">
        <f>IFERROR(SMALL(Calc!$B$2:$BB$61,276),"")</f>
        <v/>
      </c>
      <c r="B281" s="39">
        <f>IF(A281="","",ROUND(MOD(A281,1)*1000,0))</f>
        <v/>
      </c>
      <c r="C281" s="33" t="n"/>
      <c r="D281" s="40">
        <f>IF(A281="","",INT(A281))</f>
        <v/>
      </c>
      <c r="E281" s="41">
        <f>IF(B281="","",INDEX(Setup!$D$25:$D$84,B281))</f>
        <v/>
      </c>
      <c r="F281" s="42">
        <f>IF(B281="","",INDEX(Setup!$E$25:$E$84,B281))</f>
        <v/>
      </c>
      <c r="G281" s="39">
        <f>IF(B281="","",INDEX(Setup!$I$25:$I$84,B281)&amp;"")</f>
        <v/>
      </c>
      <c r="H281" s="39">
        <f>IF(B281="","",INDEX(Setup!$J$25:$J$84,B281)&amp;"")</f>
        <v/>
      </c>
      <c r="I281" s="39">
        <f>IF(B281="","",INDEX(Setup!$C$25:$C$84,B281))</f>
        <v/>
      </c>
      <c r="J281" s="39" t="n"/>
      <c r="K281" s="37" t="n"/>
      <c r="L281" s="38" t="n"/>
      <c r="M281" s="33" t="n"/>
      <c r="N281" s="33" t="n"/>
      <c r="O281" s="39" t="n"/>
      <c r="P281" s="40">
        <f>IF(A281="","",IF(K281&lt;&gt;"",K281,D281))</f>
        <v/>
      </c>
      <c r="Q281" s="42">
        <f>IF(A281="",0,IF(C281="✗",0,IF(OR(C281="✓",AND(Setup!$D$7="Yes",P281&lt;=TODAY())),IF(L281&lt;&gt;"",L281,F281),0)))</f>
        <v/>
      </c>
      <c r="R281" s="39">
        <f>IF(A281="","",IF(M281&lt;&gt;"",M281,G281))</f>
        <v/>
      </c>
      <c r="S281" s="39">
        <f>IF(A281="","",IF(N281&lt;&gt;"",N281,H281))</f>
        <v/>
      </c>
      <c r="T281" s="39">
        <f>IF(A281="","",IF(C281="✗","Skipped",IF(Q281&gt;0,"Paid","Upcoming")))</f>
        <v/>
      </c>
      <c r="U281" s="42">
        <f>IF(A281="",0,IF(C281="✗",0,IF(L281&lt;&gt;"",L281,F281)))</f>
        <v/>
      </c>
    </row>
    <row r="282">
      <c r="A282" s="32">
        <f>IFERROR(SMALL(Calc!$B$2:$BB$61,277),"")</f>
        <v/>
      </c>
      <c r="B282" s="32">
        <f>IF(A282="","",ROUND(MOD(A282,1)*1000,0))</f>
        <v/>
      </c>
      <c r="C282" s="33" t="n"/>
      <c r="D282" s="34">
        <f>IF(A282="","",INT(A282))</f>
        <v/>
      </c>
      <c r="E282" s="35">
        <f>IF(B282="","",INDEX(Setup!$D$25:$D$84,B282))</f>
        <v/>
      </c>
      <c r="F282" s="36">
        <f>IF(B282="","",INDEX(Setup!$E$25:$E$84,B282))</f>
        <v/>
      </c>
      <c r="G282" s="32">
        <f>IF(B282="","",INDEX(Setup!$I$25:$I$84,B282)&amp;"")</f>
        <v/>
      </c>
      <c r="H282" s="32">
        <f>IF(B282="","",INDEX(Setup!$J$25:$J$84,B282)&amp;"")</f>
        <v/>
      </c>
      <c r="I282" s="32">
        <f>IF(B282="","",INDEX(Setup!$C$25:$C$84,B282))</f>
        <v/>
      </c>
      <c r="J282" s="32" t="n"/>
      <c r="K282" s="37" t="n"/>
      <c r="L282" s="38" t="n"/>
      <c r="M282" s="33" t="n"/>
      <c r="N282" s="33" t="n"/>
      <c r="O282" s="32" t="n"/>
      <c r="P282" s="34">
        <f>IF(A282="","",IF(K282&lt;&gt;"",K282,D282))</f>
        <v/>
      </c>
      <c r="Q282" s="36">
        <f>IF(A282="",0,IF(C282="✗",0,IF(OR(C282="✓",AND(Setup!$D$7="Yes",P282&lt;=TODAY())),IF(L282&lt;&gt;"",L282,F282),0)))</f>
        <v/>
      </c>
      <c r="R282" s="32">
        <f>IF(A282="","",IF(M282&lt;&gt;"",M282,G282))</f>
        <v/>
      </c>
      <c r="S282" s="32">
        <f>IF(A282="","",IF(N282&lt;&gt;"",N282,H282))</f>
        <v/>
      </c>
      <c r="T282" s="32">
        <f>IF(A282="","",IF(C282="✗","Skipped",IF(Q282&gt;0,"Paid","Upcoming")))</f>
        <v/>
      </c>
      <c r="U282" s="36">
        <f>IF(A282="",0,IF(C282="✗",0,IF(L282&lt;&gt;"",L282,F282)))</f>
        <v/>
      </c>
    </row>
    <row r="283">
      <c r="A283" s="39">
        <f>IFERROR(SMALL(Calc!$B$2:$BB$61,278),"")</f>
        <v/>
      </c>
      <c r="B283" s="39">
        <f>IF(A283="","",ROUND(MOD(A283,1)*1000,0))</f>
        <v/>
      </c>
      <c r="C283" s="33" t="n"/>
      <c r="D283" s="40">
        <f>IF(A283="","",INT(A283))</f>
        <v/>
      </c>
      <c r="E283" s="41">
        <f>IF(B283="","",INDEX(Setup!$D$25:$D$84,B283))</f>
        <v/>
      </c>
      <c r="F283" s="42">
        <f>IF(B283="","",INDEX(Setup!$E$25:$E$84,B283))</f>
        <v/>
      </c>
      <c r="G283" s="39">
        <f>IF(B283="","",INDEX(Setup!$I$25:$I$84,B283)&amp;"")</f>
        <v/>
      </c>
      <c r="H283" s="39">
        <f>IF(B283="","",INDEX(Setup!$J$25:$J$84,B283)&amp;"")</f>
        <v/>
      </c>
      <c r="I283" s="39">
        <f>IF(B283="","",INDEX(Setup!$C$25:$C$84,B283))</f>
        <v/>
      </c>
      <c r="J283" s="39" t="n"/>
      <c r="K283" s="37" t="n"/>
      <c r="L283" s="38" t="n"/>
      <c r="M283" s="33" t="n"/>
      <c r="N283" s="33" t="n"/>
      <c r="O283" s="39" t="n"/>
      <c r="P283" s="40">
        <f>IF(A283="","",IF(K283&lt;&gt;"",K283,D283))</f>
        <v/>
      </c>
      <c r="Q283" s="42">
        <f>IF(A283="",0,IF(C283="✗",0,IF(OR(C283="✓",AND(Setup!$D$7="Yes",P283&lt;=TODAY())),IF(L283&lt;&gt;"",L283,F283),0)))</f>
        <v/>
      </c>
      <c r="R283" s="39">
        <f>IF(A283="","",IF(M283&lt;&gt;"",M283,G283))</f>
        <v/>
      </c>
      <c r="S283" s="39">
        <f>IF(A283="","",IF(N283&lt;&gt;"",N283,H283))</f>
        <v/>
      </c>
      <c r="T283" s="39">
        <f>IF(A283="","",IF(C283="✗","Skipped",IF(Q283&gt;0,"Paid","Upcoming")))</f>
        <v/>
      </c>
      <c r="U283" s="42">
        <f>IF(A283="",0,IF(C283="✗",0,IF(L283&lt;&gt;"",L283,F283)))</f>
        <v/>
      </c>
    </row>
    <row r="284">
      <c r="A284" s="32">
        <f>IFERROR(SMALL(Calc!$B$2:$BB$61,279),"")</f>
        <v/>
      </c>
      <c r="B284" s="32">
        <f>IF(A284="","",ROUND(MOD(A284,1)*1000,0))</f>
        <v/>
      </c>
      <c r="C284" s="33" t="n"/>
      <c r="D284" s="34">
        <f>IF(A284="","",INT(A284))</f>
        <v/>
      </c>
      <c r="E284" s="35">
        <f>IF(B284="","",INDEX(Setup!$D$25:$D$84,B284))</f>
        <v/>
      </c>
      <c r="F284" s="36">
        <f>IF(B284="","",INDEX(Setup!$E$25:$E$84,B284))</f>
        <v/>
      </c>
      <c r="G284" s="32">
        <f>IF(B284="","",INDEX(Setup!$I$25:$I$84,B284)&amp;"")</f>
        <v/>
      </c>
      <c r="H284" s="32">
        <f>IF(B284="","",INDEX(Setup!$J$25:$J$84,B284)&amp;"")</f>
        <v/>
      </c>
      <c r="I284" s="32">
        <f>IF(B284="","",INDEX(Setup!$C$25:$C$84,B284))</f>
        <v/>
      </c>
      <c r="J284" s="32" t="n"/>
      <c r="K284" s="37" t="n"/>
      <c r="L284" s="38" t="n"/>
      <c r="M284" s="33" t="n"/>
      <c r="N284" s="33" t="n"/>
      <c r="O284" s="32" t="n"/>
      <c r="P284" s="34">
        <f>IF(A284="","",IF(K284&lt;&gt;"",K284,D284))</f>
        <v/>
      </c>
      <c r="Q284" s="36">
        <f>IF(A284="",0,IF(C284="✗",0,IF(OR(C284="✓",AND(Setup!$D$7="Yes",P284&lt;=TODAY())),IF(L284&lt;&gt;"",L284,F284),0)))</f>
        <v/>
      </c>
      <c r="R284" s="32">
        <f>IF(A284="","",IF(M284&lt;&gt;"",M284,G284))</f>
        <v/>
      </c>
      <c r="S284" s="32">
        <f>IF(A284="","",IF(N284&lt;&gt;"",N284,H284))</f>
        <v/>
      </c>
      <c r="T284" s="32">
        <f>IF(A284="","",IF(C284="✗","Skipped",IF(Q284&gt;0,"Paid","Upcoming")))</f>
        <v/>
      </c>
      <c r="U284" s="36">
        <f>IF(A284="",0,IF(C284="✗",0,IF(L284&lt;&gt;"",L284,F284)))</f>
        <v/>
      </c>
    </row>
    <row r="285">
      <c r="A285" s="39">
        <f>IFERROR(SMALL(Calc!$B$2:$BB$61,280),"")</f>
        <v/>
      </c>
      <c r="B285" s="39">
        <f>IF(A285="","",ROUND(MOD(A285,1)*1000,0))</f>
        <v/>
      </c>
      <c r="C285" s="33" t="n"/>
      <c r="D285" s="40">
        <f>IF(A285="","",INT(A285))</f>
        <v/>
      </c>
      <c r="E285" s="41">
        <f>IF(B285="","",INDEX(Setup!$D$25:$D$84,B285))</f>
        <v/>
      </c>
      <c r="F285" s="42">
        <f>IF(B285="","",INDEX(Setup!$E$25:$E$84,B285))</f>
        <v/>
      </c>
      <c r="G285" s="39">
        <f>IF(B285="","",INDEX(Setup!$I$25:$I$84,B285)&amp;"")</f>
        <v/>
      </c>
      <c r="H285" s="39">
        <f>IF(B285="","",INDEX(Setup!$J$25:$J$84,B285)&amp;"")</f>
        <v/>
      </c>
      <c r="I285" s="39">
        <f>IF(B285="","",INDEX(Setup!$C$25:$C$84,B285))</f>
        <v/>
      </c>
      <c r="J285" s="39" t="n"/>
      <c r="K285" s="37" t="n"/>
      <c r="L285" s="38" t="n"/>
      <c r="M285" s="33" t="n"/>
      <c r="N285" s="33" t="n"/>
      <c r="O285" s="39" t="n"/>
      <c r="P285" s="40">
        <f>IF(A285="","",IF(K285&lt;&gt;"",K285,D285))</f>
        <v/>
      </c>
      <c r="Q285" s="42">
        <f>IF(A285="",0,IF(C285="✗",0,IF(OR(C285="✓",AND(Setup!$D$7="Yes",P285&lt;=TODAY())),IF(L285&lt;&gt;"",L285,F285),0)))</f>
        <v/>
      </c>
      <c r="R285" s="39">
        <f>IF(A285="","",IF(M285&lt;&gt;"",M285,G285))</f>
        <v/>
      </c>
      <c r="S285" s="39">
        <f>IF(A285="","",IF(N285&lt;&gt;"",N285,H285))</f>
        <v/>
      </c>
      <c r="T285" s="39">
        <f>IF(A285="","",IF(C285="✗","Skipped",IF(Q285&gt;0,"Paid","Upcoming")))</f>
        <v/>
      </c>
      <c r="U285" s="42">
        <f>IF(A285="",0,IF(C285="✗",0,IF(L285&lt;&gt;"",L285,F285)))</f>
        <v/>
      </c>
    </row>
    <row r="286">
      <c r="A286" s="32">
        <f>IFERROR(SMALL(Calc!$B$2:$BB$61,281),"")</f>
        <v/>
      </c>
      <c r="B286" s="32">
        <f>IF(A286="","",ROUND(MOD(A286,1)*1000,0))</f>
        <v/>
      </c>
      <c r="C286" s="33" t="n"/>
      <c r="D286" s="34">
        <f>IF(A286="","",INT(A286))</f>
        <v/>
      </c>
      <c r="E286" s="35">
        <f>IF(B286="","",INDEX(Setup!$D$25:$D$84,B286))</f>
        <v/>
      </c>
      <c r="F286" s="36">
        <f>IF(B286="","",INDEX(Setup!$E$25:$E$84,B286))</f>
        <v/>
      </c>
      <c r="G286" s="32">
        <f>IF(B286="","",INDEX(Setup!$I$25:$I$84,B286)&amp;"")</f>
        <v/>
      </c>
      <c r="H286" s="32">
        <f>IF(B286="","",INDEX(Setup!$J$25:$J$84,B286)&amp;"")</f>
        <v/>
      </c>
      <c r="I286" s="32">
        <f>IF(B286="","",INDEX(Setup!$C$25:$C$84,B286))</f>
        <v/>
      </c>
      <c r="J286" s="32" t="n"/>
      <c r="K286" s="37" t="n"/>
      <c r="L286" s="38" t="n"/>
      <c r="M286" s="33" t="n"/>
      <c r="N286" s="33" t="n"/>
      <c r="O286" s="32" t="n"/>
      <c r="P286" s="34">
        <f>IF(A286="","",IF(K286&lt;&gt;"",K286,D286))</f>
        <v/>
      </c>
      <c r="Q286" s="36">
        <f>IF(A286="",0,IF(C286="✗",0,IF(OR(C286="✓",AND(Setup!$D$7="Yes",P286&lt;=TODAY())),IF(L286&lt;&gt;"",L286,F286),0)))</f>
        <v/>
      </c>
      <c r="R286" s="32">
        <f>IF(A286="","",IF(M286&lt;&gt;"",M286,G286))</f>
        <v/>
      </c>
      <c r="S286" s="32">
        <f>IF(A286="","",IF(N286&lt;&gt;"",N286,H286))</f>
        <v/>
      </c>
      <c r="T286" s="32">
        <f>IF(A286="","",IF(C286="✗","Skipped",IF(Q286&gt;0,"Paid","Upcoming")))</f>
        <v/>
      </c>
      <c r="U286" s="36">
        <f>IF(A286="",0,IF(C286="✗",0,IF(L286&lt;&gt;"",L286,F286)))</f>
        <v/>
      </c>
    </row>
    <row r="287">
      <c r="A287" s="39">
        <f>IFERROR(SMALL(Calc!$B$2:$BB$61,282),"")</f>
        <v/>
      </c>
      <c r="B287" s="39">
        <f>IF(A287="","",ROUND(MOD(A287,1)*1000,0))</f>
        <v/>
      </c>
      <c r="C287" s="33" t="n"/>
      <c r="D287" s="40">
        <f>IF(A287="","",INT(A287))</f>
        <v/>
      </c>
      <c r="E287" s="41">
        <f>IF(B287="","",INDEX(Setup!$D$25:$D$84,B287))</f>
        <v/>
      </c>
      <c r="F287" s="42">
        <f>IF(B287="","",INDEX(Setup!$E$25:$E$84,B287))</f>
        <v/>
      </c>
      <c r="G287" s="39">
        <f>IF(B287="","",INDEX(Setup!$I$25:$I$84,B287)&amp;"")</f>
        <v/>
      </c>
      <c r="H287" s="39">
        <f>IF(B287="","",INDEX(Setup!$J$25:$J$84,B287)&amp;"")</f>
        <v/>
      </c>
      <c r="I287" s="39">
        <f>IF(B287="","",INDEX(Setup!$C$25:$C$84,B287))</f>
        <v/>
      </c>
      <c r="J287" s="39" t="n"/>
      <c r="K287" s="37" t="n"/>
      <c r="L287" s="38" t="n"/>
      <c r="M287" s="33" t="n"/>
      <c r="N287" s="33" t="n"/>
      <c r="O287" s="39" t="n"/>
      <c r="P287" s="40">
        <f>IF(A287="","",IF(K287&lt;&gt;"",K287,D287))</f>
        <v/>
      </c>
      <c r="Q287" s="42">
        <f>IF(A287="",0,IF(C287="✗",0,IF(OR(C287="✓",AND(Setup!$D$7="Yes",P287&lt;=TODAY())),IF(L287&lt;&gt;"",L287,F287),0)))</f>
        <v/>
      </c>
      <c r="R287" s="39">
        <f>IF(A287="","",IF(M287&lt;&gt;"",M287,G287))</f>
        <v/>
      </c>
      <c r="S287" s="39">
        <f>IF(A287="","",IF(N287&lt;&gt;"",N287,H287))</f>
        <v/>
      </c>
      <c r="T287" s="39">
        <f>IF(A287="","",IF(C287="✗","Skipped",IF(Q287&gt;0,"Paid","Upcoming")))</f>
        <v/>
      </c>
      <c r="U287" s="42">
        <f>IF(A287="",0,IF(C287="✗",0,IF(L287&lt;&gt;"",L287,F287)))</f>
        <v/>
      </c>
    </row>
    <row r="288">
      <c r="A288" s="32">
        <f>IFERROR(SMALL(Calc!$B$2:$BB$61,283),"")</f>
        <v/>
      </c>
      <c r="B288" s="32">
        <f>IF(A288="","",ROUND(MOD(A288,1)*1000,0))</f>
        <v/>
      </c>
      <c r="C288" s="33" t="n"/>
      <c r="D288" s="34">
        <f>IF(A288="","",INT(A288))</f>
        <v/>
      </c>
      <c r="E288" s="35">
        <f>IF(B288="","",INDEX(Setup!$D$25:$D$84,B288))</f>
        <v/>
      </c>
      <c r="F288" s="36">
        <f>IF(B288="","",INDEX(Setup!$E$25:$E$84,B288))</f>
        <v/>
      </c>
      <c r="G288" s="32">
        <f>IF(B288="","",INDEX(Setup!$I$25:$I$84,B288)&amp;"")</f>
        <v/>
      </c>
      <c r="H288" s="32">
        <f>IF(B288="","",INDEX(Setup!$J$25:$J$84,B288)&amp;"")</f>
        <v/>
      </c>
      <c r="I288" s="32">
        <f>IF(B288="","",INDEX(Setup!$C$25:$C$84,B288))</f>
        <v/>
      </c>
      <c r="J288" s="32" t="n"/>
      <c r="K288" s="37" t="n"/>
      <c r="L288" s="38" t="n"/>
      <c r="M288" s="33" t="n"/>
      <c r="N288" s="33" t="n"/>
      <c r="O288" s="32" t="n"/>
      <c r="P288" s="34">
        <f>IF(A288="","",IF(K288&lt;&gt;"",K288,D288))</f>
        <v/>
      </c>
      <c r="Q288" s="36">
        <f>IF(A288="",0,IF(C288="✗",0,IF(OR(C288="✓",AND(Setup!$D$7="Yes",P288&lt;=TODAY())),IF(L288&lt;&gt;"",L288,F288),0)))</f>
        <v/>
      </c>
      <c r="R288" s="32">
        <f>IF(A288="","",IF(M288&lt;&gt;"",M288,G288))</f>
        <v/>
      </c>
      <c r="S288" s="32">
        <f>IF(A288="","",IF(N288&lt;&gt;"",N288,H288))</f>
        <v/>
      </c>
      <c r="T288" s="32">
        <f>IF(A288="","",IF(C288="✗","Skipped",IF(Q288&gt;0,"Paid","Upcoming")))</f>
        <v/>
      </c>
      <c r="U288" s="36">
        <f>IF(A288="",0,IF(C288="✗",0,IF(L288&lt;&gt;"",L288,F288)))</f>
        <v/>
      </c>
    </row>
    <row r="289">
      <c r="A289" s="39">
        <f>IFERROR(SMALL(Calc!$B$2:$BB$61,284),"")</f>
        <v/>
      </c>
      <c r="B289" s="39">
        <f>IF(A289="","",ROUND(MOD(A289,1)*1000,0))</f>
        <v/>
      </c>
      <c r="C289" s="33" t="n"/>
      <c r="D289" s="40">
        <f>IF(A289="","",INT(A289))</f>
        <v/>
      </c>
      <c r="E289" s="41">
        <f>IF(B289="","",INDEX(Setup!$D$25:$D$84,B289))</f>
        <v/>
      </c>
      <c r="F289" s="42">
        <f>IF(B289="","",INDEX(Setup!$E$25:$E$84,B289))</f>
        <v/>
      </c>
      <c r="G289" s="39">
        <f>IF(B289="","",INDEX(Setup!$I$25:$I$84,B289)&amp;"")</f>
        <v/>
      </c>
      <c r="H289" s="39">
        <f>IF(B289="","",INDEX(Setup!$J$25:$J$84,B289)&amp;"")</f>
        <v/>
      </c>
      <c r="I289" s="39">
        <f>IF(B289="","",INDEX(Setup!$C$25:$C$84,B289))</f>
        <v/>
      </c>
      <c r="J289" s="39" t="n"/>
      <c r="K289" s="37" t="n"/>
      <c r="L289" s="38" t="n"/>
      <c r="M289" s="33" t="n"/>
      <c r="N289" s="33" t="n"/>
      <c r="O289" s="39" t="n"/>
      <c r="P289" s="40">
        <f>IF(A289="","",IF(K289&lt;&gt;"",K289,D289))</f>
        <v/>
      </c>
      <c r="Q289" s="42">
        <f>IF(A289="",0,IF(C289="✗",0,IF(OR(C289="✓",AND(Setup!$D$7="Yes",P289&lt;=TODAY())),IF(L289&lt;&gt;"",L289,F289),0)))</f>
        <v/>
      </c>
      <c r="R289" s="39">
        <f>IF(A289="","",IF(M289&lt;&gt;"",M289,G289))</f>
        <v/>
      </c>
      <c r="S289" s="39">
        <f>IF(A289="","",IF(N289&lt;&gt;"",N289,H289))</f>
        <v/>
      </c>
      <c r="T289" s="39">
        <f>IF(A289="","",IF(C289="✗","Skipped",IF(Q289&gt;0,"Paid","Upcoming")))</f>
        <v/>
      </c>
      <c r="U289" s="42">
        <f>IF(A289="",0,IF(C289="✗",0,IF(L289&lt;&gt;"",L289,F289)))</f>
        <v/>
      </c>
    </row>
    <row r="290">
      <c r="A290" s="32">
        <f>IFERROR(SMALL(Calc!$B$2:$BB$61,285),"")</f>
        <v/>
      </c>
      <c r="B290" s="32">
        <f>IF(A290="","",ROUND(MOD(A290,1)*1000,0))</f>
        <v/>
      </c>
      <c r="C290" s="33" t="n"/>
      <c r="D290" s="34">
        <f>IF(A290="","",INT(A290))</f>
        <v/>
      </c>
      <c r="E290" s="35">
        <f>IF(B290="","",INDEX(Setup!$D$25:$D$84,B290))</f>
        <v/>
      </c>
      <c r="F290" s="36">
        <f>IF(B290="","",INDEX(Setup!$E$25:$E$84,B290))</f>
        <v/>
      </c>
      <c r="G290" s="32">
        <f>IF(B290="","",INDEX(Setup!$I$25:$I$84,B290)&amp;"")</f>
        <v/>
      </c>
      <c r="H290" s="32">
        <f>IF(B290="","",INDEX(Setup!$J$25:$J$84,B290)&amp;"")</f>
        <v/>
      </c>
      <c r="I290" s="32">
        <f>IF(B290="","",INDEX(Setup!$C$25:$C$84,B290))</f>
        <v/>
      </c>
      <c r="J290" s="32" t="n"/>
      <c r="K290" s="37" t="n"/>
      <c r="L290" s="38" t="n"/>
      <c r="M290" s="33" t="n"/>
      <c r="N290" s="33" t="n"/>
      <c r="O290" s="32" t="n"/>
      <c r="P290" s="34">
        <f>IF(A290="","",IF(K290&lt;&gt;"",K290,D290))</f>
        <v/>
      </c>
      <c r="Q290" s="36">
        <f>IF(A290="",0,IF(C290="✗",0,IF(OR(C290="✓",AND(Setup!$D$7="Yes",P290&lt;=TODAY())),IF(L290&lt;&gt;"",L290,F290),0)))</f>
        <v/>
      </c>
      <c r="R290" s="32">
        <f>IF(A290="","",IF(M290&lt;&gt;"",M290,G290))</f>
        <v/>
      </c>
      <c r="S290" s="32">
        <f>IF(A290="","",IF(N290&lt;&gt;"",N290,H290))</f>
        <v/>
      </c>
      <c r="T290" s="32">
        <f>IF(A290="","",IF(C290="✗","Skipped",IF(Q290&gt;0,"Paid","Upcoming")))</f>
        <v/>
      </c>
      <c r="U290" s="36">
        <f>IF(A290="",0,IF(C290="✗",0,IF(L290&lt;&gt;"",L290,F290)))</f>
        <v/>
      </c>
    </row>
    <row r="291">
      <c r="A291" s="39">
        <f>IFERROR(SMALL(Calc!$B$2:$BB$61,286),"")</f>
        <v/>
      </c>
      <c r="B291" s="39">
        <f>IF(A291="","",ROUND(MOD(A291,1)*1000,0))</f>
        <v/>
      </c>
      <c r="C291" s="33" t="n"/>
      <c r="D291" s="40">
        <f>IF(A291="","",INT(A291))</f>
        <v/>
      </c>
      <c r="E291" s="41">
        <f>IF(B291="","",INDEX(Setup!$D$25:$D$84,B291))</f>
        <v/>
      </c>
      <c r="F291" s="42">
        <f>IF(B291="","",INDEX(Setup!$E$25:$E$84,B291))</f>
        <v/>
      </c>
      <c r="G291" s="39">
        <f>IF(B291="","",INDEX(Setup!$I$25:$I$84,B291)&amp;"")</f>
        <v/>
      </c>
      <c r="H291" s="39">
        <f>IF(B291="","",INDEX(Setup!$J$25:$J$84,B291)&amp;"")</f>
        <v/>
      </c>
      <c r="I291" s="39">
        <f>IF(B291="","",INDEX(Setup!$C$25:$C$84,B291))</f>
        <v/>
      </c>
      <c r="J291" s="39" t="n"/>
      <c r="K291" s="37" t="n"/>
      <c r="L291" s="38" t="n"/>
      <c r="M291" s="33" t="n"/>
      <c r="N291" s="33" t="n"/>
      <c r="O291" s="39" t="n"/>
      <c r="P291" s="40">
        <f>IF(A291="","",IF(K291&lt;&gt;"",K291,D291))</f>
        <v/>
      </c>
      <c r="Q291" s="42">
        <f>IF(A291="",0,IF(C291="✗",0,IF(OR(C291="✓",AND(Setup!$D$7="Yes",P291&lt;=TODAY())),IF(L291&lt;&gt;"",L291,F291),0)))</f>
        <v/>
      </c>
      <c r="R291" s="39">
        <f>IF(A291="","",IF(M291&lt;&gt;"",M291,G291))</f>
        <v/>
      </c>
      <c r="S291" s="39">
        <f>IF(A291="","",IF(N291&lt;&gt;"",N291,H291))</f>
        <v/>
      </c>
      <c r="T291" s="39">
        <f>IF(A291="","",IF(C291="✗","Skipped",IF(Q291&gt;0,"Paid","Upcoming")))</f>
        <v/>
      </c>
      <c r="U291" s="42">
        <f>IF(A291="",0,IF(C291="✗",0,IF(L291&lt;&gt;"",L291,F291)))</f>
        <v/>
      </c>
    </row>
    <row r="292">
      <c r="A292" s="32">
        <f>IFERROR(SMALL(Calc!$B$2:$BB$61,287),"")</f>
        <v/>
      </c>
      <c r="B292" s="32">
        <f>IF(A292="","",ROUND(MOD(A292,1)*1000,0))</f>
        <v/>
      </c>
      <c r="C292" s="33" t="n"/>
      <c r="D292" s="34">
        <f>IF(A292="","",INT(A292))</f>
        <v/>
      </c>
      <c r="E292" s="35">
        <f>IF(B292="","",INDEX(Setup!$D$25:$D$84,B292))</f>
        <v/>
      </c>
      <c r="F292" s="36">
        <f>IF(B292="","",INDEX(Setup!$E$25:$E$84,B292))</f>
        <v/>
      </c>
      <c r="G292" s="32">
        <f>IF(B292="","",INDEX(Setup!$I$25:$I$84,B292)&amp;"")</f>
        <v/>
      </c>
      <c r="H292" s="32">
        <f>IF(B292="","",INDEX(Setup!$J$25:$J$84,B292)&amp;"")</f>
        <v/>
      </c>
      <c r="I292" s="32">
        <f>IF(B292="","",INDEX(Setup!$C$25:$C$84,B292))</f>
        <v/>
      </c>
      <c r="J292" s="32" t="n"/>
      <c r="K292" s="37" t="n"/>
      <c r="L292" s="38" t="n"/>
      <c r="M292" s="33" t="n"/>
      <c r="N292" s="33" t="n"/>
      <c r="O292" s="32" t="n"/>
      <c r="P292" s="34">
        <f>IF(A292="","",IF(K292&lt;&gt;"",K292,D292))</f>
        <v/>
      </c>
      <c r="Q292" s="36">
        <f>IF(A292="",0,IF(C292="✗",0,IF(OR(C292="✓",AND(Setup!$D$7="Yes",P292&lt;=TODAY())),IF(L292&lt;&gt;"",L292,F292),0)))</f>
        <v/>
      </c>
      <c r="R292" s="32">
        <f>IF(A292="","",IF(M292&lt;&gt;"",M292,G292))</f>
        <v/>
      </c>
      <c r="S292" s="32">
        <f>IF(A292="","",IF(N292&lt;&gt;"",N292,H292))</f>
        <v/>
      </c>
      <c r="T292" s="32">
        <f>IF(A292="","",IF(C292="✗","Skipped",IF(Q292&gt;0,"Paid","Upcoming")))</f>
        <v/>
      </c>
      <c r="U292" s="36">
        <f>IF(A292="",0,IF(C292="✗",0,IF(L292&lt;&gt;"",L292,F292)))</f>
        <v/>
      </c>
    </row>
    <row r="293">
      <c r="A293" s="39">
        <f>IFERROR(SMALL(Calc!$B$2:$BB$61,288),"")</f>
        <v/>
      </c>
      <c r="B293" s="39">
        <f>IF(A293="","",ROUND(MOD(A293,1)*1000,0))</f>
        <v/>
      </c>
      <c r="C293" s="33" t="n"/>
      <c r="D293" s="40">
        <f>IF(A293="","",INT(A293))</f>
        <v/>
      </c>
      <c r="E293" s="41">
        <f>IF(B293="","",INDEX(Setup!$D$25:$D$84,B293))</f>
        <v/>
      </c>
      <c r="F293" s="42">
        <f>IF(B293="","",INDEX(Setup!$E$25:$E$84,B293))</f>
        <v/>
      </c>
      <c r="G293" s="39">
        <f>IF(B293="","",INDEX(Setup!$I$25:$I$84,B293)&amp;"")</f>
        <v/>
      </c>
      <c r="H293" s="39">
        <f>IF(B293="","",INDEX(Setup!$J$25:$J$84,B293)&amp;"")</f>
        <v/>
      </c>
      <c r="I293" s="39">
        <f>IF(B293="","",INDEX(Setup!$C$25:$C$84,B293))</f>
        <v/>
      </c>
      <c r="J293" s="39" t="n"/>
      <c r="K293" s="37" t="n"/>
      <c r="L293" s="38" t="n"/>
      <c r="M293" s="33" t="n"/>
      <c r="N293" s="33" t="n"/>
      <c r="O293" s="39" t="n"/>
      <c r="P293" s="40">
        <f>IF(A293="","",IF(K293&lt;&gt;"",K293,D293))</f>
        <v/>
      </c>
      <c r="Q293" s="42">
        <f>IF(A293="",0,IF(C293="✗",0,IF(OR(C293="✓",AND(Setup!$D$7="Yes",P293&lt;=TODAY())),IF(L293&lt;&gt;"",L293,F293),0)))</f>
        <v/>
      </c>
      <c r="R293" s="39">
        <f>IF(A293="","",IF(M293&lt;&gt;"",M293,G293))</f>
        <v/>
      </c>
      <c r="S293" s="39">
        <f>IF(A293="","",IF(N293&lt;&gt;"",N293,H293))</f>
        <v/>
      </c>
      <c r="T293" s="39">
        <f>IF(A293="","",IF(C293="✗","Skipped",IF(Q293&gt;0,"Paid","Upcoming")))</f>
        <v/>
      </c>
      <c r="U293" s="42">
        <f>IF(A293="",0,IF(C293="✗",0,IF(L293&lt;&gt;"",L293,F293)))</f>
        <v/>
      </c>
    </row>
    <row r="294">
      <c r="A294" s="32">
        <f>IFERROR(SMALL(Calc!$B$2:$BB$61,289),"")</f>
        <v/>
      </c>
      <c r="B294" s="32">
        <f>IF(A294="","",ROUND(MOD(A294,1)*1000,0))</f>
        <v/>
      </c>
      <c r="C294" s="33" t="n"/>
      <c r="D294" s="34">
        <f>IF(A294="","",INT(A294))</f>
        <v/>
      </c>
      <c r="E294" s="35">
        <f>IF(B294="","",INDEX(Setup!$D$25:$D$84,B294))</f>
        <v/>
      </c>
      <c r="F294" s="36">
        <f>IF(B294="","",INDEX(Setup!$E$25:$E$84,B294))</f>
        <v/>
      </c>
      <c r="G294" s="32">
        <f>IF(B294="","",INDEX(Setup!$I$25:$I$84,B294)&amp;"")</f>
        <v/>
      </c>
      <c r="H294" s="32">
        <f>IF(B294="","",INDEX(Setup!$J$25:$J$84,B294)&amp;"")</f>
        <v/>
      </c>
      <c r="I294" s="32">
        <f>IF(B294="","",INDEX(Setup!$C$25:$C$84,B294))</f>
        <v/>
      </c>
      <c r="J294" s="32" t="n"/>
      <c r="K294" s="37" t="n"/>
      <c r="L294" s="38" t="n"/>
      <c r="M294" s="33" t="n"/>
      <c r="N294" s="33" t="n"/>
      <c r="O294" s="32" t="n"/>
      <c r="P294" s="34">
        <f>IF(A294="","",IF(K294&lt;&gt;"",K294,D294))</f>
        <v/>
      </c>
      <c r="Q294" s="36">
        <f>IF(A294="",0,IF(C294="✗",0,IF(OR(C294="✓",AND(Setup!$D$7="Yes",P294&lt;=TODAY())),IF(L294&lt;&gt;"",L294,F294),0)))</f>
        <v/>
      </c>
      <c r="R294" s="32">
        <f>IF(A294="","",IF(M294&lt;&gt;"",M294,G294))</f>
        <v/>
      </c>
      <c r="S294" s="32">
        <f>IF(A294="","",IF(N294&lt;&gt;"",N294,H294))</f>
        <v/>
      </c>
      <c r="T294" s="32">
        <f>IF(A294="","",IF(C294="✗","Skipped",IF(Q294&gt;0,"Paid","Upcoming")))</f>
        <v/>
      </c>
      <c r="U294" s="36">
        <f>IF(A294="",0,IF(C294="✗",0,IF(L294&lt;&gt;"",L294,F294)))</f>
        <v/>
      </c>
    </row>
    <row r="295">
      <c r="A295" s="39">
        <f>IFERROR(SMALL(Calc!$B$2:$BB$61,290),"")</f>
        <v/>
      </c>
      <c r="B295" s="39">
        <f>IF(A295="","",ROUND(MOD(A295,1)*1000,0))</f>
        <v/>
      </c>
      <c r="C295" s="33" t="n"/>
      <c r="D295" s="40">
        <f>IF(A295="","",INT(A295))</f>
        <v/>
      </c>
      <c r="E295" s="41">
        <f>IF(B295="","",INDEX(Setup!$D$25:$D$84,B295))</f>
        <v/>
      </c>
      <c r="F295" s="42">
        <f>IF(B295="","",INDEX(Setup!$E$25:$E$84,B295))</f>
        <v/>
      </c>
      <c r="G295" s="39">
        <f>IF(B295="","",INDEX(Setup!$I$25:$I$84,B295)&amp;"")</f>
        <v/>
      </c>
      <c r="H295" s="39">
        <f>IF(B295="","",INDEX(Setup!$J$25:$J$84,B295)&amp;"")</f>
        <v/>
      </c>
      <c r="I295" s="39">
        <f>IF(B295="","",INDEX(Setup!$C$25:$C$84,B295))</f>
        <v/>
      </c>
      <c r="J295" s="39" t="n"/>
      <c r="K295" s="37" t="n"/>
      <c r="L295" s="38" t="n"/>
      <c r="M295" s="33" t="n"/>
      <c r="N295" s="33" t="n"/>
      <c r="O295" s="39" t="n"/>
      <c r="P295" s="40">
        <f>IF(A295="","",IF(K295&lt;&gt;"",K295,D295))</f>
        <v/>
      </c>
      <c r="Q295" s="42">
        <f>IF(A295="",0,IF(C295="✗",0,IF(OR(C295="✓",AND(Setup!$D$7="Yes",P295&lt;=TODAY())),IF(L295&lt;&gt;"",L295,F295),0)))</f>
        <v/>
      </c>
      <c r="R295" s="39">
        <f>IF(A295="","",IF(M295&lt;&gt;"",M295,G295))</f>
        <v/>
      </c>
      <c r="S295" s="39">
        <f>IF(A295="","",IF(N295&lt;&gt;"",N295,H295))</f>
        <v/>
      </c>
      <c r="T295" s="39">
        <f>IF(A295="","",IF(C295="✗","Skipped",IF(Q295&gt;0,"Paid","Upcoming")))</f>
        <v/>
      </c>
      <c r="U295" s="42">
        <f>IF(A295="",0,IF(C295="✗",0,IF(L295&lt;&gt;"",L295,F295)))</f>
        <v/>
      </c>
    </row>
    <row r="296">
      <c r="A296" s="32">
        <f>IFERROR(SMALL(Calc!$B$2:$BB$61,291),"")</f>
        <v/>
      </c>
      <c r="B296" s="32">
        <f>IF(A296="","",ROUND(MOD(A296,1)*1000,0))</f>
        <v/>
      </c>
      <c r="C296" s="33" t="n"/>
      <c r="D296" s="34">
        <f>IF(A296="","",INT(A296))</f>
        <v/>
      </c>
      <c r="E296" s="35">
        <f>IF(B296="","",INDEX(Setup!$D$25:$D$84,B296))</f>
        <v/>
      </c>
      <c r="F296" s="36">
        <f>IF(B296="","",INDEX(Setup!$E$25:$E$84,B296))</f>
        <v/>
      </c>
      <c r="G296" s="32">
        <f>IF(B296="","",INDEX(Setup!$I$25:$I$84,B296)&amp;"")</f>
        <v/>
      </c>
      <c r="H296" s="32">
        <f>IF(B296="","",INDEX(Setup!$J$25:$J$84,B296)&amp;"")</f>
        <v/>
      </c>
      <c r="I296" s="32">
        <f>IF(B296="","",INDEX(Setup!$C$25:$C$84,B296))</f>
        <v/>
      </c>
      <c r="J296" s="32" t="n"/>
      <c r="K296" s="37" t="n"/>
      <c r="L296" s="38" t="n"/>
      <c r="M296" s="33" t="n"/>
      <c r="N296" s="33" t="n"/>
      <c r="O296" s="32" t="n"/>
      <c r="P296" s="34">
        <f>IF(A296="","",IF(K296&lt;&gt;"",K296,D296))</f>
        <v/>
      </c>
      <c r="Q296" s="36">
        <f>IF(A296="",0,IF(C296="✗",0,IF(OR(C296="✓",AND(Setup!$D$7="Yes",P296&lt;=TODAY())),IF(L296&lt;&gt;"",L296,F296),0)))</f>
        <v/>
      </c>
      <c r="R296" s="32">
        <f>IF(A296="","",IF(M296&lt;&gt;"",M296,G296))</f>
        <v/>
      </c>
      <c r="S296" s="32">
        <f>IF(A296="","",IF(N296&lt;&gt;"",N296,H296))</f>
        <v/>
      </c>
      <c r="T296" s="32">
        <f>IF(A296="","",IF(C296="✗","Skipped",IF(Q296&gt;0,"Paid","Upcoming")))</f>
        <v/>
      </c>
      <c r="U296" s="36">
        <f>IF(A296="",0,IF(C296="✗",0,IF(L296&lt;&gt;"",L296,F296)))</f>
        <v/>
      </c>
    </row>
    <row r="297">
      <c r="A297" s="39">
        <f>IFERROR(SMALL(Calc!$B$2:$BB$61,292),"")</f>
        <v/>
      </c>
      <c r="B297" s="39">
        <f>IF(A297="","",ROUND(MOD(A297,1)*1000,0))</f>
        <v/>
      </c>
      <c r="C297" s="33" t="n"/>
      <c r="D297" s="40">
        <f>IF(A297="","",INT(A297))</f>
        <v/>
      </c>
      <c r="E297" s="41">
        <f>IF(B297="","",INDEX(Setup!$D$25:$D$84,B297))</f>
        <v/>
      </c>
      <c r="F297" s="42">
        <f>IF(B297="","",INDEX(Setup!$E$25:$E$84,B297))</f>
        <v/>
      </c>
      <c r="G297" s="39">
        <f>IF(B297="","",INDEX(Setup!$I$25:$I$84,B297)&amp;"")</f>
        <v/>
      </c>
      <c r="H297" s="39">
        <f>IF(B297="","",INDEX(Setup!$J$25:$J$84,B297)&amp;"")</f>
        <v/>
      </c>
      <c r="I297" s="39">
        <f>IF(B297="","",INDEX(Setup!$C$25:$C$84,B297))</f>
        <v/>
      </c>
      <c r="J297" s="39" t="n"/>
      <c r="K297" s="37" t="n"/>
      <c r="L297" s="38" t="n"/>
      <c r="M297" s="33" t="n"/>
      <c r="N297" s="33" t="n"/>
      <c r="O297" s="39" t="n"/>
      <c r="P297" s="40">
        <f>IF(A297="","",IF(K297&lt;&gt;"",K297,D297))</f>
        <v/>
      </c>
      <c r="Q297" s="42">
        <f>IF(A297="",0,IF(C297="✗",0,IF(OR(C297="✓",AND(Setup!$D$7="Yes",P297&lt;=TODAY())),IF(L297&lt;&gt;"",L297,F297),0)))</f>
        <v/>
      </c>
      <c r="R297" s="39">
        <f>IF(A297="","",IF(M297&lt;&gt;"",M297,G297))</f>
        <v/>
      </c>
      <c r="S297" s="39">
        <f>IF(A297="","",IF(N297&lt;&gt;"",N297,H297))</f>
        <v/>
      </c>
      <c r="T297" s="39">
        <f>IF(A297="","",IF(C297="✗","Skipped",IF(Q297&gt;0,"Paid","Upcoming")))</f>
        <v/>
      </c>
      <c r="U297" s="42">
        <f>IF(A297="",0,IF(C297="✗",0,IF(L297&lt;&gt;"",L297,F297)))</f>
        <v/>
      </c>
    </row>
    <row r="298">
      <c r="A298" s="32">
        <f>IFERROR(SMALL(Calc!$B$2:$BB$61,293),"")</f>
        <v/>
      </c>
      <c r="B298" s="32">
        <f>IF(A298="","",ROUND(MOD(A298,1)*1000,0))</f>
        <v/>
      </c>
      <c r="C298" s="33" t="n"/>
      <c r="D298" s="34">
        <f>IF(A298="","",INT(A298))</f>
        <v/>
      </c>
      <c r="E298" s="35">
        <f>IF(B298="","",INDEX(Setup!$D$25:$D$84,B298))</f>
        <v/>
      </c>
      <c r="F298" s="36">
        <f>IF(B298="","",INDEX(Setup!$E$25:$E$84,B298))</f>
        <v/>
      </c>
      <c r="G298" s="32">
        <f>IF(B298="","",INDEX(Setup!$I$25:$I$84,B298)&amp;"")</f>
        <v/>
      </c>
      <c r="H298" s="32">
        <f>IF(B298="","",INDEX(Setup!$J$25:$J$84,B298)&amp;"")</f>
        <v/>
      </c>
      <c r="I298" s="32">
        <f>IF(B298="","",INDEX(Setup!$C$25:$C$84,B298))</f>
        <v/>
      </c>
      <c r="J298" s="32" t="n"/>
      <c r="K298" s="37" t="n"/>
      <c r="L298" s="38" t="n"/>
      <c r="M298" s="33" t="n"/>
      <c r="N298" s="33" t="n"/>
      <c r="O298" s="32" t="n"/>
      <c r="P298" s="34">
        <f>IF(A298="","",IF(K298&lt;&gt;"",K298,D298))</f>
        <v/>
      </c>
      <c r="Q298" s="36">
        <f>IF(A298="",0,IF(C298="✗",0,IF(OR(C298="✓",AND(Setup!$D$7="Yes",P298&lt;=TODAY())),IF(L298&lt;&gt;"",L298,F298),0)))</f>
        <v/>
      </c>
      <c r="R298" s="32">
        <f>IF(A298="","",IF(M298&lt;&gt;"",M298,G298))</f>
        <v/>
      </c>
      <c r="S298" s="32">
        <f>IF(A298="","",IF(N298&lt;&gt;"",N298,H298))</f>
        <v/>
      </c>
      <c r="T298" s="32">
        <f>IF(A298="","",IF(C298="✗","Skipped",IF(Q298&gt;0,"Paid","Upcoming")))</f>
        <v/>
      </c>
      <c r="U298" s="36">
        <f>IF(A298="",0,IF(C298="✗",0,IF(L298&lt;&gt;"",L298,F298)))</f>
        <v/>
      </c>
    </row>
    <row r="299">
      <c r="A299" s="39">
        <f>IFERROR(SMALL(Calc!$B$2:$BB$61,294),"")</f>
        <v/>
      </c>
      <c r="B299" s="39">
        <f>IF(A299="","",ROUND(MOD(A299,1)*1000,0))</f>
        <v/>
      </c>
      <c r="C299" s="33" t="n"/>
      <c r="D299" s="40">
        <f>IF(A299="","",INT(A299))</f>
        <v/>
      </c>
      <c r="E299" s="41">
        <f>IF(B299="","",INDEX(Setup!$D$25:$D$84,B299))</f>
        <v/>
      </c>
      <c r="F299" s="42">
        <f>IF(B299="","",INDEX(Setup!$E$25:$E$84,B299))</f>
        <v/>
      </c>
      <c r="G299" s="39">
        <f>IF(B299="","",INDEX(Setup!$I$25:$I$84,B299)&amp;"")</f>
        <v/>
      </c>
      <c r="H299" s="39">
        <f>IF(B299="","",INDEX(Setup!$J$25:$J$84,B299)&amp;"")</f>
        <v/>
      </c>
      <c r="I299" s="39">
        <f>IF(B299="","",INDEX(Setup!$C$25:$C$84,B299))</f>
        <v/>
      </c>
      <c r="J299" s="39" t="n"/>
      <c r="K299" s="37" t="n"/>
      <c r="L299" s="38" t="n"/>
      <c r="M299" s="33" t="n"/>
      <c r="N299" s="33" t="n"/>
      <c r="O299" s="39" t="n"/>
      <c r="P299" s="40">
        <f>IF(A299="","",IF(K299&lt;&gt;"",K299,D299))</f>
        <v/>
      </c>
      <c r="Q299" s="42">
        <f>IF(A299="",0,IF(C299="✗",0,IF(OR(C299="✓",AND(Setup!$D$7="Yes",P299&lt;=TODAY())),IF(L299&lt;&gt;"",L299,F299),0)))</f>
        <v/>
      </c>
      <c r="R299" s="39">
        <f>IF(A299="","",IF(M299&lt;&gt;"",M299,G299))</f>
        <v/>
      </c>
      <c r="S299" s="39">
        <f>IF(A299="","",IF(N299&lt;&gt;"",N299,H299))</f>
        <v/>
      </c>
      <c r="T299" s="39">
        <f>IF(A299="","",IF(C299="✗","Skipped",IF(Q299&gt;0,"Paid","Upcoming")))</f>
        <v/>
      </c>
      <c r="U299" s="42">
        <f>IF(A299="",0,IF(C299="✗",0,IF(L299&lt;&gt;"",L299,F299)))</f>
        <v/>
      </c>
    </row>
    <row r="300">
      <c r="A300" s="32">
        <f>IFERROR(SMALL(Calc!$B$2:$BB$61,295),"")</f>
        <v/>
      </c>
      <c r="B300" s="32">
        <f>IF(A300="","",ROUND(MOD(A300,1)*1000,0))</f>
        <v/>
      </c>
      <c r="C300" s="33" t="n"/>
      <c r="D300" s="34">
        <f>IF(A300="","",INT(A300))</f>
        <v/>
      </c>
      <c r="E300" s="35">
        <f>IF(B300="","",INDEX(Setup!$D$25:$D$84,B300))</f>
        <v/>
      </c>
      <c r="F300" s="36">
        <f>IF(B300="","",INDEX(Setup!$E$25:$E$84,B300))</f>
        <v/>
      </c>
      <c r="G300" s="32">
        <f>IF(B300="","",INDEX(Setup!$I$25:$I$84,B300)&amp;"")</f>
        <v/>
      </c>
      <c r="H300" s="32">
        <f>IF(B300="","",INDEX(Setup!$J$25:$J$84,B300)&amp;"")</f>
        <v/>
      </c>
      <c r="I300" s="32">
        <f>IF(B300="","",INDEX(Setup!$C$25:$C$84,B300))</f>
        <v/>
      </c>
      <c r="J300" s="32" t="n"/>
      <c r="K300" s="37" t="n"/>
      <c r="L300" s="38" t="n"/>
      <c r="M300" s="33" t="n"/>
      <c r="N300" s="33" t="n"/>
      <c r="O300" s="32" t="n"/>
      <c r="P300" s="34">
        <f>IF(A300="","",IF(K300&lt;&gt;"",K300,D300))</f>
        <v/>
      </c>
      <c r="Q300" s="36">
        <f>IF(A300="",0,IF(C300="✗",0,IF(OR(C300="✓",AND(Setup!$D$7="Yes",P300&lt;=TODAY())),IF(L300&lt;&gt;"",L300,F300),0)))</f>
        <v/>
      </c>
      <c r="R300" s="32">
        <f>IF(A300="","",IF(M300&lt;&gt;"",M300,G300))</f>
        <v/>
      </c>
      <c r="S300" s="32">
        <f>IF(A300="","",IF(N300&lt;&gt;"",N300,H300))</f>
        <v/>
      </c>
      <c r="T300" s="32">
        <f>IF(A300="","",IF(C300="✗","Skipped",IF(Q300&gt;0,"Paid","Upcoming")))</f>
        <v/>
      </c>
      <c r="U300" s="36">
        <f>IF(A300="",0,IF(C300="✗",0,IF(L300&lt;&gt;"",L300,F300)))</f>
        <v/>
      </c>
    </row>
    <row r="301">
      <c r="A301" s="39">
        <f>IFERROR(SMALL(Calc!$B$2:$BB$61,296),"")</f>
        <v/>
      </c>
      <c r="B301" s="39">
        <f>IF(A301="","",ROUND(MOD(A301,1)*1000,0))</f>
        <v/>
      </c>
      <c r="C301" s="33" t="n"/>
      <c r="D301" s="40">
        <f>IF(A301="","",INT(A301))</f>
        <v/>
      </c>
      <c r="E301" s="41">
        <f>IF(B301="","",INDEX(Setup!$D$25:$D$84,B301))</f>
        <v/>
      </c>
      <c r="F301" s="42">
        <f>IF(B301="","",INDEX(Setup!$E$25:$E$84,B301))</f>
        <v/>
      </c>
      <c r="G301" s="39">
        <f>IF(B301="","",INDEX(Setup!$I$25:$I$84,B301)&amp;"")</f>
        <v/>
      </c>
      <c r="H301" s="39">
        <f>IF(B301="","",INDEX(Setup!$J$25:$J$84,B301)&amp;"")</f>
        <v/>
      </c>
      <c r="I301" s="39">
        <f>IF(B301="","",INDEX(Setup!$C$25:$C$84,B301))</f>
        <v/>
      </c>
      <c r="J301" s="39" t="n"/>
      <c r="K301" s="37" t="n"/>
      <c r="L301" s="38" t="n"/>
      <c r="M301" s="33" t="n"/>
      <c r="N301" s="33" t="n"/>
      <c r="O301" s="39" t="n"/>
      <c r="P301" s="40">
        <f>IF(A301="","",IF(K301&lt;&gt;"",K301,D301))</f>
        <v/>
      </c>
      <c r="Q301" s="42">
        <f>IF(A301="",0,IF(C301="✗",0,IF(OR(C301="✓",AND(Setup!$D$7="Yes",P301&lt;=TODAY())),IF(L301&lt;&gt;"",L301,F301),0)))</f>
        <v/>
      </c>
      <c r="R301" s="39">
        <f>IF(A301="","",IF(M301&lt;&gt;"",M301,G301))</f>
        <v/>
      </c>
      <c r="S301" s="39">
        <f>IF(A301="","",IF(N301&lt;&gt;"",N301,H301))</f>
        <v/>
      </c>
      <c r="T301" s="39">
        <f>IF(A301="","",IF(C301="✗","Skipped",IF(Q301&gt;0,"Paid","Upcoming")))</f>
        <v/>
      </c>
      <c r="U301" s="42">
        <f>IF(A301="",0,IF(C301="✗",0,IF(L301&lt;&gt;"",L301,F301)))</f>
        <v/>
      </c>
    </row>
    <row r="302">
      <c r="A302" s="32">
        <f>IFERROR(SMALL(Calc!$B$2:$BB$61,297),"")</f>
        <v/>
      </c>
      <c r="B302" s="32">
        <f>IF(A302="","",ROUND(MOD(A302,1)*1000,0))</f>
        <v/>
      </c>
      <c r="C302" s="33" t="n"/>
      <c r="D302" s="34">
        <f>IF(A302="","",INT(A302))</f>
        <v/>
      </c>
      <c r="E302" s="35">
        <f>IF(B302="","",INDEX(Setup!$D$25:$D$84,B302))</f>
        <v/>
      </c>
      <c r="F302" s="36">
        <f>IF(B302="","",INDEX(Setup!$E$25:$E$84,B302))</f>
        <v/>
      </c>
      <c r="G302" s="32">
        <f>IF(B302="","",INDEX(Setup!$I$25:$I$84,B302)&amp;"")</f>
        <v/>
      </c>
      <c r="H302" s="32">
        <f>IF(B302="","",INDEX(Setup!$J$25:$J$84,B302)&amp;"")</f>
        <v/>
      </c>
      <c r="I302" s="32">
        <f>IF(B302="","",INDEX(Setup!$C$25:$C$84,B302))</f>
        <v/>
      </c>
      <c r="J302" s="32" t="n"/>
      <c r="K302" s="37" t="n"/>
      <c r="L302" s="38" t="n"/>
      <c r="M302" s="33" t="n"/>
      <c r="N302" s="33" t="n"/>
      <c r="O302" s="32" t="n"/>
      <c r="P302" s="34">
        <f>IF(A302="","",IF(K302&lt;&gt;"",K302,D302))</f>
        <v/>
      </c>
      <c r="Q302" s="36">
        <f>IF(A302="",0,IF(C302="✗",0,IF(OR(C302="✓",AND(Setup!$D$7="Yes",P302&lt;=TODAY())),IF(L302&lt;&gt;"",L302,F302),0)))</f>
        <v/>
      </c>
      <c r="R302" s="32">
        <f>IF(A302="","",IF(M302&lt;&gt;"",M302,G302))</f>
        <v/>
      </c>
      <c r="S302" s="32">
        <f>IF(A302="","",IF(N302&lt;&gt;"",N302,H302))</f>
        <v/>
      </c>
      <c r="T302" s="32">
        <f>IF(A302="","",IF(C302="✗","Skipped",IF(Q302&gt;0,"Paid","Upcoming")))</f>
        <v/>
      </c>
      <c r="U302" s="36">
        <f>IF(A302="",0,IF(C302="✗",0,IF(L302&lt;&gt;"",L302,F302)))</f>
        <v/>
      </c>
    </row>
    <row r="303">
      <c r="A303" s="39">
        <f>IFERROR(SMALL(Calc!$B$2:$BB$61,298),"")</f>
        <v/>
      </c>
      <c r="B303" s="39">
        <f>IF(A303="","",ROUND(MOD(A303,1)*1000,0))</f>
        <v/>
      </c>
      <c r="C303" s="33" t="n"/>
      <c r="D303" s="40">
        <f>IF(A303="","",INT(A303))</f>
        <v/>
      </c>
      <c r="E303" s="41">
        <f>IF(B303="","",INDEX(Setup!$D$25:$D$84,B303))</f>
        <v/>
      </c>
      <c r="F303" s="42">
        <f>IF(B303="","",INDEX(Setup!$E$25:$E$84,B303))</f>
        <v/>
      </c>
      <c r="G303" s="39">
        <f>IF(B303="","",INDEX(Setup!$I$25:$I$84,B303)&amp;"")</f>
        <v/>
      </c>
      <c r="H303" s="39">
        <f>IF(B303="","",INDEX(Setup!$J$25:$J$84,B303)&amp;"")</f>
        <v/>
      </c>
      <c r="I303" s="39">
        <f>IF(B303="","",INDEX(Setup!$C$25:$C$84,B303))</f>
        <v/>
      </c>
      <c r="J303" s="39" t="n"/>
      <c r="K303" s="37" t="n"/>
      <c r="L303" s="38" t="n"/>
      <c r="M303" s="33" t="n"/>
      <c r="N303" s="33" t="n"/>
      <c r="O303" s="39" t="n"/>
      <c r="P303" s="40">
        <f>IF(A303="","",IF(K303&lt;&gt;"",K303,D303))</f>
        <v/>
      </c>
      <c r="Q303" s="42">
        <f>IF(A303="",0,IF(C303="✗",0,IF(OR(C303="✓",AND(Setup!$D$7="Yes",P303&lt;=TODAY())),IF(L303&lt;&gt;"",L303,F303),0)))</f>
        <v/>
      </c>
      <c r="R303" s="39">
        <f>IF(A303="","",IF(M303&lt;&gt;"",M303,G303))</f>
        <v/>
      </c>
      <c r="S303" s="39">
        <f>IF(A303="","",IF(N303&lt;&gt;"",N303,H303))</f>
        <v/>
      </c>
      <c r="T303" s="39">
        <f>IF(A303="","",IF(C303="✗","Skipped",IF(Q303&gt;0,"Paid","Upcoming")))</f>
        <v/>
      </c>
      <c r="U303" s="42">
        <f>IF(A303="",0,IF(C303="✗",0,IF(L303&lt;&gt;"",L303,F303)))</f>
        <v/>
      </c>
    </row>
    <row r="304">
      <c r="A304" s="32">
        <f>IFERROR(SMALL(Calc!$B$2:$BB$61,299),"")</f>
        <v/>
      </c>
      <c r="B304" s="32">
        <f>IF(A304="","",ROUND(MOD(A304,1)*1000,0))</f>
        <v/>
      </c>
      <c r="C304" s="33" t="n"/>
      <c r="D304" s="34">
        <f>IF(A304="","",INT(A304))</f>
        <v/>
      </c>
      <c r="E304" s="35">
        <f>IF(B304="","",INDEX(Setup!$D$25:$D$84,B304))</f>
        <v/>
      </c>
      <c r="F304" s="36">
        <f>IF(B304="","",INDEX(Setup!$E$25:$E$84,B304))</f>
        <v/>
      </c>
      <c r="G304" s="32">
        <f>IF(B304="","",INDEX(Setup!$I$25:$I$84,B304)&amp;"")</f>
        <v/>
      </c>
      <c r="H304" s="32">
        <f>IF(B304="","",INDEX(Setup!$J$25:$J$84,B304)&amp;"")</f>
        <v/>
      </c>
      <c r="I304" s="32">
        <f>IF(B304="","",INDEX(Setup!$C$25:$C$84,B304))</f>
        <v/>
      </c>
      <c r="J304" s="32" t="n"/>
      <c r="K304" s="37" t="n"/>
      <c r="L304" s="38" t="n"/>
      <c r="M304" s="33" t="n"/>
      <c r="N304" s="33" t="n"/>
      <c r="O304" s="32" t="n"/>
      <c r="P304" s="34">
        <f>IF(A304="","",IF(K304&lt;&gt;"",K304,D304))</f>
        <v/>
      </c>
      <c r="Q304" s="36">
        <f>IF(A304="",0,IF(C304="✗",0,IF(OR(C304="✓",AND(Setup!$D$7="Yes",P304&lt;=TODAY())),IF(L304&lt;&gt;"",L304,F304),0)))</f>
        <v/>
      </c>
      <c r="R304" s="32">
        <f>IF(A304="","",IF(M304&lt;&gt;"",M304,G304))</f>
        <v/>
      </c>
      <c r="S304" s="32">
        <f>IF(A304="","",IF(N304&lt;&gt;"",N304,H304))</f>
        <v/>
      </c>
      <c r="T304" s="32">
        <f>IF(A304="","",IF(C304="✗","Skipped",IF(Q304&gt;0,"Paid","Upcoming")))</f>
        <v/>
      </c>
      <c r="U304" s="36">
        <f>IF(A304="",0,IF(C304="✗",0,IF(L304&lt;&gt;"",L304,F304)))</f>
        <v/>
      </c>
    </row>
    <row r="305">
      <c r="A305" s="39">
        <f>IFERROR(SMALL(Calc!$B$2:$BB$61,300),"")</f>
        <v/>
      </c>
      <c r="B305" s="39">
        <f>IF(A305="","",ROUND(MOD(A305,1)*1000,0))</f>
        <v/>
      </c>
      <c r="C305" s="33" t="n"/>
      <c r="D305" s="40">
        <f>IF(A305="","",INT(A305))</f>
        <v/>
      </c>
      <c r="E305" s="41">
        <f>IF(B305="","",INDEX(Setup!$D$25:$D$84,B305))</f>
        <v/>
      </c>
      <c r="F305" s="42">
        <f>IF(B305="","",INDEX(Setup!$E$25:$E$84,B305))</f>
        <v/>
      </c>
      <c r="G305" s="39">
        <f>IF(B305="","",INDEX(Setup!$I$25:$I$84,B305)&amp;"")</f>
        <v/>
      </c>
      <c r="H305" s="39">
        <f>IF(B305="","",INDEX(Setup!$J$25:$J$84,B305)&amp;"")</f>
        <v/>
      </c>
      <c r="I305" s="39">
        <f>IF(B305="","",INDEX(Setup!$C$25:$C$84,B305))</f>
        <v/>
      </c>
      <c r="J305" s="39" t="n"/>
      <c r="K305" s="37" t="n"/>
      <c r="L305" s="38" t="n"/>
      <c r="M305" s="33" t="n"/>
      <c r="N305" s="33" t="n"/>
      <c r="O305" s="39" t="n"/>
      <c r="P305" s="40">
        <f>IF(A305="","",IF(K305&lt;&gt;"",K305,D305))</f>
        <v/>
      </c>
      <c r="Q305" s="42">
        <f>IF(A305="",0,IF(C305="✗",0,IF(OR(C305="✓",AND(Setup!$D$7="Yes",P305&lt;=TODAY())),IF(L305&lt;&gt;"",L305,F305),0)))</f>
        <v/>
      </c>
      <c r="R305" s="39">
        <f>IF(A305="","",IF(M305&lt;&gt;"",M305,G305))</f>
        <v/>
      </c>
      <c r="S305" s="39">
        <f>IF(A305="","",IF(N305&lt;&gt;"",N305,H305))</f>
        <v/>
      </c>
      <c r="T305" s="39">
        <f>IF(A305="","",IF(C305="✗","Skipped",IF(Q305&gt;0,"Paid","Upcoming")))</f>
        <v/>
      </c>
      <c r="U305" s="42">
        <f>IF(A305="",0,IF(C305="✗",0,IF(L305&lt;&gt;"",L305,F305)))</f>
        <v/>
      </c>
    </row>
    <row r="306">
      <c r="A306" s="32">
        <f>IFERROR(SMALL(Calc!$B$2:$BB$61,301),"")</f>
        <v/>
      </c>
      <c r="B306" s="32">
        <f>IF(A306="","",ROUND(MOD(A306,1)*1000,0))</f>
        <v/>
      </c>
      <c r="C306" s="33" t="n"/>
      <c r="D306" s="34">
        <f>IF(A306="","",INT(A306))</f>
        <v/>
      </c>
      <c r="E306" s="35">
        <f>IF(B306="","",INDEX(Setup!$D$25:$D$84,B306))</f>
        <v/>
      </c>
      <c r="F306" s="36">
        <f>IF(B306="","",INDEX(Setup!$E$25:$E$84,B306))</f>
        <v/>
      </c>
      <c r="G306" s="32">
        <f>IF(B306="","",INDEX(Setup!$I$25:$I$84,B306)&amp;"")</f>
        <v/>
      </c>
      <c r="H306" s="32">
        <f>IF(B306="","",INDEX(Setup!$J$25:$J$84,B306)&amp;"")</f>
        <v/>
      </c>
      <c r="I306" s="32">
        <f>IF(B306="","",INDEX(Setup!$C$25:$C$84,B306))</f>
        <v/>
      </c>
      <c r="J306" s="32" t="n"/>
      <c r="K306" s="37" t="n"/>
      <c r="L306" s="38" t="n"/>
      <c r="M306" s="33" t="n"/>
      <c r="N306" s="33" t="n"/>
      <c r="O306" s="32" t="n"/>
      <c r="P306" s="34">
        <f>IF(A306="","",IF(K306&lt;&gt;"",K306,D306))</f>
        <v/>
      </c>
      <c r="Q306" s="36">
        <f>IF(A306="",0,IF(C306="✗",0,IF(OR(C306="✓",AND(Setup!$D$7="Yes",P306&lt;=TODAY())),IF(L306&lt;&gt;"",L306,F306),0)))</f>
        <v/>
      </c>
      <c r="R306" s="32">
        <f>IF(A306="","",IF(M306&lt;&gt;"",M306,G306))</f>
        <v/>
      </c>
      <c r="S306" s="32">
        <f>IF(A306="","",IF(N306&lt;&gt;"",N306,H306))</f>
        <v/>
      </c>
      <c r="T306" s="32">
        <f>IF(A306="","",IF(C306="✗","Skipped",IF(Q306&gt;0,"Paid","Upcoming")))</f>
        <v/>
      </c>
      <c r="U306" s="36">
        <f>IF(A306="",0,IF(C306="✗",0,IF(L306&lt;&gt;"",L306,F306)))</f>
        <v/>
      </c>
    </row>
    <row r="307">
      <c r="A307" s="39">
        <f>IFERROR(SMALL(Calc!$B$2:$BB$61,302),"")</f>
        <v/>
      </c>
      <c r="B307" s="39">
        <f>IF(A307="","",ROUND(MOD(A307,1)*1000,0))</f>
        <v/>
      </c>
      <c r="C307" s="33" t="n"/>
      <c r="D307" s="40">
        <f>IF(A307="","",INT(A307))</f>
        <v/>
      </c>
      <c r="E307" s="41">
        <f>IF(B307="","",INDEX(Setup!$D$25:$D$84,B307))</f>
        <v/>
      </c>
      <c r="F307" s="42">
        <f>IF(B307="","",INDEX(Setup!$E$25:$E$84,B307))</f>
        <v/>
      </c>
      <c r="G307" s="39">
        <f>IF(B307="","",INDEX(Setup!$I$25:$I$84,B307)&amp;"")</f>
        <v/>
      </c>
      <c r="H307" s="39">
        <f>IF(B307="","",INDEX(Setup!$J$25:$J$84,B307)&amp;"")</f>
        <v/>
      </c>
      <c r="I307" s="39">
        <f>IF(B307="","",INDEX(Setup!$C$25:$C$84,B307))</f>
        <v/>
      </c>
      <c r="J307" s="39" t="n"/>
      <c r="K307" s="37" t="n"/>
      <c r="L307" s="38" t="n"/>
      <c r="M307" s="33" t="n"/>
      <c r="N307" s="33" t="n"/>
      <c r="O307" s="39" t="n"/>
      <c r="P307" s="40">
        <f>IF(A307="","",IF(K307&lt;&gt;"",K307,D307))</f>
        <v/>
      </c>
      <c r="Q307" s="42">
        <f>IF(A307="",0,IF(C307="✗",0,IF(OR(C307="✓",AND(Setup!$D$7="Yes",P307&lt;=TODAY())),IF(L307&lt;&gt;"",L307,F307),0)))</f>
        <v/>
      </c>
      <c r="R307" s="39">
        <f>IF(A307="","",IF(M307&lt;&gt;"",M307,G307))</f>
        <v/>
      </c>
      <c r="S307" s="39">
        <f>IF(A307="","",IF(N307&lt;&gt;"",N307,H307))</f>
        <v/>
      </c>
      <c r="T307" s="39">
        <f>IF(A307="","",IF(C307="✗","Skipped",IF(Q307&gt;0,"Paid","Upcoming")))</f>
        <v/>
      </c>
      <c r="U307" s="42">
        <f>IF(A307="",0,IF(C307="✗",0,IF(L307&lt;&gt;"",L307,F307)))</f>
        <v/>
      </c>
    </row>
    <row r="308">
      <c r="A308" s="32">
        <f>IFERROR(SMALL(Calc!$B$2:$BB$61,303),"")</f>
        <v/>
      </c>
      <c r="B308" s="32">
        <f>IF(A308="","",ROUND(MOD(A308,1)*1000,0))</f>
        <v/>
      </c>
      <c r="C308" s="33" t="n"/>
      <c r="D308" s="34">
        <f>IF(A308="","",INT(A308))</f>
        <v/>
      </c>
      <c r="E308" s="35">
        <f>IF(B308="","",INDEX(Setup!$D$25:$D$84,B308))</f>
        <v/>
      </c>
      <c r="F308" s="36">
        <f>IF(B308="","",INDEX(Setup!$E$25:$E$84,B308))</f>
        <v/>
      </c>
      <c r="G308" s="32">
        <f>IF(B308="","",INDEX(Setup!$I$25:$I$84,B308)&amp;"")</f>
        <v/>
      </c>
      <c r="H308" s="32">
        <f>IF(B308="","",INDEX(Setup!$J$25:$J$84,B308)&amp;"")</f>
        <v/>
      </c>
      <c r="I308" s="32">
        <f>IF(B308="","",INDEX(Setup!$C$25:$C$84,B308))</f>
        <v/>
      </c>
      <c r="J308" s="32" t="n"/>
      <c r="K308" s="37" t="n"/>
      <c r="L308" s="38" t="n"/>
      <c r="M308" s="33" t="n"/>
      <c r="N308" s="33" t="n"/>
      <c r="O308" s="32" t="n"/>
      <c r="P308" s="34">
        <f>IF(A308="","",IF(K308&lt;&gt;"",K308,D308))</f>
        <v/>
      </c>
      <c r="Q308" s="36">
        <f>IF(A308="",0,IF(C308="✗",0,IF(OR(C308="✓",AND(Setup!$D$7="Yes",P308&lt;=TODAY())),IF(L308&lt;&gt;"",L308,F308),0)))</f>
        <v/>
      </c>
      <c r="R308" s="32">
        <f>IF(A308="","",IF(M308&lt;&gt;"",M308,G308))</f>
        <v/>
      </c>
      <c r="S308" s="32">
        <f>IF(A308="","",IF(N308&lt;&gt;"",N308,H308))</f>
        <v/>
      </c>
      <c r="T308" s="32">
        <f>IF(A308="","",IF(C308="✗","Skipped",IF(Q308&gt;0,"Paid","Upcoming")))</f>
        <v/>
      </c>
      <c r="U308" s="36">
        <f>IF(A308="",0,IF(C308="✗",0,IF(L308&lt;&gt;"",L308,F308)))</f>
        <v/>
      </c>
    </row>
    <row r="309">
      <c r="A309" s="39">
        <f>IFERROR(SMALL(Calc!$B$2:$BB$61,304),"")</f>
        <v/>
      </c>
      <c r="B309" s="39">
        <f>IF(A309="","",ROUND(MOD(A309,1)*1000,0))</f>
        <v/>
      </c>
      <c r="C309" s="33" t="n"/>
      <c r="D309" s="40">
        <f>IF(A309="","",INT(A309))</f>
        <v/>
      </c>
      <c r="E309" s="41">
        <f>IF(B309="","",INDEX(Setup!$D$25:$D$84,B309))</f>
        <v/>
      </c>
      <c r="F309" s="42">
        <f>IF(B309="","",INDEX(Setup!$E$25:$E$84,B309))</f>
        <v/>
      </c>
      <c r="G309" s="39">
        <f>IF(B309="","",INDEX(Setup!$I$25:$I$84,B309)&amp;"")</f>
        <v/>
      </c>
      <c r="H309" s="39">
        <f>IF(B309="","",INDEX(Setup!$J$25:$J$84,B309)&amp;"")</f>
        <v/>
      </c>
      <c r="I309" s="39">
        <f>IF(B309="","",INDEX(Setup!$C$25:$C$84,B309))</f>
        <v/>
      </c>
      <c r="J309" s="39" t="n"/>
      <c r="K309" s="37" t="n"/>
      <c r="L309" s="38" t="n"/>
      <c r="M309" s="33" t="n"/>
      <c r="N309" s="33" t="n"/>
      <c r="O309" s="39" t="n"/>
      <c r="P309" s="40">
        <f>IF(A309="","",IF(K309&lt;&gt;"",K309,D309))</f>
        <v/>
      </c>
      <c r="Q309" s="42">
        <f>IF(A309="",0,IF(C309="✗",0,IF(OR(C309="✓",AND(Setup!$D$7="Yes",P309&lt;=TODAY())),IF(L309&lt;&gt;"",L309,F309),0)))</f>
        <v/>
      </c>
      <c r="R309" s="39">
        <f>IF(A309="","",IF(M309&lt;&gt;"",M309,G309))</f>
        <v/>
      </c>
      <c r="S309" s="39">
        <f>IF(A309="","",IF(N309&lt;&gt;"",N309,H309))</f>
        <v/>
      </c>
      <c r="T309" s="39">
        <f>IF(A309="","",IF(C309="✗","Skipped",IF(Q309&gt;0,"Paid","Upcoming")))</f>
        <v/>
      </c>
      <c r="U309" s="42">
        <f>IF(A309="",0,IF(C309="✗",0,IF(L309&lt;&gt;"",L309,F309)))</f>
        <v/>
      </c>
    </row>
    <row r="310">
      <c r="A310" s="32">
        <f>IFERROR(SMALL(Calc!$B$2:$BB$61,305),"")</f>
        <v/>
      </c>
      <c r="B310" s="32">
        <f>IF(A310="","",ROUND(MOD(A310,1)*1000,0))</f>
        <v/>
      </c>
      <c r="C310" s="33" t="n"/>
      <c r="D310" s="34">
        <f>IF(A310="","",INT(A310))</f>
        <v/>
      </c>
      <c r="E310" s="35">
        <f>IF(B310="","",INDEX(Setup!$D$25:$D$84,B310))</f>
        <v/>
      </c>
      <c r="F310" s="36">
        <f>IF(B310="","",INDEX(Setup!$E$25:$E$84,B310))</f>
        <v/>
      </c>
      <c r="G310" s="32">
        <f>IF(B310="","",INDEX(Setup!$I$25:$I$84,B310)&amp;"")</f>
        <v/>
      </c>
      <c r="H310" s="32">
        <f>IF(B310="","",INDEX(Setup!$J$25:$J$84,B310)&amp;"")</f>
        <v/>
      </c>
      <c r="I310" s="32">
        <f>IF(B310="","",INDEX(Setup!$C$25:$C$84,B310))</f>
        <v/>
      </c>
      <c r="J310" s="32" t="n"/>
      <c r="K310" s="37" t="n"/>
      <c r="L310" s="38" t="n"/>
      <c r="M310" s="33" t="n"/>
      <c r="N310" s="33" t="n"/>
      <c r="O310" s="32" t="n"/>
      <c r="P310" s="34">
        <f>IF(A310="","",IF(K310&lt;&gt;"",K310,D310))</f>
        <v/>
      </c>
      <c r="Q310" s="36">
        <f>IF(A310="",0,IF(C310="✗",0,IF(OR(C310="✓",AND(Setup!$D$7="Yes",P310&lt;=TODAY())),IF(L310&lt;&gt;"",L310,F310),0)))</f>
        <v/>
      </c>
      <c r="R310" s="32">
        <f>IF(A310="","",IF(M310&lt;&gt;"",M310,G310))</f>
        <v/>
      </c>
      <c r="S310" s="32">
        <f>IF(A310="","",IF(N310&lt;&gt;"",N310,H310))</f>
        <v/>
      </c>
      <c r="T310" s="32">
        <f>IF(A310="","",IF(C310="✗","Skipped",IF(Q310&gt;0,"Paid","Upcoming")))</f>
        <v/>
      </c>
      <c r="U310" s="36">
        <f>IF(A310="",0,IF(C310="✗",0,IF(L310&lt;&gt;"",L310,F310)))</f>
        <v/>
      </c>
    </row>
    <row r="311">
      <c r="A311" s="39">
        <f>IFERROR(SMALL(Calc!$B$2:$BB$61,306),"")</f>
        <v/>
      </c>
      <c r="B311" s="39">
        <f>IF(A311="","",ROUND(MOD(A311,1)*1000,0))</f>
        <v/>
      </c>
      <c r="C311" s="33" t="n"/>
      <c r="D311" s="40">
        <f>IF(A311="","",INT(A311))</f>
        <v/>
      </c>
      <c r="E311" s="41">
        <f>IF(B311="","",INDEX(Setup!$D$25:$D$84,B311))</f>
        <v/>
      </c>
      <c r="F311" s="42">
        <f>IF(B311="","",INDEX(Setup!$E$25:$E$84,B311))</f>
        <v/>
      </c>
      <c r="G311" s="39">
        <f>IF(B311="","",INDEX(Setup!$I$25:$I$84,B311)&amp;"")</f>
        <v/>
      </c>
      <c r="H311" s="39">
        <f>IF(B311="","",INDEX(Setup!$J$25:$J$84,B311)&amp;"")</f>
        <v/>
      </c>
      <c r="I311" s="39">
        <f>IF(B311="","",INDEX(Setup!$C$25:$C$84,B311))</f>
        <v/>
      </c>
      <c r="J311" s="39" t="n"/>
      <c r="K311" s="37" t="n"/>
      <c r="L311" s="38" t="n"/>
      <c r="M311" s="33" t="n"/>
      <c r="N311" s="33" t="n"/>
      <c r="O311" s="39" t="n"/>
      <c r="P311" s="40">
        <f>IF(A311="","",IF(K311&lt;&gt;"",K311,D311))</f>
        <v/>
      </c>
      <c r="Q311" s="42">
        <f>IF(A311="",0,IF(C311="✗",0,IF(OR(C311="✓",AND(Setup!$D$7="Yes",P311&lt;=TODAY())),IF(L311&lt;&gt;"",L311,F311),0)))</f>
        <v/>
      </c>
      <c r="R311" s="39">
        <f>IF(A311="","",IF(M311&lt;&gt;"",M311,G311))</f>
        <v/>
      </c>
      <c r="S311" s="39">
        <f>IF(A311="","",IF(N311&lt;&gt;"",N311,H311))</f>
        <v/>
      </c>
      <c r="T311" s="39">
        <f>IF(A311="","",IF(C311="✗","Skipped",IF(Q311&gt;0,"Paid","Upcoming")))</f>
        <v/>
      </c>
      <c r="U311" s="42">
        <f>IF(A311="",0,IF(C311="✗",0,IF(L311&lt;&gt;"",L311,F311)))</f>
        <v/>
      </c>
    </row>
    <row r="312">
      <c r="A312" s="32">
        <f>IFERROR(SMALL(Calc!$B$2:$BB$61,307),"")</f>
        <v/>
      </c>
      <c r="B312" s="32">
        <f>IF(A312="","",ROUND(MOD(A312,1)*1000,0))</f>
        <v/>
      </c>
      <c r="C312" s="33" t="n"/>
      <c r="D312" s="34">
        <f>IF(A312="","",INT(A312))</f>
        <v/>
      </c>
      <c r="E312" s="35">
        <f>IF(B312="","",INDEX(Setup!$D$25:$D$84,B312))</f>
        <v/>
      </c>
      <c r="F312" s="36">
        <f>IF(B312="","",INDEX(Setup!$E$25:$E$84,B312))</f>
        <v/>
      </c>
      <c r="G312" s="32">
        <f>IF(B312="","",INDEX(Setup!$I$25:$I$84,B312)&amp;"")</f>
        <v/>
      </c>
      <c r="H312" s="32">
        <f>IF(B312="","",INDEX(Setup!$J$25:$J$84,B312)&amp;"")</f>
        <v/>
      </c>
      <c r="I312" s="32">
        <f>IF(B312="","",INDEX(Setup!$C$25:$C$84,B312))</f>
        <v/>
      </c>
      <c r="J312" s="32" t="n"/>
      <c r="K312" s="37" t="n"/>
      <c r="L312" s="38" t="n"/>
      <c r="M312" s="33" t="n"/>
      <c r="N312" s="33" t="n"/>
      <c r="O312" s="32" t="n"/>
      <c r="P312" s="34">
        <f>IF(A312="","",IF(K312&lt;&gt;"",K312,D312))</f>
        <v/>
      </c>
      <c r="Q312" s="36">
        <f>IF(A312="",0,IF(C312="✗",0,IF(OR(C312="✓",AND(Setup!$D$7="Yes",P312&lt;=TODAY())),IF(L312&lt;&gt;"",L312,F312),0)))</f>
        <v/>
      </c>
      <c r="R312" s="32">
        <f>IF(A312="","",IF(M312&lt;&gt;"",M312,G312))</f>
        <v/>
      </c>
      <c r="S312" s="32">
        <f>IF(A312="","",IF(N312&lt;&gt;"",N312,H312))</f>
        <v/>
      </c>
      <c r="T312" s="32">
        <f>IF(A312="","",IF(C312="✗","Skipped",IF(Q312&gt;0,"Paid","Upcoming")))</f>
        <v/>
      </c>
      <c r="U312" s="36">
        <f>IF(A312="",0,IF(C312="✗",0,IF(L312&lt;&gt;"",L312,F312)))</f>
        <v/>
      </c>
    </row>
    <row r="313">
      <c r="A313" s="39">
        <f>IFERROR(SMALL(Calc!$B$2:$BB$61,308),"")</f>
        <v/>
      </c>
      <c r="B313" s="39">
        <f>IF(A313="","",ROUND(MOD(A313,1)*1000,0))</f>
        <v/>
      </c>
      <c r="C313" s="33" t="n"/>
      <c r="D313" s="40">
        <f>IF(A313="","",INT(A313))</f>
        <v/>
      </c>
      <c r="E313" s="41">
        <f>IF(B313="","",INDEX(Setup!$D$25:$D$84,B313))</f>
        <v/>
      </c>
      <c r="F313" s="42">
        <f>IF(B313="","",INDEX(Setup!$E$25:$E$84,B313))</f>
        <v/>
      </c>
      <c r="G313" s="39">
        <f>IF(B313="","",INDEX(Setup!$I$25:$I$84,B313)&amp;"")</f>
        <v/>
      </c>
      <c r="H313" s="39">
        <f>IF(B313="","",INDEX(Setup!$J$25:$J$84,B313)&amp;"")</f>
        <v/>
      </c>
      <c r="I313" s="39">
        <f>IF(B313="","",INDEX(Setup!$C$25:$C$84,B313))</f>
        <v/>
      </c>
      <c r="J313" s="39" t="n"/>
      <c r="K313" s="37" t="n"/>
      <c r="L313" s="38" t="n"/>
      <c r="M313" s="33" t="n"/>
      <c r="N313" s="33" t="n"/>
      <c r="O313" s="39" t="n"/>
      <c r="P313" s="40">
        <f>IF(A313="","",IF(K313&lt;&gt;"",K313,D313))</f>
        <v/>
      </c>
      <c r="Q313" s="42">
        <f>IF(A313="",0,IF(C313="✗",0,IF(OR(C313="✓",AND(Setup!$D$7="Yes",P313&lt;=TODAY())),IF(L313&lt;&gt;"",L313,F313),0)))</f>
        <v/>
      </c>
      <c r="R313" s="39">
        <f>IF(A313="","",IF(M313&lt;&gt;"",M313,G313))</f>
        <v/>
      </c>
      <c r="S313" s="39">
        <f>IF(A313="","",IF(N313&lt;&gt;"",N313,H313))</f>
        <v/>
      </c>
      <c r="T313" s="39">
        <f>IF(A313="","",IF(C313="✗","Skipped",IF(Q313&gt;0,"Paid","Upcoming")))</f>
        <v/>
      </c>
      <c r="U313" s="42">
        <f>IF(A313="",0,IF(C313="✗",0,IF(L313&lt;&gt;"",L313,F313)))</f>
        <v/>
      </c>
    </row>
    <row r="314">
      <c r="A314" s="32">
        <f>IFERROR(SMALL(Calc!$B$2:$BB$61,309),"")</f>
        <v/>
      </c>
      <c r="B314" s="32">
        <f>IF(A314="","",ROUND(MOD(A314,1)*1000,0))</f>
        <v/>
      </c>
      <c r="C314" s="33" t="n"/>
      <c r="D314" s="34">
        <f>IF(A314="","",INT(A314))</f>
        <v/>
      </c>
      <c r="E314" s="35">
        <f>IF(B314="","",INDEX(Setup!$D$25:$D$84,B314))</f>
        <v/>
      </c>
      <c r="F314" s="36">
        <f>IF(B314="","",INDEX(Setup!$E$25:$E$84,B314))</f>
        <v/>
      </c>
      <c r="G314" s="32">
        <f>IF(B314="","",INDEX(Setup!$I$25:$I$84,B314)&amp;"")</f>
        <v/>
      </c>
      <c r="H314" s="32">
        <f>IF(B314="","",INDEX(Setup!$J$25:$J$84,B314)&amp;"")</f>
        <v/>
      </c>
      <c r="I314" s="32">
        <f>IF(B314="","",INDEX(Setup!$C$25:$C$84,B314))</f>
        <v/>
      </c>
      <c r="J314" s="32" t="n"/>
      <c r="K314" s="37" t="n"/>
      <c r="L314" s="38" t="n"/>
      <c r="M314" s="33" t="n"/>
      <c r="N314" s="33" t="n"/>
      <c r="O314" s="32" t="n"/>
      <c r="P314" s="34">
        <f>IF(A314="","",IF(K314&lt;&gt;"",K314,D314))</f>
        <v/>
      </c>
      <c r="Q314" s="36">
        <f>IF(A314="",0,IF(C314="✗",0,IF(OR(C314="✓",AND(Setup!$D$7="Yes",P314&lt;=TODAY())),IF(L314&lt;&gt;"",L314,F314),0)))</f>
        <v/>
      </c>
      <c r="R314" s="32">
        <f>IF(A314="","",IF(M314&lt;&gt;"",M314,G314))</f>
        <v/>
      </c>
      <c r="S314" s="32">
        <f>IF(A314="","",IF(N314&lt;&gt;"",N314,H314))</f>
        <v/>
      </c>
      <c r="T314" s="32">
        <f>IF(A314="","",IF(C314="✗","Skipped",IF(Q314&gt;0,"Paid","Upcoming")))</f>
        <v/>
      </c>
      <c r="U314" s="36">
        <f>IF(A314="",0,IF(C314="✗",0,IF(L314&lt;&gt;"",L314,F314)))</f>
        <v/>
      </c>
    </row>
    <row r="315">
      <c r="A315" s="39">
        <f>IFERROR(SMALL(Calc!$B$2:$BB$61,310),"")</f>
        <v/>
      </c>
      <c r="B315" s="39">
        <f>IF(A315="","",ROUND(MOD(A315,1)*1000,0))</f>
        <v/>
      </c>
      <c r="C315" s="33" t="n"/>
      <c r="D315" s="40">
        <f>IF(A315="","",INT(A315))</f>
        <v/>
      </c>
      <c r="E315" s="41">
        <f>IF(B315="","",INDEX(Setup!$D$25:$D$84,B315))</f>
        <v/>
      </c>
      <c r="F315" s="42">
        <f>IF(B315="","",INDEX(Setup!$E$25:$E$84,B315))</f>
        <v/>
      </c>
      <c r="G315" s="39">
        <f>IF(B315="","",INDEX(Setup!$I$25:$I$84,B315)&amp;"")</f>
        <v/>
      </c>
      <c r="H315" s="39">
        <f>IF(B315="","",INDEX(Setup!$J$25:$J$84,B315)&amp;"")</f>
        <v/>
      </c>
      <c r="I315" s="39">
        <f>IF(B315="","",INDEX(Setup!$C$25:$C$84,B315))</f>
        <v/>
      </c>
      <c r="J315" s="39" t="n"/>
      <c r="K315" s="37" t="n"/>
      <c r="L315" s="38" t="n"/>
      <c r="M315" s="33" t="n"/>
      <c r="N315" s="33" t="n"/>
      <c r="O315" s="39" t="n"/>
      <c r="P315" s="40">
        <f>IF(A315="","",IF(K315&lt;&gt;"",K315,D315))</f>
        <v/>
      </c>
      <c r="Q315" s="42">
        <f>IF(A315="",0,IF(C315="✗",0,IF(OR(C315="✓",AND(Setup!$D$7="Yes",P315&lt;=TODAY())),IF(L315&lt;&gt;"",L315,F315),0)))</f>
        <v/>
      </c>
      <c r="R315" s="39">
        <f>IF(A315="","",IF(M315&lt;&gt;"",M315,G315))</f>
        <v/>
      </c>
      <c r="S315" s="39">
        <f>IF(A315="","",IF(N315&lt;&gt;"",N315,H315))</f>
        <v/>
      </c>
      <c r="T315" s="39">
        <f>IF(A315="","",IF(C315="✗","Skipped",IF(Q315&gt;0,"Paid","Upcoming")))</f>
        <v/>
      </c>
      <c r="U315" s="42">
        <f>IF(A315="",0,IF(C315="✗",0,IF(L315&lt;&gt;"",L315,F315)))</f>
        <v/>
      </c>
    </row>
    <row r="316">
      <c r="A316" s="32">
        <f>IFERROR(SMALL(Calc!$B$2:$BB$61,311),"")</f>
        <v/>
      </c>
      <c r="B316" s="32">
        <f>IF(A316="","",ROUND(MOD(A316,1)*1000,0))</f>
        <v/>
      </c>
      <c r="C316" s="33" t="n"/>
      <c r="D316" s="34">
        <f>IF(A316="","",INT(A316))</f>
        <v/>
      </c>
      <c r="E316" s="35">
        <f>IF(B316="","",INDEX(Setup!$D$25:$D$84,B316))</f>
        <v/>
      </c>
      <c r="F316" s="36">
        <f>IF(B316="","",INDEX(Setup!$E$25:$E$84,B316))</f>
        <v/>
      </c>
      <c r="G316" s="32">
        <f>IF(B316="","",INDEX(Setup!$I$25:$I$84,B316)&amp;"")</f>
        <v/>
      </c>
      <c r="H316" s="32">
        <f>IF(B316="","",INDEX(Setup!$J$25:$J$84,B316)&amp;"")</f>
        <v/>
      </c>
      <c r="I316" s="32">
        <f>IF(B316="","",INDEX(Setup!$C$25:$C$84,B316))</f>
        <v/>
      </c>
      <c r="J316" s="32" t="n"/>
      <c r="K316" s="37" t="n"/>
      <c r="L316" s="38" t="n"/>
      <c r="M316" s="33" t="n"/>
      <c r="N316" s="33" t="n"/>
      <c r="O316" s="32" t="n"/>
      <c r="P316" s="34">
        <f>IF(A316="","",IF(K316&lt;&gt;"",K316,D316))</f>
        <v/>
      </c>
      <c r="Q316" s="36">
        <f>IF(A316="",0,IF(C316="✗",0,IF(OR(C316="✓",AND(Setup!$D$7="Yes",P316&lt;=TODAY())),IF(L316&lt;&gt;"",L316,F316),0)))</f>
        <v/>
      </c>
      <c r="R316" s="32">
        <f>IF(A316="","",IF(M316&lt;&gt;"",M316,G316))</f>
        <v/>
      </c>
      <c r="S316" s="32">
        <f>IF(A316="","",IF(N316&lt;&gt;"",N316,H316))</f>
        <v/>
      </c>
      <c r="T316" s="32">
        <f>IF(A316="","",IF(C316="✗","Skipped",IF(Q316&gt;0,"Paid","Upcoming")))</f>
        <v/>
      </c>
      <c r="U316" s="36">
        <f>IF(A316="",0,IF(C316="✗",0,IF(L316&lt;&gt;"",L316,F316)))</f>
        <v/>
      </c>
    </row>
    <row r="317">
      <c r="A317" s="39">
        <f>IFERROR(SMALL(Calc!$B$2:$BB$61,312),"")</f>
        <v/>
      </c>
      <c r="B317" s="39">
        <f>IF(A317="","",ROUND(MOD(A317,1)*1000,0))</f>
        <v/>
      </c>
      <c r="C317" s="33" t="n"/>
      <c r="D317" s="40">
        <f>IF(A317="","",INT(A317))</f>
        <v/>
      </c>
      <c r="E317" s="41">
        <f>IF(B317="","",INDEX(Setup!$D$25:$D$84,B317))</f>
        <v/>
      </c>
      <c r="F317" s="42">
        <f>IF(B317="","",INDEX(Setup!$E$25:$E$84,B317))</f>
        <v/>
      </c>
      <c r="G317" s="39">
        <f>IF(B317="","",INDEX(Setup!$I$25:$I$84,B317)&amp;"")</f>
        <v/>
      </c>
      <c r="H317" s="39">
        <f>IF(B317="","",INDEX(Setup!$J$25:$J$84,B317)&amp;"")</f>
        <v/>
      </c>
      <c r="I317" s="39">
        <f>IF(B317="","",INDEX(Setup!$C$25:$C$84,B317))</f>
        <v/>
      </c>
      <c r="J317" s="39" t="n"/>
      <c r="K317" s="37" t="n"/>
      <c r="L317" s="38" t="n"/>
      <c r="M317" s="33" t="n"/>
      <c r="N317" s="33" t="n"/>
      <c r="O317" s="39" t="n"/>
      <c r="P317" s="40">
        <f>IF(A317="","",IF(K317&lt;&gt;"",K317,D317))</f>
        <v/>
      </c>
      <c r="Q317" s="42">
        <f>IF(A317="",0,IF(C317="✗",0,IF(OR(C317="✓",AND(Setup!$D$7="Yes",P317&lt;=TODAY())),IF(L317&lt;&gt;"",L317,F317),0)))</f>
        <v/>
      </c>
      <c r="R317" s="39">
        <f>IF(A317="","",IF(M317&lt;&gt;"",M317,G317))</f>
        <v/>
      </c>
      <c r="S317" s="39">
        <f>IF(A317="","",IF(N317&lt;&gt;"",N317,H317))</f>
        <v/>
      </c>
      <c r="T317" s="39">
        <f>IF(A317="","",IF(C317="✗","Skipped",IF(Q317&gt;0,"Paid","Upcoming")))</f>
        <v/>
      </c>
      <c r="U317" s="42">
        <f>IF(A317="",0,IF(C317="✗",0,IF(L317&lt;&gt;"",L317,F317)))</f>
        <v/>
      </c>
    </row>
    <row r="318">
      <c r="A318" s="32">
        <f>IFERROR(SMALL(Calc!$B$2:$BB$61,313),"")</f>
        <v/>
      </c>
      <c r="B318" s="32">
        <f>IF(A318="","",ROUND(MOD(A318,1)*1000,0))</f>
        <v/>
      </c>
      <c r="C318" s="33" t="n"/>
      <c r="D318" s="34">
        <f>IF(A318="","",INT(A318))</f>
        <v/>
      </c>
      <c r="E318" s="35">
        <f>IF(B318="","",INDEX(Setup!$D$25:$D$84,B318))</f>
        <v/>
      </c>
      <c r="F318" s="36">
        <f>IF(B318="","",INDEX(Setup!$E$25:$E$84,B318))</f>
        <v/>
      </c>
      <c r="G318" s="32">
        <f>IF(B318="","",INDEX(Setup!$I$25:$I$84,B318)&amp;"")</f>
        <v/>
      </c>
      <c r="H318" s="32">
        <f>IF(B318="","",INDEX(Setup!$J$25:$J$84,B318)&amp;"")</f>
        <v/>
      </c>
      <c r="I318" s="32">
        <f>IF(B318="","",INDEX(Setup!$C$25:$C$84,B318))</f>
        <v/>
      </c>
      <c r="J318" s="32" t="n"/>
      <c r="K318" s="37" t="n"/>
      <c r="L318" s="38" t="n"/>
      <c r="M318" s="33" t="n"/>
      <c r="N318" s="33" t="n"/>
      <c r="O318" s="32" t="n"/>
      <c r="P318" s="34">
        <f>IF(A318="","",IF(K318&lt;&gt;"",K318,D318))</f>
        <v/>
      </c>
      <c r="Q318" s="36">
        <f>IF(A318="",0,IF(C318="✗",0,IF(OR(C318="✓",AND(Setup!$D$7="Yes",P318&lt;=TODAY())),IF(L318&lt;&gt;"",L318,F318),0)))</f>
        <v/>
      </c>
      <c r="R318" s="32">
        <f>IF(A318="","",IF(M318&lt;&gt;"",M318,G318))</f>
        <v/>
      </c>
      <c r="S318" s="32">
        <f>IF(A318="","",IF(N318&lt;&gt;"",N318,H318))</f>
        <v/>
      </c>
      <c r="T318" s="32">
        <f>IF(A318="","",IF(C318="✗","Skipped",IF(Q318&gt;0,"Paid","Upcoming")))</f>
        <v/>
      </c>
      <c r="U318" s="36">
        <f>IF(A318="",0,IF(C318="✗",0,IF(L318&lt;&gt;"",L318,F318)))</f>
        <v/>
      </c>
    </row>
    <row r="319">
      <c r="A319" s="39">
        <f>IFERROR(SMALL(Calc!$B$2:$BB$61,314),"")</f>
        <v/>
      </c>
      <c r="B319" s="39">
        <f>IF(A319="","",ROUND(MOD(A319,1)*1000,0))</f>
        <v/>
      </c>
      <c r="C319" s="33" t="n"/>
      <c r="D319" s="40">
        <f>IF(A319="","",INT(A319))</f>
        <v/>
      </c>
      <c r="E319" s="41">
        <f>IF(B319="","",INDEX(Setup!$D$25:$D$84,B319))</f>
        <v/>
      </c>
      <c r="F319" s="42">
        <f>IF(B319="","",INDEX(Setup!$E$25:$E$84,B319))</f>
        <v/>
      </c>
      <c r="G319" s="39">
        <f>IF(B319="","",INDEX(Setup!$I$25:$I$84,B319)&amp;"")</f>
        <v/>
      </c>
      <c r="H319" s="39">
        <f>IF(B319="","",INDEX(Setup!$J$25:$J$84,B319)&amp;"")</f>
        <v/>
      </c>
      <c r="I319" s="39">
        <f>IF(B319="","",INDEX(Setup!$C$25:$C$84,B319))</f>
        <v/>
      </c>
      <c r="J319" s="39" t="n"/>
      <c r="K319" s="37" t="n"/>
      <c r="L319" s="38" t="n"/>
      <c r="M319" s="33" t="n"/>
      <c r="N319" s="33" t="n"/>
      <c r="O319" s="39" t="n"/>
      <c r="P319" s="40">
        <f>IF(A319="","",IF(K319&lt;&gt;"",K319,D319))</f>
        <v/>
      </c>
      <c r="Q319" s="42">
        <f>IF(A319="",0,IF(C319="✗",0,IF(OR(C319="✓",AND(Setup!$D$7="Yes",P319&lt;=TODAY())),IF(L319&lt;&gt;"",L319,F319),0)))</f>
        <v/>
      </c>
      <c r="R319" s="39">
        <f>IF(A319="","",IF(M319&lt;&gt;"",M319,G319))</f>
        <v/>
      </c>
      <c r="S319" s="39">
        <f>IF(A319="","",IF(N319&lt;&gt;"",N319,H319))</f>
        <v/>
      </c>
      <c r="T319" s="39">
        <f>IF(A319="","",IF(C319="✗","Skipped",IF(Q319&gt;0,"Paid","Upcoming")))</f>
        <v/>
      </c>
      <c r="U319" s="42">
        <f>IF(A319="",0,IF(C319="✗",0,IF(L319&lt;&gt;"",L319,F319)))</f>
        <v/>
      </c>
    </row>
    <row r="320">
      <c r="A320" s="32">
        <f>IFERROR(SMALL(Calc!$B$2:$BB$61,315),"")</f>
        <v/>
      </c>
      <c r="B320" s="32">
        <f>IF(A320="","",ROUND(MOD(A320,1)*1000,0))</f>
        <v/>
      </c>
      <c r="C320" s="33" t="n"/>
      <c r="D320" s="34">
        <f>IF(A320="","",INT(A320))</f>
        <v/>
      </c>
      <c r="E320" s="35">
        <f>IF(B320="","",INDEX(Setup!$D$25:$D$84,B320))</f>
        <v/>
      </c>
      <c r="F320" s="36">
        <f>IF(B320="","",INDEX(Setup!$E$25:$E$84,B320))</f>
        <v/>
      </c>
      <c r="G320" s="32">
        <f>IF(B320="","",INDEX(Setup!$I$25:$I$84,B320)&amp;"")</f>
        <v/>
      </c>
      <c r="H320" s="32">
        <f>IF(B320="","",INDEX(Setup!$J$25:$J$84,B320)&amp;"")</f>
        <v/>
      </c>
      <c r="I320" s="32">
        <f>IF(B320="","",INDEX(Setup!$C$25:$C$84,B320))</f>
        <v/>
      </c>
      <c r="J320" s="32" t="n"/>
      <c r="K320" s="37" t="n"/>
      <c r="L320" s="38" t="n"/>
      <c r="M320" s="33" t="n"/>
      <c r="N320" s="33" t="n"/>
      <c r="O320" s="32" t="n"/>
      <c r="P320" s="34">
        <f>IF(A320="","",IF(K320&lt;&gt;"",K320,D320))</f>
        <v/>
      </c>
      <c r="Q320" s="36">
        <f>IF(A320="",0,IF(C320="✗",0,IF(OR(C320="✓",AND(Setup!$D$7="Yes",P320&lt;=TODAY())),IF(L320&lt;&gt;"",L320,F320),0)))</f>
        <v/>
      </c>
      <c r="R320" s="32">
        <f>IF(A320="","",IF(M320&lt;&gt;"",M320,G320))</f>
        <v/>
      </c>
      <c r="S320" s="32">
        <f>IF(A320="","",IF(N320&lt;&gt;"",N320,H320))</f>
        <v/>
      </c>
      <c r="T320" s="32">
        <f>IF(A320="","",IF(C320="✗","Skipped",IF(Q320&gt;0,"Paid","Upcoming")))</f>
        <v/>
      </c>
      <c r="U320" s="36">
        <f>IF(A320="",0,IF(C320="✗",0,IF(L320&lt;&gt;"",L320,F320)))</f>
        <v/>
      </c>
    </row>
    <row r="321">
      <c r="A321" s="39">
        <f>IFERROR(SMALL(Calc!$B$2:$BB$61,316),"")</f>
        <v/>
      </c>
      <c r="B321" s="39">
        <f>IF(A321="","",ROUND(MOD(A321,1)*1000,0))</f>
        <v/>
      </c>
      <c r="C321" s="33" t="n"/>
      <c r="D321" s="40">
        <f>IF(A321="","",INT(A321))</f>
        <v/>
      </c>
      <c r="E321" s="41">
        <f>IF(B321="","",INDEX(Setup!$D$25:$D$84,B321))</f>
        <v/>
      </c>
      <c r="F321" s="42">
        <f>IF(B321="","",INDEX(Setup!$E$25:$E$84,B321))</f>
        <v/>
      </c>
      <c r="G321" s="39">
        <f>IF(B321="","",INDEX(Setup!$I$25:$I$84,B321)&amp;"")</f>
        <v/>
      </c>
      <c r="H321" s="39">
        <f>IF(B321="","",INDEX(Setup!$J$25:$J$84,B321)&amp;"")</f>
        <v/>
      </c>
      <c r="I321" s="39">
        <f>IF(B321="","",INDEX(Setup!$C$25:$C$84,B321))</f>
        <v/>
      </c>
      <c r="J321" s="39" t="n"/>
      <c r="K321" s="37" t="n"/>
      <c r="L321" s="38" t="n"/>
      <c r="M321" s="33" t="n"/>
      <c r="N321" s="33" t="n"/>
      <c r="O321" s="39" t="n"/>
      <c r="P321" s="40">
        <f>IF(A321="","",IF(K321&lt;&gt;"",K321,D321))</f>
        <v/>
      </c>
      <c r="Q321" s="42">
        <f>IF(A321="",0,IF(C321="✗",0,IF(OR(C321="✓",AND(Setup!$D$7="Yes",P321&lt;=TODAY())),IF(L321&lt;&gt;"",L321,F321),0)))</f>
        <v/>
      </c>
      <c r="R321" s="39">
        <f>IF(A321="","",IF(M321&lt;&gt;"",M321,G321))</f>
        <v/>
      </c>
      <c r="S321" s="39">
        <f>IF(A321="","",IF(N321&lt;&gt;"",N321,H321))</f>
        <v/>
      </c>
      <c r="T321" s="39">
        <f>IF(A321="","",IF(C321="✗","Skipped",IF(Q321&gt;0,"Paid","Upcoming")))</f>
        <v/>
      </c>
      <c r="U321" s="42">
        <f>IF(A321="",0,IF(C321="✗",0,IF(L321&lt;&gt;"",L321,F321)))</f>
        <v/>
      </c>
    </row>
    <row r="322">
      <c r="A322" s="32">
        <f>IFERROR(SMALL(Calc!$B$2:$BB$61,317),"")</f>
        <v/>
      </c>
      <c r="B322" s="32">
        <f>IF(A322="","",ROUND(MOD(A322,1)*1000,0))</f>
        <v/>
      </c>
      <c r="C322" s="33" t="n"/>
      <c r="D322" s="34">
        <f>IF(A322="","",INT(A322))</f>
        <v/>
      </c>
      <c r="E322" s="35">
        <f>IF(B322="","",INDEX(Setup!$D$25:$D$84,B322))</f>
        <v/>
      </c>
      <c r="F322" s="36">
        <f>IF(B322="","",INDEX(Setup!$E$25:$E$84,B322))</f>
        <v/>
      </c>
      <c r="G322" s="32">
        <f>IF(B322="","",INDEX(Setup!$I$25:$I$84,B322)&amp;"")</f>
        <v/>
      </c>
      <c r="H322" s="32">
        <f>IF(B322="","",INDEX(Setup!$J$25:$J$84,B322)&amp;"")</f>
        <v/>
      </c>
      <c r="I322" s="32">
        <f>IF(B322="","",INDEX(Setup!$C$25:$C$84,B322))</f>
        <v/>
      </c>
      <c r="J322" s="32" t="n"/>
      <c r="K322" s="37" t="n"/>
      <c r="L322" s="38" t="n"/>
      <c r="M322" s="33" t="n"/>
      <c r="N322" s="33" t="n"/>
      <c r="O322" s="32" t="n"/>
      <c r="P322" s="34">
        <f>IF(A322="","",IF(K322&lt;&gt;"",K322,D322))</f>
        <v/>
      </c>
      <c r="Q322" s="36">
        <f>IF(A322="",0,IF(C322="✗",0,IF(OR(C322="✓",AND(Setup!$D$7="Yes",P322&lt;=TODAY())),IF(L322&lt;&gt;"",L322,F322),0)))</f>
        <v/>
      </c>
      <c r="R322" s="32">
        <f>IF(A322="","",IF(M322&lt;&gt;"",M322,G322))</f>
        <v/>
      </c>
      <c r="S322" s="32">
        <f>IF(A322="","",IF(N322&lt;&gt;"",N322,H322))</f>
        <v/>
      </c>
      <c r="T322" s="32">
        <f>IF(A322="","",IF(C322="✗","Skipped",IF(Q322&gt;0,"Paid","Upcoming")))</f>
        <v/>
      </c>
      <c r="U322" s="36">
        <f>IF(A322="",0,IF(C322="✗",0,IF(L322&lt;&gt;"",L322,F322)))</f>
        <v/>
      </c>
    </row>
    <row r="323">
      <c r="A323" s="39">
        <f>IFERROR(SMALL(Calc!$B$2:$BB$61,318),"")</f>
        <v/>
      </c>
      <c r="B323" s="39">
        <f>IF(A323="","",ROUND(MOD(A323,1)*1000,0))</f>
        <v/>
      </c>
      <c r="C323" s="33" t="n"/>
      <c r="D323" s="40">
        <f>IF(A323="","",INT(A323))</f>
        <v/>
      </c>
      <c r="E323" s="41">
        <f>IF(B323="","",INDEX(Setup!$D$25:$D$84,B323))</f>
        <v/>
      </c>
      <c r="F323" s="42">
        <f>IF(B323="","",INDEX(Setup!$E$25:$E$84,B323))</f>
        <v/>
      </c>
      <c r="G323" s="39">
        <f>IF(B323="","",INDEX(Setup!$I$25:$I$84,B323)&amp;"")</f>
        <v/>
      </c>
      <c r="H323" s="39">
        <f>IF(B323="","",INDEX(Setup!$J$25:$J$84,B323)&amp;"")</f>
        <v/>
      </c>
      <c r="I323" s="39">
        <f>IF(B323="","",INDEX(Setup!$C$25:$C$84,B323))</f>
        <v/>
      </c>
      <c r="J323" s="39" t="n"/>
      <c r="K323" s="37" t="n"/>
      <c r="L323" s="38" t="n"/>
      <c r="M323" s="33" t="n"/>
      <c r="N323" s="33" t="n"/>
      <c r="O323" s="39" t="n"/>
      <c r="P323" s="40">
        <f>IF(A323="","",IF(K323&lt;&gt;"",K323,D323))</f>
        <v/>
      </c>
      <c r="Q323" s="42">
        <f>IF(A323="",0,IF(C323="✗",0,IF(OR(C323="✓",AND(Setup!$D$7="Yes",P323&lt;=TODAY())),IF(L323&lt;&gt;"",L323,F323),0)))</f>
        <v/>
      </c>
      <c r="R323" s="39">
        <f>IF(A323="","",IF(M323&lt;&gt;"",M323,G323))</f>
        <v/>
      </c>
      <c r="S323" s="39">
        <f>IF(A323="","",IF(N323&lt;&gt;"",N323,H323))</f>
        <v/>
      </c>
      <c r="T323" s="39">
        <f>IF(A323="","",IF(C323="✗","Skipped",IF(Q323&gt;0,"Paid","Upcoming")))</f>
        <v/>
      </c>
      <c r="U323" s="42">
        <f>IF(A323="",0,IF(C323="✗",0,IF(L323&lt;&gt;"",L323,F323)))</f>
        <v/>
      </c>
    </row>
    <row r="324">
      <c r="A324" s="32">
        <f>IFERROR(SMALL(Calc!$B$2:$BB$61,319),"")</f>
        <v/>
      </c>
      <c r="B324" s="32">
        <f>IF(A324="","",ROUND(MOD(A324,1)*1000,0))</f>
        <v/>
      </c>
      <c r="C324" s="33" t="n"/>
      <c r="D324" s="34">
        <f>IF(A324="","",INT(A324))</f>
        <v/>
      </c>
      <c r="E324" s="35">
        <f>IF(B324="","",INDEX(Setup!$D$25:$D$84,B324))</f>
        <v/>
      </c>
      <c r="F324" s="36">
        <f>IF(B324="","",INDEX(Setup!$E$25:$E$84,B324))</f>
        <v/>
      </c>
      <c r="G324" s="32">
        <f>IF(B324="","",INDEX(Setup!$I$25:$I$84,B324)&amp;"")</f>
        <v/>
      </c>
      <c r="H324" s="32">
        <f>IF(B324="","",INDEX(Setup!$J$25:$J$84,B324)&amp;"")</f>
        <v/>
      </c>
      <c r="I324" s="32">
        <f>IF(B324="","",INDEX(Setup!$C$25:$C$84,B324))</f>
        <v/>
      </c>
      <c r="J324" s="32" t="n"/>
      <c r="K324" s="37" t="n"/>
      <c r="L324" s="38" t="n"/>
      <c r="M324" s="33" t="n"/>
      <c r="N324" s="33" t="n"/>
      <c r="O324" s="32" t="n"/>
      <c r="P324" s="34">
        <f>IF(A324="","",IF(K324&lt;&gt;"",K324,D324))</f>
        <v/>
      </c>
      <c r="Q324" s="36">
        <f>IF(A324="",0,IF(C324="✗",0,IF(OR(C324="✓",AND(Setup!$D$7="Yes",P324&lt;=TODAY())),IF(L324&lt;&gt;"",L324,F324),0)))</f>
        <v/>
      </c>
      <c r="R324" s="32">
        <f>IF(A324="","",IF(M324&lt;&gt;"",M324,G324))</f>
        <v/>
      </c>
      <c r="S324" s="32">
        <f>IF(A324="","",IF(N324&lt;&gt;"",N324,H324))</f>
        <v/>
      </c>
      <c r="T324" s="32">
        <f>IF(A324="","",IF(C324="✗","Skipped",IF(Q324&gt;0,"Paid","Upcoming")))</f>
        <v/>
      </c>
      <c r="U324" s="36">
        <f>IF(A324="",0,IF(C324="✗",0,IF(L324&lt;&gt;"",L324,F324)))</f>
        <v/>
      </c>
    </row>
    <row r="325">
      <c r="A325" s="39">
        <f>IFERROR(SMALL(Calc!$B$2:$BB$61,320),"")</f>
        <v/>
      </c>
      <c r="B325" s="39">
        <f>IF(A325="","",ROUND(MOD(A325,1)*1000,0))</f>
        <v/>
      </c>
      <c r="C325" s="33" t="n"/>
      <c r="D325" s="40">
        <f>IF(A325="","",INT(A325))</f>
        <v/>
      </c>
      <c r="E325" s="41">
        <f>IF(B325="","",INDEX(Setup!$D$25:$D$84,B325))</f>
        <v/>
      </c>
      <c r="F325" s="42">
        <f>IF(B325="","",INDEX(Setup!$E$25:$E$84,B325))</f>
        <v/>
      </c>
      <c r="G325" s="39">
        <f>IF(B325="","",INDEX(Setup!$I$25:$I$84,B325)&amp;"")</f>
        <v/>
      </c>
      <c r="H325" s="39">
        <f>IF(B325="","",INDEX(Setup!$J$25:$J$84,B325)&amp;"")</f>
        <v/>
      </c>
      <c r="I325" s="39">
        <f>IF(B325="","",INDEX(Setup!$C$25:$C$84,B325))</f>
        <v/>
      </c>
      <c r="J325" s="39" t="n"/>
      <c r="K325" s="37" t="n"/>
      <c r="L325" s="38" t="n"/>
      <c r="M325" s="33" t="n"/>
      <c r="N325" s="33" t="n"/>
      <c r="O325" s="39" t="n"/>
      <c r="P325" s="40">
        <f>IF(A325="","",IF(K325&lt;&gt;"",K325,D325))</f>
        <v/>
      </c>
      <c r="Q325" s="42">
        <f>IF(A325="",0,IF(C325="✗",0,IF(OR(C325="✓",AND(Setup!$D$7="Yes",P325&lt;=TODAY())),IF(L325&lt;&gt;"",L325,F325),0)))</f>
        <v/>
      </c>
      <c r="R325" s="39">
        <f>IF(A325="","",IF(M325&lt;&gt;"",M325,G325))</f>
        <v/>
      </c>
      <c r="S325" s="39">
        <f>IF(A325="","",IF(N325&lt;&gt;"",N325,H325))</f>
        <v/>
      </c>
      <c r="T325" s="39">
        <f>IF(A325="","",IF(C325="✗","Skipped",IF(Q325&gt;0,"Paid","Upcoming")))</f>
        <v/>
      </c>
      <c r="U325" s="42">
        <f>IF(A325="",0,IF(C325="✗",0,IF(L325&lt;&gt;"",L325,F325)))</f>
        <v/>
      </c>
    </row>
    <row r="326">
      <c r="A326" s="32">
        <f>IFERROR(SMALL(Calc!$B$2:$BB$61,321),"")</f>
        <v/>
      </c>
      <c r="B326" s="32">
        <f>IF(A326="","",ROUND(MOD(A326,1)*1000,0))</f>
        <v/>
      </c>
      <c r="C326" s="33" t="n"/>
      <c r="D326" s="34">
        <f>IF(A326="","",INT(A326))</f>
        <v/>
      </c>
      <c r="E326" s="35">
        <f>IF(B326="","",INDEX(Setup!$D$25:$D$84,B326))</f>
        <v/>
      </c>
      <c r="F326" s="36">
        <f>IF(B326="","",INDEX(Setup!$E$25:$E$84,B326))</f>
        <v/>
      </c>
      <c r="G326" s="32">
        <f>IF(B326="","",INDEX(Setup!$I$25:$I$84,B326)&amp;"")</f>
        <v/>
      </c>
      <c r="H326" s="32">
        <f>IF(B326="","",INDEX(Setup!$J$25:$J$84,B326)&amp;"")</f>
        <v/>
      </c>
      <c r="I326" s="32">
        <f>IF(B326="","",INDEX(Setup!$C$25:$C$84,B326))</f>
        <v/>
      </c>
      <c r="J326" s="32" t="n"/>
      <c r="K326" s="37" t="n"/>
      <c r="L326" s="38" t="n"/>
      <c r="M326" s="33" t="n"/>
      <c r="N326" s="33" t="n"/>
      <c r="O326" s="32" t="n"/>
      <c r="P326" s="34">
        <f>IF(A326="","",IF(K326&lt;&gt;"",K326,D326))</f>
        <v/>
      </c>
      <c r="Q326" s="36">
        <f>IF(A326="",0,IF(C326="✗",0,IF(OR(C326="✓",AND(Setup!$D$7="Yes",P326&lt;=TODAY())),IF(L326&lt;&gt;"",L326,F326),0)))</f>
        <v/>
      </c>
      <c r="R326" s="32">
        <f>IF(A326="","",IF(M326&lt;&gt;"",M326,G326))</f>
        <v/>
      </c>
      <c r="S326" s="32">
        <f>IF(A326="","",IF(N326&lt;&gt;"",N326,H326))</f>
        <v/>
      </c>
      <c r="T326" s="32">
        <f>IF(A326="","",IF(C326="✗","Skipped",IF(Q326&gt;0,"Paid","Upcoming")))</f>
        <v/>
      </c>
      <c r="U326" s="36">
        <f>IF(A326="",0,IF(C326="✗",0,IF(L326&lt;&gt;"",L326,F326)))</f>
        <v/>
      </c>
    </row>
    <row r="327">
      <c r="A327" s="39">
        <f>IFERROR(SMALL(Calc!$B$2:$BB$61,322),"")</f>
        <v/>
      </c>
      <c r="B327" s="39">
        <f>IF(A327="","",ROUND(MOD(A327,1)*1000,0))</f>
        <v/>
      </c>
      <c r="C327" s="33" t="n"/>
      <c r="D327" s="40">
        <f>IF(A327="","",INT(A327))</f>
        <v/>
      </c>
      <c r="E327" s="41">
        <f>IF(B327="","",INDEX(Setup!$D$25:$D$84,B327))</f>
        <v/>
      </c>
      <c r="F327" s="42">
        <f>IF(B327="","",INDEX(Setup!$E$25:$E$84,B327))</f>
        <v/>
      </c>
      <c r="G327" s="39">
        <f>IF(B327="","",INDEX(Setup!$I$25:$I$84,B327)&amp;"")</f>
        <v/>
      </c>
      <c r="H327" s="39">
        <f>IF(B327="","",INDEX(Setup!$J$25:$J$84,B327)&amp;"")</f>
        <v/>
      </c>
      <c r="I327" s="39">
        <f>IF(B327="","",INDEX(Setup!$C$25:$C$84,B327))</f>
        <v/>
      </c>
      <c r="J327" s="39" t="n"/>
      <c r="K327" s="37" t="n"/>
      <c r="L327" s="38" t="n"/>
      <c r="M327" s="33" t="n"/>
      <c r="N327" s="33" t="n"/>
      <c r="O327" s="39" t="n"/>
      <c r="P327" s="40">
        <f>IF(A327="","",IF(K327&lt;&gt;"",K327,D327))</f>
        <v/>
      </c>
      <c r="Q327" s="42">
        <f>IF(A327="",0,IF(C327="✗",0,IF(OR(C327="✓",AND(Setup!$D$7="Yes",P327&lt;=TODAY())),IF(L327&lt;&gt;"",L327,F327),0)))</f>
        <v/>
      </c>
      <c r="R327" s="39">
        <f>IF(A327="","",IF(M327&lt;&gt;"",M327,G327))</f>
        <v/>
      </c>
      <c r="S327" s="39">
        <f>IF(A327="","",IF(N327&lt;&gt;"",N327,H327))</f>
        <v/>
      </c>
      <c r="T327" s="39">
        <f>IF(A327="","",IF(C327="✗","Skipped",IF(Q327&gt;0,"Paid","Upcoming")))</f>
        <v/>
      </c>
      <c r="U327" s="42">
        <f>IF(A327="",0,IF(C327="✗",0,IF(L327&lt;&gt;"",L327,F327)))</f>
        <v/>
      </c>
    </row>
    <row r="328">
      <c r="A328" s="32">
        <f>IFERROR(SMALL(Calc!$B$2:$BB$61,323),"")</f>
        <v/>
      </c>
      <c r="B328" s="32">
        <f>IF(A328="","",ROUND(MOD(A328,1)*1000,0))</f>
        <v/>
      </c>
      <c r="C328" s="33" t="n"/>
      <c r="D328" s="34">
        <f>IF(A328="","",INT(A328))</f>
        <v/>
      </c>
      <c r="E328" s="35">
        <f>IF(B328="","",INDEX(Setup!$D$25:$D$84,B328))</f>
        <v/>
      </c>
      <c r="F328" s="36">
        <f>IF(B328="","",INDEX(Setup!$E$25:$E$84,B328))</f>
        <v/>
      </c>
      <c r="G328" s="32">
        <f>IF(B328="","",INDEX(Setup!$I$25:$I$84,B328)&amp;"")</f>
        <v/>
      </c>
      <c r="H328" s="32">
        <f>IF(B328="","",INDEX(Setup!$J$25:$J$84,B328)&amp;"")</f>
        <v/>
      </c>
      <c r="I328" s="32">
        <f>IF(B328="","",INDEX(Setup!$C$25:$C$84,B328))</f>
        <v/>
      </c>
      <c r="J328" s="32" t="n"/>
      <c r="K328" s="37" t="n"/>
      <c r="L328" s="38" t="n"/>
      <c r="M328" s="33" t="n"/>
      <c r="N328" s="33" t="n"/>
      <c r="O328" s="32" t="n"/>
      <c r="P328" s="34">
        <f>IF(A328="","",IF(K328&lt;&gt;"",K328,D328))</f>
        <v/>
      </c>
      <c r="Q328" s="36">
        <f>IF(A328="",0,IF(C328="✗",0,IF(OR(C328="✓",AND(Setup!$D$7="Yes",P328&lt;=TODAY())),IF(L328&lt;&gt;"",L328,F328),0)))</f>
        <v/>
      </c>
      <c r="R328" s="32">
        <f>IF(A328="","",IF(M328&lt;&gt;"",M328,G328))</f>
        <v/>
      </c>
      <c r="S328" s="32">
        <f>IF(A328="","",IF(N328&lt;&gt;"",N328,H328))</f>
        <v/>
      </c>
      <c r="T328" s="32">
        <f>IF(A328="","",IF(C328="✗","Skipped",IF(Q328&gt;0,"Paid","Upcoming")))</f>
        <v/>
      </c>
      <c r="U328" s="36">
        <f>IF(A328="",0,IF(C328="✗",0,IF(L328&lt;&gt;"",L328,F328)))</f>
        <v/>
      </c>
    </row>
    <row r="329">
      <c r="A329" s="39">
        <f>IFERROR(SMALL(Calc!$B$2:$BB$61,324),"")</f>
        <v/>
      </c>
      <c r="B329" s="39">
        <f>IF(A329="","",ROUND(MOD(A329,1)*1000,0))</f>
        <v/>
      </c>
      <c r="C329" s="33" t="n"/>
      <c r="D329" s="40">
        <f>IF(A329="","",INT(A329))</f>
        <v/>
      </c>
      <c r="E329" s="41">
        <f>IF(B329="","",INDEX(Setup!$D$25:$D$84,B329))</f>
        <v/>
      </c>
      <c r="F329" s="42">
        <f>IF(B329="","",INDEX(Setup!$E$25:$E$84,B329))</f>
        <v/>
      </c>
      <c r="G329" s="39">
        <f>IF(B329="","",INDEX(Setup!$I$25:$I$84,B329)&amp;"")</f>
        <v/>
      </c>
      <c r="H329" s="39">
        <f>IF(B329="","",INDEX(Setup!$J$25:$J$84,B329)&amp;"")</f>
        <v/>
      </c>
      <c r="I329" s="39">
        <f>IF(B329="","",INDEX(Setup!$C$25:$C$84,B329))</f>
        <v/>
      </c>
      <c r="J329" s="39" t="n"/>
      <c r="K329" s="37" t="n"/>
      <c r="L329" s="38" t="n"/>
      <c r="M329" s="33" t="n"/>
      <c r="N329" s="33" t="n"/>
      <c r="O329" s="39" t="n"/>
      <c r="P329" s="40">
        <f>IF(A329="","",IF(K329&lt;&gt;"",K329,D329))</f>
        <v/>
      </c>
      <c r="Q329" s="42">
        <f>IF(A329="",0,IF(C329="✗",0,IF(OR(C329="✓",AND(Setup!$D$7="Yes",P329&lt;=TODAY())),IF(L329&lt;&gt;"",L329,F329),0)))</f>
        <v/>
      </c>
      <c r="R329" s="39">
        <f>IF(A329="","",IF(M329&lt;&gt;"",M329,G329))</f>
        <v/>
      </c>
      <c r="S329" s="39">
        <f>IF(A329="","",IF(N329&lt;&gt;"",N329,H329))</f>
        <v/>
      </c>
      <c r="T329" s="39">
        <f>IF(A329="","",IF(C329="✗","Skipped",IF(Q329&gt;0,"Paid","Upcoming")))</f>
        <v/>
      </c>
      <c r="U329" s="42">
        <f>IF(A329="",0,IF(C329="✗",0,IF(L329&lt;&gt;"",L329,F329)))</f>
        <v/>
      </c>
    </row>
    <row r="330">
      <c r="A330" s="32">
        <f>IFERROR(SMALL(Calc!$B$2:$BB$61,325),"")</f>
        <v/>
      </c>
      <c r="B330" s="32">
        <f>IF(A330="","",ROUND(MOD(A330,1)*1000,0))</f>
        <v/>
      </c>
      <c r="C330" s="33" t="n"/>
      <c r="D330" s="34">
        <f>IF(A330="","",INT(A330))</f>
        <v/>
      </c>
      <c r="E330" s="35">
        <f>IF(B330="","",INDEX(Setup!$D$25:$D$84,B330))</f>
        <v/>
      </c>
      <c r="F330" s="36">
        <f>IF(B330="","",INDEX(Setup!$E$25:$E$84,B330))</f>
        <v/>
      </c>
      <c r="G330" s="32">
        <f>IF(B330="","",INDEX(Setup!$I$25:$I$84,B330)&amp;"")</f>
        <v/>
      </c>
      <c r="H330" s="32">
        <f>IF(B330="","",INDEX(Setup!$J$25:$J$84,B330)&amp;"")</f>
        <v/>
      </c>
      <c r="I330" s="32">
        <f>IF(B330="","",INDEX(Setup!$C$25:$C$84,B330))</f>
        <v/>
      </c>
      <c r="J330" s="32" t="n"/>
      <c r="K330" s="37" t="n"/>
      <c r="L330" s="38" t="n"/>
      <c r="M330" s="33" t="n"/>
      <c r="N330" s="33" t="n"/>
      <c r="O330" s="32" t="n"/>
      <c r="P330" s="34">
        <f>IF(A330="","",IF(K330&lt;&gt;"",K330,D330))</f>
        <v/>
      </c>
      <c r="Q330" s="36">
        <f>IF(A330="",0,IF(C330="✗",0,IF(OR(C330="✓",AND(Setup!$D$7="Yes",P330&lt;=TODAY())),IF(L330&lt;&gt;"",L330,F330),0)))</f>
        <v/>
      </c>
      <c r="R330" s="32">
        <f>IF(A330="","",IF(M330&lt;&gt;"",M330,G330))</f>
        <v/>
      </c>
      <c r="S330" s="32">
        <f>IF(A330="","",IF(N330&lt;&gt;"",N330,H330))</f>
        <v/>
      </c>
      <c r="T330" s="32">
        <f>IF(A330="","",IF(C330="✗","Skipped",IF(Q330&gt;0,"Paid","Upcoming")))</f>
        <v/>
      </c>
      <c r="U330" s="36">
        <f>IF(A330="",0,IF(C330="✗",0,IF(L330&lt;&gt;"",L330,F330)))</f>
        <v/>
      </c>
    </row>
    <row r="331">
      <c r="A331" s="39">
        <f>IFERROR(SMALL(Calc!$B$2:$BB$61,326),"")</f>
        <v/>
      </c>
      <c r="B331" s="39">
        <f>IF(A331="","",ROUND(MOD(A331,1)*1000,0))</f>
        <v/>
      </c>
      <c r="C331" s="33" t="n"/>
      <c r="D331" s="40">
        <f>IF(A331="","",INT(A331))</f>
        <v/>
      </c>
      <c r="E331" s="41">
        <f>IF(B331="","",INDEX(Setup!$D$25:$D$84,B331))</f>
        <v/>
      </c>
      <c r="F331" s="42">
        <f>IF(B331="","",INDEX(Setup!$E$25:$E$84,B331))</f>
        <v/>
      </c>
      <c r="G331" s="39">
        <f>IF(B331="","",INDEX(Setup!$I$25:$I$84,B331)&amp;"")</f>
        <v/>
      </c>
      <c r="H331" s="39">
        <f>IF(B331="","",INDEX(Setup!$J$25:$J$84,B331)&amp;"")</f>
        <v/>
      </c>
      <c r="I331" s="39">
        <f>IF(B331="","",INDEX(Setup!$C$25:$C$84,B331))</f>
        <v/>
      </c>
      <c r="J331" s="39" t="n"/>
      <c r="K331" s="37" t="n"/>
      <c r="L331" s="38" t="n"/>
      <c r="M331" s="33" t="n"/>
      <c r="N331" s="33" t="n"/>
      <c r="O331" s="39" t="n"/>
      <c r="P331" s="40">
        <f>IF(A331="","",IF(K331&lt;&gt;"",K331,D331))</f>
        <v/>
      </c>
      <c r="Q331" s="42">
        <f>IF(A331="",0,IF(C331="✗",0,IF(OR(C331="✓",AND(Setup!$D$7="Yes",P331&lt;=TODAY())),IF(L331&lt;&gt;"",L331,F331),0)))</f>
        <v/>
      </c>
      <c r="R331" s="39">
        <f>IF(A331="","",IF(M331&lt;&gt;"",M331,G331))</f>
        <v/>
      </c>
      <c r="S331" s="39">
        <f>IF(A331="","",IF(N331&lt;&gt;"",N331,H331))</f>
        <v/>
      </c>
      <c r="T331" s="39">
        <f>IF(A331="","",IF(C331="✗","Skipped",IF(Q331&gt;0,"Paid","Upcoming")))</f>
        <v/>
      </c>
      <c r="U331" s="42">
        <f>IF(A331="",0,IF(C331="✗",0,IF(L331&lt;&gt;"",L331,F331)))</f>
        <v/>
      </c>
    </row>
    <row r="332">
      <c r="A332" s="32">
        <f>IFERROR(SMALL(Calc!$B$2:$BB$61,327),"")</f>
        <v/>
      </c>
      <c r="B332" s="32">
        <f>IF(A332="","",ROUND(MOD(A332,1)*1000,0))</f>
        <v/>
      </c>
      <c r="C332" s="33" t="n"/>
      <c r="D332" s="34">
        <f>IF(A332="","",INT(A332))</f>
        <v/>
      </c>
      <c r="E332" s="35">
        <f>IF(B332="","",INDEX(Setup!$D$25:$D$84,B332))</f>
        <v/>
      </c>
      <c r="F332" s="36">
        <f>IF(B332="","",INDEX(Setup!$E$25:$E$84,B332))</f>
        <v/>
      </c>
      <c r="G332" s="32">
        <f>IF(B332="","",INDEX(Setup!$I$25:$I$84,B332)&amp;"")</f>
        <v/>
      </c>
      <c r="H332" s="32">
        <f>IF(B332="","",INDEX(Setup!$J$25:$J$84,B332)&amp;"")</f>
        <v/>
      </c>
      <c r="I332" s="32">
        <f>IF(B332="","",INDEX(Setup!$C$25:$C$84,B332))</f>
        <v/>
      </c>
      <c r="J332" s="32" t="n"/>
      <c r="K332" s="37" t="n"/>
      <c r="L332" s="38" t="n"/>
      <c r="M332" s="33" t="n"/>
      <c r="N332" s="33" t="n"/>
      <c r="O332" s="32" t="n"/>
      <c r="P332" s="34">
        <f>IF(A332="","",IF(K332&lt;&gt;"",K332,D332))</f>
        <v/>
      </c>
      <c r="Q332" s="36">
        <f>IF(A332="",0,IF(C332="✗",0,IF(OR(C332="✓",AND(Setup!$D$7="Yes",P332&lt;=TODAY())),IF(L332&lt;&gt;"",L332,F332),0)))</f>
        <v/>
      </c>
      <c r="R332" s="32">
        <f>IF(A332="","",IF(M332&lt;&gt;"",M332,G332))</f>
        <v/>
      </c>
      <c r="S332" s="32">
        <f>IF(A332="","",IF(N332&lt;&gt;"",N332,H332))</f>
        <v/>
      </c>
      <c r="T332" s="32">
        <f>IF(A332="","",IF(C332="✗","Skipped",IF(Q332&gt;0,"Paid","Upcoming")))</f>
        <v/>
      </c>
      <c r="U332" s="36">
        <f>IF(A332="",0,IF(C332="✗",0,IF(L332&lt;&gt;"",L332,F332)))</f>
        <v/>
      </c>
    </row>
    <row r="333">
      <c r="A333" s="39">
        <f>IFERROR(SMALL(Calc!$B$2:$BB$61,328),"")</f>
        <v/>
      </c>
      <c r="B333" s="39">
        <f>IF(A333="","",ROUND(MOD(A333,1)*1000,0))</f>
        <v/>
      </c>
      <c r="C333" s="33" t="n"/>
      <c r="D333" s="40">
        <f>IF(A333="","",INT(A333))</f>
        <v/>
      </c>
      <c r="E333" s="41">
        <f>IF(B333="","",INDEX(Setup!$D$25:$D$84,B333))</f>
        <v/>
      </c>
      <c r="F333" s="42">
        <f>IF(B333="","",INDEX(Setup!$E$25:$E$84,B333))</f>
        <v/>
      </c>
      <c r="G333" s="39">
        <f>IF(B333="","",INDEX(Setup!$I$25:$I$84,B333)&amp;"")</f>
        <v/>
      </c>
      <c r="H333" s="39">
        <f>IF(B333="","",INDEX(Setup!$J$25:$J$84,B333)&amp;"")</f>
        <v/>
      </c>
      <c r="I333" s="39">
        <f>IF(B333="","",INDEX(Setup!$C$25:$C$84,B333))</f>
        <v/>
      </c>
      <c r="J333" s="39" t="n"/>
      <c r="K333" s="37" t="n"/>
      <c r="L333" s="38" t="n"/>
      <c r="M333" s="33" t="n"/>
      <c r="N333" s="33" t="n"/>
      <c r="O333" s="39" t="n"/>
      <c r="P333" s="40">
        <f>IF(A333="","",IF(K333&lt;&gt;"",K333,D333))</f>
        <v/>
      </c>
      <c r="Q333" s="42">
        <f>IF(A333="",0,IF(C333="✗",0,IF(OR(C333="✓",AND(Setup!$D$7="Yes",P333&lt;=TODAY())),IF(L333&lt;&gt;"",L333,F333),0)))</f>
        <v/>
      </c>
      <c r="R333" s="39">
        <f>IF(A333="","",IF(M333&lt;&gt;"",M333,G333))</f>
        <v/>
      </c>
      <c r="S333" s="39">
        <f>IF(A333="","",IF(N333&lt;&gt;"",N333,H333))</f>
        <v/>
      </c>
      <c r="T333" s="39">
        <f>IF(A333="","",IF(C333="✗","Skipped",IF(Q333&gt;0,"Paid","Upcoming")))</f>
        <v/>
      </c>
      <c r="U333" s="42">
        <f>IF(A333="",0,IF(C333="✗",0,IF(L333&lt;&gt;"",L333,F333)))</f>
        <v/>
      </c>
    </row>
    <row r="334">
      <c r="A334" s="32">
        <f>IFERROR(SMALL(Calc!$B$2:$BB$61,329),"")</f>
        <v/>
      </c>
      <c r="B334" s="32">
        <f>IF(A334="","",ROUND(MOD(A334,1)*1000,0))</f>
        <v/>
      </c>
      <c r="C334" s="33" t="n"/>
      <c r="D334" s="34">
        <f>IF(A334="","",INT(A334))</f>
        <v/>
      </c>
      <c r="E334" s="35">
        <f>IF(B334="","",INDEX(Setup!$D$25:$D$84,B334))</f>
        <v/>
      </c>
      <c r="F334" s="36">
        <f>IF(B334="","",INDEX(Setup!$E$25:$E$84,B334))</f>
        <v/>
      </c>
      <c r="G334" s="32">
        <f>IF(B334="","",INDEX(Setup!$I$25:$I$84,B334)&amp;"")</f>
        <v/>
      </c>
      <c r="H334" s="32">
        <f>IF(B334="","",INDEX(Setup!$J$25:$J$84,B334)&amp;"")</f>
        <v/>
      </c>
      <c r="I334" s="32">
        <f>IF(B334="","",INDEX(Setup!$C$25:$C$84,B334))</f>
        <v/>
      </c>
      <c r="J334" s="32" t="n"/>
      <c r="K334" s="37" t="n"/>
      <c r="L334" s="38" t="n"/>
      <c r="M334" s="33" t="n"/>
      <c r="N334" s="33" t="n"/>
      <c r="O334" s="32" t="n"/>
      <c r="P334" s="34">
        <f>IF(A334="","",IF(K334&lt;&gt;"",K334,D334))</f>
        <v/>
      </c>
      <c r="Q334" s="36">
        <f>IF(A334="",0,IF(C334="✗",0,IF(OR(C334="✓",AND(Setup!$D$7="Yes",P334&lt;=TODAY())),IF(L334&lt;&gt;"",L334,F334),0)))</f>
        <v/>
      </c>
      <c r="R334" s="32">
        <f>IF(A334="","",IF(M334&lt;&gt;"",M334,G334))</f>
        <v/>
      </c>
      <c r="S334" s="32">
        <f>IF(A334="","",IF(N334&lt;&gt;"",N334,H334))</f>
        <v/>
      </c>
      <c r="T334" s="32">
        <f>IF(A334="","",IF(C334="✗","Skipped",IF(Q334&gt;0,"Paid","Upcoming")))</f>
        <v/>
      </c>
      <c r="U334" s="36">
        <f>IF(A334="",0,IF(C334="✗",0,IF(L334&lt;&gt;"",L334,F334)))</f>
        <v/>
      </c>
    </row>
    <row r="335">
      <c r="A335" s="39">
        <f>IFERROR(SMALL(Calc!$B$2:$BB$61,330),"")</f>
        <v/>
      </c>
      <c r="B335" s="39">
        <f>IF(A335="","",ROUND(MOD(A335,1)*1000,0))</f>
        <v/>
      </c>
      <c r="C335" s="33" t="n"/>
      <c r="D335" s="40">
        <f>IF(A335="","",INT(A335))</f>
        <v/>
      </c>
      <c r="E335" s="41">
        <f>IF(B335="","",INDEX(Setup!$D$25:$D$84,B335))</f>
        <v/>
      </c>
      <c r="F335" s="42">
        <f>IF(B335="","",INDEX(Setup!$E$25:$E$84,B335))</f>
        <v/>
      </c>
      <c r="G335" s="39">
        <f>IF(B335="","",INDEX(Setup!$I$25:$I$84,B335)&amp;"")</f>
        <v/>
      </c>
      <c r="H335" s="39">
        <f>IF(B335="","",INDEX(Setup!$J$25:$J$84,B335)&amp;"")</f>
        <v/>
      </c>
      <c r="I335" s="39">
        <f>IF(B335="","",INDEX(Setup!$C$25:$C$84,B335))</f>
        <v/>
      </c>
      <c r="J335" s="39" t="n"/>
      <c r="K335" s="37" t="n"/>
      <c r="L335" s="38" t="n"/>
      <c r="M335" s="33" t="n"/>
      <c r="N335" s="33" t="n"/>
      <c r="O335" s="39" t="n"/>
      <c r="P335" s="40">
        <f>IF(A335="","",IF(K335&lt;&gt;"",K335,D335))</f>
        <v/>
      </c>
      <c r="Q335" s="42">
        <f>IF(A335="",0,IF(C335="✗",0,IF(OR(C335="✓",AND(Setup!$D$7="Yes",P335&lt;=TODAY())),IF(L335&lt;&gt;"",L335,F335),0)))</f>
        <v/>
      </c>
      <c r="R335" s="39">
        <f>IF(A335="","",IF(M335&lt;&gt;"",M335,G335))</f>
        <v/>
      </c>
      <c r="S335" s="39">
        <f>IF(A335="","",IF(N335&lt;&gt;"",N335,H335))</f>
        <v/>
      </c>
      <c r="T335" s="39">
        <f>IF(A335="","",IF(C335="✗","Skipped",IF(Q335&gt;0,"Paid","Upcoming")))</f>
        <v/>
      </c>
      <c r="U335" s="42">
        <f>IF(A335="",0,IF(C335="✗",0,IF(L335&lt;&gt;"",L335,F335)))</f>
        <v/>
      </c>
    </row>
    <row r="336">
      <c r="A336" s="32">
        <f>IFERROR(SMALL(Calc!$B$2:$BB$61,331),"")</f>
        <v/>
      </c>
      <c r="B336" s="32">
        <f>IF(A336="","",ROUND(MOD(A336,1)*1000,0))</f>
        <v/>
      </c>
      <c r="C336" s="33" t="n"/>
      <c r="D336" s="34">
        <f>IF(A336="","",INT(A336))</f>
        <v/>
      </c>
      <c r="E336" s="35">
        <f>IF(B336="","",INDEX(Setup!$D$25:$D$84,B336))</f>
        <v/>
      </c>
      <c r="F336" s="36">
        <f>IF(B336="","",INDEX(Setup!$E$25:$E$84,B336))</f>
        <v/>
      </c>
      <c r="G336" s="32">
        <f>IF(B336="","",INDEX(Setup!$I$25:$I$84,B336)&amp;"")</f>
        <v/>
      </c>
      <c r="H336" s="32">
        <f>IF(B336="","",INDEX(Setup!$J$25:$J$84,B336)&amp;"")</f>
        <v/>
      </c>
      <c r="I336" s="32">
        <f>IF(B336="","",INDEX(Setup!$C$25:$C$84,B336))</f>
        <v/>
      </c>
      <c r="J336" s="32" t="n"/>
      <c r="K336" s="37" t="n"/>
      <c r="L336" s="38" t="n"/>
      <c r="M336" s="33" t="n"/>
      <c r="N336" s="33" t="n"/>
      <c r="O336" s="32" t="n"/>
      <c r="P336" s="34">
        <f>IF(A336="","",IF(K336&lt;&gt;"",K336,D336))</f>
        <v/>
      </c>
      <c r="Q336" s="36">
        <f>IF(A336="",0,IF(C336="✗",0,IF(OR(C336="✓",AND(Setup!$D$7="Yes",P336&lt;=TODAY())),IF(L336&lt;&gt;"",L336,F336),0)))</f>
        <v/>
      </c>
      <c r="R336" s="32">
        <f>IF(A336="","",IF(M336&lt;&gt;"",M336,G336))</f>
        <v/>
      </c>
      <c r="S336" s="32">
        <f>IF(A336="","",IF(N336&lt;&gt;"",N336,H336))</f>
        <v/>
      </c>
      <c r="T336" s="32">
        <f>IF(A336="","",IF(C336="✗","Skipped",IF(Q336&gt;0,"Paid","Upcoming")))</f>
        <v/>
      </c>
      <c r="U336" s="36">
        <f>IF(A336="",0,IF(C336="✗",0,IF(L336&lt;&gt;"",L336,F336)))</f>
        <v/>
      </c>
    </row>
    <row r="337">
      <c r="A337" s="39">
        <f>IFERROR(SMALL(Calc!$B$2:$BB$61,332),"")</f>
        <v/>
      </c>
      <c r="B337" s="39">
        <f>IF(A337="","",ROUND(MOD(A337,1)*1000,0))</f>
        <v/>
      </c>
      <c r="C337" s="33" t="n"/>
      <c r="D337" s="40">
        <f>IF(A337="","",INT(A337))</f>
        <v/>
      </c>
      <c r="E337" s="41">
        <f>IF(B337="","",INDEX(Setup!$D$25:$D$84,B337))</f>
        <v/>
      </c>
      <c r="F337" s="42">
        <f>IF(B337="","",INDEX(Setup!$E$25:$E$84,B337))</f>
        <v/>
      </c>
      <c r="G337" s="39">
        <f>IF(B337="","",INDEX(Setup!$I$25:$I$84,B337)&amp;"")</f>
        <v/>
      </c>
      <c r="H337" s="39">
        <f>IF(B337="","",INDEX(Setup!$J$25:$J$84,B337)&amp;"")</f>
        <v/>
      </c>
      <c r="I337" s="39">
        <f>IF(B337="","",INDEX(Setup!$C$25:$C$84,B337))</f>
        <v/>
      </c>
      <c r="J337" s="39" t="n"/>
      <c r="K337" s="37" t="n"/>
      <c r="L337" s="38" t="n"/>
      <c r="M337" s="33" t="n"/>
      <c r="N337" s="33" t="n"/>
      <c r="O337" s="39" t="n"/>
      <c r="P337" s="40">
        <f>IF(A337="","",IF(K337&lt;&gt;"",K337,D337))</f>
        <v/>
      </c>
      <c r="Q337" s="42">
        <f>IF(A337="",0,IF(C337="✗",0,IF(OR(C337="✓",AND(Setup!$D$7="Yes",P337&lt;=TODAY())),IF(L337&lt;&gt;"",L337,F337),0)))</f>
        <v/>
      </c>
      <c r="R337" s="39">
        <f>IF(A337="","",IF(M337&lt;&gt;"",M337,G337))</f>
        <v/>
      </c>
      <c r="S337" s="39">
        <f>IF(A337="","",IF(N337&lt;&gt;"",N337,H337))</f>
        <v/>
      </c>
      <c r="T337" s="39">
        <f>IF(A337="","",IF(C337="✗","Skipped",IF(Q337&gt;0,"Paid","Upcoming")))</f>
        <v/>
      </c>
      <c r="U337" s="42">
        <f>IF(A337="",0,IF(C337="✗",0,IF(L337&lt;&gt;"",L337,F337)))</f>
        <v/>
      </c>
    </row>
    <row r="338">
      <c r="A338" s="32">
        <f>IFERROR(SMALL(Calc!$B$2:$BB$61,333),"")</f>
        <v/>
      </c>
      <c r="B338" s="32">
        <f>IF(A338="","",ROUND(MOD(A338,1)*1000,0))</f>
        <v/>
      </c>
      <c r="C338" s="33" t="n"/>
      <c r="D338" s="34">
        <f>IF(A338="","",INT(A338))</f>
        <v/>
      </c>
      <c r="E338" s="35">
        <f>IF(B338="","",INDEX(Setup!$D$25:$D$84,B338))</f>
        <v/>
      </c>
      <c r="F338" s="36">
        <f>IF(B338="","",INDEX(Setup!$E$25:$E$84,B338))</f>
        <v/>
      </c>
      <c r="G338" s="32">
        <f>IF(B338="","",INDEX(Setup!$I$25:$I$84,B338)&amp;"")</f>
        <v/>
      </c>
      <c r="H338" s="32">
        <f>IF(B338="","",INDEX(Setup!$J$25:$J$84,B338)&amp;"")</f>
        <v/>
      </c>
      <c r="I338" s="32">
        <f>IF(B338="","",INDEX(Setup!$C$25:$C$84,B338))</f>
        <v/>
      </c>
      <c r="J338" s="32" t="n"/>
      <c r="K338" s="37" t="n"/>
      <c r="L338" s="38" t="n"/>
      <c r="M338" s="33" t="n"/>
      <c r="N338" s="33" t="n"/>
      <c r="O338" s="32" t="n"/>
      <c r="P338" s="34">
        <f>IF(A338="","",IF(K338&lt;&gt;"",K338,D338))</f>
        <v/>
      </c>
      <c r="Q338" s="36">
        <f>IF(A338="",0,IF(C338="✗",0,IF(OR(C338="✓",AND(Setup!$D$7="Yes",P338&lt;=TODAY())),IF(L338&lt;&gt;"",L338,F338),0)))</f>
        <v/>
      </c>
      <c r="R338" s="32">
        <f>IF(A338="","",IF(M338&lt;&gt;"",M338,G338))</f>
        <v/>
      </c>
      <c r="S338" s="32">
        <f>IF(A338="","",IF(N338&lt;&gt;"",N338,H338))</f>
        <v/>
      </c>
      <c r="T338" s="32">
        <f>IF(A338="","",IF(C338="✗","Skipped",IF(Q338&gt;0,"Paid","Upcoming")))</f>
        <v/>
      </c>
      <c r="U338" s="36">
        <f>IF(A338="",0,IF(C338="✗",0,IF(L338&lt;&gt;"",L338,F338)))</f>
        <v/>
      </c>
    </row>
    <row r="339">
      <c r="A339" s="39">
        <f>IFERROR(SMALL(Calc!$B$2:$BB$61,334),"")</f>
        <v/>
      </c>
      <c r="B339" s="39">
        <f>IF(A339="","",ROUND(MOD(A339,1)*1000,0))</f>
        <v/>
      </c>
      <c r="C339" s="33" t="n"/>
      <c r="D339" s="40">
        <f>IF(A339="","",INT(A339))</f>
        <v/>
      </c>
      <c r="E339" s="41">
        <f>IF(B339="","",INDEX(Setup!$D$25:$D$84,B339))</f>
        <v/>
      </c>
      <c r="F339" s="42">
        <f>IF(B339="","",INDEX(Setup!$E$25:$E$84,B339))</f>
        <v/>
      </c>
      <c r="G339" s="39">
        <f>IF(B339="","",INDEX(Setup!$I$25:$I$84,B339)&amp;"")</f>
        <v/>
      </c>
      <c r="H339" s="39">
        <f>IF(B339="","",INDEX(Setup!$J$25:$J$84,B339)&amp;"")</f>
        <v/>
      </c>
      <c r="I339" s="39">
        <f>IF(B339="","",INDEX(Setup!$C$25:$C$84,B339))</f>
        <v/>
      </c>
      <c r="J339" s="39" t="n"/>
      <c r="K339" s="37" t="n"/>
      <c r="L339" s="38" t="n"/>
      <c r="M339" s="33" t="n"/>
      <c r="N339" s="33" t="n"/>
      <c r="O339" s="39" t="n"/>
      <c r="P339" s="40">
        <f>IF(A339="","",IF(K339&lt;&gt;"",K339,D339))</f>
        <v/>
      </c>
      <c r="Q339" s="42">
        <f>IF(A339="",0,IF(C339="✗",0,IF(OR(C339="✓",AND(Setup!$D$7="Yes",P339&lt;=TODAY())),IF(L339&lt;&gt;"",L339,F339),0)))</f>
        <v/>
      </c>
      <c r="R339" s="39">
        <f>IF(A339="","",IF(M339&lt;&gt;"",M339,G339))</f>
        <v/>
      </c>
      <c r="S339" s="39">
        <f>IF(A339="","",IF(N339&lt;&gt;"",N339,H339))</f>
        <v/>
      </c>
      <c r="T339" s="39">
        <f>IF(A339="","",IF(C339="✗","Skipped",IF(Q339&gt;0,"Paid","Upcoming")))</f>
        <v/>
      </c>
      <c r="U339" s="42">
        <f>IF(A339="",0,IF(C339="✗",0,IF(L339&lt;&gt;"",L339,F339)))</f>
        <v/>
      </c>
    </row>
    <row r="340">
      <c r="A340" s="32">
        <f>IFERROR(SMALL(Calc!$B$2:$BB$61,335),"")</f>
        <v/>
      </c>
      <c r="B340" s="32">
        <f>IF(A340="","",ROUND(MOD(A340,1)*1000,0))</f>
        <v/>
      </c>
      <c r="C340" s="33" t="n"/>
      <c r="D340" s="34">
        <f>IF(A340="","",INT(A340))</f>
        <v/>
      </c>
      <c r="E340" s="35">
        <f>IF(B340="","",INDEX(Setup!$D$25:$D$84,B340))</f>
        <v/>
      </c>
      <c r="F340" s="36">
        <f>IF(B340="","",INDEX(Setup!$E$25:$E$84,B340))</f>
        <v/>
      </c>
      <c r="G340" s="32">
        <f>IF(B340="","",INDEX(Setup!$I$25:$I$84,B340)&amp;"")</f>
        <v/>
      </c>
      <c r="H340" s="32">
        <f>IF(B340="","",INDEX(Setup!$J$25:$J$84,B340)&amp;"")</f>
        <v/>
      </c>
      <c r="I340" s="32">
        <f>IF(B340="","",INDEX(Setup!$C$25:$C$84,B340))</f>
        <v/>
      </c>
      <c r="J340" s="32" t="n"/>
      <c r="K340" s="37" t="n"/>
      <c r="L340" s="38" t="n"/>
      <c r="M340" s="33" t="n"/>
      <c r="N340" s="33" t="n"/>
      <c r="O340" s="32" t="n"/>
      <c r="P340" s="34">
        <f>IF(A340="","",IF(K340&lt;&gt;"",K340,D340))</f>
        <v/>
      </c>
      <c r="Q340" s="36">
        <f>IF(A340="",0,IF(C340="✗",0,IF(OR(C340="✓",AND(Setup!$D$7="Yes",P340&lt;=TODAY())),IF(L340&lt;&gt;"",L340,F340),0)))</f>
        <v/>
      </c>
      <c r="R340" s="32">
        <f>IF(A340="","",IF(M340&lt;&gt;"",M340,G340))</f>
        <v/>
      </c>
      <c r="S340" s="32">
        <f>IF(A340="","",IF(N340&lt;&gt;"",N340,H340))</f>
        <v/>
      </c>
      <c r="T340" s="32">
        <f>IF(A340="","",IF(C340="✗","Skipped",IF(Q340&gt;0,"Paid","Upcoming")))</f>
        <v/>
      </c>
      <c r="U340" s="36">
        <f>IF(A340="",0,IF(C340="✗",0,IF(L340&lt;&gt;"",L340,F340)))</f>
        <v/>
      </c>
    </row>
    <row r="341">
      <c r="A341" s="39">
        <f>IFERROR(SMALL(Calc!$B$2:$BB$61,336),"")</f>
        <v/>
      </c>
      <c r="B341" s="39">
        <f>IF(A341="","",ROUND(MOD(A341,1)*1000,0))</f>
        <v/>
      </c>
      <c r="C341" s="33" t="n"/>
      <c r="D341" s="40">
        <f>IF(A341="","",INT(A341))</f>
        <v/>
      </c>
      <c r="E341" s="41">
        <f>IF(B341="","",INDEX(Setup!$D$25:$D$84,B341))</f>
        <v/>
      </c>
      <c r="F341" s="42">
        <f>IF(B341="","",INDEX(Setup!$E$25:$E$84,B341))</f>
        <v/>
      </c>
      <c r="G341" s="39">
        <f>IF(B341="","",INDEX(Setup!$I$25:$I$84,B341)&amp;"")</f>
        <v/>
      </c>
      <c r="H341" s="39">
        <f>IF(B341="","",INDEX(Setup!$J$25:$J$84,B341)&amp;"")</f>
        <v/>
      </c>
      <c r="I341" s="39">
        <f>IF(B341="","",INDEX(Setup!$C$25:$C$84,B341))</f>
        <v/>
      </c>
      <c r="J341" s="39" t="n"/>
      <c r="K341" s="37" t="n"/>
      <c r="L341" s="38" t="n"/>
      <c r="M341" s="33" t="n"/>
      <c r="N341" s="33" t="n"/>
      <c r="O341" s="39" t="n"/>
      <c r="P341" s="40">
        <f>IF(A341="","",IF(K341&lt;&gt;"",K341,D341))</f>
        <v/>
      </c>
      <c r="Q341" s="42">
        <f>IF(A341="",0,IF(C341="✗",0,IF(OR(C341="✓",AND(Setup!$D$7="Yes",P341&lt;=TODAY())),IF(L341&lt;&gt;"",L341,F341),0)))</f>
        <v/>
      </c>
      <c r="R341" s="39">
        <f>IF(A341="","",IF(M341&lt;&gt;"",M341,G341))</f>
        <v/>
      </c>
      <c r="S341" s="39">
        <f>IF(A341="","",IF(N341&lt;&gt;"",N341,H341))</f>
        <v/>
      </c>
      <c r="T341" s="39">
        <f>IF(A341="","",IF(C341="✗","Skipped",IF(Q341&gt;0,"Paid","Upcoming")))</f>
        <v/>
      </c>
      <c r="U341" s="42">
        <f>IF(A341="",0,IF(C341="✗",0,IF(L341&lt;&gt;"",L341,F341)))</f>
        <v/>
      </c>
    </row>
    <row r="342">
      <c r="A342" s="32">
        <f>IFERROR(SMALL(Calc!$B$2:$BB$61,337),"")</f>
        <v/>
      </c>
      <c r="B342" s="32">
        <f>IF(A342="","",ROUND(MOD(A342,1)*1000,0))</f>
        <v/>
      </c>
      <c r="C342" s="33" t="n"/>
      <c r="D342" s="34">
        <f>IF(A342="","",INT(A342))</f>
        <v/>
      </c>
      <c r="E342" s="35">
        <f>IF(B342="","",INDEX(Setup!$D$25:$D$84,B342))</f>
        <v/>
      </c>
      <c r="F342" s="36">
        <f>IF(B342="","",INDEX(Setup!$E$25:$E$84,B342))</f>
        <v/>
      </c>
      <c r="G342" s="32">
        <f>IF(B342="","",INDEX(Setup!$I$25:$I$84,B342)&amp;"")</f>
        <v/>
      </c>
      <c r="H342" s="32">
        <f>IF(B342="","",INDEX(Setup!$J$25:$J$84,B342)&amp;"")</f>
        <v/>
      </c>
      <c r="I342" s="32">
        <f>IF(B342="","",INDEX(Setup!$C$25:$C$84,B342))</f>
        <v/>
      </c>
      <c r="J342" s="32" t="n"/>
      <c r="K342" s="37" t="n"/>
      <c r="L342" s="38" t="n"/>
      <c r="M342" s="33" t="n"/>
      <c r="N342" s="33" t="n"/>
      <c r="O342" s="32" t="n"/>
      <c r="P342" s="34">
        <f>IF(A342="","",IF(K342&lt;&gt;"",K342,D342))</f>
        <v/>
      </c>
      <c r="Q342" s="36">
        <f>IF(A342="",0,IF(C342="✗",0,IF(OR(C342="✓",AND(Setup!$D$7="Yes",P342&lt;=TODAY())),IF(L342&lt;&gt;"",L342,F342),0)))</f>
        <v/>
      </c>
      <c r="R342" s="32">
        <f>IF(A342="","",IF(M342&lt;&gt;"",M342,G342))</f>
        <v/>
      </c>
      <c r="S342" s="32">
        <f>IF(A342="","",IF(N342&lt;&gt;"",N342,H342))</f>
        <v/>
      </c>
      <c r="T342" s="32">
        <f>IF(A342="","",IF(C342="✗","Skipped",IF(Q342&gt;0,"Paid","Upcoming")))</f>
        <v/>
      </c>
      <c r="U342" s="36">
        <f>IF(A342="",0,IF(C342="✗",0,IF(L342&lt;&gt;"",L342,F342)))</f>
        <v/>
      </c>
    </row>
    <row r="343">
      <c r="A343" s="39">
        <f>IFERROR(SMALL(Calc!$B$2:$BB$61,338),"")</f>
        <v/>
      </c>
      <c r="B343" s="39">
        <f>IF(A343="","",ROUND(MOD(A343,1)*1000,0))</f>
        <v/>
      </c>
      <c r="C343" s="33" t="n"/>
      <c r="D343" s="40">
        <f>IF(A343="","",INT(A343))</f>
        <v/>
      </c>
      <c r="E343" s="41">
        <f>IF(B343="","",INDEX(Setup!$D$25:$D$84,B343))</f>
        <v/>
      </c>
      <c r="F343" s="42">
        <f>IF(B343="","",INDEX(Setup!$E$25:$E$84,B343))</f>
        <v/>
      </c>
      <c r="G343" s="39">
        <f>IF(B343="","",INDEX(Setup!$I$25:$I$84,B343)&amp;"")</f>
        <v/>
      </c>
      <c r="H343" s="39">
        <f>IF(B343="","",INDEX(Setup!$J$25:$J$84,B343)&amp;"")</f>
        <v/>
      </c>
      <c r="I343" s="39">
        <f>IF(B343="","",INDEX(Setup!$C$25:$C$84,B343))</f>
        <v/>
      </c>
      <c r="J343" s="39" t="n"/>
      <c r="K343" s="37" t="n"/>
      <c r="L343" s="38" t="n"/>
      <c r="M343" s="33" t="n"/>
      <c r="N343" s="33" t="n"/>
      <c r="O343" s="39" t="n"/>
      <c r="P343" s="40">
        <f>IF(A343="","",IF(K343&lt;&gt;"",K343,D343))</f>
        <v/>
      </c>
      <c r="Q343" s="42">
        <f>IF(A343="",0,IF(C343="✗",0,IF(OR(C343="✓",AND(Setup!$D$7="Yes",P343&lt;=TODAY())),IF(L343&lt;&gt;"",L343,F343),0)))</f>
        <v/>
      </c>
      <c r="R343" s="39">
        <f>IF(A343="","",IF(M343&lt;&gt;"",M343,G343))</f>
        <v/>
      </c>
      <c r="S343" s="39">
        <f>IF(A343="","",IF(N343&lt;&gt;"",N343,H343))</f>
        <v/>
      </c>
      <c r="T343" s="39">
        <f>IF(A343="","",IF(C343="✗","Skipped",IF(Q343&gt;0,"Paid","Upcoming")))</f>
        <v/>
      </c>
      <c r="U343" s="42">
        <f>IF(A343="",0,IF(C343="✗",0,IF(L343&lt;&gt;"",L343,F343)))</f>
        <v/>
      </c>
    </row>
    <row r="344">
      <c r="A344" s="32">
        <f>IFERROR(SMALL(Calc!$B$2:$BB$61,339),"")</f>
        <v/>
      </c>
      <c r="B344" s="32">
        <f>IF(A344="","",ROUND(MOD(A344,1)*1000,0))</f>
        <v/>
      </c>
      <c r="C344" s="33" t="n"/>
      <c r="D344" s="34">
        <f>IF(A344="","",INT(A344))</f>
        <v/>
      </c>
      <c r="E344" s="35">
        <f>IF(B344="","",INDEX(Setup!$D$25:$D$84,B344))</f>
        <v/>
      </c>
      <c r="F344" s="36">
        <f>IF(B344="","",INDEX(Setup!$E$25:$E$84,B344))</f>
        <v/>
      </c>
      <c r="G344" s="32">
        <f>IF(B344="","",INDEX(Setup!$I$25:$I$84,B344)&amp;"")</f>
        <v/>
      </c>
      <c r="H344" s="32">
        <f>IF(B344="","",INDEX(Setup!$J$25:$J$84,B344)&amp;"")</f>
        <v/>
      </c>
      <c r="I344" s="32">
        <f>IF(B344="","",INDEX(Setup!$C$25:$C$84,B344))</f>
        <v/>
      </c>
      <c r="J344" s="32" t="n"/>
      <c r="K344" s="37" t="n"/>
      <c r="L344" s="38" t="n"/>
      <c r="M344" s="33" t="n"/>
      <c r="N344" s="33" t="n"/>
      <c r="O344" s="32" t="n"/>
      <c r="P344" s="34">
        <f>IF(A344="","",IF(K344&lt;&gt;"",K344,D344))</f>
        <v/>
      </c>
      <c r="Q344" s="36">
        <f>IF(A344="",0,IF(C344="✗",0,IF(OR(C344="✓",AND(Setup!$D$7="Yes",P344&lt;=TODAY())),IF(L344&lt;&gt;"",L344,F344),0)))</f>
        <v/>
      </c>
      <c r="R344" s="32">
        <f>IF(A344="","",IF(M344&lt;&gt;"",M344,G344))</f>
        <v/>
      </c>
      <c r="S344" s="32">
        <f>IF(A344="","",IF(N344&lt;&gt;"",N344,H344))</f>
        <v/>
      </c>
      <c r="T344" s="32">
        <f>IF(A344="","",IF(C344="✗","Skipped",IF(Q344&gt;0,"Paid","Upcoming")))</f>
        <v/>
      </c>
      <c r="U344" s="36">
        <f>IF(A344="",0,IF(C344="✗",0,IF(L344&lt;&gt;"",L344,F344)))</f>
        <v/>
      </c>
    </row>
    <row r="345">
      <c r="A345" s="39">
        <f>IFERROR(SMALL(Calc!$B$2:$BB$61,340),"")</f>
        <v/>
      </c>
      <c r="B345" s="39">
        <f>IF(A345="","",ROUND(MOD(A345,1)*1000,0))</f>
        <v/>
      </c>
      <c r="C345" s="33" t="n"/>
      <c r="D345" s="40">
        <f>IF(A345="","",INT(A345))</f>
        <v/>
      </c>
      <c r="E345" s="41">
        <f>IF(B345="","",INDEX(Setup!$D$25:$D$84,B345))</f>
        <v/>
      </c>
      <c r="F345" s="42">
        <f>IF(B345="","",INDEX(Setup!$E$25:$E$84,B345))</f>
        <v/>
      </c>
      <c r="G345" s="39">
        <f>IF(B345="","",INDEX(Setup!$I$25:$I$84,B345)&amp;"")</f>
        <v/>
      </c>
      <c r="H345" s="39">
        <f>IF(B345="","",INDEX(Setup!$J$25:$J$84,B345)&amp;"")</f>
        <v/>
      </c>
      <c r="I345" s="39">
        <f>IF(B345="","",INDEX(Setup!$C$25:$C$84,B345))</f>
        <v/>
      </c>
      <c r="J345" s="39" t="n"/>
      <c r="K345" s="37" t="n"/>
      <c r="L345" s="38" t="n"/>
      <c r="M345" s="33" t="n"/>
      <c r="N345" s="33" t="n"/>
      <c r="O345" s="39" t="n"/>
      <c r="P345" s="40">
        <f>IF(A345="","",IF(K345&lt;&gt;"",K345,D345))</f>
        <v/>
      </c>
      <c r="Q345" s="42">
        <f>IF(A345="",0,IF(C345="✗",0,IF(OR(C345="✓",AND(Setup!$D$7="Yes",P345&lt;=TODAY())),IF(L345&lt;&gt;"",L345,F345),0)))</f>
        <v/>
      </c>
      <c r="R345" s="39">
        <f>IF(A345="","",IF(M345&lt;&gt;"",M345,G345))</f>
        <v/>
      </c>
      <c r="S345" s="39">
        <f>IF(A345="","",IF(N345&lt;&gt;"",N345,H345))</f>
        <v/>
      </c>
      <c r="T345" s="39">
        <f>IF(A345="","",IF(C345="✗","Skipped",IF(Q345&gt;0,"Paid","Upcoming")))</f>
        <v/>
      </c>
      <c r="U345" s="42">
        <f>IF(A345="",0,IF(C345="✗",0,IF(L345&lt;&gt;"",L345,F345)))</f>
        <v/>
      </c>
    </row>
    <row r="346">
      <c r="A346" s="32">
        <f>IFERROR(SMALL(Calc!$B$2:$BB$61,341),"")</f>
        <v/>
      </c>
      <c r="B346" s="32">
        <f>IF(A346="","",ROUND(MOD(A346,1)*1000,0))</f>
        <v/>
      </c>
      <c r="C346" s="33" t="n"/>
      <c r="D346" s="34">
        <f>IF(A346="","",INT(A346))</f>
        <v/>
      </c>
      <c r="E346" s="35">
        <f>IF(B346="","",INDEX(Setup!$D$25:$D$84,B346))</f>
        <v/>
      </c>
      <c r="F346" s="36">
        <f>IF(B346="","",INDEX(Setup!$E$25:$E$84,B346))</f>
        <v/>
      </c>
      <c r="G346" s="32">
        <f>IF(B346="","",INDEX(Setup!$I$25:$I$84,B346)&amp;"")</f>
        <v/>
      </c>
      <c r="H346" s="32">
        <f>IF(B346="","",INDEX(Setup!$J$25:$J$84,B346)&amp;"")</f>
        <v/>
      </c>
      <c r="I346" s="32">
        <f>IF(B346="","",INDEX(Setup!$C$25:$C$84,B346))</f>
        <v/>
      </c>
      <c r="J346" s="32" t="n"/>
      <c r="K346" s="37" t="n"/>
      <c r="L346" s="38" t="n"/>
      <c r="M346" s="33" t="n"/>
      <c r="N346" s="33" t="n"/>
      <c r="O346" s="32" t="n"/>
      <c r="P346" s="34">
        <f>IF(A346="","",IF(K346&lt;&gt;"",K346,D346))</f>
        <v/>
      </c>
      <c r="Q346" s="36">
        <f>IF(A346="",0,IF(C346="✗",0,IF(OR(C346="✓",AND(Setup!$D$7="Yes",P346&lt;=TODAY())),IF(L346&lt;&gt;"",L346,F346),0)))</f>
        <v/>
      </c>
      <c r="R346" s="32">
        <f>IF(A346="","",IF(M346&lt;&gt;"",M346,G346))</f>
        <v/>
      </c>
      <c r="S346" s="32">
        <f>IF(A346="","",IF(N346&lt;&gt;"",N346,H346))</f>
        <v/>
      </c>
      <c r="T346" s="32">
        <f>IF(A346="","",IF(C346="✗","Skipped",IF(Q346&gt;0,"Paid","Upcoming")))</f>
        <v/>
      </c>
      <c r="U346" s="36">
        <f>IF(A346="",0,IF(C346="✗",0,IF(L346&lt;&gt;"",L346,F346)))</f>
        <v/>
      </c>
    </row>
    <row r="347">
      <c r="A347" s="39">
        <f>IFERROR(SMALL(Calc!$B$2:$BB$61,342),"")</f>
        <v/>
      </c>
      <c r="B347" s="39">
        <f>IF(A347="","",ROUND(MOD(A347,1)*1000,0))</f>
        <v/>
      </c>
      <c r="C347" s="33" t="n"/>
      <c r="D347" s="40">
        <f>IF(A347="","",INT(A347))</f>
        <v/>
      </c>
      <c r="E347" s="41">
        <f>IF(B347="","",INDEX(Setup!$D$25:$D$84,B347))</f>
        <v/>
      </c>
      <c r="F347" s="42">
        <f>IF(B347="","",INDEX(Setup!$E$25:$E$84,B347))</f>
        <v/>
      </c>
      <c r="G347" s="39">
        <f>IF(B347="","",INDEX(Setup!$I$25:$I$84,B347)&amp;"")</f>
        <v/>
      </c>
      <c r="H347" s="39">
        <f>IF(B347="","",INDEX(Setup!$J$25:$J$84,B347)&amp;"")</f>
        <v/>
      </c>
      <c r="I347" s="39">
        <f>IF(B347="","",INDEX(Setup!$C$25:$C$84,B347))</f>
        <v/>
      </c>
      <c r="J347" s="39" t="n"/>
      <c r="K347" s="37" t="n"/>
      <c r="L347" s="38" t="n"/>
      <c r="M347" s="33" t="n"/>
      <c r="N347" s="33" t="n"/>
      <c r="O347" s="39" t="n"/>
      <c r="P347" s="40">
        <f>IF(A347="","",IF(K347&lt;&gt;"",K347,D347))</f>
        <v/>
      </c>
      <c r="Q347" s="42">
        <f>IF(A347="",0,IF(C347="✗",0,IF(OR(C347="✓",AND(Setup!$D$7="Yes",P347&lt;=TODAY())),IF(L347&lt;&gt;"",L347,F347),0)))</f>
        <v/>
      </c>
      <c r="R347" s="39">
        <f>IF(A347="","",IF(M347&lt;&gt;"",M347,G347))</f>
        <v/>
      </c>
      <c r="S347" s="39">
        <f>IF(A347="","",IF(N347&lt;&gt;"",N347,H347))</f>
        <v/>
      </c>
      <c r="T347" s="39">
        <f>IF(A347="","",IF(C347="✗","Skipped",IF(Q347&gt;0,"Paid","Upcoming")))</f>
        <v/>
      </c>
      <c r="U347" s="42">
        <f>IF(A347="",0,IF(C347="✗",0,IF(L347&lt;&gt;"",L347,F347)))</f>
        <v/>
      </c>
    </row>
    <row r="348">
      <c r="A348" s="32">
        <f>IFERROR(SMALL(Calc!$B$2:$BB$61,343),"")</f>
        <v/>
      </c>
      <c r="B348" s="32">
        <f>IF(A348="","",ROUND(MOD(A348,1)*1000,0))</f>
        <v/>
      </c>
      <c r="C348" s="33" t="n"/>
      <c r="D348" s="34">
        <f>IF(A348="","",INT(A348))</f>
        <v/>
      </c>
      <c r="E348" s="35">
        <f>IF(B348="","",INDEX(Setup!$D$25:$D$84,B348))</f>
        <v/>
      </c>
      <c r="F348" s="36">
        <f>IF(B348="","",INDEX(Setup!$E$25:$E$84,B348))</f>
        <v/>
      </c>
      <c r="G348" s="32">
        <f>IF(B348="","",INDEX(Setup!$I$25:$I$84,B348)&amp;"")</f>
        <v/>
      </c>
      <c r="H348" s="32">
        <f>IF(B348="","",INDEX(Setup!$J$25:$J$84,B348)&amp;"")</f>
        <v/>
      </c>
      <c r="I348" s="32">
        <f>IF(B348="","",INDEX(Setup!$C$25:$C$84,B348))</f>
        <v/>
      </c>
      <c r="J348" s="32" t="n"/>
      <c r="K348" s="37" t="n"/>
      <c r="L348" s="38" t="n"/>
      <c r="M348" s="33" t="n"/>
      <c r="N348" s="33" t="n"/>
      <c r="O348" s="32" t="n"/>
      <c r="P348" s="34">
        <f>IF(A348="","",IF(K348&lt;&gt;"",K348,D348))</f>
        <v/>
      </c>
      <c r="Q348" s="36">
        <f>IF(A348="",0,IF(C348="✗",0,IF(OR(C348="✓",AND(Setup!$D$7="Yes",P348&lt;=TODAY())),IF(L348&lt;&gt;"",L348,F348),0)))</f>
        <v/>
      </c>
      <c r="R348" s="32">
        <f>IF(A348="","",IF(M348&lt;&gt;"",M348,G348))</f>
        <v/>
      </c>
      <c r="S348" s="32">
        <f>IF(A348="","",IF(N348&lt;&gt;"",N348,H348))</f>
        <v/>
      </c>
      <c r="T348" s="32">
        <f>IF(A348="","",IF(C348="✗","Skipped",IF(Q348&gt;0,"Paid","Upcoming")))</f>
        <v/>
      </c>
      <c r="U348" s="36">
        <f>IF(A348="",0,IF(C348="✗",0,IF(L348&lt;&gt;"",L348,F348)))</f>
        <v/>
      </c>
    </row>
    <row r="349">
      <c r="A349" s="39">
        <f>IFERROR(SMALL(Calc!$B$2:$BB$61,344),"")</f>
        <v/>
      </c>
      <c r="B349" s="39">
        <f>IF(A349="","",ROUND(MOD(A349,1)*1000,0))</f>
        <v/>
      </c>
      <c r="C349" s="33" t="n"/>
      <c r="D349" s="40">
        <f>IF(A349="","",INT(A349))</f>
        <v/>
      </c>
      <c r="E349" s="41">
        <f>IF(B349="","",INDEX(Setup!$D$25:$D$84,B349))</f>
        <v/>
      </c>
      <c r="F349" s="42">
        <f>IF(B349="","",INDEX(Setup!$E$25:$E$84,B349))</f>
        <v/>
      </c>
      <c r="G349" s="39">
        <f>IF(B349="","",INDEX(Setup!$I$25:$I$84,B349)&amp;"")</f>
        <v/>
      </c>
      <c r="H349" s="39">
        <f>IF(B349="","",INDEX(Setup!$J$25:$J$84,B349)&amp;"")</f>
        <v/>
      </c>
      <c r="I349" s="39">
        <f>IF(B349="","",INDEX(Setup!$C$25:$C$84,B349))</f>
        <v/>
      </c>
      <c r="J349" s="39" t="n"/>
      <c r="K349" s="37" t="n"/>
      <c r="L349" s="38" t="n"/>
      <c r="M349" s="33" t="n"/>
      <c r="N349" s="33" t="n"/>
      <c r="O349" s="39" t="n"/>
      <c r="P349" s="40">
        <f>IF(A349="","",IF(K349&lt;&gt;"",K349,D349))</f>
        <v/>
      </c>
      <c r="Q349" s="42">
        <f>IF(A349="",0,IF(C349="✗",0,IF(OR(C349="✓",AND(Setup!$D$7="Yes",P349&lt;=TODAY())),IF(L349&lt;&gt;"",L349,F349),0)))</f>
        <v/>
      </c>
      <c r="R349" s="39">
        <f>IF(A349="","",IF(M349&lt;&gt;"",M349,G349))</f>
        <v/>
      </c>
      <c r="S349" s="39">
        <f>IF(A349="","",IF(N349&lt;&gt;"",N349,H349))</f>
        <v/>
      </c>
      <c r="T349" s="39">
        <f>IF(A349="","",IF(C349="✗","Skipped",IF(Q349&gt;0,"Paid","Upcoming")))</f>
        <v/>
      </c>
      <c r="U349" s="42">
        <f>IF(A349="",0,IF(C349="✗",0,IF(L349&lt;&gt;"",L349,F349)))</f>
        <v/>
      </c>
    </row>
    <row r="350">
      <c r="A350" s="32">
        <f>IFERROR(SMALL(Calc!$B$2:$BB$61,345),"")</f>
        <v/>
      </c>
      <c r="B350" s="32">
        <f>IF(A350="","",ROUND(MOD(A350,1)*1000,0))</f>
        <v/>
      </c>
      <c r="C350" s="33" t="n"/>
      <c r="D350" s="34">
        <f>IF(A350="","",INT(A350))</f>
        <v/>
      </c>
      <c r="E350" s="35">
        <f>IF(B350="","",INDEX(Setup!$D$25:$D$84,B350))</f>
        <v/>
      </c>
      <c r="F350" s="36">
        <f>IF(B350="","",INDEX(Setup!$E$25:$E$84,B350))</f>
        <v/>
      </c>
      <c r="G350" s="32">
        <f>IF(B350="","",INDEX(Setup!$I$25:$I$84,B350)&amp;"")</f>
        <v/>
      </c>
      <c r="H350" s="32">
        <f>IF(B350="","",INDEX(Setup!$J$25:$J$84,B350)&amp;"")</f>
        <v/>
      </c>
      <c r="I350" s="32">
        <f>IF(B350="","",INDEX(Setup!$C$25:$C$84,B350))</f>
        <v/>
      </c>
      <c r="J350" s="32" t="n"/>
      <c r="K350" s="37" t="n"/>
      <c r="L350" s="38" t="n"/>
      <c r="M350" s="33" t="n"/>
      <c r="N350" s="33" t="n"/>
      <c r="O350" s="32" t="n"/>
      <c r="P350" s="34">
        <f>IF(A350="","",IF(K350&lt;&gt;"",K350,D350))</f>
        <v/>
      </c>
      <c r="Q350" s="36">
        <f>IF(A350="",0,IF(C350="✗",0,IF(OR(C350="✓",AND(Setup!$D$7="Yes",P350&lt;=TODAY())),IF(L350&lt;&gt;"",L350,F350),0)))</f>
        <v/>
      </c>
      <c r="R350" s="32">
        <f>IF(A350="","",IF(M350&lt;&gt;"",M350,G350))</f>
        <v/>
      </c>
      <c r="S350" s="32">
        <f>IF(A350="","",IF(N350&lt;&gt;"",N350,H350))</f>
        <v/>
      </c>
      <c r="T350" s="32">
        <f>IF(A350="","",IF(C350="✗","Skipped",IF(Q350&gt;0,"Paid","Upcoming")))</f>
        <v/>
      </c>
      <c r="U350" s="36">
        <f>IF(A350="",0,IF(C350="✗",0,IF(L350&lt;&gt;"",L350,F350)))</f>
        <v/>
      </c>
    </row>
    <row r="351">
      <c r="A351" s="39">
        <f>IFERROR(SMALL(Calc!$B$2:$BB$61,346),"")</f>
        <v/>
      </c>
      <c r="B351" s="39">
        <f>IF(A351="","",ROUND(MOD(A351,1)*1000,0))</f>
        <v/>
      </c>
      <c r="C351" s="33" t="n"/>
      <c r="D351" s="40">
        <f>IF(A351="","",INT(A351))</f>
        <v/>
      </c>
      <c r="E351" s="41">
        <f>IF(B351="","",INDEX(Setup!$D$25:$D$84,B351))</f>
        <v/>
      </c>
      <c r="F351" s="42">
        <f>IF(B351="","",INDEX(Setup!$E$25:$E$84,B351))</f>
        <v/>
      </c>
      <c r="G351" s="39">
        <f>IF(B351="","",INDEX(Setup!$I$25:$I$84,B351)&amp;"")</f>
        <v/>
      </c>
      <c r="H351" s="39">
        <f>IF(B351="","",INDEX(Setup!$J$25:$J$84,B351)&amp;"")</f>
        <v/>
      </c>
      <c r="I351" s="39">
        <f>IF(B351="","",INDEX(Setup!$C$25:$C$84,B351))</f>
        <v/>
      </c>
      <c r="J351" s="39" t="n"/>
      <c r="K351" s="37" t="n"/>
      <c r="L351" s="38" t="n"/>
      <c r="M351" s="33" t="n"/>
      <c r="N351" s="33" t="n"/>
      <c r="O351" s="39" t="n"/>
      <c r="P351" s="40">
        <f>IF(A351="","",IF(K351&lt;&gt;"",K351,D351))</f>
        <v/>
      </c>
      <c r="Q351" s="42">
        <f>IF(A351="",0,IF(C351="✗",0,IF(OR(C351="✓",AND(Setup!$D$7="Yes",P351&lt;=TODAY())),IF(L351&lt;&gt;"",L351,F351),0)))</f>
        <v/>
      </c>
      <c r="R351" s="39">
        <f>IF(A351="","",IF(M351&lt;&gt;"",M351,G351))</f>
        <v/>
      </c>
      <c r="S351" s="39">
        <f>IF(A351="","",IF(N351&lt;&gt;"",N351,H351))</f>
        <v/>
      </c>
      <c r="T351" s="39">
        <f>IF(A351="","",IF(C351="✗","Skipped",IF(Q351&gt;0,"Paid","Upcoming")))</f>
        <v/>
      </c>
      <c r="U351" s="42">
        <f>IF(A351="",0,IF(C351="✗",0,IF(L351&lt;&gt;"",L351,F351)))</f>
        <v/>
      </c>
    </row>
    <row r="352">
      <c r="A352" s="32">
        <f>IFERROR(SMALL(Calc!$B$2:$BB$61,347),"")</f>
        <v/>
      </c>
      <c r="B352" s="32">
        <f>IF(A352="","",ROUND(MOD(A352,1)*1000,0))</f>
        <v/>
      </c>
      <c r="C352" s="33" t="n"/>
      <c r="D352" s="34">
        <f>IF(A352="","",INT(A352))</f>
        <v/>
      </c>
      <c r="E352" s="35">
        <f>IF(B352="","",INDEX(Setup!$D$25:$D$84,B352))</f>
        <v/>
      </c>
      <c r="F352" s="36">
        <f>IF(B352="","",INDEX(Setup!$E$25:$E$84,B352))</f>
        <v/>
      </c>
      <c r="G352" s="32">
        <f>IF(B352="","",INDEX(Setup!$I$25:$I$84,B352)&amp;"")</f>
        <v/>
      </c>
      <c r="H352" s="32">
        <f>IF(B352="","",INDEX(Setup!$J$25:$J$84,B352)&amp;"")</f>
        <v/>
      </c>
      <c r="I352" s="32">
        <f>IF(B352="","",INDEX(Setup!$C$25:$C$84,B352))</f>
        <v/>
      </c>
      <c r="J352" s="32" t="n"/>
      <c r="K352" s="37" t="n"/>
      <c r="L352" s="38" t="n"/>
      <c r="M352" s="33" t="n"/>
      <c r="N352" s="33" t="n"/>
      <c r="O352" s="32" t="n"/>
      <c r="P352" s="34">
        <f>IF(A352="","",IF(K352&lt;&gt;"",K352,D352))</f>
        <v/>
      </c>
      <c r="Q352" s="36">
        <f>IF(A352="",0,IF(C352="✗",0,IF(OR(C352="✓",AND(Setup!$D$7="Yes",P352&lt;=TODAY())),IF(L352&lt;&gt;"",L352,F352),0)))</f>
        <v/>
      </c>
      <c r="R352" s="32">
        <f>IF(A352="","",IF(M352&lt;&gt;"",M352,G352))</f>
        <v/>
      </c>
      <c r="S352" s="32">
        <f>IF(A352="","",IF(N352&lt;&gt;"",N352,H352))</f>
        <v/>
      </c>
      <c r="T352" s="32">
        <f>IF(A352="","",IF(C352="✗","Skipped",IF(Q352&gt;0,"Paid","Upcoming")))</f>
        <v/>
      </c>
      <c r="U352" s="36">
        <f>IF(A352="",0,IF(C352="✗",0,IF(L352&lt;&gt;"",L352,F352)))</f>
        <v/>
      </c>
    </row>
    <row r="353">
      <c r="A353" s="39">
        <f>IFERROR(SMALL(Calc!$B$2:$BB$61,348),"")</f>
        <v/>
      </c>
      <c r="B353" s="39">
        <f>IF(A353="","",ROUND(MOD(A353,1)*1000,0))</f>
        <v/>
      </c>
      <c r="C353" s="33" t="n"/>
      <c r="D353" s="40">
        <f>IF(A353="","",INT(A353))</f>
        <v/>
      </c>
      <c r="E353" s="41">
        <f>IF(B353="","",INDEX(Setup!$D$25:$D$84,B353))</f>
        <v/>
      </c>
      <c r="F353" s="42">
        <f>IF(B353="","",INDEX(Setup!$E$25:$E$84,B353))</f>
        <v/>
      </c>
      <c r="G353" s="39">
        <f>IF(B353="","",INDEX(Setup!$I$25:$I$84,B353)&amp;"")</f>
        <v/>
      </c>
      <c r="H353" s="39">
        <f>IF(B353="","",INDEX(Setup!$J$25:$J$84,B353)&amp;"")</f>
        <v/>
      </c>
      <c r="I353" s="39">
        <f>IF(B353="","",INDEX(Setup!$C$25:$C$84,B353))</f>
        <v/>
      </c>
      <c r="J353" s="39" t="n"/>
      <c r="K353" s="37" t="n"/>
      <c r="L353" s="38" t="n"/>
      <c r="M353" s="33" t="n"/>
      <c r="N353" s="33" t="n"/>
      <c r="O353" s="39" t="n"/>
      <c r="P353" s="40">
        <f>IF(A353="","",IF(K353&lt;&gt;"",K353,D353))</f>
        <v/>
      </c>
      <c r="Q353" s="42">
        <f>IF(A353="",0,IF(C353="✗",0,IF(OR(C353="✓",AND(Setup!$D$7="Yes",P353&lt;=TODAY())),IF(L353&lt;&gt;"",L353,F353),0)))</f>
        <v/>
      </c>
      <c r="R353" s="39">
        <f>IF(A353="","",IF(M353&lt;&gt;"",M353,G353))</f>
        <v/>
      </c>
      <c r="S353" s="39">
        <f>IF(A353="","",IF(N353&lt;&gt;"",N353,H353))</f>
        <v/>
      </c>
      <c r="T353" s="39">
        <f>IF(A353="","",IF(C353="✗","Skipped",IF(Q353&gt;0,"Paid","Upcoming")))</f>
        <v/>
      </c>
      <c r="U353" s="42">
        <f>IF(A353="",0,IF(C353="✗",0,IF(L353&lt;&gt;"",L353,F353)))</f>
        <v/>
      </c>
    </row>
    <row r="354">
      <c r="A354" s="32">
        <f>IFERROR(SMALL(Calc!$B$2:$BB$61,349),"")</f>
        <v/>
      </c>
      <c r="B354" s="32">
        <f>IF(A354="","",ROUND(MOD(A354,1)*1000,0))</f>
        <v/>
      </c>
      <c r="C354" s="33" t="n"/>
      <c r="D354" s="34">
        <f>IF(A354="","",INT(A354))</f>
        <v/>
      </c>
      <c r="E354" s="35">
        <f>IF(B354="","",INDEX(Setup!$D$25:$D$84,B354))</f>
        <v/>
      </c>
      <c r="F354" s="36">
        <f>IF(B354="","",INDEX(Setup!$E$25:$E$84,B354))</f>
        <v/>
      </c>
      <c r="G354" s="32">
        <f>IF(B354="","",INDEX(Setup!$I$25:$I$84,B354)&amp;"")</f>
        <v/>
      </c>
      <c r="H354" s="32">
        <f>IF(B354="","",INDEX(Setup!$J$25:$J$84,B354)&amp;"")</f>
        <v/>
      </c>
      <c r="I354" s="32">
        <f>IF(B354="","",INDEX(Setup!$C$25:$C$84,B354))</f>
        <v/>
      </c>
      <c r="J354" s="32" t="n"/>
      <c r="K354" s="37" t="n"/>
      <c r="L354" s="38" t="n"/>
      <c r="M354" s="33" t="n"/>
      <c r="N354" s="33" t="n"/>
      <c r="O354" s="32" t="n"/>
      <c r="P354" s="34">
        <f>IF(A354="","",IF(K354&lt;&gt;"",K354,D354))</f>
        <v/>
      </c>
      <c r="Q354" s="36">
        <f>IF(A354="",0,IF(C354="✗",0,IF(OR(C354="✓",AND(Setup!$D$7="Yes",P354&lt;=TODAY())),IF(L354&lt;&gt;"",L354,F354),0)))</f>
        <v/>
      </c>
      <c r="R354" s="32">
        <f>IF(A354="","",IF(M354&lt;&gt;"",M354,G354))</f>
        <v/>
      </c>
      <c r="S354" s="32">
        <f>IF(A354="","",IF(N354&lt;&gt;"",N354,H354))</f>
        <v/>
      </c>
      <c r="T354" s="32">
        <f>IF(A354="","",IF(C354="✗","Skipped",IF(Q354&gt;0,"Paid","Upcoming")))</f>
        <v/>
      </c>
      <c r="U354" s="36">
        <f>IF(A354="",0,IF(C354="✗",0,IF(L354&lt;&gt;"",L354,F354)))</f>
        <v/>
      </c>
    </row>
    <row r="355">
      <c r="A355" s="39">
        <f>IFERROR(SMALL(Calc!$B$2:$BB$61,350),"")</f>
        <v/>
      </c>
      <c r="B355" s="39">
        <f>IF(A355="","",ROUND(MOD(A355,1)*1000,0))</f>
        <v/>
      </c>
      <c r="C355" s="33" t="n"/>
      <c r="D355" s="40">
        <f>IF(A355="","",INT(A355))</f>
        <v/>
      </c>
      <c r="E355" s="41">
        <f>IF(B355="","",INDEX(Setup!$D$25:$D$84,B355))</f>
        <v/>
      </c>
      <c r="F355" s="42">
        <f>IF(B355="","",INDEX(Setup!$E$25:$E$84,B355))</f>
        <v/>
      </c>
      <c r="G355" s="39">
        <f>IF(B355="","",INDEX(Setup!$I$25:$I$84,B355)&amp;"")</f>
        <v/>
      </c>
      <c r="H355" s="39">
        <f>IF(B355="","",INDEX(Setup!$J$25:$J$84,B355)&amp;"")</f>
        <v/>
      </c>
      <c r="I355" s="39">
        <f>IF(B355="","",INDEX(Setup!$C$25:$C$84,B355))</f>
        <v/>
      </c>
      <c r="J355" s="39" t="n"/>
      <c r="K355" s="37" t="n"/>
      <c r="L355" s="38" t="n"/>
      <c r="M355" s="33" t="n"/>
      <c r="N355" s="33" t="n"/>
      <c r="O355" s="39" t="n"/>
      <c r="P355" s="40">
        <f>IF(A355="","",IF(K355&lt;&gt;"",K355,D355))</f>
        <v/>
      </c>
      <c r="Q355" s="42">
        <f>IF(A355="",0,IF(C355="✗",0,IF(OR(C355="✓",AND(Setup!$D$7="Yes",P355&lt;=TODAY())),IF(L355&lt;&gt;"",L355,F355),0)))</f>
        <v/>
      </c>
      <c r="R355" s="39">
        <f>IF(A355="","",IF(M355&lt;&gt;"",M355,G355))</f>
        <v/>
      </c>
      <c r="S355" s="39">
        <f>IF(A355="","",IF(N355&lt;&gt;"",N355,H355))</f>
        <v/>
      </c>
      <c r="T355" s="39">
        <f>IF(A355="","",IF(C355="✗","Skipped",IF(Q355&gt;0,"Paid","Upcoming")))</f>
        <v/>
      </c>
      <c r="U355" s="42">
        <f>IF(A355="",0,IF(C355="✗",0,IF(L355&lt;&gt;"",L355,F355)))</f>
        <v/>
      </c>
    </row>
    <row r="356">
      <c r="A356" s="32">
        <f>IFERROR(SMALL(Calc!$B$2:$BB$61,351),"")</f>
        <v/>
      </c>
      <c r="B356" s="32">
        <f>IF(A356="","",ROUND(MOD(A356,1)*1000,0))</f>
        <v/>
      </c>
      <c r="C356" s="33" t="n"/>
      <c r="D356" s="34">
        <f>IF(A356="","",INT(A356))</f>
        <v/>
      </c>
      <c r="E356" s="35">
        <f>IF(B356="","",INDEX(Setup!$D$25:$D$84,B356))</f>
        <v/>
      </c>
      <c r="F356" s="36">
        <f>IF(B356="","",INDEX(Setup!$E$25:$E$84,B356))</f>
        <v/>
      </c>
      <c r="G356" s="32">
        <f>IF(B356="","",INDEX(Setup!$I$25:$I$84,B356)&amp;"")</f>
        <v/>
      </c>
      <c r="H356" s="32">
        <f>IF(B356="","",INDEX(Setup!$J$25:$J$84,B356)&amp;"")</f>
        <v/>
      </c>
      <c r="I356" s="32">
        <f>IF(B356="","",INDEX(Setup!$C$25:$C$84,B356))</f>
        <v/>
      </c>
      <c r="J356" s="32" t="n"/>
      <c r="K356" s="37" t="n"/>
      <c r="L356" s="38" t="n"/>
      <c r="M356" s="33" t="n"/>
      <c r="N356" s="33" t="n"/>
      <c r="O356" s="32" t="n"/>
      <c r="P356" s="34">
        <f>IF(A356="","",IF(K356&lt;&gt;"",K356,D356))</f>
        <v/>
      </c>
      <c r="Q356" s="36">
        <f>IF(A356="",0,IF(C356="✗",0,IF(OR(C356="✓",AND(Setup!$D$7="Yes",P356&lt;=TODAY())),IF(L356&lt;&gt;"",L356,F356),0)))</f>
        <v/>
      </c>
      <c r="R356" s="32">
        <f>IF(A356="","",IF(M356&lt;&gt;"",M356,G356))</f>
        <v/>
      </c>
      <c r="S356" s="32">
        <f>IF(A356="","",IF(N356&lt;&gt;"",N356,H356))</f>
        <v/>
      </c>
      <c r="T356" s="32">
        <f>IF(A356="","",IF(C356="✗","Skipped",IF(Q356&gt;0,"Paid","Upcoming")))</f>
        <v/>
      </c>
      <c r="U356" s="36">
        <f>IF(A356="",0,IF(C356="✗",0,IF(L356&lt;&gt;"",L356,F356)))</f>
        <v/>
      </c>
    </row>
    <row r="357">
      <c r="A357" s="39">
        <f>IFERROR(SMALL(Calc!$B$2:$BB$61,352),"")</f>
        <v/>
      </c>
      <c r="B357" s="39">
        <f>IF(A357="","",ROUND(MOD(A357,1)*1000,0))</f>
        <v/>
      </c>
      <c r="C357" s="33" t="n"/>
      <c r="D357" s="40">
        <f>IF(A357="","",INT(A357))</f>
        <v/>
      </c>
      <c r="E357" s="41">
        <f>IF(B357="","",INDEX(Setup!$D$25:$D$84,B357))</f>
        <v/>
      </c>
      <c r="F357" s="42">
        <f>IF(B357="","",INDEX(Setup!$E$25:$E$84,B357))</f>
        <v/>
      </c>
      <c r="G357" s="39">
        <f>IF(B357="","",INDEX(Setup!$I$25:$I$84,B357)&amp;"")</f>
        <v/>
      </c>
      <c r="H357" s="39">
        <f>IF(B357="","",INDEX(Setup!$J$25:$J$84,B357)&amp;"")</f>
        <v/>
      </c>
      <c r="I357" s="39">
        <f>IF(B357="","",INDEX(Setup!$C$25:$C$84,B357))</f>
        <v/>
      </c>
      <c r="J357" s="39" t="n"/>
      <c r="K357" s="37" t="n"/>
      <c r="L357" s="38" t="n"/>
      <c r="M357" s="33" t="n"/>
      <c r="N357" s="33" t="n"/>
      <c r="O357" s="39" t="n"/>
      <c r="P357" s="40">
        <f>IF(A357="","",IF(K357&lt;&gt;"",K357,D357))</f>
        <v/>
      </c>
      <c r="Q357" s="42">
        <f>IF(A357="",0,IF(C357="✗",0,IF(OR(C357="✓",AND(Setup!$D$7="Yes",P357&lt;=TODAY())),IF(L357&lt;&gt;"",L357,F357),0)))</f>
        <v/>
      </c>
      <c r="R357" s="39">
        <f>IF(A357="","",IF(M357&lt;&gt;"",M357,G357))</f>
        <v/>
      </c>
      <c r="S357" s="39">
        <f>IF(A357="","",IF(N357&lt;&gt;"",N357,H357))</f>
        <v/>
      </c>
      <c r="T357" s="39">
        <f>IF(A357="","",IF(C357="✗","Skipped",IF(Q357&gt;0,"Paid","Upcoming")))</f>
        <v/>
      </c>
      <c r="U357" s="42">
        <f>IF(A357="",0,IF(C357="✗",0,IF(L357&lt;&gt;"",L357,F357)))</f>
        <v/>
      </c>
    </row>
    <row r="358">
      <c r="A358" s="32">
        <f>IFERROR(SMALL(Calc!$B$2:$BB$61,353),"")</f>
        <v/>
      </c>
      <c r="B358" s="32">
        <f>IF(A358="","",ROUND(MOD(A358,1)*1000,0))</f>
        <v/>
      </c>
      <c r="C358" s="33" t="n"/>
      <c r="D358" s="34">
        <f>IF(A358="","",INT(A358))</f>
        <v/>
      </c>
      <c r="E358" s="35">
        <f>IF(B358="","",INDEX(Setup!$D$25:$D$84,B358))</f>
        <v/>
      </c>
      <c r="F358" s="36">
        <f>IF(B358="","",INDEX(Setup!$E$25:$E$84,B358))</f>
        <v/>
      </c>
      <c r="G358" s="32">
        <f>IF(B358="","",INDEX(Setup!$I$25:$I$84,B358)&amp;"")</f>
        <v/>
      </c>
      <c r="H358" s="32">
        <f>IF(B358="","",INDEX(Setup!$J$25:$J$84,B358)&amp;"")</f>
        <v/>
      </c>
      <c r="I358" s="32">
        <f>IF(B358="","",INDEX(Setup!$C$25:$C$84,B358))</f>
        <v/>
      </c>
      <c r="J358" s="32" t="n"/>
      <c r="K358" s="37" t="n"/>
      <c r="L358" s="38" t="n"/>
      <c r="M358" s="33" t="n"/>
      <c r="N358" s="33" t="n"/>
      <c r="O358" s="32" t="n"/>
      <c r="P358" s="34">
        <f>IF(A358="","",IF(K358&lt;&gt;"",K358,D358))</f>
        <v/>
      </c>
      <c r="Q358" s="36">
        <f>IF(A358="",0,IF(C358="✗",0,IF(OR(C358="✓",AND(Setup!$D$7="Yes",P358&lt;=TODAY())),IF(L358&lt;&gt;"",L358,F358),0)))</f>
        <v/>
      </c>
      <c r="R358" s="32">
        <f>IF(A358="","",IF(M358&lt;&gt;"",M358,G358))</f>
        <v/>
      </c>
      <c r="S358" s="32">
        <f>IF(A358="","",IF(N358&lt;&gt;"",N358,H358))</f>
        <v/>
      </c>
      <c r="T358" s="32">
        <f>IF(A358="","",IF(C358="✗","Skipped",IF(Q358&gt;0,"Paid","Upcoming")))</f>
        <v/>
      </c>
      <c r="U358" s="36">
        <f>IF(A358="",0,IF(C358="✗",0,IF(L358&lt;&gt;"",L358,F358)))</f>
        <v/>
      </c>
    </row>
    <row r="359">
      <c r="A359" s="39">
        <f>IFERROR(SMALL(Calc!$B$2:$BB$61,354),"")</f>
        <v/>
      </c>
      <c r="B359" s="39">
        <f>IF(A359="","",ROUND(MOD(A359,1)*1000,0))</f>
        <v/>
      </c>
      <c r="C359" s="33" t="n"/>
      <c r="D359" s="40">
        <f>IF(A359="","",INT(A359))</f>
        <v/>
      </c>
      <c r="E359" s="41">
        <f>IF(B359="","",INDEX(Setup!$D$25:$D$84,B359))</f>
        <v/>
      </c>
      <c r="F359" s="42">
        <f>IF(B359="","",INDEX(Setup!$E$25:$E$84,B359))</f>
        <v/>
      </c>
      <c r="G359" s="39">
        <f>IF(B359="","",INDEX(Setup!$I$25:$I$84,B359)&amp;"")</f>
        <v/>
      </c>
      <c r="H359" s="39">
        <f>IF(B359="","",INDEX(Setup!$J$25:$J$84,B359)&amp;"")</f>
        <v/>
      </c>
      <c r="I359" s="39">
        <f>IF(B359="","",INDEX(Setup!$C$25:$C$84,B359))</f>
        <v/>
      </c>
      <c r="J359" s="39" t="n"/>
      <c r="K359" s="37" t="n"/>
      <c r="L359" s="38" t="n"/>
      <c r="M359" s="33" t="n"/>
      <c r="N359" s="33" t="n"/>
      <c r="O359" s="39" t="n"/>
      <c r="P359" s="40">
        <f>IF(A359="","",IF(K359&lt;&gt;"",K359,D359))</f>
        <v/>
      </c>
      <c r="Q359" s="42">
        <f>IF(A359="",0,IF(C359="✗",0,IF(OR(C359="✓",AND(Setup!$D$7="Yes",P359&lt;=TODAY())),IF(L359&lt;&gt;"",L359,F359),0)))</f>
        <v/>
      </c>
      <c r="R359" s="39">
        <f>IF(A359="","",IF(M359&lt;&gt;"",M359,G359))</f>
        <v/>
      </c>
      <c r="S359" s="39">
        <f>IF(A359="","",IF(N359&lt;&gt;"",N359,H359))</f>
        <v/>
      </c>
      <c r="T359" s="39">
        <f>IF(A359="","",IF(C359="✗","Skipped",IF(Q359&gt;0,"Paid","Upcoming")))</f>
        <v/>
      </c>
      <c r="U359" s="42">
        <f>IF(A359="",0,IF(C359="✗",0,IF(L359&lt;&gt;"",L359,F359)))</f>
        <v/>
      </c>
    </row>
    <row r="360">
      <c r="A360" s="32">
        <f>IFERROR(SMALL(Calc!$B$2:$BB$61,355),"")</f>
        <v/>
      </c>
      <c r="B360" s="32">
        <f>IF(A360="","",ROUND(MOD(A360,1)*1000,0))</f>
        <v/>
      </c>
      <c r="C360" s="33" t="n"/>
      <c r="D360" s="34">
        <f>IF(A360="","",INT(A360))</f>
        <v/>
      </c>
      <c r="E360" s="35">
        <f>IF(B360="","",INDEX(Setup!$D$25:$D$84,B360))</f>
        <v/>
      </c>
      <c r="F360" s="36">
        <f>IF(B360="","",INDEX(Setup!$E$25:$E$84,B360))</f>
        <v/>
      </c>
      <c r="G360" s="32">
        <f>IF(B360="","",INDEX(Setup!$I$25:$I$84,B360)&amp;"")</f>
        <v/>
      </c>
      <c r="H360" s="32">
        <f>IF(B360="","",INDEX(Setup!$J$25:$J$84,B360)&amp;"")</f>
        <v/>
      </c>
      <c r="I360" s="32">
        <f>IF(B360="","",INDEX(Setup!$C$25:$C$84,B360))</f>
        <v/>
      </c>
      <c r="J360" s="32" t="n"/>
      <c r="K360" s="37" t="n"/>
      <c r="L360" s="38" t="n"/>
      <c r="M360" s="33" t="n"/>
      <c r="N360" s="33" t="n"/>
      <c r="O360" s="32" t="n"/>
      <c r="P360" s="34">
        <f>IF(A360="","",IF(K360&lt;&gt;"",K360,D360))</f>
        <v/>
      </c>
      <c r="Q360" s="36">
        <f>IF(A360="",0,IF(C360="✗",0,IF(OR(C360="✓",AND(Setup!$D$7="Yes",P360&lt;=TODAY())),IF(L360&lt;&gt;"",L360,F360),0)))</f>
        <v/>
      </c>
      <c r="R360" s="32">
        <f>IF(A360="","",IF(M360&lt;&gt;"",M360,G360))</f>
        <v/>
      </c>
      <c r="S360" s="32">
        <f>IF(A360="","",IF(N360&lt;&gt;"",N360,H360))</f>
        <v/>
      </c>
      <c r="T360" s="32">
        <f>IF(A360="","",IF(C360="✗","Skipped",IF(Q360&gt;0,"Paid","Upcoming")))</f>
        <v/>
      </c>
      <c r="U360" s="36">
        <f>IF(A360="",0,IF(C360="✗",0,IF(L360&lt;&gt;"",L360,F360)))</f>
        <v/>
      </c>
    </row>
    <row r="361">
      <c r="A361" s="39">
        <f>IFERROR(SMALL(Calc!$B$2:$BB$61,356),"")</f>
        <v/>
      </c>
      <c r="B361" s="39">
        <f>IF(A361="","",ROUND(MOD(A361,1)*1000,0))</f>
        <v/>
      </c>
      <c r="C361" s="33" t="n"/>
      <c r="D361" s="40">
        <f>IF(A361="","",INT(A361))</f>
        <v/>
      </c>
      <c r="E361" s="41">
        <f>IF(B361="","",INDEX(Setup!$D$25:$D$84,B361))</f>
        <v/>
      </c>
      <c r="F361" s="42">
        <f>IF(B361="","",INDEX(Setup!$E$25:$E$84,B361))</f>
        <v/>
      </c>
      <c r="G361" s="39">
        <f>IF(B361="","",INDEX(Setup!$I$25:$I$84,B361)&amp;"")</f>
        <v/>
      </c>
      <c r="H361" s="39">
        <f>IF(B361="","",INDEX(Setup!$J$25:$J$84,B361)&amp;"")</f>
        <v/>
      </c>
      <c r="I361" s="39">
        <f>IF(B361="","",INDEX(Setup!$C$25:$C$84,B361))</f>
        <v/>
      </c>
      <c r="J361" s="39" t="n"/>
      <c r="K361" s="37" t="n"/>
      <c r="L361" s="38" t="n"/>
      <c r="M361" s="33" t="n"/>
      <c r="N361" s="33" t="n"/>
      <c r="O361" s="39" t="n"/>
      <c r="P361" s="40">
        <f>IF(A361="","",IF(K361&lt;&gt;"",K361,D361))</f>
        <v/>
      </c>
      <c r="Q361" s="42">
        <f>IF(A361="",0,IF(C361="✗",0,IF(OR(C361="✓",AND(Setup!$D$7="Yes",P361&lt;=TODAY())),IF(L361&lt;&gt;"",L361,F361),0)))</f>
        <v/>
      </c>
      <c r="R361" s="39">
        <f>IF(A361="","",IF(M361&lt;&gt;"",M361,G361))</f>
        <v/>
      </c>
      <c r="S361" s="39">
        <f>IF(A361="","",IF(N361&lt;&gt;"",N361,H361))</f>
        <v/>
      </c>
      <c r="T361" s="39">
        <f>IF(A361="","",IF(C361="✗","Skipped",IF(Q361&gt;0,"Paid","Upcoming")))</f>
        <v/>
      </c>
      <c r="U361" s="42">
        <f>IF(A361="",0,IF(C361="✗",0,IF(L361&lt;&gt;"",L361,F361)))</f>
        <v/>
      </c>
    </row>
    <row r="362">
      <c r="A362" s="32">
        <f>IFERROR(SMALL(Calc!$B$2:$BB$61,357),"")</f>
        <v/>
      </c>
      <c r="B362" s="32">
        <f>IF(A362="","",ROUND(MOD(A362,1)*1000,0))</f>
        <v/>
      </c>
      <c r="C362" s="33" t="n"/>
      <c r="D362" s="34">
        <f>IF(A362="","",INT(A362))</f>
        <v/>
      </c>
      <c r="E362" s="35">
        <f>IF(B362="","",INDEX(Setup!$D$25:$D$84,B362))</f>
        <v/>
      </c>
      <c r="F362" s="36">
        <f>IF(B362="","",INDEX(Setup!$E$25:$E$84,B362))</f>
        <v/>
      </c>
      <c r="G362" s="32">
        <f>IF(B362="","",INDEX(Setup!$I$25:$I$84,B362)&amp;"")</f>
        <v/>
      </c>
      <c r="H362" s="32">
        <f>IF(B362="","",INDEX(Setup!$J$25:$J$84,B362)&amp;"")</f>
        <v/>
      </c>
      <c r="I362" s="32">
        <f>IF(B362="","",INDEX(Setup!$C$25:$C$84,B362))</f>
        <v/>
      </c>
      <c r="J362" s="32" t="n"/>
      <c r="K362" s="37" t="n"/>
      <c r="L362" s="38" t="n"/>
      <c r="M362" s="33" t="n"/>
      <c r="N362" s="33" t="n"/>
      <c r="O362" s="32" t="n"/>
      <c r="P362" s="34">
        <f>IF(A362="","",IF(K362&lt;&gt;"",K362,D362))</f>
        <v/>
      </c>
      <c r="Q362" s="36">
        <f>IF(A362="",0,IF(C362="✗",0,IF(OR(C362="✓",AND(Setup!$D$7="Yes",P362&lt;=TODAY())),IF(L362&lt;&gt;"",L362,F362),0)))</f>
        <v/>
      </c>
      <c r="R362" s="32">
        <f>IF(A362="","",IF(M362&lt;&gt;"",M362,G362))</f>
        <v/>
      </c>
      <c r="S362" s="32">
        <f>IF(A362="","",IF(N362&lt;&gt;"",N362,H362))</f>
        <v/>
      </c>
      <c r="T362" s="32">
        <f>IF(A362="","",IF(C362="✗","Skipped",IF(Q362&gt;0,"Paid","Upcoming")))</f>
        <v/>
      </c>
      <c r="U362" s="36">
        <f>IF(A362="",0,IF(C362="✗",0,IF(L362&lt;&gt;"",L362,F362)))</f>
        <v/>
      </c>
    </row>
    <row r="363">
      <c r="A363" s="39">
        <f>IFERROR(SMALL(Calc!$B$2:$BB$61,358),"")</f>
        <v/>
      </c>
      <c r="B363" s="39">
        <f>IF(A363="","",ROUND(MOD(A363,1)*1000,0))</f>
        <v/>
      </c>
      <c r="C363" s="33" t="n"/>
      <c r="D363" s="40">
        <f>IF(A363="","",INT(A363))</f>
        <v/>
      </c>
      <c r="E363" s="41">
        <f>IF(B363="","",INDEX(Setup!$D$25:$D$84,B363))</f>
        <v/>
      </c>
      <c r="F363" s="42">
        <f>IF(B363="","",INDEX(Setup!$E$25:$E$84,B363))</f>
        <v/>
      </c>
      <c r="G363" s="39">
        <f>IF(B363="","",INDEX(Setup!$I$25:$I$84,B363)&amp;"")</f>
        <v/>
      </c>
      <c r="H363" s="39">
        <f>IF(B363="","",INDEX(Setup!$J$25:$J$84,B363)&amp;"")</f>
        <v/>
      </c>
      <c r="I363" s="39">
        <f>IF(B363="","",INDEX(Setup!$C$25:$C$84,B363))</f>
        <v/>
      </c>
      <c r="J363" s="39" t="n"/>
      <c r="K363" s="37" t="n"/>
      <c r="L363" s="38" t="n"/>
      <c r="M363" s="33" t="n"/>
      <c r="N363" s="33" t="n"/>
      <c r="O363" s="39" t="n"/>
      <c r="P363" s="40">
        <f>IF(A363="","",IF(K363&lt;&gt;"",K363,D363))</f>
        <v/>
      </c>
      <c r="Q363" s="42">
        <f>IF(A363="",0,IF(C363="✗",0,IF(OR(C363="✓",AND(Setup!$D$7="Yes",P363&lt;=TODAY())),IF(L363&lt;&gt;"",L363,F363),0)))</f>
        <v/>
      </c>
      <c r="R363" s="39">
        <f>IF(A363="","",IF(M363&lt;&gt;"",M363,G363))</f>
        <v/>
      </c>
      <c r="S363" s="39">
        <f>IF(A363="","",IF(N363&lt;&gt;"",N363,H363))</f>
        <v/>
      </c>
      <c r="T363" s="39">
        <f>IF(A363="","",IF(C363="✗","Skipped",IF(Q363&gt;0,"Paid","Upcoming")))</f>
        <v/>
      </c>
      <c r="U363" s="42">
        <f>IF(A363="",0,IF(C363="✗",0,IF(L363&lt;&gt;"",L363,F363)))</f>
        <v/>
      </c>
    </row>
    <row r="364">
      <c r="A364" s="32">
        <f>IFERROR(SMALL(Calc!$B$2:$BB$61,359),"")</f>
        <v/>
      </c>
      <c r="B364" s="32">
        <f>IF(A364="","",ROUND(MOD(A364,1)*1000,0))</f>
        <v/>
      </c>
      <c r="C364" s="33" t="n"/>
      <c r="D364" s="34">
        <f>IF(A364="","",INT(A364))</f>
        <v/>
      </c>
      <c r="E364" s="35">
        <f>IF(B364="","",INDEX(Setup!$D$25:$D$84,B364))</f>
        <v/>
      </c>
      <c r="F364" s="36">
        <f>IF(B364="","",INDEX(Setup!$E$25:$E$84,B364))</f>
        <v/>
      </c>
      <c r="G364" s="32">
        <f>IF(B364="","",INDEX(Setup!$I$25:$I$84,B364)&amp;"")</f>
        <v/>
      </c>
      <c r="H364" s="32">
        <f>IF(B364="","",INDEX(Setup!$J$25:$J$84,B364)&amp;"")</f>
        <v/>
      </c>
      <c r="I364" s="32">
        <f>IF(B364="","",INDEX(Setup!$C$25:$C$84,B364))</f>
        <v/>
      </c>
      <c r="J364" s="32" t="n"/>
      <c r="K364" s="37" t="n"/>
      <c r="L364" s="38" t="n"/>
      <c r="M364" s="33" t="n"/>
      <c r="N364" s="33" t="n"/>
      <c r="O364" s="32" t="n"/>
      <c r="P364" s="34">
        <f>IF(A364="","",IF(K364&lt;&gt;"",K364,D364))</f>
        <v/>
      </c>
      <c r="Q364" s="36">
        <f>IF(A364="",0,IF(C364="✗",0,IF(OR(C364="✓",AND(Setup!$D$7="Yes",P364&lt;=TODAY())),IF(L364&lt;&gt;"",L364,F364),0)))</f>
        <v/>
      </c>
      <c r="R364" s="32">
        <f>IF(A364="","",IF(M364&lt;&gt;"",M364,G364))</f>
        <v/>
      </c>
      <c r="S364" s="32">
        <f>IF(A364="","",IF(N364&lt;&gt;"",N364,H364))</f>
        <v/>
      </c>
      <c r="T364" s="32">
        <f>IF(A364="","",IF(C364="✗","Skipped",IF(Q364&gt;0,"Paid","Upcoming")))</f>
        <v/>
      </c>
      <c r="U364" s="36">
        <f>IF(A364="",0,IF(C364="✗",0,IF(L364&lt;&gt;"",L364,F364)))</f>
        <v/>
      </c>
    </row>
    <row r="365">
      <c r="A365" s="39">
        <f>IFERROR(SMALL(Calc!$B$2:$BB$61,360),"")</f>
        <v/>
      </c>
      <c r="B365" s="39">
        <f>IF(A365="","",ROUND(MOD(A365,1)*1000,0))</f>
        <v/>
      </c>
      <c r="C365" s="33" t="n"/>
      <c r="D365" s="40">
        <f>IF(A365="","",INT(A365))</f>
        <v/>
      </c>
      <c r="E365" s="41">
        <f>IF(B365="","",INDEX(Setup!$D$25:$D$84,B365))</f>
        <v/>
      </c>
      <c r="F365" s="42">
        <f>IF(B365="","",INDEX(Setup!$E$25:$E$84,B365))</f>
        <v/>
      </c>
      <c r="G365" s="39">
        <f>IF(B365="","",INDEX(Setup!$I$25:$I$84,B365)&amp;"")</f>
        <v/>
      </c>
      <c r="H365" s="39">
        <f>IF(B365="","",INDEX(Setup!$J$25:$J$84,B365)&amp;"")</f>
        <v/>
      </c>
      <c r="I365" s="39">
        <f>IF(B365="","",INDEX(Setup!$C$25:$C$84,B365))</f>
        <v/>
      </c>
      <c r="J365" s="39" t="n"/>
      <c r="K365" s="37" t="n"/>
      <c r="L365" s="38" t="n"/>
      <c r="M365" s="33" t="n"/>
      <c r="N365" s="33" t="n"/>
      <c r="O365" s="39" t="n"/>
      <c r="P365" s="40">
        <f>IF(A365="","",IF(K365&lt;&gt;"",K365,D365))</f>
        <v/>
      </c>
      <c r="Q365" s="42">
        <f>IF(A365="",0,IF(C365="✗",0,IF(OR(C365="✓",AND(Setup!$D$7="Yes",P365&lt;=TODAY())),IF(L365&lt;&gt;"",L365,F365),0)))</f>
        <v/>
      </c>
      <c r="R365" s="39">
        <f>IF(A365="","",IF(M365&lt;&gt;"",M365,G365))</f>
        <v/>
      </c>
      <c r="S365" s="39">
        <f>IF(A365="","",IF(N365&lt;&gt;"",N365,H365))</f>
        <v/>
      </c>
      <c r="T365" s="39">
        <f>IF(A365="","",IF(C365="✗","Skipped",IF(Q365&gt;0,"Paid","Upcoming")))</f>
        <v/>
      </c>
      <c r="U365" s="42">
        <f>IF(A365="",0,IF(C365="✗",0,IF(L365&lt;&gt;"",L365,F365)))</f>
        <v/>
      </c>
    </row>
    <row r="366">
      <c r="A366" s="32">
        <f>IFERROR(SMALL(Calc!$B$2:$BB$61,361),"")</f>
        <v/>
      </c>
      <c r="B366" s="32">
        <f>IF(A366="","",ROUND(MOD(A366,1)*1000,0))</f>
        <v/>
      </c>
      <c r="C366" s="33" t="n"/>
      <c r="D366" s="34">
        <f>IF(A366="","",INT(A366))</f>
        <v/>
      </c>
      <c r="E366" s="35">
        <f>IF(B366="","",INDEX(Setup!$D$25:$D$84,B366))</f>
        <v/>
      </c>
      <c r="F366" s="36">
        <f>IF(B366="","",INDEX(Setup!$E$25:$E$84,B366))</f>
        <v/>
      </c>
      <c r="G366" s="32">
        <f>IF(B366="","",INDEX(Setup!$I$25:$I$84,B366)&amp;"")</f>
        <v/>
      </c>
      <c r="H366" s="32">
        <f>IF(B366="","",INDEX(Setup!$J$25:$J$84,B366)&amp;"")</f>
        <v/>
      </c>
      <c r="I366" s="32">
        <f>IF(B366="","",INDEX(Setup!$C$25:$C$84,B366))</f>
        <v/>
      </c>
      <c r="J366" s="32" t="n"/>
      <c r="K366" s="37" t="n"/>
      <c r="L366" s="38" t="n"/>
      <c r="M366" s="33" t="n"/>
      <c r="N366" s="33" t="n"/>
      <c r="O366" s="32" t="n"/>
      <c r="P366" s="34">
        <f>IF(A366="","",IF(K366&lt;&gt;"",K366,D366))</f>
        <v/>
      </c>
      <c r="Q366" s="36">
        <f>IF(A366="",0,IF(C366="✗",0,IF(OR(C366="✓",AND(Setup!$D$7="Yes",P366&lt;=TODAY())),IF(L366&lt;&gt;"",L366,F366),0)))</f>
        <v/>
      </c>
      <c r="R366" s="32">
        <f>IF(A366="","",IF(M366&lt;&gt;"",M366,G366))</f>
        <v/>
      </c>
      <c r="S366" s="32">
        <f>IF(A366="","",IF(N366&lt;&gt;"",N366,H366))</f>
        <v/>
      </c>
      <c r="T366" s="32">
        <f>IF(A366="","",IF(C366="✗","Skipped",IF(Q366&gt;0,"Paid","Upcoming")))</f>
        <v/>
      </c>
      <c r="U366" s="36">
        <f>IF(A366="",0,IF(C366="✗",0,IF(L366&lt;&gt;"",L366,F366)))</f>
        <v/>
      </c>
    </row>
    <row r="367">
      <c r="A367" s="39">
        <f>IFERROR(SMALL(Calc!$B$2:$BB$61,362),"")</f>
        <v/>
      </c>
      <c r="B367" s="39">
        <f>IF(A367="","",ROUND(MOD(A367,1)*1000,0))</f>
        <v/>
      </c>
      <c r="C367" s="33" t="n"/>
      <c r="D367" s="40">
        <f>IF(A367="","",INT(A367))</f>
        <v/>
      </c>
      <c r="E367" s="41">
        <f>IF(B367="","",INDEX(Setup!$D$25:$D$84,B367))</f>
        <v/>
      </c>
      <c r="F367" s="42">
        <f>IF(B367="","",INDEX(Setup!$E$25:$E$84,B367))</f>
        <v/>
      </c>
      <c r="G367" s="39">
        <f>IF(B367="","",INDEX(Setup!$I$25:$I$84,B367)&amp;"")</f>
        <v/>
      </c>
      <c r="H367" s="39">
        <f>IF(B367="","",INDEX(Setup!$J$25:$J$84,B367)&amp;"")</f>
        <v/>
      </c>
      <c r="I367" s="39">
        <f>IF(B367="","",INDEX(Setup!$C$25:$C$84,B367))</f>
        <v/>
      </c>
      <c r="J367" s="39" t="n"/>
      <c r="K367" s="37" t="n"/>
      <c r="L367" s="38" t="n"/>
      <c r="M367" s="33" t="n"/>
      <c r="N367" s="33" t="n"/>
      <c r="O367" s="39" t="n"/>
      <c r="P367" s="40">
        <f>IF(A367="","",IF(K367&lt;&gt;"",K367,D367))</f>
        <v/>
      </c>
      <c r="Q367" s="42">
        <f>IF(A367="",0,IF(C367="✗",0,IF(OR(C367="✓",AND(Setup!$D$7="Yes",P367&lt;=TODAY())),IF(L367&lt;&gt;"",L367,F367),0)))</f>
        <v/>
      </c>
      <c r="R367" s="39">
        <f>IF(A367="","",IF(M367&lt;&gt;"",M367,G367))</f>
        <v/>
      </c>
      <c r="S367" s="39">
        <f>IF(A367="","",IF(N367&lt;&gt;"",N367,H367))</f>
        <v/>
      </c>
      <c r="T367" s="39">
        <f>IF(A367="","",IF(C367="✗","Skipped",IF(Q367&gt;0,"Paid","Upcoming")))</f>
        <v/>
      </c>
      <c r="U367" s="42">
        <f>IF(A367="",0,IF(C367="✗",0,IF(L367&lt;&gt;"",L367,F367)))</f>
        <v/>
      </c>
    </row>
    <row r="368">
      <c r="A368" s="32">
        <f>IFERROR(SMALL(Calc!$B$2:$BB$61,363),"")</f>
        <v/>
      </c>
      <c r="B368" s="32">
        <f>IF(A368="","",ROUND(MOD(A368,1)*1000,0))</f>
        <v/>
      </c>
      <c r="C368" s="33" t="n"/>
      <c r="D368" s="34">
        <f>IF(A368="","",INT(A368))</f>
        <v/>
      </c>
      <c r="E368" s="35">
        <f>IF(B368="","",INDEX(Setup!$D$25:$D$84,B368))</f>
        <v/>
      </c>
      <c r="F368" s="36">
        <f>IF(B368="","",INDEX(Setup!$E$25:$E$84,B368))</f>
        <v/>
      </c>
      <c r="G368" s="32">
        <f>IF(B368="","",INDEX(Setup!$I$25:$I$84,B368)&amp;"")</f>
        <v/>
      </c>
      <c r="H368" s="32">
        <f>IF(B368="","",INDEX(Setup!$J$25:$J$84,B368)&amp;"")</f>
        <v/>
      </c>
      <c r="I368" s="32">
        <f>IF(B368="","",INDEX(Setup!$C$25:$C$84,B368))</f>
        <v/>
      </c>
      <c r="J368" s="32" t="n"/>
      <c r="K368" s="37" t="n"/>
      <c r="L368" s="38" t="n"/>
      <c r="M368" s="33" t="n"/>
      <c r="N368" s="33" t="n"/>
      <c r="O368" s="32" t="n"/>
      <c r="P368" s="34">
        <f>IF(A368="","",IF(K368&lt;&gt;"",K368,D368))</f>
        <v/>
      </c>
      <c r="Q368" s="36">
        <f>IF(A368="",0,IF(C368="✗",0,IF(OR(C368="✓",AND(Setup!$D$7="Yes",P368&lt;=TODAY())),IF(L368&lt;&gt;"",L368,F368),0)))</f>
        <v/>
      </c>
      <c r="R368" s="32">
        <f>IF(A368="","",IF(M368&lt;&gt;"",M368,G368))</f>
        <v/>
      </c>
      <c r="S368" s="32">
        <f>IF(A368="","",IF(N368&lt;&gt;"",N368,H368))</f>
        <v/>
      </c>
      <c r="T368" s="32">
        <f>IF(A368="","",IF(C368="✗","Skipped",IF(Q368&gt;0,"Paid","Upcoming")))</f>
        <v/>
      </c>
      <c r="U368" s="36">
        <f>IF(A368="",0,IF(C368="✗",0,IF(L368&lt;&gt;"",L368,F368)))</f>
        <v/>
      </c>
    </row>
    <row r="369">
      <c r="A369" s="39">
        <f>IFERROR(SMALL(Calc!$B$2:$BB$61,364),"")</f>
        <v/>
      </c>
      <c r="B369" s="39">
        <f>IF(A369="","",ROUND(MOD(A369,1)*1000,0))</f>
        <v/>
      </c>
      <c r="C369" s="33" t="n"/>
      <c r="D369" s="40">
        <f>IF(A369="","",INT(A369))</f>
        <v/>
      </c>
      <c r="E369" s="41">
        <f>IF(B369="","",INDEX(Setup!$D$25:$D$84,B369))</f>
        <v/>
      </c>
      <c r="F369" s="42">
        <f>IF(B369="","",INDEX(Setup!$E$25:$E$84,B369))</f>
        <v/>
      </c>
      <c r="G369" s="39">
        <f>IF(B369="","",INDEX(Setup!$I$25:$I$84,B369)&amp;"")</f>
        <v/>
      </c>
      <c r="H369" s="39">
        <f>IF(B369="","",INDEX(Setup!$J$25:$J$84,B369)&amp;"")</f>
        <v/>
      </c>
      <c r="I369" s="39">
        <f>IF(B369="","",INDEX(Setup!$C$25:$C$84,B369))</f>
        <v/>
      </c>
      <c r="J369" s="39" t="n"/>
      <c r="K369" s="37" t="n"/>
      <c r="L369" s="38" t="n"/>
      <c r="M369" s="33" t="n"/>
      <c r="N369" s="33" t="n"/>
      <c r="O369" s="39" t="n"/>
      <c r="P369" s="40">
        <f>IF(A369="","",IF(K369&lt;&gt;"",K369,D369))</f>
        <v/>
      </c>
      <c r="Q369" s="42">
        <f>IF(A369="",0,IF(C369="✗",0,IF(OR(C369="✓",AND(Setup!$D$7="Yes",P369&lt;=TODAY())),IF(L369&lt;&gt;"",L369,F369),0)))</f>
        <v/>
      </c>
      <c r="R369" s="39">
        <f>IF(A369="","",IF(M369&lt;&gt;"",M369,G369))</f>
        <v/>
      </c>
      <c r="S369" s="39">
        <f>IF(A369="","",IF(N369&lt;&gt;"",N369,H369))</f>
        <v/>
      </c>
      <c r="T369" s="39">
        <f>IF(A369="","",IF(C369="✗","Skipped",IF(Q369&gt;0,"Paid","Upcoming")))</f>
        <v/>
      </c>
      <c r="U369" s="42">
        <f>IF(A369="",0,IF(C369="✗",0,IF(L369&lt;&gt;"",L369,F369)))</f>
        <v/>
      </c>
    </row>
    <row r="370">
      <c r="A370" s="32">
        <f>IFERROR(SMALL(Calc!$B$2:$BB$61,365),"")</f>
        <v/>
      </c>
      <c r="B370" s="32">
        <f>IF(A370="","",ROUND(MOD(A370,1)*1000,0))</f>
        <v/>
      </c>
      <c r="C370" s="33" t="n"/>
      <c r="D370" s="34">
        <f>IF(A370="","",INT(A370))</f>
        <v/>
      </c>
      <c r="E370" s="35">
        <f>IF(B370="","",INDEX(Setup!$D$25:$D$84,B370))</f>
        <v/>
      </c>
      <c r="F370" s="36">
        <f>IF(B370="","",INDEX(Setup!$E$25:$E$84,B370))</f>
        <v/>
      </c>
      <c r="G370" s="32">
        <f>IF(B370="","",INDEX(Setup!$I$25:$I$84,B370)&amp;"")</f>
        <v/>
      </c>
      <c r="H370" s="32">
        <f>IF(B370="","",INDEX(Setup!$J$25:$J$84,B370)&amp;"")</f>
        <v/>
      </c>
      <c r="I370" s="32">
        <f>IF(B370="","",INDEX(Setup!$C$25:$C$84,B370))</f>
        <v/>
      </c>
      <c r="J370" s="32" t="n"/>
      <c r="K370" s="37" t="n"/>
      <c r="L370" s="38" t="n"/>
      <c r="M370" s="33" t="n"/>
      <c r="N370" s="33" t="n"/>
      <c r="O370" s="32" t="n"/>
      <c r="P370" s="34">
        <f>IF(A370="","",IF(K370&lt;&gt;"",K370,D370))</f>
        <v/>
      </c>
      <c r="Q370" s="36">
        <f>IF(A370="",0,IF(C370="✗",0,IF(OR(C370="✓",AND(Setup!$D$7="Yes",P370&lt;=TODAY())),IF(L370&lt;&gt;"",L370,F370),0)))</f>
        <v/>
      </c>
      <c r="R370" s="32">
        <f>IF(A370="","",IF(M370&lt;&gt;"",M370,G370))</f>
        <v/>
      </c>
      <c r="S370" s="32">
        <f>IF(A370="","",IF(N370&lt;&gt;"",N370,H370))</f>
        <v/>
      </c>
      <c r="T370" s="32">
        <f>IF(A370="","",IF(C370="✗","Skipped",IF(Q370&gt;0,"Paid","Upcoming")))</f>
        <v/>
      </c>
      <c r="U370" s="36">
        <f>IF(A370="",0,IF(C370="✗",0,IF(L370&lt;&gt;"",L370,F370)))</f>
        <v/>
      </c>
    </row>
    <row r="371">
      <c r="A371" s="39">
        <f>IFERROR(SMALL(Calc!$B$2:$BB$61,366),"")</f>
        <v/>
      </c>
      <c r="B371" s="39">
        <f>IF(A371="","",ROUND(MOD(A371,1)*1000,0))</f>
        <v/>
      </c>
      <c r="C371" s="33" t="n"/>
      <c r="D371" s="40">
        <f>IF(A371="","",INT(A371))</f>
        <v/>
      </c>
      <c r="E371" s="41">
        <f>IF(B371="","",INDEX(Setup!$D$25:$D$84,B371))</f>
        <v/>
      </c>
      <c r="F371" s="42">
        <f>IF(B371="","",INDEX(Setup!$E$25:$E$84,B371))</f>
        <v/>
      </c>
      <c r="G371" s="39">
        <f>IF(B371="","",INDEX(Setup!$I$25:$I$84,B371)&amp;"")</f>
        <v/>
      </c>
      <c r="H371" s="39">
        <f>IF(B371="","",INDEX(Setup!$J$25:$J$84,B371)&amp;"")</f>
        <v/>
      </c>
      <c r="I371" s="39">
        <f>IF(B371="","",INDEX(Setup!$C$25:$C$84,B371))</f>
        <v/>
      </c>
      <c r="J371" s="39" t="n"/>
      <c r="K371" s="37" t="n"/>
      <c r="L371" s="38" t="n"/>
      <c r="M371" s="33" t="n"/>
      <c r="N371" s="33" t="n"/>
      <c r="O371" s="39" t="n"/>
      <c r="P371" s="40">
        <f>IF(A371="","",IF(K371&lt;&gt;"",K371,D371))</f>
        <v/>
      </c>
      <c r="Q371" s="42">
        <f>IF(A371="",0,IF(C371="✗",0,IF(OR(C371="✓",AND(Setup!$D$7="Yes",P371&lt;=TODAY())),IF(L371&lt;&gt;"",L371,F371),0)))</f>
        <v/>
      </c>
      <c r="R371" s="39">
        <f>IF(A371="","",IF(M371&lt;&gt;"",M371,G371))</f>
        <v/>
      </c>
      <c r="S371" s="39">
        <f>IF(A371="","",IF(N371&lt;&gt;"",N371,H371))</f>
        <v/>
      </c>
      <c r="T371" s="39">
        <f>IF(A371="","",IF(C371="✗","Skipped",IF(Q371&gt;0,"Paid","Upcoming")))</f>
        <v/>
      </c>
      <c r="U371" s="42">
        <f>IF(A371="",0,IF(C371="✗",0,IF(L371&lt;&gt;"",L371,F371)))</f>
        <v/>
      </c>
    </row>
    <row r="372">
      <c r="A372" s="32">
        <f>IFERROR(SMALL(Calc!$B$2:$BB$61,367),"")</f>
        <v/>
      </c>
      <c r="B372" s="32">
        <f>IF(A372="","",ROUND(MOD(A372,1)*1000,0))</f>
        <v/>
      </c>
      <c r="C372" s="33" t="n"/>
      <c r="D372" s="34">
        <f>IF(A372="","",INT(A372))</f>
        <v/>
      </c>
      <c r="E372" s="35">
        <f>IF(B372="","",INDEX(Setup!$D$25:$D$84,B372))</f>
        <v/>
      </c>
      <c r="F372" s="36">
        <f>IF(B372="","",INDEX(Setup!$E$25:$E$84,B372))</f>
        <v/>
      </c>
      <c r="G372" s="32">
        <f>IF(B372="","",INDEX(Setup!$I$25:$I$84,B372)&amp;"")</f>
        <v/>
      </c>
      <c r="H372" s="32">
        <f>IF(B372="","",INDEX(Setup!$J$25:$J$84,B372)&amp;"")</f>
        <v/>
      </c>
      <c r="I372" s="32">
        <f>IF(B372="","",INDEX(Setup!$C$25:$C$84,B372))</f>
        <v/>
      </c>
      <c r="J372" s="32" t="n"/>
      <c r="K372" s="37" t="n"/>
      <c r="L372" s="38" t="n"/>
      <c r="M372" s="33" t="n"/>
      <c r="N372" s="33" t="n"/>
      <c r="O372" s="32" t="n"/>
      <c r="P372" s="34">
        <f>IF(A372="","",IF(K372&lt;&gt;"",K372,D372))</f>
        <v/>
      </c>
      <c r="Q372" s="36">
        <f>IF(A372="",0,IF(C372="✗",0,IF(OR(C372="✓",AND(Setup!$D$7="Yes",P372&lt;=TODAY())),IF(L372&lt;&gt;"",L372,F372),0)))</f>
        <v/>
      </c>
      <c r="R372" s="32">
        <f>IF(A372="","",IF(M372&lt;&gt;"",M372,G372))</f>
        <v/>
      </c>
      <c r="S372" s="32">
        <f>IF(A372="","",IF(N372&lt;&gt;"",N372,H372))</f>
        <v/>
      </c>
      <c r="T372" s="32">
        <f>IF(A372="","",IF(C372="✗","Skipped",IF(Q372&gt;0,"Paid","Upcoming")))</f>
        <v/>
      </c>
      <c r="U372" s="36">
        <f>IF(A372="",0,IF(C372="✗",0,IF(L372&lt;&gt;"",L372,F372)))</f>
        <v/>
      </c>
    </row>
    <row r="373">
      <c r="A373" s="39">
        <f>IFERROR(SMALL(Calc!$B$2:$BB$61,368),"")</f>
        <v/>
      </c>
      <c r="B373" s="39">
        <f>IF(A373="","",ROUND(MOD(A373,1)*1000,0))</f>
        <v/>
      </c>
      <c r="C373" s="33" t="n"/>
      <c r="D373" s="40">
        <f>IF(A373="","",INT(A373))</f>
        <v/>
      </c>
      <c r="E373" s="41">
        <f>IF(B373="","",INDEX(Setup!$D$25:$D$84,B373))</f>
        <v/>
      </c>
      <c r="F373" s="42">
        <f>IF(B373="","",INDEX(Setup!$E$25:$E$84,B373))</f>
        <v/>
      </c>
      <c r="G373" s="39">
        <f>IF(B373="","",INDEX(Setup!$I$25:$I$84,B373)&amp;"")</f>
        <v/>
      </c>
      <c r="H373" s="39">
        <f>IF(B373="","",INDEX(Setup!$J$25:$J$84,B373)&amp;"")</f>
        <v/>
      </c>
      <c r="I373" s="39">
        <f>IF(B373="","",INDEX(Setup!$C$25:$C$84,B373))</f>
        <v/>
      </c>
      <c r="J373" s="39" t="n"/>
      <c r="K373" s="37" t="n"/>
      <c r="L373" s="38" t="n"/>
      <c r="M373" s="33" t="n"/>
      <c r="N373" s="33" t="n"/>
      <c r="O373" s="39" t="n"/>
      <c r="P373" s="40">
        <f>IF(A373="","",IF(K373&lt;&gt;"",K373,D373))</f>
        <v/>
      </c>
      <c r="Q373" s="42">
        <f>IF(A373="",0,IF(C373="✗",0,IF(OR(C373="✓",AND(Setup!$D$7="Yes",P373&lt;=TODAY())),IF(L373&lt;&gt;"",L373,F373),0)))</f>
        <v/>
      </c>
      <c r="R373" s="39">
        <f>IF(A373="","",IF(M373&lt;&gt;"",M373,G373))</f>
        <v/>
      </c>
      <c r="S373" s="39">
        <f>IF(A373="","",IF(N373&lt;&gt;"",N373,H373))</f>
        <v/>
      </c>
      <c r="T373" s="39">
        <f>IF(A373="","",IF(C373="✗","Skipped",IF(Q373&gt;0,"Paid","Upcoming")))</f>
        <v/>
      </c>
      <c r="U373" s="42">
        <f>IF(A373="",0,IF(C373="✗",0,IF(L373&lt;&gt;"",L373,F373)))</f>
        <v/>
      </c>
    </row>
    <row r="374">
      <c r="A374" s="32">
        <f>IFERROR(SMALL(Calc!$B$2:$BB$61,369),"")</f>
        <v/>
      </c>
      <c r="B374" s="32">
        <f>IF(A374="","",ROUND(MOD(A374,1)*1000,0))</f>
        <v/>
      </c>
      <c r="C374" s="33" t="n"/>
      <c r="D374" s="34">
        <f>IF(A374="","",INT(A374))</f>
        <v/>
      </c>
      <c r="E374" s="35">
        <f>IF(B374="","",INDEX(Setup!$D$25:$D$84,B374))</f>
        <v/>
      </c>
      <c r="F374" s="36">
        <f>IF(B374="","",INDEX(Setup!$E$25:$E$84,B374))</f>
        <v/>
      </c>
      <c r="G374" s="32">
        <f>IF(B374="","",INDEX(Setup!$I$25:$I$84,B374)&amp;"")</f>
        <v/>
      </c>
      <c r="H374" s="32">
        <f>IF(B374="","",INDEX(Setup!$J$25:$J$84,B374)&amp;"")</f>
        <v/>
      </c>
      <c r="I374" s="32">
        <f>IF(B374="","",INDEX(Setup!$C$25:$C$84,B374))</f>
        <v/>
      </c>
      <c r="J374" s="32" t="n"/>
      <c r="K374" s="37" t="n"/>
      <c r="L374" s="38" t="n"/>
      <c r="M374" s="33" t="n"/>
      <c r="N374" s="33" t="n"/>
      <c r="O374" s="32" t="n"/>
      <c r="P374" s="34">
        <f>IF(A374="","",IF(K374&lt;&gt;"",K374,D374))</f>
        <v/>
      </c>
      <c r="Q374" s="36">
        <f>IF(A374="",0,IF(C374="✗",0,IF(OR(C374="✓",AND(Setup!$D$7="Yes",P374&lt;=TODAY())),IF(L374&lt;&gt;"",L374,F374),0)))</f>
        <v/>
      </c>
      <c r="R374" s="32">
        <f>IF(A374="","",IF(M374&lt;&gt;"",M374,G374))</f>
        <v/>
      </c>
      <c r="S374" s="32">
        <f>IF(A374="","",IF(N374&lt;&gt;"",N374,H374))</f>
        <v/>
      </c>
      <c r="T374" s="32">
        <f>IF(A374="","",IF(C374="✗","Skipped",IF(Q374&gt;0,"Paid","Upcoming")))</f>
        <v/>
      </c>
      <c r="U374" s="36">
        <f>IF(A374="",0,IF(C374="✗",0,IF(L374&lt;&gt;"",L374,F374)))</f>
        <v/>
      </c>
    </row>
    <row r="375">
      <c r="A375" s="39">
        <f>IFERROR(SMALL(Calc!$B$2:$BB$61,370),"")</f>
        <v/>
      </c>
      <c r="B375" s="39">
        <f>IF(A375="","",ROUND(MOD(A375,1)*1000,0))</f>
        <v/>
      </c>
      <c r="C375" s="33" t="n"/>
      <c r="D375" s="40">
        <f>IF(A375="","",INT(A375))</f>
        <v/>
      </c>
      <c r="E375" s="41">
        <f>IF(B375="","",INDEX(Setup!$D$25:$D$84,B375))</f>
        <v/>
      </c>
      <c r="F375" s="42">
        <f>IF(B375="","",INDEX(Setup!$E$25:$E$84,B375))</f>
        <v/>
      </c>
      <c r="G375" s="39">
        <f>IF(B375="","",INDEX(Setup!$I$25:$I$84,B375)&amp;"")</f>
        <v/>
      </c>
      <c r="H375" s="39">
        <f>IF(B375="","",INDEX(Setup!$J$25:$J$84,B375)&amp;"")</f>
        <v/>
      </c>
      <c r="I375" s="39">
        <f>IF(B375="","",INDEX(Setup!$C$25:$C$84,B375))</f>
        <v/>
      </c>
      <c r="J375" s="39" t="n"/>
      <c r="K375" s="37" t="n"/>
      <c r="L375" s="38" t="n"/>
      <c r="M375" s="33" t="n"/>
      <c r="N375" s="33" t="n"/>
      <c r="O375" s="39" t="n"/>
      <c r="P375" s="40">
        <f>IF(A375="","",IF(K375&lt;&gt;"",K375,D375))</f>
        <v/>
      </c>
      <c r="Q375" s="42">
        <f>IF(A375="",0,IF(C375="✗",0,IF(OR(C375="✓",AND(Setup!$D$7="Yes",P375&lt;=TODAY())),IF(L375&lt;&gt;"",L375,F375),0)))</f>
        <v/>
      </c>
      <c r="R375" s="39">
        <f>IF(A375="","",IF(M375&lt;&gt;"",M375,G375))</f>
        <v/>
      </c>
      <c r="S375" s="39">
        <f>IF(A375="","",IF(N375&lt;&gt;"",N375,H375))</f>
        <v/>
      </c>
      <c r="T375" s="39">
        <f>IF(A375="","",IF(C375="✗","Skipped",IF(Q375&gt;0,"Paid","Upcoming")))</f>
        <v/>
      </c>
      <c r="U375" s="42">
        <f>IF(A375="",0,IF(C375="✗",0,IF(L375&lt;&gt;"",L375,F375)))</f>
        <v/>
      </c>
    </row>
    <row r="376">
      <c r="A376" s="32">
        <f>IFERROR(SMALL(Calc!$B$2:$BB$61,371),"")</f>
        <v/>
      </c>
      <c r="B376" s="32">
        <f>IF(A376="","",ROUND(MOD(A376,1)*1000,0))</f>
        <v/>
      </c>
      <c r="C376" s="33" t="n"/>
      <c r="D376" s="34">
        <f>IF(A376="","",INT(A376))</f>
        <v/>
      </c>
      <c r="E376" s="35">
        <f>IF(B376="","",INDEX(Setup!$D$25:$D$84,B376))</f>
        <v/>
      </c>
      <c r="F376" s="36">
        <f>IF(B376="","",INDEX(Setup!$E$25:$E$84,B376))</f>
        <v/>
      </c>
      <c r="G376" s="32">
        <f>IF(B376="","",INDEX(Setup!$I$25:$I$84,B376)&amp;"")</f>
        <v/>
      </c>
      <c r="H376" s="32">
        <f>IF(B376="","",INDEX(Setup!$J$25:$J$84,B376)&amp;"")</f>
        <v/>
      </c>
      <c r="I376" s="32">
        <f>IF(B376="","",INDEX(Setup!$C$25:$C$84,B376))</f>
        <v/>
      </c>
      <c r="J376" s="32" t="n"/>
      <c r="K376" s="37" t="n"/>
      <c r="L376" s="38" t="n"/>
      <c r="M376" s="33" t="n"/>
      <c r="N376" s="33" t="n"/>
      <c r="O376" s="32" t="n"/>
      <c r="P376" s="34">
        <f>IF(A376="","",IF(K376&lt;&gt;"",K376,D376))</f>
        <v/>
      </c>
      <c r="Q376" s="36">
        <f>IF(A376="",0,IF(C376="✗",0,IF(OR(C376="✓",AND(Setup!$D$7="Yes",P376&lt;=TODAY())),IF(L376&lt;&gt;"",L376,F376),0)))</f>
        <v/>
      </c>
      <c r="R376" s="32">
        <f>IF(A376="","",IF(M376&lt;&gt;"",M376,G376))</f>
        <v/>
      </c>
      <c r="S376" s="32">
        <f>IF(A376="","",IF(N376&lt;&gt;"",N376,H376))</f>
        <v/>
      </c>
      <c r="T376" s="32">
        <f>IF(A376="","",IF(C376="✗","Skipped",IF(Q376&gt;0,"Paid","Upcoming")))</f>
        <v/>
      </c>
      <c r="U376" s="36">
        <f>IF(A376="",0,IF(C376="✗",0,IF(L376&lt;&gt;"",L376,F376)))</f>
        <v/>
      </c>
    </row>
    <row r="377">
      <c r="A377" s="39">
        <f>IFERROR(SMALL(Calc!$B$2:$BB$61,372),"")</f>
        <v/>
      </c>
      <c r="B377" s="39">
        <f>IF(A377="","",ROUND(MOD(A377,1)*1000,0))</f>
        <v/>
      </c>
      <c r="C377" s="33" t="n"/>
      <c r="D377" s="40">
        <f>IF(A377="","",INT(A377))</f>
        <v/>
      </c>
      <c r="E377" s="41">
        <f>IF(B377="","",INDEX(Setup!$D$25:$D$84,B377))</f>
        <v/>
      </c>
      <c r="F377" s="42">
        <f>IF(B377="","",INDEX(Setup!$E$25:$E$84,B377))</f>
        <v/>
      </c>
      <c r="G377" s="39">
        <f>IF(B377="","",INDEX(Setup!$I$25:$I$84,B377)&amp;"")</f>
        <v/>
      </c>
      <c r="H377" s="39">
        <f>IF(B377="","",INDEX(Setup!$J$25:$J$84,B377)&amp;"")</f>
        <v/>
      </c>
      <c r="I377" s="39">
        <f>IF(B377="","",INDEX(Setup!$C$25:$C$84,B377))</f>
        <v/>
      </c>
      <c r="J377" s="39" t="n"/>
      <c r="K377" s="37" t="n"/>
      <c r="L377" s="38" t="n"/>
      <c r="M377" s="33" t="n"/>
      <c r="N377" s="33" t="n"/>
      <c r="O377" s="39" t="n"/>
      <c r="P377" s="40">
        <f>IF(A377="","",IF(K377&lt;&gt;"",K377,D377))</f>
        <v/>
      </c>
      <c r="Q377" s="42">
        <f>IF(A377="",0,IF(C377="✗",0,IF(OR(C377="✓",AND(Setup!$D$7="Yes",P377&lt;=TODAY())),IF(L377&lt;&gt;"",L377,F377),0)))</f>
        <v/>
      </c>
      <c r="R377" s="39">
        <f>IF(A377="","",IF(M377&lt;&gt;"",M377,G377))</f>
        <v/>
      </c>
      <c r="S377" s="39">
        <f>IF(A377="","",IF(N377&lt;&gt;"",N377,H377))</f>
        <v/>
      </c>
      <c r="T377" s="39">
        <f>IF(A377="","",IF(C377="✗","Skipped",IF(Q377&gt;0,"Paid","Upcoming")))</f>
        <v/>
      </c>
      <c r="U377" s="42">
        <f>IF(A377="",0,IF(C377="✗",0,IF(L377&lt;&gt;"",L377,F377)))</f>
        <v/>
      </c>
    </row>
    <row r="378">
      <c r="A378" s="32">
        <f>IFERROR(SMALL(Calc!$B$2:$BB$61,373),"")</f>
        <v/>
      </c>
      <c r="B378" s="32">
        <f>IF(A378="","",ROUND(MOD(A378,1)*1000,0))</f>
        <v/>
      </c>
      <c r="C378" s="33" t="n"/>
      <c r="D378" s="34">
        <f>IF(A378="","",INT(A378))</f>
        <v/>
      </c>
      <c r="E378" s="35">
        <f>IF(B378="","",INDEX(Setup!$D$25:$D$84,B378))</f>
        <v/>
      </c>
      <c r="F378" s="36">
        <f>IF(B378="","",INDEX(Setup!$E$25:$E$84,B378))</f>
        <v/>
      </c>
      <c r="G378" s="32">
        <f>IF(B378="","",INDEX(Setup!$I$25:$I$84,B378)&amp;"")</f>
        <v/>
      </c>
      <c r="H378" s="32">
        <f>IF(B378="","",INDEX(Setup!$J$25:$J$84,B378)&amp;"")</f>
        <v/>
      </c>
      <c r="I378" s="32">
        <f>IF(B378="","",INDEX(Setup!$C$25:$C$84,B378))</f>
        <v/>
      </c>
      <c r="J378" s="32" t="n"/>
      <c r="K378" s="37" t="n"/>
      <c r="L378" s="38" t="n"/>
      <c r="M378" s="33" t="n"/>
      <c r="N378" s="33" t="n"/>
      <c r="O378" s="32" t="n"/>
      <c r="P378" s="34">
        <f>IF(A378="","",IF(K378&lt;&gt;"",K378,D378))</f>
        <v/>
      </c>
      <c r="Q378" s="36">
        <f>IF(A378="",0,IF(C378="✗",0,IF(OR(C378="✓",AND(Setup!$D$7="Yes",P378&lt;=TODAY())),IF(L378&lt;&gt;"",L378,F378),0)))</f>
        <v/>
      </c>
      <c r="R378" s="32">
        <f>IF(A378="","",IF(M378&lt;&gt;"",M378,G378))</f>
        <v/>
      </c>
      <c r="S378" s="32">
        <f>IF(A378="","",IF(N378&lt;&gt;"",N378,H378))</f>
        <v/>
      </c>
      <c r="T378" s="32">
        <f>IF(A378="","",IF(C378="✗","Skipped",IF(Q378&gt;0,"Paid","Upcoming")))</f>
        <v/>
      </c>
      <c r="U378" s="36">
        <f>IF(A378="",0,IF(C378="✗",0,IF(L378&lt;&gt;"",L378,F378)))</f>
        <v/>
      </c>
    </row>
    <row r="379">
      <c r="A379" s="39">
        <f>IFERROR(SMALL(Calc!$B$2:$BB$61,374),"")</f>
        <v/>
      </c>
      <c r="B379" s="39">
        <f>IF(A379="","",ROUND(MOD(A379,1)*1000,0))</f>
        <v/>
      </c>
      <c r="C379" s="33" t="n"/>
      <c r="D379" s="40">
        <f>IF(A379="","",INT(A379))</f>
        <v/>
      </c>
      <c r="E379" s="41">
        <f>IF(B379="","",INDEX(Setup!$D$25:$D$84,B379))</f>
        <v/>
      </c>
      <c r="F379" s="42">
        <f>IF(B379="","",INDEX(Setup!$E$25:$E$84,B379))</f>
        <v/>
      </c>
      <c r="G379" s="39">
        <f>IF(B379="","",INDEX(Setup!$I$25:$I$84,B379)&amp;"")</f>
        <v/>
      </c>
      <c r="H379" s="39">
        <f>IF(B379="","",INDEX(Setup!$J$25:$J$84,B379)&amp;"")</f>
        <v/>
      </c>
      <c r="I379" s="39">
        <f>IF(B379="","",INDEX(Setup!$C$25:$C$84,B379))</f>
        <v/>
      </c>
      <c r="J379" s="39" t="n"/>
      <c r="K379" s="37" t="n"/>
      <c r="L379" s="38" t="n"/>
      <c r="M379" s="33" t="n"/>
      <c r="N379" s="33" t="n"/>
      <c r="O379" s="39" t="n"/>
      <c r="P379" s="40">
        <f>IF(A379="","",IF(K379&lt;&gt;"",K379,D379))</f>
        <v/>
      </c>
      <c r="Q379" s="42">
        <f>IF(A379="",0,IF(C379="✗",0,IF(OR(C379="✓",AND(Setup!$D$7="Yes",P379&lt;=TODAY())),IF(L379&lt;&gt;"",L379,F379),0)))</f>
        <v/>
      </c>
      <c r="R379" s="39">
        <f>IF(A379="","",IF(M379&lt;&gt;"",M379,G379))</f>
        <v/>
      </c>
      <c r="S379" s="39">
        <f>IF(A379="","",IF(N379&lt;&gt;"",N379,H379))</f>
        <v/>
      </c>
      <c r="T379" s="39">
        <f>IF(A379="","",IF(C379="✗","Skipped",IF(Q379&gt;0,"Paid","Upcoming")))</f>
        <v/>
      </c>
      <c r="U379" s="42">
        <f>IF(A379="",0,IF(C379="✗",0,IF(L379&lt;&gt;"",L379,F379)))</f>
        <v/>
      </c>
    </row>
    <row r="380">
      <c r="A380" s="32">
        <f>IFERROR(SMALL(Calc!$B$2:$BB$61,375),"")</f>
        <v/>
      </c>
      <c r="B380" s="32">
        <f>IF(A380="","",ROUND(MOD(A380,1)*1000,0))</f>
        <v/>
      </c>
      <c r="C380" s="33" t="n"/>
      <c r="D380" s="34">
        <f>IF(A380="","",INT(A380))</f>
        <v/>
      </c>
      <c r="E380" s="35">
        <f>IF(B380="","",INDEX(Setup!$D$25:$D$84,B380))</f>
        <v/>
      </c>
      <c r="F380" s="36">
        <f>IF(B380="","",INDEX(Setup!$E$25:$E$84,B380))</f>
        <v/>
      </c>
      <c r="G380" s="32">
        <f>IF(B380="","",INDEX(Setup!$I$25:$I$84,B380)&amp;"")</f>
        <v/>
      </c>
      <c r="H380" s="32">
        <f>IF(B380="","",INDEX(Setup!$J$25:$J$84,B380)&amp;"")</f>
        <v/>
      </c>
      <c r="I380" s="32">
        <f>IF(B380="","",INDEX(Setup!$C$25:$C$84,B380))</f>
        <v/>
      </c>
      <c r="J380" s="32" t="n"/>
      <c r="K380" s="37" t="n"/>
      <c r="L380" s="38" t="n"/>
      <c r="M380" s="33" t="n"/>
      <c r="N380" s="33" t="n"/>
      <c r="O380" s="32" t="n"/>
      <c r="P380" s="34">
        <f>IF(A380="","",IF(K380&lt;&gt;"",K380,D380))</f>
        <v/>
      </c>
      <c r="Q380" s="36">
        <f>IF(A380="",0,IF(C380="✗",0,IF(OR(C380="✓",AND(Setup!$D$7="Yes",P380&lt;=TODAY())),IF(L380&lt;&gt;"",L380,F380),0)))</f>
        <v/>
      </c>
      <c r="R380" s="32">
        <f>IF(A380="","",IF(M380&lt;&gt;"",M380,G380))</f>
        <v/>
      </c>
      <c r="S380" s="32">
        <f>IF(A380="","",IF(N380&lt;&gt;"",N380,H380))</f>
        <v/>
      </c>
      <c r="T380" s="32">
        <f>IF(A380="","",IF(C380="✗","Skipped",IF(Q380&gt;0,"Paid","Upcoming")))</f>
        <v/>
      </c>
      <c r="U380" s="36">
        <f>IF(A380="",0,IF(C380="✗",0,IF(L380&lt;&gt;"",L380,F380)))</f>
        <v/>
      </c>
    </row>
    <row r="381">
      <c r="A381" s="39">
        <f>IFERROR(SMALL(Calc!$B$2:$BB$61,376),"")</f>
        <v/>
      </c>
      <c r="B381" s="39">
        <f>IF(A381="","",ROUND(MOD(A381,1)*1000,0))</f>
        <v/>
      </c>
      <c r="C381" s="33" t="n"/>
      <c r="D381" s="40">
        <f>IF(A381="","",INT(A381))</f>
        <v/>
      </c>
      <c r="E381" s="41">
        <f>IF(B381="","",INDEX(Setup!$D$25:$D$84,B381))</f>
        <v/>
      </c>
      <c r="F381" s="42">
        <f>IF(B381="","",INDEX(Setup!$E$25:$E$84,B381))</f>
        <v/>
      </c>
      <c r="G381" s="39">
        <f>IF(B381="","",INDEX(Setup!$I$25:$I$84,B381)&amp;"")</f>
        <v/>
      </c>
      <c r="H381" s="39">
        <f>IF(B381="","",INDEX(Setup!$J$25:$J$84,B381)&amp;"")</f>
        <v/>
      </c>
      <c r="I381" s="39">
        <f>IF(B381="","",INDEX(Setup!$C$25:$C$84,B381))</f>
        <v/>
      </c>
      <c r="J381" s="39" t="n"/>
      <c r="K381" s="37" t="n"/>
      <c r="L381" s="38" t="n"/>
      <c r="M381" s="33" t="n"/>
      <c r="N381" s="33" t="n"/>
      <c r="O381" s="39" t="n"/>
      <c r="P381" s="40">
        <f>IF(A381="","",IF(K381&lt;&gt;"",K381,D381))</f>
        <v/>
      </c>
      <c r="Q381" s="42">
        <f>IF(A381="",0,IF(C381="✗",0,IF(OR(C381="✓",AND(Setup!$D$7="Yes",P381&lt;=TODAY())),IF(L381&lt;&gt;"",L381,F381),0)))</f>
        <v/>
      </c>
      <c r="R381" s="39">
        <f>IF(A381="","",IF(M381&lt;&gt;"",M381,G381))</f>
        <v/>
      </c>
      <c r="S381" s="39">
        <f>IF(A381="","",IF(N381&lt;&gt;"",N381,H381))</f>
        <v/>
      </c>
      <c r="T381" s="39">
        <f>IF(A381="","",IF(C381="✗","Skipped",IF(Q381&gt;0,"Paid","Upcoming")))</f>
        <v/>
      </c>
      <c r="U381" s="42">
        <f>IF(A381="",0,IF(C381="✗",0,IF(L381&lt;&gt;"",L381,F381)))</f>
        <v/>
      </c>
    </row>
    <row r="382">
      <c r="A382" s="32">
        <f>IFERROR(SMALL(Calc!$B$2:$BB$61,377),"")</f>
        <v/>
      </c>
      <c r="B382" s="32">
        <f>IF(A382="","",ROUND(MOD(A382,1)*1000,0))</f>
        <v/>
      </c>
      <c r="C382" s="33" t="n"/>
      <c r="D382" s="34">
        <f>IF(A382="","",INT(A382))</f>
        <v/>
      </c>
      <c r="E382" s="35">
        <f>IF(B382="","",INDEX(Setup!$D$25:$D$84,B382))</f>
        <v/>
      </c>
      <c r="F382" s="36">
        <f>IF(B382="","",INDEX(Setup!$E$25:$E$84,B382))</f>
        <v/>
      </c>
      <c r="G382" s="32">
        <f>IF(B382="","",INDEX(Setup!$I$25:$I$84,B382)&amp;"")</f>
        <v/>
      </c>
      <c r="H382" s="32">
        <f>IF(B382="","",INDEX(Setup!$J$25:$J$84,B382)&amp;"")</f>
        <v/>
      </c>
      <c r="I382" s="32">
        <f>IF(B382="","",INDEX(Setup!$C$25:$C$84,B382))</f>
        <v/>
      </c>
      <c r="J382" s="32" t="n"/>
      <c r="K382" s="37" t="n"/>
      <c r="L382" s="38" t="n"/>
      <c r="M382" s="33" t="n"/>
      <c r="N382" s="33" t="n"/>
      <c r="O382" s="32" t="n"/>
      <c r="P382" s="34">
        <f>IF(A382="","",IF(K382&lt;&gt;"",K382,D382))</f>
        <v/>
      </c>
      <c r="Q382" s="36">
        <f>IF(A382="",0,IF(C382="✗",0,IF(OR(C382="✓",AND(Setup!$D$7="Yes",P382&lt;=TODAY())),IF(L382&lt;&gt;"",L382,F382),0)))</f>
        <v/>
      </c>
      <c r="R382" s="32">
        <f>IF(A382="","",IF(M382&lt;&gt;"",M382,G382))</f>
        <v/>
      </c>
      <c r="S382" s="32">
        <f>IF(A382="","",IF(N382&lt;&gt;"",N382,H382))</f>
        <v/>
      </c>
      <c r="T382" s="32">
        <f>IF(A382="","",IF(C382="✗","Skipped",IF(Q382&gt;0,"Paid","Upcoming")))</f>
        <v/>
      </c>
      <c r="U382" s="36">
        <f>IF(A382="",0,IF(C382="✗",0,IF(L382&lt;&gt;"",L382,F382)))</f>
        <v/>
      </c>
    </row>
    <row r="383">
      <c r="A383" s="39">
        <f>IFERROR(SMALL(Calc!$B$2:$BB$61,378),"")</f>
        <v/>
      </c>
      <c r="B383" s="39">
        <f>IF(A383="","",ROUND(MOD(A383,1)*1000,0))</f>
        <v/>
      </c>
      <c r="C383" s="33" t="n"/>
      <c r="D383" s="40">
        <f>IF(A383="","",INT(A383))</f>
        <v/>
      </c>
      <c r="E383" s="41">
        <f>IF(B383="","",INDEX(Setup!$D$25:$D$84,B383))</f>
        <v/>
      </c>
      <c r="F383" s="42">
        <f>IF(B383="","",INDEX(Setup!$E$25:$E$84,B383))</f>
        <v/>
      </c>
      <c r="G383" s="39">
        <f>IF(B383="","",INDEX(Setup!$I$25:$I$84,B383)&amp;"")</f>
        <v/>
      </c>
      <c r="H383" s="39">
        <f>IF(B383="","",INDEX(Setup!$J$25:$J$84,B383)&amp;"")</f>
        <v/>
      </c>
      <c r="I383" s="39">
        <f>IF(B383="","",INDEX(Setup!$C$25:$C$84,B383))</f>
        <v/>
      </c>
      <c r="J383" s="39" t="n"/>
      <c r="K383" s="37" t="n"/>
      <c r="L383" s="38" t="n"/>
      <c r="M383" s="33" t="n"/>
      <c r="N383" s="33" t="n"/>
      <c r="O383" s="39" t="n"/>
      <c r="P383" s="40">
        <f>IF(A383="","",IF(K383&lt;&gt;"",K383,D383))</f>
        <v/>
      </c>
      <c r="Q383" s="42">
        <f>IF(A383="",0,IF(C383="✗",0,IF(OR(C383="✓",AND(Setup!$D$7="Yes",P383&lt;=TODAY())),IF(L383&lt;&gt;"",L383,F383),0)))</f>
        <v/>
      </c>
      <c r="R383" s="39">
        <f>IF(A383="","",IF(M383&lt;&gt;"",M383,G383))</f>
        <v/>
      </c>
      <c r="S383" s="39">
        <f>IF(A383="","",IF(N383&lt;&gt;"",N383,H383))</f>
        <v/>
      </c>
      <c r="T383" s="39">
        <f>IF(A383="","",IF(C383="✗","Skipped",IF(Q383&gt;0,"Paid","Upcoming")))</f>
        <v/>
      </c>
      <c r="U383" s="42">
        <f>IF(A383="",0,IF(C383="✗",0,IF(L383&lt;&gt;"",L383,F383)))</f>
        <v/>
      </c>
    </row>
    <row r="384">
      <c r="A384" s="32">
        <f>IFERROR(SMALL(Calc!$B$2:$BB$61,379),"")</f>
        <v/>
      </c>
      <c r="B384" s="32">
        <f>IF(A384="","",ROUND(MOD(A384,1)*1000,0))</f>
        <v/>
      </c>
      <c r="C384" s="33" t="n"/>
      <c r="D384" s="34">
        <f>IF(A384="","",INT(A384))</f>
        <v/>
      </c>
      <c r="E384" s="35">
        <f>IF(B384="","",INDEX(Setup!$D$25:$D$84,B384))</f>
        <v/>
      </c>
      <c r="F384" s="36">
        <f>IF(B384="","",INDEX(Setup!$E$25:$E$84,B384))</f>
        <v/>
      </c>
      <c r="G384" s="32">
        <f>IF(B384="","",INDEX(Setup!$I$25:$I$84,B384)&amp;"")</f>
        <v/>
      </c>
      <c r="H384" s="32">
        <f>IF(B384="","",INDEX(Setup!$J$25:$J$84,B384)&amp;"")</f>
        <v/>
      </c>
      <c r="I384" s="32">
        <f>IF(B384="","",INDEX(Setup!$C$25:$C$84,B384))</f>
        <v/>
      </c>
      <c r="J384" s="32" t="n"/>
      <c r="K384" s="37" t="n"/>
      <c r="L384" s="38" t="n"/>
      <c r="M384" s="33" t="n"/>
      <c r="N384" s="33" t="n"/>
      <c r="O384" s="32" t="n"/>
      <c r="P384" s="34">
        <f>IF(A384="","",IF(K384&lt;&gt;"",K384,D384))</f>
        <v/>
      </c>
      <c r="Q384" s="36">
        <f>IF(A384="",0,IF(C384="✗",0,IF(OR(C384="✓",AND(Setup!$D$7="Yes",P384&lt;=TODAY())),IF(L384&lt;&gt;"",L384,F384),0)))</f>
        <v/>
      </c>
      <c r="R384" s="32">
        <f>IF(A384="","",IF(M384&lt;&gt;"",M384,G384))</f>
        <v/>
      </c>
      <c r="S384" s="32">
        <f>IF(A384="","",IF(N384&lt;&gt;"",N384,H384))</f>
        <v/>
      </c>
      <c r="T384" s="32">
        <f>IF(A384="","",IF(C384="✗","Skipped",IF(Q384&gt;0,"Paid","Upcoming")))</f>
        <v/>
      </c>
      <c r="U384" s="36">
        <f>IF(A384="",0,IF(C384="✗",0,IF(L384&lt;&gt;"",L384,F384)))</f>
        <v/>
      </c>
    </row>
    <row r="385">
      <c r="A385" s="39">
        <f>IFERROR(SMALL(Calc!$B$2:$BB$61,380),"")</f>
        <v/>
      </c>
      <c r="B385" s="39">
        <f>IF(A385="","",ROUND(MOD(A385,1)*1000,0))</f>
        <v/>
      </c>
      <c r="C385" s="33" t="n"/>
      <c r="D385" s="40">
        <f>IF(A385="","",INT(A385))</f>
        <v/>
      </c>
      <c r="E385" s="41">
        <f>IF(B385="","",INDEX(Setup!$D$25:$D$84,B385))</f>
        <v/>
      </c>
      <c r="F385" s="42">
        <f>IF(B385="","",INDEX(Setup!$E$25:$E$84,B385))</f>
        <v/>
      </c>
      <c r="G385" s="39">
        <f>IF(B385="","",INDEX(Setup!$I$25:$I$84,B385)&amp;"")</f>
        <v/>
      </c>
      <c r="H385" s="39">
        <f>IF(B385="","",INDEX(Setup!$J$25:$J$84,B385)&amp;"")</f>
        <v/>
      </c>
      <c r="I385" s="39">
        <f>IF(B385="","",INDEX(Setup!$C$25:$C$84,B385))</f>
        <v/>
      </c>
      <c r="J385" s="39" t="n"/>
      <c r="K385" s="37" t="n"/>
      <c r="L385" s="38" t="n"/>
      <c r="M385" s="33" t="n"/>
      <c r="N385" s="33" t="n"/>
      <c r="O385" s="39" t="n"/>
      <c r="P385" s="40">
        <f>IF(A385="","",IF(K385&lt;&gt;"",K385,D385))</f>
        <v/>
      </c>
      <c r="Q385" s="42">
        <f>IF(A385="",0,IF(C385="✗",0,IF(OR(C385="✓",AND(Setup!$D$7="Yes",P385&lt;=TODAY())),IF(L385&lt;&gt;"",L385,F385),0)))</f>
        <v/>
      </c>
      <c r="R385" s="39">
        <f>IF(A385="","",IF(M385&lt;&gt;"",M385,G385))</f>
        <v/>
      </c>
      <c r="S385" s="39">
        <f>IF(A385="","",IF(N385&lt;&gt;"",N385,H385))</f>
        <v/>
      </c>
      <c r="T385" s="39">
        <f>IF(A385="","",IF(C385="✗","Skipped",IF(Q385&gt;0,"Paid","Upcoming")))</f>
        <v/>
      </c>
      <c r="U385" s="42">
        <f>IF(A385="",0,IF(C385="✗",0,IF(L385&lt;&gt;"",L385,F385)))</f>
        <v/>
      </c>
    </row>
    <row r="386">
      <c r="A386" s="32">
        <f>IFERROR(SMALL(Calc!$B$2:$BB$61,381),"")</f>
        <v/>
      </c>
      <c r="B386" s="32">
        <f>IF(A386="","",ROUND(MOD(A386,1)*1000,0))</f>
        <v/>
      </c>
      <c r="C386" s="33" t="n"/>
      <c r="D386" s="34">
        <f>IF(A386="","",INT(A386))</f>
        <v/>
      </c>
      <c r="E386" s="35">
        <f>IF(B386="","",INDEX(Setup!$D$25:$D$84,B386))</f>
        <v/>
      </c>
      <c r="F386" s="36">
        <f>IF(B386="","",INDEX(Setup!$E$25:$E$84,B386))</f>
        <v/>
      </c>
      <c r="G386" s="32">
        <f>IF(B386="","",INDEX(Setup!$I$25:$I$84,B386)&amp;"")</f>
        <v/>
      </c>
      <c r="H386" s="32">
        <f>IF(B386="","",INDEX(Setup!$J$25:$J$84,B386)&amp;"")</f>
        <v/>
      </c>
      <c r="I386" s="32">
        <f>IF(B386="","",INDEX(Setup!$C$25:$C$84,B386))</f>
        <v/>
      </c>
      <c r="J386" s="32" t="n"/>
      <c r="K386" s="37" t="n"/>
      <c r="L386" s="38" t="n"/>
      <c r="M386" s="33" t="n"/>
      <c r="N386" s="33" t="n"/>
      <c r="O386" s="32" t="n"/>
      <c r="P386" s="34">
        <f>IF(A386="","",IF(K386&lt;&gt;"",K386,D386))</f>
        <v/>
      </c>
      <c r="Q386" s="36">
        <f>IF(A386="",0,IF(C386="✗",0,IF(OR(C386="✓",AND(Setup!$D$7="Yes",P386&lt;=TODAY())),IF(L386&lt;&gt;"",L386,F386),0)))</f>
        <v/>
      </c>
      <c r="R386" s="32">
        <f>IF(A386="","",IF(M386&lt;&gt;"",M386,G386))</f>
        <v/>
      </c>
      <c r="S386" s="32">
        <f>IF(A386="","",IF(N386&lt;&gt;"",N386,H386))</f>
        <v/>
      </c>
      <c r="T386" s="32">
        <f>IF(A386="","",IF(C386="✗","Skipped",IF(Q386&gt;0,"Paid","Upcoming")))</f>
        <v/>
      </c>
      <c r="U386" s="36">
        <f>IF(A386="",0,IF(C386="✗",0,IF(L386&lt;&gt;"",L386,F386)))</f>
        <v/>
      </c>
    </row>
    <row r="387">
      <c r="A387" s="39">
        <f>IFERROR(SMALL(Calc!$B$2:$BB$61,382),"")</f>
        <v/>
      </c>
      <c r="B387" s="39">
        <f>IF(A387="","",ROUND(MOD(A387,1)*1000,0))</f>
        <v/>
      </c>
      <c r="C387" s="33" t="n"/>
      <c r="D387" s="40">
        <f>IF(A387="","",INT(A387))</f>
        <v/>
      </c>
      <c r="E387" s="41">
        <f>IF(B387="","",INDEX(Setup!$D$25:$D$84,B387))</f>
        <v/>
      </c>
      <c r="F387" s="42">
        <f>IF(B387="","",INDEX(Setup!$E$25:$E$84,B387))</f>
        <v/>
      </c>
      <c r="G387" s="39">
        <f>IF(B387="","",INDEX(Setup!$I$25:$I$84,B387)&amp;"")</f>
        <v/>
      </c>
      <c r="H387" s="39">
        <f>IF(B387="","",INDEX(Setup!$J$25:$J$84,B387)&amp;"")</f>
        <v/>
      </c>
      <c r="I387" s="39">
        <f>IF(B387="","",INDEX(Setup!$C$25:$C$84,B387))</f>
        <v/>
      </c>
      <c r="J387" s="39" t="n"/>
      <c r="K387" s="37" t="n"/>
      <c r="L387" s="38" t="n"/>
      <c r="M387" s="33" t="n"/>
      <c r="N387" s="33" t="n"/>
      <c r="O387" s="39" t="n"/>
      <c r="P387" s="40">
        <f>IF(A387="","",IF(K387&lt;&gt;"",K387,D387))</f>
        <v/>
      </c>
      <c r="Q387" s="42">
        <f>IF(A387="",0,IF(C387="✗",0,IF(OR(C387="✓",AND(Setup!$D$7="Yes",P387&lt;=TODAY())),IF(L387&lt;&gt;"",L387,F387),0)))</f>
        <v/>
      </c>
      <c r="R387" s="39">
        <f>IF(A387="","",IF(M387&lt;&gt;"",M387,G387))</f>
        <v/>
      </c>
      <c r="S387" s="39">
        <f>IF(A387="","",IF(N387&lt;&gt;"",N387,H387))</f>
        <v/>
      </c>
      <c r="T387" s="39">
        <f>IF(A387="","",IF(C387="✗","Skipped",IF(Q387&gt;0,"Paid","Upcoming")))</f>
        <v/>
      </c>
      <c r="U387" s="42">
        <f>IF(A387="",0,IF(C387="✗",0,IF(L387&lt;&gt;"",L387,F387)))</f>
        <v/>
      </c>
    </row>
    <row r="388">
      <c r="A388" s="32">
        <f>IFERROR(SMALL(Calc!$B$2:$BB$61,383),"")</f>
        <v/>
      </c>
      <c r="B388" s="32">
        <f>IF(A388="","",ROUND(MOD(A388,1)*1000,0))</f>
        <v/>
      </c>
      <c r="C388" s="33" t="n"/>
      <c r="D388" s="34">
        <f>IF(A388="","",INT(A388))</f>
        <v/>
      </c>
      <c r="E388" s="35">
        <f>IF(B388="","",INDEX(Setup!$D$25:$D$84,B388))</f>
        <v/>
      </c>
      <c r="F388" s="36">
        <f>IF(B388="","",INDEX(Setup!$E$25:$E$84,B388))</f>
        <v/>
      </c>
      <c r="G388" s="32">
        <f>IF(B388="","",INDEX(Setup!$I$25:$I$84,B388)&amp;"")</f>
        <v/>
      </c>
      <c r="H388" s="32">
        <f>IF(B388="","",INDEX(Setup!$J$25:$J$84,B388)&amp;"")</f>
        <v/>
      </c>
      <c r="I388" s="32">
        <f>IF(B388="","",INDEX(Setup!$C$25:$C$84,B388))</f>
        <v/>
      </c>
      <c r="J388" s="32" t="n"/>
      <c r="K388" s="37" t="n"/>
      <c r="L388" s="38" t="n"/>
      <c r="M388" s="33" t="n"/>
      <c r="N388" s="33" t="n"/>
      <c r="O388" s="32" t="n"/>
      <c r="P388" s="34">
        <f>IF(A388="","",IF(K388&lt;&gt;"",K388,D388))</f>
        <v/>
      </c>
      <c r="Q388" s="36">
        <f>IF(A388="",0,IF(C388="✗",0,IF(OR(C388="✓",AND(Setup!$D$7="Yes",P388&lt;=TODAY())),IF(L388&lt;&gt;"",L388,F388),0)))</f>
        <v/>
      </c>
      <c r="R388" s="32">
        <f>IF(A388="","",IF(M388&lt;&gt;"",M388,G388))</f>
        <v/>
      </c>
      <c r="S388" s="32">
        <f>IF(A388="","",IF(N388&lt;&gt;"",N388,H388))</f>
        <v/>
      </c>
      <c r="T388" s="32">
        <f>IF(A388="","",IF(C388="✗","Skipped",IF(Q388&gt;0,"Paid","Upcoming")))</f>
        <v/>
      </c>
      <c r="U388" s="36">
        <f>IF(A388="",0,IF(C388="✗",0,IF(L388&lt;&gt;"",L388,F388)))</f>
        <v/>
      </c>
    </row>
    <row r="389">
      <c r="A389" s="39">
        <f>IFERROR(SMALL(Calc!$B$2:$BB$61,384),"")</f>
        <v/>
      </c>
      <c r="B389" s="39">
        <f>IF(A389="","",ROUND(MOD(A389,1)*1000,0))</f>
        <v/>
      </c>
      <c r="C389" s="33" t="n"/>
      <c r="D389" s="40">
        <f>IF(A389="","",INT(A389))</f>
        <v/>
      </c>
      <c r="E389" s="41">
        <f>IF(B389="","",INDEX(Setup!$D$25:$D$84,B389))</f>
        <v/>
      </c>
      <c r="F389" s="42">
        <f>IF(B389="","",INDEX(Setup!$E$25:$E$84,B389))</f>
        <v/>
      </c>
      <c r="G389" s="39">
        <f>IF(B389="","",INDEX(Setup!$I$25:$I$84,B389)&amp;"")</f>
        <v/>
      </c>
      <c r="H389" s="39">
        <f>IF(B389="","",INDEX(Setup!$J$25:$J$84,B389)&amp;"")</f>
        <v/>
      </c>
      <c r="I389" s="39">
        <f>IF(B389="","",INDEX(Setup!$C$25:$C$84,B389))</f>
        <v/>
      </c>
      <c r="J389" s="39" t="n"/>
      <c r="K389" s="37" t="n"/>
      <c r="L389" s="38" t="n"/>
      <c r="M389" s="33" t="n"/>
      <c r="N389" s="33" t="n"/>
      <c r="O389" s="39" t="n"/>
      <c r="P389" s="40">
        <f>IF(A389="","",IF(K389&lt;&gt;"",K389,D389))</f>
        <v/>
      </c>
      <c r="Q389" s="42">
        <f>IF(A389="",0,IF(C389="✗",0,IF(OR(C389="✓",AND(Setup!$D$7="Yes",P389&lt;=TODAY())),IF(L389&lt;&gt;"",L389,F389),0)))</f>
        <v/>
      </c>
      <c r="R389" s="39">
        <f>IF(A389="","",IF(M389&lt;&gt;"",M389,G389))</f>
        <v/>
      </c>
      <c r="S389" s="39">
        <f>IF(A389="","",IF(N389&lt;&gt;"",N389,H389))</f>
        <v/>
      </c>
      <c r="T389" s="39">
        <f>IF(A389="","",IF(C389="✗","Skipped",IF(Q389&gt;0,"Paid","Upcoming")))</f>
        <v/>
      </c>
      <c r="U389" s="42">
        <f>IF(A389="",0,IF(C389="✗",0,IF(L389&lt;&gt;"",L389,F389)))</f>
        <v/>
      </c>
    </row>
    <row r="390">
      <c r="A390" s="32">
        <f>IFERROR(SMALL(Calc!$B$2:$BB$61,385),"")</f>
        <v/>
      </c>
      <c r="B390" s="32">
        <f>IF(A390="","",ROUND(MOD(A390,1)*1000,0))</f>
        <v/>
      </c>
      <c r="C390" s="33" t="n"/>
      <c r="D390" s="34">
        <f>IF(A390="","",INT(A390))</f>
        <v/>
      </c>
      <c r="E390" s="35">
        <f>IF(B390="","",INDEX(Setup!$D$25:$D$84,B390))</f>
        <v/>
      </c>
      <c r="F390" s="36">
        <f>IF(B390="","",INDEX(Setup!$E$25:$E$84,B390))</f>
        <v/>
      </c>
      <c r="G390" s="32">
        <f>IF(B390="","",INDEX(Setup!$I$25:$I$84,B390)&amp;"")</f>
        <v/>
      </c>
      <c r="H390" s="32">
        <f>IF(B390="","",INDEX(Setup!$J$25:$J$84,B390)&amp;"")</f>
        <v/>
      </c>
      <c r="I390" s="32">
        <f>IF(B390="","",INDEX(Setup!$C$25:$C$84,B390))</f>
        <v/>
      </c>
      <c r="J390" s="32" t="n"/>
      <c r="K390" s="37" t="n"/>
      <c r="L390" s="38" t="n"/>
      <c r="M390" s="33" t="n"/>
      <c r="N390" s="33" t="n"/>
      <c r="O390" s="32" t="n"/>
      <c r="P390" s="34">
        <f>IF(A390="","",IF(K390&lt;&gt;"",K390,D390))</f>
        <v/>
      </c>
      <c r="Q390" s="36">
        <f>IF(A390="",0,IF(C390="✗",0,IF(OR(C390="✓",AND(Setup!$D$7="Yes",P390&lt;=TODAY())),IF(L390&lt;&gt;"",L390,F390),0)))</f>
        <v/>
      </c>
      <c r="R390" s="32">
        <f>IF(A390="","",IF(M390&lt;&gt;"",M390,G390))</f>
        <v/>
      </c>
      <c r="S390" s="32">
        <f>IF(A390="","",IF(N390&lt;&gt;"",N390,H390))</f>
        <v/>
      </c>
      <c r="T390" s="32">
        <f>IF(A390="","",IF(C390="✗","Skipped",IF(Q390&gt;0,"Paid","Upcoming")))</f>
        <v/>
      </c>
      <c r="U390" s="36">
        <f>IF(A390="",0,IF(C390="✗",0,IF(L390&lt;&gt;"",L390,F390)))</f>
        <v/>
      </c>
    </row>
    <row r="391">
      <c r="A391" s="39">
        <f>IFERROR(SMALL(Calc!$B$2:$BB$61,386),"")</f>
        <v/>
      </c>
      <c r="B391" s="39">
        <f>IF(A391="","",ROUND(MOD(A391,1)*1000,0))</f>
        <v/>
      </c>
      <c r="C391" s="33" t="n"/>
      <c r="D391" s="40">
        <f>IF(A391="","",INT(A391))</f>
        <v/>
      </c>
      <c r="E391" s="41">
        <f>IF(B391="","",INDEX(Setup!$D$25:$D$84,B391))</f>
        <v/>
      </c>
      <c r="F391" s="42">
        <f>IF(B391="","",INDEX(Setup!$E$25:$E$84,B391))</f>
        <v/>
      </c>
      <c r="G391" s="39">
        <f>IF(B391="","",INDEX(Setup!$I$25:$I$84,B391)&amp;"")</f>
        <v/>
      </c>
      <c r="H391" s="39">
        <f>IF(B391="","",INDEX(Setup!$J$25:$J$84,B391)&amp;"")</f>
        <v/>
      </c>
      <c r="I391" s="39">
        <f>IF(B391="","",INDEX(Setup!$C$25:$C$84,B391))</f>
        <v/>
      </c>
      <c r="J391" s="39" t="n"/>
      <c r="K391" s="37" t="n"/>
      <c r="L391" s="38" t="n"/>
      <c r="M391" s="33" t="n"/>
      <c r="N391" s="33" t="n"/>
      <c r="O391" s="39" t="n"/>
      <c r="P391" s="40">
        <f>IF(A391="","",IF(K391&lt;&gt;"",K391,D391))</f>
        <v/>
      </c>
      <c r="Q391" s="42">
        <f>IF(A391="",0,IF(C391="✗",0,IF(OR(C391="✓",AND(Setup!$D$7="Yes",P391&lt;=TODAY())),IF(L391&lt;&gt;"",L391,F391),0)))</f>
        <v/>
      </c>
      <c r="R391" s="39">
        <f>IF(A391="","",IF(M391&lt;&gt;"",M391,G391))</f>
        <v/>
      </c>
      <c r="S391" s="39">
        <f>IF(A391="","",IF(N391&lt;&gt;"",N391,H391))</f>
        <v/>
      </c>
      <c r="T391" s="39">
        <f>IF(A391="","",IF(C391="✗","Skipped",IF(Q391&gt;0,"Paid","Upcoming")))</f>
        <v/>
      </c>
      <c r="U391" s="42">
        <f>IF(A391="",0,IF(C391="✗",0,IF(L391&lt;&gt;"",L391,F391)))</f>
        <v/>
      </c>
    </row>
    <row r="392">
      <c r="A392" s="32">
        <f>IFERROR(SMALL(Calc!$B$2:$BB$61,387),"")</f>
        <v/>
      </c>
      <c r="B392" s="32">
        <f>IF(A392="","",ROUND(MOD(A392,1)*1000,0))</f>
        <v/>
      </c>
      <c r="C392" s="33" t="n"/>
      <c r="D392" s="34">
        <f>IF(A392="","",INT(A392))</f>
        <v/>
      </c>
      <c r="E392" s="35">
        <f>IF(B392="","",INDEX(Setup!$D$25:$D$84,B392))</f>
        <v/>
      </c>
      <c r="F392" s="36">
        <f>IF(B392="","",INDEX(Setup!$E$25:$E$84,B392))</f>
        <v/>
      </c>
      <c r="G392" s="32">
        <f>IF(B392="","",INDEX(Setup!$I$25:$I$84,B392)&amp;"")</f>
        <v/>
      </c>
      <c r="H392" s="32">
        <f>IF(B392="","",INDEX(Setup!$J$25:$J$84,B392)&amp;"")</f>
        <v/>
      </c>
      <c r="I392" s="32">
        <f>IF(B392="","",INDEX(Setup!$C$25:$C$84,B392))</f>
        <v/>
      </c>
      <c r="J392" s="32" t="n"/>
      <c r="K392" s="37" t="n"/>
      <c r="L392" s="38" t="n"/>
      <c r="M392" s="33" t="n"/>
      <c r="N392" s="33" t="n"/>
      <c r="O392" s="32" t="n"/>
      <c r="P392" s="34">
        <f>IF(A392="","",IF(K392&lt;&gt;"",K392,D392))</f>
        <v/>
      </c>
      <c r="Q392" s="36">
        <f>IF(A392="",0,IF(C392="✗",0,IF(OR(C392="✓",AND(Setup!$D$7="Yes",P392&lt;=TODAY())),IF(L392&lt;&gt;"",L392,F392),0)))</f>
        <v/>
      </c>
      <c r="R392" s="32">
        <f>IF(A392="","",IF(M392&lt;&gt;"",M392,G392))</f>
        <v/>
      </c>
      <c r="S392" s="32">
        <f>IF(A392="","",IF(N392&lt;&gt;"",N392,H392))</f>
        <v/>
      </c>
      <c r="T392" s="32">
        <f>IF(A392="","",IF(C392="✗","Skipped",IF(Q392&gt;0,"Paid","Upcoming")))</f>
        <v/>
      </c>
      <c r="U392" s="36">
        <f>IF(A392="",0,IF(C392="✗",0,IF(L392&lt;&gt;"",L392,F392)))</f>
        <v/>
      </c>
    </row>
    <row r="393">
      <c r="A393" s="39">
        <f>IFERROR(SMALL(Calc!$B$2:$BB$61,388),"")</f>
        <v/>
      </c>
      <c r="B393" s="39">
        <f>IF(A393="","",ROUND(MOD(A393,1)*1000,0))</f>
        <v/>
      </c>
      <c r="C393" s="33" t="n"/>
      <c r="D393" s="40">
        <f>IF(A393="","",INT(A393))</f>
        <v/>
      </c>
      <c r="E393" s="41">
        <f>IF(B393="","",INDEX(Setup!$D$25:$D$84,B393))</f>
        <v/>
      </c>
      <c r="F393" s="42">
        <f>IF(B393="","",INDEX(Setup!$E$25:$E$84,B393))</f>
        <v/>
      </c>
      <c r="G393" s="39">
        <f>IF(B393="","",INDEX(Setup!$I$25:$I$84,B393)&amp;"")</f>
        <v/>
      </c>
      <c r="H393" s="39">
        <f>IF(B393="","",INDEX(Setup!$J$25:$J$84,B393)&amp;"")</f>
        <v/>
      </c>
      <c r="I393" s="39">
        <f>IF(B393="","",INDEX(Setup!$C$25:$C$84,B393))</f>
        <v/>
      </c>
      <c r="J393" s="39" t="n"/>
      <c r="K393" s="37" t="n"/>
      <c r="L393" s="38" t="n"/>
      <c r="M393" s="33" t="n"/>
      <c r="N393" s="33" t="n"/>
      <c r="O393" s="39" t="n"/>
      <c r="P393" s="40">
        <f>IF(A393="","",IF(K393&lt;&gt;"",K393,D393))</f>
        <v/>
      </c>
      <c r="Q393" s="42">
        <f>IF(A393="",0,IF(C393="✗",0,IF(OR(C393="✓",AND(Setup!$D$7="Yes",P393&lt;=TODAY())),IF(L393&lt;&gt;"",L393,F393),0)))</f>
        <v/>
      </c>
      <c r="R393" s="39">
        <f>IF(A393="","",IF(M393&lt;&gt;"",M393,G393))</f>
        <v/>
      </c>
      <c r="S393" s="39">
        <f>IF(A393="","",IF(N393&lt;&gt;"",N393,H393))</f>
        <v/>
      </c>
      <c r="T393" s="39">
        <f>IF(A393="","",IF(C393="✗","Skipped",IF(Q393&gt;0,"Paid","Upcoming")))</f>
        <v/>
      </c>
      <c r="U393" s="42">
        <f>IF(A393="",0,IF(C393="✗",0,IF(L393&lt;&gt;"",L393,F393)))</f>
        <v/>
      </c>
    </row>
    <row r="394">
      <c r="A394" s="32">
        <f>IFERROR(SMALL(Calc!$B$2:$BB$61,389),"")</f>
        <v/>
      </c>
      <c r="B394" s="32">
        <f>IF(A394="","",ROUND(MOD(A394,1)*1000,0))</f>
        <v/>
      </c>
      <c r="C394" s="33" t="n"/>
      <c r="D394" s="34">
        <f>IF(A394="","",INT(A394))</f>
        <v/>
      </c>
      <c r="E394" s="35">
        <f>IF(B394="","",INDEX(Setup!$D$25:$D$84,B394))</f>
        <v/>
      </c>
      <c r="F394" s="36">
        <f>IF(B394="","",INDEX(Setup!$E$25:$E$84,B394))</f>
        <v/>
      </c>
      <c r="G394" s="32">
        <f>IF(B394="","",INDEX(Setup!$I$25:$I$84,B394)&amp;"")</f>
        <v/>
      </c>
      <c r="H394" s="32">
        <f>IF(B394="","",INDEX(Setup!$J$25:$J$84,B394)&amp;"")</f>
        <v/>
      </c>
      <c r="I394" s="32">
        <f>IF(B394="","",INDEX(Setup!$C$25:$C$84,B394))</f>
        <v/>
      </c>
      <c r="J394" s="32" t="n"/>
      <c r="K394" s="37" t="n"/>
      <c r="L394" s="38" t="n"/>
      <c r="M394" s="33" t="n"/>
      <c r="N394" s="33" t="n"/>
      <c r="O394" s="32" t="n"/>
      <c r="P394" s="34">
        <f>IF(A394="","",IF(K394&lt;&gt;"",K394,D394))</f>
        <v/>
      </c>
      <c r="Q394" s="36">
        <f>IF(A394="",0,IF(C394="✗",0,IF(OR(C394="✓",AND(Setup!$D$7="Yes",P394&lt;=TODAY())),IF(L394&lt;&gt;"",L394,F394),0)))</f>
        <v/>
      </c>
      <c r="R394" s="32">
        <f>IF(A394="","",IF(M394&lt;&gt;"",M394,G394))</f>
        <v/>
      </c>
      <c r="S394" s="32">
        <f>IF(A394="","",IF(N394&lt;&gt;"",N394,H394))</f>
        <v/>
      </c>
      <c r="T394" s="32">
        <f>IF(A394="","",IF(C394="✗","Skipped",IF(Q394&gt;0,"Paid","Upcoming")))</f>
        <v/>
      </c>
      <c r="U394" s="36">
        <f>IF(A394="",0,IF(C394="✗",0,IF(L394&lt;&gt;"",L394,F394)))</f>
        <v/>
      </c>
    </row>
    <row r="395">
      <c r="A395" s="39">
        <f>IFERROR(SMALL(Calc!$B$2:$BB$61,390),"")</f>
        <v/>
      </c>
      <c r="B395" s="39">
        <f>IF(A395="","",ROUND(MOD(A395,1)*1000,0))</f>
        <v/>
      </c>
      <c r="C395" s="33" t="n"/>
      <c r="D395" s="40">
        <f>IF(A395="","",INT(A395))</f>
        <v/>
      </c>
      <c r="E395" s="41">
        <f>IF(B395="","",INDEX(Setup!$D$25:$D$84,B395))</f>
        <v/>
      </c>
      <c r="F395" s="42">
        <f>IF(B395="","",INDEX(Setup!$E$25:$E$84,B395))</f>
        <v/>
      </c>
      <c r="G395" s="39">
        <f>IF(B395="","",INDEX(Setup!$I$25:$I$84,B395)&amp;"")</f>
        <v/>
      </c>
      <c r="H395" s="39">
        <f>IF(B395="","",INDEX(Setup!$J$25:$J$84,B395)&amp;"")</f>
        <v/>
      </c>
      <c r="I395" s="39">
        <f>IF(B395="","",INDEX(Setup!$C$25:$C$84,B395))</f>
        <v/>
      </c>
      <c r="J395" s="39" t="n"/>
      <c r="K395" s="37" t="n"/>
      <c r="L395" s="38" t="n"/>
      <c r="M395" s="33" t="n"/>
      <c r="N395" s="33" t="n"/>
      <c r="O395" s="39" t="n"/>
      <c r="P395" s="40">
        <f>IF(A395="","",IF(K395&lt;&gt;"",K395,D395))</f>
        <v/>
      </c>
      <c r="Q395" s="42">
        <f>IF(A395="",0,IF(C395="✗",0,IF(OR(C395="✓",AND(Setup!$D$7="Yes",P395&lt;=TODAY())),IF(L395&lt;&gt;"",L395,F395),0)))</f>
        <v/>
      </c>
      <c r="R395" s="39">
        <f>IF(A395="","",IF(M395&lt;&gt;"",M395,G395))</f>
        <v/>
      </c>
      <c r="S395" s="39">
        <f>IF(A395="","",IF(N395&lt;&gt;"",N395,H395))</f>
        <v/>
      </c>
      <c r="T395" s="39">
        <f>IF(A395="","",IF(C395="✗","Skipped",IF(Q395&gt;0,"Paid","Upcoming")))</f>
        <v/>
      </c>
      <c r="U395" s="42">
        <f>IF(A395="",0,IF(C395="✗",0,IF(L395&lt;&gt;"",L395,F395)))</f>
        <v/>
      </c>
    </row>
    <row r="396">
      <c r="A396" s="32">
        <f>IFERROR(SMALL(Calc!$B$2:$BB$61,391),"")</f>
        <v/>
      </c>
      <c r="B396" s="32">
        <f>IF(A396="","",ROUND(MOD(A396,1)*1000,0))</f>
        <v/>
      </c>
      <c r="C396" s="33" t="n"/>
      <c r="D396" s="34">
        <f>IF(A396="","",INT(A396))</f>
        <v/>
      </c>
      <c r="E396" s="35">
        <f>IF(B396="","",INDEX(Setup!$D$25:$D$84,B396))</f>
        <v/>
      </c>
      <c r="F396" s="36">
        <f>IF(B396="","",INDEX(Setup!$E$25:$E$84,B396))</f>
        <v/>
      </c>
      <c r="G396" s="32">
        <f>IF(B396="","",INDEX(Setup!$I$25:$I$84,B396)&amp;"")</f>
        <v/>
      </c>
      <c r="H396" s="32">
        <f>IF(B396="","",INDEX(Setup!$J$25:$J$84,B396)&amp;"")</f>
        <v/>
      </c>
      <c r="I396" s="32">
        <f>IF(B396="","",INDEX(Setup!$C$25:$C$84,B396))</f>
        <v/>
      </c>
      <c r="J396" s="32" t="n"/>
      <c r="K396" s="37" t="n"/>
      <c r="L396" s="38" t="n"/>
      <c r="M396" s="33" t="n"/>
      <c r="N396" s="33" t="n"/>
      <c r="O396" s="32" t="n"/>
      <c r="P396" s="34">
        <f>IF(A396="","",IF(K396&lt;&gt;"",K396,D396))</f>
        <v/>
      </c>
      <c r="Q396" s="36">
        <f>IF(A396="",0,IF(C396="✗",0,IF(OR(C396="✓",AND(Setup!$D$7="Yes",P396&lt;=TODAY())),IF(L396&lt;&gt;"",L396,F396),0)))</f>
        <v/>
      </c>
      <c r="R396" s="32">
        <f>IF(A396="","",IF(M396&lt;&gt;"",M396,G396))</f>
        <v/>
      </c>
      <c r="S396" s="32">
        <f>IF(A396="","",IF(N396&lt;&gt;"",N396,H396))</f>
        <v/>
      </c>
      <c r="T396" s="32">
        <f>IF(A396="","",IF(C396="✗","Skipped",IF(Q396&gt;0,"Paid","Upcoming")))</f>
        <v/>
      </c>
      <c r="U396" s="36">
        <f>IF(A396="",0,IF(C396="✗",0,IF(L396&lt;&gt;"",L396,F396)))</f>
        <v/>
      </c>
    </row>
    <row r="397">
      <c r="A397" s="39">
        <f>IFERROR(SMALL(Calc!$B$2:$BB$61,392),"")</f>
        <v/>
      </c>
      <c r="B397" s="39">
        <f>IF(A397="","",ROUND(MOD(A397,1)*1000,0))</f>
        <v/>
      </c>
      <c r="C397" s="33" t="n"/>
      <c r="D397" s="40">
        <f>IF(A397="","",INT(A397))</f>
        <v/>
      </c>
      <c r="E397" s="41">
        <f>IF(B397="","",INDEX(Setup!$D$25:$D$84,B397))</f>
        <v/>
      </c>
      <c r="F397" s="42">
        <f>IF(B397="","",INDEX(Setup!$E$25:$E$84,B397))</f>
        <v/>
      </c>
      <c r="G397" s="39">
        <f>IF(B397="","",INDEX(Setup!$I$25:$I$84,B397)&amp;"")</f>
        <v/>
      </c>
      <c r="H397" s="39">
        <f>IF(B397="","",INDEX(Setup!$J$25:$J$84,B397)&amp;"")</f>
        <v/>
      </c>
      <c r="I397" s="39">
        <f>IF(B397="","",INDEX(Setup!$C$25:$C$84,B397))</f>
        <v/>
      </c>
      <c r="J397" s="39" t="n"/>
      <c r="K397" s="37" t="n"/>
      <c r="L397" s="38" t="n"/>
      <c r="M397" s="33" t="n"/>
      <c r="N397" s="33" t="n"/>
      <c r="O397" s="39" t="n"/>
      <c r="P397" s="40">
        <f>IF(A397="","",IF(K397&lt;&gt;"",K397,D397))</f>
        <v/>
      </c>
      <c r="Q397" s="42">
        <f>IF(A397="",0,IF(C397="✗",0,IF(OR(C397="✓",AND(Setup!$D$7="Yes",P397&lt;=TODAY())),IF(L397&lt;&gt;"",L397,F397),0)))</f>
        <v/>
      </c>
      <c r="R397" s="39">
        <f>IF(A397="","",IF(M397&lt;&gt;"",M397,G397))</f>
        <v/>
      </c>
      <c r="S397" s="39">
        <f>IF(A397="","",IF(N397&lt;&gt;"",N397,H397))</f>
        <v/>
      </c>
      <c r="T397" s="39">
        <f>IF(A397="","",IF(C397="✗","Skipped",IF(Q397&gt;0,"Paid","Upcoming")))</f>
        <v/>
      </c>
      <c r="U397" s="42">
        <f>IF(A397="",0,IF(C397="✗",0,IF(L397&lt;&gt;"",L397,F397)))</f>
        <v/>
      </c>
    </row>
    <row r="398">
      <c r="A398" s="32">
        <f>IFERROR(SMALL(Calc!$B$2:$BB$61,393),"")</f>
        <v/>
      </c>
      <c r="B398" s="32">
        <f>IF(A398="","",ROUND(MOD(A398,1)*1000,0))</f>
        <v/>
      </c>
      <c r="C398" s="33" t="n"/>
      <c r="D398" s="34">
        <f>IF(A398="","",INT(A398))</f>
        <v/>
      </c>
      <c r="E398" s="35">
        <f>IF(B398="","",INDEX(Setup!$D$25:$D$84,B398))</f>
        <v/>
      </c>
      <c r="F398" s="36">
        <f>IF(B398="","",INDEX(Setup!$E$25:$E$84,B398))</f>
        <v/>
      </c>
      <c r="G398" s="32">
        <f>IF(B398="","",INDEX(Setup!$I$25:$I$84,B398)&amp;"")</f>
        <v/>
      </c>
      <c r="H398" s="32">
        <f>IF(B398="","",INDEX(Setup!$J$25:$J$84,B398)&amp;"")</f>
        <v/>
      </c>
      <c r="I398" s="32">
        <f>IF(B398="","",INDEX(Setup!$C$25:$C$84,B398))</f>
        <v/>
      </c>
      <c r="J398" s="32" t="n"/>
      <c r="K398" s="37" t="n"/>
      <c r="L398" s="38" t="n"/>
      <c r="M398" s="33" t="n"/>
      <c r="N398" s="33" t="n"/>
      <c r="O398" s="32" t="n"/>
      <c r="P398" s="34">
        <f>IF(A398="","",IF(K398&lt;&gt;"",K398,D398))</f>
        <v/>
      </c>
      <c r="Q398" s="36">
        <f>IF(A398="",0,IF(C398="✗",0,IF(OR(C398="✓",AND(Setup!$D$7="Yes",P398&lt;=TODAY())),IF(L398&lt;&gt;"",L398,F398),0)))</f>
        <v/>
      </c>
      <c r="R398" s="32">
        <f>IF(A398="","",IF(M398&lt;&gt;"",M398,G398))</f>
        <v/>
      </c>
      <c r="S398" s="32">
        <f>IF(A398="","",IF(N398&lt;&gt;"",N398,H398))</f>
        <v/>
      </c>
      <c r="T398" s="32">
        <f>IF(A398="","",IF(C398="✗","Skipped",IF(Q398&gt;0,"Paid","Upcoming")))</f>
        <v/>
      </c>
      <c r="U398" s="36">
        <f>IF(A398="",0,IF(C398="✗",0,IF(L398&lt;&gt;"",L398,F398)))</f>
        <v/>
      </c>
    </row>
    <row r="399">
      <c r="A399" s="39">
        <f>IFERROR(SMALL(Calc!$B$2:$BB$61,394),"")</f>
        <v/>
      </c>
      <c r="B399" s="39">
        <f>IF(A399="","",ROUND(MOD(A399,1)*1000,0))</f>
        <v/>
      </c>
      <c r="C399" s="33" t="n"/>
      <c r="D399" s="40">
        <f>IF(A399="","",INT(A399))</f>
        <v/>
      </c>
      <c r="E399" s="41">
        <f>IF(B399="","",INDEX(Setup!$D$25:$D$84,B399))</f>
        <v/>
      </c>
      <c r="F399" s="42">
        <f>IF(B399="","",INDEX(Setup!$E$25:$E$84,B399))</f>
        <v/>
      </c>
      <c r="G399" s="39">
        <f>IF(B399="","",INDEX(Setup!$I$25:$I$84,B399)&amp;"")</f>
        <v/>
      </c>
      <c r="H399" s="39">
        <f>IF(B399="","",INDEX(Setup!$J$25:$J$84,B399)&amp;"")</f>
        <v/>
      </c>
      <c r="I399" s="39">
        <f>IF(B399="","",INDEX(Setup!$C$25:$C$84,B399))</f>
        <v/>
      </c>
      <c r="J399" s="39" t="n"/>
      <c r="K399" s="37" t="n"/>
      <c r="L399" s="38" t="n"/>
      <c r="M399" s="33" t="n"/>
      <c r="N399" s="33" t="n"/>
      <c r="O399" s="39" t="n"/>
      <c r="P399" s="40">
        <f>IF(A399="","",IF(K399&lt;&gt;"",K399,D399))</f>
        <v/>
      </c>
      <c r="Q399" s="42">
        <f>IF(A399="",0,IF(C399="✗",0,IF(OR(C399="✓",AND(Setup!$D$7="Yes",P399&lt;=TODAY())),IF(L399&lt;&gt;"",L399,F399),0)))</f>
        <v/>
      </c>
      <c r="R399" s="39">
        <f>IF(A399="","",IF(M399&lt;&gt;"",M399,G399))</f>
        <v/>
      </c>
      <c r="S399" s="39">
        <f>IF(A399="","",IF(N399&lt;&gt;"",N399,H399))</f>
        <v/>
      </c>
      <c r="T399" s="39">
        <f>IF(A399="","",IF(C399="✗","Skipped",IF(Q399&gt;0,"Paid","Upcoming")))</f>
        <v/>
      </c>
      <c r="U399" s="42">
        <f>IF(A399="",0,IF(C399="✗",0,IF(L399&lt;&gt;"",L399,F399)))</f>
        <v/>
      </c>
    </row>
    <row r="400">
      <c r="A400" s="32">
        <f>IFERROR(SMALL(Calc!$B$2:$BB$61,395),"")</f>
        <v/>
      </c>
      <c r="B400" s="32">
        <f>IF(A400="","",ROUND(MOD(A400,1)*1000,0))</f>
        <v/>
      </c>
      <c r="C400" s="33" t="n"/>
      <c r="D400" s="34">
        <f>IF(A400="","",INT(A400))</f>
        <v/>
      </c>
      <c r="E400" s="35">
        <f>IF(B400="","",INDEX(Setup!$D$25:$D$84,B400))</f>
        <v/>
      </c>
      <c r="F400" s="36">
        <f>IF(B400="","",INDEX(Setup!$E$25:$E$84,B400))</f>
        <v/>
      </c>
      <c r="G400" s="32">
        <f>IF(B400="","",INDEX(Setup!$I$25:$I$84,B400)&amp;"")</f>
        <v/>
      </c>
      <c r="H400" s="32">
        <f>IF(B400="","",INDEX(Setup!$J$25:$J$84,B400)&amp;"")</f>
        <v/>
      </c>
      <c r="I400" s="32">
        <f>IF(B400="","",INDEX(Setup!$C$25:$C$84,B400))</f>
        <v/>
      </c>
      <c r="J400" s="32" t="n"/>
      <c r="K400" s="37" t="n"/>
      <c r="L400" s="38" t="n"/>
      <c r="M400" s="33" t="n"/>
      <c r="N400" s="33" t="n"/>
      <c r="O400" s="32" t="n"/>
      <c r="P400" s="34">
        <f>IF(A400="","",IF(K400&lt;&gt;"",K400,D400))</f>
        <v/>
      </c>
      <c r="Q400" s="36">
        <f>IF(A400="",0,IF(C400="✗",0,IF(OR(C400="✓",AND(Setup!$D$7="Yes",P400&lt;=TODAY())),IF(L400&lt;&gt;"",L400,F400),0)))</f>
        <v/>
      </c>
      <c r="R400" s="32">
        <f>IF(A400="","",IF(M400&lt;&gt;"",M400,G400))</f>
        <v/>
      </c>
      <c r="S400" s="32">
        <f>IF(A400="","",IF(N400&lt;&gt;"",N400,H400))</f>
        <v/>
      </c>
      <c r="T400" s="32">
        <f>IF(A400="","",IF(C400="✗","Skipped",IF(Q400&gt;0,"Paid","Upcoming")))</f>
        <v/>
      </c>
      <c r="U400" s="36">
        <f>IF(A400="",0,IF(C400="✗",0,IF(L400&lt;&gt;"",L400,F400)))</f>
        <v/>
      </c>
    </row>
    <row r="401">
      <c r="A401" s="39">
        <f>IFERROR(SMALL(Calc!$B$2:$BB$61,396),"")</f>
        <v/>
      </c>
      <c r="B401" s="39">
        <f>IF(A401="","",ROUND(MOD(A401,1)*1000,0))</f>
        <v/>
      </c>
      <c r="C401" s="33" t="n"/>
      <c r="D401" s="40">
        <f>IF(A401="","",INT(A401))</f>
        <v/>
      </c>
      <c r="E401" s="41">
        <f>IF(B401="","",INDEX(Setup!$D$25:$D$84,B401))</f>
        <v/>
      </c>
      <c r="F401" s="42">
        <f>IF(B401="","",INDEX(Setup!$E$25:$E$84,B401))</f>
        <v/>
      </c>
      <c r="G401" s="39">
        <f>IF(B401="","",INDEX(Setup!$I$25:$I$84,B401)&amp;"")</f>
        <v/>
      </c>
      <c r="H401" s="39">
        <f>IF(B401="","",INDEX(Setup!$J$25:$J$84,B401)&amp;"")</f>
        <v/>
      </c>
      <c r="I401" s="39">
        <f>IF(B401="","",INDEX(Setup!$C$25:$C$84,B401))</f>
        <v/>
      </c>
      <c r="J401" s="39" t="n"/>
      <c r="K401" s="37" t="n"/>
      <c r="L401" s="38" t="n"/>
      <c r="M401" s="33" t="n"/>
      <c r="N401" s="33" t="n"/>
      <c r="O401" s="39" t="n"/>
      <c r="P401" s="40">
        <f>IF(A401="","",IF(K401&lt;&gt;"",K401,D401))</f>
        <v/>
      </c>
      <c r="Q401" s="42">
        <f>IF(A401="",0,IF(C401="✗",0,IF(OR(C401="✓",AND(Setup!$D$7="Yes",P401&lt;=TODAY())),IF(L401&lt;&gt;"",L401,F401),0)))</f>
        <v/>
      </c>
      <c r="R401" s="39">
        <f>IF(A401="","",IF(M401&lt;&gt;"",M401,G401))</f>
        <v/>
      </c>
      <c r="S401" s="39">
        <f>IF(A401="","",IF(N401&lt;&gt;"",N401,H401))</f>
        <v/>
      </c>
      <c r="T401" s="39">
        <f>IF(A401="","",IF(C401="✗","Skipped",IF(Q401&gt;0,"Paid","Upcoming")))</f>
        <v/>
      </c>
      <c r="U401" s="42">
        <f>IF(A401="",0,IF(C401="✗",0,IF(L401&lt;&gt;"",L401,F401)))</f>
        <v/>
      </c>
    </row>
    <row r="402">
      <c r="A402" s="32">
        <f>IFERROR(SMALL(Calc!$B$2:$BB$61,397),"")</f>
        <v/>
      </c>
      <c r="B402" s="32">
        <f>IF(A402="","",ROUND(MOD(A402,1)*1000,0))</f>
        <v/>
      </c>
      <c r="C402" s="33" t="n"/>
      <c r="D402" s="34">
        <f>IF(A402="","",INT(A402))</f>
        <v/>
      </c>
      <c r="E402" s="35">
        <f>IF(B402="","",INDEX(Setup!$D$25:$D$84,B402))</f>
        <v/>
      </c>
      <c r="F402" s="36">
        <f>IF(B402="","",INDEX(Setup!$E$25:$E$84,B402))</f>
        <v/>
      </c>
      <c r="G402" s="32">
        <f>IF(B402="","",INDEX(Setup!$I$25:$I$84,B402)&amp;"")</f>
        <v/>
      </c>
      <c r="H402" s="32">
        <f>IF(B402="","",INDEX(Setup!$J$25:$J$84,B402)&amp;"")</f>
        <v/>
      </c>
      <c r="I402" s="32">
        <f>IF(B402="","",INDEX(Setup!$C$25:$C$84,B402))</f>
        <v/>
      </c>
      <c r="J402" s="32" t="n"/>
      <c r="K402" s="37" t="n"/>
      <c r="L402" s="38" t="n"/>
      <c r="M402" s="33" t="n"/>
      <c r="N402" s="33" t="n"/>
      <c r="O402" s="32" t="n"/>
      <c r="P402" s="34">
        <f>IF(A402="","",IF(K402&lt;&gt;"",K402,D402))</f>
        <v/>
      </c>
      <c r="Q402" s="36">
        <f>IF(A402="",0,IF(C402="✗",0,IF(OR(C402="✓",AND(Setup!$D$7="Yes",P402&lt;=TODAY())),IF(L402&lt;&gt;"",L402,F402),0)))</f>
        <v/>
      </c>
      <c r="R402" s="32">
        <f>IF(A402="","",IF(M402&lt;&gt;"",M402,G402))</f>
        <v/>
      </c>
      <c r="S402" s="32">
        <f>IF(A402="","",IF(N402&lt;&gt;"",N402,H402))</f>
        <v/>
      </c>
      <c r="T402" s="32">
        <f>IF(A402="","",IF(C402="✗","Skipped",IF(Q402&gt;0,"Paid","Upcoming")))</f>
        <v/>
      </c>
      <c r="U402" s="36">
        <f>IF(A402="",0,IF(C402="✗",0,IF(L402&lt;&gt;"",L402,F402)))</f>
        <v/>
      </c>
    </row>
    <row r="403">
      <c r="A403" s="39">
        <f>IFERROR(SMALL(Calc!$B$2:$BB$61,398),"")</f>
        <v/>
      </c>
      <c r="B403" s="39">
        <f>IF(A403="","",ROUND(MOD(A403,1)*1000,0))</f>
        <v/>
      </c>
      <c r="C403" s="33" t="n"/>
      <c r="D403" s="40">
        <f>IF(A403="","",INT(A403))</f>
        <v/>
      </c>
      <c r="E403" s="41">
        <f>IF(B403="","",INDEX(Setup!$D$25:$D$84,B403))</f>
        <v/>
      </c>
      <c r="F403" s="42">
        <f>IF(B403="","",INDEX(Setup!$E$25:$E$84,B403))</f>
        <v/>
      </c>
      <c r="G403" s="39">
        <f>IF(B403="","",INDEX(Setup!$I$25:$I$84,B403)&amp;"")</f>
        <v/>
      </c>
      <c r="H403" s="39">
        <f>IF(B403="","",INDEX(Setup!$J$25:$J$84,B403)&amp;"")</f>
        <v/>
      </c>
      <c r="I403" s="39">
        <f>IF(B403="","",INDEX(Setup!$C$25:$C$84,B403))</f>
        <v/>
      </c>
      <c r="J403" s="39" t="n"/>
      <c r="K403" s="37" t="n"/>
      <c r="L403" s="38" t="n"/>
      <c r="M403" s="33" t="n"/>
      <c r="N403" s="33" t="n"/>
      <c r="O403" s="39" t="n"/>
      <c r="P403" s="40">
        <f>IF(A403="","",IF(K403&lt;&gt;"",K403,D403))</f>
        <v/>
      </c>
      <c r="Q403" s="42">
        <f>IF(A403="",0,IF(C403="✗",0,IF(OR(C403="✓",AND(Setup!$D$7="Yes",P403&lt;=TODAY())),IF(L403&lt;&gt;"",L403,F403),0)))</f>
        <v/>
      </c>
      <c r="R403" s="39">
        <f>IF(A403="","",IF(M403&lt;&gt;"",M403,G403))</f>
        <v/>
      </c>
      <c r="S403" s="39">
        <f>IF(A403="","",IF(N403&lt;&gt;"",N403,H403))</f>
        <v/>
      </c>
      <c r="T403" s="39">
        <f>IF(A403="","",IF(C403="✗","Skipped",IF(Q403&gt;0,"Paid","Upcoming")))</f>
        <v/>
      </c>
      <c r="U403" s="42">
        <f>IF(A403="",0,IF(C403="✗",0,IF(L403&lt;&gt;"",L403,F403)))</f>
        <v/>
      </c>
    </row>
    <row r="404">
      <c r="A404" s="32">
        <f>IFERROR(SMALL(Calc!$B$2:$BB$61,399),"")</f>
        <v/>
      </c>
      <c r="B404" s="32">
        <f>IF(A404="","",ROUND(MOD(A404,1)*1000,0))</f>
        <v/>
      </c>
      <c r="C404" s="33" t="n"/>
      <c r="D404" s="34">
        <f>IF(A404="","",INT(A404))</f>
        <v/>
      </c>
      <c r="E404" s="35">
        <f>IF(B404="","",INDEX(Setup!$D$25:$D$84,B404))</f>
        <v/>
      </c>
      <c r="F404" s="36">
        <f>IF(B404="","",INDEX(Setup!$E$25:$E$84,B404))</f>
        <v/>
      </c>
      <c r="G404" s="32">
        <f>IF(B404="","",INDEX(Setup!$I$25:$I$84,B404)&amp;"")</f>
        <v/>
      </c>
      <c r="H404" s="32">
        <f>IF(B404="","",INDEX(Setup!$J$25:$J$84,B404)&amp;"")</f>
        <v/>
      </c>
      <c r="I404" s="32">
        <f>IF(B404="","",INDEX(Setup!$C$25:$C$84,B404))</f>
        <v/>
      </c>
      <c r="J404" s="32" t="n"/>
      <c r="K404" s="37" t="n"/>
      <c r="L404" s="38" t="n"/>
      <c r="M404" s="33" t="n"/>
      <c r="N404" s="33" t="n"/>
      <c r="O404" s="32" t="n"/>
      <c r="P404" s="34">
        <f>IF(A404="","",IF(K404&lt;&gt;"",K404,D404))</f>
        <v/>
      </c>
      <c r="Q404" s="36">
        <f>IF(A404="",0,IF(C404="✗",0,IF(OR(C404="✓",AND(Setup!$D$7="Yes",P404&lt;=TODAY())),IF(L404&lt;&gt;"",L404,F404),0)))</f>
        <v/>
      </c>
      <c r="R404" s="32">
        <f>IF(A404="","",IF(M404&lt;&gt;"",M404,G404))</f>
        <v/>
      </c>
      <c r="S404" s="32">
        <f>IF(A404="","",IF(N404&lt;&gt;"",N404,H404))</f>
        <v/>
      </c>
      <c r="T404" s="32">
        <f>IF(A404="","",IF(C404="✗","Skipped",IF(Q404&gt;0,"Paid","Upcoming")))</f>
        <v/>
      </c>
      <c r="U404" s="36">
        <f>IF(A404="",0,IF(C404="✗",0,IF(L404&lt;&gt;"",L404,F404)))</f>
        <v/>
      </c>
    </row>
    <row r="405">
      <c r="A405" s="39">
        <f>IFERROR(SMALL(Calc!$B$2:$BB$61,400),"")</f>
        <v/>
      </c>
      <c r="B405" s="39">
        <f>IF(A405="","",ROUND(MOD(A405,1)*1000,0))</f>
        <v/>
      </c>
      <c r="C405" s="33" t="n"/>
      <c r="D405" s="40">
        <f>IF(A405="","",INT(A405))</f>
        <v/>
      </c>
      <c r="E405" s="41">
        <f>IF(B405="","",INDEX(Setup!$D$25:$D$84,B405))</f>
        <v/>
      </c>
      <c r="F405" s="42">
        <f>IF(B405="","",INDEX(Setup!$E$25:$E$84,B405))</f>
        <v/>
      </c>
      <c r="G405" s="39">
        <f>IF(B405="","",INDEX(Setup!$I$25:$I$84,B405)&amp;"")</f>
        <v/>
      </c>
      <c r="H405" s="39">
        <f>IF(B405="","",INDEX(Setup!$J$25:$J$84,B405)&amp;"")</f>
        <v/>
      </c>
      <c r="I405" s="39">
        <f>IF(B405="","",INDEX(Setup!$C$25:$C$84,B405))</f>
        <v/>
      </c>
      <c r="J405" s="39" t="n"/>
      <c r="K405" s="37" t="n"/>
      <c r="L405" s="38" t="n"/>
      <c r="M405" s="33" t="n"/>
      <c r="N405" s="33" t="n"/>
      <c r="O405" s="39" t="n"/>
      <c r="P405" s="40">
        <f>IF(A405="","",IF(K405&lt;&gt;"",K405,D405))</f>
        <v/>
      </c>
      <c r="Q405" s="42">
        <f>IF(A405="",0,IF(C405="✗",0,IF(OR(C405="✓",AND(Setup!$D$7="Yes",P405&lt;=TODAY())),IF(L405&lt;&gt;"",L405,F405),0)))</f>
        <v/>
      </c>
      <c r="R405" s="39">
        <f>IF(A405="","",IF(M405&lt;&gt;"",M405,G405))</f>
        <v/>
      </c>
      <c r="S405" s="39">
        <f>IF(A405="","",IF(N405&lt;&gt;"",N405,H405))</f>
        <v/>
      </c>
      <c r="T405" s="39">
        <f>IF(A405="","",IF(C405="✗","Skipped",IF(Q405&gt;0,"Paid","Upcoming")))</f>
        <v/>
      </c>
      <c r="U405" s="42">
        <f>IF(A405="",0,IF(C405="✗",0,IF(L405&lt;&gt;"",L405,F405)))</f>
        <v/>
      </c>
    </row>
    <row r="406">
      <c r="A406" s="32">
        <f>IFERROR(SMALL(Calc!$B$2:$BB$61,401),"")</f>
        <v/>
      </c>
      <c r="B406" s="32">
        <f>IF(A406="","",ROUND(MOD(A406,1)*1000,0))</f>
        <v/>
      </c>
      <c r="C406" s="33" t="n"/>
      <c r="D406" s="34">
        <f>IF(A406="","",INT(A406))</f>
        <v/>
      </c>
      <c r="E406" s="35">
        <f>IF(B406="","",INDEX(Setup!$D$25:$D$84,B406))</f>
        <v/>
      </c>
      <c r="F406" s="36">
        <f>IF(B406="","",INDEX(Setup!$E$25:$E$84,B406))</f>
        <v/>
      </c>
      <c r="G406" s="32">
        <f>IF(B406="","",INDEX(Setup!$I$25:$I$84,B406)&amp;"")</f>
        <v/>
      </c>
      <c r="H406" s="32">
        <f>IF(B406="","",INDEX(Setup!$J$25:$J$84,B406)&amp;"")</f>
        <v/>
      </c>
      <c r="I406" s="32">
        <f>IF(B406="","",INDEX(Setup!$C$25:$C$84,B406))</f>
        <v/>
      </c>
      <c r="J406" s="32" t="n"/>
      <c r="K406" s="37" t="n"/>
      <c r="L406" s="38" t="n"/>
      <c r="M406" s="33" t="n"/>
      <c r="N406" s="33" t="n"/>
      <c r="O406" s="32" t="n"/>
      <c r="P406" s="34">
        <f>IF(A406="","",IF(K406&lt;&gt;"",K406,D406))</f>
        <v/>
      </c>
      <c r="Q406" s="36">
        <f>IF(A406="",0,IF(C406="✗",0,IF(OR(C406="✓",AND(Setup!$D$7="Yes",P406&lt;=TODAY())),IF(L406&lt;&gt;"",L406,F406),0)))</f>
        <v/>
      </c>
      <c r="R406" s="32">
        <f>IF(A406="","",IF(M406&lt;&gt;"",M406,G406))</f>
        <v/>
      </c>
      <c r="S406" s="32">
        <f>IF(A406="","",IF(N406&lt;&gt;"",N406,H406))</f>
        <v/>
      </c>
      <c r="T406" s="32">
        <f>IF(A406="","",IF(C406="✗","Skipped",IF(Q406&gt;0,"Paid","Upcoming")))</f>
        <v/>
      </c>
      <c r="U406" s="36">
        <f>IF(A406="",0,IF(C406="✗",0,IF(L406&lt;&gt;"",L406,F406)))</f>
        <v/>
      </c>
    </row>
    <row r="407">
      <c r="A407" s="39">
        <f>IFERROR(SMALL(Calc!$B$2:$BB$61,402),"")</f>
        <v/>
      </c>
      <c r="B407" s="39">
        <f>IF(A407="","",ROUND(MOD(A407,1)*1000,0))</f>
        <v/>
      </c>
      <c r="C407" s="33" t="n"/>
      <c r="D407" s="40">
        <f>IF(A407="","",INT(A407))</f>
        <v/>
      </c>
      <c r="E407" s="41">
        <f>IF(B407="","",INDEX(Setup!$D$25:$D$84,B407))</f>
        <v/>
      </c>
      <c r="F407" s="42">
        <f>IF(B407="","",INDEX(Setup!$E$25:$E$84,B407))</f>
        <v/>
      </c>
      <c r="G407" s="39">
        <f>IF(B407="","",INDEX(Setup!$I$25:$I$84,B407)&amp;"")</f>
        <v/>
      </c>
      <c r="H407" s="39">
        <f>IF(B407="","",INDEX(Setup!$J$25:$J$84,B407)&amp;"")</f>
        <v/>
      </c>
      <c r="I407" s="39">
        <f>IF(B407="","",INDEX(Setup!$C$25:$C$84,B407))</f>
        <v/>
      </c>
      <c r="J407" s="39" t="n"/>
      <c r="K407" s="37" t="n"/>
      <c r="L407" s="38" t="n"/>
      <c r="M407" s="33" t="n"/>
      <c r="N407" s="33" t="n"/>
      <c r="O407" s="39" t="n"/>
      <c r="P407" s="40">
        <f>IF(A407="","",IF(K407&lt;&gt;"",K407,D407))</f>
        <v/>
      </c>
      <c r="Q407" s="42">
        <f>IF(A407="",0,IF(C407="✗",0,IF(OR(C407="✓",AND(Setup!$D$7="Yes",P407&lt;=TODAY())),IF(L407&lt;&gt;"",L407,F407),0)))</f>
        <v/>
      </c>
      <c r="R407" s="39">
        <f>IF(A407="","",IF(M407&lt;&gt;"",M407,G407))</f>
        <v/>
      </c>
      <c r="S407" s="39">
        <f>IF(A407="","",IF(N407&lt;&gt;"",N407,H407))</f>
        <v/>
      </c>
      <c r="T407" s="39">
        <f>IF(A407="","",IF(C407="✗","Skipped",IF(Q407&gt;0,"Paid","Upcoming")))</f>
        <v/>
      </c>
      <c r="U407" s="42">
        <f>IF(A407="",0,IF(C407="✗",0,IF(L407&lt;&gt;"",L407,F407)))</f>
        <v/>
      </c>
    </row>
    <row r="408">
      <c r="A408" s="32">
        <f>IFERROR(SMALL(Calc!$B$2:$BB$61,403),"")</f>
        <v/>
      </c>
      <c r="B408" s="32">
        <f>IF(A408="","",ROUND(MOD(A408,1)*1000,0))</f>
        <v/>
      </c>
      <c r="C408" s="33" t="n"/>
      <c r="D408" s="34">
        <f>IF(A408="","",INT(A408))</f>
        <v/>
      </c>
      <c r="E408" s="35">
        <f>IF(B408="","",INDEX(Setup!$D$25:$D$84,B408))</f>
        <v/>
      </c>
      <c r="F408" s="36">
        <f>IF(B408="","",INDEX(Setup!$E$25:$E$84,B408))</f>
        <v/>
      </c>
      <c r="G408" s="32">
        <f>IF(B408="","",INDEX(Setup!$I$25:$I$84,B408)&amp;"")</f>
        <v/>
      </c>
      <c r="H408" s="32">
        <f>IF(B408="","",INDEX(Setup!$J$25:$J$84,B408)&amp;"")</f>
        <v/>
      </c>
      <c r="I408" s="32">
        <f>IF(B408="","",INDEX(Setup!$C$25:$C$84,B408))</f>
        <v/>
      </c>
      <c r="J408" s="32" t="n"/>
      <c r="K408" s="37" t="n"/>
      <c r="L408" s="38" t="n"/>
      <c r="M408" s="33" t="n"/>
      <c r="N408" s="33" t="n"/>
      <c r="O408" s="32" t="n"/>
      <c r="P408" s="34">
        <f>IF(A408="","",IF(K408&lt;&gt;"",K408,D408))</f>
        <v/>
      </c>
      <c r="Q408" s="36">
        <f>IF(A408="",0,IF(C408="✗",0,IF(OR(C408="✓",AND(Setup!$D$7="Yes",P408&lt;=TODAY())),IF(L408&lt;&gt;"",L408,F408),0)))</f>
        <v/>
      </c>
      <c r="R408" s="32">
        <f>IF(A408="","",IF(M408&lt;&gt;"",M408,G408))</f>
        <v/>
      </c>
      <c r="S408" s="32">
        <f>IF(A408="","",IF(N408&lt;&gt;"",N408,H408))</f>
        <v/>
      </c>
      <c r="T408" s="32">
        <f>IF(A408="","",IF(C408="✗","Skipped",IF(Q408&gt;0,"Paid","Upcoming")))</f>
        <v/>
      </c>
      <c r="U408" s="36">
        <f>IF(A408="",0,IF(C408="✗",0,IF(L408&lt;&gt;"",L408,F408)))</f>
        <v/>
      </c>
    </row>
    <row r="409">
      <c r="A409" s="39">
        <f>IFERROR(SMALL(Calc!$B$2:$BB$61,404),"")</f>
        <v/>
      </c>
      <c r="B409" s="39">
        <f>IF(A409="","",ROUND(MOD(A409,1)*1000,0))</f>
        <v/>
      </c>
      <c r="C409" s="33" t="n"/>
      <c r="D409" s="40">
        <f>IF(A409="","",INT(A409))</f>
        <v/>
      </c>
      <c r="E409" s="41">
        <f>IF(B409="","",INDEX(Setup!$D$25:$D$84,B409))</f>
        <v/>
      </c>
      <c r="F409" s="42">
        <f>IF(B409="","",INDEX(Setup!$E$25:$E$84,B409))</f>
        <v/>
      </c>
      <c r="G409" s="39">
        <f>IF(B409="","",INDEX(Setup!$I$25:$I$84,B409)&amp;"")</f>
        <v/>
      </c>
      <c r="H409" s="39">
        <f>IF(B409="","",INDEX(Setup!$J$25:$J$84,B409)&amp;"")</f>
        <v/>
      </c>
      <c r="I409" s="39">
        <f>IF(B409="","",INDEX(Setup!$C$25:$C$84,B409))</f>
        <v/>
      </c>
      <c r="J409" s="39" t="n"/>
      <c r="K409" s="37" t="n"/>
      <c r="L409" s="38" t="n"/>
      <c r="M409" s="33" t="n"/>
      <c r="N409" s="33" t="n"/>
      <c r="O409" s="39" t="n"/>
      <c r="P409" s="40">
        <f>IF(A409="","",IF(K409&lt;&gt;"",K409,D409))</f>
        <v/>
      </c>
      <c r="Q409" s="42">
        <f>IF(A409="",0,IF(C409="✗",0,IF(OR(C409="✓",AND(Setup!$D$7="Yes",P409&lt;=TODAY())),IF(L409&lt;&gt;"",L409,F409),0)))</f>
        <v/>
      </c>
      <c r="R409" s="39">
        <f>IF(A409="","",IF(M409&lt;&gt;"",M409,G409))</f>
        <v/>
      </c>
      <c r="S409" s="39">
        <f>IF(A409="","",IF(N409&lt;&gt;"",N409,H409))</f>
        <v/>
      </c>
      <c r="T409" s="39">
        <f>IF(A409="","",IF(C409="✗","Skipped",IF(Q409&gt;0,"Paid","Upcoming")))</f>
        <v/>
      </c>
      <c r="U409" s="42">
        <f>IF(A409="",0,IF(C409="✗",0,IF(L409&lt;&gt;"",L409,F409)))</f>
        <v/>
      </c>
    </row>
    <row r="410">
      <c r="A410" s="32">
        <f>IFERROR(SMALL(Calc!$B$2:$BB$61,405),"")</f>
        <v/>
      </c>
      <c r="B410" s="32">
        <f>IF(A410="","",ROUND(MOD(A410,1)*1000,0))</f>
        <v/>
      </c>
      <c r="C410" s="33" t="n"/>
      <c r="D410" s="34">
        <f>IF(A410="","",INT(A410))</f>
        <v/>
      </c>
      <c r="E410" s="35">
        <f>IF(B410="","",INDEX(Setup!$D$25:$D$84,B410))</f>
        <v/>
      </c>
      <c r="F410" s="36">
        <f>IF(B410="","",INDEX(Setup!$E$25:$E$84,B410))</f>
        <v/>
      </c>
      <c r="G410" s="32">
        <f>IF(B410="","",INDEX(Setup!$I$25:$I$84,B410)&amp;"")</f>
        <v/>
      </c>
      <c r="H410" s="32">
        <f>IF(B410="","",INDEX(Setup!$J$25:$J$84,B410)&amp;"")</f>
        <v/>
      </c>
      <c r="I410" s="32">
        <f>IF(B410="","",INDEX(Setup!$C$25:$C$84,B410))</f>
        <v/>
      </c>
      <c r="J410" s="32" t="n"/>
      <c r="K410" s="37" t="n"/>
      <c r="L410" s="38" t="n"/>
      <c r="M410" s="33" t="n"/>
      <c r="N410" s="33" t="n"/>
      <c r="O410" s="32" t="n"/>
      <c r="P410" s="34">
        <f>IF(A410="","",IF(K410&lt;&gt;"",K410,D410))</f>
        <v/>
      </c>
      <c r="Q410" s="36">
        <f>IF(A410="",0,IF(C410="✗",0,IF(OR(C410="✓",AND(Setup!$D$7="Yes",P410&lt;=TODAY())),IF(L410&lt;&gt;"",L410,F410),0)))</f>
        <v/>
      </c>
      <c r="R410" s="32">
        <f>IF(A410="","",IF(M410&lt;&gt;"",M410,G410))</f>
        <v/>
      </c>
      <c r="S410" s="32">
        <f>IF(A410="","",IF(N410&lt;&gt;"",N410,H410))</f>
        <v/>
      </c>
      <c r="T410" s="32">
        <f>IF(A410="","",IF(C410="✗","Skipped",IF(Q410&gt;0,"Paid","Upcoming")))</f>
        <v/>
      </c>
      <c r="U410" s="36">
        <f>IF(A410="",0,IF(C410="✗",0,IF(L410&lt;&gt;"",L410,F410)))</f>
        <v/>
      </c>
    </row>
    <row r="411">
      <c r="A411" s="39">
        <f>IFERROR(SMALL(Calc!$B$2:$BB$61,406),"")</f>
        <v/>
      </c>
      <c r="B411" s="39">
        <f>IF(A411="","",ROUND(MOD(A411,1)*1000,0))</f>
        <v/>
      </c>
      <c r="C411" s="33" t="n"/>
      <c r="D411" s="40">
        <f>IF(A411="","",INT(A411))</f>
        <v/>
      </c>
      <c r="E411" s="41">
        <f>IF(B411="","",INDEX(Setup!$D$25:$D$84,B411))</f>
        <v/>
      </c>
      <c r="F411" s="42">
        <f>IF(B411="","",INDEX(Setup!$E$25:$E$84,B411))</f>
        <v/>
      </c>
      <c r="G411" s="39">
        <f>IF(B411="","",INDEX(Setup!$I$25:$I$84,B411)&amp;"")</f>
        <v/>
      </c>
      <c r="H411" s="39">
        <f>IF(B411="","",INDEX(Setup!$J$25:$J$84,B411)&amp;"")</f>
        <v/>
      </c>
      <c r="I411" s="39">
        <f>IF(B411="","",INDEX(Setup!$C$25:$C$84,B411))</f>
        <v/>
      </c>
      <c r="J411" s="39" t="n"/>
      <c r="K411" s="37" t="n"/>
      <c r="L411" s="38" t="n"/>
      <c r="M411" s="33" t="n"/>
      <c r="N411" s="33" t="n"/>
      <c r="O411" s="39" t="n"/>
      <c r="P411" s="40">
        <f>IF(A411="","",IF(K411&lt;&gt;"",K411,D411))</f>
        <v/>
      </c>
      <c r="Q411" s="42">
        <f>IF(A411="",0,IF(C411="✗",0,IF(OR(C411="✓",AND(Setup!$D$7="Yes",P411&lt;=TODAY())),IF(L411&lt;&gt;"",L411,F411),0)))</f>
        <v/>
      </c>
      <c r="R411" s="39">
        <f>IF(A411="","",IF(M411&lt;&gt;"",M411,G411))</f>
        <v/>
      </c>
      <c r="S411" s="39">
        <f>IF(A411="","",IF(N411&lt;&gt;"",N411,H411))</f>
        <v/>
      </c>
      <c r="T411" s="39">
        <f>IF(A411="","",IF(C411="✗","Skipped",IF(Q411&gt;0,"Paid","Upcoming")))</f>
        <v/>
      </c>
      <c r="U411" s="42">
        <f>IF(A411="",0,IF(C411="✗",0,IF(L411&lt;&gt;"",L411,F411)))</f>
        <v/>
      </c>
    </row>
    <row r="412">
      <c r="A412" s="32">
        <f>IFERROR(SMALL(Calc!$B$2:$BB$61,407),"")</f>
        <v/>
      </c>
      <c r="B412" s="32">
        <f>IF(A412="","",ROUND(MOD(A412,1)*1000,0))</f>
        <v/>
      </c>
      <c r="C412" s="33" t="n"/>
      <c r="D412" s="34">
        <f>IF(A412="","",INT(A412))</f>
        <v/>
      </c>
      <c r="E412" s="35">
        <f>IF(B412="","",INDEX(Setup!$D$25:$D$84,B412))</f>
        <v/>
      </c>
      <c r="F412" s="36">
        <f>IF(B412="","",INDEX(Setup!$E$25:$E$84,B412))</f>
        <v/>
      </c>
      <c r="G412" s="32">
        <f>IF(B412="","",INDEX(Setup!$I$25:$I$84,B412)&amp;"")</f>
        <v/>
      </c>
      <c r="H412" s="32">
        <f>IF(B412="","",INDEX(Setup!$J$25:$J$84,B412)&amp;"")</f>
        <v/>
      </c>
      <c r="I412" s="32">
        <f>IF(B412="","",INDEX(Setup!$C$25:$C$84,B412))</f>
        <v/>
      </c>
      <c r="J412" s="32" t="n"/>
      <c r="K412" s="37" t="n"/>
      <c r="L412" s="38" t="n"/>
      <c r="M412" s="33" t="n"/>
      <c r="N412" s="33" t="n"/>
      <c r="O412" s="32" t="n"/>
      <c r="P412" s="34">
        <f>IF(A412="","",IF(K412&lt;&gt;"",K412,D412))</f>
        <v/>
      </c>
      <c r="Q412" s="36">
        <f>IF(A412="",0,IF(C412="✗",0,IF(OR(C412="✓",AND(Setup!$D$7="Yes",P412&lt;=TODAY())),IF(L412&lt;&gt;"",L412,F412),0)))</f>
        <v/>
      </c>
      <c r="R412" s="32">
        <f>IF(A412="","",IF(M412&lt;&gt;"",M412,G412))</f>
        <v/>
      </c>
      <c r="S412" s="32">
        <f>IF(A412="","",IF(N412&lt;&gt;"",N412,H412))</f>
        <v/>
      </c>
      <c r="T412" s="32">
        <f>IF(A412="","",IF(C412="✗","Skipped",IF(Q412&gt;0,"Paid","Upcoming")))</f>
        <v/>
      </c>
      <c r="U412" s="36">
        <f>IF(A412="",0,IF(C412="✗",0,IF(L412&lt;&gt;"",L412,F412)))</f>
        <v/>
      </c>
    </row>
    <row r="413">
      <c r="A413" s="39">
        <f>IFERROR(SMALL(Calc!$B$2:$BB$61,408),"")</f>
        <v/>
      </c>
      <c r="B413" s="39">
        <f>IF(A413="","",ROUND(MOD(A413,1)*1000,0))</f>
        <v/>
      </c>
      <c r="C413" s="33" t="n"/>
      <c r="D413" s="40">
        <f>IF(A413="","",INT(A413))</f>
        <v/>
      </c>
      <c r="E413" s="41">
        <f>IF(B413="","",INDEX(Setup!$D$25:$D$84,B413))</f>
        <v/>
      </c>
      <c r="F413" s="42">
        <f>IF(B413="","",INDEX(Setup!$E$25:$E$84,B413))</f>
        <v/>
      </c>
      <c r="G413" s="39">
        <f>IF(B413="","",INDEX(Setup!$I$25:$I$84,B413)&amp;"")</f>
        <v/>
      </c>
      <c r="H413" s="39">
        <f>IF(B413="","",INDEX(Setup!$J$25:$J$84,B413)&amp;"")</f>
        <v/>
      </c>
      <c r="I413" s="39">
        <f>IF(B413="","",INDEX(Setup!$C$25:$C$84,B413))</f>
        <v/>
      </c>
      <c r="J413" s="39" t="n"/>
      <c r="K413" s="37" t="n"/>
      <c r="L413" s="38" t="n"/>
      <c r="M413" s="33" t="n"/>
      <c r="N413" s="33" t="n"/>
      <c r="O413" s="39" t="n"/>
      <c r="P413" s="40">
        <f>IF(A413="","",IF(K413&lt;&gt;"",K413,D413))</f>
        <v/>
      </c>
      <c r="Q413" s="42">
        <f>IF(A413="",0,IF(C413="✗",0,IF(OR(C413="✓",AND(Setup!$D$7="Yes",P413&lt;=TODAY())),IF(L413&lt;&gt;"",L413,F413),0)))</f>
        <v/>
      </c>
      <c r="R413" s="39">
        <f>IF(A413="","",IF(M413&lt;&gt;"",M413,G413))</f>
        <v/>
      </c>
      <c r="S413" s="39">
        <f>IF(A413="","",IF(N413&lt;&gt;"",N413,H413))</f>
        <v/>
      </c>
      <c r="T413" s="39">
        <f>IF(A413="","",IF(C413="✗","Skipped",IF(Q413&gt;0,"Paid","Upcoming")))</f>
        <v/>
      </c>
      <c r="U413" s="42">
        <f>IF(A413="",0,IF(C413="✗",0,IF(L413&lt;&gt;"",L413,F413)))</f>
        <v/>
      </c>
    </row>
    <row r="414">
      <c r="A414" s="32">
        <f>IFERROR(SMALL(Calc!$B$2:$BB$61,409),"")</f>
        <v/>
      </c>
      <c r="B414" s="32">
        <f>IF(A414="","",ROUND(MOD(A414,1)*1000,0))</f>
        <v/>
      </c>
      <c r="C414" s="33" t="n"/>
      <c r="D414" s="34">
        <f>IF(A414="","",INT(A414))</f>
        <v/>
      </c>
      <c r="E414" s="35">
        <f>IF(B414="","",INDEX(Setup!$D$25:$D$84,B414))</f>
        <v/>
      </c>
      <c r="F414" s="36">
        <f>IF(B414="","",INDEX(Setup!$E$25:$E$84,B414))</f>
        <v/>
      </c>
      <c r="G414" s="32">
        <f>IF(B414="","",INDEX(Setup!$I$25:$I$84,B414)&amp;"")</f>
        <v/>
      </c>
      <c r="H414" s="32">
        <f>IF(B414="","",INDEX(Setup!$J$25:$J$84,B414)&amp;"")</f>
        <v/>
      </c>
      <c r="I414" s="32">
        <f>IF(B414="","",INDEX(Setup!$C$25:$C$84,B414))</f>
        <v/>
      </c>
      <c r="J414" s="32" t="n"/>
      <c r="K414" s="37" t="n"/>
      <c r="L414" s="38" t="n"/>
      <c r="M414" s="33" t="n"/>
      <c r="N414" s="33" t="n"/>
      <c r="O414" s="32" t="n"/>
      <c r="P414" s="34">
        <f>IF(A414="","",IF(K414&lt;&gt;"",K414,D414))</f>
        <v/>
      </c>
      <c r="Q414" s="36">
        <f>IF(A414="",0,IF(C414="✗",0,IF(OR(C414="✓",AND(Setup!$D$7="Yes",P414&lt;=TODAY())),IF(L414&lt;&gt;"",L414,F414),0)))</f>
        <v/>
      </c>
      <c r="R414" s="32">
        <f>IF(A414="","",IF(M414&lt;&gt;"",M414,G414))</f>
        <v/>
      </c>
      <c r="S414" s="32">
        <f>IF(A414="","",IF(N414&lt;&gt;"",N414,H414))</f>
        <v/>
      </c>
      <c r="T414" s="32">
        <f>IF(A414="","",IF(C414="✗","Skipped",IF(Q414&gt;0,"Paid","Upcoming")))</f>
        <v/>
      </c>
      <c r="U414" s="36">
        <f>IF(A414="",0,IF(C414="✗",0,IF(L414&lt;&gt;"",L414,F414)))</f>
        <v/>
      </c>
    </row>
    <row r="415">
      <c r="A415" s="39">
        <f>IFERROR(SMALL(Calc!$B$2:$BB$61,410),"")</f>
        <v/>
      </c>
      <c r="B415" s="39">
        <f>IF(A415="","",ROUND(MOD(A415,1)*1000,0))</f>
        <v/>
      </c>
      <c r="C415" s="33" t="n"/>
      <c r="D415" s="40">
        <f>IF(A415="","",INT(A415))</f>
        <v/>
      </c>
      <c r="E415" s="41">
        <f>IF(B415="","",INDEX(Setup!$D$25:$D$84,B415))</f>
        <v/>
      </c>
      <c r="F415" s="42">
        <f>IF(B415="","",INDEX(Setup!$E$25:$E$84,B415))</f>
        <v/>
      </c>
      <c r="G415" s="39">
        <f>IF(B415="","",INDEX(Setup!$I$25:$I$84,B415)&amp;"")</f>
        <v/>
      </c>
      <c r="H415" s="39">
        <f>IF(B415="","",INDEX(Setup!$J$25:$J$84,B415)&amp;"")</f>
        <v/>
      </c>
      <c r="I415" s="39">
        <f>IF(B415="","",INDEX(Setup!$C$25:$C$84,B415))</f>
        <v/>
      </c>
      <c r="J415" s="39" t="n"/>
      <c r="K415" s="37" t="n"/>
      <c r="L415" s="38" t="n"/>
      <c r="M415" s="33" t="n"/>
      <c r="N415" s="33" t="n"/>
      <c r="O415" s="39" t="n"/>
      <c r="P415" s="40">
        <f>IF(A415="","",IF(K415&lt;&gt;"",K415,D415))</f>
        <v/>
      </c>
      <c r="Q415" s="42">
        <f>IF(A415="",0,IF(C415="✗",0,IF(OR(C415="✓",AND(Setup!$D$7="Yes",P415&lt;=TODAY())),IF(L415&lt;&gt;"",L415,F415),0)))</f>
        <v/>
      </c>
      <c r="R415" s="39">
        <f>IF(A415="","",IF(M415&lt;&gt;"",M415,G415))</f>
        <v/>
      </c>
      <c r="S415" s="39">
        <f>IF(A415="","",IF(N415&lt;&gt;"",N415,H415))</f>
        <v/>
      </c>
      <c r="T415" s="39">
        <f>IF(A415="","",IF(C415="✗","Skipped",IF(Q415&gt;0,"Paid","Upcoming")))</f>
        <v/>
      </c>
      <c r="U415" s="42">
        <f>IF(A415="",0,IF(C415="✗",0,IF(L415&lt;&gt;"",L415,F415)))</f>
        <v/>
      </c>
    </row>
    <row r="416">
      <c r="A416" s="32">
        <f>IFERROR(SMALL(Calc!$B$2:$BB$61,411),"")</f>
        <v/>
      </c>
      <c r="B416" s="32">
        <f>IF(A416="","",ROUND(MOD(A416,1)*1000,0))</f>
        <v/>
      </c>
      <c r="C416" s="33" t="n"/>
      <c r="D416" s="34">
        <f>IF(A416="","",INT(A416))</f>
        <v/>
      </c>
      <c r="E416" s="35">
        <f>IF(B416="","",INDEX(Setup!$D$25:$D$84,B416))</f>
        <v/>
      </c>
      <c r="F416" s="36">
        <f>IF(B416="","",INDEX(Setup!$E$25:$E$84,B416))</f>
        <v/>
      </c>
      <c r="G416" s="32">
        <f>IF(B416="","",INDEX(Setup!$I$25:$I$84,B416)&amp;"")</f>
        <v/>
      </c>
      <c r="H416" s="32">
        <f>IF(B416="","",INDEX(Setup!$J$25:$J$84,B416)&amp;"")</f>
        <v/>
      </c>
      <c r="I416" s="32">
        <f>IF(B416="","",INDEX(Setup!$C$25:$C$84,B416))</f>
        <v/>
      </c>
      <c r="J416" s="32" t="n"/>
      <c r="K416" s="37" t="n"/>
      <c r="L416" s="38" t="n"/>
      <c r="M416" s="33" t="n"/>
      <c r="N416" s="33" t="n"/>
      <c r="O416" s="32" t="n"/>
      <c r="P416" s="34">
        <f>IF(A416="","",IF(K416&lt;&gt;"",K416,D416))</f>
        <v/>
      </c>
      <c r="Q416" s="36">
        <f>IF(A416="",0,IF(C416="✗",0,IF(OR(C416="✓",AND(Setup!$D$7="Yes",P416&lt;=TODAY())),IF(L416&lt;&gt;"",L416,F416),0)))</f>
        <v/>
      </c>
      <c r="R416" s="32">
        <f>IF(A416="","",IF(M416&lt;&gt;"",M416,G416))</f>
        <v/>
      </c>
      <c r="S416" s="32">
        <f>IF(A416="","",IF(N416&lt;&gt;"",N416,H416))</f>
        <v/>
      </c>
      <c r="T416" s="32">
        <f>IF(A416="","",IF(C416="✗","Skipped",IF(Q416&gt;0,"Paid","Upcoming")))</f>
        <v/>
      </c>
      <c r="U416" s="36">
        <f>IF(A416="",0,IF(C416="✗",0,IF(L416&lt;&gt;"",L416,F416)))</f>
        <v/>
      </c>
    </row>
    <row r="417">
      <c r="A417" s="39">
        <f>IFERROR(SMALL(Calc!$B$2:$BB$61,412),"")</f>
        <v/>
      </c>
      <c r="B417" s="39">
        <f>IF(A417="","",ROUND(MOD(A417,1)*1000,0))</f>
        <v/>
      </c>
      <c r="C417" s="33" t="n"/>
      <c r="D417" s="40">
        <f>IF(A417="","",INT(A417))</f>
        <v/>
      </c>
      <c r="E417" s="41">
        <f>IF(B417="","",INDEX(Setup!$D$25:$D$84,B417))</f>
        <v/>
      </c>
      <c r="F417" s="42">
        <f>IF(B417="","",INDEX(Setup!$E$25:$E$84,B417))</f>
        <v/>
      </c>
      <c r="G417" s="39">
        <f>IF(B417="","",INDEX(Setup!$I$25:$I$84,B417)&amp;"")</f>
        <v/>
      </c>
      <c r="H417" s="39">
        <f>IF(B417="","",INDEX(Setup!$J$25:$J$84,B417)&amp;"")</f>
        <v/>
      </c>
      <c r="I417" s="39">
        <f>IF(B417="","",INDEX(Setup!$C$25:$C$84,B417))</f>
        <v/>
      </c>
      <c r="J417" s="39" t="n"/>
      <c r="K417" s="37" t="n"/>
      <c r="L417" s="38" t="n"/>
      <c r="M417" s="33" t="n"/>
      <c r="N417" s="33" t="n"/>
      <c r="O417" s="39" t="n"/>
      <c r="P417" s="40">
        <f>IF(A417="","",IF(K417&lt;&gt;"",K417,D417))</f>
        <v/>
      </c>
      <c r="Q417" s="42">
        <f>IF(A417="",0,IF(C417="✗",0,IF(OR(C417="✓",AND(Setup!$D$7="Yes",P417&lt;=TODAY())),IF(L417&lt;&gt;"",L417,F417),0)))</f>
        <v/>
      </c>
      <c r="R417" s="39">
        <f>IF(A417="","",IF(M417&lt;&gt;"",M417,G417))</f>
        <v/>
      </c>
      <c r="S417" s="39">
        <f>IF(A417="","",IF(N417&lt;&gt;"",N417,H417))</f>
        <v/>
      </c>
      <c r="T417" s="39">
        <f>IF(A417="","",IF(C417="✗","Skipped",IF(Q417&gt;0,"Paid","Upcoming")))</f>
        <v/>
      </c>
      <c r="U417" s="42">
        <f>IF(A417="",0,IF(C417="✗",0,IF(L417&lt;&gt;"",L417,F417)))</f>
        <v/>
      </c>
    </row>
    <row r="418">
      <c r="A418" s="32">
        <f>IFERROR(SMALL(Calc!$B$2:$BB$61,413),"")</f>
        <v/>
      </c>
      <c r="B418" s="32">
        <f>IF(A418="","",ROUND(MOD(A418,1)*1000,0))</f>
        <v/>
      </c>
      <c r="C418" s="33" t="n"/>
      <c r="D418" s="34">
        <f>IF(A418="","",INT(A418))</f>
        <v/>
      </c>
      <c r="E418" s="35">
        <f>IF(B418="","",INDEX(Setup!$D$25:$D$84,B418))</f>
        <v/>
      </c>
      <c r="F418" s="36">
        <f>IF(B418="","",INDEX(Setup!$E$25:$E$84,B418))</f>
        <v/>
      </c>
      <c r="G418" s="32">
        <f>IF(B418="","",INDEX(Setup!$I$25:$I$84,B418)&amp;"")</f>
        <v/>
      </c>
      <c r="H418" s="32">
        <f>IF(B418="","",INDEX(Setup!$J$25:$J$84,B418)&amp;"")</f>
        <v/>
      </c>
      <c r="I418" s="32">
        <f>IF(B418="","",INDEX(Setup!$C$25:$C$84,B418))</f>
        <v/>
      </c>
      <c r="J418" s="32" t="n"/>
      <c r="K418" s="37" t="n"/>
      <c r="L418" s="38" t="n"/>
      <c r="M418" s="33" t="n"/>
      <c r="N418" s="33" t="n"/>
      <c r="O418" s="32" t="n"/>
      <c r="P418" s="34">
        <f>IF(A418="","",IF(K418&lt;&gt;"",K418,D418))</f>
        <v/>
      </c>
      <c r="Q418" s="36">
        <f>IF(A418="",0,IF(C418="✗",0,IF(OR(C418="✓",AND(Setup!$D$7="Yes",P418&lt;=TODAY())),IF(L418&lt;&gt;"",L418,F418),0)))</f>
        <v/>
      </c>
      <c r="R418" s="32">
        <f>IF(A418="","",IF(M418&lt;&gt;"",M418,G418))</f>
        <v/>
      </c>
      <c r="S418" s="32">
        <f>IF(A418="","",IF(N418&lt;&gt;"",N418,H418))</f>
        <v/>
      </c>
      <c r="T418" s="32">
        <f>IF(A418="","",IF(C418="✗","Skipped",IF(Q418&gt;0,"Paid","Upcoming")))</f>
        <v/>
      </c>
      <c r="U418" s="36">
        <f>IF(A418="",0,IF(C418="✗",0,IF(L418&lt;&gt;"",L418,F418)))</f>
        <v/>
      </c>
    </row>
    <row r="419">
      <c r="A419" s="39">
        <f>IFERROR(SMALL(Calc!$B$2:$BB$61,414),"")</f>
        <v/>
      </c>
      <c r="B419" s="39">
        <f>IF(A419="","",ROUND(MOD(A419,1)*1000,0))</f>
        <v/>
      </c>
      <c r="C419" s="33" t="n"/>
      <c r="D419" s="40">
        <f>IF(A419="","",INT(A419))</f>
        <v/>
      </c>
      <c r="E419" s="41">
        <f>IF(B419="","",INDEX(Setup!$D$25:$D$84,B419))</f>
        <v/>
      </c>
      <c r="F419" s="42">
        <f>IF(B419="","",INDEX(Setup!$E$25:$E$84,B419))</f>
        <v/>
      </c>
      <c r="G419" s="39">
        <f>IF(B419="","",INDEX(Setup!$I$25:$I$84,B419)&amp;"")</f>
        <v/>
      </c>
      <c r="H419" s="39">
        <f>IF(B419="","",INDEX(Setup!$J$25:$J$84,B419)&amp;"")</f>
        <v/>
      </c>
      <c r="I419" s="39">
        <f>IF(B419="","",INDEX(Setup!$C$25:$C$84,B419))</f>
        <v/>
      </c>
      <c r="J419" s="39" t="n"/>
      <c r="K419" s="37" t="n"/>
      <c r="L419" s="38" t="n"/>
      <c r="M419" s="33" t="n"/>
      <c r="N419" s="33" t="n"/>
      <c r="O419" s="39" t="n"/>
      <c r="P419" s="40">
        <f>IF(A419="","",IF(K419&lt;&gt;"",K419,D419))</f>
        <v/>
      </c>
      <c r="Q419" s="42">
        <f>IF(A419="",0,IF(C419="✗",0,IF(OR(C419="✓",AND(Setup!$D$7="Yes",P419&lt;=TODAY())),IF(L419&lt;&gt;"",L419,F419),0)))</f>
        <v/>
      </c>
      <c r="R419" s="39">
        <f>IF(A419="","",IF(M419&lt;&gt;"",M419,G419))</f>
        <v/>
      </c>
      <c r="S419" s="39">
        <f>IF(A419="","",IF(N419&lt;&gt;"",N419,H419))</f>
        <v/>
      </c>
      <c r="T419" s="39">
        <f>IF(A419="","",IF(C419="✗","Skipped",IF(Q419&gt;0,"Paid","Upcoming")))</f>
        <v/>
      </c>
      <c r="U419" s="42">
        <f>IF(A419="",0,IF(C419="✗",0,IF(L419&lt;&gt;"",L419,F419)))</f>
        <v/>
      </c>
    </row>
    <row r="420">
      <c r="A420" s="32">
        <f>IFERROR(SMALL(Calc!$B$2:$BB$61,415),"")</f>
        <v/>
      </c>
      <c r="B420" s="32">
        <f>IF(A420="","",ROUND(MOD(A420,1)*1000,0))</f>
        <v/>
      </c>
      <c r="C420" s="33" t="n"/>
      <c r="D420" s="34">
        <f>IF(A420="","",INT(A420))</f>
        <v/>
      </c>
      <c r="E420" s="35">
        <f>IF(B420="","",INDEX(Setup!$D$25:$D$84,B420))</f>
        <v/>
      </c>
      <c r="F420" s="36">
        <f>IF(B420="","",INDEX(Setup!$E$25:$E$84,B420))</f>
        <v/>
      </c>
      <c r="G420" s="32">
        <f>IF(B420="","",INDEX(Setup!$I$25:$I$84,B420)&amp;"")</f>
        <v/>
      </c>
      <c r="H420" s="32">
        <f>IF(B420="","",INDEX(Setup!$J$25:$J$84,B420)&amp;"")</f>
        <v/>
      </c>
      <c r="I420" s="32">
        <f>IF(B420="","",INDEX(Setup!$C$25:$C$84,B420))</f>
        <v/>
      </c>
      <c r="J420" s="32" t="n"/>
      <c r="K420" s="37" t="n"/>
      <c r="L420" s="38" t="n"/>
      <c r="M420" s="33" t="n"/>
      <c r="N420" s="33" t="n"/>
      <c r="O420" s="32" t="n"/>
      <c r="P420" s="34">
        <f>IF(A420="","",IF(K420&lt;&gt;"",K420,D420))</f>
        <v/>
      </c>
      <c r="Q420" s="36">
        <f>IF(A420="",0,IF(C420="✗",0,IF(OR(C420="✓",AND(Setup!$D$7="Yes",P420&lt;=TODAY())),IF(L420&lt;&gt;"",L420,F420),0)))</f>
        <v/>
      </c>
      <c r="R420" s="32">
        <f>IF(A420="","",IF(M420&lt;&gt;"",M420,G420))</f>
        <v/>
      </c>
      <c r="S420" s="32">
        <f>IF(A420="","",IF(N420&lt;&gt;"",N420,H420))</f>
        <v/>
      </c>
      <c r="T420" s="32">
        <f>IF(A420="","",IF(C420="✗","Skipped",IF(Q420&gt;0,"Paid","Upcoming")))</f>
        <v/>
      </c>
      <c r="U420" s="36">
        <f>IF(A420="",0,IF(C420="✗",0,IF(L420&lt;&gt;"",L420,F420)))</f>
        <v/>
      </c>
    </row>
    <row r="421">
      <c r="A421" s="39">
        <f>IFERROR(SMALL(Calc!$B$2:$BB$61,416),"")</f>
        <v/>
      </c>
      <c r="B421" s="39">
        <f>IF(A421="","",ROUND(MOD(A421,1)*1000,0))</f>
        <v/>
      </c>
      <c r="C421" s="33" t="n"/>
      <c r="D421" s="40">
        <f>IF(A421="","",INT(A421))</f>
        <v/>
      </c>
      <c r="E421" s="41">
        <f>IF(B421="","",INDEX(Setup!$D$25:$D$84,B421))</f>
        <v/>
      </c>
      <c r="F421" s="42">
        <f>IF(B421="","",INDEX(Setup!$E$25:$E$84,B421))</f>
        <v/>
      </c>
      <c r="G421" s="39">
        <f>IF(B421="","",INDEX(Setup!$I$25:$I$84,B421)&amp;"")</f>
        <v/>
      </c>
      <c r="H421" s="39">
        <f>IF(B421="","",INDEX(Setup!$J$25:$J$84,B421)&amp;"")</f>
        <v/>
      </c>
      <c r="I421" s="39">
        <f>IF(B421="","",INDEX(Setup!$C$25:$C$84,B421))</f>
        <v/>
      </c>
      <c r="J421" s="39" t="n"/>
      <c r="K421" s="37" t="n"/>
      <c r="L421" s="38" t="n"/>
      <c r="M421" s="33" t="n"/>
      <c r="N421" s="33" t="n"/>
      <c r="O421" s="39" t="n"/>
      <c r="P421" s="40">
        <f>IF(A421="","",IF(K421&lt;&gt;"",K421,D421))</f>
        <v/>
      </c>
      <c r="Q421" s="42">
        <f>IF(A421="",0,IF(C421="✗",0,IF(OR(C421="✓",AND(Setup!$D$7="Yes",P421&lt;=TODAY())),IF(L421&lt;&gt;"",L421,F421),0)))</f>
        <v/>
      </c>
      <c r="R421" s="39">
        <f>IF(A421="","",IF(M421&lt;&gt;"",M421,G421))</f>
        <v/>
      </c>
      <c r="S421" s="39">
        <f>IF(A421="","",IF(N421&lt;&gt;"",N421,H421))</f>
        <v/>
      </c>
      <c r="T421" s="39">
        <f>IF(A421="","",IF(C421="✗","Skipped",IF(Q421&gt;0,"Paid","Upcoming")))</f>
        <v/>
      </c>
      <c r="U421" s="42">
        <f>IF(A421="",0,IF(C421="✗",0,IF(L421&lt;&gt;"",L421,F421)))</f>
        <v/>
      </c>
    </row>
    <row r="422">
      <c r="A422" s="32">
        <f>IFERROR(SMALL(Calc!$B$2:$BB$61,417),"")</f>
        <v/>
      </c>
      <c r="B422" s="32">
        <f>IF(A422="","",ROUND(MOD(A422,1)*1000,0))</f>
        <v/>
      </c>
      <c r="C422" s="33" t="n"/>
      <c r="D422" s="34">
        <f>IF(A422="","",INT(A422))</f>
        <v/>
      </c>
      <c r="E422" s="35">
        <f>IF(B422="","",INDEX(Setup!$D$25:$D$84,B422))</f>
        <v/>
      </c>
      <c r="F422" s="36">
        <f>IF(B422="","",INDEX(Setup!$E$25:$E$84,B422))</f>
        <v/>
      </c>
      <c r="G422" s="32">
        <f>IF(B422="","",INDEX(Setup!$I$25:$I$84,B422)&amp;"")</f>
        <v/>
      </c>
      <c r="H422" s="32">
        <f>IF(B422="","",INDEX(Setup!$J$25:$J$84,B422)&amp;"")</f>
        <v/>
      </c>
      <c r="I422" s="32">
        <f>IF(B422="","",INDEX(Setup!$C$25:$C$84,B422))</f>
        <v/>
      </c>
      <c r="J422" s="32" t="n"/>
      <c r="K422" s="37" t="n"/>
      <c r="L422" s="38" t="n"/>
      <c r="M422" s="33" t="n"/>
      <c r="N422" s="33" t="n"/>
      <c r="O422" s="32" t="n"/>
      <c r="P422" s="34">
        <f>IF(A422="","",IF(K422&lt;&gt;"",K422,D422))</f>
        <v/>
      </c>
      <c r="Q422" s="36">
        <f>IF(A422="",0,IF(C422="✗",0,IF(OR(C422="✓",AND(Setup!$D$7="Yes",P422&lt;=TODAY())),IF(L422&lt;&gt;"",L422,F422),0)))</f>
        <v/>
      </c>
      <c r="R422" s="32">
        <f>IF(A422="","",IF(M422&lt;&gt;"",M422,G422))</f>
        <v/>
      </c>
      <c r="S422" s="32">
        <f>IF(A422="","",IF(N422&lt;&gt;"",N422,H422))</f>
        <v/>
      </c>
      <c r="T422" s="32">
        <f>IF(A422="","",IF(C422="✗","Skipped",IF(Q422&gt;0,"Paid","Upcoming")))</f>
        <v/>
      </c>
      <c r="U422" s="36">
        <f>IF(A422="",0,IF(C422="✗",0,IF(L422&lt;&gt;"",L422,F422)))</f>
        <v/>
      </c>
    </row>
    <row r="423">
      <c r="A423" s="39">
        <f>IFERROR(SMALL(Calc!$B$2:$BB$61,418),"")</f>
        <v/>
      </c>
      <c r="B423" s="39">
        <f>IF(A423="","",ROUND(MOD(A423,1)*1000,0))</f>
        <v/>
      </c>
      <c r="C423" s="33" t="n"/>
      <c r="D423" s="40">
        <f>IF(A423="","",INT(A423))</f>
        <v/>
      </c>
      <c r="E423" s="41">
        <f>IF(B423="","",INDEX(Setup!$D$25:$D$84,B423))</f>
        <v/>
      </c>
      <c r="F423" s="42">
        <f>IF(B423="","",INDEX(Setup!$E$25:$E$84,B423))</f>
        <v/>
      </c>
      <c r="G423" s="39">
        <f>IF(B423="","",INDEX(Setup!$I$25:$I$84,B423)&amp;"")</f>
        <v/>
      </c>
      <c r="H423" s="39">
        <f>IF(B423="","",INDEX(Setup!$J$25:$J$84,B423)&amp;"")</f>
        <v/>
      </c>
      <c r="I423" s="39">
        <f>IF(B423="","",INDEX(Setup!$C$25:$C$84,B423))</f>
        <v/>
      </c>
      <c r="J423" s="39" t="n"/>
      <c r="K423" s="37" t="n"/>
      <c r="L423" s="38" t="n"/>
      <c r="M423" s="33" t="n"/>
      <c r="N423" s="33" t="n"/>
      <c r="O423" s="39" t="n"/>
      <c r="P423" s="40">
        <f>IF(A423="","",IF(K423&lt;&gt;"",K423,D423))</f>
        <v/>
      </c>
      <c r="Q423" s="42">
        <f>IF(A423="",0,IF(C423="✗",0,IF(OR(C423="✓",AND(Setup!$D$7="Yes",P423&lt;=TODAY())),IF(L423&lt;&gt;"",L423,F423),0)))</f>
        <v/>
      </c>
      <c r="R423" s="39">
        <f>IF(A423="","",IF(M423&lt;&gt;"",M423,G423))</f>
        <v/>
      </c>
      <c r="S423" s="39">
        <f>IF(A423="","",IF(N423&lt;&gt;"",N423,H423))</f>
        <v/>
      </c>
      <c r="T423" s="39">
        <f>IF(A423="","",IF(C423="✗","Skipped",IF(Q423&gt;0,"Paid","Upcoming")))</f>
        <v/>
      </c>
      <c r="U423" s="42">
        <f>IF(A423="",0,IF(C423="✗",0,IF(L423&lt;&gt;"",L423,F423)))</f>
        <v/>
      </c>
    </row>
    <row r="424">
      <c r="A424" s="32">
        <f>IFERROR(SMALL(Calc!$B$2:$BB$61,419),"")</f>
        <v/>
      </c>
      <c r="B424" s="32">
        <f>IF(A424="","",ROUND(MOD(A424,1)*1000,0))</f>
        <v/>
      </c>
      <c r="C424" s="33" t="n"/>
      <c r="D424" s="34">
        <f>IF(A424="","",INT(A424))</f>
        <v/>
      </c>
      <c r="E424" s="35">
        <f>IF(B424="","",INDEX(Setup!$D$25:$D$84,B424))</f>
        <v/>
      </c>
      <c r="F424" s="36">
        <f>IF(B424="","",INDEX(Setup!$E$25:$E$84,B424))</f>
        <v/>
      </c>
      <c r="G424" s="32">
        <f>IF(B424="","",INDEX(Setup!$I$25:$I$84,B424)&amp;"")</f>
        <v/>
      </c>
      <c r="H424" s="32">
        <f>IF(B424="","",INDEX(Setup!$J$25:$J$84,B424)&amp;"")</f>
        <v/>
      </c>
      <c r="I424" s="32">
        <f>IF(B424="","",INDEX(Setup!$C$25:$C$84,B424))</f>
        <v/>
      </c>
      <c r="J424" s="32" t="n"/>
      <c r="K424" s="37" t="n"/>
      <c r="L424" s="38" t="n"/>
      <c r="M424" s="33" t="n"/>
      <c r="N424" s="33" t="n"/>
      <c r="O424" s="32" t="n"/>
      <c r="P424" s="34">
        <f>IF(A424="","",IF(K424&lt;&gt;"",K424,D424))</f>
        <v/>
      </c>
      <c r="Q424" s="36">
        <f>IF(A424="",0,IF(C424="✗",0,IF(OR(C424="✓",AND(Setup!$D$7="Yes",P424&lt;=TODAY())),IF(L424&lt;&gt;"",L424,F424),0)))</f>
        <v/>
      </c>
      <c r="R424" s="32">
        <f>IF(A424="","",IF(M424&lt;&gt;"",M424,G424))</f>
        <v/>
      </c>
      <c r="S424" s="32">
        <f>IF(A424="","",IF(N424&lt;&gt;"",N424,H424))</f>
        <v/>
      </c>
      <c r="T424" s="32">
        <f>IF(A424="","",IF(C424="✗","Skipped",IF(Q424&gt;0,"Paid","Upcoming")))</f>
        <v/>
      </c>
      <c r="U424" s="36">
        <f>IF(A424="",0,IF(C424="✗",0,IF(L424&lt;&gt;"",L424,F424)))</f>
        <v/>
      </c>
    </row>
    <row r="425">
      <c r="A425" s="39">
        <f>IFERROR(SMALL(Calc!$B$2:$BB$61,420),"")</f>
        <v/>
      </c>
      <c r="B425" s="39">
        <f>IF(A425="","",ROUND(MOD(A425,1)*1000,0))</f>
        <v/>
      </c>
      <c r="C425" s="33" t="n"/>
      <c r="D425" s="40">
        <f>IF(A425="","",INT(A425))</f>
        <v/>
      </c>
      <c r="E425" s="41">
        <f>IF(B425="","",INDEX(Setup!$D$25:$D$84,B425))</f>
        <v/>
      </c>
      <c r="F425" s="42">
        <f>IF(B425="","",INDEX(Setup!$E$25:$E$84,B425))</f>
        <v/>
      </c>
      <c r="G425" s="39">
        <f>IF(B425="","",INDEX(Setup!$I$25:$I$84,B425)&amp;"")</f>
        <v/>
      </c>
      <c r="H425" s="39">
        <f>IF(B425="","",INDEX(Setup!$J$25:$J$84,B425)&amp;"")</f>
        <v/>
      </c>
      <c r="I425" s="39">
        <f>IF(B425="","",INDEX(Setup!$C$25:$C$84,B425))</f>
        <v/>
      </c>
      <c r="J425" s="39" t="n"/>
      <c r="K425" s="37" t="n"/>
      <c r="L425" s="38" t="n"/>
      <c r="M425" s="33" t="n"/>
      <c r="N425" s="33" t="n"/>
      <c r="O425" s="39" t="n"/>
      <c r="P425" s="40">
        <f>IF(A425="","",IF(K425&lt;&gt;"",K425,D425))</f>
        <v/>
      </c>
      <c r="Q425" s="42">
        <f>IF(A425="",0,IF(C425="✗",0,IF(OR(C425="✓",AND(Setup!$D$7="Yes",P425&lt;=TODAY())),IF(L425&lt;&gt;"",L425,F425),0)))</f>
        <v/>
      </c>
      <c r="R425" s="39">
        <f>IF(A425="","",IF(M425&lt;&gt;"",M425,G425))</f>
        <v/>
      </c>
      <c r="S425" s="39">
        <f>IF(A425="","",IF(N425&lt;&gt;"",N425,H425))</f>
        <v/>
      </c>
      <c r="T425" s="39">
        <f>IF(A425="","",IF(C425="✗","Skipped",IF(Q425&gt;0,"Paid","Upcoming")))</f>
        <v/>
      </c>
      <c r="U425" s="42">
        <f>IF(A425="",0,IF(C425="✗",0,IF(L425&lt;&gt;"",L425,F425)))</f>
        <v/>
      </c>
    </row>
    <row r="426">
      <c r="A426" s="32">
        <f>IFERROR(SMALL(Calc!$B$2:$BB$61,421),"")</f>
        <v/>
      </c>
      <c r="B426" s="32">
        <f>IF(A426="","",ROUND(MOD(A426,1)*1000,0))</f>
        <v/>
      </c>
      <c r="C426" s="33" t="n"/>
      <c r="D426" s="34">
        <f>IF(A426="","",INT(A426))</f>
        <v/>
      </c>
      <c r="E426" s="35">
        <f>IF(B426="","",INDEX(Setup!$D$25:$D$84,B426))</f>
        <v/>
      </c>
      <c r="F426" s="36">
        <f>IF(B426="","",INDEX(Setup!$E$25:$E$84,B426))</f>
        <v/>
      </c>
      <c r="G426" s="32">
        <f>IF(B426="","",INDEX(Setup!$I$25:$I$84,B426)&amp;"")</f>
        <v/>
      </c>
      <c r="H426" s="32">
        <f>IF(B426="","",INDEX(Setup!$J$25:$J$84,B426)&amp;"")</f>
        <v/>
      </c>
      <c r="I426" s="32">
        <f>IF(B426="","",INDEX(Setup!$C$25:$C$84,B426))</f>
        <v/>
      </c>
      <c r="J426" s="32" t="n"/>
      <c r="K426" s="37" t="n"/>
      <c r="L426" s="38" t="n"/>
      <c r="M426" s="33" t="n"/>
      <c r="N426" s="33" t="n"/>
      <c r="O426" s="32" t="n"/>
      <c r="P426" s="34">
        <f>IF(A426="","",IF(K426&lt;&gt;"",K426,D426))</f>
        <v/>
      </c>
      <c r="Q426" s="36">
        <f>IF(A426="",0,IF(C426="✗",0,IF(OR(C426="✓",AND(Setup!$D$7="Yes",P426&lt;=TODAY())),IF(L426&lt;&gt;"",L426,F426),0)))</f>
        <v/>
      </c>
      <c r="R426" s="32">
        <f>IF(A426="","",IF(M426&lt;&gt;"",M426,G426))</f>
        <v/>
      </c>
      <c r="S426" s="32">
        <f>IF(A426="","",IF(N426&lt;&gt;"",N426,H426))</f>
        <v/>
      </c>
      <c r="T426" s="32">
        <f>IF(A426="","",IF(C426="✗","Skipped",IF(Q426&gt;0,"Paid","Upcoming")))</f>
        <v/>
      </c>
      <c r="U426" s="36">
        <f>IF(A426="",0,IF(C426="✗",0,IF(L426&lt;&gt;"",L426,F426)))</f>
        <v/>
      </c>
    </row>
    <row r="427">
      <c r="A427" s="39">
        <f>IFERROR(SMALL(Calc!$B$2:$BB$61,422),"")</f>
        <v/>
      </c>
      <c r="B427" s="39">
        <f>IF(A427="","",ROUND(MOD(A427,1)*1000,0))</f>
        <v/>
      </c>
      <c r="C427" s="33" t="n"/>
      <c r="D427" s="40">
        <f>IF(A427="","",INT(A427))</f>
        <v/>
      </c>
      <c r="E427" s="41">
        <f>IF(B427="","",INDEX(Setup!$D$25:$D$84,B427))</f>
        <v/>
      </c>
      <c r="F427" s="42">
        <f>IF(B427="","",INDEX(Setup!$E$25:$E$84,B427))</f>
        <v/>
      </c>
      <c r="G427" s="39">
        <f>IF(B427="","",INDEX(Setup!$I$25:$I$84,B427)&amp;"")</f>
        <v/>
      </c>
      <c r="H427" s="39">
        <f>IF(B427="","",INDEX(Setup!$J$25:$J$84,B427)&amp;"")</f>
        <v/>
      </c>
      <c r="I427" s="39">
        <f>IF(B427="","",INDEX(Setup!$C$25:$C$84,B427))</f>
        <v/>
      </c>
      <c r="J427" s="39" t="n"/>
      <c r="K427" s="37" t="n"/>
      <c r="L427" s="38" t="n"/>
      <c r="M427" s="33" t="n"/>
      <c r="N427" s="33" t="n"/>
      <c r="O427" s="39" t="n"/>
      <c r="P427" s="40">
        <f>IF(A427="","",IF(K427&lt;&gt;"",K427,D427))</f>
        <v/>
      </c>
      <c r="Q427" s="42">
        <f>IF(A427="",0,IF(C427="✗",0,IF(OR(C427="✓",AND(Setup!$D$7="Yes",P427&lt;=TODAY())),IF(L427&lt;&gt;"",L427,F427),0)))</f>
        <v/>
      </c>
      <c r="R427" s="39">
        <f>IF(A427="","",IF(M427&lt;&gt;"",M427,G427))</f>
        <v/>
      </c>
      <c r="S427" s="39">
        <f>IF(A427="","",IF(N427&lt;&gt;"",N427,H427))</f>
        <v/>
      </c>
      <c r="T427" s="39">
        <f>IF(A427="","",IF(C427="✗","Skipped",IF(Q427&gt;0,"Paid","Upcoming")))</f>
        <v/>
      </c>
      <c r="U427" s="42">
        <f>IF(A427="",0,IF(C427="✗",0,IF(L427&lt;&gt;"",L427,F427)))</f>
        <v/>
      </c>
    </row>
    <row r="428">
      <c r="A428" s="32">
        <f>IFERROR(SMALL(Calc!$B$2:$BB$61,423),"")</f>
        <v/>
      </c>
      <c r="B428" s="32">
        <f>IF(A428="","",ROUND(MOD(A428,1)*1000,0))</f>
        <v/>
      </c>
      <c r="C428" s="33" t="n"/>
      <c r="D428" s="34">
        <f>IF(A428="","",INT(A428))</f>
        <v/>
      </c>
      <c r="E428" s="35">
        <f>IF(B428="","",INDEX(Setup!$D$25:$D$84,B428))</f>
        <v/>
      </c>
      <c r="F428" s="36">
        <f>IF(B428="","",INDEX(Setup!$E$25:$E$84,B428))</f>
        <v/>
      </c>
      <c r="G428" s="32">
        <f>IF(B428="","",INDEX(Setup!$I$25:$I$84,B428)&amp;"")</f>
        <v/>
      </c>
      <c r="H428" s="32">
        <f>IF(B428="","",INDEX(Setup!$J$25:$J$84,B428)&amp;"")</f>
        <v/>
      </c>
      <c r="I428" s="32">
        <f>IF(B428="","",INDEX(Setup!$C$25:$C$84,B428))</f>
        <v/>
      </c>
      <c r="J428" s="32" t="n"/>
      <c r="K428" s="37" t="n"/>
      <c r="L428" s="38" t="n"/>
      <c r="M428" s="33" t="n"/>
      <c r="N428" s="33" t="n"/>
      <c r="O428" s="32" t="n"/>
      <c r="P428" s="34">
        <f>IF(A428="","",IF(K428&lt;&gt;"",K428,D428))</f>
        <v/>
      </c>
      <c r="Q428" s="36">
        <f>IF(A428="",0,IF(C428="✗",0,IF(OR(C428="✓",AND(Setup!$D$7="Yes",P428&lt;=TODAY())),IF(L428&lt;&gt;"",L428,F428),0)))</f>
        <v/>
      </c>
      <c r="R428" s="32">
        <f>IF(A428="","",IF(M428&lt;&gt;"",M428,G428))</f>
        <v/>
      </c>
      <c r="S428" s="32">
        <f>IF(A428="","",IF(N428&lt;&gt;"",N428,H428))</f>
        <v/>
      </c>
      <c r="T428" s="32">
        <f>IF(A428="","",IF(C428="✗","Skipped",IF(Q428&gt;0,"Paid","Upcoming")))</f>
        <v/>
      </c>
      <c r="U428" s="36">
        <f>IF(A428="",0,IF(C428="✗",0,IF(L428&lt;&gt;"",L428,F428)))</f>
        <v/>
      </c>
    </row>
    <row r="429">
      <c r="A429" s="39">
        <f>IFERROR(SMALL(Calc!$B$2:$BB$61,424),"")</f>
        <v/>
      </c>
      <c r="B429" s="39">
        <f>IF(A429="","",ROUND(MOD(A429,1)*1000,0))</f>
        <v/>
      </c>
      <c r="C429" s="33" t="n"/>
      <c r="D429" s="40">
        <f>IF(A429="","",INT(A429))</f>
        <v/>
      </c>
      <c r="E429" s="41">
        <f>IF(B429="","",INDEX(Setup!$D$25:$D$84,B429))</f>
        <v/>
      </c>
      <c r="F429" s="42">
        <f>IF(B429="","",INDEX(Setup!$E$25:$E$84,B429))</f>
        <v/>
      </c>
      <c r="G429" s="39">
        <f>IF(B429="","",INDEX(Setup!$I$25:$I$84,B429)&amp;"")</f>
        <v/>
      </c>
      <c r="H429" s="39">
        <f>IF(B429="","",INDEX(Setup!$J$25:$J$84,B429)&amp;"")</f>
        <v/>
      </c>
      <c r="I429" s="39">
        <f>IF(B429="","",INDEX(Setup!$C$25:$C$84,B429))</f>
        <v/>
      </c>
      <c r="J429" s="39" t="n"/>
      <c r="K429" s="37" t="n"/>
      <c r="L429" s="38" t="n"/>
      <c r="M429" s="33" t="n"/>
      <c r="N429" s="33" t="n"/>
      <c r="O429" s="39" t="n"/>
      <c r="P429" s="40">
        <f>IF(A429="","",IF(K429&lt;&gt;"",K429,D429))</f>
        <v/>
      </c>
      <c r="Q429" s="42">
        <f>IF(A429="",0,IF(C429="✗",0,IF(OR(C429="✓",AND(Setup!$D$7="Yes",P429&lt;=TODAY())),IF(L429&lt;&gt;"",L429,F429),0)))</f>
        <v/>
      </c>
      <c r="R429" s="39">
        <f>IF(A429="","",IF(M429&lt;&gt;"",M429,G429))</f>
        <v/>
      </c>
      <c r="S429" s="39">
        <f>IF(A429="","",IF(N429&lt;&gt;"",N429,H429))</f>
        <v/>
      </c>
      <c r="T429" s="39">
        <f>IF(A429="","",IF(C429="✗","Skipped",IF(Q429&gt;0,"Paid","Upcoming")))</f>
        <v/>
      </c>
      <c r="U429" s="42">
        <f>IF(A429="",0,IF(C429="✗",0,IF(L429&lt;&gt;"",L429,F429)))</f>
        <v/>
      </c>
    </row>
    <row r="430">
      <c r="A430" s="32">
        <f>IFERROR(SMALL(Calc!$B$2:$BB$61,425),"")</f>
        <v/>
      </c>
      <c r="B430" s="32">
        <f>IF(A430="","",ROUND(MOD(A430,1)*1000,0))</f>
        <v/>
      </c>
      <c r="C430" s="33" t="n"/>
      <c r="D430" s="34">
        <f>IF(A430="","",INT(A430))</f>
        <v/>
      </c>
      <c r="E430" s="35">
        <f>IF(B430="","",INDEX(Setup!$D$25:$D$84,B430))</f>
        <v/>
      </c>
      <c r="F430" s="36">
        <f>IF(B430="","",INDEX(Setup!$E$25:$E$84,B430))</f>
        <v/>
      </c>
      <c r="G430" s="32">
        <f>IF(B430="","",INDEX(Setup!$I$25:$I$84,B430)&amp;"")</f>
        <v/>
      </c>
      <c r="H430" s="32">
        <f>IF(B430="","",INDEX(Setup!$J$25:$J$84,B430)&amp;"")</f>
        <v/>
      </c>
      <c r="I430" s="32">
        <f>IF(B430="","",INDEX(Setup!$C$25:$C$84,B430))</f>
        <v/>
      </c>
      <c r="J430" s="32" t="n"/>
      <c r="K430" s="37" t="n"/>
      <c r="L430" s="38" t="n"/>
      <c r="M430" s="33" t="n"/>
      <c r="N430" s="33" t="n"/>
      <c r="O430" s="32" t="n"/>
      <c r="P430" s="34">
        <f>IF(A430="","",IF(K430&lt;&gt;"",K430,D430))</f>
        <v/>
      </c>
      <c r="Q430" s="36">
        <f>IF(A430="",0,IF(C430="✗",0,IF(OR(C430="✓",AND(Setup!$D$7="Yes",P430&lt;=TODAY())),IF(L430&lt;&gt;"",L430,F430),0)))</f>
        <v/>
      </c>
      <c r="R430" s="32">
        <f>IF(A430="","",IF(M430&lt;&gt;"",M430,G430))</f>
        <v/>
      </c>
      <c r="S430" s="32">
        <f>IF(A430="","",IF(N430&lt;&gt;"",N430,H430))</f>
        <v/>
      </c>
      <c r="T430" s="32">
        <f>IF(A430="","",IF(C430="✗","Skipped",IF(Q430&gt;0,"Paid","Upcoming")))</f>
        <v/>
      </c>
      <c r="U430" s="36">
        <f>IF(A430="",0,IF(C430="✗",0,IF(L430&lt;&gt;"",L430,F430)))</f>
        <v/>
      </c>
    </row>
    <row r="431">
      <c r="A431" s="39">
        <f>IFERROR(SMALL(Calc!$B$2:$BB$61,426),"")</f>
        <v/>
      </c>
      <c r="B431" s="39">
        <f>IF(A431="","",ROUND(MOD(A431,1)*1000,0))</f>
        <v/>
      </c>
      <c r="C431" s="33" t="n"/>
      <c r="D431" s="40">
        <f>IF(A431="","",INT(A431))</f>
        <v/>
      </c>
      <c r="E431" s="41">
        <f>IF(B431="","",INDEX(Setup!$D$25:$D$84,B431))</f>
        <v/>
      </c>
      <c r="F431" s="42">
        <f>IF(B431="","",INDEX(Setup!$E$25:$E$84,B431))</f>
        <v/>
      </c>
      <c r="G431" s="39">
        <f>IF(B431="","",INDEX(Setup!$I$25:$I$84,B431)&amp;"")</f>
        <v/>
      </c>
      <c r="H431" s="39">
        <f>IF(B431="","",INDEX(Setup!$J$25:$J$84,B431)&amp;"")</f>
        <v/>
      </c>
      <c r="I431" s="39">
        <f>IF(B431="","",INDEX(Setup!$C$25:$C$84,B431))</f>
        <v/>
      </c>
      <c r="J431" s="39" t="n"/>
      <c r="K431" s="37" t="n"/>
      <c r="L431" s="38" t="n"/>
      <c r="M431" s="33" t="n"/>
      <c r="N431" s="33" t="n"/>
      <c r="O431" s="39" t="n"/>
      <c r="P431" s="40">
        <f>IF(A431="","",IF(K431&lt;&gt;"",K431,D431))</f>
        <v/>
      </c>
      <c r="Q431" s="42">
        <f>IF(A431="",0,IF(C431="✗",0,IF(OR(C431="✓",AND(Setup!$D$7="Yes",P431&lt;=TODAY())),IF(L431&lt;&gt;"",L431,F431),0)))</f>
        <v/>
      </c>
      <c r="R431" s="39">
        <f>IF(A431="","",IF(M431&lt;&gt;"",M431,G431))</f>
        <v/>
      </c>
      <c r="S431" s="39">
        <f>IF(A431="","",IF(N431&lt;&gt;"",N431,H431))</f>
        <v/>
      </c>
      <c r="T431" s="39">
        <f>IF(A431="","",IF(C431="✗","Skipped",IF(Q431&gt;0,"Paid","Upcoming")))</f>
        <v/>
      </c>
      <c r="U431" s="42">
        <f>IF(A431="",0,IF(C431="✗",0,IF(L431&lt;&gt;"",L431,F431)))</f>
        <v/>
      </c>
    </row>
    <row r="432">
      <c r="A432" s="32">
        <f>IFERROR(SMALL(Calc!$B$2:$BB$61,427),"")</f>
        <v/>
      </c>
      <c r="B432" s="32">
        <f>IF(A432="","",ROUND(MOD(A432,1)*1000,0))</f>
        <v/>
      </c>
      <c r="C432" s="33" t="n"/>
      <c r="D432" s="34">
        <f>IF(A432="","",INT(A432))</f>
        <v/>
      </c>
      <c r="E432" s="35">
        <f>IF(B432="","",INDEX(Setup!$D$25:$D$84,B432))</f>
        <v/>
      </c>
      <c r="F432" s="36">
        <f>IF(B432="","",INDEX(Setup!$E$25:$E$84,B432))</f>
        <v/>
      </c>
      <c r="G432" s="32">
        <f>IF(B432="","",INDEX(Setup!$I$25:$I$84,B432)&amp;"")</f>
        <v/>
      </c>
      <c r="H432" s="32">
        <f>IF(B432="","",INDEX(Setup!$J$25:$J$84,B432)&amp;"")</f>
        <v/>
      </c>
      <c r="I432" s="32">
        <f>IF(B432="","",INDEX(Setup!$C$25:$C$84,B432))</f>
        <v/>
      </c>
      <c r="J432" s="32" t="n"/>
      <c r="K432" s="37" t="n"/>
      <c r="L432" s="38" t="n"/>
      <c r="M432" s="33" t="n"/>
      <c r="N432" s="33" t="n"/>
      <c r="O432" s="32" t="n"/>
      <c r="P432" s="34">
        <f>IF(A432="","",IF(K432&lt;&gt;"",K432,D432))</f>
        <v/>
      </c>
      <c r="Q432" s="36">
        <f>IF(A432="",0,IF(C432="✗",0,IF(OR(C432="✓",AND(Setup!$D$7="Yes",P432&lt;=TODAY())),IF(L432&lt;&gt;"",L432,F432),0)))</f>
        <v/>
      </c>
      <c r="R432" s="32">
        <f>IF(A432="","",IF(M432&lt;&gt;"",M432,G432))</f>
        <v/>
      </c>
      <c r="S432" s="32">
        <f>IF(A432="","",IF(N432&lt;&gt;"",N432,H432))</f>
        <v/>
      </c>
      <c r="T432" s="32">
        <f>IF(A432="","",IF(C432="✗","Skipped",IF(Q432&gt;0,"Paid","Upcoming")))</f>
        <v/>
      </c>
      <c r="U432" s="36">
        <f>IF(A432="",0,IF(C432="✗",0,IF(L432&lt;&gt;"",L432,F432)))</f>
        <v/>
      </c>
    </row>
    <row r="433">
      <c r="A433" s="39">
        <f>IFERROR(SMALL(Calc!$B$2:$BB$61,428),"")</f>
        <v/>
      </c>
      <c r="B433" s="39">
        <f>IF(A433="","",ROUND(MOD(A433,1)*1000,0))</f>
        <v/>
      </c>
      <c r="C433" s="33" t="n"/>
      <c r="D433" s="40">
        <f>IF(A433="","",INT(A433))</f>
        <v/>
      </c>
      <c r="E433" s="41">
        <f>IF(B433="","",INDEX(Setup!$D$25:$D$84,B433))</f>
        <v/>
      </c>
      <c r="F433" s="42">
        <f>IF(B433="","",INDEX(Setup!$E$25:$E$84,B433))</f>
        <v/>
      </c>
      <c r="G433" s="39">
        <f>IF(B433="","",INDEX(Setup!$I$25:$I$84,B433)&amp;"")</f>
        <v/>
      </c>
      <c r="H433" s="39">
        <f>IF(B433="","",INDEX(Setup!$J$25:$J$84,B433)&amp;"")</f>
        <v/>
      </c>
      <c r="I433" s="39">
        <f>IF(B433="","",INDEX(Setup!$C$25:$C$84,B433))</f>
        <v/>
      </c>
      <c r="J433" s="39" t="n"/>
      <c r="K433" s="37" t="n"/>
      <c r="L433" s="38" t="n"/>
      <c r="M433" s="33" t="n"/>
      <c r="N433" s="33" t="n"/>
      <c r="O433" s="39" t="n"/>
      <c r="P433" s="40">
        <f>IF(A433="","",IF(K433&lt;&gt;"",K433,D433))</f>
        <v/>
      </c>
      <c r="Q433" s="42">
        <f>IF(A433="",0,IF(C433="✗",0,IF(OR(C433="✓",AND(Setup!$D$7="Yes",P433&lt;=TODAY())),IF(L433&lt;&gt;"",L433,F433),0)))</f>
        <v/>
      </c>
      <c r="R433" s="39">
        <f>IF(A433="","",IF(M433&lt;&gt;"",M433,G433))</f>
        <v/>
      </c>
      <c r="S433" s="39">
        <f>IF(A433="","",IF(N433&lt;&gt;"",N433,H433))</f>
        <v/>
      </c>
      <c r="T433" s="39">
        <f>IF(A433="","",IF(C433="✗","Skipped",IF(Q433&gt;0,"Paid","Upcoming")))</f>
        <v/>
      </c>
      <c r="U433" s="42">
        <f>IF(A433="",0,IF(C433="✗",0,IF(L433&lt;&gt;"",L433,F433)))</f>
        <v/>
      </c>
    </row>
    <row r="434">
      <c r="A434" s="32">
        <f>IFERROR(SMALL(Calc!$B$2:$BB$61,429),"")</f>
        <v/>
      </c>
      <c r="B434" s="32">
        <f>IF(A434="","",ROUND(MOD(A434,1)*1000,0))</f>
        <v/>
      </c>
      <c r="C434" s="33" t="n"/>
      <c r="D434" s="34">
        <f>IF(A434="","",INT(A434))</f>
        <v/>
      </c>
      <c r="E434" s="35">
        <f>IF(B434="","",INDEX(Setup!$D$25:$D$84,B434))</f>
        <v/>
      </c>
      <c r="F434" s="36">
        <f>IF(B434="","",INDEX(Setup!$E$25:$E$84,B434))</f>
        <v/>
      </c>
      <c r="G434" s="32">
        <f>IF(B434="","",INDEX(Setup!$I$25:$I$84,B434)&amp;"")</f>
        <v/>
      </c>
      <c r="H434" s="32">
        <f>IF(B434="","",INDEX(Setup!$J$25:$J$84,B434)&amp;"")</f>
        <v/>
      </c>
      <c r="I434" s="32">
        <f>IF(B434="","",INDEX(Setup!$C$25:$C$84,B434))</f>
        <v/>
      </c>
      <c r="J434" s="32" t="n"/>
      <c r="K434" s="37" t="n"/>
      <c r="L434" s="38" t="n"/>
      <c r="M434" s="33" t="n"/>
      <c r="N434" s="33" t="n"/>
      <c r="O434" s="32" t="n"/>
      <c r="P434" s="34">
        <f>IF(A434="","",IF(K434&lt;&gt;"",K434,D434))</f>
        <v/>
      </c>
      <c r="Q434" s="36">
        <f>IF(A434="",0,IF(C434="✗",0,IF(OR(C434="✓",AND(Setup!$D$7="Yes",P434&lt;=TODAY())),IF(L434&lt;&gt;"",L434,F434),0)))</f>
        <v/>
      </c>
      <c r="R434" s="32">
        <f>IF(A434="","",IF(M434&lt;&gt;"",M434,G434))</f>
        <v/>
      </c>
      <c r="S434" s="32">
        <f>IF(A434="","",IF(N434&lt;&gt;"",N434,H434))</f>
        <v/>
      </c>
      <c r="T434" s="32">
        <f>IF(A434="","",IF(C434="✗","Skipped",IF(Q434&gt;0,"Paid","Upcoming")))</f>
        <v/>
      </c>
      <c r="U434" s="36">
        <f>IF(A434="",0,IF(C434="✗",0,IF(L434&lt;&gt;"",L434,F434)))</f>
        <v/>
      </c>
    </row>
    <row r="435">
      <c r="A435" s="39">
        <f>IFERROR(SMALL(Calc!$B$2:$BB$61,430),"")</f>
        <v/>
      </c>
      <c r="B435" s="39">
        <f>IF(A435="","",ROUND(MOD(A435,1)*1000,0))</f>
        <v/>
      </c>
      <c r="C435" s="33" t="n"/>
      <c r="D435" s="40">
        <f>IF(A435="","",INT(A435))</f>
        <v/>
      </c>
      <c r="E435" s="41">
        <f>IF(B435="","",INDEX(Setup!$D$25:$D$84,B435))</f>
        <v/>
      </c>
      <c r="F435" s="42">
        <f>IF(B435="","",INDEX(Setup!$E$25:$E$84,B435))</f>
        <v/>
      </c>
      <c r="G435" s="39">
        <f>IF(B435="","",INDEX(Setup!$I$25:$I$84,B435)&amp;"")</f>
        <v/>
      </c>
      <c r="H435" s="39">
        <f>IF(B435="","",INDEX(Setup!$J$25:$J$84,B435)&amp;"")</f>
        <v/>
      </c>
      <c r="I435" s="39">
        <f>IF(B435="","",INDEX(Setup!$C$25:$C$84,B435))</f>
        <v/>
      </c>
      <c r="J435" s="39" t="n"/>
      <c r="K435" s="37" t="n"/>
      <c r="L435" s="38" t="n"/>
      <c r="M435" s="33" t="n"/>
      <c r="N435" s="33" t="n"/>
      <c r="O435" s="39" t="n"/>
      <c r="P435" s="40">
        <f>IF(A435="","",IF(K435&lt;&gt;"",K435,D435))</f>
        <v/>
      </c>
      <c r="Q435" s="42">
        <f>IF(A435="",0,IF(C435="✗",0,IF(OR(C435="✓",AND(Setup!$D$7="Yes",P435&lt;=TODAY())),IF(L435&lt;&gt;"",L435,F435),0)))</f>
        <v/>
      </c>
      <c r="R435" s="39">
        <f>IF(A435="","",IF(M435&lt;&gt;"",M435,G435))</f>
        <v/>
      </c>
      <c r="S435" s="39">
        <f>IF(A435="","",IF(N435&lt;&gt;"",N435,H435))</f>
        <v/>
      </c>
      <c r="T435" s="39">
        <f>IF(A435="","",IF(C435="✗","Skipped",IF(Q435&gt;0,"Paid","Upcoming")))</f>
        <v/>
      </c>
      <c r="U435" s="42">
        <f>IF(A435="",0,IF(C435="✗",0,IF(L435&lt;&gt;"",L435,F435)))</f>
        <v/>
      </c>
    </row>
    <row r="436">
      <c r="A436" s="32">
        <f>IFERROR(SMALL(Calc!$B$2:$BB$61,431),"")</f>
        <v/>
      </c>
      <c r="B436" s="32">
        <f>IF(A436="","",ROUND(MOD(A436,1)*1000,0))</f>
        <v/>
      </c>
      <c r="C436" s="33" t="n"/>
      <c r="D436" s="34">
        <f>IF(A436="","",INT(A436))</f>
        <v/>
      </c>
      <c r="E436" s="35">
        <f>IF(B436="","",INDEX(Setup!$D$25:$D$84,B436))</f>
        <v/>
      </c>
      <c r="F436" s="36">
        <f>IF(B436="","",INDEX(Setup!$E$25:$E$84,B436))</f>
        <v/>
      </c>
      <c r="G436" s="32">
        <f>IF(B436="","",INDEX(Setup!$I$25:$I$84,B436)&amp;"")</f>
        <v/>
      </c>
      <c r="H436" s="32">
        <f>IF(B436="","",INDEX(Setup!$J$25:$J$84,B436)&amp;"")</f>
        <v/>
      </c>
      <c r="I436" s="32">
        <f>IF(B436="","",INDEX(Setup!$C$25:$C$84,B436))</f>
        <v/>
      </c>
      <c r="J436" s="32" t="n"/>
      <c r="K436" s="37" t="n"/>
      <c r="L436" s="38" t="n"/>
      <c r="M436" s="33" t="n"/>
      <c r="N436" s="33" t="n"/>
      <c r="O436" s="32" t="n"/>
      <c r="P436" s="34">
        <f>IF(A436="","",IF(K436&lt;&gt;"",K436,D436))</f>
        <v/>
      </c>
      <c r="Q436" s="36">
        <f>IF(A436="",0,IF(C436="✗",0,IF(OR(C436="✓",AND(Setup!$D$7="Yes",P436&lt;=TODAY())),IF(L436&lt;&gt;"",L436,F436),0)))</f>
        <v/>
      </c>
      <c r="R436" s="32">
        <f>IF(A436="","",IF(M436&lt;&gt;"",M436,G436))</f>
        <v/>
      </c>
      <c r="S436" s="32">
        <f>IF(A436="","",IF(N436&lt;&gt;"",N436,H436))</f>
        <v/>
      </c>
      <c r="T436" s="32">
        <f>IF(A436="","",IF(C436="✗","Skipped",IF(Q436&gt;0,"Paid","Upcoming")))</f>
        <v/>
      </c>
      <c r="U436" s="36">
        <f>IF(A436="",0,IF(C436="✗",0,IF(L436&lt;&gt;"",L436,F436)))</f>
        <v/>
      </c>
    </row>
    <row r="437">
      <c r="A437" s="39">
        <f>IFERROR(SMALL(Calc!$B$2:$BB$61,432),"")</f>
        <v/>
      </c>
      <c r="B437" s="39">
        <f>IF(A437="","",ROUND(MOD(A437,1)*1000,0))</f>
        <v/>
      </c>
      <c r="C437" s="33" t="n"/>
      <c r="D437" s="40">
        <f>IF(A437="","",INT(A437))</f>
        <v/>
      </c>
      <c r="E437" s="41">
        <f>IF(B437="","",INDEX(Setup!$D$25:$D$84,B437))</f>
        <v/>
      </c>
      <c r="F437" s="42">
        <f>IF(B437="","",INDEX(Setup!$E$25:$E$84,B437))</f>
        <v/>
      </c>
      <c r="G437" s="39">
        <f>IF(B437="","",INDEX(Setup!$I$25:$I$84,B437)&amp;"")</f>
        <v/>
      </c>
      <c r="H437" s="39">
        <f>IF(B437="","",INDEX(Setup!$J$25:$J$84,B437)&amp;"")</f>
        <v/>
      </c>
      <c r="I437" s="39">
        <f>IF(B437="","",INDEX(Setup!$C$25:$C$84,B437))</f>
        <v/>
      </c>
      <c r="J437" s="39" t="n"/>
      <c r="K437" s="37" t="n"/>
      <c r="L437" s="38" t="n"/>
      <c r="M437" s="33" t="n"/>
      <c r="N437" s="33" t="n"/>
      <c r="O437" s="39" t="n"/>
      <c r="P437" s="40">
        <f>IF(A437="","",IF(K437&lt;&gt;"",K437,D437))</f>
        <v/>
      </c>
      <c r="Q437" s="42">
        <f>IF(A437="",0,IF(C437="✗",0,IF(OR(C437="✓",AND(Setup!$D$7="Yes",P437&lt;=TODAY())),IF(L437&lt;&gt;"",L437,F437),0)))</f>
        <v/>
      </c>
      <c r="R437" s="39">
        <f>IF(A437="","",IF(M437&lt;&gt;"",M437,G437))</f>
        <v/>
      </c>
      <c r="S437" s="39">
        <f>IF(A437="","",IF(N437&lt;&gt;"",N437,H437))</f>
        <v/>
      </c>
      <c r="T437" s="39">
        <f>IF(A437="","",IF(C437="✗","Skipped",IF(Q437&gt;0,"Paid","Upcoming")))</f>
        <v/>
      </c>
      <c r="U437" s="42">
        <f>IF(A437="",0,IF(C437="✗",0,IF(L437&lt;&gt;"",L437,F437)))</f>
        <v/>
      </c>
    </row>
    <row r="438">
      <c r="A438" s="32">
        <f>IFERROR(SMALL(Calc!$B$2:$BB$61,433),"")</f>
        <v/>
      </c>
      <c r="B438" s="32">
        <f>IF(A438="","",ROUND(MOD(A438,1)*1000,0))</f>
        <v/>
      </c>
      <c r="C438" s="33" t="n"/>
      <c r="D438" s="34">
        <f>IF(A438="","",INT(A438))</f>
        <v/>
      </c>
      <c r="E438" s="35">
        <f>IF(B438="","",INDEX(Setup!$D$25:$D$84,B438))</f>
        <v/>
      </c>
      <c r="F438" s="36">
        <f>IF(B438="","",INDEX(Setup!$E$25:$E$84,B438))</f>
        <v/>
      </c>
      <c r="G438" s="32">
        <f>IF(B438="","",INDEX(Setup!$I$25:$I$84,B438)&amp;"")</f>
        <v/>
      </c>
      <c r="H438" s="32">
        <f>IF(B438="","",INDEX(Setup!$J$25:$J$84,B438)&amp;"")</f>
        <v/>
      </c>
      <c r="I438" s="32">
        <f>IF(B438="","",INDEX(Setup!$C$25:$C$84,B438))</f>
        <v/>
      </c>
      <c r="J438" s="32" t="n"/>
      <c r="K438" s="37" t="n"/>
      <c r="L438" s="38" t="n"/>
      <c r="M438" s="33" t="n"/>
      <c r="N438" s="33" t="n"/>
      <c r="O438" s="32" t="n"/>
      <c r="P438" s="34">
        <f>IF(A438="","",IF(K438&lt;&gt;"",K438,D438))</f>
        <v/>
      </c>
      <c r="Q438" s="36">
        <f>IF(A438="",0,IF(C438="✗",0,IF(OR(C438="✓",AND(Setup!$D$7="Yes",P438&lt;=TODAY())),IF(L438&lt;&gt;"",L438,F438),0)))</f>
        <v/>
      </c>
      <c r="R438" s="32">
        <f>IF(A438="","",IF(M438&lt;&gt;"",M438,G438))</f>
        <v/>
      </c>
      <c r="S438" s="32">
        <f>IF(A438="","",IF(N438&lt;&gt;"",N438,H438))</f>
        <v/>
      </c>
      <c r="T438" s="32">
        <f>IF(A438="","",IF(C438="✗","Skipped",IF(Q438&gt;0,"Paid","Upcoming")))</f>
        <v/>
      </c>
      <c r="U438" s="36">
        <f>IF(A438="",0,IF(C438="✗",0,IF(L438&lt;&gt;"",L438,F438)))</f>
        <v/>
      </c>
    </row>
    <row r="439">
      <c r="A439" s="39">
        <f>IFERROR(SMALL(Calc!$B$2:$BB$61,434),"")</f>
        <v/>
      </c>
      <c r="B439" s="39">
        <f>IF(A439="","",ROUND(MOD(A439,1)*1000,0))</f>
        <v/>
      </c>
      <c r="C439" s="33" t="n"/>
      <c r="D439" s="40">
        <f>IF(A439="","",INT(A439))</f>
        <v/>
      </c>
      <c r="E439" s="41">
        <f>IF(B439="","",INDEX(Setup!$D$25:$D$84,B439))</f>
        <v/>
      </c>
      <c r="F439" s="42">
        <f>IF(B439="","",INDEX(Setup!$E$25:$E$84,B439))</f>
        <v/>
      </c>
      <c r="G439" s="39">
        <f>IF(B439="","",INDEX(Setup!$I$25:$I$84,B439)&amp;"")</f>
        <v/>
      </c>
      <c r="H439" s="39">
        <f>IF(B439="","",INDEX(Setup!$J$25:$J$84,B439)&amp;"")</f>
        <v/>
      </c>
      <c r="I439" s="39">
        <f>IF(B439="","",INDEX(Setup!$C$25:$C$84,B439))</f>
        <v/>
      </c>
      <c r="J439" s="39" t="n"/>
      <c r="K439" s="37" t="n"/>
      <c r="L439" s="38" t="n"/>
      <c r="M439" s="33" t="n"/>
      <c r="N439" s="33" t="n"/>
      <c r="O439" s="39" t="n"/>
      <c r="P439" s="40">
        <f>IF(A439="","",IF(K439&lt;&gt;"",K439,D439))</f>
        <v/>
      </c>
      <c r="Q439" s="42">
        <f>IF(A439="",0,IF(C439="✗",0,IF(OR(C439="✓",AND(Setup!$D$7="Yes",P439&lt;=TODAY())),IF(L439&lt;&gt;"",L439,F439),0)))</f>
        <v/>
      </c>
      <c r="R439" s="39">
        <f>IF(A439="","",IF(M439&lt;&gt;"",M439,G439))</f>
        <v/>
      </c>
      <c r="S439" s="39">
        <f>IF(A439="","",IF(N439&lt;&gt;"",N439,H439))</f>
        <v/>
      </c>
      <c r="T439" s="39">
        <f>IF(A439="","",IF(C439="✗","Skipped",IF(Q439&gt;0,"Paid","Upcoming")))</f>
        <v/>
      </c>
      <c r="U439" s="42">
        <f>IF(A439="",0,IF(C439="✗",0,IF(L439&lt;&gt;"",L439,F439)))</f>
        <v/>
      </c>
    </row>
    <row r="440">
      <c r="A440" s="32">
        <f>IFERROR(SMALL(Calc!$B$2:$BB$61,435),"")</f>
        <v/>
      </c>
      <c r="B440" s="32">
        <f>IF(A440="","",ROUND(MOD(A440,1)*1000,0))</f>
        <v/>
      </c>
      <c r="C440" s="33" t="n"/>
      <c r="D440" s="34">
        <f>IF(A440="","",INT(A440))</f>
        <v/>
      </c>
      <c r="E440" s="35">
        <f>IF(B440="","",INDEX(Setup!$D$25:$D$84,B440))</f>
        <v/>
      </c>
      <c r="F440" s="36">
        <f>IF(B440="","",INDEX(Setup!$E$25:$E$84,B440))</f>
        <v/>
      </c>
      <c r="G440" s="32">
        <f>IF(B440="","",INDEX(Setup!$I$25:$I$84,B440)&amp;"")</f>
        <v/>
      </c>
      <c r="H440" s="32">
        <f>IF(B440="","",INDEX(Setup!$J$25:$J$84,B440)&amp;"")</f>
        <v/>
      </c>
      <c r="I440" s="32">
        <f>IF(B440="","",INDEX(Setup!$C$25:$C$84,B440))</f>
        <v/>
      </c>
      <c r="J440" s="32" t="n"/>
      <c r="K440" s="37" t="n"/>
      <c r="L440" s="38" t="n"/>
      <c r="M440" s="33" t="n"/>
      <c r="N440" s="33" t="n"/>
      <c r="O440" s="32" t="n"/>
      <c r="P440" s="34">
        <f>IF(A440="","",IF(K440&lt;&gt;"",K440,D440))</f>
        <v/>
      </c>
      <c r="Q440" s="36">
        <f>IF(A440="",0,IF(C440="✗",0,IF(OR(C440="✓",AND(Setup!$D$7="Yes",P440&lt;=TODAY())),IF(L440&lt;&gt;"",L440,F440),0)))</f>
        <v/>
      </c>
      <c r="R440" s="32">
        <f>IF(A440="","",IF(M440&lt;&gt;"",M440,G440))</f>
        <v/>
      </c>
      <c r="S440" s="32">
        <f>IF(A440="","",IF(N440&lt;&gt;"",N440,H440))</f>
        <v/>
      </c>
      <c r="T440" s="32">
        <f>IF(A440="","",IF(C440="✗","Skipped",IF(Q440&gt;0,"Paid","Upcoming")))</f>
        <v/>
      </c>
      <c r="U440" s="36">
        <f>IF(A440="",0,IF(C440="✗",0,IF(L440&lt;&gt;"",L440,F440)))</f>
        <v/>
      </c>
    </row>
    <row r="441">
      <c r="A441" s="39">
        <f>IFERROR(SMALL(Calc!$B$2:$BB$61,436),"")</f>
        <v/>
      </c>
      <c r="B441" s="39">
        <f>IF(A441="","",ROUND(MOD(A441,1)*1000,0))</f>
        <v/>
      </c>
      <c r="C441" s="33" t="n"/>
      <c r="D441" s="40">
        <f>IF(A441="","",INT(A441))</f>
        <v/>
      </c>
      <c r="E441" s="41">
        <f>IF(B441="","",INDEX(Setup!$D$25:$D$84,B441))</f>
        <v/>
      </c>
      <c r="F441" s="42">
        <f>IF(B441="","",INDEX(Setup!$E$25:$E$84,B441))</f>
        <v/>
      </c>
      <c r="G441" s="39">
        <f>IF(B441="","",INDEX(Setup!$I$25:$I$84,B441)&amp;"")</f>
        <v/>
      </c>
      <c r="H441" s="39">
        <f>IF(B441="","",INDEX(Setup!$J$25:$J$84,B441)&amp;"")</f>
        <v/>
      </c>
      <c r="I441" s="39">
        <f>IF(B441="","",INDEX(Setup!$C$25:$C$84,B441))</f>
        <v/>
      </c>
      <c r="J441" s="39" t="n"/>
      <c r="K441" s="37" t="n"/>
      <c r="L441" s="38" t="n"/>
      <c r="M441" s="33" t="n"/>
      <c r="N441" s="33" t="n"/>
      <c r="O441" s="39" t="n"/>
      <c r="P441" s="40">
        <f>IF(A441="","",IF(K441&lt;&gt;"",K441,D441))</f>
        <v/>
      </c>
      <c r="Q441" s="42">
        <f>IF(A441="",0,IF(C441="✗",0,IF(OR(C441="✓",AND(Setup!$D$7="Yes",P441&lt;=TODAY())),IF(L441&lt;&gt;"",L441,F441),0)))</f>
        <v/>
      </c>
      <c r="R441" s="39">
        <f>IF(A441="","",IF(M441&lt;&gt;"",M441,G441))</f>
        <v/>
      </c>
      <c r="S441" s="39">
        <f>IF(A441="","",IF(N441&lt;&gt;"",N441,H441))</f>
        <v/>
      </c>
      <c r="T441" s="39">
        <f>IF(A441="","",IF(C441="✗","Skipped",IF(Q441&gt;0,"Paid","Upcoming")))</f>
        <v/>
      </c>
      <c r="U441" s="42">
        <f>IF(A441="",0,IF(C441="✗",0,IF(L441&lt;&gt;"",L441,F441)))</f>
        <v/>
      </c>
    </row>
    <row r="442">
      <c r="A442" s="32">
        <f>IFERROR(SMALL(Calc!$B$2:$BB$61,437),"")</f>
        <v/>
      </c>
      <c r="B442" s="32">
        <f>IF(A442="","",ROUND(MOD(A442,1)*1000,0))</f>
        <v/>
      </c>
      <c r="C442" s="33" t="n"/>
      <c r="D442" s="34">
        <f>IF(A442="","",INT(A442))</f>
        <v/>
      </c>
      <c r="E442" s="35">
        <f>IF(B442="","",INDEX(Setup!$D$25:$D$84,B442))</f>
        <v/>
      </c>
      <c r="F442" s="36">
        <f>IF(B442="","",INDEX(Setup!$E$25:$E$84,B442))</f>
        <v/>
      </c>
      <c r="G442" s="32">
        <f>IF(B442="","",INDEX(Setup!$I$25:$I$84,B442)&amp;"")</f>
        <v/>
      </c>
      <c r="H442" s="32">
        <f>IF(B442="","",INDEX(Setup!$J$25:$J$84,B442)&amp;"")</f>
        <v/>
      </c>
      <c r="I442" s="32">
        <f>IF(B442="","",INDEX(Setup!$C$25:$C$84,B442))</f>
        <v/>
      </c>
      <c r="J442" s="32" t="n"/>
      <c r="K442" s="37" t="n"/>
      <c r="L442" s="38" t="n"/>
      <c r="M442" s="33" t="n"/>
      <c r="N442" s="33" t="n"/>
      <c r="O442" s="32" t="n"/>
      <c r="P442" s="34">
        <f>IF(A442="","",IF(K442&lt;&gt;"",K442,D442))</f>
        <v/>
      </c>
      <c r="Q442" s="36">
        <f>IF(A442="",0,IF(C442="✗",0,IF(OR(C442="✓",AND(Setup!$D$7="Yes",P442&lt;=TODAY())),IF(L442&lt;&gt;"",L442,F442),0)))</f>
        <v/>
      </c>
      <c r="R442" s="32">
        <f>IF(A442="","",IF(M442&lt;&gt;"",M442,G442))</f>
        <v/>
      </c>
      <c r="S442" s="32">
        <f>IF(A442="","",IF(N442&lt;&gt;"",N442,H442))</f>
        <v/>
      </c>
      <c r="T442" s="32">
        <f>IF(A442="","",IF(C442="✗","Skipped",IF(Q442&gt;0,"Paid","Upcoming")))</f>
        <v/>
      </c>
      <c r="U442" s="36">
        <f>IF(A442="",0,IF(C442="✗",0,IF(L442&lt;&gt;"",L442,F442)))</f>
        <v/>
      </c>
    </row>
    <row r="443">
      <c r="A443" s="39">
        <f>IFERROR(SMALL(Calc!$B$2:$BB$61,438),"")</f>
        <v/>
      </c>
      <c r="B443" s="39">
        <f>IF(A443="","",ROUND(MOD(A443,1)*1000,0))</f>
        <v/>
      </c>
      <c r="C443" s="33" t="n"/>
      <c r="D443" s="40">
        <f>IF(A443="","",INT(A443))</f>
        <v/>
      </c>
      <c r="E443" s="41">
        <f>IF(B443="","",INDEX(Setup!$D$25:$D$84,B443))</f>
        <v/>
      </c>
      <c r="F443" s="42">
        <f>IF(B443="","",INDEX(Setup!$E$25:$E$84,B443))</f>
        <v/>
      </c>
      <c r="G443" s="39">
        <f>IF(B443="","",INDEX(Setup!$I$25:$I$84,B443)&amp;"")</f>
        <v/>
      </c>
      <c r="H443" s="39">
        <f>IF(B443="","",INDEX(Setup!$J$25:$J$84,B443)&amp;"")</f>
        <v/>
      </c>
      <c r="I443" s="39">
        <f>IF(B443="","",INDEX(Setup!$C$25:$C$84,B443))</f>
        <v/>
      </c>
      <c r="J443" s="39" t="n"/>
      <c r="K443" s="37" t="n"/>
      <c r="L443" s="38" t="n"/>
      <c r="M443" s="33" t="n"/>
      <c r="N443" s="33" t="n"/>
      <c r="O443" s="39" t="n"/>
      <c r="P443" s="40">
        <f>IF(A443="","",IF(K443&lt;&gt;"",K443,D443))</f>
        <v/>
      </c>
      <c r="Q443" s="42">
        <f>IF(A443="",0,IF(C443="✗",0,IF(OR(C443="✓",AND(Setup!$D$7="Yes",P443&lt;=TODAY())),IF(L443&lt;&gt;"",L443,F443),0)))</f>
        <v/>
      </c>
      <c r="R443" s="39">
        <f>IF(A443="","",IF(M443&lt;&gt;"",M443,G443))</f>
        <v/>
      </c>
      <c r="S443" s="39">
        <f>IF(A443="","",IF(N443&lt;&gt;"",N443,H443))</f>
        <v/>
      </c>
      <c r="T443" s="39">
        <f>IF(A443="","",IF(C443="✗","Skipped",IF(Q443&gt;0,"Paid","Upcoming")))</f>
        <v/>
      </c>
      <c r="U443" s="42">
        <f>IF(A443="",0,IF(C443="✗",0,IF(L443&lt;&gt;"",L443,F443)))</f>
        <v/>
      </c>
    </row>
    <row r="444">
      <c r="A444" s="32">
        <f>IFERROR(SMALL(Calc!$B$2:$BB$61,439),"")</f>
        <v/>
      </c>
      <c r="B444" s="32">
        <f>IF(A444="","",ROUND(MOD(A444,1)*1000,0))</f>
        <v/>
      </c>
      <c r="C444" s="33" t="n"/>
      <c r="D444" s="34">
        <f>IF(A444="","",INT(A444))</f>
        <v/>
      </c>
      <c r="E444" s="35">
        <f>IF(B444="","",INDEX(Setup!$D$25:$D$84,B444))</f>
        <v/>
      </c>
      <c r="F444" s="36">
        <f>IF(B444="","",INDEX(Setup!$E$25:$E$84,B444))</f>
        <v/>
      </c>
      <c r="G444" s="32">
        <f>IF(B444="","",INDEX(Setup!$I$25:$I$84,B444)&amp;"")</f>
        <v/>
      </c>
      <c r="H444" s="32">
        <f>IF(B444="","",INDEX(Setup!$J$25:$J$84,B444)&amp;"")</f>
        <v/>
      </c>
      <c r="I444" s="32">
        <f>IF(B444="","",INDEX(Setup!$C$25:$C$84,B444))</f>
        <v/>
      </c>
      <c r="J444" s="32" t="n"/>
      <c r="K444" s="37" t="n"/>
      <c r="L444" s="38" t="n"/>
      <c r="M444" s="33" t="n"/>
      <c r="N444" s="33" t="n"/>
      <c r="O444" s="32" t="n"/>
      <c r="P444" s="34">
        <f>IF(A444="","",IF(K444&lt;&gt;"",K444,D444))</f>
        <v/>
      </c>
      <c r="Q444" s="36">
        <f>IF(A444="",0,IF(C444="✗",0,IF(OR(C444="✓",AND(Setup!$D$7="Yes",P444&lt;=TODAY())),IF(L444&lt;&gt;"",L444,F444),0)))</f>
        <v/>
      </c>
      <c r="R444" s="32">
        <f>IF(A444="","",IF(M444&lt;&gt;"",M444,G444))</f>
        <v/>
      </c>
      <c r="S444" s="32">
        <f>IF(A444="","",IF(N444&lt;&gt;"",N444,H444))</f>
        <v/>
      </c>
      <c r="T444" s="32">
        <f>IF(A444="","",IF(C444="✗","Skipped",IF(Q444&gt;0,"Paid","Upcoming")))</f>
        <v/>
      </c>
      <c r="U444" s="36">
        <f>IF(A444="",0,IF(C444="✗",0,IF(L444&lt;&gt;"",L444,F444)))</f>
        <v/>
      </c>
    </row>
    <row r="445">
      <c r="A445" s="39">
        <f>IFERROR(SMALL(Calc!$B$2:$BB$61,440),"")</f>
        <v/>
      </c>
      <c r="B445" s="39">
        <f>IF(A445="","",ROUND(MOD(A445,1)*1000,0))</f>
        <v/>
      </c>
      <c r="C445" s="33" t="n"/>
      <c r="D445" s="40">
        <f>IF(A445="","",INT(A445))</f>
        <v/>
      </c>
      <c r="E445" s="41">
        <f>IF(B445="","",INDEX(Setup!$D$25:$D$84,B445))</f>
        <v/>
      </c>
      <c r="F445" s="42">
        <f>IF(B445="","",INDEX(Setup!$E$25:$E$84,B445))</f>
        <v/>
      </c>
      <c r="G445" s="39">
        <f>IF(B445="","",INDEX(Setup!$I$25:$I$84,B445)&amp;"")</f>
        <v/>
      </c>
      <c r="H445" s="39">
        <f>IF(B445="","",INDEX(Setup!$J$25:$J$84,B445)&amp;"")</f>
        <v/>
      </c>
      <c r="I445" s="39">
        <f>IF(B445="","",INDEX(Setup!$C$25:$C$84,B445))</f>
        <v/>
      </c>
      <c r="J445" s="39" t="n"/>
      <c r="K445" s="37" t="n"/>
      <c r="L445" s="38" t="n"/>
      <c r="M445" s="33" t="n"/>
      <c r="N445" s="33" t="n"/>
      <c r="O445" s="39" t="n"/>
      <c r="P445" s="40">
        <f>IF(A445="","",IF(K445&lt;&gt;"",K445,D445))</f>
        <v/>
      </c>
      <c r="Q445" s="42">
        <f>IF(A445="",0,IF(C445="✗",0,IF(OR(C445="✓",AND(Setup!$D$7="Yes",P445&lt;=TODAY())),IF(L445&lt;&gt;"",L445,F445),0)))</f>
        <v/>
      </c>
      <c r="R445" s="39">
        <f>IF(A445="","",IF(M445&lt;&gt;"",M445,G445))</f>
        <v/>
      </c>
      <c r="S445" s="39">
        <f>IF(A445="","",IF(N445&lt;&gt;"",N445,H445))</f>
        <v/>
      </c>
      <c r="T445" s="39">
        <f>IF(A445="","",IF(C445="✗","Skipped",IF(Q445&gt;0,"Paid","Upcoming")))</f>
        <v/>
      </c>
      <c r="U445" s="42">
        <f>IF(A445="",0,IF(C445="✗",0,IF(L445&lt;&gt;"",L445,F445)))</f>
        <v/>
      </c>
    </row>
    <row r="446">
      <c r="A446" s="32">
        <f>IFERROR(SMALL(Calc!$B$2:$BB$61,441),"")</f>
        <v/>
      </c>
      <c r="B446" s="32">
        <f>IF(A446="","",ROUND(MOD(A446,1)*1000,0))</f>
        <v/>
      </c>
      <c r="C446" s="33" t="n"/>
      <c r="D446" s="34">
        <f>IF(A446="","",INT(A446))</f>
        <v/>
      </c>
      <c r="E446" s="35">
        <f>IF(B446="","",INDEX(Setup!$D$25:$D$84,B446))</f>
        <v/>
      </c>
      <c r="F446" s="36">
        <f>IF(B446="","",INDEX(Setup!$E$25:$E$84,B446))</f>
        <v/>
      </c>
      <c r="G446" s="32">
        <f>IF(B446="","",INDEX(Setup!$I$25:$I$84,B446)&amp;"")</f>
        <v/>
      </c>
      <c r="H446" s="32">
        <f>IF(B446="","",INDEX(Setup!$J$25:$J$84,B446)&amp;"")</f>
        <v/>
      </c>
      <c r="I446" s="32">
        <f>IF(B446="","",INDEX(Setup!$C$25:$C$84,B446))</f>
        <v/>
      </c>
      <c r="J446" s="32" t="n"/>
      <c r="K446" s="37" t="n"/>
      <c r="L446" s="38" t="n"/>
      <c r="M446" s="33" t="n"/>
      <c r="N446" s="33" t="n"/>
      <c r="O446" s="32" t="n"/>
      <c r="P446" s="34">
        <f>IF(A446="","",IF(K446&lt;&gt;"",K446,D446))</f>
        <v/>
      </c>
      <c r="Q446" s="36">
        <f>IF(A446="",0,IF(C446="✗",0,IF(OR(C446="✓",AND(Setup!$D$7="Yes",P446&lt;=TODAY())),IF(L446&lt;&gt;"",L446,F446),0)))</f>
        <v/>
      </c>
      <c r="R446" s="32">
        <f>IF(A446="","",IF(M446&lt;&gt;"",M446,G446))</f>
        <v/>
      </c>
      <c r="S446" s="32">
        <f>IF(A446="","",IF(N446&lt;&gt;"",N446,H446))</f>
        <v/>
      </c>
      <c r="T446" s="32">
        <f>IF(A446="","",IF(C446="✗","Skipped",IF(Q446&gt;0,"Paid","Upcoming")))</f>
        <v/>
      </c>
      <c r="U446" s="36">
        <f>IF(A446="",0,IF(C446="✗",0,IF(L446&lt;&gt;"",L446,F446)))</f>
        <v/>
      </c>
    </row>
    <row r="447">
      <c r="A447" s="39">
        <f>IFERROR(SMALL(Calc!$B$2:$BB$61,442),"")</f>
        <v/>
      </c>
      <c r="B447" s="39">
        <f>IF(A447="","",ROUND(MOD(A447,1)*1000,0))</f>
        <v/>
      </c>
      <c r="C447" s="33" t="n"/>
      <c r="D447" s="40">
        <f>IF(A447="","",INT(A447))</f>
        <v/>
      </c>
      <c r="E447" s="41">
        <f>IF(B447="","",INDEX(Setup!$D$25:$D$84,B447))</f>
        <v/>
      </c>
      <c r="F447" s="42">
        <f>IF(B447="","",INDEX(Setup!$E$25:$E$84,B447))</f>
        <v/>
      </c>
      <c r="G447" s="39">
        <f>IF(B447="","",INDEX(Setup!$I$25:$I$84,B447)&amp;"")</f>
        <v/>
      </c>
      <c r="H447" s="39">
        <f>IF(B447="","",INDEX(Setup!$J$25:$J$84,B447)&amp;"")</f>
        <v/>
      </c>
      <c r="I447" s="39">
        <f>IF(B447="","",INDEX(Setup!$C$25:$C$84,B447))</f>
        <v/>
      </c>
      <c r="J447" s="39" t="n"/>
      <c r="K447" s="37" t="n"/>
      <c r="L447" s="38" t="n"/>
      <c r="M447" s="33" t="n"/>
      <c r="N447" s="33" t="n"/>
      <c r="O447" s="39" t="n"/>
      <c r="P447" s="40">
        <f>IF(A447="","",IF(K447&lt;&gt;"",K447,D447))</f>
        <v/>
      </c>
      <c r="Q447" s="42">
        <f>IF(A447="",0,IF(C447="✗",0,IF(OR(C447="✓",AND(Setup!$D$7="Yes",P447&lt;=TODAY())),IF(L447&lt;&gt;"",L447,F447),0)))</f>
        <v/>
      </c>
      <c r="R447" s="39">
        <f>IF(A447="","",IF(M447&lt;&gt;"",M447,G447))</f>
        <v/>
      </c>
      <c r="S447" s="39">
        <f>IF(A447="","",IF(N447&lt;&gt;"",N447,H447))</f>
        <v/>
      </c>
      <c r="T447" s="39">
        <f>IF(A447="","",IF(C447="✗","Skipped",IF(Q447&gt;0,"Paid","Upcoming")))</f>
        <v/>
      </c>
      <c r="U447" s="42">
        <f>IF(A447="",0,IF(C447="✗",0,IF(L447&lt;&gt;"",L447,F447)))</f>
        <v/>
      </c>
    </row>
    <row r="448">
      <c r="A448" s="32">
        <f>IFERROR(SMALL(Calc!$B$2:$BB$61,443),"")</f>
        <v/>
      </c>
      <c r="B448" s="32">
        <f>IF(A448="","",ROUND(MOD(A448,1)*1000,0))</f>
        <v/>
      </c>
      <c r="C448" s="33" t="n"/>
      <c r="D448" s="34">
        <f>IF(A448="","",INT(A448))</f>
        <v/>
      </c>
      <c r="E448" s="35">
        <f>IF(B448="","",INDEX(Setup!$D$25:$D$84,B448))</f>
        <v/>
      </c>
      <c r="F448" s="36">
        <f>IF(B448="","",INDEX(Setup!$E$25:$E$84,B448))</f>
        <v/>
      </c>
      <c r="G448" s="32">
        <f>IF(B448="","",INDEX(Setup!$I$25:$I$84,B448)&amp;"")</f>
        <v/>
      </c>
      <c r="H448" s="32">
        <f>IF(B448="","",INDEX(Setup!$J$25:$J$84,B448)&amp;"")</f>
        <v/>
      </c>
      <c r="I448" s="32">
        <f>IF(B448="","",INDEX(Setup!$C$25:$C$84,B448))</f>
        <v/>
      </c>
      <c r="J448" s="32" t="n"/>
      <c r="K448" s="37" t="n"/>
      <c r="L448" s="38" t="n"/>
      <c r="M448" s="33" t="n"/>
      <c r="N448" s="33" t="n"/>
      <c r="O448" s="32" t="n"/>
      <c r="P448" s="34">
        <f>IF(A448="","",IF(K448&lt;&gt;"",K448,D448))</f>
        <v/>
      </c>
      <c r="Q448" s="36">
        <f>IF(A448="",0,IF(C448="✗",0,IF(OR(C448="✓",AND(Setup!$D$7="Yes",P448&lt;=TODAY())),IF(L448&lt;&gt;"",L448,F448),0)))</f>
        <v/>
      </c>
      <c r="R448" s="32">
        <f>IF(A448="","",IF(M448&lt;&gt;"",M448,G448))</f>
        <v/>
      </c>
      <c r="S448" s="32">
        <f>IF(A448="","",IF(N448&lt;&gt;"",N448,H448))</f>
        <v/>
      </c>
      <c r="T448" s="32">
        <f>IF(A448="","",IF(C448="✗","Skipped",IF(Q448&gt;0,"Paid","Upcoming")))</f>
        <v/>
      </c>
      <c r="U448" s="36">
        <f>IF(A448="",0,IF(C448="✗",0,IF(L448&lt;&gt;"",L448,F448)))</f>
        <v/>
      </c>
    </row>
    <row r="449">
      <c r="A449" s="39">
        <f>IFERROR(SMALL(Calc!$B$2:$BB$61,444),"")</f>
        <v/>
      </c>
      <c r="B449" s="39">
        <f>IF(A449="","",ROUND(MOD(A449,1)*1000,0))</f>
        <v/>
      </c>
      <c r="C449" s="33" t="n"/>
      <c r="D449" s="40">
        <f>IF(A449="","",INT(A449))</f>
        <v/>
      </c>
      <c r="E449" s="41">
        <f>IF(B449="","",INDEX(Setup!$D$25:$D$84,B449))</f>
        <v/>
      </c>
      <c r="F449" s="42">
        <f>IF(B449="","",INDEX(Setup!$E$25:$E$84,B449))</f>
        <v/>
      </c>
      <c r="G449" s="39">
        <f>IF(B449="","",INDEX(Setup!$I$25:$I$84,B449)&amp;"")</f>
        <v/>
      </c>
      <c r="H449" s="39">
        <f>IF(B449="","",INDEX(Setup!$J$25:$J$84,B449)&amp;"")</f>
        <v/>
      </c>
      <c r="I449" s="39">
        <f>IF(B449="","",INDEX(Setup!$C$25:$C$84,B449))</f>
        <v/>
      </c>
      <c r="J449" s="39" t="n"/>
      <c r="K449" s="37" t="n"/>
      <c r="L449" s="38" t="n"/>
      <c r="M449" s="33" t="n"/>
      <c r="N449" s="33" t="n"/>
      <c r="O449" s="39" t="n"/>
      <c r="P449" s="40">
        <f>IF(A449="","",IF(K449&lt;&gt;"",K449,D449))</f>
        <v/>
      </c>
      <c r="Q449" s="42">
        <f>IF(A449="",0,IF(C449="✗",0,IF(OR(C449="✓",AND(Setup!$D$7="Yes",P449&lt;=TODAY())),IF(L449&lt;&gt;"",L449,F449),0)))</f>
        <v/>
      </c>
      <c r="R449" s="39">
        <f>IF(A449="","",IF(M449&lt;&gt;"",M449,G449))</f>
        <v/>
      </c>
      <c r="S449" s="39">
        <f>IF(A449="","",IF(N449&lt;&gt;"",N449,H449))</f>
        <v/>
      </c>
      <c r="T449" s="39">
        <f>IF(A449="","",IF(C449="✗","Skipped",IF(Q449&gt;0,"Paid","Upcoming")))</f>
        <v/>
      </c>
      <c r="U449" s="42">
        <f>IF(A449="",0,IF(C449="✗",0,IF(L449&lt;&gt;"",L449,F449)))</f>
        <v/>
      </c>
    </row>
    <row r="450">
      <c r="A450" s="32">
        <f>IFERROR(SMALL(Calc!$B$2:$BB$61,445),"")</f>
        <v/>
      </c>
      <c r="B450" s="32">
        <f>IF(A450="","",ROUND(MOD(A450,1)*1000,0))</f>
        <v/>
      </c>
      <c r="C450" s="33" t="n"/>
      <c r="D450" s="34">
        <f>IF(A450="","",INT(A450))</f>
        <v/>
      </c>
      <c r="E450" s="35">
        <f>IF(B450="","",INDEX(Setup!$D$25:$D$84,B450))</f>
        <v/>
      </c>
      <c r="F450" s="36">
        <f>IF(B450="","",INDEX(Setup!$E$25:$E$84,B450))</f>
        <v/>
      </c>
      <c r="G450" s="32">
        <f>IF(B450="","",INDEX(Setup!$I$25:$I$84,B450)&amp;"")</f>
        <v/>
      </c>
      <c r="H450" s="32">
        <f>IF(B450="","",INDEX(Setup!$J$25:$J$84,B450)&amp;"")</f>
        <v/>
      </c>
      <c r="I450" s="32">
        <f>IF(B450="","",INDEX(Setup!$C$25:$C$84,B450))</f>
        <v/>
      </c>
      <c r="J450" s="32" t="n"/>
      <c r="K450" s="37" t="n"/>
      <c r="L450" s="38" t="n"/>
      <c r="M450" s="33" t="n"/>
      <c r="N450" s="33" t="n"/>
      <c r="O450" s="32" t="n"/>
      <c r="P450" s="34">
        <f>IF(A450="","",IF(K450&lt;&gt;"",K450,D450))</f>
        <v/>
      </c>
      <c r="Q450" s="36">
        <f>IF(A450="",0,IF(C450="✗",0,IF(OR(C450="✓",AND(Setup!$D$7="Yes",P450&lt;=TODAY())),IF(L450&lt;&gt;"",L450,F450),0)))</f>
        <v/>
      </c>
      <c r="R450" s="32">
        <f>IF(A450="","",IF(M450&lt;&gt;"",M450,G450))</f>
        <v/>
      </c>
      <c r="S450" s="32">
        <f>IF(A450="","",IF(N450&lt;&gt;"",N450,H450))</f>
        <v/>
      </c>
      <c r="T450" s="32">
        <f>IF(A450="","",IF(C450="✗","Skipped",IF(Q450&gt;0,"Paid","Upcoming")))</f>
        <v/>
      </c>
      <c r="U450" s="36">
        <f>IF(A450="",0,IF(C450="✗",0,IF(L450&lt;&gt;"",L450,F450)))</f>
        <v/>
      </c>
    </row>
    <row r="451">
      <c r="A451" s="39">
        <f>IFERROR(SMALL(Calc!$B$2:$BB$61,446),"")</f>
        <v/>
      </c>
      <c r="B451" s="39">
        <f>IF(A451="","",ROUND(MOD(A451,1)*1000,0))</f>
        <v/>
      </c>
      <c r="C451" s="33" t="n"/>
      <c r="D451" s="40">
        <f>IF(A451="","",INT(A451))</f>
        <v/>
      </c>
      <c r="E451" s="41">
        <f>IF(B451="","",INDEX(Setup!$D$25:$D$84,B451))</f>
        <v/>
      </c>
      <c r="F451" s="42">
        <f>IF(B451="","",INDEX(Setup!$E$25:$E$84,B451))</f>
        <v/>
      </c>
      <c r="G451" s="39">
        <f>IF(B451="","",INDEX(Setup!$I$25:$I$84,B451)&amp;"")</f>
        <v/>
      </c>
      <c r="H451" s="39">
        <f>IF(B451="","",INDEX(Setup!$J$25:$J$84,B451)&amp;"")</f>
        <v/>
      </c>
      <c r="I451" s="39">
        <f>IF(B451="","",INDEX(Setup!$C$25:$C$84,B451))</f>
        <v/>
      </c>
      <c r="J451" s="39" t="n"/>
      <c r="K451" s="37" t="n"/>
      <c r="L451" s="38" t="n"/>
      <c r="M451" s="33" t="n"/>
      <c r="N451" s="33" t="n"/>
      <c r="O451" s="39" t="n"/>
      <c r="P451" s="40">
        <f>IF(A451="","",IF(K451&lt;&gt;"",K451,D451))</f>
        <v/>
      </c>
      <c r="Q451" s="42">
        <f>IF(A451="",0,IF(C451="✗",0,IF(OR(C451="✓",AND(Setup!$D$7="Yes",P451&lt;=TODAY())),IF(L451&lt;&gt;"",L451,F451),0)))</f>
        <v/>
      </c>
      <c r="R451" s="39">
        <f>IF(A451="","",IF(M451&lt;&gt;"",M451,G451))</f>
        <v/>
      </c>
      <c r="S451" s="39">
        <f>IF(A451="","",IF(N451&lt;&gt;"",N451,H451))</f>
        <v/>
      </c>
      <c r="T451" s="39">
        <f>IF(A451="","",IF(C451="✗","Skipped",IF(Q451&gt;0,"Paid","Upcoming")))</f>
        <v/>
      </c>
      <c r="U451" s="42">
        <f>IF(A451="",0,IF(C451="✗",0,IF(L451&lt;&gt;"",L451,F451)))</f>
        <v/>
      </c>
    </row>
    <row r="452">
      <c r="A452" s="32">
        <f>IFERROR(SMALL(Calc!$B$2:$BB$61,447),"")</f>
        <v/>
      </c>
      <c r="B452" s="32">
        <f>IF(A452="","",ROUND(MOD(A452,1)*1000,0))</f>
        <v/>
      </c>
      <c r="C452" s="33" t="n"/>
      <c r="D452" s="34">
        <f>IF(A452="","",INT(A452))</f>
        <v/>
      </c>
      <c r="E452" s="35">
        <f>IF(B452="","",INDEX(Setup!$D$25:$D$84,B452))</f>
        <v/>
      </c>
      <c r="F452" s="36">
        <f>IF(B452="","",INDEX(Setup!$E$25:$E$84,B452))</f>
        <v/>
      </c>
      <c r="G452" s="32">
        <f>IF(B452="","",INDEX(Setup!$I$25:$I$84,B452)&amp;"")</f>
        <v/>
      </c>
      <c r="H452" s="32">
        <f>IF(B452="","",INDEX(Setup!$J$25:$J$84,B452)&amp;"")</f>
        <v/>
      </c>
      <c r="I452" s="32">
        <f>IF(B452="","",INDEX(Setup!$C$25:$C$84,B452))</f>
        <v/>
      </c>
      <c r="J452" s="32" t="n"/>
      <c r="K452" s="37" t="n"/>
      <c r="L452" s="38" t="n"/>
      <c r="M452" s="33" t="n"/>
      <c r="N452" s="33" t="n"/>
      <c r="O452" s="32" t="n"/>
      <c r="P452" s="34">
        <f>IF(A452="","",IF(K452&lt;&gt;"",K452,D452))</f>
        <v/>
      </c>
      <c r="Q452" s="36">
        <f>IF(A452="",0,IF(C452="✗",0,IF(OR(C452="✓",AND(Setup!$D$7="Yes",P452&lt;=TODAY())),IF(L452&lt;&gt;"",L452,F452),0)))</f>
        <v/>
      </c>
      <c r="R452" s="32">
        <f>IF(A452="","",IF(M452&lt;&gt;"",M452,G452))</f>
        <v/>
      </c>
      <c r="S452" s="32">
        <f>IF(A452="","",IF(N452&lt;&gt;"",N452,H452))</f>
        <v/>
      </c>
      <c r="T452" s="32">
        <f>IF(A452="","",IF(C452="✗","Skipped",IF(Q452&gt;0,"Paid","Upcoming")))</f>
        <v/>
      </c>
      <c r="U452" s="36">
        <f>IF(A452="",0,IF(C452="✗",0,IF(L452&lt;&gt;"",L452,F452)))</f>
        <v/>
      </c>
    </row>
    <row r="453">
      <c r="A453" s="39">
        <f>IFERROR(SMALL(Calc!$B$2:$BB$61,448),"")</f>
        <v/>
      </c>
      <c r="B453" s="39">
        <f>IF(A453="","",ROUND(MOD(A453,1)*1000,0))</f>
        <v/>
      </c>
      <c r="C453" s="33" t="n"/>
      <c r="D453" s="40">
        <f>IF(A453="","",INT(A453))</f>
        <v/>
      </c>
      <c r="E453" s="41">
        <f>IF(B453="","",INDEX(Setup!$D$25:$D$84,B453))</f>
        <v/>
      </c>
      <c r="F453" s="42">
        <f>IF(B453="","",INDEX(Setup!$E$25:$E$84,B453))</f>
        <v/>
      </c>
      <c r="G453" s="39">
        <f>IF(B453="","",INDEX(Setup!$I$25:$I$84,B453)&amp;"")</f>
        <v/>
      </c>
      <c r="H453" s="39">
        <f>IF(B453="","",INDEX(Setup!$J$25:$J$84,B453)&amp;"")</f>
        <v/>
      </c>
      <c r="I453" s="39">
        <f>IF(B453="","",INDEX(Setup!$C$25:$C$84,B453))</f>
        <v/>
      </c>
      <c r="J453" s="39" t="n"/>
      <c r="K453" s="37" t="n"/>
      <c r="L453" s="38" t="n"/>
      <c r="M453" s="33" t="n"/>
      <c r="N453" s="33" t="n"/>
      <c r="O453" s="39" t="n"/>
      <c r="P453" s="40">
        <f>IF(A453="","",IF(K453&lt;&gt;"",K453,D453))</f>
        <v/>
      </c>
      <c r="Q453" s="42">
        <f>IF(A453="",0,IF(C453="✗",0,IF(OR(C453="✓",AND(Setup!$D$7="Yes",P453&lt;=TODAY())),IF(L453&lt;&gt;"",L453,F453),0)))</f>
        <v/>
      </c>
      <c r="R453" s="39">
        <f>IF(A453="","",IF(M453&lt;&gt;"",M453,G453))</f>
        <v/>
      </c>
      <c r="S453" s="39">
        <f>IF(A453="","",IF(N453&lt;&gt;"",N453,H453))</f>
        <v/>
      </c>
      <c r="T453" s="39">
        <f>IF(A453="","",IF(C453="✗","Skipped",IF(Q453&gt;0,"Paid","Upcoming")))</f>
        <v/>
      </c>
      <c r="U453" s="42">
        <f>IF(A453="",0,IF(C453="✗",0,IF(L453&lt;&gt;"",L453,F453)))</f>
        <v/>
      </c>
    </row>
    <row r="454">
      <c r="A454" s="32">
        <f>IFERROR(SMALL(Calc!$B$2:$BB$61,449),"")</f>
        <v/>
      </c>
      <c r="B454" s="32">
        <f>IF(A454="","",ROUND(MOD(A454,1)*1000,0))</f>
        <v/>
      </c>
      <c r="C454" s="33" t="n"/>
      <c r="D454" s="34">
        <f>IF(A454="","",INT(A454))</f>
        <v/>
      </c>
      <c r="E454" s="35">
        <f>IF(B454="","",INDEX(Setup!$D$25:$D$84,B454))</f>
        <v/>
      </c>
      <c r="F454" s="36">
        <f>IF(B454="","",INDEX(Setup!$E$25:$E$84,B454))</f>
        <v/>
      </c>
      <c r="G454" s="32">
        <f>IF(B454="","",INDEX(Setup!$I$25:$I$84,B454)&amp;"")</f>
        <v/>
      </c>
      <c r="H454" s="32">
        <f>IF(B454="","",INDEX(Setup!$J$25:$J$84,B454)&amp;"")</f>
        <v/>
      </c>
      <c r="I454" s="32">
        <f>IF(B454="","",INDEX(Setup!$C$25:$C$84,B454))</f>
        <v/>
      </c>
      <c r="J454" s="32" t="n"/>
      <c r="K454" s="37" t="n"/>
      <c r="L454" s="38" t="n"/>
      <c r="M454" s="33" t="n"/>
      <c r="N454" s="33" t="n"/>
      <c r="O454" s="32" t="n"/>
      <c r="P454" s="34">
        <f>IF(A454="","",IF(K454&lt;&gt;"",K454,D454))</f>
        <v/>
      </c>
      <c r="Q454" s="36">
        <f>IF(A454="",0,IF(C454="✗",0,IF(OR(C454="✓",AND(Setup!$D$7="Yes",P454&lt;=TODAY())),IF(L454&lt;&gt;"",L454,F454),0)))</f>
        <v/>
      </c>
      <c r="R454" s="32">
        <f>IF(A454="","",IF(M454&lt;&gt;"",M454,G454))</f>
        <v/>
      </c>
      <c r="S454" s="32">
        <f>IF(A454="","",IF(N454&lt;&gt;"",N454,H454))</f>
        <v/>
      </c>
      <c r="T454" s="32">
        <f>IF(A454="","",IF(C454="✗","Skipped",IF(Q454&gt;0,"Paid","Upcoming")))</f>
        <v/>
      </c>
      <c r="U454" s="36">
        <f>IF(A454="",0,IF(C454="✗",0,IF(L454&lt;&gt;"",L454,F454)))</f>
        <v/>
      </c>
    </row>
    <row r="455">
      <c r="A455" s="39">
        <f>IFERROR(SMALL(Calc!$B$2:$BB$61,450),"")</f>
        <v/>
      </c>
      <c r="B455" s="39">
        <f>IF(A455="","",ROUND(MOD(A455,1)*1000,0))</f>
        <v/>
      </c>
      <c r="C455" s="33" t="n"/>
      <c r="D455" s="40">
        <f>IF(A455="","",INT(A455))</f>
        <v/>
      </c>
      <c r="E455" s="41">
        <f>IF(B455="","",INDEX(Setup!$D$25:$D$84,B455))</f>
        <v/>
      </c>
      <c r="F455" s="42">
        <f>IF(B455="","",INDEX(Setup!$E$25:$E$84,B455))</f>
        <v/>
      </c>
      <c r="G455" s="39">
        <f>IF(B455="","",INDEX(Setup!$I$25:$I$84,B455)&amp;"")</f>
        <v/>
      </c>
      <c r="H455" s="39">
        <f>IF(B455="","",INDEX(Setup!$J$25:$J$84,B455)&amp;"")</f>
        <v/>
      </c>
      <c r="I455" s="39">
        <f>IF(B455="","",INDEX(Setup!$C$25:$C$84,B455))</f>
        <v/>
      </c>
      <c r="J455" s="39" t="n"/>
      <c r="K455" s="37" t="n"/>
      <c r="L455" s="38" t="n"/>
      <c r="M455" s="33" t="n"/>
      <c r="N455" s="33" t="n"/>
      <c r="O455" s="39" t="n"/>
      <c r="P455" s="40">
        <f>IF(A455="","",IF(K455&lt;&gt;"",K455,D455))</f>
        <v/>
      </c>
      <c r="Q455" s="42">
        <f>IF(A455="",0,IF(C455="✗",0,IF(OR(C455="✓",AND(Setup!$D$7="Yes",P455&lt;=TODAY())),IF(L455&lt;&gt;"",L455,F455),0)))</f>
        <v/>
      </c>
      <c r="R455" s="39">
        <f>IF(A455="","",IF(M455&lt;&gt;"",M455,G455))</f>
        <v/>
      </c>
      <c r="S455" s="39">
        <f>IF(A455="","",IF(N455&lt;&gt;"",N455,H455))</f>
        <v/>
      </c>
      <c r="T455" s="39">
        <f>IF(A455="","",IF(C455="✗","Skipped",IF(Q455&gt;0,"Paid","Upcoming")))</f>
        <v/>
      </c>
      <c r="U455" s="42">
        <f>IF(A455="",0,IF(C455="✗",0,IF(L455&lt;&gt;"",L455,F455)))</f>
        <v/>
      </c>
    </row>
    <row r="456">
      <c r="A456" s="32">
        <f>IFERROR(SMALL(Calc!$B$2:$BB$61,451),"")</f>
        <v/>
      </c>
      <c r="B456" s="32">
        <f>IF(A456="","",ROUND(MOD(A456,1)*1000,0))</f>
        <v/>
      </c>
      <c r="C456" s="33" t="n"/>
      <c r="D456" s="34">
        <f>IF(A456="","",INT(A456))</f>
        <v/>
      </c>
      <c r="E456" s="35">
        <f>IF(B456="","",INDEX(Setup!$D$25:$D$84,B456))</f>
        <v/>
      </c>
      <c r="F456" s="36">
        <f>IF(B456="","",INDEX(Setup!$E$25:$E$84,B456))</f>
        <v/>
      </c>
      <c r="G456" s="32">
        <f>IF(B456="","",INDEX(Setup!$I$25:$I$84,B456)&amp;"")</f>
        <v/>
      </c>
      <c r="H456" s="32">
        <f>IF(B456="","",INDEX(Setup!$J$25:$J$84,B456)&amp;"")</f>
        <v/>
      </c>
      <c r="I456" s="32">
        <f>IF(B456="","",INDEX(Setup!$C$25:$C$84,B456))</f>
        <v/>
      </c>
      <c r="J456" s="32" t="n"/>
      <c r="K456" s="37" t="n"/>
      <c r="L456" s="38" t="n"/>
      <c r="M456" s="33" t="n"/>
      <c r="N456" s="33" t="n"/>
      <c r="O456" s="32" t="n"/>
      <c r="P456" s="34">
        <f>IF(A456="","",IF(K456&lt;&gt;"",K456,D456))</f>
        <v/>
      </c>
      <c r="Q456" s="36">
        <f>IF(A456="",0,IF(C456="✗",0,IF(OR(C456="✓",AND(Setup!$D$7="Yes",P456&lt;=TODAY())),IF(L456&lt;&gt;"",L456,F456),0)))</f>
        <v/>
      </c>
      <c r="R456" s="32">
        <f>IF(A456="","",IF(M456&lt;&gt;"",M456,G456))</f>
        <v/>
      </c>
      <c r="S456" s="32">
        <f>IF(A456="","",IF(N456&lt;&gt;"",N456,H456))</f>
        <v/>
      </c>
      <c r="T456" s="32">
        <f>IF(A456="","",IF(C456="✗","Skipped",IF(Q456&gt;0,"Paid","Upcoming")))</f>
        <v/>
      </c>
      <c r="U456" s="36">
        <f>IF(A456="",0,IF(C456="✗",0,IF(L456&lt;&gt;"",L456,F456)))</f>
        <v/>
      </c>
    </row>
    <row r="457">
      <c r="A457" s="39">
        <f>IFERROR(SMALL(Calc!$B$2:$BB$61,452),"")</f>
        <v/>
      </c>
      <c r="B457" s="39">
        <f>IF(A457="","",ROUND(MOD(A457,1)*1000,0))</f>
        <v/>
      </c>
      <c r="C457" s="33" t="n"/>
      <c r="D457" s="40">
        <f>IF(A457="","",INT(A457))</f>
        <v/>
      </c>
      <c r="E457" s="41">
        <f>IF(B457="","",INDEX(Setup!$D$25:$D$84,B457))</f>
        <v/>
      </c>
      <c r="F457" s="42">
        <f>IF(B457="","",INDEX(Setup!$E$25:$E$84,B457))</f>
        <v/>
      </c>
      <c r="G457" s="39">
        <f>IF(B457="","",INDEX(Setup!$I$25:$I$84,B457)&amp;"")</f>
        <v/>
      </c>
      <c r="H457" s="39">
        <f>IF(B457="","",INDEX(Setup!$J$25:$J$84,B457)&amp;"")</f>
        <v/>
      </c>
      <c r="I457" s="39">
        <f>IF(B457="","",INDEX(Setup!$C$25:$C$84,B457))</f>
        <v/>
      </c>
      <c r="J457" s="39" t="n"/>
      <c r="K457" s="37" t="n"/>
      <c r="L457" s="38" t="n"/>
      <c r="M457" s="33" t="n"/>
      <c r="N457" s="33" t="n"/>
      <c r="O457" s="39" t="n"/>
      <c r="P457" s="40">
        <f>IF(A457="","",IF(K457&lt;&gt;"",K457,D457))</f>
        <v/>
      </c>
      <c r="Q457" s="42">
        <f>IF(A457="",0,IF(C457="✗",0,IF(OR(C457="✓",AND(Setup!$D$7="Yes",P457&lt;=TODAY())),IF(L457&lt;&gt;"",L457,F457),0)))</f>
        <v/>
      </c>
      <c r="R457" s="39">
        <f>IF(A457="","",IF(M457&lt;&gt;"",M457,G457))</f>
        <v/>
      </c>
      <c r="S457" s="39">
        <f>IF(A457="","",IF(N457&lt;&gt;"",N457,H457))</f>
        <v/>
      </c>
      <c r="T457" s="39">
        <f>IF(A457="","",IF(C457="✗","Skipped",IF(Q457&gt;0,"Paid","Upcoming")))</f>
        <v/>
      </c>
      <c r="U457" s="42">
        <f>IF(A457="",0,IF(C457="✗",0,IF(L457&lt;&gt;"",L457,F457)))</f>
        <v/>
      </c>
    </row>
    <row r="458">
      <c r="A458" s="32">
        <f>IFERROR(SMALL(Calc!$B$2:$BB$61,453),"")</f>
        <v/>
      </c>
      <c r="B458" s="32">
        <f>IF(A458="","",ROUND(MOD(A458,1)*1000,0))</f>
        <v/>
      </c>
      <c r="C458" s="33" t="n"/>
      <c r="D458" s="34">
        <f>IF(A458="","",INT(A458))</f>
        <v/>
      </c>
      <c r="E458" s="35">
        <f>IF(B458="","",INDEX(Setup!$D$25:$D$84,B458))</f>
        <v/>
      </c>
      <c r="F458" s="36">
        <f>IF(B458="","",INDEX(Setup!$E$25:$E$84,B458))</f>
        <v/>
      </c>
      <c r="G458" s="32">
        <f>IF(B458="","",INDEX(Setup!$I$25:$I$84,B458)&amp;"")</f>
        <v/>
      </c>
      <c r="H458" s="32">
        <f>IF(B458="","",INDEX(Setup!$J$25:$J$84,B458)&amp;"")</f>
        <v/>
      </c>
      <c r="I458" s="32">
        <f>IF(B458="","",INDEX(Setup!$C$25:$C$84,B458))</f>
        <v/>
      </c>
      <c r="J458" s="32" t="n"/>
      <c r="K458" s="37" t="n"/>
      <c r="L458" s="38" t="n"/>
      <c r="M458" s="33" t="n"/>
      <c r="N458" s="33" t="n"/>
      <c r="O458" s="32" t="n"/>
      <c r="P458" s="34">
        <f>IF(A458="","",IF(K458&lt;&gt;"",K458,D458))</f>
        <v/>
      </c>
      <c r="Q458" s="36">
        <f>IF(A458="",0,IF(C458="✗",0,IF(OR(C458="✓",AND(Setup!$D$7="Yes",P458&lt;=TODAY())),IF(L458&lt;&gt;"",L458,F458),0)))</f>
        <v/>
      </c>
      <c r="R458" s="32">
        <f>IF(A458="","",IF(M458&lt;&gt;"",M458,G458))</f>
        <v/>
      </c>
      <c r="S458" s="32">
        <f>IF(A458="","",IF(N458&lt;&gt;"",N458,H458))</f>
        <v/>
      </c>
      <c r="T458" s="32">
        <f>IF(A458="","",IF(C458="✗","Skipped",IF(Q458&gt;0,"Paid","Upcoming")))</f>
        <v/>
      </c>
      <c r="U458" s="36">
        <f>IF(A458="",0,IF(C458="✗",0,IF(L458&lt;&gt;"",L458,F458)))</f>
        <v/>
      </c>
    </row>
    <row r="459">
      <c r="A459" s="39">
        <f>IFERROR(SMALL(Calc!$B$2:$BB$61,454),"")</f>
        <v/>
      </c>
      <c r="B459" s="39">
        <f>IF(A459="","",ROUND(MOD(A459,1)*1000,0))</f>
        <v/>
      </c>
      <c r="C459" s="33" t="n"/>
      <c r="D459" s="40">
        <f>IF(A459="","",INT(A459))</f>
        <v/>
      </c>
      <c r="E459" s="41">
        <f>IF(B459="","",INDEX(Setup!$D$25:$D$84,B459))</f>
        <v/>
      </c>
      <c r="F459" s="42">
        <f>IF(B459="","",INDEX(Setup!$E$25:$E$84,B459))</f>
        <v/>
      </c>
      <c r="G459" s="39">
        <f>IF(B459="","",INDEX(Setup!$I$25:$I$84,B459)&amp;"")</f>
        <v/>
      </c>
      <c r="H459" s="39">
        <f>IF(B459="","",INDEX(Setup!$J$25:$J$84,B459)&amp;"")</f>
        <v/>
      </c>
      <c r="I459" s="39">
        <f>IF(B459="","",INDEX(Setup!$C$25:$C$84,B459))</f>
        <v/>
      </c>
      <c r="J459" s="39" t="n"/>
      <c r="K459" s="37" t="n"/>
      <c r="L459" s="38" t="n"/>
      <c r="M459" s="33" t="n"/>
      <c r="N459" s="33" t="n"/>
      <c r="O459" s="39" t="n"/>
      <c r="P459" s="40">
        <f>IF(A459="","",IF(K459&lt;&gt;"",K459,D459))</f>
        <v/>
      </c>
      <c r="Q459" s="42">
        <f>IF(A459="",0,IF(C459="✗",0,IF(OR(C459="✓",AND(Setup!$D$7="Yes",P459&lt;=TODAY())),IF(L459&lt;&gt;"",L459,F459),0)))</f>
        <v/>
      </c>
      <c r="R459" s="39">
        <f>IF(A459="","",IF(M459&lt;&gt;"",M459,G459))</f>
        <v/>
      </c>
      <c r="S459" s="39">
        <f>IF(A459="","",IF(N459&lt;&gt;"",N459,H459))</f>
        <v/>
      </c>
      <c r="T459" s="39">
        <f>IF(A459="","",IF(C459="✗","Skipped",IF(Q459&gt;0,"Paid","Upcoming")))</f>
        <v/>
      </c>
      <c r="U459" s="42">
        <f>IF(A459="",0,IF(C459="✗",0,IF(L459&lt;&gt;"",L459,F459)))</f>
        <v/>
      </c>
    </row>
    <row r="460">
      <c r="A460" s="32">
        <f>IFERROR(SMALL(Calc!$B$2:$BB$61,455),"")</f>
        <v/>
      </c>
      <c r="B460" s="32">
        <f>IF(A460="","",ROUND(MOD(A460,1)*1000,0))</f>
        <v/>
      </c>
      <c r="C460" s="33" t="n"/>
      <c r="D460" s="34">
        <f>IF(A460="","",INT(A460))</f>
        <v/>
      </c>
      <c r="E460" s="35">
        <f>IF(B460="","",INDEX(Setup!$D$25:$D$84,B460))</f>
        <v/>
      </c>
      <c r="F460" s="36">
        <f>IF(B460="","",INDEX(Setup!$E$25:$E$84,B460))</f>
        <v/>
      </c>
      <c r="G460" s="32">
        <f>IF(B460="","",INDEX(Setup!$I$25:$I$84,B460)&amp;"")</f>
        <v/>
      </c>
      <c r="H460" s="32">
        <f>IF(B460="","",INDEX(Setup!$J$25:$J$84,B460)&amp;"")</f>
        <v/>
      </c>
      <c r="I460" s="32">
        <f>IF(B460="","",INDEX(Setup!$C$25:$C$84,B460))</f>
        <v/>
      </c>
      <c r="J460" s="32" t="n"/>
      <c r="K460" s="37" t="n"/>
      <c r="L460" s="38" t="n"/>
      <c r="M460" s="33" t="n"/>
      <c r="N460" s="33" t="n"/>
      <c r="O460" s="32" t="n"/>
      <c r="P460" s="34">
        <f>IF(A460="","",IF(K460&lt;&gt;"",K460,D460))</f>
        <v/>
      </c>
      <c r="Q460" s="36">
        <f>IF(A460="",0,IF(C460="✗",0,IF(OR(C460="✓",AND(Setup!$D$7="Yes",P460&lt;=TODAY())),IF(L460&lt;&gt;"",L460,F460),0)))</f>
        <v/>
      </c>
      <c r="R460" s="32">
        <f>IF(A460="","",IF(M460&lt;&gt;"",M460,G460))</f>
        <v/>
      </c>
      <c r="S460" s="32">
        <f>IF(A460="","",IF(N460&lt;&gt;"",N460,H460))</f>
        <v/>
      </c>
      <c r="T460" s="32">
        <f>IF(A460="","",IF(C460="✗","Skipped",IF(Q460&gt;0,"Paid","Upcoming")))</f>
        <v/>
      </c>
      <c r="U460" s="36">
        <f>IF(A460="",0,IF(C460="✗",0,IF(L460&lt;&gt;"",L460,F460)))</f>
        <v/>
      </c>
    </row>
    <row r="461">
      <c r="A461" s="39">
        <f>IFERROR(SMALL(Calc!$B$2:$BB$61,456),"")</f>
        <v/>
      </c>
      <c r="B461" s="39">
        <f>IF(A461="","",ROUND(MOD(A461,1)*1000,0))</f>
        <v/>
      </c>
      <c r="C461" s="33" t="n"/>
      <c r="D461" s="40">
        <f>IF(A461="","",INT(A461))</f>
        <v/>
      </c>
      <c r="E461" s="41">
        <f>IF(B461="","",INDEX(Setup!$D$25:$D$84,B461))</f>
        <v/>
      </c>
      <c r="F461" s="42">
        <f>IF(B461="","",INDEX(Setup!$E$25:$E$84,B461))</f>
        <v/>
      </c>
      <c r="G461" s="39">
        <f>IF(B461="","",INDEX(Setup!$I$25:$I$84,B461)&amp;"")</f>
        <v/>
      </c>
      <c r="H461" s="39">
        <f>IF(B461="","",INDEX(Setup!$J$25:$J$84,B461)&amp;"")</f>
        <v/>
      </c>
      <c r="I461" s="39">
        <f>IF(B461="","",INDEX(Setup!$C$25:$C$84,B461))</f>
        <v/>
      </c>
      <c r="J461" s="39" t="n"/>
      <c r="K461" s="37" t="n"/>
      <c r="L461" s="38" t="n"/>
      <c r="M461" s="33" t="n"/>
      <c r="N461" s="33" t="n"/>
      <c r="O461" s="39" t="n"/>
      <c r="P461" s="40">
        <f>IF(A461="","",IF(K461&lt;&gt;"",K461,D461))</f>
        <v/>
      </c>
      <c r="Q461" s="42">
        <f>IF(A461="",0,IF(C461="✗",0,IF(OR(C461="✓",AND(Setup!$D$7="Yes",P461&lt;=TODAY())),IF(L461&lt;&gt;"",L461,F461),0)))</f>
        <v/>
      </c>
      <c r="R461" s="39">
        <f>IF(A461="","",IF(M461&lt;&gt;"",M461,G461))</f>
        <v/>
      </c>
      <c r="S461" s="39">
        <f>IF(A461="","",IF(N461&lt;&gt;"",N461,H461))</f>
        <v/>
      </c>
      <c r="T461" s="39">
        <f>IF(A461="","",IF(C461="✗","Skipped",IF(Q461&gt;0,"Paid","Upcoming")))</f>
        <v/>
      </c>
      <c r="U461" s="42">
        <f>IF(A461="",0,IF(C461="✗",0,IF(L461&lt;&gt;"",L461,F461)))</f>
        <v/>
      </c>
    </row>
    <row r="462">
      <c r="A462" s="32">
        <f>IFERROR(SMALL(Calc!$B$2:$BB$61,457),"")</f>
        <v/>
      </c>
      <c r="B462" s="32">
        <f>IF(A462="","",ROUND(MOD(A462,1)*1000,0))</f>
        <v/>
      </c>
      <c r="C462" s="33" t="n"/>
      <c r="D462" s="34">
        <f>IF(A462="","",INT(A462))</f>
        <v/>
      </c>
      <c r="E462" s="35">
        <f>IF(B462="","",INDEX(Setup!$D$25:$D$84,B462))</f>
        <v/>
      </c>
      <c r="F462" s="36">
        <f>IF(B462="","",INDEX(Setup!$E$25:$E$84,B462))</f>
        <v/>
      </c>
      <c r="G462" s="32">
        <f>IF(B462="","",INDEX(Setup!$I$25:$I$84,B462)&amp;"")</f>
        <v/>
      </c>
      <c r="H462" s="32">
        <f>IF(B462="","",INDEX(Setup!$J$25:$J$84,B462)&amp;"")</f>
        <v/>
      </c>
      <c r="I462" s="32">
        <f>IF(B462="","",INDEX(Setup!$C$25:$C$84,B462))</f>
        <v/>
      </c>
      <c r="J462" s="32" t="n"/>
      <c r="K462" s="37" t="n"/>
      <c r="L462" s="38" t="n"/>
      <c r="M462" s="33" t="n"/>
      <c r="N462" s="33" t="n"/>
      <c r="O462" s="32" t="n"/>
      <c r="P462" s="34">
        <f>IF(A462="","",IF(K462&lt;&gt;"",K462,D462))</f>
        <v/>
      </c>
      <c r="Q462" s="36">
        <f>IF(A462="",0,IF(C462="✗",0,IF(OR(C462="✓",AND(Setup!$D$7="Yes",P462&lt;=TODAY())),IF(L462&lt;&gt;"",L462,F462),0)))</f>
        <v/>
      </c>
      <c r="R462" s="32">
        <f>IF(A462="","",IF(M462&lt;&gt;"",M462,G462))</f>
        <v/>
      </c>
      <c r="S462" s="32">
        <f>IF(A462="","",IF(N462&lt;&gt;"",N462,H462))</f>
        <v/>
      </c>
      <c r="T462" s="32">
        <f>IF(A462="","",IF(C462="✗","Skipped",IF(Q462&gt;0,"Paid","Upcoming")))</f>
        <v/>
      </c>
      <c r="U462" s="36">
        <f>IF(A462="",0,IF(C462="✗",0,IF(L462&lt;&gt;"",L462,F462)))</f>
        <v/>
      </c>
    </row>
    <row r="463">
      <c r="A463" s="39">
        <f>IFERROR(SMALL(Calc!$B$2:$BB$61,458),"")</f>
        <v/>
      </c>
      <c r="B463" s="39">
        <f>IF(A463="","",ROUND(MOD(A463,1)*1000,0))</f>
        <v/>
      </c>
      <c r="C463" s="33" t="n"/>
      <c r="D463" s="40">
        <f>IF(A463="","",INT(A463))</f>
        <v/>
      </c>
      <c r="E463" s="41">
        <f>IF(B463="","",INDEX(Setup!$D$25:$D$84,B463))</f>
        <v/>
      </c>
      <c r="F463" s="42">
        <f>IF(B463="","",INDEX(Setup!$E$25:$E$84,B463))</f>
        <v/>
      </c>
      <c r="G463" s="39">
        <f>IF(B463="","",INDEX(Setup!$I$25:$I$84,B463)&amp;"")</f>
        <v/>
      </c>
      <c r="H463" s="39">
        <f>IF(B463="","",INDEX(Setup!$J$25:$J$84,B463)&amp;"")</f>
        <v/>
      </c>
      <c r="I463" s="39">
        <f>IF(B463="","",INDEX(Setup!$C$25:$C$84,B463))</f>
        <v/>
      </c>
      <c r="J463" s="39" t="n"/>
      <c r="K463" s="37" t="n"/>
      <c r="L463" s="38" t="n"/>
      <c r="M463" s="33" t="n"/>
      <c r="N463" s="33" t="n"/>
      <c r="O463" s="39" t="n"/>
      <c r="P463" s="40">
        <f>IF(A463="","",IF(K463&lt;&gt;"",K463,D463))</f>
        <v/>
      </c>
      <c r="Q463" s="42">
        <f>IF(A463="",0,IF(C463="✗",0,IF(OR(C463="✓",AND(Setup!$D$7="Yes",P463&lt;=TODAY())),IF(L463&lt;&gt;"",L463,F463),0)))</f>
        <v/>
      </c>
      <c r="R463" s="39">
        <f>IF(A463="","",IF(M463&lt;&gt;"",M463,G463))</f>
        <v/>
      </c>
      <c r="S463" s="39">
        <f>IF(A463="","",IF(N463&lt;&gt;"",N463,H463))</f>
        <v/>
      </c>
      <c r="T463" s="39">
        <f>IF(A463="","",IF(C463="✗","Skipped",IF(Q463&gt;0,"Paid","Upcoming")))</f>
        <v/>
      </c>
      <c r="U463" s="42">
        <f>IF(A463="",0,IF(C463="✗",0,IF(L463&lt;&gt;"",L463,F463)))</f>
        <v/>
      </c>
    </row>
    <row r="464">
      <c r="A464" s="32">
        <f>IFERROR(SMALL(Calc!$B$2:$BB$61,459),"")</f>
        <v/>
      </c>
      <c r="B464" s="32">
        <f>IF(A464="","",ROUND(MOD(A464,1)*1000,0))</f>
        <v/>
      </c>
      <c r="C464" s="33" t="n"/>
      <c r="D464" s="34">
        <f>IF(A464="","",INT(A464))</f>
        <v/>
      </c>
      <c r="E464" s="35">
        <f>IF(B464="","",INDEX(Setup!$D$25:$D$84,B464))</f>
        <v/>
      </c>
      <c r="F464" s="36">
        <f>IF(B464="","",INDEX(Setup!$E$25:$E$84,B464))</f>
        <v/>
      </c>
      <c r="G464" s="32">
        <f>IF(B464="","",INDEX(Setup!$I$25:$I$84,B464)&amp;"")</f>
        <v/>
      </c>
      <c r="H464" s="32">
        <f>IF(B464="","",INDEX(Setup!$J$25:$J$84,B464)&amp;"")</f>
        <v/>
      </c>
      <c r="I464" s="32">
        <f>IF(B464="","",INDEX(Setup!$C$25:$C$84,B464))</f>
        <v/>
      </c>
      <c r="J464" s="32" t="n"/>
      <c r="K464" s="37" t="n"/>
      <c r="L464" s="38" t="n"/>
      <c r="M464" s="33" t="n"/>
      <c r="N464" s="33" t="n"/>
      <c r="O464" s="32" t="n"/>
      <c r="P464" s="34">
        <f>IF(A464="","",IF(K464&lt;&gt;"",K464,D464))</f>
        <v/>
      </c>
      <c r="Q464" s="36">
        <f>IF(A464="",0,IF(C464="✗",0,IF(OR(C464="✓",AND(Setup!$D$7="Yes",P464&lt;=TODAY())),IF(L464&lt;&gt;"",L464,F464),0)))</f>
        <v/>
      </c>
      <c r="R464" s="32">
        <f>IF(A464="","",IF(M464&lt;&gt;"",M464,G464))</f>
        <v/>
      </c>
      <c r="S464" s="32">
        <f>IF(A464="","",IF(N464&lt;&gt;"",N464,H464))</f>
        <v/>
      </c>
      <c r="T464" s="32">
        <f>IF(A464="","",IF(C464="✗","Skipped",IF(Q464&gt;0,"Paid","Upcoming")))</f>
        <v/>
      </c>
      <c r="U464" s="36">
        <f>IF(A464="",0,IF(C464="✗",0,IF(L464&lt;&gt;"",L464,F464)))</f>
        <v/>
      </c>
    </row>
    <row r="465">
      <c r="A465" s="39">
        <f>IFERROR(SMALL(Calc!$B$2:$BB$61,460),"")</f>
        <v/>
      </c>
      <c r="B465" s="39">
        <f>IF(A465="","",ROUND(MOD(A465,1)*1000,0))</f>
        <v/>
      </c>
      <c r="C465" s="33" t="n"/>
      <c r="D465" s="40">
        <f>IF(A465="","",INT(A465))</f>
        <v/>
      </c>
      <c r="E465" s="41">
        <f>IF(B465="","",INDEX(Setup!$D$25:$D$84,B465))</f>
        <v/>
      </c>
      <c r="F465" s="42">
        <f>IF(B465="","",INDEX(Setup!$E$25:$E$84,B465))</f>
        <v/>
      </c>
      <c r="G465" s="39">
        <f>IF(B465="","",INDEX(Setup!$I$25:$I$84,B465)&amp;"")</f>
        <v/>
      </c>
      <c r="H465" s="39">
        <f>IF(B465="","",INDEX(Setup!$J$25:$J$84,B465)&amp;"")</f>
        <v/>
      </c>
      <c r="I465" s="39">
        <f>IF(B465="","",INDEX(Setup!$C$25:$C$84,B465))</f>
        <v/>
      </c>
      <c r="J465" s="39" t="n"/>
      <c r="K465" s="37" t="n"/>
      <c r="L465" s="38" t="n"/>
      <c r="M465" s="33" t="n"/>
      <c r="N465" s="33" t="n"/>
      <c r="O465" s="39" t="n"/>
      <c r="P465" s="40">
        <f>IF(A465="","",IF(K465&lt;&gt;"",K465,D465))</f>
        <v/>
      </c>
      <c r="Q465" s="42">
        <f>IF(A465="",0,IF(C465="✗",0,IF(OR(C465="✓",AND(Setup!$D$7="Yes",P465&lt;=TODAY())),IF(L465&lt;&gt;"",L465,F465),0)))</f>
        <v/>
      </c>
      <c r="R465" s="39">
        <f>IF(A465="","",IF(M465&lt;&gt;"",M465,G465))</f>
        <v/>
      </c>
      <c r="S465" s="39">
        <f>IF(A465="","",IF(N465&lt;&gt;"",N465,H465))</f>
        <v/>
      </c>
      <c r="T465" s="39">
        <f>IF(A465="","",IF(C465="✗","Skipped",IF(Q465&gt;0,"Paid","Upcoming")))</f>
        <v/>
      </c>
      <c r="U465" s="42">
        <f>IF(A465="",0,IF(C465="✗",0,IF(L465&lt;&gt;"",L465,F465)))</f>
        <v/>
      </c>
    </row>
    <row r="466">
      <c r="A466" s="32">
        <f>IFERROR(SMALL(Calc!$B$2:$BB$61,461),"")</f>
        <v/>
      </c>
      <c r="B466" s="32">
        <f>IF(A466="","",ROUND(MOD(A466,1)*1000,0))</f>
        <v/>
      </c>
      <c r="C466" s="33" t="n"/>
      <c r="D466" s="34">
        <f>IF(A466="","",INT(A466))</f>
        <v/>
      </c>
      <c r="E466" s="35">
        <f>IF(B466="","",INDEX(Setup!$D$25:$D$84,B466))</f>
        <v/>
      </c>
      <c r="F466" s="36">
        <f>IF(B466="","",INDEX(Setup!$E$25:$E$84,B466))</f>
        <v/>
      </c>
      <c r="G466" s="32">
        <f>IF(B466="","",INDEX(Setup!$I$25:$I$84,B466)&amp;"")</f>
        <v/>
      </c>
      <c r="H466" s="32">
        <f>IF(B466="","",INDEX(Setup!$J$25:$J$84,B466)&amp;"")</f>
        <v/>
      </c>
      <c r="I466" s="32">
        <f>IF(B466="","",INDEX(Setup!$C$25:$C$84,B466))</f>
        <v/>
      </c>
      <c r="J466" s="32" t="n"/>
      <c r="K466" s="37" t="n"/>
      <c r="L466" s="38" t="n"/>
      <c r="M466" s="33" t="n"/>
      <c r="N466" s="33" t="n"/>
      <c r="O466" s="32" t="n"/>
      <c r="P466" s="34">
        <f>IF(A466="","",IF(K466&lt;&gt;"",K466,D466))</f>
        <v/>
      </c>
      <c r="Q466" s="36">
        <f>IF(A466="",0,IF(C466="✗",0,IF(OR(C466="✓",AND(Setup!$D$7="Yes",P466&lt;=TODAY())),IF(L466&lt;&gt;"",L466,F466),0)))</f>
        <v/>
      </c>
      <c r="R466" s="32">
        <f>IF(A466="","",IF(M466&lt;&gt;"",M466,G466))</f>
        <v/>
      </c>
      <c r="S466" s="32">
        <f>IF(A466="","",IF(N466&lt;&gt;"",N466,H466))</f>
        <v/>
      </c>
      <c r="T466" s="32">
        <f>IF(A466="","",IF(C466="✗","Skipped",IF(Q466&gt;0,"Paid","Upcoming")))</f>
        <v/>
      </c>
      <c r="U466" s="36">
        <f>IF(A466="",0,IF(C466="✗",0,IF(L466&lt;&gt;"",L466,F466)))</f>
        <v/>
      </c>
    </row>
    <row r="467">
      <c r="A467" s="39">
        <f>IFERROR(SMALL(Calc!$B$2:$BB$61,462),"")</f>
        <v/>
      </c>
      <c r="B467" s="39">
        <f>IF(A467="","",ROUND(MOD(A467,1)*1000,0))</f>
        <v/>
      </c>
      <c r="C467" s="33" t="n"/>
      <c r="D467" s="40">
        <f>IF(A467="","",INT(A467))</f>
        <v/>
      </c>
      <c r="E467" s="41">
        <f>IF(B467="","",INDEX(Setup!$D$25:$D$84,B467))</f>
        <v/>
      </c>
      <c r="F467" s="42">
        <f>IF(B467="","",INDEX(Setup!$E$25:$E$84,B467))</f>
        <v/>
      </c>
      <c r="G467" s="39">
        <f>IF(B467="","",INDEX(Setup!$I$25:$I$84,B467)&amp;"")</f>
        <v/>
      </c>
      <c r="H467" s="39">
        <f>IF(B467="","",INDEX(Setup!$J$25:$J$84,B467)&amp;"")</f>
        <v/>
      </c>
      <c r="I467" s="39">
        <f>IF(B467="","",INDEX(Setup!$C$25:$C$84,B467))</f>
        <v/>
      </c>
      <c r="J467" s="39" t="n"/>
      <c r="K467" s="37" t="n"/>
      <c r="L467" s="38" t="n"/>
      <c r="M467" s="33" t="n"/>
      <c r="N467" s="33" t="n"/>
      <c r="O467" s="39" t="n"/>
      <c r="P467" s="40">
        <f>IF(A467="","",IF(K467&lt;&gt;"",K467,D467))</f>
        <v/>
      </c>
      <c r="Q467" s="42">
        <f>IF(A467="",0,IF(C467="✗",0,IF(OR(C467="✓",AND(Setup!$D$7="Yes",P467&lt;=TODAY())),IF(L467&lt;&gt;"",L467,F467),0)))</f>
        <v/>
      </c>
      <c r="R467" s="39">
        <f>IF(A467="","",IF(M467&lt;&gt;"",M467,G467))</f>
        <v/>
      </c>
      <c r="S467" s="39">
        <f>IF(A467="","",IF(N467&lt;&gt;"",N467,H467))</f>
        <v/>
      </c>
      <c r="T467" s="39">
        <f>IF(A467="","",IF(C467="✗","Skipped",IF(Q467&gt;0,"Paid","Upcoming")))</f>
        <v/>
      </c>
      <c r="U467" s="42">
        <f>IF(A467="",0,IF(C467="✗",0,IF(L467&lt;&gt;"",L467,F467)))</f>
        <v/>
      </c>
    </row>
    <row r="468">
      <c r="A468" s="32">
        <f>IFERROR(SMALL(Calc!$B$2:$BB$61,463),"")</f>
        <v/>
      </c>
      <c r="B468" s="32">
        <f>IF(A468="","",ROUND(MOD(A468,1)*1000,0))</f>
        <v/>
      </c>
      <c r="C468" s="33" t="n"/>
      <c r="D468" s="34">
        <f>IF(A468="","",INT(A468))</f>
        <v/>
      </c>
      <c r="E468" s="35">
        <f>IF(B468="","",INDEX(Setup!$D$25:$D$84,B468))</f>
        <v/>
      </c>
      <c r="F468" s="36">
        <f>IF(B468="","",INDEX(Setup!$E$25:$E$84,B468))</f>
        <v/>
      </c>
      <c r="G468" s="32">
        <f>IF(B468="","",INDEX(Setup!$I$25:$I$84,B468)&amp;"")</f>
        <v/>
      </c>
      <c r="H468" s="32">
        <f>IF(B468="","",INDEX(Setup!$J$25:$J$84,B468)&amp;"")</f>
        <v/>
      </c>
      <c r="I468" s="32">
        <f>IF(B468="","",INDEX(Setup!$C$25:$C$84,B468))</f>
        <v/>
      </c>
      <c r="J468" s="32" t="n"/>
      <c r="K468" s="37" t="n"/>
      <c r="L468" s="38" t="n"/>
      <c r="M468" s="33" t="n"/>
      <c r="N468" s="33" t="n"/>
      <c r="O468" s="32" t="n"/>
      <c r="P468" s="34">
        <f>IF(A468="","",IF(K468&lt;&gt;"",K468,D468))</f>
        <v/>
      </c>
      <c r="Q468" s="36">
        <f>IF(A468="",0,IF(C468="✗",0,IF(OR(C468="✓",AND(Setup!$D$7="Yes",P468&lt;=TODAY())),IF(L468&lt;&gt;"",L468,F468),0)))</f>
        <v/>
      </c>
      <c r="R468" s="32">
        <f>IF(A468="","",IF(M468&lt;&gt;"",M468,G468))</f>
        <v/>
      </c>
      <c r="S468" s="32">
        <f>IF(A468="","",IF(N468&lt;&gt;"",N468,H468))</f>
        <v/>
      </c>
      <c r="T468" s="32">
        <f>IF(A468="","",IF(C468="✗","Skipped",IF(Q468&gt;0,"Paid","Upcoming")))</f>
        <v/>
      </c>
      <c r="U468" s="36">
        <f>IF(A468="",0,IF(C468="✗",0,IF(L468&lt;&gt;"",L468,F468)))</f>
        <v/>
      </c>
    </row>
    <row r="469">
      <c r="A469" s="39">
        <f>IFERROR(SMALL(Calc!$B$2:$BB$61,464),"")</f>
        <v/>
      </c>
      <c r="B469" s="39">
        <f>IF(A469="","",ROUND(MOD(A469,1)*1000,0))</f>
        <v/>
      </c>
      <c r="C469" s="33" t="n"/>
      <c r="D469" s="40">
        <f>IF(A469="","",INT(A469))</f>
        <v/>
      </c>
      <c r="E469" s="41">
        <f>IF(B469="","",INDEX(Setup!$D$25:$D$84,B469))</f>
        <v/>
      </c>
      <c r="F469" s="42">
        <f>IF(B469="","",INDEX(Setup!$E$25:$E$84,B469))</f>
        <v/>
      </c>
      <c r="G469" s="39">
        <f>IF(B469="","",INDEX(Setup!$I$25:$I$84,B469)&amp;"")</f>
        <v/>
      </c>
      <c r="H469" s="39">
        <f>IF(B469="","",INDEX(Setup!$J$25:$J$84,B469)&amp;"")</f>
        <v/>
      </c>
      <c r="I469" s="39">
        <f>IF(B469="","",INDEX(Setup!$C$25:$C$84,B469))</f>
        <v/>
      </c>
      <c r="J469" s="39" t="n"/>
      <c r="K469" s="37" t="n"/>
      <c r="L469" s="38" t="n"/>
      <c r="M469" s="33" t="n"/>
      <c r="N469" s="33" t="n"/>
      <c r="O469" s="39" t="n"/>
      <c r="P469" s="40">
        <f>IF(A469="","",IF(K469&lt;&gt;"",K469,D469))</f>
        <v/>
      </c>
      <c r="Q469" s="42">
        <f>IF(A469="",0,IF(C469="✗",0,IF(OR(C469="✓",AND(Setup!$D$7="Yes",P469&lt;=TODAY())),IF(L469&lt;&gt;"",L469,F469),0)))</f>
        <v/>
      </c>
      <c r="R469" s="39">
        <f>IF(A469="","",IF(M469&lt;&gt;"",M469,G469))</f>
        <v/>
      </c>
      <c r="S469" s="39">
        <f>IF(A469="","",IF(N469&lt;&gt;"",N469,H469))</f>
        <v/>
      </c>
      <c r="T469" s="39">
        <f>IF(A469="","",IF(C469="✗","Skipped",IF(Q469&gt;0,"Paid","Upcoming")))</f>
        <v/>
      </c>
      <c r="U469" s="42">
        <f>IF(A469="",0,IF(C469="✗",0,IF(L469&lt;&gt;"",L469,F469)))</f>
        <v/>
      </c>
    </row>
    <row r="470">
      <c r="A470" s="32">
        <f>IFERROR(SMALL(Calc!$B$2:$BB$61,465),"")</f>
        <v/>
      </c>
      <c r="B470" s="32">
        <f>IF(A470="","",ROUND(MOD(A470,1)*1000,0))</f>
        <v/>
      </c>
      <c r="C470" s="33" t="n"/>
      <c r="D470" s="34">
        <f>IF(A470="","",INT(A470))</f>
        <v/>
      </c>
      <c r="E470" s="35">
        <f>IF(B470="","",INDEX(Setup!$D$25:$D$84,B470))</f>
        <v/>
      </c>
      <c r="F470" s="36">
        <f>IF(B470="","",INDEX(Setup!$E$25:$E$84,B470))</f>
        <v/>
      </c>
      <c r="G470" s="32">
        <f>IF(B470="","",INDEX(Setup!$I$25:$I$84,B470)&amp;"")</f>
        <v/>
      </c>
      <c r="H470" s="32">
        <f>IF(B470="","",INDEX(Setup!$J$25:$J$84,B470)&amp;"")</f>
        <v/>
      </c>
      <c r="I470" s="32">
        <f>IF(B470="","",INDEX(Setup!$C$25:$C$84,B470))</f>
        <v/>
      </c>
      <c r="J470" s="32" t="n"/>
      <c r="K470" s="37" t="n"/>
      <c r="L470" s="38" t="n"/>
      <c r="M470" s="33" t="n"/>
      <c r="N470" s="33" t="n"/>
      <c r="O470" s="32" t="n"/>
      <c r="P470" s="34">
        <f>IF(A470="","",IF(K470&lt;&gt;"",K470,D470))</f>
        <v/>
      </c>
      <c r="Q470" s="36">
        <f>IF(A470="",0,IF(C470="✗",0,IF(OR(C470="✓",AND(Setup!$D$7="Yes",P470&lt;=TODAY())),IF(L470&lt;&gt;"",L470,F470),0)))</f>
        <v/>
      </c>
      <c r="R470" s="32">
        <f>IF(A470="","",IF(M470&lt;&gt;"",M470,G470))</f>
        <v/>
      </c>
      <c r="S470" s="32">
        <f>IF(A470="","",IF(N470&lt;&gt;"",N470,H470))</f>
        <v/>
      </c>
      <c r="T470" s="32">
        <f>IF(A470="","",IF(C470="✗","Skipped",IF(Q470&gt;0,"Paid","Upcoming")))</f>
        <v/>
      </c>
      <c r="U470" s="36">
        <f>IF(A470="",0,IF(C470="✗",0,IF(L470&lt;&gt;"",L470,F470)))</f>
        <v/>
      </c>
    </row>
    <row r="471">
      <c r="A471" s="39">
        <f>IFERROR(SMALL(Calc!$B$2:$BB$61,466),"")</f>
        <v/>
      </c>
      <c r="B471" s="39">
        <f>IF(A471="","",ROUND(MOD(A471,1)*1000,0))</f>
        <v/>
      </c>
      <c r="C471" s="33" t="n"/>
      <c r="D471" s="40">
        <f>IF(A471="","",INT(A471))</f>
        <v/>
      </c>
      <c r="E471" s="41">
        <f>IF(B471="","",INDEX(Setup!$D$25:$D$84,B471))</f>
        <v/>
      </c>
      <c r="F471" s="42">
        <f>IF(B471="","",INDEX(Setup!$E$25:$E$84,B471))</f>
        <v/>
      </c>
      <c r="G471" s="39">
        <f>IF(B471="","",INDEX(Setup!$I$25:$I$84,B471)&amp;"")</f>
        <v/>
      </c>
      <c r="H471" s="39">
        <f>IF(B471="","",INDEX(Setup!$J$25:$J$84,B471)&amp;"")</f>
        <v/>
      </c>
      <c r="I471" s="39">
        <f>IF(B471="","",INDEX(Setup!$C$25:$C$84,B471))</f>
        <v/>
      </c>
      <c r="J471" s="39" t="n"/>
      <c r="K471" s="37" t="n"/>
      <c r="L471" s="38" t="n"/>
      <c r="M471" s="33" t="n"/>
      <c r="N471" s="33" t="n"/>
      <c r="O471" s="39" t="n"/>
      <c r="P471" s="40">
        <f>IF(A471="","",IF(K471&lt;&gt;"",K471,D471))</f>
        <v/>
      </c>
      <c r="Q471" s="42">
        <f>IF(A471="",0,IF(C471="✗",0,IF(OR(C471="✓",AND(Setup!$D$7="Yes",P471&lt;=TODAY())),IF(L471&lt;&gt;"",L471,F471),0)))</f>
        <v/>
      </c>
      <c r="R471" s="39">
        <f>IF(A471="","",IF(M471&lt;&gt;"",M471,G471))</f>
        <v/>
      </c>
      <c r="S471" s="39">
        <f>IF(A471="","",IF(N471&lt;&gt;"",N471,H471))</f>
        <v/>
      </c>
      <c r="T471" s="39">
        <f>IF(A471="","",IF(C471="✗","Skipped",IF(Q471&gt;0,"Paid","Upcoming")))</f>
        <v/>
      </c>
      <c r="U471" s="42">
        <f>IF(A471="",0,IF(C471="✗",0,IF(L471&lt;&gt;"",L471,F471)))</f>
        <v/>
      </c>
    </row>
    <row r="472">
      <c r="A472" s="32">
        <f>IFERROR(SMALL(Calc!$B$2:$BB$61,467),"")</f>
        <v/>
      </c>
      <c r="B472" s="32">
        <f>IF(A472="","",ROUND(MOD(A472,1)*1000,0))</f>
        <v/>
      </c>
      <c r="C472" s="33" t="n"/>
      <c r="D472" s="34">
        <f>IF(A472="","",INT(A472))</f>
        <v/>
      </c>
      <c r="E472" s="35">
        <f>IF(B472="","",INDEX(Setup!$D$25:$D$84,B472))</f>
        <v/>
      </c>
      <c r="F472" s="36">
        <f>IF(B472="","",INDEX(Setup!$E$25:$E$84,B472))</f>
        <v/>
      </c>
      <c r="G472" s="32">
        <f>IF(B472="","",INDEX(Setup!$I$25:$I$84,B472)&amp;"")</f>
        <v/>
      </c>
      <c r="H472" s="32">
        <f>IF(B472="","",INDEX(Setup!$J$25:$J$84,B472)&amp;"")</f>
        <v/>
      </c>
      <c r="I472" s="32">
        <f>IF(B472="","",INDEX(Setup!$C$25:$C$84,B472))</f>
        <v/>
      </c>
      <c r="J472" s="32" t="n"/>
      <c r="K472" s="37" t="n"/>
      <c r="L472" s="38" t="n"/>
      <c r="M472" s="33" t="n"/>
      <c r="N472" s="33" t="n"/>
      <c r="O472" s="32" t="n"/>
      <c r="P472" s="34">
        <f>IF(A472="","",IF(K472&lt;&gt;"",K472,D472))</f>
        <v/>
      </c>
      <c r="Q472" s="36">
        <f>IF(A472="",0,IF(C472="✗",0,IF(OR(C472="✓",AND(Setup!$D$7="Yes",P472&lt;=TODAY())),IF(L472&lt;&gt;"",L472,F472),0)))</f>
        <v/>
      </c>
      <c r="R472" s="32">
        <f>IF(A472="","",IF(M472&lt;&gt;"",M472,G472))</f>
        <v/>
      </c>
      <c r="S472" s="32">
        <f>IF(A472="","",IF(N472&lt;&gt;"",N472,H472))</f>
        <v/>
      </c>
      <c r="T472" s="32">
        <f>IF(A472="","",IF(C472="✗","Skipped",IF(Q472&gt;0,"Paid","Upcoming")))</f>
        <v/>
      </c>
      <c r="U472" s="36">
        <f>IF(A472="",0,IF(C472="✗",0,IF(L472&lt;&gt;"",L472,F472)))</f>
        <v/>
      </c>
    </row>
    <row r="473">
      <c r="A473" s="39">
        <f>IFERROR(SMALL(Calc!$B$2:$BB$61,468),"")</f>
        <v/>
      </c>
      <c r="B473" s="39">
        <f>IF(A473="","",ROUND(MOD(A473,1)*1000,0))</f>
        <v/>
      </c>
      <c r="C473" s="33" t="n"/>
      <c r="D473" s="40">
        <f>IF(A473="","",INT(A473))</f>
        <v/>
      </c>
      <c r="E473" s="41">
        <f>IF(B473="","",INDEX(Setup!$D$25:$D$84,B473))</f>
        <v/>
      </c>
      <c r="F473" s="42">
        <f>IF(B473="","",INDEX(Setup!$E$25:$E$84,B473))</f>
        <v/>
      </c>
      <c r="G473" s="39">
        <f>IF(B473="","",INDEX(Setup!$I$25:$I$84,B473)&amp;"")</f>
        <v/>
      </c>
      <c r="H473" s="39">
        <f>IF(B473="","",INDEX(Setup!$J$25:$J$84,B473)&amp;"")</f>
        <v/>
      </c>
      <c r="I473" s="39">
        <f>IF(B473="","",INDEX(Setup!$C$25:$C$84,B473))</f>
        <v/>
      </c>
      <c r="J473" s="39" t="n"/>
      <c r="K473" s="37" t="n"/>
      <c r="L473" s="38" t="n"/>
      <c r="M473" s="33" t="n"/>
      <c r="N473" s="33" t="n"/>
      <c r="O473" s="39" t="n"/>
      <c r="P473" s="40">
        <f>IF(A473="","",IF(K473&lt;&gt;"",K473,D473))</f>
        <v/>
      </c>
      <c r="Q473" s="42">
        <f>IF(A473="",0,IF(C473="✗",0,IF(OR(C473="✓",AND(Setup!$D$7="Yes",P473&lt;=TODAY())),IF(L473&lt;&gt;"",L473,F473),0)))</f>
        <v/>
      </c>
      <c r="R473" s="39">
        <f>IF(A473="","",IF(M473&lt;&gt;"",M473,G473))</f>
        <v/>
      </c>
      <c r="S473" s="39">
        <f>IF(A473="","",IF(N473&lt;&gt;"",N473,H473))</f>
        <v/>
      </c>
      <c r="T473" s="39">
        <f>IF(A473="","",IF(C473="✗","Skipped",IF(Q473&gt;0,"Paid","Upcoming")))</f>
        <v/>
      </c>
      <c r="U473" s="42">
        <f>IF(A473="",0,IF(C473="✗",0,IF(L473&lt;&gt;"",L473,F473)))</f>
        <v/>
      </c>
    </row>
    <row r="474">
      <c r="A474" s="32">
        <f>IFERROR(SMALL(Calc!$B$2:$BB$61,469),"")</f>
        <v/>
      </c>
      <c r="B474" s="32">
        <f>IF(A474="","",ROUND(MOD(A474,1)*1000,0))</f>
        <v/>
      </c>
      <c r="C474" s="33" t="n"/>
      <c r="D474" s="34">
        <f>IF(A474="","",INT(A474))</f>
        <v/>
      </c>
      <c r="E474" s="35">
        <f>IF(B474="","",INDEX(Setup!$D$25:$D$84,B474))</f>
        <v/>
      </c>
      <c r="F474" s="36">
        <f>IF(B474="","",INDEX(Setup!$E$25:$E$84,B474))</f>
        <v/>
      </c>
      <c r="G474" s="32">
        <f>IF(B474="","",INDEX(Setup!$I$25:$I$84,B474)&amp;"")</f>
        <v/>
      </c>
      <c r="H474" s="32">
        <f>IF(B474="","",INDEX(Setup!$J$25:$J$84,B474)&amp;"")</f>
        <v/>
      </c>
      <c r="I474" s="32">
        <f>IF(B474="","",INDEX(Setup!$C$25:$C$84,B474))</f>
        <v/>
      </c>
      <c r="J474" s="32" t="n"/>
      <c r="K474" s="37" t="n"/>
      <c r="L474" s="38" t="n"/>
      <c r="M474" s="33" t="n"/>
      <c r="N474" s="33" t="n"/>
      <c r="O474" s="32" t="n"/>
      <c r="P474" s="34">
        <f>IF(A474="","",IF(K474&lt;&gt;"",K474,D474))</f>
        <v/>
      </c>
      <c r="Q474" s="36">
        <f>IF(A474="",0,IF(C474="✗",0,IF(OR(C474="✓",AND(Setup!$D$7="Yes",P474&lt;=TODAY())),IF(L474&lt;&gt;"",L474,F474),0)))</f>
        <v/>
      </c>
      <c r="R474" s="32">
        <f>IF(A474="","",IF(M474&lt;&gt;"",M474,G474))</f>
        <v/>
      </c>
      <c r="S474" s="32">
        <f>IF(A474="","",IF(N474&lt;&gt;"",N474,H474))</f>
        <v/>
      </c>
      <c r="T474" s="32">
        <f>IF(A474="","",IF(C474="✗","Skipped",IF(Q474&gt;0,"Paid","Upcoming")))</f>
        <v/>
      </c>
      <c r="U474" s="36">
        <f>IF(A474="",0,IF(C474="✗",0,IF(L474&lt;&gt;"",L474,F474)))</f>
        <v/>
      </c>
    </row>
    <row r="475">
      <c r="A475" s="39">
        <f>IFERROR(SMALL(Calc!$B$2:$BB$61,470),"")</f>
        <v/>
      </c>
      <c r="B475" s="39">
        <f>IF(A475="","",ROUND(MOD(A475,1)*1000,0))</f>
        <v/>
      </c>
      <c r="C475" s="33" t="n"/>
      <c r="D475" s="40">
        <f>IF(A475="","",INT(A475))</f>
        <v/>
      </c>
      <c r="E475" s="41">
        <f>IF(B475="","",INDEX(Setup!$D$25:$D$84,B475))</f>
        <v/>
      </c>
      <c r="F475" s="42">
        <f>IF(B475="","",INDEX(Setup!$E$25:$E$84,B475))</f>
        <v/>
      </c>
      <c r="G475" s="39">
        <f>IF(B475="","",INDEX(Setup!$I$25:$I$84,B475)&amp;"")</f>
        <v/>
      </c>
      <c r="H475" s="39">
        <f>IF(B475="","",INDEX(Setup!$J$25:$J$84,B475)&amp;"")</f>
        <v/>
      </c>
      <c r="I475" s="39">
        <f>IF(B475="","",INDEX(Setup!$C$25:$C$84,B475))</f>
        <v/>
      </c>
      <c r="J475" s="39" t="n"/>
      <c r="K475" s="37" t="n"/>
      <c r="L475" s="38" t="n"/>
      <c r="M475" s="33" t="n"/>
      <c r="N475" s="33" t="n"/>
      <c r="O475" s="39" t="n"/>
      <c r="P475" s="40">
        <f>IF(A475="","",IF(K475&lt;&gt;"",K475,D475))</f>
        <v/>
      </c>
      <c r="Q475" s="42">
        <f>IF(A475="",0,IF(C475="✗",0,IF(OR(C475="✓",AND(Setup!$D$7="Yes",P475&lt;=TODAY())),IF(L475&lt;&gt;"",L475,F475),0)))</f>
        <v/>
      </c>
      <c r="R475" s="39">
        <f>IF(A475="","",IF(M475&lt;&gt;"",M475,G475))</f>
        <v/>
      </c>
      <c r="S475" s="39">
        <f>IF(A475="","",IF(N475&lt;&gt;"",N475,H475))</f>
        <v/>
      </c>
      <c r="T475" s="39">
        <f>IF(A475="","",IF(C475="✗","Skipped",IF(Q475&gt;0,"Paid","Upcoming")))</f>
        <v/>
      </c>
      <c r="U475" s="42">
        <f>IF(A475="",0,IF(C475="✗",0,IF(L475&lt;&gt;"",L475,F475)))</f>
        <v/>
      </c>
    </row>
    <row r="476">
      <c r="A476" s="32">
        <f>IFERROR(SMALL(Calc!$B$2:$BB$61,471),"")</f>
        <v/>
      </c>
      <c r="B476" s="32">
        <f>IF(A476="","",ROUND(MOD(A476,1)*1000,0))</f>
        <v/>
      </c>
      <c r="C476" s="33" t="n"/>
      <c r="D476" s="34">
        <f>IF(A476="","",INT(A476))</f>
        <v/>
      </c>
      <c r="E476" s="35">
        <f>IF(B476="","",INDEX(Setup!$D$25:$D$84,B476))</f>
        <v/>
      </c>
      <c r="F476" s="36">
        <f>IF(B476="","",INDEX(Setup!$E$25:$E$84,B476))</f>
        <v/>
      </c>
      <c r="G476" s="32">
        <f>IF(B476="","",INDEX(Setup!$I$25:$I$84,B476)&amp;"")</f>
        <v/>
      </c>
      <c r="H476" s="32">
        <f>IF(B476="","",INDEX(Setup!$J$25:$J$84,B476)&amp;"")</f>
        <v/>
      </c>
      <c r="I476" s="32">
        <f>IF(B476="","",INDEX(Setup!$C$25:$C$84,B476))</f>
        <v/>
      </c>
      <c r="J476" s="32" t="n"/>
      <c r="K476" s="37" t="n"/>
      <c r="L476" s="38" t="n"/>
      <c r="M476" s="33" t="n"/>
      <c r="N476" s="33" t="n"/>
      <c r="O476" s="32" t="n"/>
      <c r="P476" s="34">
        <f>IF(A476="","",IF(K476&lt;&gt;"",K476,D476))</f>
        <v/>
      </c>
      <c r="Q476" s="36">
        <f>IF(A476="",0,IF(C476="✗",0,IF(OR(C476="✓",AND(Setup!$D$7="Yes",P476&lt;=TODAY())),IF(L476&lt;&gt;"",L476,F476),0)))</f>
        <v/>
      </c>
      <c r="R476" s="32">
        <f>IF(A476="","",IF(M476&lt;&gt;"",M476,G476))</f>
        <v/>
      </c>
      <c r="S476" s="32">
        <f>IF(A476="","",IF(N476&lt;&gt;"",N476,H476))</f>
        <v/>
      </c>
      <c r="T476" s="32">
        <f>IF(A476="","",IF(C476="✗","Skipped",IF(Q476&gt;0,"Paid","Upcoming")))</f>
        <v/>
      </c>
      <c r="U476" s="36">
        <f>IF(A476="",0,IF(C476="✗",0,IF(L476&lt;&gt;"",L476,F476)))</f>
        <v/>
      </c>
    </row>
    <row r="477">
      <c r="A477" s="39">
        <f>IFERROR(SMALL(Calc!$B$2:$BB$61,472),"")</f>
        <v/>
      </c>
      <c r="B477" s="39">
        <f>IF(A477="","",ROUND(MOD(A477,1)*1000,0))</f>
        <v/>
      </c>
      <c r="C477" s="33" t="n"/>
      <c r="D477" s="40">
        <f>IF(A477="","",INT(A477))</f>
        <v/>
      </c>
      <c r="E477" s="41">
        <f>IF(B477="","",INDEX(Setup!$D$25:$D$84,B477))</f>
        <v/>
      </c>
      <c r="F477" s="42">
        <f>IF(B477="","",INDEX(Setup!$E$25:$E$84,B477))</f>
        <v/>
      </c>
      <c r="G477" s="39">
        <f>IF(B477="","",INDEX(Setup!$I$25:$I$84,B477)&amp;"")</f>
        <v/>
      </c>
      <c r="H477" s="39">
        <f>IF(B477="","",INDEX(Setup!$J$25:$J$84,B477)&amp;"")</f>
        <v/>
      </c>
      <c r="I477" s="39">
        <f>IF(B477="","",INDEX(Setup!$C$25:$C$84,B477))</f>
        <v/>
      </c>
      <c r="J477" s="39" t="n"/>
      <c r="K477" s="37" t="n"/>
      <c r="L477" s="38" t="n"/>
      <c r="M477" s="33" t="n"/>
      <c r="N477" s="33" t="n"/>
      <c r="O477" s="39" t="n"/>
      <c r="P477" s="40">
        <f>IF(A477="","",IF(K477&lt;&gt;"",K477,D477))</f>
        <v/>
      </c>
      <c r="Q477" s="42">
        <f>IF(A477="",0,IF(C477="✗",0,IF(OR(C477="✓",AND(Setup!$D$7="Yes",P477&lt;=TODAY())),IF(L477&lt;&gt;"",L477,F477),0)))</f>
        <v/>
      </c>
      <c r="R477" s="39">
        <f>IF(A477="","",IF(M477&lt;&gt;"",M477,G477))</f>
        <v/>
      </c>
      <c r="S477" s="39">
        <f>IF(A477="","",IF(N477&lt;&gt;"",N477,H477))</f>
        <v/>
      </c>
      <c r="T477" s="39">
        <f>IF(A477="","",IF(C477="✗","Skipped",IF(Q477&gt;0,"Paid","Upcoming")))</f>
        <v/>
      </c>
      <c r="U477" s="42">
        <f>IF(A477="",0,IF(C477="✗",0,IF(L477&lt;&gt;"",L477,F477)))</f>
        <v/>
      </c>
    </row>
    <row r="478">
      <c r="A478" s="32">
        <f>IFERROR(SMALL(Calc!$B$2:$BB$61,473),"")</f>
        <v/>
      </c>
      <c r="B478" s="32">
        <f>IF(A478="","",ROUND(MOD(A478,1)*1000,0))</f>
        <v/>
      </c>
      <c r="C478" s="33" t="n"/>
      <c r="D478" s="34">
        <f>IF(A478="","",INT(A478))</f>
        <v/>
      </c>
      <c r="E478" s="35">
        <f>IF(B478="","",INDEX(Setup!$D$25:$D$84,B478))</f>
        <v/>
      </c>
      <c r="F478" s="36">
        <f>IF(B478="","",INDEX(Setup!$E$25:$E$84,B478))</f>
        <v/>
      </c>
      <c r="G478" s="32">
        <f>IF(B478="","",INDEX(Setup!$I$25:$I$84,B478)&amp;"")</f>
        <v/>
      </c>
      <c r="H478" s="32">
        <f>IF(B478="","",INDEX(Setup!$J$25:$J$84,B478)&amp;"")</f>
        <v/>
      </c>
      <c r="I478" s="32">
        <f>IF(B478="","",INDEX(Setup!$C$25:$C$84,B478))</f>
        <v/>
      </c>
      <c r="J478" s="32" t="n"/>
      <c r="K478" s="37" t="n"/>
      <c r="L478" s="38" t="n"/>
      <c r="M478" s="33" t="n"/>
      <c r="N478" s="33" t="n"/>
      <c r="O478" s="32" t="n"/>
      <c r="P478" s="34">
        <f>IF(A478="","",IF(K478&lt;&gt;"",K478,D478))</f>
        <v/>
      </c>
      <c r="Q478" s="36">
        <f>IF(A478="",0,IF(C478="✗",0,IF(OR(C478="✓",AND(Setup!$D$7="Yes",P478&lt;=TODAY())),IF(L478&lt;&gt;"",L478,F478),0)))</f>
        <v/>
      </c>
      <c r="R478" s="32">
        <f>IF(A478="","",IF(M478&lt;&gt;"",M478,G478))</f>
        <v/>
      </c>
      <c r="S478" s="32">
        <f>IF(A478="","",IF(N478&lt;&gt;"",N478,H478))</f>
        <v/>
      </c>
      <c r="T478" s="32">
        <f>IF(A478="","",IF(C478="✗","Skipped",IF(Q478&gt;0,"Paid","Upcoming")))</f>
        <v/>
      </c>
      <c r="U478" s="36">
        <f>IF(A478="",0,IF(C478="✗",0,IF(L478&lt;&gt;"",L478,F478)))</f>
        <v/>
      </c>
    </row>
    <row r="479">
      <c r="A479" s="39">
        <f>IFERROR(SMALL(Calc!$B$2:$BB$61,474),"")</f>
        <v/>
      </c>
      <c r="B479" s="39">
        <f>IF(A479="","",ROUND(MOD(A479,1)*1000,0))</f>
        <v/>
      </c>
      <c r="C479" s="33" t="n"/>
      <c r="D479" s="40">
        <f>IF(A479="","",INT(A479))</f>
        <v/>
      </c>
      <c r="E479" s="41">
        <f>IF(B479="","",INDEX(Setup!$D$25:$D$84,B479))</f>
        <v/>
      </c>
      <c r="F479" s="42">
        <f>IF(B479="","",INDEX(Setup!$E$25:$E$84,B479))</f>
        <v/>
      </c>
      <c r="G479" s="39">
        <f>IF(B479="","",INDEX(Setup!$I$25:$I$84,B479)&amp;"")</f>
        <v/>
      </c>
      <c r="H479" s="39">
        <f>IF(B479="","",INDEX(Setup!$J$25:$J$84,B479)&amp;"")</f>
        <v/>
      </c>
      <c r="I479" s="39">
        <f>IF(B479="","",INDEX(Setup!$C$25:$C$84,B479))</f>
        <v/>
      </c>
      <c r="J479" s="39" t="n"/>
      <c r="K479" s="37" t="n"/>
      <c r="L479" s="38" t="n"/>
      <c r="M479" s="33" t="n"/>
      <c r="N479" s="33" t="n"/>
      <c r="O479" s="39" t="n"/>
      <c r="P479" s="40">
        <f>IF(A479="","",IF(K479&lt;&gt;"",K479,D479))</f>
        <v/>
      </c>
      <c r="Q479" s="42">
        <f>IF(A479="",0,IF(C479="✗",0,IF(OR(C479="✓",AND(Setup!$D$7="Yes",P479&lt;=TODAY())),IF(L479&lt;&gt;"",L479,F479),0)))</f>
        <v/>
      </c>
      <c r="R479" s="39">
        <f>IF(A479="","",IF(M479&lt;&gt;"",M479,G479))</f>
        <v/>
      </c>
      <c r="S479" s="39">
        <f>IF(A479="","",IF(N479&lt;&gt;"",N479,H479))</f>
        <v/>
      </c>
      <c r="T479" s="39">
        <f>IF(A479="","",IF(C479="✗","Skipped",IF(Q479&gt;0,"Paid","Upcoming")))</f>
        <v/>
      </c>
      <c r="U479" s="42">
        <f>IF(A479="",0,IF(C479="✗",0,IF(L479&lt;&gt;"",L479,F479)))</f>
        <v/>
      </c>
    </row>
    <row r="480">
      <c r="A480" s="32">
        <f>IFERROR(SMALL(Calc!$B$2:$BB$61,475),"")</f>
        <v/>
      </c>
      <c r="B480" s="32">
        <f>IF(A480="","",ROUND(MOD(A480,1)*1000,0))</f>
        <v/>
      </c>
      <c r="C480" s="33" t="n"/>
      <c r="D480" s="34">
        <f>IF(A480="","",INT(A480))</f>
        <v/>
      </c>
      <c r="E480" s="35">
        <f>IF(B480="","",INDEX(Setup!$D$25:$D$84,B480))</f>
        <v/>
      </c>
      <c r="F480" s="36">
        <f>IF(B480="","",INDEX(Setup!$E$25:$E$84,B480))</f>
        <v/>
      </c>
      <c r="G480" s="32">
        <f>IF(B480="","",INDEX(Setup!$I$25:$I$84,B480)&amp;"")</f>
        <v/>
      </c>
      <c r="H480" s="32">
        <f>IF(B480="","",INDEX(Setup!$J$25:$J$84,B480)&amp;"")</f>
        <v/>
      </c>
      <c r="I480" s="32">
        <f>IF(B480="","",INDEX(Setup!$C$25:$C$84,B480))</f>
        <v/>
      </c>
      <c r="J480" s="32" t="n"/>
      <c r="K480" s="37" t="n"/>
      <c r="L480" s="38" t="n"/>
      <c r="M480" s="33" t="n"/>
      <c r="N480" s="33" t="n"/>
      <c r="O480" s="32" t="n"/>
      <c r="P480" s="34">
        <f>IF(A480="","",IF(K480&lt;&gt;"",K480,D480))</f>
        <v/>
      </c>
      <c r="Q480" s="36">
        <f>IF(A480="",0,IF(C480="✗",0,IF(OR(C480="✓",AND(Setup!$D$7="Yes",P480&lt;=TODAY())),IF(L480&lt;&gt;"",L480,F480),0)))</f>
        <v/>
      </c>
      <c r="R480" s="32">
        <f>IF(A480="","",IF(M480&lt;&gt;"",M480,G480))</f>
        <v/>
      </c>
      <c r="S480" s="32">
        <f>IF(A480="","",IF(N480&lt;&gt;"",N480,H480))</f>
        <v/>
      </c>
      <c r="T480" s="32">
        <f>IF(A480="","",IF(C480="✗","Skipped",IF(Q480&gt;0,"Paid","Upcoming")))</f>
        <v/>
      </c>
      <c r="U480" s="36">
        <f>IF(A480="",0,IF(C480="✗",0,IF(L480&lt;&gt;"",L480,F480)))</f>
        <v/>
      </c>
    </row>
    <row r="481">
      <c r="A481" s="39">
        <f>IFERROR(SMALL(Calc!$B$2:$BB$61,476),"")</f>
        <v/>
      </c>
      <c r="B481" s="39">
        <f>IF(A481="","",ROUND(MOD(A481,1)*1000,0))</f>
        <v/>
      </c>
      <c r="C481" s="33" t="n"/>
      <c r="D481" s="40">
        <f>IF(A481="","",INT(A481))</f>
        <v/>
      </c>
      <c r="E481" s="41">
        <f>IF(B481="","",INDEX(Setup!$D$25:$D$84,B481))</f>
        <v/>
      </c>
      <c r="F481" s="42">
        <f>IF(B481="","",INDEX(Setup!$E$25:$E$84,B481))</f>
        <v/>
      </c>
      <c r="G481" s="39">
        <f>IF(B481="","",INDEX(Setup!$I$25:$I$84,B481)&amp;"")</f>
        <v/>
      </c>
      <c r="H481" s="39">
        <f>IF(B481="","",INDEX(Setup!$J$25:$J$84,B481)&amp;"")</f>
        <v/>
      </c>
      <c r="I481" s="39">
        <f>IF(B481="","",INDEX(Setup!$C$25:$C$84,B481))</f>
        <v/>
      </c>
      <c r="J481" s="39" t="n"/>
      <c r="K481" s="37" t="n"/>
      <c r="L481" s="38" t="n"/>
      <c r="M481" s="33" t="n"/>
      <c r="N481" s="33" t="n"/>
      <c r="O481" s="39" t="n"/>
      <c r="P481" s="40">
        <f>IF(A481="","",IF(K481&lt;&gt;"",K481,D481))</f>
        <v/>
      </c>
      <c r="Q481" s="42">
        <f>IF(A481="",0,IF(C481="✗",0,IF(OR(C481="✓",AND(Setup!$D$7="Yes",P481&lt;=TODAY())),IF(L481&lt;&gt;"",L481,F481),0)))</f>
        <v/>
      </c>
      <c r="R481" s="39">
        <f>IF(A481="","",IF(M481&lt;&gt;"",M481,G481))</f>
        <v/>
      </c>
      <c r="S481" s="39">
        <f>IF(A481="","",IF(N481&lt;&gt;"",N481,H481))</f>
        <v/>
      </c>
      <c r="T481" s="39">
        <f>IF(A481="","",IF(C481="✗","Skipped",IF(Q481&gt;0,"Paid","Upcoming")))</f>
        <v/>
      </c>
      <c r="U481" s="42">
        <f>IF(A481="",0,IF(C481="✗",0,IF(L481&lt;&gt;"",L481,F481)))</f>
        <v/>
      </c>
    </row>
    <row r="482">
      <c r="A482" s="32">
        <f>IFERROR(SMALL(Calc!$B$2:$BB$61,477),"")</f>
        <v/>
      </c>
      <c r="B482" s="32">
        <f>IF(A482="","",ROUND(MOD(A482,1)*1000,0))</f>
        <v/>
      </c>
      <c r="C482" s="33" t="n"/>
      <c r="D482" s="34">
        <f>IF(A482="","",INT(A482))</f>
        <v/>
      </c>
      <c r="E482" s="35">
        <f>IF(B482="","",INDEX(Setup!$D$25:$D$84,B482))</f>
        <v/>
      </c>
      <c r="F482" s="36">
        <f>IF(B482="","",INDEX(Setup!$E$25:$E$84,B482))</f>
        <v/>
      </c>
      <c r="G482" s="32">
        <f>IF(B482="","",INDEX(Setup!$I$25:$I$84,B482)&amp;"")</f>
        <v/>
      </c>
      <c r="H482" s="32">
        <f>IF(B482="","",INDEX(Setup!$J$25:$J$84,B482)&amp;"")</f>
        <v/>
      </c>
      <c r="I482" s="32">
        <f>IF(B482="","",INDEX(Setup!$C$25:$C$84,B482))</f>
        <v/>
      </c>
      <c r="J482" s="32" t="n"/>
      <c r="K482" s="37" t="n"/>
      <c r="L482" s="38" t="n"/>
      <c r="M482" s="33" t="n"/>
      <c r="N482" s="33" t="n"/>
      <c r="O482" s="32" t="n"/>
      <c r="P482" s="34">
        <f>IF(A482="","",IF(K482&lt;&gt;"",K482,D482))</f>
        <v/>
      </c>
      <c r="Q482" s="36">
        <f>IF(A482="",0,IF(C482="✗",0,IF(OR(C482="✓",AND(Setup!$D$7="Yes",P482&lt;=TODAY())),IF(L482&lt;&gt;"",L482,F482),0)))</f>
        <v/>
      </c>
      <c r="R482" s="32">
        <f>IF(A482="","",IF(M482&lt;&gt;"",M482,G482))</f>
        <v/>
      </c>
      <c r="S482" s="32">
        <f>IF(A482="","",IF(N482&lt;&gt;"",N482,H482))</f>
        <v/>
      </c>
      <c r="T482" s="32">
        <f>IF(A482="","",IF(C482="✗","Skipped",IF(Q482&gt;0,"Paid","Upcoming")))</f>
        <v/>
      </c>
      <c r="U482" s="36">
        <f>IF(A482="",0,IF(C482="✗",0,IF(L482&lt;&gt;"",L482,F482)))</f>
        <v/>
      </c>
    </row>
    <row r="483">
      <c r="A483" s="39">
        <f>IFERROR(SMALL(Calc!$B$2:$BB$61,478),"")</f>
        <v/>
      </c>
      <c r="B483" s="39">
        <f>IF(A483="","",ROUND(MOD(A483,1)*1000,0))</f>
        <v/>
      </c>
      <c r="C483" s="33" t="n"/>
      <c r="D483" s="40">
        <f>IF(A483="","",INT(A483))</f>
        <v/>
      </c>
      <c r="E483" s="41">
        <f>IF(B483="","",INDEX(Setup!$D$25:$D$84,B483))</f>
        <v/>
      </c>
      <c r="F483" s="42">
        <f>IF(B483="","",INDEX(Setup!$E$25:$E$84,B483))</f>
        <v/>
      </c>
      <c r="G483" s="39">
        <f>IF(B483="","",INDEX(Setup!$I$25:$I$84,B483)&amp;"")</f>
        <v/>
      </c>
      <c r="H483" s="39">
        <f>IF(B483="","",INDEX(Setup!$J$25:$J$84,B483)&amp;"")</f>
        <v/>
      </c>
      <c r="I483" s="39">
        <f>IF(B483="","",INDEX(Setup!$C$25:$C$84,B483))</f>
        <v/>
      </c>
      <c r="J483" s="39" t="n"/>
      <c r="K483" s="37" t="n"/>
      <c r="L483" s="38" t="n"/>
      <c r="M483" s="33" t="n"/>
      <c r="N483" s="33" t="n"/>
      <c r="O483" s="39" t="n"/>
      <c r="P483" s="40">
        <f>IF(A483="","",IF(K483&lt;&gt;"",K483,D483))</f>
        <v/>
      </c>
      <c r="Q483" s="42">
        <f>IF(A483="",0,IF(C483="✗",0,IF(OR(C483="✓",AND(Setup!$D$7="Yes",P483&lt;=TODAY())),IF(L483&lt;&gt;"",L483,F483),0)))</f>
        <v/>
      </c>
      <c r="R483" s="39">
        <f>IF(A483="","",IF(M483&lt;&gt;"",M483,G483))</f>
        <v/>
      </c>
      <c r="S483" s="39">
        <f>IF(A483="","",IF(N483&lt;&gt;"",N483,H483))</f>
        <v/>
      </c>
      <c r="T483" s="39">
        <f>IF(A483="","",IF(C483="✗","Skipped",IF(Q483&gt;0,"Paid","Upcoming")))</f>
        <v/>
      </c>
      <c r="U483" s="42">
        <f>IF(A483="",0,IF(C483="✗",0,IF(L483&lt;&gt;"",L483,F483)))</f>
        <v/>
      </c>
    </row>
    <row r="484">
      <c r="A484" s="32">
        <f>IFERROR(SMALL(Calc!$B$2:$BB$61,479),"")</f>
        <v/>
      </c>
      <c r="B484" s="32">
        <f>IF(A484="","",ROUND(MOD(A484,1)*1000,0))</f>
        <v/>
      </c>
      <c r="C484" s="33" t="n"/>
      <c r="D484" s="34">
        <f>IF(A484="","",INT(A484))</f>
        <v/>
      </c>
      <c r="E484" s="35">
        <f>IF(B484="","",INDEX(Setup!$D$25:$D$84,B484))</f>
        <v/>
      </c>
      <c r="F484" s="36">
        <f>IF(B484="","",INDEX(Setup!$E$25:$E$84,B484))</f>
        <v/>
      </c>
      <c r="G484" s="32">
        <f>IF(B484="","",INDEX(Setup!$I$25:$I$84,B484)&amp;"")</f>
        <v/>
      </c>
      <c r="H484" s="32">
        <f>IF(B484="","",INDEX(Setup!$J$25:$J$84,B484)&amp;"")</f>
        <v/>
      </c>
      <c r="I484" s="32">
        <f>IF(B484="","",INDEX(Setup!$C$25:$C$84,B484))</f>
        <v/>
      </c>
      <c r="J484" s="32" t="n"/>
      <c r="K484" s="37" t="n"/>
      <c r="L484" s="38" t="n"/>
      <c r="M484" s="33" t="n"/>
      <c r="N484" s="33" t="n"/>
      <c r="O484" s="32" t="n"/>
      <c r="P484" s="34">
        <f>IF(A484="","",IF(K484&lt;&gt;"",K484,D484))</f>
        <v/>
      </c>
      <c r="Q484" s="36">
        <f>IF(A484="",0,IF(C484="✗",0,IF(OR(C484="✓",AND(Setup!$D$7="Yes",P484&lt;=TODAY())),IF(L484&lt;&gt;"",L484,F484),0)))</f>
        <v/>
      </c>
      <c r="R484" s="32">
        <f>IF(A484="","",IF(M484&lt;&gt;"",M484,G484))</f>
        <v/>
      </c>
      <c r="S484" s="32">
        <f>IF(A484="","",IF(N484&lt;&gt;"",N484,H484))</f>
        <v/>
      </c>
      <c r="T484" s="32">
        <f>IF(A484="","",IF(C484="✗","Skipped",IF(Q484&gt;0,"Paid","Upcoming")))</f>
        <v/>
      </c>
      <c r="U484" s="36">
        <f>IF(A484="",0,IF(C484="✗",0,IF(L484&lt;&gt;"",L484,F484)))</f>
        <v/>
      </c>
    </row>
    <row r="485">
      <c r="A485" s="39">
        <f>IFERROR(SMALL(Calc!$B$2:$BB$61,480),"")</f>
        <v/>
      </c>
      <c r="B485" s="39">
        <f>IF(A485="","",ROUND(MOD(A485,1)*1000,0))</f>
        <v/>
      </c>
      <c r="C485" s="33" t="n"/>
      <c r="D485" s="40">
        <f>IF(A485="","",INT(A485))</f>
        <v/>
      </c>
      <c r="E485" s="41">
        <f>IF(B485="","",INDEX(Setup!$D$25:$D$84,B485))</f>
        <v/>
      </c>
      <c r="F485" s="42">
        <f>IF(B485="","",INDEX(Setup!$E$25:$E$84,B485))</f>
        <v/>
      </c>
      <c r="G485" s="39">
        <f>IF(B485="","",INDEX(Setup!$I$25:$I$84,B485)&amp;"")</f>
        <v/>
      </c>
      <c r="H485" s="39">
        <f>IF(B485="","",INDEX(Setup!$J$25:$J$84,B485)&amp;"")</f>
        <v/>
      </c>
      <c r="I485" s="39">
        <f>IF(B485="","",INDEX(Setup!$C$25:$C$84,B485))</f>
        <v/>
      </c>
      <c r="J485" s="39" t="n"/>
      <c r="K485" s="37" t="n"/>
      <c r="L485" s="38" t="n"/>
      <c r="M485" s="33" t="n"/>
      <c r="N485" s="33" t="n"/>
      <c r="O485" s="39" t="n"/>
      <c r="P485" s="40">
        <f>IF(A485="","",IF(K485&lt;&gt;"",K485,D485))</f>
        <v/>
      </c>
      <c r="Q485" s="42">
        <f>IF(A485="",0,IF(C485="✗",0,IF(OR(C485="✓",AND(Setup!$D$7="Yes",P485&lt;=TODAY())),IF(L485&lt;&gt;"",L485,F485),0)))</f>
        <v/>
      </c>
      <c r="R485" s="39">
        <f>IF(A485="","",IF(M485&lt;&gt;"",M485,G485))</f>
        <v/>
      </c>
      <c r="S485" s="39">
        <f>IF(A485="","",IF(N485&lt;&gt;"",N485,H485))</f>
        <v/>
      </c>
      <c r="T485" s="39">
        <f>IF(A485="","",IF(C485="✗","Skipped",IF(Q485&gt;0,"Paid","Upcoming")))</f>
        <v/>
      </c>
      <c r="U485" s="42">
        <f>IF(A485="",0,IF(C485="✗",0,IF(L485&lt;&gt;"",L485,F485)))</f>
        <v/>
      </c>
    </row>
    <row r="486">
      <c r="A486" s="32">
        <f>IFERROR(SMALL(Calc!$B$2:$BB$61,481),"")</f>
        <v/>
      </c>
      <c r="B486" s="32">
        <f>IF(A486="","",ROUND(MOD(A486,1)*1000,0))</f>
        <v/>
      </c>
      <c r="C486" s="33" t="n"/>
      <c r="D486" s="34">
        <f>IF(A486="","",INT(A486))</f>
        <v/>
      </c>
      <c r="E486" s="35">
        <f>IF(B486="","",INDEX(Setup!$D$25:$D$84,B486))</f>
        <v/>
      </c>
      <c r="F486" s="36">
        <f>IF(B486="","",INDEX(Setup!$E$25:$E$84,B486))</f>
        <v/>
      </c>
      <c r="G486" s="32">
        <f>IF(B486="","",INDEX(Setup!$I$25:$I$84,B486)&amp;"")</f>
        <v/>
      </c>
      <c r="H486" s="32">
        <f>IF(B486="","",INDEX(Setup!$J$25:$J$84,B486)&amp;"")</f>
        <v/>
      </c>
      <c r="I486" s="32">
        <f>IF(B486="","",INDEX(Setup!$C$25:$C$84,B486))</f>
        <v/>
      </c>
      <c r="J486" s="32" t="n"/>
      <c r="K486" s="37" t="n"/>
      <c r="L486" s="38" t="n"/>
      <c r="M486" s="33" t="n"/>
      <c r="N486" s="33" t="n"/>
      <c r="O486" s="32" t="n"/>
      <c r="P486" s="34">
        <f>IF(A486="","",IF(K486&lt;&gt;"",K486,D486))</f>
        <v/>
      </c>
      <c r="Q486" s="36">
        <f>IF(A486="",0,IF(C486="✗",0,IF(OR(C486="✓",AND(Setup!$D$7="Yes",P486&lt;=TODAY())),IF(L486&lt;&gt;"",L486,F486),0)))</f>
        <v/>
      </c>
      <c r="R486" s="32">
        <f>IF(A486="","",IF(M486&lt;&gt;"",M486,G486))</f>
        <v/>
      </c>
      <c r="S486" s="32">
        <f>IF(A486="","",IF(N486&lt;&gt;"",N486,H486))</f>
        <v/>
      </c>
      <c r="T486" s="32">
        <f>IF(A486="","",IF(C486="✗","Skipped",IF(Q486&gt;0,"Paid","Upcoming")))</f>
        <v/>
      </c>
      <c r="U486" s="36">
        <f>IF(A486="",0,IF(C486="✗",0,IF(L486&lt;&gt;"",L486,F486)))</f>
        <v/>
      </c>
    </row>
    <row r="487">
      <c r="A487" s="39">
        <f>IFERROR(SMALL(Calc!$B$2:$BB$61,482),"")</f>
        <v/>
      </c>
      <c r="B487" s="39">
        <f>IF(A487="","",ROUND(MOD(A487,1)*1000,0))</f>
        <v/>
      </c>
      <c r="C487" s="33" t="n"/>
      <c r="D487" s="40">
        <f>IF(A487="","",INT(A487))</f>
        <v/>
      </c>
      <c r="E487" s="41">
        <f>IF(B487="","",INDEX(Setup!$D$25:$D$84,B487))</f>
        <v/>
      </c>
      <c r="F487" s="42">
        <f>IF(B487="","",INDEX(Setup!$E$25:$E$84,B487))</f>
        <v/>
      </c>
      <c r="G487" s="39">
        <f>IF(B487="","",INDEX(Setup!$I$25:$I$84,B487)&amp;"")</f>
        <v/>
      </c>
      <c r="H487" s="39">
        <f>IF(B487="","",INDEX(Setup!$J$25:$J$84,B487)&amp;"")</f>
        <v/>
      </c>
      <c r="I487" s="39">
        <f>IF(B487="","",INDEX(Setup!$C$25:$C$84,B487))</f>
        <v/>
      </c>
      <c r="J487" s="39" t="n"/>
      <c r="K487" s="37" t="n"/>
      <c r="L487" s="38" t="n"/>
      <c r="M487" s="33" t="n"/>
      <c r="N487" s="33" t="n"/>
      <c r="O487" s="39" t="n"/>
      <c r="P487" s="40">
        <f>IF(A487="","",IF(K487&lt;&gt;"",K487,D487))</f>
        <v/>
      </c>
      <c r="Q487" s="42">
        <f>IF(A487="",0,IF(C487="✗",0,IF(OR(C487="✓",AND(Setup!$D$7="Yes",P487&lt;=TODAY())),IF(L487&lt;&gt;"",L487,F487),0)))</f>
        <v/>
      </c>
      <c r="R487" s="39">
        <f>IF(A487="","",IF(M487&lt;&gt;"",M487,G487))</f>
        <v/>
      </c>
      <c r="S487" s="39">
        <f>IF(A487="","",IF(N487&lt;&gt;"",N487,H487))</f>
        <v/>
      </c>
      <c r="T487" s="39">
        <f>IF(A487="","",IF(C487="✗","Skipped",IF(Q487&gt;0,"Paid","Upcoming")))</f>
        <v/>
      </c>
      <c r="U487" s="42">
        <f>IF(A487="",0,IF(C487="✗",0,IF(L487&lt;&gt;"",L487,F487)))</f>
        <v/>
      </c>
    </row>
    <row r="488">
      <c r="A488" s="32">
        <f>IFERROR(SMALL(Calc!$B$2:$BB$61,483),"")</f>
        <v/>
      </c>
      <c r="B488" s="32">
        <f>IF(A488="","",ROUND(MOD(A488,1)*1000,0))</f>
        <v/>
      </c>
      <c r="C488" s="33" t="n"/>
      <c r="D488" s="34">
        <f>IF(A488="","",INT(A488))</f>
        <v/>
      </c>
      <c r="E488" s="35">
        <f>IF(B488="","",INDEX(Setup!$D$25:$D$84,B488))</f>
        <v/>
      </c>
      <c r="F488" s="36">
        <f>IF(B488="","",INDEX(Setup!$E$25:$E$84,B488))</f>
        <v/>
      </c>
      <c r="G488" s="32">
        <f>IF(B488="","",INDEX(Setup!$I$25:$I$84,B488)&amp;"")</f>
        <v/>
      </c>
      <c r="H488" s="32">
        <f>IF(B488="","",INDEX(Setup!$J$25:$J$84,B488)&amp;"")</f>
        <v/>
      </c>
      <c r="I488" s="32">
        <f>IF(B488="","",INDEX(Setup!$C$25:$C$84,B488))</f>
        <v/>
      </c>
      <c r="J488" s="32" t="n"/>
      <c r="K488" s="37" t="n"/>
      <c r="L488" s="38" t="n"/>
      <c r="M488" s="33" t="n"/>
      <c r="N488" s="33" t="n"/>
      <c r="O488" s="32" t="n"/>
      <c r="P488" s="34">
        <f>IF(A488="","",IF(K488&lt;&gt;"",K488,D488))</f>
        <v/>
      </c>
      <c r="Q488" s="36">
        <f>IF(A488="",0,IF(C488="✗",0,IF(OR(C488="✓",AND(Setup!$D$7="Yes",P488&lt;=TODAY())),IF(L488&lt;&gt;"",L488,F488),0)))</f>
        <v/>
      </c>
      <c r="R488" s="32">
        <f>IF(A488="","",IF(M488&lt;&gt;"",M488,G488))</f>
        <v/>
      </c>
      <c r="S488" s="32">
        <f>IF(A488="","",IF(N488&lt;&gt;"",N488,H488))</f>
        <v/>
      </c>
      <c r="T488" s="32">
        <f>IF(A488="","",IF(C488="✗","Skipped",IF(Q488&gt;0,"Paid","Upcoming")))</f>
        <v/>
      </c>
      <c r="U488" s="36">
        <f>IF(A488="",0,IF(C488="✗",0,IF(L488&lt;&gt;"",L488,F488)))</f>
        <v/>
      </c>
    </row>
    <row r="489">
      <c r="A489" s="39">
        <f>IFERROR(SMALL(Calc!$B$2:$BB$61,484),"")</f>
        <v/>
      </c>
      <c r="B489" s="39">
        <f>IF(A489="","",ROUND(MOD(A489,1)*1000,0))</f>
        <v/>
      </c>
      <c r="C489" s="33" t="n"/>
      <c r="D489" s="40">
        <f>IF(A489="","",INT(A489))</f>
        <v/>
      </c>
      <c r="E489" s="41">
        <f>IF(B489="","",INDEX(Setup!$D$25:$D$84,B489))</f>
        <v/>
      </c>
      <c r="F489" s="42">
        <f>IF(B489="","",INDEX(Setup!$E$25:$E$84,B489))</f>
        <v/>
      </c>
      <c r="G489" s="39">
        <f>IF(B489="","",INDEX(Setup!$I$25:$I$84,B489)&amp;"")</f>
        <v/>
      </c>
      <c r="H489" s="39">
        <f>IF(B489="","",INDEX(Setup!$J$25:$J$84,B489)&amp;"")</f>
        <v/>
      </c>
      <c r="I489" s="39">
        <f>IF(B489="","",INDEX(Setup!$C$25:$C$84,B489))</f>
        <v/>
      </c>
      <c r="J489" s="39" t="n"/>
      <c r="K489" s="37" t="n"/>
      <c r="L489" s="38" t="n"/>
      <c r="M489" s="33" t="n"/>
      <c r="N489" s="33" t="n"/>
      <c r="O489" s="39" t="n"/>
      <c r="P489" s="40">
        <f>IF(A489="","",IF(K489&lt;&gt;"",K489,D489))</f>
        <v/>
      </c>
      <c r="Q489" s="42">
        <f>IF(A489="",0,IF(C489="✗",0,IF(OR(C489="✓",AND(Setup!$D$7="Yes",P489&lt;=TODAY())),IF(L489&lt;&gt;"",L489,F489),0)))</f>
        <v/>
      </c>
      <c r="R489" s="39">
        <f>IF(A489="","",IF(M489&lt;&gt;"",M489,G489))</f>
        <v/>
      </c>
      <c r="S489" s="39">
        <f>IF(A489="","",IF(N489&lt;&gt;"",N489,H489))</f>
        <v/>
      </c>
      <c r="T489" s="39">
        <f>IF(A489="","",IF(C489="✗","Skipped",IF(Q489&gt;0,"Paid","Upcoming")))</f>
        <v/>
      </c>
      <c r="U489" s="42">
        <f>IF(A489="",0,IF(C489="✗",0,IF(L489&lt;&gt;"",L489,F489)))</f>
        <v/>
      </c>
    </row>
    <row r="490">
      <c r="A490" s="32">
        <f>IFERROR(SMALL(Calc!$B$2:$BB$61,485),"")</f>
        <v/>
      </c>
      <c r="B490" s="32">
        <f>IF(A490="","",ROUND(MOD(A490,1)*1000,0))</f>
        <v/>
      </c>
      <c r="C490" s="33" t="n"/>
      <c r="D490" s="34">
        <f>IF(A490="","",INT(A490))</f>
        <v/>
      </c>
      <c r="E490" s="35">
        <f>IF(B490="","",INDEX(Setup!$D$25:$D$84,B490))</f>
        <v/>
      </c>
      <c r="F490" s="36">
        <f>IF(B490="","",INDEX(Setup!$E$25:$E$84,B490))</f>
        <v/>
      </c>
      <c r="G490" s="32">
        <f>IF(B490="","",INDEX(Setup!$I$25:$I$84,B490)&amp;"")</f>
        <v/>
      </c>
      <c r="H490" s="32">
        <f>IF(B490="","",INDEX(Setup!$J$25:$J$84,B490)&amp;"")</f>
        <v/>
      </c>
      <c r="I490" s="32">
        <f>IF(B490="","",INDEX(Setup!$C$25:$C$84,B490))</f>
        <v/>
      </c>
      <c r="J490" s="32" t="n"/>
      <c r="K490" s="37" t="n"/>
      <c r="L490" s="38" t="n"/>
      <c r="M490" s="33" t="n"/>
      <c r="N490" s="33" t="n"/>
      <c r="O490" s="32" t="n"/>
      <c r="P490" s="34">
        <f>IF(A490="","",IF(K490&lt;&gt;"",K490,D490))</f>
        <v/>
      </c>
      <c r="Q490" s="36">
        <f>IF(A490="",0,IF(C490="✗",0,IF(OR(C490="✓",AND(Setup!$D$7="Yes",P490&lt;=TODAY())),IF(L490&lt;&gt;"",L490,F490),0)))</f>
        <v/>
      </c>
      <c r="R490" s="32">
        <f>IF(A490="","",IF(M490&lt;&gt;"",M490,G490))</f>
        <v/>
      </c>
      <c r="S490" s="32">
        <f>IF(A490="","",IF(N490&lt;&gt;"",N490,H490))</f>
        <v/>
      </c>
      <c r="T490" s="32">
        <f>IF(A490="","",IF(C490="✗","Skipped",IF(Q490&gt;0,"Paid","Upcoming")))</f>
        <v/>
      </c>
      <c r="U490" s="36">
        <f>IF(A490="",0,IF(C490="✗",0,IF(L490&lt;&gt;"",L490,F490)))</f>
        <v/>
      </c>
    </row>
    <row r="491">
      <c r="A491" s="39">
        <f>IFERROR(SMALL(Calc!$B$2:$BB$61,486),"")</f>
        <v/>
      </c>
      <c r="B491" s="39">
        <f>IF(A491="","",ROUND(MOD(A491,1)*1000,0))</f>
        <v/>
      </c>
      <c r="C491" s="33" t="n"/>
      <c r="D491" s="40">
        <f>IF(A491="","",INT(A491))</f>
        <v/>
      </c>
      <c r="E491" s="41">
        <f>IF(B491="","",INDEX(Setup!$D$25:$D$84,B491))</f>
        <v/>
      </c>
      <c r="F491" s="42">
        <f>IF(B491="","",INDEX(Setup!$E$25:$E$84,B491))</f>
        <v/>
      </c>
      <c r="G491" s="39">
        <f>IF(B491="","",INDEX(Setup!$I$25:$I$84,B491)&amp;"")</f>
        <v/>
      </c>
      <c r="H491" s="39">
        <f>IF(B491="","",INDEX(Setup!$J$25:$J$84,B491)&amp;"")</f>
        <v/>
      </c>
      <c r="I491" s="39">
        <f>IF(B491="","",INDEX(Setup!$C$25:$C$84,B491))</f>
        <v/>
      </c>
      <c r="J491" s="39" t="n"/>
      <c r="K491" s="37" t="n"/>
      <c r="L491" s="38" t="n"/>
      <c r="M491" s="33" t="n"/>
      <c r="N491" s="33" t="n"/>
      <c r="O491" s="39" t="n"/>
      <c r="P491" s="40">
        <f>IF(A491="","",IF(K491&lt;&gt;"",K491,D491))</f>
        <v/>
      </c>
      <c r="Q491" s="42">
        <f>IF(A491="",0,IF(C491="✗",0,IF(OR(C491="✓",AND(Setup!$D$7="Yes",P491&lt;=TODAY())),IF(L491&lt;&gt;"",L491,F491),0)))</f>
        <v/>
      </c>
      <c r="R491" s="39">
        <f>IF(A491="","",IF(M491&lt;&gt;"",M491,G491))</f>
        <v/>
      </c>
      <c r="S491" s="39">
        <f>IF(A491="","",IF(N491&lt;&gt;"",N491,H491))</f>
        <v/>
      </c>
      <c r="T491" s="39">
        <f>IF(A491="","",IF(C491="✗","Skipped",IF(Q491&gt;0,"Paid","Upcoming")))</f>
        <v/>
      </c>
      <c r="U491" s="42">
        <f>IF(A491="",0,IF(C491="✗",0,IF(L491&lt;&gt;"",L491,F491)))</f>
        <v/>
      </c>
    </row>
    <row r="492">
      <c r="A492" s="32">
        <f>IFERROR(SMALL(Calc!$B$2:$BB$61,487),"")</f>
        <v/>
      </c>
      <c r="B492" s="32">
        <f>IF(A492="","",ROUND(MOD(A492,1)*1000,0))</f>
        <v/>
      </c>
      <c r="C492" s="33" t="n"/>
      <c r="D492" s="34">
        <f>IF(A492="","",INT(A492))</f>
        <v/>
      </c>
      <c r="E492" s="35">
        <f>IF(B492="","",INDEX(Setup!$D$25:$D$84,B492))</f>
        <v/>
      </c>
      <c r="F492" s="36">
        <f>IF(B492="","",INDEX(Setup!$E$25:$E$84,B492))</f>
        <v/>
      </c>
      <c r="G492" s="32">
        <f>IF(B492="","",INDEX(Setup!$I$25:$I$84,B492)&amp;"")</f>
        <v/>
      </c>
      <c r="H492" s="32">
        <f>IF(B492="","",INDEX(Setup!$J$25:$J$84,B492)&amp;"")</f>
        <v/>
      </c>
      <c r="I492" s="32">
        <f>IF(B492="","",INDEX(Setup!$C$25:$C$84,B492))</f>
        <v/>
      </c>
      <c r="J492" s="32" t="n"/>
      <c r="K492" s="37" t="n"/>
      <c r="L492" s="38" t="n"/>
      <c r="M492" s="33" t="n"/>
      <c r="N492" s="33" t="n"/>
      <c r="O492" s="32" t="n"/>
      <c r="P492" s="34">
        <f>IF(A492="","",IF(K492&lt;&gt;"",K492,D492))</f>
        <v/>
      </c>
      <c r="Q492" s="36">
        <f>IF(A492="",0,IF(C492="✗",0,IF(OR(C492="✓",AND(Setup!$D$7="Yes",P492&lt;=TODAY())),IF(L492&lt;&gt;"",L492,F492),0)))</f>
        <v/>
      </c>
      <c r="R492" s="32">
        <f>IF(A492="","",IF(M492&lt;&gt;"",M492,G492))</f>
        <v/>
      </c>
      <c r="S492" s="32">
        <f>IF(A492="","",IF(N492&lt;&gt;"",N492,H492))</f>
        <v/>
      </c>
      <c r="T492" s="32">
        <f>IF(A492="","",IF(C492="✗","Skipped",IF(Q492&gt;0,"Paid","Upcoming")))</f>
        <v/>
      </c>
      <c r="U492" s="36">
        <f>IF(A492="",0,IF(C492="✗",0,IF(L492&lt;&gt;"",L492,F492)))</f>
        <v/>
      </c>
    </row>
    <row r="493">
      <c r="A493" s="39">
        <f>IFERROR(SMALL(Calc!$B$2:$BB$61,488),"")</f>
        <v/>
      </c>
      <c r="B493" s="39">
        <f>IF(A493="","",ROUND(MOD(A493,1)*1000,0))</f>
        <v/>
      </c>
      <c r="C493" s="33" t="n"/>
      <c r="D493" s="40">
        <f>IF(A493="","",INT(A493))</f>
        <v/>
      </c>
      <c r="E493" s="41">
        <f>IF(B493="","",INDEX(Setup!$D$25:$D$84,B493))</f>
        <v/>
      </c>
      <c r="F493" s="42">
        <f>IF(B493="","",INDEX(Setup!$E$25:$E$84,B493))</f>
        <v/>
      </c>
      <c r="G493" s="39">
        <f>IF(B493="","",INDEX(Setup!$I$25:$I$84,B493)&amp;"")</f>
        <v/>
      </c>
      <c r="H493" s="39">
        <f>IF(B493="","",INDEX(Setup!$J$25:$J$84,B493)&amp;"")</f>
        <v/>
      </c>
      <c r="I493" s="39">
        <f>IF(B493="","",INDEX(Setup!$C$25:$C$84,B493))</f>
        <v/>
      </c>
      <c r="J493" s="39" t="n"/>
      <c r="K493" s="37" t="n"/>
      <c r="L493" s="38" t="n"/>
      <c r="M493" s="33" t="n"/>
      <c r="N493" s="33" t="n"/>
      <c r="O493" s="39" t="n"/>
      <c r="P493" s="40">
        <f>IF(A493="","",IF(K493&lt;&gt;"",K493,D493))</f>
        <v/>
      </c>
      <c r="Q493" s="42">
        <f>IF(A493="",0,IF(C493="✗",0,IF(OR(C493="✓",AND(Setup!$D$7="Yes",P493&lt;=TODAY())),IF(L493&lt;&gt;"",L493,F493),0)))</f>
        <v/>
      </c>
      <c r="R493" s="39">
        <f>IF(A493="","",IF(M493&lt;&gt;"",M493,G493))</f>
        <v/>
      </c>
      <c r="S493" s="39">
        <f>IF(A493="","",IF(N493&lt;&gt;"",N493,H493))</f>
        <v/>
      </c>
      <c r="T493" s="39">
        <f>IF(A493="","",IF(C493="✗","Skipped",IF(Q493&gt;0,"Paid","Upcoming")))</f>
        <v/>
      </c>
      <c r="U493" s="42">
        <f>IF(A493="",0,IF(C493="✗",0,IF(L493&lt;&gt;"",L493,F493)))</f>
        <v/>
      </c>
    </row>
    <row r="494">
      <c r="A494" s="32">
        <f>IFERROR(SMALL(Calc!$B$2:$BB$61,489),"")</f>
        <v/>
      </c>
      <c r="B494" s="32">
        <f>IF(A494="","",ROUND(MOD(A494,1)*1000,0))</f>
        <v/>
      </c>
      <c r="C494" s="33" t="n"/>
      <c r="D494" s="34">
        <f>IF(A494="","",INT(A494))</f>
        <v/>
      </c>
      <c r="E494" s="35">
        <f>IF(B494="","",INDEX(Setup!$D$25:$D$84,B494))</f>
        <v/>
      </c>
      <c r="F494" s="36">
        <f>IF(B494="","",INDEX(Setup!$E$25:$E$84,B494))</f>
        <v/>
      </c>
      <c r="G494" s="32">
        <f>IF(B494="","",INDEX(Setup!$I$25:$I$84,B494)&amp;"")</f>
        <v/>
      </c>
      <c r="H494" s="32">
        <f>IF(B494="","",INDEX(Setup!$J$25:$J$84,B494)&amp;"")</f>
        <v/>
      </c>
      <c r="I494" s="32">
        <f>IF(B494="","",INDEX(Setup!$C$25:$C$84,B494))</f>
        <v/>
      </c>
      <c r="J494" s="32" t="n"/>
      <c r="K494" s="37" t="n"/>
      <c r="L494" s="38" t="n"/>
      <c r="M494" s="33" t="n"/>
      <c r="N494" s="33" t="n"/>
      <c r="O494" s="32" t="n"/>
      <c r="P494" s="34">
        <f>IF(A494="","",IF(K494&lt;&gt;"",K494,D494))</f>
        <v/>
      </c>
      <c r="Q494" s="36">
        <f>IF(A494="",0,IF(C494="✗",0,IF(OR(C494="✓",AND(Setup!$D$7="Yes",P494&lt;=TODAY())),IF(L494&lt;&gt;"",L494,F494),0)))</f>
        <v/>
      </c>
      <c r="R494" s="32">
        <f>IF(A494="","",IF(M494&lt;&gt;"",M494,G494))</f>
        <v/>
      </c>
      <c r="S494" s="32">
        <f>IF(A494="","",IF(N494&lt;&gt;"",N494,H494))</f>
        <v/>
      </c>
      <c r="T494" s="32">
        <f>IF(A494="","",IF(C494="✗","Skipped",IF(Q494&gt;0,"Paid","Upcoming")))</f>
        <v/>
      </c>
      <c r="U494" s="36">
        <f>IF(A494="",0,IF(C494="✗",0,IF(L494&lt;&gt;"",L494,F494)))</f>
        <v/>
      </c>
    </row>
    <row r="495">
      <c r="A495" s="39">
        <f>IFERROR(SMALL(Calc!$B$2:$BB$61,490),"")</f>
        <v/>
      </c>
      <c r="B495" s="39">
        <f>IF(A495="","",ROUND(MOD(A495,1)*1000,0))</f>
        <v/>
      </c>
      <c r="C495" s="33" t="n"/>
      <c r="D495" s="40">
        <f>IF(A495="","",INT(A495))</f>
        <v/>
      </c>
      <c r="E495" s="41">
        <f>IF(B495="","",INDEX(Setup!$D$25:$D$84,B495))</f>
        <v/>
      </c>
      <c r="F495" s="42">
        <f>IF(B495="","",INDEX(Setup!$E$25:$E$84,B495))</f>
        <v/>
      </c>
      <c r="G495" s="39">
        <f>IF(B495="","",INDEX(Setup!$I$25:$I$84,B495)&amp;"")</f>
        <v/>
      </c>
      <c r="H495" s="39">
        <f>IF(B495="","",INDEX(Setup!$J$25:$J$84,B495)&amp;"")</f>
        <v/>
      </c>
      <c r="I495" s="39">
        <f>IF(B495="","",INDEX(Setup!$C$25:$C$84,B495))</f>
        <v/>
      </c>
      <c r="J495" s="39" t="n"/>
      <c r="K495" s="37" t="n"/>
      <c r="L495" s="38" t="n"/>
      <c r="M495" s="33" t="n"/>
      <c r="N495" s="33" t="n"/>
      <c r="O495" s="39" t="n"/>
      <c r="P495" s="40">
        <f>IF(A495="","",IF(K495&lt;&gt;"",K495,D495))</f>
        <v/>
      </c>
      <c r="Q495" s="42">
        <f>IF(A495="",0,IF(C495="✗",0,IF(OR(C495="✓",AND(Setup!$D$7="Yes",P495&lt;=TODAY())),IF(L495&lt;&gt;"",L495,F495),0)))</f>
        <v/>
      </c>
      <c r="R495" s="39">
        <f>IF(A495="","",IF(M495&lt;&gt;"",M495,G495))</f>
        <v/>
      </c>
      <c r="S495" s="39">
        <f>IF(A495="","",IF(N495&lt;&gt;"",N495,H495))</f>
        <v/>
      </c>
      <c r="T495" s="39">
        <f>IF(A495="","",IF(C495="✗","Skipped",IF(Q495&gt;0,"Paid","Upcoming")))</f>
        <v/>
      </c>
      <c r="U495" s="42">
        <f>IF(A495="",0,IF(C495="✗",0,IF(L495&lt;&gt;"",L495,F495)))</f>
        <v/>
      </c>
    </row>
    <row r="496">
      <c r="A496" s="32">
        <f>IFERROR(SMALL(Calc!$B$2:$BB$61,491),"")</f>
        <v/>
      </c>
      <c r="B496" s="32">
        <f>IF(A496="","",ROUND(MOD(A496,1)*1000,0))</f>
        <v/>
      </c>
      <c r="C496" s="33" t="n"/>
      <c r="D496" s="34">
        <f>IF(A496="","",INT(A496))</f>
        <v/>
      </c>
      <c r="E496" s="35">
        <f>IF(B496="","",INDEX(Setup!$D$25:$D$84,B496))</f>
        <v/>
      </c>
      <c r="F496" s="36">
        <f>IF(B496="","",INDEX(Setup!$E$25:$E$84,B496))</f>
        <v/>
      </c>
      <c r="G496" s="32">
        <f>IF(B496="","",INDEX(Setup!$I$25:$I$84,B496)&amp;"")</f>
        <v/>
      </c>
      <c r="H496" s="32">
        <f>IF(B496="","",INDEX(Setup!$J$25:$J$84,B496)&amp;"")</f>
        <v/>
      </c>
      <c r="I496" s="32">
        <f>IF(B496="","",INDEX(Setup!$C$25:$C$84,B496))</f>
        <v/>
      </c>
      <c r="J496" s="32" t="n"/>
      <c r="K496" s="37" t="n"/>
      <c r="L496" s="38" t="n"/>
      <c r="M496" s="33" t="n"/>
      <c r="N496" s="33" t="n"/>
      <c r="O496" s="32" t="n"/>
      <c r="P496" s="34">
        <f>IF(A496="","",IF(K496&lt;&gt;"",K496,D496))</f>
        <v/>
      </c>
      <c r="Q496" s="36">
        <f>IF(A496="",0,IF(C496="✗",0,IF(OR(C496="✓",AND(Setup!$D$7="Yes",P496&lt;=TODAY())),IF(L496&lt;&gt;"",L496,F496),0)))</f>
        <v/>
      </c>
      <c r="R496" s="32">
        <f>IF(A496="","",IF(M496&lt;&gt;"",M496,G496))</f>
        <v/>
      </c>
      <c r="S496" s="32">
        <f>IF(A496="","",IF(N496&lt;&gt;"",N496,H496))</f>
        <v/>
      </c>
      <c r="T496" s="32">
        <f>IF(A496="","",IF(C496="✗","Skipped",IF(Q496&gt;0,"Paid","Upcoming")))</f>
        <v/>
      </c>
      <c r="U496" s="36">
        <f>IF(A496="",0,IF(C496="✗",0,IF(L496&lt;&gt;"",L496,F496)))</f>
        <v/>
      </c>
    </row>
    <row r="497">
      <c r="A497" s="39">
        <f>IFERROR(SMALL(Calc!$B$2:$BB$61,492),"")</f>
        <v/>
      </c>
      <c r="B497" s="39">
        <f>IF(A497="","",ROUND(MOD(A497,1)*1000,0))</f>
        <v/>
      </c>
      <c r="C497" s="33" t="n"/>
      <c r="D497" s="40">
        <f>IF(A497="","",INT(A497))</f>
        <v/>
      </c>
      <c r="E497" s="41">
        <f>IF(B497="","",INDEX(Setup!$D$25:$D$84,B497))</f>
        <v/>
      </c>
      <c r="F497" s="42">
        <f>IF(B497="","",INDEX(Setup!$E$25:$E$84,B497))</f>
        <v/>
      </c>
      <c r="G497" s="39">
        <f>IF(B497="","",INDEX(Setup!$I$25:$I$84,B497)&amp;"")</f>
        <v/>
      </c>
      <c r="H497" s="39">
        <f>IF(B497="","",INDEX(Setup!$J$25:$J$84,B497)&amp;"")</f>
        <v/>
      </c>
      <c r="I497" s="39">
        <f>IF(B497="","",INDEX(Setup!$C$25:$C$84,B497))</f>
        <v/>
      </c>
      <c r="J497" s="39" t="n"/>
      <c r="K497" s="37" t="n"/>
      <c r="L497" s="38" t="n"/>
      <c r="M497" s="33" t="n"/>
      <c r="N497" s="33" t="n"/>
      <c r="O497" s="39" t="n"/>
      <c r="P497" s="40">
        <f>IF(A497="","",IF(K497&lt;&gt;"",K497,D497))</f>
        <v/>
      </c>
      <c r="Q497" s="42">
        <f>IF(A497="",0,IF(C497="✗",0,IF(OR(C497="✓",AND(Setup!$D$7="Yes",P497&lt;=TODAY())),IF(L497&lt;&gt;"",L497,F497),0)))</f>
        <v/>
      </c>
      <c r="R497" s="39">
        <f>IF(A497="","",IF(M497&lt;&gt;"",M497,G497))</f>
        <v/>
      </c>
      <c r="S497" s="39">
        <f>IF(A497="","",IF(N497&lt;&gt;"",N497,H497))</f>
        <v/>
      </c>
      <c r="T497" s="39">
        <f>IF(A497="","",IF(C497="✗","Skipped",IF(Q497&gt;0,"Paid","Upcoming")))</f>
        <v/>
      </c>
      <c r="U497" s="42">
        <f>IF(A497="",0,IF(C497="✗",0,IF(L497&lt;&gt;"",L497,F497)))</f>
        <v/>
      </c>
    </row>
    <row r="498">
      <c r="A498" s="32">
        <f>IFERROR(SMALL(Calc!$B$2:$BB$61,493),"")</f>
        <v/>
      </c>
      <c r="B498" s="32">
        <f>IF(A498="","",ROUND(MOD(A498,1)*1000,0))</f>
        <v/>
      </c>
      <c r="C498" s="33" t="n"/>
      <c r="D498" s="34">
        <f>IF(A498="","",INT(A498))</f>
        <v/>
      </c>
      <c r="E498" s="35">
        <f>IF(B498="","",INDEX(Setup!$D$25:$D$84,B498))</f>
        <v/>
      </c>
      <c r="F498" s="36">
        <f>IF(B498="","",INDEX(Setup!$E$25:$E$84,B498))</f>
        <v/>
      </c>
      <c r="G498" s="32">
        <f>IF(B498="","",INDEX(Setup!$I$25:$I$84,B498)&amp;"")</f>
        <v/>
      </c>
      <c r="H498" s="32">
        <f>IF(B498="","",INDEX(Setup!$J$25:$J$84,B498)&amp;"")</f>
        <v/>
      </c>
      <c r="I498" s="32">
        <f>IF(B498="","",INDEX(Setup!$C$25:$C$84,B498))</f>
        <v/>
      </c>
      <c r="J498" s="32" t="n"/>
      <c r="K498" s="37" t="n"/>
      <c r="L498" s="38" t="n"/>
      <c r="M498" s="33" t="n"/>
      <c r="N498" s="33" t="n"/>
      <c r="O498" s="32" t="n"/>
      <c r="P498" s="34">
        <f>IF(A498="","",IF(K498&lt;&gt;"",K498,D498))</f>
        <v/>
      </c>
      <c r="Q498" s="36">
        <f>IF(A498="",0,IF(C498="✗",0,IF(OR(C498="✓",AND(Setup!$D$7="Yes",P498&lt;=TODAY())),IF(L498&lt;&gt;"",L498,F498),0)))</f>
        <v/>
      </c>
      <c r="R498" s="32">
        <f>IF(A498="","",IF(M498&lt;&gt;"",M498,G498))</f>
        <v/>
      </c>
      <c r="S498" s="32">
        <f>IF(A498="","",IF(N498&lt;&gt;"",N498,H498))</f>
        <v/>
      </c>
      <c r="T498" s="32">
        <f>IF(A498="","",IF(C498="✗","Skipped",IF(Q498&gt;0,"Paid","Upcoming")))</f>
        <v/>
      </c>
      <c r="U498" s="36">
        <f>IF(A498="",0,IF(C498="✗",0,IF(L498&lt;&gt;"",L498,F498)))</f>
        <v/>
      </c>
    </row>
    <row r="499">
      <c r="A499" s="39">
        <f>IFERROR(SMALL(Calc!$B$2:$BB$61,494),"")</f>
        <v/>
      </c>
      <c r="B499" s="39">
        <f>IF(A499="","",ROUND(MOD(A499,1)*1000,0))</f>
        <v/>
      </c>
      <c r="C499" s="33" t="n"/>
      <c r="D499" s="40">
        <f>IF(A499="","",INT(A499))</f>
        <v/>
      </c>
      <c r="E499" s="41">
        <f>IF(B499="","",INDEX(Setup!$D$25:$D$84,B499))</f>
        <v/>
      </c>
      <c r="F499" s="42">
        <f>IF(B499="","",INDEX(Setup!$E$25:$E$84,B499))</f>
        <v/>
      </c>
      <c r="G499" s="39">
        <f>IF(B499="","",INDEX(Setup!$I$25:$I$84,B499)&amp;"")</f>
        <v/>
      </c>
      <c r="H499" s="39">
        <f>IF(B499="","",INDEX(Setup!$J$25:$J$84,B499)&amp;"")</f>
        <v/>
      </c>
      <c r="I499" s="39">
        <f>IF(B499="","",INDEX(Setup!$C$25:$C$84,B499))</f>
        <v/>
      </c>
      <c r="J499" s="39" t="n"/>
      <c r="K499" s="37" t="n"/>
      <c r="L499" s="38" t="n"/>
      <c r="M499" s="33" t="n"/>
      <c r="N499" s="33" t="n"/>
      <c r="O499" s="39" t="n"/>
      <c r="P499" s="40">
        <f>IF(A499="","",IF(K499&lt;&gt;"",K499,D499))</f>
        <v/>
      </c>
      <c r="Q499" s="42">
        <f>IF(A499="",0,IF(C499="✗",0,IF(OR(C499="✓",AND(Setup!$D$7="Yes",P499&lt;=TODAY())),IF(L499&lt;&gt;"",L499,F499),0)))</f>
        <v/>
      </c>
      <c r="R499" s="39">
        <f>IF(A499="","",IF(M499&lt;&gt;"",M499,G499))</f>
        <v/>
      </c>
      <c r="S499" s="39">
        <f>IF(A499="","",IF(N499&lt;&gt;"",N499,H499))</f>
        <v/>
      </c>
      <c r="T499" s="39">
        <f>IF(A499="","",IF(C499="✗","Skipped",IF(Q499&gt;0,"Paid","Upcoming")))</f>
        <v/>
      </c>
      <c r="U499" s="42">
        <f>IF(A499="",0,IF(C499="✗",0,IF(L499&lt;&gt;"",L499,F499)))</f>
        <v/>
      </c>
    </row>
    <row r="500">
      <c r="A500" s="32">
        <f>IFERROR(SMALL(Calc!$B$2:$BB$61,495),"")</f>
        <v/>
      </c>
      <c r="B500" s="32">
        <f>IF(A500="","",ROUND(MOD(A500,1)*1000,0))</f>
        <v/>
      </c>
      <c r="C500" s="33" t="n"/>
      <c r="D500" s="34">
        <f>IF(A500="","",INT(A500))</f>
        <v/>
      </c>
      <c r="E500" s="35">
        <f>IF(B500="","",INDEX(Setup!$D$25:$D$84,B500))</f>
        <v/>
      </c>
      <c r="F500" s="36">
        <f>IF(B500="","",INDEX(Setup!$E$25:$E$84,B500))</f>
        <v/>
      </c>
      <c r="G500" s="32">
        <f>IF(B500="","",INDEX(Setup!$I$25:$I$84,B500)&amp;"")</f>
        <v/>
      </c>
      <c r="H500" s="32">
        <f>IF(B500="","",INDEX(Setup!$J$25:$J$84,B500)&amp;"")</f>
        <v/>
      </c>
      <c r="I500" s="32">
        <f>IF(B500="","",INDEX(Setup!$C$25:$C$84,B500))</f>
        <v/>
      </c>
      <c r="J500" s="32" t="n"/>
      <c r="K500" s="37" t="n"/>
      <c r="L500" s="38" t="n"/>
      <c r="M500" s="33" t="n"/>
      <c r="N500" s="33" t="n"/>
      <c r="O500" s="32" t="n"/>
      <c r="P500" s="34">
        <f>IF(A500="","",IF(K500&lt;&gt;"",K500,D500))</f>
        <v/>
      </c>
      <c r="Q500" s="36">
        <f>IF(A500="",0,IF(C500="✗",0,IF(OR(C500="✓",AND(Setup!$D$7="Yes",P500&lt;=TODAY())),IF(L500&lt;&gt;"",L500,F500),0)))</f>
        <v/>
      </c>
      <c r="R500" s="32">
        <f>IF(A500="","",IF(M500&lt;&gt;"",M500,G500))</f>
        <v/>
      </c>
      <c r="S500" s="32">
        <f>IF(A500="","",IF(N500&lt;&gt;"",N500,H500))</f>
        <v/>
      </c>
      <c r="T500" s="32">
        <f>IF(A500="","",IF(C500="✗","Skipped",IF(Q500&gt;0,"Paid","Upcoming")))</f>
        <v/>
      </c>
      <c r="U500" s="36">
        <f>IF(A500="",0,IF(C500="✗",0,IF(L500&lt;&gt;"",L500,F500)))</f>
        <v/>
      </c>
    </row>
    <row r="501">
      <c r="A501" s="39">
        <f>IFERROR(SMALL(Calc!$B$2:$BB$61,496),"")</f>
        <v/>
      </c>
      <c r="B501" s="39">
        <f>IF(A501="","",ROUND(MOD(A501,1)*1000,0))</f>
        <v/>
      </c>
      <c r="C501" s="33" t="n"/>
      <c r="D501" s="40">
        <f>IF(A501="","",INT(A501))</f>
        <v/>
      </c>
      <c r="E501" s="41">
        <f>IF(B501="","",INDEX(Setup!$D$25:$D$84,B501))</f>
        <v/>
      </c>
      <c r="F501" s="42">
        <f>IF(B501="","",INDEX(Setup!$E$25:$E$84,B501))</f>
        <v/>
      </c>
      <c r="G501" s="39">
        <f>IF(B501="","",INDEX(Setup!$I$25:$I$84,B501)&amp;"")</f>
        <v/>
      </c>
      <c r="H501" s="39">
        <f>IF(B501="","",INDEX(Setup!$J$25:$J$84,B501)&amp;"")</f>
        <v/>
      </c>
      <c r="I501" s="39">
        <f>IF(B501="","",INDEX(Setup!$C$25:$C$84,B501))</f>
        <v/>
      </c>
      <c r="J501" s="39" t="n"/>
      <c r="K501" s="37" t="n"/>
      <c r="L501" s="38" t="n"/>
      <c r="M501" s="33" t="n"/>
      <c r="N501" s="33" t="n"/>
      <c r="O501" s="39" t="n"/>
      <c r="P501" s="40">
        <f>IF(A501="","",IF(K501&lt;&gt;"",K501,D501))</f>
        <v/>
      </c>
      <c r="Q501" s="42">
        <f>IF(A501="",0,IF(C501="✗",0,IF(OR(C501="✓",AND(Setup!$D$7="Yes",P501&lt;=TODAY())),IF(L501&lt;&gt;"",L501,F501),0)))</f>
        <v/>
      </c>
      <c r="R501" s="39">
        <f>IF(A501="","",IF(M501&lt;&gt;"",M501,G501))</f>
        <v/>
      </c>
      <c r="S501" s="39">
        <f>IF(A501="","",IF(N501&lt;&gt;"",N501,H501))</f>
        <v/>
      </c>
      <c r="T501" s="39">
        <f>IF(A501="","",IF(C501="✗","Skipped",IF(Q501&gt;0,"Paid","Upcoming")))</f>
        <v/>
      </c>
      <c r="U501" s="42">
        <f>IF(A501="",0,IF(C501="✗",0,IF(L501&lt;&gt;"",L501,F501)))</f>
        <v/>
      </c>
    </row>
    <row r="502">
      <c r="A502" s="32">
        <f>IFERROR(SMALL(Calc!$B$2:$BB$61,497),"")</f>
        <v/>
      </c>
      <c r="B502" s="32">
        <f>IF(A502="","",ROUND(MOD(A502,1)*1000,0))</f>
        <v/>
      </c>
      <c r="C502" s="33" t="n"/>
      <c r="D502" s="34">
        <f>IF(A502="","",INT(A502))</f>
        <v/>
      </c>
      <c r="E502" s="35">
        <f>IF(B502="","",INDEX(Setup!$D$25:$D$84,B502))</f>
        <v/>
      </c>
      <c r="F502" s="36">
        <f>IF(B502="","",INDEX(Setup!$E$25:$E$84,B502))</f>
        <v/>
      </c>
      <c r="G502" s="32">
        <f>IF(B502="","",INDEX(Setup!$I$25:$I$84,B502)&amp;"")</f>
        <v/>
      </c>
      <c r="H502" s="32">
        <f>IF(B502="","",INDEX(Setup!$J$25:$J$84,B502)&amp;"")</f>
        <v/>
      </c>
      <c r="I502" s="32">
        <f>IF(B502="","",INDEX(Setup!$C$25:$C$84,B502))</f>
        <v/>
      </c>
      <c r="J502" s="32" t="n"/>
      <c r="K502" s="37" t="n"/>
      <c r="L502" s="38" t="n"/>
      <c r="M502" s="33" t="n"/>
      <c r="N502" s="33" t="n"/>
      <c r="O502" s="32" t="n"/>
      <c r="P502" s="34">
        <f>IF(A502="","",IF(K502&lt;&gt;"",K502,D502))</f>
        <v/>
      </c>
      <c r="Q502" s="36">
        <f>IF(A502="",0,IF(C502="✗",0,IF(OR(C502="✓",AND(Setup!$D$7="Yes",P502&lt;=TODAY())),IF(L502&lt;&gt;"",L502,F502),0)))</f>
        <v/>
      </c>
      <c r="R502" s="32">
        <f>IF(A502="","",IF(M502&lt;&gt;"",M502,G502))</f>
        <v/>
      </c>
      <c r="S502" s="32">
        <f>IF(A502="","",IF(N502&lt;&gt;"",N502,H502))</f>
        <v/>
      </c>
      <c r="T502" s="32">
        <f>IF(A502="","",IF(C502="✗","Skipped",IF(Q502&gt;0,"Paid","Upcoming")))</f>
        <v/>
      </c>
      <c r="U502" s="36">
        <f>IF(A502="",0,IF(C502="✗",0,IF(L502&lt;&gt;"",L502,F502)))</f>
        <v/>
      </c>
    </row>
    <row r="503">
      <c r="A503" s="39">
        <f>IFERROR(SMALL(Calc!$B$2:$BB$61,498),"")</f>
        <v/>
      </c>
      <c r="B503" s="39">
        <f>IF(A503="","",ROUND(MOD(A503,1)*1000,0))</f>
        <v/>
      </c>
      <c r="C503" s="33" t="n"/>
      <c r="D503" s="40">
        <f>IF(A503="","",INT(A503))</f>
        <v/>
      </c>
      <c r="E503" s="41">
        <f>IF(B503="","",INDEX(Setup!$D$25:$D$84,B503))</f>
        <v/>
      </c>
      <c r="F503" s="42">
        <f>IF(B503="","",INDEX(Setup!$E$25:$E$84,B503))</f>
        <v/>
      </c>
      <c r="G503" s="39">
        <f>IF(B503="","",INDEX(Setup!$I$25:$I$84,B503)&amp;"")</f>
        <v/>
      </c>
      <c r="H503" s="39">
        <f>IF(B503="","",INDEX(Setup!$J$25:$J$84,B503)&amp;"")</f>
        <v/>
      </c>
      <c r="I503" s="39">
        <f>IF(B503="","",INDEX(Setup!$C$25:$C$84,B503))</f>
        <v/>
      </c>
      <c r="J503" s="39" t="n"/>
      <c r="K503" s="37" t="n"/>
      <c r="L503" s="38" t="n"/>
      <c r="M503" s="33" t="n"/>
      <c r="N503" s="33" t="n"/>
      <c r="O503" s="39" t="n"/>
      <c r="P503" s="40">
        <f>IF(A503="","",IF(K503&lt;&gt;"",K503,D503))</f>
        <v/>
      </c>
      <c r="Q503" s="42">
        <f>IF(A503="",0,IF(C503="✗",0,IF(OR(C503="✓",AND(Setup!$D$7="Yes",P503&lt;=TODAY())),IF(L503&lt;&gt;"",L503,F503),0)))</f>
        <v/>
      </c>
      <c r="R503" s="39">
        <f>IF(A503="","",IF(M503&lt;&gt;"",M503,G503))</f>
        <v/>
      </c>
      <c r="S503" s="39">
        <f>IF(A503="","",IF(N503&lt;&gt;"",N503,H503))</f>
        <v/>
      </c>
      <c r="T503" s="39">
        <f>IF(A503="","",IF(C503="✗","Skipped",IF(Q503&gt;0,"Paid","Upcoming")))</f>
        <v/>
      </c>
      <c r="U503" s="42">
        <f>IF(A503="",0,IF(C503="✗",0,IF(L503&lt;&gt;"",L503,F503)))</f>
        <v/>
      </c>
    </row>
    <row r="504">
      <c r="A504" s="32">
        <f>IFERROR(SMALL(Calc!$B$2:$BB$61,499),"")</f>
        <v/>
      </c>
      <c r="B504" s="32">
        <f>IF(A504="","",ROUND(MOD(A504,1)*1000,0))</f>
        <v/>
      </c>
      <c r="C504" s="33" t="n"/>
      <c r="D504" s="34">
        <f>IF(A504="","",INT(A504))</f>
        <v/>
      </c>
      <c r="E504" s="35">
        <f>IF(B504="","",INDEX(Setup!$D$25:$D$84,B504))</f>
        <v/>
      </c>
      <c r="F504" s="36">
        <f>IF(B504="","",INDEX(Setup!$E$25:$E$84,B504))</f>
        <v/>
      </c>
      <c r="G504" s="32">
        <f>IF(B504="","",INDEX(Setup!$I$25:$I$84,B504)&amp;"")</f>
        <v/>
      </c>
      <c r="H504" s="32">
        <f>IF(B504="","",INDEX(Setup!$J$25:$J$84,B504)&amp;"")</f>
        <v/>
      </c>
      <c r="I504" s="32">
        <f>IF(B504="","",INDEX(Setup!$C$25:$C$84,B504))</f>
        <v/>
      </c>
      <c r="J504" s="32" t="n"/>
      <c r="K504" s="37" t="n"/>
      <c r="L504" s="38" t="n"/>
      <c r="M504" s="33" t="n"/>
      <c r="N504" s="33" t="n"/>
      <c r="O504" s="32" t="n"/>
      <c r="P504" s="34">
        <f>IF(A504="","",IF(K504&lt;&gt;"",K504,D504))</f>
        <v/>
      </c>
      <c r="Q504" s="36">
        <f>IF(A504="",0,IF(C504="✗",0,IF(OR(C504="✓",AND(Setup!$D$7="Yes",P504&lt;=TODAY())),IF(L504&lt;&gt;"",L504,F504),0)))</f>
        <v/>
      </c>
      <c r="R504" s="32">
        <f>IF(A504="","",IF(M504&lt;&gt;"",M504,G504))</f>
        <v/>
      </c>
      <c r="S504" s="32">
        <f>IF(A504="","",IF(N504&lt;&gt;"",N504,H504))</f>
        <v/>
      </c>
      <c r="T504" s="32">
        <f>IF(A504="","",IF(C504="✗","Skipped",IF(Q504&gt;0,"Paid","Upcoming")))</f>
        <v/>
      </c>
      <c r="U504" s="36">
        <f>IF(A504="",0,IF(C504="✗",0,IF(L504&lt;&gt;"",L504,F504)))</f>
        <v/>
      </c>
    </row>
    <row r="505">
      <c r="A505" s="39">
        <f>IFERROR(SMALL(Calc!$B$2:$BB$61,500),"")</f>
        <v/>
      </c>
      <c r="B505" s="39">
        <f>IF(A505="","",ROUND(MOD(A505,1)*1000,0))</f>
        <v/>
      </c>
      <c r="C505" s="33" t="n"/>
      <c r="D505" s="40">
        <f>IF(A505="","",INT(A505))</f>
        <v/>
      </c>
      <c r="E505" s="41">
        <f>IF(B505="","",INDEX(Setup!$D$25:$D$84,B505))</f>
        <v/>
      </c>
      <c r="F505" s="42">
        <f>IF(B505="","",INDEX(Setup!$E$25:$E$84,B505))</f>
        <v/>
      </c>
      <c r="G505" s="39">
        <f>IF(B505="","",INDEX(Setup!$I$25:$I$84,B505)&amp;"")</f>
        <v/>
      </c>
      <c r="H505" s="39">
        <f>IF(B505="","",INDEX(Setup!$J$25:$J$84,B505)&amp;"")</f>
        <v/>
      </c>
      <c r="I505" s="39">
        <f>IF(B505="","",INDEX(Setup!$C$25:$C$84,B505))</f>
        <v/>
      </c>
      <c r="J505" s="39" t="n"/>
      <c r="K505" s="37" t="n"/>
      <c r="L505" s="38" t="n"/>
      <c r="M505" s="33" t="n"/>
      <c r="N505" s="33" t="n"/>
      <c r="O505" s="39" t="n"/>
      <c r="P505" s="40">
        <f>IF(A505="","",IF(K505&lt;&gt;"",K505,D505))</f>
        <v/>
      </c>
      <c r="Q505" s="42">
        <f>IF(A505="",0,IF(C505="✗",0,IF(OR(C505="✓",AND(Setup!$D$7="Yes",P505&lt;=TODAY())),IF(L505&lt;&gt;"",L505,F505),0)))</f>
        <v/>
      </c>
      <c r="R505" s="39">
        <f>IF(A505="","",IF(M505&lt;&gt;"",M505,G505))</f>
        <v/>
      </c>
      <c r="S505" s="39">
        <f>IF(A505="","",IF(N505&lt;&gt;"",N505,H505))</f>
        <v/>
      </c>
      <c r="T505" s="39">
        <f>IF(A505="","",IF(C505="✗","Skipped",IF(Q505&gt;0,"Paid","Upcoming")))</f>
        <v/>
      </c>
      <c r="U505" s="42">
        <f>IF(A505="",0,IF(C505="✗",0,IF(L505&lt;&gt;"",L505,F505)))</f>
        <v/>
      </c>
    </row>
    <row r="506">
      <c r="A506" s="32">
        <f>IFERROR(SMALL(Calc!$B$2:$BB$61,501),"")</f>
        <v/>
      </c>
      <c r="B506" s="32">
        <f>IF(A506="","",ROUND(MOD(A506,1)*1000,0))</f>
        <v/>
      </c>
      <c r="C506" s="33" t="n"/>
      <c r="D506" s="34">
        <f>IF(A506="","",INT(A506))</f>
        <v/>
      </c>
      <c r="E506" s="35">
        <f>IF(B506="","",INDEX(Setup!$D$25:$D$84,B506))</f>
        <v/>
      </c>
      <c r="F506" s="36">
        <f>IF(B506="","",INDEX(Setup!$E$25:$E$84,B506))</f>
        <v/>
      </c>
      <c r="G506" s="32">
        <f>IF(B506="","",INDEX(Setup!$I$25:$I$84,B506)&amp;"")</f>
        <v/>
      </c>
      <c r="H506" s="32">
        <f>IF(B506="","",INDEX(Setup!$J$25:$J$84,B506)&amp;"")</f>
        <v/>
      </c>
      <c r="I506" s="32">
        <f>IF(B506="","",INDEX(Setup!$C$25:$C$84,B506))</f>
        <v/>
      </c>
      <c r="J506" s="32" t="n"/>
      <c r="K506" s="37" t="n"/>
      <c r="L506" s="38" t="n"/>
      <c r="M506" s="33" t="n"/>
      <c r="N506" s="33" t="n"/>
      <c r="O506" s="32" t="n"/>
      <c r="P506" s="34">
        <f>IF(A506="","",IF(K506&lt;&gt;"",K506,D506))</f>
        <v/>
      </c>
      <c r="Q506" s="36">
        <f>IF(A506="",0,IF(C506="✗",0,IF(OR(C506="✓",AND(Setup!$D$7="Yes",P506&lt;=TODAY())),IF(L506&lt;&gt;"",L506,F506),0)))</f>
        <v/>
      </c>
      <c r="R506" s="32">
        <f>IF(A506="","",IF(M506&lt;&gt;"",M506,G506))</f>
        <v/>
      </c>
      <c r="S506" s="32">
        <f>IF(A506="","",IF(N506&lt;&gt;"",N506,H506))</f>
        <v/>
      </c>
      <c r="T506" s="32">
        <f>IF(A506="","",IF(C506="✗","Skipped",IF(Q506&gt;0,"Paid","Upcoming")))</f>
        <v/>
      </c>
      <c r="U506" s="36">
        <f>IF(A506="",0,IF(C506="✗",0,IF(L506&lt;&gt;"",L506,F506)))</f>
        <v/>
      </c>
    </row>
    <row r="507">
      <c r="A507" s="39">
        <f>IFERROR(SMALL(Calc!$B$2:$BB$61,502),"")</f>
        <v/>
      </c>
      <c r="B507" s="39">
        <f>IF(A507="","",ROUND(MOD(A507,1)*1000,0))</f>
        <v/>
      </c>
      <c r="C507" s="33" t="n"/>
      <c r="D507" s="40">
        <f>IF(A507="","",INT(A507))</f>
        <v/>
      </c>
      <c r="E507" s="41">
        <f>IF(B507="","",INDEX(Setup!$D$25:$D$84,B507))</f>
        <v/>
      </c>
      <c r="F507" s="42">
        <f>IF(B507="","",INDEX(Setup!$E$25:$E$84,B507))</f>
        <v/>
      </c>
      <c r="G507" s="39">
        <f>IF(B507="","",INDEX(Setup!$I$25:$I$84,B507)&amp;"")</f>
        <v/>
      </c>
      <c r="H507" s="39">
        <f>IF(B507="","",INDEX(Setup!$J$25:$J$84,B507)&amp;"")</f>
        <v/>
      </c>
      <c r="I507" s="39">
        <f>IF(B507="","",INDEX(Setup!$C$25:$C$84,B507))</f>
        <v/>
      </c>
      <c r="J507" s="39" t="n"/>
      <c r="K507" s="37" t="n"/>
      <c r="L507" s="38" t="n"/>
      <c r="M507" s="33" t="n"/>
      <c r="N507" s="33" t="n"/>
      <c r="O507" s="39" t="n"/>
      <c r="P507" s="40">
        <f>IF(A507="","",IF(K507&lt;&gt;"",K507,D507))</f>
        <v/>
      </c>
      <c r="Q507" s="42">
        <f>IF(A507="",0,IF(C507="✗",0,IF(OR(C507="✓",AND(Setup!$D$7="Yes",P507&lt;=TODAY())),IF(L507&lt;&gt;"",L507,F507),0)))</f>
        <v/>
      </c>
      <c r="R507" s="39">
        <f>IF(A507="","",IF(M507&lt;&gt;"",M507,G507))</f>
        <v/>
      </c>
      <c r="S507" s="39">
        <f>IF(A507="","",IF(N507&lt;&gt;"",N507,H507))</f>
        <v/>
      </c>
      <c r="T507" s="39">
        <f>IF(A507="","",IF(C507="✗","Skipped",IF(Q507&gt;0,"Paid","Upcoming")))</f>
        <v/>
      </c>
      <c r="U507" s="42">
        <f>IF(A507="",0,IF(C507="✗",0,IF(L507&lt;&gt;"",L507,F507)))</f>
        <v/>
      </c>
    </row>
    <row r="508">
      <c r="A508" s="32">
        <f>IFERROR(SMALL(Calc!$B$2:$BB$61,503),"")</f>
        <v/>
      </c>
      <c r="B508" s="32">
        <f>IF(A508="","",ROUND(MOD(A508,1)*1000,0))</f>
        <v/>
      </c>
      <c r="C508" s="33" t="n"/>
      <c r="D508" s="34">
        <f>IF(A508="","",INT(A508))</f>
        <v/>
      </c>
      <c r="E508" s="35">
        <f>IF(B508="","",INDEX(Setup!$D$25:$D$84,B508))</f>
        <v/>
      </c>
      <c r="F508" s="36">
        <f>IF(B508="","",INDEX(Setup!$E$25:$E$84,B508))</f>
        <v/>
      </c>
      <c r="G508" s="32">
        <f>IF(B508="","",INDEX(Setup!$I$25:$I$84,B508)&amp;"")</f>
        <v/>
      </c>
      <c r="H508" s="32">
        <f>IF(B508="","",INDEX(Setup!$J$25:$J$84,B508)&amp;"")</f>
        <v/>
      </c>
      <c r="I508" s="32">
        <f>IF(B508="","",INDEX(Setup!$C$25:$C$84,B508))</f>
        <v/>
      </c>
      <c r="J508" s="32" t="n"/>
      <c r="K508" s="37" t="n"/>
      <c r="L508" s="38" t="n"/>
      <c r="M508" s="33" t="n"/>
      <c r="N508" s="33" t="n"/>
      <c r="O508" s="32" t="n"/>
      <c r="P508" s="34">
        <f>IF(A508="","",IF(K508&lt;&gt;"",K508,D508))</f>
        <v/>
      </c>
      <c r="Q508" s="36">
        <f>IF(A508="",0,IF(C508="✗",0,IF(OR(C508="✓",AND(Setup!$D$7="Yes",P508&lt;=TODAY())),IF(L508&lt;&gt;"",L508,F508),0)))</f>
        <v/>
      </c>
      <c r="R508" s="32">
        <f>IF(A508="","",IF(M508&lt;&gt;"",M508,G508))</f>
        <v/>
      </c>
      <c r="S508" s="32">
        <f>IF(A508="","",IF(N508&lt;&gt;"",N508,H508))</f>
        <v/>
      </c>
      <c r="T508" s="32">
        <f>IF(A508="","",IF(C508="✗","Skipped",IF(Q508&gt;0,"Paid","Upcoming")))</f>
        <v/>
      </c>
      <c r="U508" s="36">
        <f>IF(A508="",0,IF(C508="✗",0,IF(L508&lt;&gt;"",L508,F508)))</f>
        <v/>
      </c>
    </row>
    <row r="509">
      <c r="A509" s="39">
        <f>IFERROR(SMALL(Calc!$B$2:$BB$61,504),"")</f>
        <v/>
      </c>
      <c r="B509" s="39">
        <f>IF(A509="","",ROUND(MOD(A509,1)*1000,0))</f>
        <v/>
      </c>
      <c r="C509" s="33" t="n"/>
      <c r="D509" s="40">
        <f>IF(A509="","",INT(A509))</f>
        <v/>
      </c>
      <c r="E509" s="41">
        <f>IF(B509="","",INDEX(Setup!$D$25:$D$84,B509))</f>
        <v/>
      </c>
      <c r="F509" s="42">
        <f>IF(B509="","",INDEX(Setup!$E$25:$E$84,B509))</f>
        <v/>
      </c>
      <c r="G509" s="39">
        <f>IF(B509="","",INDEX(Setup!$I$25:$I$84,B509)&amp;"")</f>
        <v/>
      </c>
      <c r="H509" s="39">
        <f>IF(B509="","",INDEX(Setup!$J$25:$J$84,B509)&amp;"")</f>
        <v/>
      </c>
      <c r="I509" s="39">
        <f>IF(B509="","",INDEX(Setup!$C$25:$C$84,B509))</f>
        <v/>
      </c>
      <c r="J509" s="39" t="n"/>
      <c r="K509" s="37" t="n"/>
      <c r="L509" s="38" t="n"/>
      <c r="M509" s="33" t="n"/>
      <c r="N509" s="33" t="n"/>
      <c r="O509" s="39" t="n"/>
      <c r="P509" s="40">
        <f>IF(A509="","",IF(K509&lt;&gt;"",K509,D509))</f>
        <v/>
      </c>
      <c r="Q509" s="42">
        <f>IF(A509="",0,IF(C509="✗",0,IF(OR(C509="✓",AND(Setup!$D$7="Yes",P509&lt;=TODAY())),IF(L509&lt;&gt;"",L509,F509),0)))</f>
        <v/>
      </c>
      <c r="R509" s="39">
        <f>IF(A509="","",IF(M509&lt;&gt;"",M509,G509))</f>
        <v/>
      </c>
      <c r="S509" s="39">
        <f>IF(A509="","",IF(N509&lt;&gt;"",N509,H509))</f>
        <v/>
      </c>
      <c r="T509" s="39">
        <f>IF(A509="","",IF(C509="✗","Skipped",IF(Q509&gt;0,"Paid","Upcoming")))</f>
        <v/>
      </c>
      <c r="U509" s="42">
        <f>IF(A509="",0,IF(C509="✗",0,IF(L509&lt;&gt;"",L509,F509)))</f>
        <v/>
      </c>
    </row>
    <row r="510">
      <c r="A510" s="32">
        <f>IFERROR(SMALL(Calc!$B$2:$BB$61,505),"")</f>
        <v/>
      </c>
      <c r="B510" s="32">
        <f>IF(A510="","",ROUND(MOD(A510,1)*1000,0))</f>
        <v/>
      </c>
      <c r="C510" s="33" t="n"/>
      <c r="D510" s="34">
        <f>IF(A510="","",INT(A510))</f>
        <v/>
      </c>
      <c r="E510" s="35">
        <f>IF(B510="","",INDEX(Setup!$D$25:$D$84,B510))</f>
        <v/>
      </c>
      <c r="F510" s="36">
        <f>IF(B510="","",INDEX(Setup!$E$25:$E$84,B510))</f>
        <v/>
      </c>
      <c r="G510" s="32">
        <f>IF(B510="","",INDEX(Setup!$I$25:$I$84,B510)&amp;"")</f>
        <v/>
      </c>
      <c r="H510" s="32">
        <f>IF(B510="","",INDEX(Setup!$J$25:$J$84,B510)&amp;"")</f>
        <v/>
      </c>
      <c r="I510" s="32">
        <f>IF(B510="","",INDEX(Setup!$C$25:$C$84,B510))</f>
        <v/>
      </c>
      <c r="J510" s="32" t="n"/>
      <c r="K510" s="37" t="n"/>
      <c r="L510" s="38" t="n"/>
      <c r="M510" s="33" t="n"/>
      <c r="N510" s="33" t="n"/>
      <c r="O510" s="32" t="n"/>
      <c r="P510" s="34">
        <f>IF(A510="","",IF(K510&lt;&gt;"",K510,D510))</f>
        <v/>
      </c>
      <c r="Q510" s="36">
        <f>IF(A510="",0,IF(C510="✗",0,IF(OR(C510="✓",AND(Setup!$D$7="Yes",P510&lt;=TODAY())),IF(L510&lt;&gt;"",L510,F510),0)))</f>
        <v/>
      </c>
      <c r="R510" s="32">
        <f>IF(A510="","",IF(M510&lt;&gt;"",M510,G510))</f>
        <v/>
      </c>
      <c r="S510" s="32">
        <f>IF(A510="","",IF(N510&lt;&gt;"",N510,H510))</f>
        <v/>
      </c>
      <c r="T510" s="32">
        <f>IF(A510="","",IF(C510="✗","Skipped",IF(Q510&gt;0,"Paid","Upcoming")))</f>
        <v/>
      </c>
      <c r="U510" s="36">
        <f>IF(A510="",0,IF(C510="✗",0,IF(L510&lt;&gt;"",L510,F510)))</f>
        <v/>
      </c>
    </row>
    <row r="511">
      <c r="A511" s="39">
        <f>IFERROR(SMALL(Calc!$B$2:$BB$61,506),"")</f>
        <v/>
      </c>
      <c r="B511" s="39">
        <f>IF(A511="","",ROUND(MOD(A511,1)*1000,0))</f>
        <v/>
      </c>
      <c r="C511" s="33" t="n"/>
      <c r="D511" s="40">
        <f>IF(A511="","",INT(A511))</f>
        <v/>
      </c>
      <c r="E511" s="41">
        <f>IF(B511="","",INDEX(Setup!$D$25:$D$84,B511))</f>
        <v/>
      </c>
      <c r="F511" s="42">
        <f>IF(B511="","",INDEX(Setup!$E$25:$E$84,B511))</f>
        <v/>
      </c>
      <c r="G511" s="39">
        <f>IF(B511="","",INDEX(Setup!$I$25:$I$84,B511)&amp;"")</f>
        <v/>
      </c>
      <c r="H511" s="39">
        <f>IF(B511="","",INDEX(Setup!$J$25:$J$84,B511)&amp;"")</f>
        <v/>
      </c>
      <c r="I511" s="39">
        <f>IF(B511="","",INDEX(Setup!$C$25:$C$84,B511))</f>
        <v/>
      </c>
      <c r="J511" s="39" t="n"/>
      <c r="K511" s="37" t="n"/>
      <c r="L511" s="38" t="n"/>
      <c r="M511" s="33" t="n"/>
      <c r="N511" s="33" t="n"/>
      <c r="O511" s="39" t="n"/>
      <c r="P511" s="40">
        <f>IF(A511="","",IF(K511&lt;&gt;"",K511,D511))</f>
        <v/>
      </c>
      <c r="Q511" s="42">
        <f>IF(A511="",0,IF(C511="✗",0,IF(OR(C511="✓",AND(Setup!$D$7="Yes",P511&lt;=TODAY())),IF(L511&lt;&gt;"",L511,F511),0)))</f>
        <v/>
      </c>
      <c r="R511" s="39">
        <f>IF(A511="","",IF(M511&lt;&gt;"",M511,G511))</f>
        <v/>
      </c>
      <c r="S511" s="39">
        <f>IF(A511="","",IF(N511&lt;&gt;"",N511,H511))</f>
        <v/>
      </c>
      <c r="T511" s="39">
        <f>IF(A511="","",IF(C511="✗","Skipped",IF(Q511&gt;0,"Paid","Upcoming")))</f>
        <v/>
      </c>
      <c r="U511" s="42">
        <f>IF(A511="",0,IF(C511="✗",0,IF(L511&lt;&gt;"",L511,F511)))</f>
        <v/>
      </c>
    </row>
    <row r="512">
      <c r="A512" s="32">
        <f>IFERROR(SMALL(Calc!$B$2:$BB$61,507),"")</f>
        <v/>
      </c>
      <c r="B512" s="32">
        <f>IF(A512="","",ROUND(MOD(A512,1)*1000,0))</f>
        <v/>
      </c>
      <c r="C512" s="33" t="n"/>
      <c r="D512" s="34">
        <f>IF(A512="","",INT(A512))</f>
        <v/>
      </c>
      <c r="E512" s="35">
        <f>IF(B512="","",INDEX(Setup!$D$25:$D$84,B512))</f>
        <v/>
      </c>
      <c r="F512" s="36">
        <f>IF(B512="","",INDEX(Setup!$E$25:$E$84,B512))</f>
        <v/>
      </c>
      <c r="G512" s="32">
        <f>IF(B512="","",INDEX(Setup!$I$25:$I$84,B512)&amp;"")</f>
        <v/>
      </c>
      <c r="H512" s="32">
        <f>IF(B512="","",INDEX(Setup!$J$25:$J$84,B512)&amp;"")</f>
        <v/>
      </c>
      <c r="I512" s="32">
        <f>IF(B512="","",INDEX(Setup!$C$25:$C$84,B512))</f>
        <v/>
      </c>
      <c r="J512" s="32" t="n"/>
      <c r="K512" s="37" t="n"/>
      <c r="L512" s="38" t="n"/>
      <c r="M512" s="33" t="n"/>
      <c r="N512" s="33" t="n"/>
      <c r="O512" s="32" t="n"/>
      <c r="P512" s="34">
        <f>IF(A512="","",IF(K512&lt;&gt;"",K512,D512))</f>
        <v/>
      </c>
      <c r="Q512" s="36">
        <f>IF(A512="",0,IF(C512="✗",0,IF(OR(C512="✓",AND(Setup!$D$7="Yes",P512&lt;=TODAY())),IF(L512&lt;&gt;"",L512,F512),0)))</f>
        <v/>
      </c>
      <c r="R512" s="32">
        <f>IF(A512="","",IF(M512&lt;&gt;"",M512,G512))</f>
        <v/>
      </c>
      <c r="S512" s="32">
        <f>IF(A512="","",IF(N512&lt;&gt;"",N512,H512))</f>
        <v/>
      </c>
      <c r="T512" s="32">
        <f>IF(A512="","",IF(C512="✗","Skipped",IF(Q512&gt;0,"Paid","Upcoming")))</f>
        <v/>
      </c>
      <c r="U512" s="36">
        <f>IF(A512="",0,IF(C512="✗",0,IF(L512&lt;&gt;"",L512,F512)))</f>
        <v/>
      </c>
    </row>
    <row r="513">
      <c r="A513" s="39">
        <f>IFERROR(SMALL(Calc!$B$2:$BB$61,508),"")</f>
        <v/>
      </c>
      <c r="B513" s="39">
        <f>IF(A513="","",ROUND(MOD(A513,1)*1000,0))</f>
        <v/>
      </c>
      <c r="C513" s="33" t="n"/>
      <c r="D513" s="40">
        <f>IF(A513="","",INT(A513))</f>
        <v/>
      </c>
      <c r="E513" s="41">
        <f>IF(B513="","",INDEX(Setup!$D$25:$D$84,B513))</f>
        <v/>
      </c>
      <c r="F513" s="42">
        <f>IF(B513="","",INDEX(Setup!$E$25:$E$84,B513))</f>
        <v/>
      </c>
      <c r="G513" s="39">
        <f>IF(B513="","",INDEX(Setup!$I$25:$I$84,B513)&amp;"")</f>
        <v/>
      </c>
      <c r="H513" s="39">
        <f>IF(B513="","",INDEX(Setup!$J$25:$J$84,B513)&amp;"")</f>
        <v/>
      </c>
      <c r="I513" s="39">
        <f>IF(B513="","",INDEX(Setup!$C$25:$C$84,B513))</f>
        <v/>
      </c>
      <c r="J513" s="39" t="n"/>
      <c r="K513" s="37" t="n"/>
      <c r="L513" s="38" t="n"/>
      <c r="M513" s="33" t="n"/>
      <c r="N513" s="33" t="n"/>
      <c r="O513" s="39" t="n"/>
      <c r="P513" s="40">
        <f>IF(A513="","",IF(K513&lt;&gt;"",K513,D513))</f>
        <v/>
      </c>
      <c r="Q513" s="42">
        <f>IF(A513="",0,IF(C513="✗",0,IF(OR(C513="✓",AND(Setup!$D$7="Yes",P513&lt;=TODAY())),IF(L513&lt;&gt;"",L513,F513),0)))</f>
        <v/>
      </c>
      <c r="R513" s="39">
        <f>IF(A513="","",IF(M513&lt;&gt;"",M513,G513))</f>
        <v/>
      </c>
      <c r="S513" s="39">
        <f>IF(A513="","",IF(N513&lt;&gt;"",N513,H513))</f>
        <v/>
      </c>
      <c r="T513" s="39">
        <f>IF(A513="","",IF(C513="✗","Skipped",IF(Q513&gt;0,"Paid","Upcoming")))</f>
        <v/>
      </c>
      <c r="U513" s="42">
        <f>IF(A513="",0,IF(C513="✗",0,IF(L513&lt;&gt;"",L513,F513)))</f>
        <v/>
      </c>
    </row>
    <row r="514">
      <c r="A514" s="32">
        <f>IFERROR(SMALL(Calc!$B$2:$BB$61,509),"")</f>
        <v/>
      </c>
      <c r="B514" s="32">
        <f>IF(A514="","",ROUND(MOD(A514,1)*1000,0))</f>
        <v/>
      </c>
      <c r="C514" s="33" t="n"/>
      <c r="D514" s="34">
        <f>IF(A514="","",INT(A514))</f>
        <v/>
      </c>
      <c r="E514" s="35">
        <f>IF(B514="","",INDEX(Setup!$D$25:$D$84,B514))</f>
        <v/>
      </c>
      <c r="F514" s="36">
        <f>IF(B514="","",INDEX(Setup!$E$25:$E$84,B514))</f>
        <v/>
      </c>
      <c r="G514" s="32">
        <f>IF(B514="","",INDEX(Setup!$I$25:$I$84,B514)&amp;"")</f>
        <v/>
      </c>
      <c r="H514" s="32">
        <f>IF(B514="","",INDEX(Setup!$J$25:$J$84,B514)&amp;"")</f>
        <v/>
      </c>
      <c r="I514" s="32">
        <f>IF(B514="","",INDEX(Setup!$C$25:$C$84,B514))</f>
        <v/>
      </c>
      <c r="J514" s="32" t="n"/>
      <c r="K514" s="37" t="n"/>
      <c r="L514" s="38" t="n"/>
      <c r="M514" s="33" t="n"/>
      <c r="N514" s="33" t="n"/>
      <c r="O514" s="32" t="n"/>
      <c r="P514" s="34">
        <f>IF(A514="","",IF(K514&lt;&gt;"",K514,D514))</f>
        <v/>
      </c>
      <c r="Q514" s="36">
        <f>IF(A514="",0,IF(C514="✗",0,IF(OR(C514="✓",AND(Setup!$D$7="Yes",P514&lt;=TODAY())),IF(L514&lt;&gt;"",L514,F514),0)))</f>
        <v/>
      </c>
      <c r="R514" s="32">
        <f>IF(A514="","",IF(M514&lt;&gt;"",M514,G514))</f>
        <v/>
      </c>
      <c r="S514" s="32">
        <f>IF(A514="","",IF(N514&lt;&gt;"",N514,H514))</f>
        <v/>
      </c>
      <c r="T514" s="32">
        <f>IF(A514="","",IF(C514="✗","Skipped",IF(Q514&gt;0,"Paid","Upcoming")))</f>
        <v/>
      </c>
      <c r="U514" s="36">
        <f>IF(A514="",0,IF(C514="✗",0,IF(L514&lt;&gt;"",L514,F514)))</f>
        <v/>
      </c>
    </row>
    <row r="515">
      <c r="A515" s="39">
        <f>IFERROR(SMALL(Calc!$B$2:$BB$61,510),"")</f>
        <v/>
      </c>
      <c r="B515" s="39">
        <f>IF(A515="","",ROUND(MOD(A515,1)*1000,0))</f>
        <v/>
      </c>
      <c r="C515" s="33" t="n"/>
      <c r="D515" s="40">
        <f>IF(A515="","",INT(A515))</f>
        <v/>
      </c>
      <c r="E515" s="41">
        <f>IF(B515="","",INDEX(Setup!$D$25:$D$84,B515))</f>
        <v/>
      </c>
      <c r="F515" s="42">
        <f>IF(B515="","",INDEX(Setup!$E$25:$E$84,B515))</f>
        <v/>
      </c>
      <c r="G515" s="39">
        <f>IF(B515="","",INDEX(Setup!$I$25:$I$84,B515)&amp;"")</f>
        <v/>
      </c>
      <c r="H515" s="39">
        <f>IF(B515="","",INDEX(Setup!$J$25:$J$84,B515)&amp;"")</f>
        <v/>
      </c>
      <c r="I515" s="39">
        <f>IF(B515="","",INDEX(Setup!$C$25:$C$84,B515))</f>
        <v/>
      </c>
      <c r="J515" s="39" t="n"/>
      <c r="K515" s="37" t="n"/>
      <c r="L515" s="38" t="n"/>
      <c r="M515" s="33" t="n"/>
      <c r="N515" s="33" t="n"/>
      <c r="O515" s="39" t="n"/>
      <c r="P515" s="40">
        <f>IF(A515="","",IF(K515&lt;&gt;"",K515,D515))</f>
        <v/>
      </c>
      <c r="Q515" s="42">
        <f>IF(A515="",0,IF(C515="✗",0,IF(OR(C515="✓",AND(Setup!$D$7="Yes",P515&lt;=TODAY())),IF(L515&lt;&gt;"",L515,F515),0)))</f>
        <v/>
      </c>
      <c r="R515" s="39">
        <f>IF(A515="","",IF(M515&lt;&gt;"",M515,G515))</f>
        <v/>
      </c>
      <c r="S515" s="39">
        <f>IF(A515="","",IF(N515&lt;&gt;"",N515,H515))</f>
        <v/>
      </c>
      <c r="T515" s="39">
        <f>IF(A515="","",IF(C515="✗","Skipped",IF(Q515&gt;0,"Paid","Upcoming")))</f>
        <v/>
      </c>
      <c r="U515" s="42">
        <f>IF(A515="",0,IF(C515="✗",0,IF(L515&lt;&gt;"",L515,F515)))</f>
        <v/>
      </c>
    </row>
    <row r="516">
      <c r="A516" s="32">
        <f>IFERROR(SMALL(Calc!$B$2:$BB$61,511),"")</f>
        <v/>
      </c>
      <c r="B516" s="32">
        <f>IF(A516="","",ROUND(MOD(A516,1)*1000,0))</f>
        <v/>
      </c>
      <c r="C516" s="33" t="n"/>
      <c r="D516" s="34">
        <f>IF(A516="","",INT(A516))</f>
        <v/>
      </c>
      <c r="E516" s="35">
        <f>IF(B516="","",INDEX(Setup!$D$25:$D$84,B516))</f>
        <v/>
      </c>
      <c r="F516" s="36">
        <f>IF(B516="","",INDEX(Setup!$E$25:$E$84,B516))</f>
        <v/>
      </c>
      <c r="G516" s="32">
        <f>IF(B516="","",INDEX(Setup!$I$25:$I$84,B516)&amp;"")</f>
        <v/>
      </c>
      <c r="H516" s="32">
        <f>IF(B516="","",INDEX(Setup!$J$25:$J$84,B516)&amp;"")</f>
        <v/>
      </c>
      <c r="I516" s="32">
        <f>IF(B516="","",INDEX(Setup!$C$25:$C$84,B516))</f>
        <v/>
      </c>
      <c r="J516" s="32" t="n"/>
      <c r="K516" s="37" t="n"/>
      <c r="L516" s="38" t="n"/>
      <c r="M516" s="33" t="n"/>
      <c r="N516" s="33" t="n"/>
      <c r="O516" s="32" t="n"/>
      <c r="P516" s="34">
        <f>IF(A516="","",IF(K516&lt;&gt;"",K516,D516))</f>
        <v/>
      </c>
      <c r="Q516" s="36">
        <f>IF(A516="",0,IF(C516="✗",0,IF(OR(C516="✓",AND(Setup!$D$7="Yes",P516&lt;=TODAY())),IF(L516&lt;&gt;"",L516,F516),0)))</f>
        <v/>
      </c>
      <c r="R516" s="32">
        <f>IF(A516="","",IF(M516&lt;&gt;"",M516,G516))</f>
        <v/>
      </c>
      <c r="S516" s="32">
        <f>IF(A516="","",IF(N516&lt;&gt;"",N516,H516))</f>
        <v/>
      </c>
      <c r="T516" s="32">
        <f>IF(A516="","",IF(C516="✗","Skipped",IF(Q516&gt;0,"Paid","Upcoming")))</f>
        <v/>
      </c>
      <c r="U516" s="36">
        <f>IF(A516="",0,IF(C516="✗",0,IF(L516&lt;&gt;"",L516,F516)))</f>
        <v/>
      </c>
    </row>
    <row r="517">
      <c r="A517" s="39">
        <f>IFERROR(SMALL(Calc!$B$2:$BB$61,512),"")</f>
        <v/>
      </c>
      <c r="B517" s="39">
        <f>IF(A517="","",ROUND(MOD(A517,1)*1000,0))</f>
        <v/>
      </c>
      <c r="C517" s="33" t="n"/>
      <c r="D517" s="40">
        <f>IF(A517="","",INT(A517))</f>
        <v/>
      </c>
      <c r="E517" s="41">
        <f>IF(B517="","",INDEX(Setup!$D$25:$D$84,B517))</f>
        <v/>
      </c>
      <c r="F517" s="42">
        <f>IF(B517="","",INDEX(Setup!$E$25:$E$84,B517))</f>
        <v/>
      </c>
      <c r="G517" s="39">
        <f>IF(B517="","",INDEX(Setup!$I$25:$I$84,B517)&amp;"")</f>
        <v/>
      </c>
      <c r="H517" s="39">
        <f>IF(B517="","",INDEX(Setup!$J$25:$J$84,B517)&amp;"")</f>
        <v/>
      </c>
      <c r="I517" s="39">
        <f>IF(B517="","",INDEX(Setup!$C$25:$C$84,B517))</f>
        <v/>
      </c>
      <c r="J517" s="39" t="n"/>
      <c r="K517" s="37" t="n"/>
      <c r="L517" s="38" t="n"/>
      <c r="M517" s="33" t="n"/>
      <c r="N517" s="33" t="n"/>
      <c r="O517" s="39" t="n"/>
      <c r="P517" s="40">
        <f>IF(A517="","",IF(K517&lt;&gt;"",K517,D517))</f>
        <v/>
      </c>
      <c r="Q517" s="42">
        <f>IF(A517="",0,IF(C517="✗",0,IF(OR(C517="✓",AND(Setup!$D$7="Yes",P517&lt;=TODAY())),IF(L517&lt;&gt;"",L517,F517),0)))</f>
        <v/>
      </c>
      <c r="R517" s="39">
        <f>IF(A517="","",IF(M517&lt;&gt;"",M517,G517))</f>
        <v/>
      </c>
      <c r="S517" s="39">
        <f>IF(A517="","",IF(N517&lt;&gt;"",N517,H517))</f>
        <v/>
      </c>
      <c r="T517" s="39">
        <f>IF(A517="","",IF(C517="✗","Skipped",IF(Q517&gt;0,"Paid","Upcoming")))</f>
        <v/>
      </c>
      <c r="U517" s="42">
        <f>IF(A517="",0,IF(C517="✗",0,IF(L517&lt;&gt;"",L517,F517)))</f>
        <v/>
      </c>
    </row>
    <row r="518">
      <c r="A518" s="32">
        <f>IFERROR(SMALL(Calc!$B$2:$BB$61,513),"")</f>
        <v/>
      </c>
      <c r="B518" s="32">
        <f>IF(A518="","",ROUND(MOD(A518,1)*1000,0))</f>
        <v/>
      </c>
      <c r="C518" s="33" t="n"/>
      <c r="D518" s="34">
        <f>IF(A518="","",INT(A518))</f>
        <v/>
      </c>
      <c r="E518" s="35">
        <f>IF(B518="","",INDEX(Setup!$D$25:$D$84,B518))</f>
        <v/>
      </c>
      <c r="F518" s="36">
        <f>IF(B518="","",INDEX(Setup!$E$25:$E$84,B518))</f>
        <v/>
      </c>
      <c r="G518" s="32">
        <f>IF(B518="","",INDEX(Setup!$I$25:$I$84,B518)&amp;"")</f>
        <v/>
      </c>
      <c r="H518" s="32">
        <f>IF(B518="","",INDEX(Setup!$J$25:$J$84,B518)&amp;"")</f>
        <v/>
      </c>
      <c r="I518" s="32">
        <f>IF(B518="","",INDEX(Setup!$C$25:$C$84,B518))</f>
        <v/>
      </c>
      <c r="J518" s="32" t="n"/>
      <c r="K518" s="37" t="n"/>
      <c r="L518" s="38" t="n"/>
      <c r="M518" s="33" t="n"/>
      <c r="N518" s="33" t="n"/>
      <c r="O518" s="32" t="n"/>
      <c r="P518" s="34">
        <f>IF(A518="","",IF(K518&lt;&gt;"",K518,D518))</f>
        <v/>
      </c>
      <c r="Q518" s="36">
        <f>IF(A518="",0,IF(C518="✗",0,IF(OR(C518="✓",AND(Setup!$D$7="Yes",P518&lt;=TODAY())),IF(L518&lt;&gt;"",L518,F518),0)))</f>
        <v/>
      </c>
      <c r="R518" s="32">
        <f>IF(A518="","",IF(M518&lt;&gt;"",M518,G518))</f>
        <v/>
      </c>
      <c r="S518" s="32">
        <f>IF(A518="","",IF(N518&lt;&gt;"",N518,H518))</f>
        <v/>
      </c>
      <c r="T518" s="32">
        <f>IF(A518="","",IF(C518="✗","Skipped",IF(Q518&gt;0,"Paid","Upcoming")))</f>
        <v/>
      </c>
      <c r="U518" s="36">
        <f>IF(A518="",0,IF(C518="✗",0,IF(L518&lt;&gt;"",L518,F518)))</f>
        <v/>
      </c>
    </row>
    <row r="519">
      <c r="A519" s="39">
        <f>IFERROR(SMALL(Calc!$B$2:$BB$61,514),"")</f>
        <v/>
      </c>
      <c r="B519" s="39">
        <f>IF(A519="","",ROUND(MOD(A519,1)*1000,0))</f>
        <v/>
      </c>
      <c r="C519" s="33" t="n"/>
      <c r="D519" s="40">
        <f>IF(A519="","",INT(A519))</f>
        <v/>
      </c>
      <c r="E519" s="41">
        <f>IF(B519="","",INDEX(Setup!$D$25:$D$84,B519))</f>
        <v/>
      </c>
      <c r="F519" s="42">
        <f>IF(B519="","",INDEX(Setup!$E$25:$E$84,B519))</f>
        <v/>
      </c>
      <c r="G519" s="39">
        <f>IF(B519="","",INDEX(Setup!$I$25:$I$84,B519)&amp;"")</f>
        <v/>
      </c>
      <c r="H519" s="39">
        <f>IF(B519="","",INDEX(Setup!$J$25:$J$84,B519)&amp;"")</f>
        <v/>
      </c>
      <c r="I519" s="39">
        <f>IF(B519="","",INDEX(Setup!$C$25:$C$84,B519))</f>
        <v/>
      </c>
      <c r="J519" s="39" t="n"/>
      <c r="K519" s="37" t="n"/>
      <c r="L519" s="38" t="n"/>
      <c r="M519" s="33" t="n"/>
      <c r="N519" s="33" t="n"/>
      <c r="O519" s="39" t="n"/>
      <c r="P519" s="40">
        <f>IF(A519="","",IF(K519&lt;&gt;"",K519,D519))</f>
        <v/>
      </c>
      <c r="Q519" s="42">
        <f>IF(A519="",0,IF(C519="✗",0,IF(OR(C519="✓",AND(Setup!$D$7="Yes",P519&lt;=TODAY())),IF(L519&lt;&gt;"",L519,F519),0)))</f>
        <v/>
      </c>
      <c r="R519" s="39">
        <f>IF(A519="","",IF(M519&lt;&gt;"",M519,G519))</f>
        <v/>
      </c>
      <c r="S519" s="39">
        <f>IF(A519="","",IF(N519&lt;&gt;"",N519,H519))</f>
        <v/>
      </c>
      <c r="T519" s="39">
        <f>IF(A519="","",IF(C519="✗","Skipped",IF(Q519&gt;0,"Paid","Upcoming")))</f>
        <v/>
      </c>
      <c r="U519" s="42">
        <f>IF(A519="",0,IF(C519="✗",0,IF(L519&lt;&gt;"",L519,F519)))</f>
        <v/>
      </c>
    </row>
    <row r="520">
      <c r="A520" s="32">
        <f>IFERROR(SMALL(Calc!$B$2:$BB$61,515),"")</f>
        <v/>
      </c>
      <c r="B520" s="32">
        <f>IF(A520="","",ROUND(MOD(A520,1)*1000,0))</f>
        <v/>
      </c>
      <c r="C520" s="33" t="n"/>
      <c r="D520" s="34">
        <f>IF(A520="","",INT(A520))</f>
        <v/>
      </c>
      <c r="E520" s="35">
        <f>IF(B520="","",INDEX(Setup!$D$25:$D$84,B520))</f>
        <v/>
      </c>
      <c r="F520" s="36">
        <f>IF(B520="","",INDEX(Setup!$E$25:$E$84,B520))</f>
        <v/>
      </c>
      <c r="G520" s="32">
        <f>IF(B520="","",INDEX(Setup!$I$25:$I$84,B520)&amp;"")</f>
        <v/>
      </c>
      <c r="H520" s="32">
        <f>IF(B520="","",INDEX(Setup!$J$25:$J$84,B520)&amp;"")</f>
        <v/>
      </c>
      <c r="I520" s="32">
        <f>IF(B520="","",INDEX(Setup!$C$25:$C$84,B520))</f>
        <v/>
      </c>
      <c r="J520" s="32" t="n"/>
      <c r="K520" s="37" t="n"/>
      <c r="L520" s="38" t="n"/>
      <c r="M520" s="33" t="n"/>
      <c r="N520" s="33" t="n"/>
      <c r="O520" s="32" t="n"/>
      <c r="P520" s="34">
        <f>IF(A520="","",IF(K520&lt;&gt;"",K520,D520))</f>
        <v/>
      </c>
      <c r="Q520" s="36">
        <f>IF(A520="",0,IF(C520="✗",0,IF(OR(C520="✓",AND(Setup!$D$7="Yes",P520&lt;=TODAY())),IF(L520&lt;&gt;"",L520,F520),0)))</f>
        <v/>
      </c>
      <c r="R520" s="32">
        <f>IF(A520="","",IF(M520&lt;&gt;"",M520,G520))</f>
        <v/>
      </c>
      <c r="S520" s="32">
        <f>IF(A520="","",IF(N520&lt;&gt;"",N520,H520))</f>
        <v/>
      </c>
      <c r="T520" s="32">
        <f>IF(A520="","",IF(C520="✗","Skipped",IF(Q520&gt;0,"Paid","Upcoming")))</f>
        <v/>
      </c>
      <c r="U520" s="36">
        <f>IF(A520="",0,IF(C520="✗",0,IF(L520&lt;&gt;"",L520,F520)))</f>
        <v/>
      </c>
    </row>
    <row r="521">
      <c r="A521" s="39">
        <f>IFERROR(SMALL(Calc!$B$2:$BB$61,516),"")</f>
        <v/>
      </c>
      <c r="B521" s="39">
        <f>IF(A521="","",ROUND(MOD(A521,1)*1000,0))</f>
        <v/>
      </c>
      <c r="C521" s="33" t="n"/>
      <c r="D521" s="40">
        <f>IF(A521="","",INT(A521))</f>
        <v/>
      </c>
      <c r="E521" s="41">
        <f>IF(B521="","",INDEX(Setup!$D$25:$D$84,B521))</f>
        <v/>
      </c>
      <c r="F521" s="42">
        <f>IF(B521="","",INDEX(Setup!$E$25:$E$84,B521))</f>
        <v/>
      </c>
      <c r="G521" s="39">
        <f>IF(B521="","",INDEX(Setup!$I$25:$I$84,B521)&amp;"")</f>
        <v/>
      </c>
      <c r="H521" s="39">
        <f>IF(B521="","",INDEX(Setup!$J$25:$J$84,B521)&amp;"")</f>
        <v/>
      </c>
      <c r="I521" s="39">
        <f>IF(B521="","",INDEX(Setup!$C$25:$C$84,B521))</f>
        <v/>
      </c>
      <c r="J521" s="39" t="n"/>
      <c r="K521" s="37" t="n"/>
      <c r="L521" s="38" t="n"/>
      <c r="M521" s="33" t="n"/>
      <c r="N521" s="33" t="n"/>
      <c r="O521" s="39" t="n"/>
      <c r="P521" s="40">
        <f>IF(A521="","",IF(K521&lt;&gt;"",K521,D521))</f>
        <v/>
      </c>
      <c r="Q521" s="42">
        <f>IF(A521="",0,IF(C521="✗",0,IF(OR(C521="✓",AND(Setup!$D$7="Yes",P521&lt;=TODAY())),IF(L521&lt;&gt;"",L521,F521),0)))</f>
        <v/>
      </c>
      <c r="R521" s="39">
        <f>IF(A521="","",IF(M521&lt;&gt;"",M521,G521))</f>
        <v/>
      </c>
      <c r="S521" s="39">
        <f>IF(A521="","",IF(N521&lt;&gt;"",N521,H521))</f>
        <v/>
      </c>
      <c r="T521" s="39">
        <f>IF(A521="","",IF(C521="✗","Skipped",IF(Q521&gt;0,"Paid","Upcoming")))</f>
        <v/>
      </c>
      <c r="U521" s="42">
        <f>IF(A521="",0,IF(C521="✗",0,IF(L521&lt;&gt;"",L521,F521)))</f>
        <v/>
      </c>
    </row>
    <row r="522">
      <c r="A522" s="32">
        <f>IFERROR(SMALL(Calc!$B$2:$BB$61,517),"")</f>
        <v/>
      </c>
      <c r="B522" s="32">
        <f>IF(A522="","",ROUND(MOD(A522,1)*1000,0))</f>
        <v/>
      </c>
      <c r="C522" s="33" t="n"/>
      <c r="D522" s="34">
        <f>IF(A522="","",INT(A522))</f>
        <v/>
      </c>
      <c r="E522" s="35">
        <f>IF(B522="","",INDEX(Setup!$D$25:$D$84,B522))</f>
        <v/>
      </c>
      <c r="F522" s="36">
        <f>IF(B522="","",INDEX(Setup!$E$25:$E$84,B522))</f>
        <v/>
      </c>
      <c r="G522" s="32">
        <f>IF(B522="","",INDEX(Setup!$I$25:$I$84,B522)&amp;"")</f>
        <v/>
      </c>
      <c r="H522" s="32">
        <f>IF(B522="","",INDEX(Setup!$J$25:$J$84,B522)&amp;"")</f>
        <v/>
      </c>
      <c r="I522" s="32">
        <f>IF(B522="","",INDEX(Setup!$C$25:$C$84,B522))</f>
        <v/>
      </c>
      <c r="J522" s="32" t="n"/>
      <c r="K522" s="37" t="n"/>
      <c r="L522" s="38" t="n"/>
      <c r="M522" s="33" t="n"/>
      <c r="N522" s="33" t="n"/>
      <c r="O522" s="32" t="n"/>
      <c r="P522" s="34">
        <f>IF(A522="","",IF(K522&lt;&gt;"",K522,D522))</f>
        <v/>
      </c>
      <c r="Q522" s="36">
        <f>IF(A522="",0,IF(C522="✗",0,IF(OR(C522="✓",AND(Setup!$D$7="Yes",P522&lt;=TODAY())),IF(L522&lt;&gt;"",L522,F522),0)))</f>
        <v/>
      </c>
      <c r="R522" s="32">
        <f>IF(A522="","",IF(M522&lt;&gt;"",M522,G522))</f>
        <v/>
      </c>
      <c r="S522" s="32">
        <f>IF(A522="","",IF(N522&lt;&gt;"",N522,H522))</f>
        <v/>
      </c>
      <c r="T522" s="32">
        <f>IF(A522="","",IF(C522="✗","Skipped",IF(Q522&gt;0,"Paid","Upcoming")))</f>
        <v/>
      </c>
      <c r="U522" s="36">
        <f>IF(A522="",0,IF(C522="✗",0,IF(L522&lt;&gt;"",L522,F522)))</f>
        <v/>
      </c>
    </row>
    <row r="523">
      <c r="A523" s="39">
        <f>IFERROR(SMALL(Calc!$B$2:$BB$61,518),"")</f>
        <v/>
      </c>
      <c r="B523" s="39">
        <f>IF(A523="","",ROUND(MOD(A523,1)*1000,0))</f>
        <v/>
      </c>
      <c r="C523" s="33" t="n"/>
      <c r="D523" s="40">
        <f>IF(A523="","",INT(A523))</f>
        <v/>
      </c>
      <c r="E523" s="41">
        <f>IF(B523="","",INDEX(Setup!$D$25:$D$84,B523))</f>
        <v/>
      </c>
      <c r="F523" s="42">
        <f>IF(B523="","",INDEX(Setup!$E$25:$E$84,B523))</f>
        <v/>
      </c>
      <c r="G523" s="39">
        <f>IF(B523="","",INDEX(Setup!$I$25:$I$84,B523)&amp;"")</f>
        <v/>
      </c>
      <c r="H523" s="39">
        <f>IF(B523="","",INDEX(Setup!$J$25:$J$84,B523)&amp;"")</f>
        <v/>
      </c>
      <c r="I523" s="39">
        <f>IF(B523="","",INDEX(Setup!$C$25:$C$84,B523))</f>
        <v/>
      </c>
      <c r="J523" s="39" t="n"/>
      <c r="K523" s="37" t="n"/>
      <c r="L523" s="38" t="n"/>
      <c r="M523" s="33" t="n"/>
      <c r="N523" s="33" t="n"/>
      <c r="O523" s="39" t="n"/>
      <c r="P523" s="40">
        <f>IF(A523="","",IF(K523&lt;&gt;"",K523,D523))</f>
        <v/>
      </c>
      <c r="Q523" s="42">
        <f>IF(A523="",0,IF(C523="✗",0,IF(OR(C523="✓",AND(Setup!$D$7="Yes",P523&lt;=TODAY())),IF(L523&lt;&gt;"",L523,F523),0)))</f>
        <v/>
      </c>
      <c r="R523" s="39">
        <f>IF(A523="","",IF(M523&lt;&gt;"",M523,G523))</f>
        <v/>
      </c>
      <c r="S523" s="39">
        <f>IF(A523="","",IF(N523&lt;&gt;"",N523,H523))</f>
        <v/>
      </c>
      <c r="T523" s="39">
        <f>IF(A523="","",IF(C523="✗","Skipped",IF(Q523&gt;0,"Paid","Upcoming")))</f>
        <v/>
      </c>
      <c r="U523" s="42">
        <f>IF(A523="",0,IF(C523="✗",0,IF(L523&lt;&gt;"",L523,F523)))</f>
        <v/>
      </c>
    </row>
    <row r="524">
      <c r="A524" s="32">
        <f>IFERROR(SMALL(Calc!$B$2:$BB$61,519),"")</f>
        <v/>
      </c>
      <c r="B524" s="32">
        <f>IF(A524="","",ROUND(MOD(A524,1)*1000,0))</f>
        <v/>
      </c>
      <c r="C524" s="33" t="n"/>
      <c r="D524" s="34">
        <f>IF(A524="","",INT(A524))</f>
        <v/>
      </c>
      <c r="E524" s="35">
        <f>IF(B524="","",INDEX(Setup!$D$25:$D$84,B524))</f>
        <v/>
      </c>
      <c r="F524" s="36">
        <f>IF(B524="","",INDEX(Setup!$E$25:$E$84,B524))</f>
        <v/>
      </c>
      <c r="G524" s="32">
        <f>IF(B524="","",INDEX(Setup!$I$25:$I$84,B524)&amp;"")</f>
        <v/>
      </c>
      <c r="H524" s="32">
        <f>IF(B524="","",INDEX(Setup!$J$25:$J$84,B524)&amp;"")</f>
        <v/>
      </c>
      <c r="I524" s="32">
        <f>IF(B524="","",INDEX(Setup!$C$25:$C$84,B524))</f>
        <v/>
      </c>
      <c r="J524" s="32" t="n"/>
      <c r="K524" s="37" t="n"/>
      <c r="L524" s="38" t="n"/>
      <c r="M524" s="33" t="n"/>
      <c r="N524" s="33" t="n"/>
      <c r="O524" s="32" t="n"/>
      <c r="P524" s="34">
        <f>IF(A524="","",IF(K524&lt;&gt;"",K524,D524))</f>
        <v/>
      </c>
      <c r="Q524" s="36">
        <f>IF(A524="",0,IF(C524="✗",0,IF(OR(C524="✓",AND(Setup!$D$7="Yes",P524&lt;=TODAY())),IF(L524&lt;&gt;"",L524,F524),0)))</f>
        <v/>
      </c>
      <c r="R524" s="32">
        <f>IF(A524="","",IF(M524&lt;&gt;"",M524,G524))</f>
        <v/>
      </c>
      <c r="S524" s="32">
        <f>IF(A524="","",IF(N524&lt;&gt;"",N524,H524))</f>
        <v/>
      </c>
      <c r="T524" s="32">
        <f>IF(A524="","",IF(C524="✗","Skipped",IF(Q524&gt;0,"Paid","Upcoming")))</f>
        <v/>
      </c>
      <c r="U524" s="36">
        <f>IF(A524="",0,IF(C524="✗",0,IF(L524&lt;&gt;"",L524,F524)))</f>
        <v/>
      </c>
    </row>
    <row r="525">
      <c r="A525" s="39">
        <f>IFERROR(SMALL(Calc!$B$2:$BB$61,520),"")</f>
        <v/>
      </c>
      <c r="B525" s="39">
        <f>IF(A525="","",ROUND(MOD(A525,1)*1000,0))</f>
        <v/>
      </c>
      <c r="C525" s="33" t="n"/>
      <c r="D525" s="40">
        <f>IF(A525="","",INT(A525))</f>
        <v/>
      </c>
      <c r="E525" s="41">
        <f>IF(B525="","",INDEX(Setup!$D$25:$D$84,B525))</f>
        <v/>
      </c>
      <c r="F525" s="42">
        <f>IF(B525="","",INDEX(Setup!$E$25:$E$84,B525))</f>
        <v/>
      </c>
      <c r="G525" s="39">
        <f>IF(B525="","",INDEX(Setup!$I$25:$I$84,B525)&amp;"")</f>
        <v/>
      </c>
      <c r="H525" s="39">
        <f>IF(B525="","",INDEX(Setup!$J$25:$J$84,B525)&amp;"")</f>
        <v/>
      </c>
      <c r="I525" s="39">
        <f>IF(B525="","",INDEX(Setup!$C$25:$C$84,B525))</f>
        <v/>
      </c>
      <c r="J525" s="39" t="n"/>
      <c r="K525" s="37" t="n"/>
      <c r="L525" s="38" t="n"/>
      <c r="M525" s="33" t="n"/>
      <c r="N525" s="33" t="n"/>
      <c r="O525" s="39" t="n"/>
      <c r="P525" s="40">
        <f>IF(A525="","",IF(K525&lt;&gt;"",K525,D525))</f>
        <v/>
      </c>
      <c r="Q525" s="42">
        <f>IF(A525="",0,IF(C525="✗",0,IF(OR(C525="✓",AND(Setup!$D$7="Yes",P525&lt;=TODAY())),IF(L525&lt;&gt;"",L525,F525),0)))</f>
        <v/>
      </c>
      <c r="R525" s="39">
        <f>IF(A525="","",IF(M525&lt;&gt;"",M525,G525))</f>
        <v/>
      </c>
      <c r="S525" s="39">
        <f>IF(A525="","",IF(N525&lt;&gt;"",N525,H525))</f>
        <v/>
      </c>
      <c r="T525" s="39">
        <f>IF(A525="","",IF(C525="✗","Skipped",IF(Q525&gt;0,"Paid","Upcoming")))</f>
        <v/>
      </c>
      <c r="U525" s="42">
        <f>IF(A525="",0,IF(C525="✗",0,IF(L525&lt;&gt;"",L525,F525)))</f>
        <v/>
      </c>
    </row>
    <row r="526">
      <c r="A526" s="32">
        <f>IFERROR(SMALL(Calc!$B$2:$BB$61,521),"")</f>
        <v/>
      </c>
      <c r="B526" s="32">
        <f>IF(A526="","",ROUND(MOD(A526,1)*1000,0))</f>
        <v/>
      </c>
      <c r="C526" s="33" t="n"/>
      <c r="D526" s="34">
        <f>IF(A526="","",INT(A526))</f>
        <v/>
      </c>
      <c r="E526" s="35">
        <f>IF(B526="","",INDEX(Setup!$D$25:$D$84,B526))</f>
        <v/>
      </c>
      <c r="F526" s="36">
        <f>IF(B526="","",INDEX(Setup!$E$25:$E$84,B526))</f>
        <v/>
      </c>
      <c r="G526" s="32">
        <f>IF(B526="","",INDEX(Setup!$I$25:$I$84,B526)&amp;"")</f>
        <v/>
      </c>
      <c r="H526" s="32">
        <f>IF(B526="","",INDEX(Setup!$J$25:$J$84,B526)&amp;"")</f>
        <v/>
      </c>
      <c r="I526" s="32">
        <f>IF(B526="","",INDEX(Setup!$C$25:$C$84,B526))</f>
        <v/>
      </c>
      <c r="J526" s="32" t="n"/>
      <c r="K526" s="37" t="n"/>
      <c r="L526" s="38" t="n"/>
      <c r="M526" s="33" t="n"/>
      <c r="N526" s="33" t="n"/>
      <c r="O526" s="32" t="n"/>
      <c r="P526" s="34">
        <f>IF(A526="","",IF(K526&lt;&gt;"",K526,D526))</f>
        <v/>
      </c>
      <c r="Q526" s="36">
        <f>IF(A526="",0,IF(C526="✗",0,IF(OR(C526="✓",AND(Setup!$D$7="Yes",P526&lt;=TODAY())),IF(L526&lt;&gt;"",L526,F526),0)))</f>
        <v/>
      </c>
      <c r="R526" s="32">
        <f>IF(A526="","",IF(M526&lt;&gt;"",M526,G526))</f>
        <v/>
      </c>
      <c r="S526" s="32">
        <f>IF(A526="","",IF(N526&lt;&gt;"",N526,H526))</f>
        <v/>
      </c>
      <c r="T526" s="32">
        <f>IF(A526="","",IF(C526="✗","Skipped",IF(Q526&gt;0,"Paid","Upcoming")))</f>
        <v/>
      </c>
      <c r="U526" s="36">
        <f>IF(A526="",0,IF(C526="✗",0,IF(L526&lt;&gt;"",L526,F526)))</f>
        <v/>
      </c>
    </row>
    <row r="527">
      <c r="A527" s="39">
        <f>IFERROR(SMALL(Calc!$B$2:$BB$61,522),"")</f>
        <v/>
      </c>
      <c r="B527" s="39">
        <f>IF(A527="","",ROUND(MOD(A527,1)*1000,0))</f>
        <v/>
      </c>
      <c r="C527" s="33" t="n"/>
      <c r="D527" s="40">
        <f>IF(A527="","",INT(A527))</f>
        <v/>
      </c>
      <c r="E527" s="41">
        <f>IF(B527="","",INDEX(Setup!$D$25:$D$84,B527))</f>
        <v/>
      </c>
      <c r="F527" s="42">
        <f>IF(B527="","",INDEX(Setup!$E$25:$E$84,B527))</f>
        <v/>
      </c>
      <c r="G527" s="39">
        <f>IF(B527="","",INDEX(Setup!$I$25:$I$84,B527)&amp;"")</f>
        <v/>
      </c>
      <c r="H527" s="39">
        <f>IF(B527="","",INDEX(Setup!$J$25:$J$84,B527)&amp;"")</f>
        <v/>
      </c>
      <c r="I527" s="39">
        <f>IF(B527="","",INDEX(Setup!$C$25:$C$84,B527))</f>
        <v/>
      </c>
      <c r="J527" s="39" t="n"/>
      <c r="K527" s="37" t="n"/>
      <c r="L527" s="38" t="n"/>
      <c r="M527" s="33" t="n"/>
      <c r="N527" s="33" t="n"/>
      <c r="O527" s="39" t="n"/>
      <c r="P527" s="40">
        <f>IF(A527="","",IF(K527&lt;&gt;"",K527,D527))</f>
        <v/>
      </c>
      <c r="Q527" s="42">
        <f>IF(A527="",0,IF(C527="✗",0,IF(OR(C527="✓",AND(Setup!$D$7="Yes",P527&lt;=TODAY())),IF(L527&lt;&gt;"",L527,F527),0)))</f>
        <v/>
      </c>
      <c r="R527" s="39">
        <f>IF(A527="","",IF(M527&lt;&gt;"",M527,G527))</f>
        <v/>
      </c>
      <c r="S527" s="39">
        <f>IF(A527="","",IF(N527&lt;&gt;"",N527,H527))</f>
        <v/>
      </c>
      <c r="T527" s="39">
        <f>IF(A527="","",IF(C527="✗","Skipped",IF(Q527&gt;0,"Paid","Upcoming")))</f>
        <v/>
      </c>
      <c r="U527" s="42">
        <f>IF(A527="",0,IF(C527="✗",0,IF(L527&lt;&gt;"",L527,F527)))</f>
        <v/>
      </c>
    </row>
    <row r="528">
      <c r="A528" s="32">
        <f>IFERROR(SMALL(Calc!$B$2:$BB$61,523),"")</f>
        <v/>
      </c>
      <c r="B528" s="32">
        <f>IF(A528="","",ROUND(MOD(A528,1)*1000,0))</f>
        <v/>
      </c>
      <c r="C528" s="33" t="n"/>
      <c r="D528" s="34">
        <f>IF(A528="","",INT(A528))</f>
        <v/>
      </c>
      <c r="E528" s="35">
        <f>IF(B528="","",INDEX(Setup!$D$25:$D$84,B528))</f>
        <v/>
      </c>
      <c r="F528" s="36">
        <f>IF(B528="","",INDEX(Setup!$E$25:$E$84,B528))</f>
        <v/>
      </c>
      <c r="G528" s="32">
        <f>IF(B528="","",INDEX(Setup!$I$25:$I$84,B528)&amp;"")</f>
        <v/>
      </c>
      <c r="H528" s="32">
        <f>IF(B528="","",INDEX(Setup!$J$25:$J$84,B528)&amp;"")</f>
        <v/>
      </c>
      <c r="I528" s="32">
        <f>IF(B528="","",INDEX(Setup!$C$25:$C$84,B528))</f>
        <v/>
      </c>
      <c r="J528" s="32" t="n"/>
      <c r="K528" s="37" t="n"/>
      <c r="L528" s="38" t="n"/>
      <c r="M528" s="33" t="n"/>
      <c r="N528" s="33" t="n"/>
      <c r="O528" s="32" t="n"/>
      <c r="P528" s="34">
        <f>IF(A528="","",IF(K528&lt;&gt;"",K528,D528))</f>
        <v/>
      </c>
      <c r="Q528" s="36">
        <f>IF(A528="",0,IF(C528="✗",0,IF(OR(C528="✓",AND(Setup!$D$7="Yes",P528&lt;=TODAY())),IF(L528&lt;&gt;"",L528,F528),0)))</f>
        <v/>
      </c>
      <c r="R528" s="32">
        <f>IF(A528="","",IF(M528&lt;&gt;"",M528,G528))</f>
        <v/>
      </c>
      <c r="S528" s="32">
        <f>IF(A528="","",IF(N528&lt;&gt;"",N528,H528))</f>
        <v/>
      </c>
      <c r="T528" s="32">
        <f>IF(A528="","",IF(C528="✗","Skipped",IF(Q528&gt;0,"Paid","Upcoming")))</f>
        <v/>
      </c>
      <c r="U528" s="36">
        <f>IF(A528="",0,IF(C528="✗",0,IF(L528&lt;&gt;"",L528,F528)))</f>
        <v/>
      </c>
    </row>
    <row r="529">
      <c r="A529" s="39">
        <f>IFERROR(SMALL(Calc!$B$2:$BB$61,524),"")</f>
        <v/>
      </c>
      <c r="B529" s="39">
        <f>IF(A529="","",ROUND(MOD(A529,1)*1000,0))</f>
        <v/>
      </c>
      <c r="C529" s="33" t="n"/>
      <c r="D529" s="40">
        <f>IF(A529="","",INT(A529))</f>
        <v/>
      </c>
      <c r="E529" s="41">
        <f>IF(B529="","",INDEX(Setup!$D$25:$D$84,B529))</f>
        <v/>
      </c>
      <c r="F529" s="42">
        <f>IF(B529="","",INDEX(Setup!$E$25:$E$84,B529))</f>
        <v/>
      </c>
      <c r="G529" s="39">
        <f>IF(B529="","",INDEX(Setup!$I$25:$I$84,B529)&amp;"")</f>
        <v/>
      </c>
      <c r="H529" s="39">
        <f>IF(B529="","",INDEX(Setup!$J$25:$J$84,B529)&amp;"")</f>
        <v/>
      </c>
      <c r="I529" s="39">
        <f>IF(B529="","",INDEX(Setup!$C$25:$C$84,B529))</f>
        <v/>
      </c>
      <c r="J529" s="39" t="n"/>
      <c r="K529" s="37" t="n"/>
      <c r="L529" s="38" t="n"/>
      <c r="M529" s="33" t="n"/>
      <c r="N529" s="33" t="n"/>
      <c r="O529" s="39" t="n"/>
      <c r="P529" s="40">
        <f>IF(A529="","",IF(K529&lt;&gt;"",K529,D529))</f>
        <v/>
      </c>
      <c r="Q529" s="42">
        <f>IF(A529="",0,IF(C529="✗",0,IF(OR(C529="✓",AND(Setup!$D$7="Yes",P529&lt;=TODAY())),IF(L529&lt;&gt;"",L529,F529),0)))</f>
        <v/>
      </c>
      <c r="R529" s="39">
        <f>IF(A529="","",IF(M529&lt;&gt;"",M529,G529))</f>
        <v/>
      </c>
      <c r="S529" s="39">
        <f>IF(A529="","",IF(N529&lt;&gt;"",N529,H529))</f>
        <v/>
      </c>
      <c r="T529" s="39">
        <f>IF(A529="","",IF(C529="✗","Skipped",IF(Q529&gt;0,"Paid","Upcoming")))</f>
        <v/>
      </c>
      <c r="U529" s="42">
        <f>IF(A529="",0,IF(C529="✗",0,IF(L529&lt;&gt;"",L529,F529)))</f>
        <v/>
      </c>
    </row>
    <row r="530">
      <c r="A530" s="32">
        <f>IFERROR(SMALL(Calc!$B$2:$BB$61,525),"")</f>
        <v/>
      </c>
      <c r="B530" s="32">
        <f>IF(A530="","",ROUND(MOD(A530,1)*1000,0))</f>
        <v/>
      </c>
      <c r="C530" s="33" t="n"/>
      <c r="D530" s="34">
        <f>IF(A530="","",INT(A530))</f>
        <v/>
      </c>
      <c r="E530" s="35">
        <f>IF(B530="","",INDEX(Setup!$D$25:$D$84,B530))</f>
        <v/>
      </c>
      <c r="F530" s="36">
        <f>IF(B530="","",INDEX(Setup!$E$25:$E$84,B530))</f>
        <v/>
      </c>
      <c r="G530" s="32">
        <f>IF(B530="","",INDEX(Setup!$I$25:$I$84,B530)&amp;"")</f>
        <v/>
      </c>
      <c r="H530" s="32">
        <f>IF(B530="","",INDEX(Setup!$J$25:$J$84,B530)&amp;"")</f>
        <v/>
      </c>
      <c r="I530" s="32">
        <f>IF(B530="","",INDEX(Setup!$C$25:$C$84,B530))</f>
        <v/>
      </c>
      <c r="J530" s="32" t="n"/>
      <c r="K530" s="37" t="n"/>
      <c r="L530" s="38" t="n"/>
      <c r="M530" s="33" t="n"/>
      <c r="N530" s="33" t="n"/>
      <c r="O530" s="32" t="n"/>
      <c r="P530" s="34">
        <f>IF(A530="","",IF(K530&lt;&gt;"",K530,D530))</f>
        <v/>
      </c>
      <c r="Q530" s="36">
        <f>IF(A530="",0,IF(C530="✗",0,IF(OR(C530="✓",AND(Setup!$D$7="Yes",P530&lt;=TODAY())),IF(L530&lt;&gt;"",L530,F530),0)))</f>
        <v/>
      </c>
      <c r="R530" s="32">
        <f>IF(A530="","",IF(M530&lt;&gt;"",M530,G530))</f>
        <v/>
      </c>
      <c r="S530" s="32">
        <f>IF(A530="","",IF(N530&lt;&gt;"",N530,H530))</f>
        <v/>
      </c>
      <c r="T530" s="32">
        <f>IF(A530="","",IF(C530="✗","Skipped",IF(Q530&gt;0,"Paid","Upcoming")))</f>
        <v/>
      </c>
      <c r="U530" s="36">
        <f>IF(A530="",0,IF(C530="✗",0,IF(L530&lt;&gt;"",L530,F530)))</f>
        <v/>
      </c>
    </row>
    <row r="531">
      <c r="A531" s="39">
        <f>IFERROR(SMALL(Calc!$B$2:$BB$61,526),"")</f>
        <v/>
      </c>
      <c r="B531" s="39">
        <f>IF(A531="","",ROUND(MOD(A531,1)*1000,0))</f>
        <v/>
      </c>
      <c r="C531" s="33" t="n"/>
      <c r="D531" s="40">
        <f>IF(A531="","",INT(A531))</f>
        <v/>
      </c>
      <c r="E531" s="41">
        <f>IF(B531="","",INDEX(Setup!$D$25:$D$84,B531))</f>
        <v/>
      </c>
      <c r="F531" s="42">
        <f>IF(B531="","",INDEX(Setup!$E$25:$E$84,B531))</f>
        <v/>
      </c>
      <c r="G531" s="39">
        <f>IF(B531="","",INDEX(Setup!$I$25:$I$84,B531)&amp;"")</f>
        <v/>
      </c>
      <c r="H531" s="39">
        <f>IF(B531="","",INDEX(Setup!$J$25:$J$84,B531)&amp;"")</f>
        <v/>
      </c>
      <c r="I531" s="39">
        <f>IF(B531="","",INDEX(Setup!$C$25:$C$84,B531))</f>
        <v/>
      </c>
      <c r="J531" s="39" t="n"/>
      <c r="K531" s="37" t="n"/>
      <c r="L531" s="38" t="n"/>
      <c r="M531" s="33" t="n"/>
      <c r="N531" s="33" t="n"/>
      <c r="O531" s="39" t="n"/>
      <c r="P531" s="40">
        <f>IF(A531="","",IF(K531&lt;&gt;"",K531,D531))</f>
        <v/>
      </c>
      <c r="Q531" s="42">
        <f>IF(A531="",0,IF(C531="✗",0,IF(OR(C531="✓",AND(Setup!$D$7="Yes",P531&lt;=TODAY())),IF(L531&lt;&gt;"",L531,F531),0)))</f>
        <v/>
      </c>
      <c r="R531" s="39">
        <f>IF(A531="","",IF(M531&lt;&gt;"",M531,G531))</f>
        <v/>
      </c>
      <c r="S531" s="39">
        <f>IF(A531="","",IF(N531&lt;&gt;"",N531,H531))</f>
        <v/>
      </c>
      <c r="T531" s="39">
        <f>IF(A531="","",IF(C531="✗","Skipped",IF(Q531&gt;0,"Paid","Upcoming")))</f>
        <v/>
      </c>
      <c r="U531" s="42">
        <f>IF(A531="",0,IF(C531="✗",0,IF(L531&lt;&gt;"",L531,F531)))</f>
        <v/>
      </c>
    </row>
    <row r="532">
      <c r="A532" s="32">
        <f>IFERROR(SMALL(Calc!$B$2:$BB$61,527),"")</f>
        <v/>
      </c>
      <c r="B532" s="32">
        <f>IF(A532="","",ROUND(MOD(A532,1)*1000,0))</f>
        <v/>
      </c>
      <c r="C532" s="33" t="n"/>
      <c r="D532" s="34">
        <f>IF(A532="","",INT(A532))</f>
        <v/>
      </c>
      <c r="E532" s="35">
        <f>IF(B532="","",INDEX(Setup!$D$25:$D$84,B532))</f>
        <v/>
      </c>
      <c r="F532" s="36">
        <f>IF(B532="","",INDEX(Setup!$E$25:$E$84,B532))</f>
        <v/>
      </c>
      <c r="G532" s="32">
        <f>IF(B532="","",INDEX(Setup!$I$25:$I$84,B532)&amp;"")</f>
        <v/>
      </c>
      <c r="H532" s="32">
        <f>IF(B532="","",INDEX(Setup!$J$25:$J$84,B532)&amp;"")</f>
        <v/>
      </c>
      <c r="I532" s="32">
        <f>IF(B532="","",INDEX(Setup!$C$25:$C$84,B532))</f>
        <v/>
      </c>
      <c r="J532" s="32" t="n"/>
      <c r="K532" s="37" t="n"/>
      <c r="L532" s="38" t="n"/>
      <c r="M532" s="33" t="n"/>
      <c r="N532" s="33" t="n"/>
      <c r="O532" s="32" t="n"/>
      <c r="P532" s="34">
        <f>IF(A532="","",IF(K532&lt;&gt;"",K532,D532))</f>
        <v/>
      </c>
      <c r="Q532" s="36">
        <f>IF(A532="",0,IF(C532="✗",0,IF(OR(C532="✓",AND(Setup!$D$7="Yes",P532&lt;=TODAY())),IF(L532&lt;&gt;"",L532,F532),0)))</f>
        <v/>
      </c>
      <c r="R532" s="32">
        <f>IF(A532="","",IF(M532&lt;&gt;"",M532,G532))</f>
        <v/>
      </c>
      <c r="S532" s="32">
        <f>IF(A532="","",IF(N532&lt;&gt;"",N532,H532))</f>
        <v/>
      </c>
      <c r="T532" s="32">
        <f>IF(A532="","",IF(C532="✗","Skipped",IF(Q532&gt;0,"Paid","Upcoming")))</f>
        <v/>
      </c>
      <c r="U532" s="36">
        <f>IF(A532="",0,IF(C532="✗",0,IF(L532&lt;&gt;"",L532,F532)))</f>
        <v/>
      </c>
    </row>
    <row r="533">
      <c r="A533" s="39">
        <f>IFERROR(SMALL(Calc!$B$2:$BB$61,528),"")</f>
        <v/>
      </c>
      <c r="B533" s="39">
        <f>IF(A533="","",ROUND(MOD(A533,1)*1000,0))</f>
        <v/>
      </c>
      <c r="C533" s="33" t="n"/>
      <c r="D533" s="40">
        <f>IF(A533="","",INT(A533))</f>
        <v/>
      </c>
      <c r="E533" s="41">
        <f>IF(B533="","",INDEX(Setup!$D$25:$D$84,B533))</f>
        <v/>
      </c>
      <c r="F533" s="42">
        <f>IF(B533="","",INDEX(Setup!$E$25:$E$84,B533))</f>
        <v/>
      </c>
      <c r="G533" s="39">
        <f>IF(B533="","",INDEX(Setup!$I$25:$I$84,B533)&amp;"")</f>
        <v/>
      </c>
      <c r="H533" s="39">
        <f>IF(B533="","",INDEX(Setup!$J$25:$J$84,B533)&amp;"")</f>
        <v/>
      </c>
      <c r="I533" s="39">
        <f>IF(B533="","",INDEX(Setup!$C$25:$C$84,B533))</f>
        <v/>
      </c>
      <c r="J533" s="39" t="n"/>
      <c r="K533" s="37" t="n"/>
      <c r="L533" s="38" t="n"/>
      <c r="M533" s="33" t="n"/>
      <c r="N533" s="33" t="n"/>
      <c r="O533" s="39" t="n"/>
      <c r="P533" s="40">
        <f>IF(A533="","",IF(K533&lt;&gt;"",K533,D533))</f>
        <v/>
      </c>
      <c r="Q533" s="42">
        <f>IF(A533="",0,IF(C533="✗",0,IF(OR(C533="✓",AND(Setup!$D$7="Yes",P533&lt;=TODAY())),IF(L533&lt;&gt;"",L533,F533),0)))</f>
        <v/>
      </c>
      <c r="R533" s="39">
        <f>IF(A533="","",IF(M533&lt;&gt;"",M533,G533))</f>
        <v/>
      </c>
      <c r="S533" s="39">
        <f>IF(A533="","",IF(N533&lt;&gt;"",N533,H533))</f>
        <v/>
      </c>
      <c r="T533" s="39">
        <f>IF(A533="","",IF(C533="✗","Skipped",IF(Q533&gt;0,"Paid","Upcoming")))</f>
        <v/>
      </c>
      <c r="U533" s="42">
        <f>IF(A533="",0,IF(C533="✗",0,IF(L533&lt;&gt;"",L533,F533)))</f>
        <v/>
      </c>
    </row>
    <row r="534">
      <c r="A534" s="32">
        <f>IFERROR(SMALL(Calc!$B$2:$BB$61,529),"")</f>
        <v/>
      </c>
      <c r="B534" s="32">
        <f>IF(A534="","",ROUND(MOD(A534,1)*1000,0))</f>
        <v/>
      </c>
      <c r="C534" s="33" t="n"/>
      <c r="D534" s="34">
        <f>IF(A534="","",INT(A534))</f>
        <v/>
      </c>
      <c r="E534" s="35">
        <f>IF(B534="","",INDEX(Setup!$D$25:$D$84,B534))</f>
        <v/>
      </c>
      <c r="F534" s="36">
        <f>IF(B534="","",INDEX(Setup!$E$25:$E$84,B534))</f>
        <v/>
      </c>
      <c r="G534" s="32">
        <f>IF(B534="","",INDEX(Setup!$I$25:$I$84,B534)&amp;"")</f>
        <v/>
      </c>
      <c r="H534" s="32">
        <f>IF(B534="","",INDEX(Setup!$J$25:$J$84,B534)&amp;"")</f>
        <v/>
      </c>
      <c r="I534" s="32">
        <f>IF(B534="","",INDEX(Setup!$C$25:$C$84,B534))</f>
        <v/>
      </c>
      <c r="J534" s="32" t="n"/>
      <c r="K534" s="37" t="n"/>
      <c r="L534" s="38" t="n"/>
      <c r="M534" s="33" t="n"/>
      <c r="N534" s="33" t="n"/>
      <c r="O534" s="32" t="n"/>
      <c r="P534" s="34">
        <f>IF(A534="","",IF(K534&lt;&gt;"",K534,D534))</f>
        <v/>
      </c>
      <c r="Q534" s="36">
        <f>IF(A534="",0,IF(C534="✗",0,IF(OR(C534="✓",AND(Setup!$D$7="Yes",P534&lt;=TODAY())),IF(L534&lt;&gt;"",L534,F534),0)))</f>
        <v/>
      </c>
      <c r="R534" s="32">
        <f>IF(A534="","",IF(M534&lt;&gt;"",M534,G534))</f>
        <v/>
      </c>
      <c r="S534" s="32">
        <f>IF(A534="","",IF(N534&lt;&gt;"",N534,H534))</f>
        <v/>
      </c>
      <c r="T534" s="32">
        <f>IF(A534="","",IF(C534="✗","Skipped",IF(Q534&gt;0,"Paid","Upcoming")))</f>
        <v/>
      </c>
      <c r="U534" s="36">
        <f>IF(A534="",0,IF(C534="✗",0,IF(L534&lt;&gt;"",L534,F534)))</f>
        <v/>
      </c>
    </row>
    <row r="535">
      <c r="A535" s="39">
        <f>IFERROR(SMALL(Calc!$B$2:$BB$61,530),"")</f>
        <v/>
      </c>
      <c r="B535" s="39">
        <f>IF(A535="","",ROUND(MOD(A535,1)*1000,0))</f>
        <v/>
      </c>
      <c r="C535" s="33" t="n"/>
      <c r="D535" s="40">
        <f>IF(A535="","",INT(A535))</f>
        <v/>
      </c>
      <c r="E535" s="41">
        <f>IF(B535="","",INDEX(Setup!$D$25:$D$84,B535))</f>
        <v/>
      </c>
      <c r="F535" s="42">
        <f>IF(B535="","",INDEX(Setup!$E$25:$E$84,B535))</f>
        <v/>
      </c>
      <c r="G535" s="39">
        <f>IF(B535="","",INDEX(Setup!$I$25:$I$84,B535)&amp;"")</f>
        <v/>
      </c>
      <c r="H535" s="39">
        <f>IF(B535="","",INDEX(Setup!$J$25:$J$84,B535)&amp;"")</f>
        <v/>
      </c>
      <c r="I535" s="39">
        <f>IF(B535="","",INDEX(Setup!$C$25:$C$84,B535))</f>
        <v/>
      </c>
      <c r="J535" s="39" t="n"/>
      <c r="K535" s="37" t="n"/>
      <c r="L535" s="38" t="n"/>
      <c r="M535" s="33" t="n"/>
      <c r="N535" s="33" t="n"/>
      <c r="O535" s="39" t="n"/>
      <c r="P535" s="40">
        <f>IF(A535="","",IF(K535&lt;&gt;"",K535,D535))</f>
        <v/>
      </c>
      <c r="Q535" s="42">
        <f>IF(A535="",0,IF(C535="✗",0,IF(OR(C535="✓",AND(Setup!$D$7="Yes",P535&lt;=TODAY())),IF(L535&lt;&gt;"",L535,F535),0)))</f>
        <v/>
      </c>
      <c r="R535" s="39">
        <f>IF(A535="","",IF(M535&lt;&gt;"",M535,G535))</f>
        <v/>
      </c>
      <c r="S535" s="39">
        <f>IF(A535="","",IF(N535&lt;&gt;"",N535,H535))</f>
        <v/>
      </c>
      <c r="T535" s="39">
        <f>IF(A535="","",IF(C535="✗","Skipped",IF(Q535&gt;0,"Paid","Upcoming")))</f>
        <v/>
      </c>
      <c r="U535" s="42">
        <f>IF(A535="",0,IF(C535="✗",0,IF(L535&lt;&gt;"",L535,F535)))</f>
        <v/>
      </c>
    </row>
    <row r="536">
      <c r="A536" s="32">
        <f>IFERROR(SMALL(Calc!$B$2:$BB$61,531),"")</f>
        <v/>
      </c>
      <c r="B536" s="32">
        <f>IF(A536="","",ROUND(MOD(A536,1)*1000,0))</f>
        <v/>
      </c>
      <c r="C536" s="33" t="n"/>
      <c r="D536" s="34">
        <f>IF(A536="","",INT(A536))</f>
        <v/>
      </c>
      <c r="E536" s="35">
        <f>IF(B536="","",INDEX(Setup!$D$25:$D$84,B536))</f>
        <v/>
      </c>
      <c r="F536" s="36">
        <f>IF(B536="","",INDEX(Setup!$E$25:$E$84,B536))</f>
        <v/>
      </c>
      <c r="G536" s="32">
        <f>IF(B536="","",INDEX(Setup!$I$25:$I$84,B536)&amp;"")</f>
        <v/>
      </c>
      <c r="H536" s="32">
        <f>IF(B536="","",INDEX(Setup!$J$25:$J$84,B536)&amp;"")</f>
        <v/>
      </c>
      <c r="I536" s="32">
        <f>IF(B536="","",INDEX(Setup!$C$25:$C$84,B536))</f>
        <v/>
      </c>
      <c r="J536" s="32" t="n"/>
      <c r="K536" s="37" t="n"/>
      <c r="L536" s="38" t="n"/>
      <c r="M536" s="33" t="n"/>
      <c r="N536" s="33" t="n"/>
      <c r="O536" s="32" t="n"/>
      <c r="P536" s="34">
        <f>IF(A536="","",IF(K536&lt;&gt;"",K536,D536))</f>
        <v/>
      </c>
      <c r="Q536" s="36">
        <f>IF(A536="",0,IF(C536="✗",0,IF(OR(C536="✓",AND(Setup!$D$7="Yes",P536&lt;=TODAY())),IF(L536&lt;&gt;"",L536,F536),0)))</f>
        <v/>
      </c>
      <c r="R536" s="32">
        <f>IF(A536="","",IF(M536&lt;&gt;"",M536,G536))</f>
        <v/>
      </c>
      <c r="S536" s="32">
        <f>IF(A536="","",IF(N536&lt;&gt;"",N536,H536))</f>
        <v/>
      </c>
      <c r="T536" s="32">
        <f>IF(A536="","",IF(C536="✗","Skipped",IF(Q536&gt;0,"Paid","Upcoming")))</f>
        <v/>
      </c>
      <c r="U536" s="36">
        <f>IF(A536="",0,IF(C536="✗",0,IF(L536&lt;&gt;"",L536,F536)))</f>
        <v/>
      </c>
    </row>
    <row r="537">
      <c r="A537" s="39">
        <f>IFERROR(SMALL(Calc!$B$2:$BB$61,532),"")</f>
        <v/>
      </c>
      <c r="B537" s="39">
        <f>IF(A537="","",ROUND(MOD(A537,1)*1000,0))</f>
        <v/>
      </c>
      <c r="C537" s="33" t="n"/>
      <c r="D537" s="40">
        <f>IF(A537="","",INT(A537))</f>
        <v/>
      </c>
      <c r="E537" s="41">
        <f>IF(B537="","",INDEX(Setup!$D$25:$D$84,B537))</f>
        <v/>
      </c>
      <c r="F537" s="42">
        <f>IF(B537="","",INDEX(Setup!$E$25:$E$84,B537))</f>
        <v/>
      </c>
      <c r="G537" s="39">
        <f>IF(B537="","",INDEX(Setup!$I$25:$I$84,B537)&amp;"")</f>
        <v/>
      </c>
      <c r="H537" s="39">
        <f>IF(B537="","",INDEX(Setup!$J$25:$J$84,B537)&amp;"")</f>
        <v/>
      </c>
      <c r="I537" s="39">
        <f>IF(B537="","",INDEX(Setup!$C$25:$C$84,B537))</f>
        <v/>
      </c>
      <c r="J537" s="39" t="n"/>
      <c r="K537" s="37" t="n"/>
      <c r="L537" s="38" t="n"/>
      <c r="M537" s="33" t="n"/>
      <c r="N537" s="33" t="n"/>
      <c r="O537" s="39" t="n"/>
      <c r="P537" s="40">
        <f>IF(A537="","",IF(K537&lt;&gt;"",K537,D537))</f>
        <v/>
      </c>
      <c r="Q537" s="42">
        <f>IF(A537="",0,IF(C537="✗",0,IF(OR(C537="✓",AND(Setup!$D$7="Yes",P537&lt;=TODAY())),IF(L537&lt;&gt;"",L537,F537),0)))</f>
        <v/>
      </c>
      <c r="R537" s="39">
        <f>IF(A537="","",IF(M537&lt;&gt;"",M537,G537))</f>
        <v/>
      </c>
      <c r="S537" s="39">
        <f>IF(A537="","",IF(N537&lt;&gt;"",N537,H537))</f>
        <v/>
      </c>
      <c r="T537" s="39">
        <f>IF(A537="","",IF(C537="✗","Skipped",IF(Q537&gt;0,"Paid","Upcoming")))</f>
        <v/>
      </c>
      <c r="U537" s="42">
        <f>IF(A537="",0,IF(C537="✗",0,IF(L537&lt;&gt;"",L537,F537)))</f>
        <v/>
      </c>
    </row>
    <row r="538">
      <c r="A538" s="32">
        <f>IFERROR(SMALL(Calc!$B$2:$BB$61,533),"")</f>
        <v/>
      </c>
      <c r="B538" s="32">
        <f>IF(A538="","",ROUND(MOD(A538,1)*1000,0))</f>
        <v/>
      </c>
      <c r="C538" s="33" t="n"/>
      <c r="D538" s="34">
        <f>IF(A538="","",INT(A538))</f>
        <v/>
      </c>
      <c r="E538" s="35">
        <f>IF(B538="","",INDEX(Setup!$D$25:$D$84,B538))</f>
        <v/>
      </c>
      <c r="F538" s="36">
        <f>IF(B538="","",INDEX(Setup!$E$25:$E$84,B538))</f>
        <v/>
      </c>
      <c r="G538" s="32">
        <f>IF(B538="","",INDEX(Setup!$I$25:$I$84,B538)&amp;"")</f>
        <v/>
      </c>
      <c r="H538" s="32">
        <f>IF(B538="","",INDEX(Setup!$J$25:$J$84,B538)&amp;"")</f>
        <v/>
      </c>
      <c r="I538" s="32">
        <f>IF(B538="","",INDEX(Setup!$C$25:$C$84,B538))</f>
        <v/>
      </c>
      <c r="J538" s="32" t="n"/>
      <c r="K538" s="37" t="n"/>
      <c r="L538" s="38" t="n"/>
      <c r="M538" s="33" t="n"/>
      <c r="N538" s="33" t="n"/>
      <c r="O538" s="32" t="n"/>
      <c r="P538" s="34">
        <f>IF(A538="","",IF(K538&lt;&gt;"",K538,D538))</f>
        <v/>
      </c>
      <c r="Q538" s="36">
        <f>IF(A538="",0,IF(C538="✗",0,IF(OR(C538="✓",AND(Setup!$D$7="Yes",P538&lt;=TODAY())),IF(L538&lt;&gt;"",L538,F538),0)))</f>
        <v/>
      </c>
      <c r="R538" s="32">
        <f>IF(A538="","",IF(M538&lt;&gt;"",M538,G538))</f>
        <v/>
      </c>
      <c r="S538" s="32">
        <f>IF(A538="","",IF(N538&lt;&gt;"",N538,H538))</f>
        <v/>
      </c>
      <c r="T538" s="32">
        <f>IF(A538="","",IF(C538="✗","Skipped",IF(Q538&gt;0,"Paid","Upcoming")))</f>
        <v/>
      </c>
      <c r="U538" s="36">
        <f>IF(A538="",0,IF(C538="✗",0,IF(L538&lt;&gt;"",L538,F538)))</f>
        <v/>
      </c>
    </row>
    <row r="539">
      <c r="A539" s="39">
        <f>IFERROR(SMALL(Calc!$B$2:$BB$61,534),"")</f>
        <v/>
      </c>
      <c r="B539" s="39">
        <f>IF(A539="","",ROUND(MOD(A539,1)*1000,0))</f>
        <v/>
      </c>
      <c r="C539" s="33" t="n"/>
      <c r="D539" s="40">
        <f>IF(A539="","",INT(A539))</f>
        <v/>
      </c>
      <c r="E539" s="41">
        <f>IF(B539="","",INDEX(Setup!$D$25:$D$84,B539))</f>
        <v/>
      </c>
      <c r="F539" s="42">
        <f>IF(B539="","",INDEX(Setup!$E$25:$E$84,B539))</f>
        <v/>
      </c>
      <c r="G539" s="39">
        <f>IF(B539="","",INDEX(Setup!$I$25:$I$84,B539)&amp;"")</f>
        <v/>
      </c>
      <c r="H539" s="39">
        <f>IF(B539="","",INDEX(Setup!$J$25:$J$84,B539)&amp;"")</f>
        <v/>
      </c>
      <c r="I539" s="39">
        <f>IF(B539="","",INDEX(Setup!$C$25:$C$84,B539))</f>
        <v/>
      </c>
      <c r="J539" s="39" t="n"/>
      <c r="K539" s="37" t="n"/>
      <c r="L539" s="38" t="n"/>
      <c r="M539" s="33" t="n"/>
      <c r="N539" s="33" t="n"/>
      <c r="O539" s="39" t="n"/>
      <c r="P539" s="40">
        <f>IF(A539="","",IF(K539&lt;&gt;"",K539,D539))</f>
        <v/>
      </c>
      <c r="Q539" s="42">
        <f>IF(A539="",0,IF(C539="✗",0,IF(OR(C539="✓",AND(Setup!$D$7="Yes",P539&lt;=TODAY())),IF(L539&lt;&gt;"",L539,F539),0)))</f>
        <v/>
      </c>
      <c r="R539" s="39">
        <f>IF(A539="","",IF(M539&lt;&gt;"",M539,G539))</f>
        <v/>
      </c>
      <c r="S539" s="39">
        <f>IF(A539="","",IF(N539&lt;&gt;"",N539,H539))</f>
        <v/>
      </c>
      <c r="T539" s="39">
        <f>IF(A539="","",IF(C539="✗","Skipped",IF(Q539&gt;0,"Paid","Upcoming")))</f>
        <v/>
      </c>
      <c r="U539" s="42">
        <f>IF(A539="",0,IF(C539="✗",0,IF(L539&lt;&gt;"",L539,F539)))</f>
        <v/>
      </c>
    </row>
    <row r="540">
      <c r="A540" s="32">
        <f>IFERROR(SMALL(Calc!$B$2:$BB$61,535),"")</f>
        <v/>
      </c>
      <c r="B540" s="32">
        <f>IF(A540="","",ROUND(MOD(A540,1)*1000,0))</f>
        <v/>
      </c>
      <c r="C540" s="33" t="n"/>
      <c r="D540" s="34">
        <f>IF(A540="","",INT(A540))</f>
        <v/>
      </c>
      <c r="E540" s="35">
        <f>IF(B540="","",INDEX(Setup!$D$25:$D$84,B540))</f>
        <v/>
      </c>
      <c r="F540" s="36">
        <f>IF(B540="","",INDEX(Setup!$E$25:$E$84,B540))</f>
        <v/>
      </c>
      <c r="G540" s="32">
        <f>IF(B540="","",INDEX(Setup!$I$25:$I$84,B540)&amp;"")</f>
        <v/>
      </c>
      <c r="H540" s="32">
        <f>IF(B540="","",INDEX(Setup!$J$25:$J$84,B540)&amp;"")</f>
        <v/>
      </c>
      <c r="I540" s="32">
        <f>IF(B540="","",INDEX(Setup!$C$25:$C$84,B540))</f>
        <v/>
      </c>
      <c r="J540" s="32" t="n"/>
      <c r="K540" s="37" t="n"/>
      <c r="L540" s="38" t="n"/>
      <c r="M540" s="33" t="n"/>
      <c r="N540" s="33" t="n"/>
      <c r="O540" s="32" t="n"/>
      <c r="P540" s="34">
        <f>IF(A540="","",IF(K540&lt;&gt;"",K540,D540))</f>
        <v/>
      </c>
      <c r="Q540" s="36">
        <f>IF(A540="",0,IF(C540="✗",0,IF(OR(C540="✓",AND(Setup!$D$7="Yes",P540&lt;=TODAY())),IF(L540&lt;&gt;"",L540,F540),0)))</f>
        <v/>
      </c>
      <c r="R540" s="32">
        <f>IF(A540="","",IF(M540&lt;&gt;"",M540,G540))</f>
        <v/>
      </c>
      <c r="S540" s="32">
        <f>IF(A540="","",IF(N540&lt;&gt;"",N540,H540))</f>
        <v/>
      </c>
      <c r="T540" s="32">
        <f>IF(A540="","",IF(C540="✗","Skipped",IF(Q540&gt;0,"Paid","Upcoming")))</f>
        <v/>
      </c>
      <c r="U540" s="36">
        <f>IF(A540="",0,IF(C540="✗",0,IF(L540&lt;&gt;"",L540,F540)))</f>
        <v/>
      </c>
    </row>
    <row r="541">
      <c r="A541" s="39">
        <f>IFERROR(SMALL(Calc!$B$2:$BB$61,536),"")</f>
        <v/>
      </c>
      <c r="B541" s="39">
        <f>IF(A541="","",ROUND(MOD(A541,1)*1000,0))</f>
        <v/>
      </c>
      <c r="C541" s="33" t="n"/>
      <c r="D541" s="40">
        <f>IF(A541="","",INT(A541))</f>
        <v/>
      </c>
      <c r="E541" s="41">
        <f>IF(B541="","",INDEX(Setup!$D$25:$D$84,B541))</f>
        <v/>
      </c>
      <c r="F541" s="42">
        <f>IF(B541="","",INDEX(Setup!$E$25:$E$84,B541))</f>
        <v/>
      </c>
      <c r="G541" s="39">
        <f>IF(B541="","",INDEX(Setup!$I$25:$I$84,B541)&amp;"")</f>
        <v/>
      </c>
      <c r="H541" s="39">
        <f>IF(B541="","",INDEX(Setup!$J$25:$J$84,B541)&amp;"")</f>
        <v/>
      </c>
      <c r="I541" s="39">
        <f>IF(B541="","",INDEX(Setup!$C$25:$C$84,B541))</f>
        <v/>
      </c>
      <c r="J541" s="39" t="n"/>
      <c r="K541" s="37" t="n"/>
      <c r="L541" s="38" t="n"/>
      <c r="M541" s="33" t="n"/>
      <c r="N541" s="33" t="n"/>
      <c r="O541" s="39" t="n"/>
      <c r="P541" s="40">
        <f>IF(A541="","",IF(K541&lt;&gt;"",K541,D541))</f>
        <v/>
      </c>
      <c r="Q541" s="42">
        <f>IF(A541="",0,IF(C541="✗",0,IF(OR(C541="✓",AND(Setup!$D$7="Yes",P541&lt;=TODAY())),IF(L541&lt;&gt;"",L541,F541),0)))</f>
        <v/>
      </c>
      <c r="R541" s="39">
        <f>IF(A541="","",IF(M541&lt;&gt;"",M541,G541))</f>
        <v/>
      </c>
      <c r="S541" s="39">
        <f>IF(A541="","",IF(N541&lt;&gt;"",N541,H541))</f>
        <v/>
      </c>
      <c r="T541" s="39">
        <f>IF(A541="","",IF(C541="✗","Skipped",IF(Q541&gt;0,"Paid","Upcoming")))</f>
        <v/>
      </c>
      <c r="U541" s="42">
        <f>IF(A541="",0,IF(C541="✗",0,IF(L541&lt;&gt;"",L541,F541)))</f>
        <v/>
      </c>
    </row>
    <row r="542">
      <c r="A542" s="32">
        <f>IFERROR(SMALL(Calc!$B$2:$BB$61,537),"")</f>
        <v/>
      </c>
      <c r="B542" s="32">
        <f>IF(A542="","",ROUND(MOD(A542,1)*1000,0))</f>
        <v/>
      </c>
      <c r="C542" s="33" t="n"/>
      <c r="D542" s="34">
        <f>IF(A542="","",INT(A542))</f>
        <v/>
      </c>
      <c r="E542" s="35">
        <f>IF(B542="","",INDEX(Setup!$D$25:$D$84,B542))</f>
        <v/>
      </c>
      <c r="F542" s="36">
        <f>IF(B542="","",INDEX(Setup!$E$25:$E$84,B542))</f>
        <v/>
      </c>
      <c r="G542" s="32">
        <f>IF(B542="","",INDEX(Setup!$I$25:$I$84,B542)&amp;"")</f>
        <v/>
      </c>
      <c r="H542" s="32">
        <f>IF(B542="","",INDEX(Setup!$J$25:$J$84,B542)&amp;"")</f>
        <v/>
      </c>
      <c r="I542" s="32">
        <f>IF(B542="","",INDEX(Setup!$C$25:$C$84,B542))</f>
        <v/>
      </c>
      <c r="J542" s="32" t="n"/>
      <c r="K542" s="37" t="n"/>
      <c r="L542" s="38" t="n"/>
      <c r="M542" s="33" t="n"/>
      <c r="N542" s="33" t="n"/>
      <c r="O542" s="32" t="n"/>
      <c r="P542" s="34">
        <f>IF(A542="","",IF(K542&lt;&gt;"",K542,D542))</f>
        <v/>
      </c>
      <c r="Q542" s="36">
        <f>IF(A542="",0,IF(C542="✗",0,IF(OR(C542="✓",AND(Setup!$D$7="Yes",P542&lt;=TODAY())),IF(L542&lt;&gt;"",L542,F542),0)))</f>
        <v/>
      </c>
      <c r="R542" s="32">
        <f>IF(A542="","",IF(M542&lt;&gt;"",M542,G542))</f>
        <v/>
      </c>
      <c r="S542" s="32">
        <f>IF(A542="","",IF(N542&lt;&gt;"",N542,H542))</f>
        <v/>
      </c>
      <c r="T542" s="32">
        <f>IF(A542="","",IF(C542="✗","Skipped",IF(Q542&gt;0,"Paid","Upcoming")))</f>
        <v/>
      </c>
      <c r="U542" s="36">
        <f>IF(A542="",0,IF(C542="✗",0,IF(L542&lt;&gt;"",L542,F542)))</f>
        <v/>
      </c>
    </row>
    <row r="543">
      <c r="A543" s="39">
        <f>IFERROR(SMALL(Calc!$B$2:$BB$61,538),"")</f>
        <v/>
      </c>
      <c r="B543" s="39">
        <f>IF(A543="","",ROUND(MOD(A543,1)*1000,0))</f>
        <v/>
      </c>
      <c r="C543" s="33" t="n"/>
      <c r="D543" s="40">
        <f>IF(A543="","",INT(A543))</f>
        <v/>
      </c>
      <c r="E543" s="41">
        <f>IF(B543="","",INDEX(Setup!$D$25:$D$84,B543))</f>
        <v/>
      </c>
      <c r="F543" s="42">
        <f>IF(B543="","",INDEX(Setup!$E$25:$E$84,B543))</f>
        <v/>
      </c>
      <c r="G543" s="39">
        <f>IF(B543="","",INDEX(Setup!$I$25:$I$84,B543)&amp;"")</f>
        <v/>
      </c>
      <c r="H543" s="39">
        <f>IF(B543="","",INDEX(Setup!$J$25:$J$84,B543)&amp;"")</f>
        <v/>
      </c>
      <c r="I543" s="39">
        <f>IF(B543="","",INDEX(Setup!$C$25:$C$84,B543))</f>
        <v/>
      </c>
      <c r="J543" s="39" t="n"/>
      <c r="K543" s="37" t="n"/>
      <c r="L543" s="38" t="n"/>
      <c r="M543" s="33" t="n"/>
      <c r="N543" s="33" t="n"/>
      <c r="O543" s="39" t="n"/>
      <c r="P543" s="40">
        <f>IF(A543="","",IF(K543&lt;&gt;"",K543,D543))</f>
        <v/>
      </c>
      <c r="Q543" s="42">
        <f>IF(A543="",0,IF(C543="✗",0,IF(OR(C543="✓",AND(Setup!$D$7="Yes",P543&lt;=TODAY())),IF(L543&lt;&gt;"",L543,F543),0)))</f>
        <v/>
      </c>
      <c r="R543" s="39">
        <f>IF(A543="","",IF(M543&lt;&gt;"",M543,G543))</f>
        <v/>
      </c>
      <c r="S543" s="39">
        <f>IF(A543="","",IF(N543&lt;&gt;"",N543,H543))</f>
        <v/>
      </c>
      <c r="T543" s="39">
        <f>IF(A543="","",IF(C543="✗","Skipped",IF(Q543&gt;0,"Paid","Upcoming")))</f>
        <v/>
      </c>
      <c r="U543" s="42">
        <f>IF(A543="",0,IF(C543="✗",0,IF(L543&lt;&gt;"",L543,F543)))</f>
        <v/>
      </c>
    </row>
    <row r="544">
      <c r="A544" s="32">
        <f>IFERROR(SMALL(Calc!$B$2:$BB$61,539),"")</f>
        <v/>
      </c>
      <c r="B544" s="32">
        <f>IF(A544="","",ROUND(MOD(A544,1)*1000,0))</f>
        <v/>
      </c>
      <c r="C544" s="33" t="n"/>
      <c r="D544" s="34">
        <f>IF(A544="","",INT(A544))</f>
        <v/>
      </c>
      <c r="E544" s="35">
        <f>IF(B544="","",INDEX(Setup!$D$25:$D$84,B544))</f>
        <v/>
      </c>
      <c r="F544" s="36">
        <f>IF(B544="","",INDEX(Setup!$E$25:$E$84,B544))</f>
        <v/>
      </c>
      <c r="G544" s="32">
        <f>IF(B544="","",INDEX(Setup!$I$25:$I$84,B544)&amp;"")</f>
        <v/>
      </c>
      <c r="H544" s="32">
        <f>IF(B544="","",INDEX(Setup!$J$25:$J$84,B544)&amp;"")</f>
        <v/>
      </c>
      <c r="I544" s="32">
        <f>IF(B544="","",INDEX(Setup!$C$25:$C$84,B544))</f>
        <v/>
      </c>
      <c r="J544" s="32" t="n"/>
      <c r="K544" s="37" t="n"/>
      <c r="L544" s="38" t="n"/>
      <c r="M544" s="33" t="n"/>
      <c r="N544" s="33" t="n"/>
      <c r="O544" s="32" t="n"/>
      <c r="P544" s="34">
        <f>IF(A544="","",IF(K544&lt;&gt;"",K544,D544))</f>
        <v/>
      </c>
      <c r="Q544" s="36">
        <f>IF(A544="",0,IF(C544="✗",0,IF(OR(C544="✓",AND(Setup!$D$7="Yes",P544&lt;=TODAY())),IF(L544&lt;&gt;"",L544,F544),0)))</f>
        <v/>
      </c>
      <c r="R544" s="32">
        <f>IF(A544="","",IF(M544&lt;&gt;"",M544,G544))</f>
        <v/>
      </c>
      <c r="S544" s="32">
        <f>IF(A544="","",IF(N544&lt;&gt;"",N544,H544))</f>
        <v/>
      </c>
      <c r="T544" s="32">
        <f>IF(A544="","",IF(C544="✗","Skipped",IF(Q544&gt;0,"Paid","Upcoming")))</f>
        <v/>
      </c>
      <c r="U544" s="36">
        <f>IF(A544="",0,IF(C544="✗",0,IF(L544&lt;&gt;"",L544,F544)))</f>
        <v/>
      </c>
    </row>
    <row r="545">
      <c r="A545" s="39">
        <f>IFERROR(SMALL(Calc!$B$2:$BB$61,540),"")</f>
        <v/>
      </c>
      <c r="B545" s="39">
        <f>IF(A545="","",ROUND(MOD(A545,1)*1000,0))</f>
        <v/>
      </c>
      <c r="C545" s="33" t="n"/>
      <c r="D545" s="40">
        <f>IF(A545="","",INT(A545))</f>
        <v/>
      </c>
      <c r="E545" s="41">
        <f>IF(B545="","",INDEX(Setup!$D$25:$D$84,B545))</f>
        <v/>
      </c>
      <c r="F545" s="42">
        <f>IF(B545="","",INDEX(Setup!$E$25:$E$84,B545))</f>
        <v/>
      </c>
      <c r="G545" s="39">
        <f>IF(B545="","",INDEX(Setup!$I$25:$I$84,B545)&amp;"")</f>
        <v/>
      </c>
      <c r="H545" s="39">
        <f>IF(B545="","",INDEX(Setup!$J$25:$J$84,B545)&amp;"")</f>
        <v/>
      </c>
      <c r="I545" s="39">
        <f>IF(B545="","",INDEX(Setup!$C$25:$C$84,B545))</f>
        <v/>
      </c>
      <c r="J545" s="39" t="n"/>
      <c r="K545" s="37" t="n"/>
      <c r="L545" s="38" t="n"/>
      <c r="M545" s="33" t="n"/>
      <c r="N545" s="33" t="n"/>
      <c r="O545" s="39" t="n"/>
      <c r="P545" s="40">
        <f>IF(A545="","",IF(K545&lt;&gt;"",K545,D545))</f>
        <v/>
      </c>
      <c r="Q545" s="42">
        <f>IF(A545="",0,IF(C545="✗",0,IF(OR(C545="✓",AND(Setup!$D$7="Yes",P545&lt;=TODAY())),IF(L545&lt;&gt;"",L545,F545),0)))</f>
        <v/>
      </c>
      <c r="R545" s="39">
        <f>IF(A545="","",IF(M545&lt;&gt;"",M545,G545))</f>
        <v/>
      </c>
      <c r="S545" s="39">
        <f>IF(A545="","",IF(N545&lt;&gt;"",N545,H545))</f>
        <v/>
      </c>
      <c r="T545" s="39">
        <f>IF(A545="","",IF(C545="✗","Skipped",IF(Q545&gt;0,"Paid","Upcoming")))</f>
        <v/>
      </c>
      <c r="U545" s="42">
        <f>IF(A545="",0,IF(C545="✗",0,IF(L545&lt;&gt;"",L545,F545)))</f>
        <v/>
      </c>
    </row>
    <row r="546">
      <c r="A546" s="32">
        <f>IFERROR(SMALL(Calc!$B$2:$BB$61,541),"")</f>
        <v/>
      </c>
      <c r="B546" s="32">
        <f>IF(A546="","",ROUND(MOD(A546,1)*1000,0))</f>
        <v/>
      </c>
      <c r="C546" s="33" t="n"/>
      <c r="D546" s="34">
        <f>IF(A546="","",INT(A546))</f>
        <v/>
      </c>
      <c r="E546" s="35">
        <f>IF(B546="","",INDEX(Setup!$D$25:$D$84,B546))</f>
        <v/>
      </c>
      <c r="F546" s="36">
        <f>IF(B546="","",INDEX(Setup!$E$25:$E$84,B546))</f>
        <v/>
      </c>
      <c r="G546" s="32">
        <f>IF(B546="","",INDEX(Setup!$I$25:$I$84,B546)&amp;"")</f>
        <v/>
      </c>
      <c r="H546" s="32">
        <f>IF(B546="","",INDEX(Setup!$J$25:$J$84,B546)&amp;"")</f>
        <v/>
      </c>
      <c r="I546" s="32">
        <f>IF(B546="","",INDEX(Setup!$C$25:$C$84,B546))</f>
        <v/>
      </c>
      <c r="J546" s="32" t="n"/>
      <c r="K546" s="37" t="n"/>
      <c r="L546" s="38" t="n"/>
      <c r="M546" s="33" t="n"/>
      <c r="N546" s="33" t="n"/>
      <c r="O546" s="32" t="n"/>
      <c r="P546" s="34">
        <f>IF(A546="","",IF(K546&lt;&gt;"",K546,D546))</f>
        <v/>
      </c>
      <c r="Q546" s="36">
        <f>IF(A546="",0,IF(C546="✗",0,IF(OR(C546="✓",AND(Setup!$D$7="Yes",P546&lt;=TODAY())),IF(L546&lt;&gt;"",L546,F546),0)))</f>
        <v/>
      </c>
      <c r="R546" s="32">
        <f>IF(A546="","",IF(M546&lt;&gt;"",M546,G546))</f>
        <v/>
      </c>
      <c r="S546" s="32">
        <f>IF(A546="","",IF(N546&lt;&gt;"",N546,H546))</f>
        <v/>
      </c>
      <c r="T546" s="32">
        <f>IF(A546="","",IF(C546="✗","Skipped",IF(Q546&gt;0,"Paid","Upcoming")))</f>
        <v/>
      </c>
      <c r="U546" s="36">
        <f>IF(A546="",0,IF(C546="✗",0,IF(L546&lt;&gt;"",L546,F546)))</f>
        <v/>
      </c>
    </row>
    <row r="547">
      <c r="A547" s="39">
        <f>IFERROR(SMALL(Calc!$B$2:$BB$61,542),"")</f>
        <v/>
      </c>
      <c r="B547" s="39">
        <f>IF(A547="","",ROUND(MOD(A547,1)*1000,0))</f>
        <v/>
      </c>
      <c r="C547" s="33" t="n"/>
      <c r="D547" s="40">
        <f>IF(A547="","",INT(A547))</f>
        <v/>
      </c>
      <c r="E547" s="41">
        <f>IF(B547="","",INDEX(Setup!$D$25:$D$84,B547))</f>
        <v/>
      </c>
      <c r="F547" s="42">
        <f>IF(B547="","",INDEX(Setup!$E$25:$E$84,B547))</f>
        <v/>
      </c>
      <c r="G547" s="39">
        <f>IF(B547="","",INDEX(Setup!$I$25:$I$84,B547)&amp;"")</f>
        <v/>
      </c>
      <c r="H547" s="39">
        <f>IF(B547="","",INDEX(Setup!$J$25:$J$84,B547)&amp;"")</f>
        <v/>
      </c>
      <c r="I547" s="39">
        <f>IF(B547="","",INDEX(Setup!$C$25:$C$84,B547))</f>
        <v/>
      </c>
      <c r="J547" s="39" t="n"/>
      <c r="K547" s="37" t="n"/>
      <c r="L547" s="38" t="n"/>
      <c r="M547" s="33" t="n"/>
      <c r="N547" s="33" t="n"/>
      <c r="O547" s="39" t="n"/>
      <c r="P547" s="40">
        <f>IF(A547="","",IF(K547&lt;&gt;"",K547,D547))</f>
        <v/>
      </c>
      <c r="Q547" s="42">
        <f>IF(A547="",0,IF(C547="✗",0,IF(OR(C547="✓",AND(Setup!$D$7="Yes",P547&lt;=TODAY())),IF(L547&lt;&gt;"",L547,F547),0)))</f>
        <v/>
      </c>
      <c r="R547" s="39">
        <f>IF(A547="","",IF(M547&lt;&gt;"",M547,G547))</f>
        <v/>
      </c>
      <c r="S547" s="39">
        <f>IF(A547="","",IF(N547&lt;&gt;"",N547,H547))</f>
        <v/>
      </c>
      <c r="T547" s="39">
        <f>IF(A547="","",IF(C547="✗","Skipped",IF(Q547&gt;0,"Paid","Upcoming")))</f>
        <v/>
      </c>
      <c r="U547" s="42">
        <f>IF(A547="",0,IF(C547="✗",0,IF(L547&lt;&gt;"",L547,F547)))</f>
        <v/>
      </c>
    </row>
    <row r="548">
      <c r="A548" s="32">
        <f>IFERROR(SMALL(Calc!$B$2:$BB$61,543),"")</f>
        <v/>
      </c>
      <c r="B548" s="32">
        <f>IF(A548="","",ROUND(MOD(A548,1)*1000,0))</f>
        <v/>
      </c>
      <c r="C548" s="33" t="n"/>
      <c r="D548" s="34">
        <f>IF(A548="","",INT(A548))</f>
        <v/>
      </c>
      <c r="E548" s="35">
        <f>IF(B548="","",INDEX(Setup!$D$25:$D$84,B548))</f>
        <v/>
      </c>
      <c r="F548" s="36">
        <f>IF(B548="","",INDEX(Setup!$E$25:$E$84,B548))</f>
        <v/>
      </c>
      <c r="G548" s="32">
        <f>IF(B548="","",INDEX(Setup!$I$25:$I$84,B548)&amp;"")</f>
        <v/>
      </c>
      <c r="H548" s="32">
        <f>IF(B548="","",INDEX(Setup!$J$25:$J$84,B548)&amp;"")</f>
        <v/>
      </c>
      <c r="I548" s="32">
        <f>IF(B548="","",INDEX(Setup!$C$25:$C$84,B548))</f>
        <v/>
      </c>
      <c r="J548" s="32" t="n"/>
      <c r="K548" s="37" t="n"/>
      <c r="L548" s="38" t="n"/>
      <c r="M548" s="33" t="n"/>
      <c r="N548" s="33" t="n"/>
      <c r="O548" s="32" t="n"/>
      <c r="P548" s="34">
        <f>IF(A548="","",IF(K548&lt;&gt;"",K548,D548))</f>
        <v/>
      </c>
      <c r="Q548" s="36">
        <f>IF(A548="",0,IF(C548="✗",0,IF(OR(C548="✓",AND(Setup!$D$7="Yes",P548&lt;=TODAY())),IF(L548&lt;&gt;"",L548,F548),0)))</f>
        <v/>
      </c>
      <c r="R548" s="32">
        <f>IF(A548="","",IF(M548&lt;&gt;"",M548,G548))</f>
        <v/>
      </c>
      <c r="S548" s="32">
        <f>IF(A548="","",IF(N548&lt;&gt;"",N548,H548))</f>
        <v/>
      </c>
      <c r="T548" s="32">
        <f>IF(A548="","",IF(C548="✗","Skipped",IF(Q548&gt;0,"Paid","Upcoming")))</f>
        <v/>
      </c>
      <c r="U548" s="36">
        <f>IF(A548="",0,IF(C548="✗",0,IF(L548&lt;&gt;"",L548,F548)))</f>
        <v/>
      </c>
    </row>
    <row r="549">
      <c r="A549" s="39">
        <f>IFERROR(SMALL(Calc!$B$2:$BB$61,544),"")</f>
        <v/>
      </c>
      <c r="B549" s="39">
        <f>IF(A549="","",ROUND(MOD(A549,1)*1000,0))</f>
        <v/>
      </c>
      <c r="C549" s="33" t="n"/>
      <c r="D549" s="40">
        <f>IF(A549="","",INT(A549))</f>
        <v/>
      </c>
      <c r="E549" s="41">
        <f>IF(B549="","",INDEX(Setup!$D$25:$D$84,B549))</f>
        <v/>
      </c>
      <c r="F549" s="42">
        <f>IF(B549="","",INDEX(Setup!$E$25:$E$84,B549))</f>
        <v/>
      </c>
      <c r="G549" s="39">
        <f>IF(B549="","",INDEX(Setup!$I$25:$I$84,B549)&amp;"")</f>
        <v/>
      </c>
      <c r="H549" s="39">
        <f>IF(B549="","",INDEX(Setup!$J$25:$J$84,B549)&amp;"")</f>
        <v/>
      </c>
      <c r="I549" s="39">
        <f>IF(B549="","",INDEX(Setup!$C$25:$C$84,B549))</f>
        <v/>
      </c>
      <c r="J549" s="39" t="n"/>
      <c r="K549" s="37" t="n"/>
      <c r="L549" s="38" t="n"/>
      <c r="M549" s="33" t="n"/>
      <c r="N549" s="33" t="n"/>
      <c r="O549" s="39" t="n"/>
      <c r="P549" s="40">
        <f>IF(A549="","",IF(K549&lt;&gt;"",K549,D549))</f>
        <v/>
      </c>
      <c r="Q549" s="42">
        <f>IF(A549="",0,IF(C549="✗",0,IF(OR(C549="✓",AND(Setup!$D$7="Yes",P549&lt;=TODAY())),IF(L549&lt;&gt;"",L549,F549),0)))</f>
        <v/>
      </c>
      <c r="R549" s="39">
        <f>IF(A549="","",IF(M549&lt;&gt;"",M549,G549))</f>
        <v/>
      </c>
      <c r="S549" s="39">
        <f>IF(A549="","",IF(N549&lt;&gt;"",N549,H549))</f>
        <v/>
      </c>
      <c r="T549" s="39">
        <f>IF(A549="","",IF(C549="✗","Skipped",IF(Q549&gt;0,"Paid","Upcoming")))</f>
        <v/>
      </c>
      <c r="U549" s="42">
        <f>IF(A549="",0,IF(C549="✗",0,IF(L549&lt;&gt;"",L549,F549)))</f>
        <v/>
      </c>
    </row>
    <row r="550">
      <c r="A550" s="32">
        <f>IFERROR(SMALL(Calc!$B$2:$BB$61,545),"")</f>
        <v/>
      </c>
      <c r="B550" s="32">
        <f>IF(A550="","",ROUND(MOD(A550,1)*1000,0))</f>
        <v/>
      </c>
      <c r="C550" s="33" t="n"/>
      <c r="D550" s="34">
        <f>IF(A550="","",INT(A550))</f>
        <v/>
      </c>
      <c r="E550" s="35">
        <f>IF(B550="","",INDEX(Setup!$D$25:$D$84,B550))</f>
        <v/>
      </c>
      <c r="F550" s="36">
        <f>IF(B550="","",INDEX(Setup!$E$25:$E$84,B550))</f>
        <v/>
      </c>
      <c r="G550" s="32">
        <f>IF(B550="","",INDEX(Setup!$I$25:$I$84,B550)&amp;"")</f>
        <v/>
      </c>
      <c r="H550" s="32">
        <f>IF(B550="","",INDEX(Setup!$J$25:$J$84,B550)&amp;"")</f>
        <v/>
      </c>
      <c r="I550" s="32">
        <f>IF(B550="","",INDEX(Setup!$C$25:$C$84,B550))</f>
        <v/>
      </c>
      <c r="J550" s="32" t="n"/>
      <c r="K550" s="37" t="n"/>
      <c r="L550" s="38" t="n"/>
      <c r="M550" s="33" t="n"/>
      <c r="N550" s="33" t="n"/>
      <c r="O550" s="32" t="n"/>
      <c r="P550" s="34">
        <f>IF(A550="","",IF(K550&lt;&gt;"",K550,D550))</f>
        <v/>
      </c>
      <c r="Q550" s="36">
        <f>IF(A550="",0,IF(C550="✗",0,IF(OR(C550="✓",AND(Setup!$D$7="Yes",P550&lt;=TODAY())),IF(L550&lt;&gt;"",L550,F550),0)))</f>
        <v/>
      </c>
      <c r="R550" s="32">
        <f>IF(A550="","",IF(M550&lt;&gt;"",M550,G550))</f>
        <v/>
      </c>
      <c r="S550" s="32">
        <f>IF(A550="","",IF(N550&lt;&gt;"",N550,H550))</f>
        <v/>
      </c>
      <c r="T550" s="32">
        <f>IF(A550="","",IF(C550="✗","Skipped",IF(Q550&gt;0,"Paid","Upcoming")))</f>
        <v/>
      </c>
      <c r="U550" s="36">
        <f>IF(A550="",0,IF(C550="✗",0,IF(L550&lt;&gt;"",L550,F550)))</f>
        <v/>
      </c>
    </row>
    <row r="551">
      <c r="A551" s="39">
        <f>IFERROR(SMALL(Calc!$B$2:$BB$61,546),"")</f>
        <v/>
      </c>
      <c r="B551" s="39">
        <f>IF(A551="","",ROUND(MOD(A551,1)*1000,0))</f>
        <v/>
      </c>
      <c r="C551" s="33" t="n"/>
      <c r="D551" s="40">
        <f>IF(A551="","",INT(A551))</f>
        <v/>
      </c>
      <c r="E551" s="41">
        <f>IF(B551="","",INDEX(Setup!$D$25:$D$84,B551))</f>
        <v/>
      </c>
      <c r="F551" s="42">
        <f>IF(B551="","",INDEX(Setup!$E$25:$E$84,B551))</f>
        <v/>
      </c>
      <c r="G551" s="39">
        <f>IF(B551="","",INDEX(Setup!$I$25:$I$84,B551)&amp;"")</f>
        <v/>
      </c>
      <c r="H551" s="39">
        <f>IF(B551="","",INDEX(Setup!$J$25:$J$84,B551)&amp;"")</f>
        <v/>
      </c>
      <c r="I551" s="39">
        <f>IF(B551="","",INDEX(Setup!$C$25:$C$84,B551))</f>
        <v/>
      </c>
      <c r="J551" s="39" t="n"/>
      <c r="K551" s="37" t="n"/>
      <c r="L551" s="38" t="n"/>
      <c r="M551" s="33" t="n"/>
      <c r="N551" s="33" t="n"/>
      <c r="O551" s="39" t="n"/>
      <c r="P551" s="40">
        <f>IF(A551="","",IF(K551&lt;&gt;"",K551,D551))</f>
        <v/>
      </c>
      <c r="Q551" s="42">
        <f>IF(A551="",0,IF(C551="✗",0,IF(OR(C551="✓",AND(Setup!$D$7="Yes",P551&lt;=TODAY())),IF(L551&lt;&gt;"",L551,F551),0)))</f>
        <v/>
      </c>
      <c r="R551" s="39">
        <f>IF(A551="","",IF(M551&lt;&gt;"",M551,G551))</f>
        <v/>
      </c>
      <c r="S551" s="39">
        <f>IF(A551="","",IF(N551&lt;&gt;"",N551,H551))</f>
        <v/>
      </c>
      <c r="T551" s="39">
        <f>IF(A551="","",IF(C551="✗","Skipped",IF(Q551&gt;0,"Paid","Upcoming")))</f>
        <v/>
      </c>
      <c r="U551" s="42">
        <f>IF(A551="",0,IF(C551="✗",0,IF(L551&lt;&gt;"",L551,F551)))</f>
        <v/>
      </c>
    </row>
    <row r="552">
      <c r="A552" s="32">
        <f>IFERROR(SMALL(Calc!$B$2:$BB$61,547),"")</f>
        <v/>
      </c>
      <c r="B552" s="32">
        <f>IF(A552="","",ROUND(MOD(A552,1)*1000,0))</f>
        <v/>
      </c>
      <c r="C552" s="33" t="n"/>
      <c r="D552" s="34">
        <f>IF(A552="","",INT(A552))</f>
        <v/>
      </c>
      <c r="E552" s="35">
        <f>IF(B552="","",INDEX(Setup!$D$25:$D$84,B552))</f>
        <v/>
      </c>
      <c r="F552" s="36">
        <f>IF(B552="","",INDEX(Setup!$E$25:$E$84,B552))</f>
        <v/>
      </c>
      <c r="G552" s="32">
        <f>IF(B552="","",INDEX(Setup!$I$25:$I$84,B552)&amp;"")</f>
        <v/>
      </c>
      <c r="H552" s="32">
        <f>IF(B552="","",INDEX(Setup!$J$25:$J$84,B552)&amp;"")</f>
        <v/>
      </c>
      <c r="I552" s="32">
        <f>IF(B552="","",INDEX(Setup!$C$25:$C$84,B552))</f>
        <v/>
      </c>
      <c r="J552" s="32" t="n"/>
      <c r="K552" s="37" t="n"/>
      <c r="L552" s="38" t="n"/>
      <c r="M552" s="33" t="n"/>
      <c r="N552" s="33" t="n"/>
      <c r="O552" s="32" t="n"/>
      <c r="P552" s="34">
        <f>IF(A552="","",IF(K552&lt;&gt;"",K552,D552))</f>
        <v/>
      </c>
      <c r="Q552" s="36">
        <f>IF(A552="",0,IF(C552="✗",0,IF(OR(C552="✓",AND(Setup!$D$7="Yes",P552&lt;=TODAY())),IF(L552&lt;&gt;"",L552,F552),0)))</f>
        <v/>
      </c>
      <c r="R552" s="32">
        <f>IF(A552="","",IF(M552&lt;&gt;"",M552,G552))</f>
        <v/>
      </c>
      <c r="S552" s="32">
        <f>IF(A552="","",IF(N552&lt;&gt;"",N552,H552))</f>
        <v/>
      </c>
      <c r="T552" s="32">
        <f>IF(A552="","",IF(C552="✗","Skipped",IF(Q552&gt;0,"Paid","Upcoming")))</f>
        <v/>
      </c>
      <c r="U552" s="36">
        <f>IF(A552="",0,IF(C552="✗",0,IF(L552&lt;&gt;"",L552,F552)))</f>
        <v/>
      </c>
    </row>
    <row r="553">
      <c r="A553" s="39">
        <f>IFERROR(SMALL(Calc!$B$2:$BB$61,548),"")</f>
        <v/>
      </c>
      <c r="B553" s="39">
        <f>IF(A553="","",ROUND(MOD(A553,1)*1000,0))</f>
        <v/>
      </c>
      <c r="C553" s="33" t="n"/>
      <c r="D553" s="40">
        <f>IF(A553="","",INT(A553))</f>
        <v/>
      </c>
      <c r="E553" s="41">
        <f>IF(B553="","",INDEX(Setup!$D$25:$D$84,B553))</f>
        <v/>
      </c>
      <c r="F553" s="42">
        <f>IF(B553="","",INDEX(Setup!$E$25:$E$84,B553))</f>
        <v/>
      </c>
      <c r="G553" s="39">
        <f>IF(B553="","",INDEX(Setup!$I$25:$I$84,B553)&amp;"")</f>
        <v/>
      </c>
      <c r="H553" s="39">
        <f>IF(B553="","",INDEX(Setup!$J$25:$J$84,B553)&amp;"")</f>
        <v/>
      </c>
      <c r="I553" s="39">
        <f>IF(B553="","",INDEX(Setup!$C$25:$C$84,B553))</f>
        <v/>
      </c>
      <c r="J553" s="39" t="n"/>
      <c r="K553" s="37" t="n"/>
      <c r="L553" s="38" t="n"/>
      <c r="M553" s="33" t="n"/>
      <c r="N553" s="33" t="n"/>
      <c r="O553" s="39" t="n"/>
      <c r="P553" s="40">
        <f>IF(A553="","",IF(K553&lt;&gt;"",K553,D553))</f>
        <v/>
      </c>
      <c r="Q553" s="42">
        <f>IF(A553="",0,IF(C553="✗",0,IF(OR(C553="✓",AND(Setup!$D$7="Yes",P553&lt;=TODAY())),IF(L553&lt;&gt;"",L553,F553),0)))</f>
        <v/>
      </c>
      <c r="R553" s="39">
        <f>IF(A553="","",IF(M553&lt;&gt;"",M553,G553))</f>
        <v/>
      </c>
      <c r="S553" s="39">
        <f>IF(A553="","",IF(N553&lt;&gt;"",N553,H553))</f>
        <v/>
      </c>
      <c r="T553" s="39">
        <f>IF(A553="","",IF(C553="✗","Skipped",IF(Q553&gt;0,"Paid","Upcoming")))</f>
        <v/>
      </c>
      <c r="U553" s="42">
        <f>IF(A553="",0,IF(C553="✗",0,IF(L553&lt;&gt;"",L553,F553)))</f>
        <v/>
      </c>
    </row>
    <row r="554">
      <c r="A554" s="32">
        <f>IFERROR(SMALL(Calc!$B$2:$BB$61,549),"")</f>
        <v/>
      </c>
      <c r="B554" s="32">
        <f>IF(A554="","",ROUND(MOD(A554,1)*1000,0))</f>
        <v/>
      </c>
      <c r="C554" s="33" t="n"/>
      <c r="D554" s="34">
        <f>IF(A554="","",INT(A554))</f>
        <v/>
      </c>
      <c r="E554" s="35">
        <f>IF(B554="","",INDEX(Setup!$D$25:$D$84,B554))</f>
        <v/>
      </c>
      <c r="F554" s="36">
        <f>IF(B554="","",INDEX(Setup!$E$25:$E$84,B554))</f>
        <v/>
      </c>
      <c r="G554" s="32">
        <f>IF(B554="","",INDEX(Setup!$I$25:$I$84,B554)&amp;"")</f>
        <v/>
      </c>
      <c r="H554" s="32">
        <f>IF(B554="","",INDEX(Setup!$J$25:$J$84,B554)&amp;"")</f>
        <v/>
      </c>
      <c r="I554" s="32">
        <f>IF(B554="","",INDEX(Setup!$C$25:$C$84,B554))</f>
        <v/>
      </c>
      <c r="J554" s="32" t="n"/>
      <c r="K554" s="37" t="n"/>
      <c r="L554" s="38" t="n"/>
      <c r="M554" s="33" t="n"/>
      <c r="N554" s="33" t="n"/>
      <c r="O554" s="32" t="n"/>
      <c r="P554" s="34">
        <f>IF(A554="","",IF(K554&lt;&gt;"",K554,D554))</f>
        <v/>
      </c>
      <c r="Q554" s="36">
        <f>IF(A554="",0,IF(C554="✗",0,IF(OR(C554="✓",AND(Setup!$D$7="Yes",P554&lt;=TODAY())),IF(L554&lt;&gt;"",L554,F554),0)))</f>
        <v/>
      </c>
      <c r="R554" s="32">
        <f>IF(A554="","",IF(M554&lt;&gt;"",M554,G554))</f>
        <v/>
      </c>
      <c r="S554" s="32">
        <f>IF(A554="","",IF(N554&lt;&gt;"",N554,H554))</f>
        <v/>
      </c>
      <c r="T554" s="32">
        <f>IF(A554="","",IF(C554="✗","Skipped",IF(Q554&gt;0,"Paid","Upcoming")))</f>
        <v/>
      </c>
      <c r="U554" s="36">
        <f>IF(A554="",0,IF(C554="✗",0,IF(L554&lt;&gt;"",L554,F554)))</f>
        <v/>
      </c>
    </row>
    <row r="555">
      <c r="A555" s="39">
        <f>IFERROR(SMALL(Calc!$B$2:$BB$61,550),"")</f>
        <v/>
      </c>
      <c r="B555" s="39">
        <f>IF(A555="","",ROUND(MOD(A555,1)*1000,0))</f>
        <v/>
      </c>
      <c r="C555" s="33" t="n"/>
      <c r="D555" s="40">
        <f>IF(A555="","",INT(A555))</f>
        <v/>
      </c>
      <c r="E555" s="41">
        <f>IF(B555="","",INDEX(Setup!$D$25:$D$84,B555))</f>
        <v/>
      </c>
      <c r="F555" s="42">
        <f>IF(B555="","",INDEX(Setup!$E$25:$E$84,B555))</f>
        <v/>
      </c>
      <c r="G555" s="39">
        <f>IF(B555="","",INDEX(Setup!$I$25:$I$84,B555)&amp;"")</f>
        <v/>
      </c>
      <c r="H555" s="39">
        <f>IF(B555="","",INDEX(Setup!$J$25:$J$84,B555)&amp;"")</f>
        <v/>
      </c>
      <c r="I555" s="39">
        <f>IF(B555="","",INDEX(Setup!$C$25:$C$84,B555))</f>
        <v/>
      </c>
      <c r="J555" s="39" t="n"/>
      <c r="K555" s="37" t="n"/>
      <c r="L555" s="38" t="n"/>
      <c r="M555" s="33" t="n"/>
      <c r="N555" s="33" t="n"/>
      <c r="O555" s="39" t="n"/>
      <c r="P555" s="40">
        <f>IF(A555="","",IF(K555&lt;&gt;"",K555,D555))</f>
        <v/>
      </c>
      <c r="Q555" s="42">
        <f>IF(A555="",0,IF(C555="✗",0,IF(OR(C555="✓",AND(Setup!$D$7="Yes",P555&lt;=TODAY())),IF(L555&lt;&gt;"",L555,F555),0)))</f>
        <v/>
      </c>
      <c r="R555" s="39">
        <f>IF(A555="","",IF(M555&lt;&gt;"",M555,G555))</f>
        <v/>
      </c>
      <c r="S555" s="39">
        <f>IF(A555="","",IF(N555&lt;&gt;"",N555,H555))</f>
        <v/>
      </c>
      <c r="T555" s="39">
        <f>IF(A555="","",IF(C555="✗","Skipped",IF(Q555&gt;0,"Paid","Upcoming")))</f>
        <v/>
      </c>
      <c r="U555" s="42">
        <f>IF(A555="",0,IF(C555="✗",0,IF(L555&lt;&gt;"",L555,F555)))</f>
        <v/>
      </c>
    </row>
    <row r="556">
      <c r="A556" s="32">
        <f>IFERROR(SMALL(Calc!$B$2:$BB$61,551),"")</f>
        <v/>
      </c>
      <c r="B556" s="32">
        <f>IF(A556="","",ROUND(MOD(A556,1)*1000,0))</f>
        <v/>
      </c>
      <c r="C556" s="33" t="n"/>
      <c r="D556" s="34">
        <f>IF(A556="","",INT(A556))</f>
        <v/>
      </c>
      <c r="E556" s="35">
        <f>IF(B556="","",INDEX(Setup!$D$25:$D$84,B556))</f>
        <v/>
      </c>
      <c r="F556" s="36">
        <f>IF(B556="","",INDEX(Setup!$E$25:$E$84,B556))</f>
        <v/>
      </c>
      <c r="G556" s="32">
        <f>IF(B556="","",INDEX(Setup!$I$25:$I$84,B556)&amp;"")</f>
        <v/>
      </c>
      <c r="H556" s="32">
        <f>IF(B556="","",INDEX(Setup!$J$25:$J$84,B556)&amp;"")</f>
        <v/>
      </c>
      <c r="I556" s="32">
        <f>IF(B556="","",INDEX(Setup!$C$25:$C$84,B556))</f>
        <v/>
      </c>
      <c r="J556" s="32" t="n"/>
      <c r="K556" s="37" t="n"/>
      <c r="L556" s="38" t="n"/>
      <c r="M556" s="33" t="n"/>
      <c r="N556" s="33" t="n"/>
      <c r="O556" s="32" t="n"/>
      <c r="P556" s="34">
        <f>IF(A556="","",IF(K556&lt;&gt;"",K556,D556))</f>
        <v/>
      </c>
      <c r="Q556" s="36">
        <f>IF(A556="",0,IF(C556="✗",0,IF(OR(C556="✓",AND(Setup!$D$7="Yes",P556&lt;=TODAY())),IF(L556&lt;&gt;"",L556,F556),0)))</f>
        <v/>
      </c>
      <c r="R556" s="32">
        <f>IF(A556="","",IF(M556&lt;&gt;"",M556,G556))</f>
        <v/>
      </c>
      <c r="S556" s="32">
        <f>IF(A556="","",IF(N556&lt;&gt;"",N556,H556))</f>
        <v/>
      </c>
      <c r="T556" s="32">
        <f>IF(A556="","",IF(C556="✗","Skipped",IF(Q556&gt;0,"Paid","Upcoming")))</f>
        <v/>
      </c>
      <c r="U556" s="36">
        <f>IF(A556="",0,IF(C556="✗",0,IF(L556&lt;&gt;"",L556,F556)))</f>
        <v/>
      </c>
    </row>
    <row r="557">
      <c r="A557" s="39">
        <f>IFERROR(SMALL(Calc!$B$2:$BB$61,552),"")</f>
        <v/>
      </c>
      <c r="B557" s="39">
        <f>IF(A557="","",ROUND(MOD(A557,1)*1000,0))</f>
        <v/>
      </c>
      <c r="C557" s="33" t="n"/>
      <c r="D557" s="40">
        <f>IF(A557="","",INT(A557))</f>
        <v/>
      </c>
      <c r="E557" s="41">
        <f>IF(B557="","",INDEX(Setup!$D$25:$D$84,B557))</f>
        <v/>
      </c>
      <c r="F557" s="42">
        <f>IF(B557="","",INDEX(Setup!$E$25:$E$84,B557))</f>
        <v/>
      </c>
      <c r="G557" s="39">
        <f>IF(B557="","",INDEX(Setup!$I$25:$I$84,B557)&amp;"")</f>
        <v/>
      </c>
      <c r="H557" s="39">
        <f>IF(B557="","",INDEX(Setup!$J$25:$J$84,B557)&amp;"")</f>
        <v/>
      </c>
      <c r="I557" s="39">
        <f>IF(B557="","",INDEX(Setup!$C$25:$C$84,B557))</f>
        <v/>
      </c>
      <c r="J557" s="39" t="n"/>
      <c r="K557" s="37" t="n"/>
      <c r="L557" s="38" t="n"/>
      <c r="M557" s="33" t="n"/>
      <c r="N557" s="33" t="n"/>
      <c r="O557" s="39" t="n"/>
      <c r="P557" s="40">
        <f>IF(A557="","",IF(K557&lt;&gt;"",K557,D557))</f>
        <v/>
      </c>
      <c r="Q557" s="42">
        <f>IF(A557="",0,IF(C557="✗",0,IF(OR(C557="✓",AND(Setup!$D$7="Yes",P557&lt;=TODAY())),IF(L557&lt;&gt;"",L557,F557),0)))</f>
        <v/>
      </c>
      <c r="R557" s="39">
        <f>IF(A557="","",IF(M557&lt;&gt;"",M557,G557))</f>
        <v/>
      </c>
      <c r="S557" s="39">
        <f>IF(A557="","",IF(N557&lt;&gt;"",N557,H557))</f>
        <v/>
      </c>
      <c r="T557" s="39">
        <f>IF(A557="","",IF(C557="✗","Skipped",IF(Q557&gt;0,"Paid","Upcoming")))</f>
        <v/>
      </c>
      <c r="U557" s="42">
        <f>IF(A557="",0,IF(C557="✗",0,IF(L557&lt;&gt;"",L557,F557)))</f>
        <v/>
      </c>
    </row>
    <row r="558">
      <c r="A558" s="32">
        <f>IFERROR(SMALL(Calc!$B$2:$BB$61,553),"")</f>
        <v/>
      </c>
      <c r="B558" s="32">
        <f>IF(A558="","",ROUND(MOD(A558,1)*1000,0))</f>
        <v/>
      </c>
      <c r="C558" s="33" t="n"/>
      <c r="D558" s="34">
        <f>IF(A558="","",INT(A558))</f>
        <v/>
      </c>
      <c r="E558" s="35">
        <f>IF(B558="","",INDEX(Setup!$D$25:$D$84,B558))</f>
        <v/>
      </c>
      <c r="F558" s="36">
        <f>IF(B558="","",INDEX(Setup!$E$25:$E$84,B558))</f>
        <v/>
      </c>
      <c r="G558" s="32">
        <f>IF(B558="","",INDEX(Setup!$I$25:$I$84,B558)&amp;"")</f>
        <v/>
      </c>
      <c r="H558" s="32">
        <f>IF(B558="","",INDEX(Setup!$J$25:$J$84,B558)&amp;"")</f>
        <v/>
      </c>
      <c r="I558" s="32">
        <f>IF(B558="","",INDEX(Setup!$C$25:$C$84,B558))</f>
        <v/>
      </c>
      <c r="J558" s="32" t="n"/>
      <c r="K558" s="37" t="n"/>
      <c r="L558" s="38" t="n"/>
      <c r="M558" s="33" t="n"/>
      <c r="N558" s="33" t="n"/>
      <c r="O558" s="32" t="n"/>
      <c r="P558" s="34">
        <f>IF(A558="","",IF(K558&lt;&gt;"",K558,D558))</f>
        <v/>
      </c>
      <c r="Q558" s="36">
        <f>IF(A558="",0,IF(C558="✗",0,IF(OR(C558="✓",AND(Setup!$D$7="Yes",P558&lt;=TODAY())),IF(L558&lt;&gt;"",L558,F558),0)))</f>
        <v/>
      </c>
      <c r="R558" s="32">
        <f>IF(A558="","",IF(M558&lt;&gt;"",M558,G558))</f>
        <v/>
      </c>
      <c r="S558" s="32">
        <f>IF(A558="","",IF(N558&lt;&gt;"",N558,H558))</f>
        <v/>
      </c>
      <c r="T558" s="32">
        <f>IF(A558="","",IF(C558="✗","Skipped",IF(Q558&gt;0,"Paid","Upcoming")))</f>
        <v/>
      </c>
      <c r="U558" s="36">
        <f>IF(A558="",0,IF(C558="✗",0,IF(L558&lt;&gt;"",L558,F558)))</f>
        <v/>
      </c>
    </row>
    <row r="559">
      <c r="A559" s="39">
        <f>IFERROR(SMALL(Calc!$B$2:$BB$61,554),"")</f>
        <v/>
      </c>
      <c r="B559" s="39">
        <f>IF(A559="","",ROUND(MOD(A559,1)*1000,0))</f>
        <v/>
      </c>
      <c r="C559" s="33" t="n"/>
      <c r="D559" s="40">
        <f>IF(A559="","",INT(A559))</f>
        <v/>
      </c>
      <c r="E559" s="41">
        <f>IF(B559="","",INDEX(Setup!$D$25:$D$84,B559))</f>
        <v/>
      </c>
      <c r="F559" s="42">
        <f>IF(B559="","",INDEX(Setup!$E$25:$E$84,B559))</f>
        <v/>
      </c>
      <c r="G559" s="39">
        <f>IF(B559="","",INDEX(Setup!$I$25:$I$84,B559)&amp;"")</f>
        <v/>
      </c>
      <c r="H559" s="39">
        <f>IF(B559="","",INDEX(Setup!$J$25:$J$84,B559)&amp;"")</f>
        <v/>
      </c>
      <c r="I559" s="39">
        <f>IF(B559="","",INDEX(Setup!$C$25:$C$84,B559))</f>
        <v/>
      </c>
      <c r="J559" s="39" t="n"/>
      <c r="K559" s="37" t="n"/>
      <c r="L559" s="38" t="n"/>
      <c r="M559" s="33" t="n"/>
      <c r="N559" s="33" t="n"/>
      <c r="O559" s="39" t="n"/>
      <c r="P559" s="40">
        <f>IF(A559="","",IF(K559&lt;&gt;"",K559,D559))</f>
        <v/>
      </c>
      <c r="Q559" s="42">
        <f>IF(A559="",0,IF(C559="✗",0,IF(OR(C559="✓",AND(Setup!$D$7="Yes",P559&lt;=TODAY())),IF(L559&lt;&gt;"",L559,F559),0)))</f>
        <v/>
      </c>
      <c r="R559" s="39">
        <f>IF(A559="","",IF(M559&lt;&gt;"",M559,G559))</f>
        <v/>
      </c>
      <c r="S559" s="39">
        <f>IF(A559="","",IF(N559&lt;&gt;"",N559,H559))</f>
        <v/>
      </c>
      <c r="T559" s="39">
        <f>IF(A559="","",IF(C559="✗","Skipped",IF(Q559&gt;0,"Paid","Upcoming")))</f>
        <v/>
      </c>
      <c r="U559" s="42">
        <f>IF(A559="",0,IF(C559="✗",0,IF(L559&lt;&gt;"",L559,F559)))</f>
        <v/>
      </c>
    </row>
    <row r="560">
      <c r="A560" s="32">
        <f>IFERROR(SMALL(Calc!$B$2:$BB$61,555),"")</f>
        <v/>
      </c>
      <c r="B560" s="32">
        <f>IF(A560="","",ROUND(MOD(A560,1)*1000,0))</f>
        <v/>
      </c>
      <c r="C560" s="33" t="n"/>
      <c r="D560" s="34">
        <f>IF(A560="","",INT(A560))</f>
        <v/>
      </c>
      <c r="E560" s="35">
        <f>IF(B560="","",INDEX(Setup!$D$25:$D$84,B560))</f>
        <v/>
      </c>
      <c r="F560" s="36">
        <f>IF(B560="","",INDEX(Setup!$E$25:$E$84,B560))</f>
        <v/>
      </c>
      <c r="G560" s="32">
        <f>IF(B560="","",INDEX(Setup!$I$25:$I$84,B560)&amp;"")</f>
        <v/>
      </c>
      <c r="H560" s="32">
        <f>IF(B560="","",INDEX(Setup!$J$25:$J$84,B560)&amp;"")</f>
        <v/>
      </c>
      <c r="I560" s="32">
        <f>IF(B560="","",INDEX(Setup!$C$25:$C$84,B560))</f>
        <v/>
      </c>
      <c r="J560" s="32" t="n"/>
      <c r="K560" s="37" t="n"/>
      <c r="L560" s="38" t="n"/>
      <c r="M560" s="33" t="n"/>
      <c r="N560" s="33" t="n"/>
      <c r="O560" s="32" t="n"/>
      <c r="P560" s="34">
        <f>IF(A560="","",IF(K560&lt;&gt;"",K560,D560))</f>
        <v/>
      </c>
      <c r="Q560" s="36">
        <f>IF(A560="",0,IF(C560="✗",0,IF(OR(C560="✓",AND(Setup!$D$7="Yes",P560&lt;=TODAY())),IF(L560&lt;&gt;"",L560,F560),0)))</f>
        <v/>
      </c>
      <c r="R560" s="32">
        <f>IF(A560="","",IF(M560&lt;&gt;"",M560,G560))</f>
        <v/>
      </c>
      <c r="S560" s="32">
        <f>IF(A560="","",IF(N560&lt;&gt;"",N560,H560))</f>
        <v/>
      </c>
      <c r="T560" s="32">
        <f>IF(A560="","",IF(C560="✗","Skipped",IF(Q560&gt;0,"Paid","Upcoming")))</f>
        <v/>
      </c>
      <c r="U560" s="36">
        <f>IF(A560="",0,IF(C560="✗",0,IF(L560&lt;&gt;"",L560,F560)))</f>
        <v/>
      </c>
    </row>
    <row r="561">
      <c r="A561" s="39">
        <f>IFERROR(SMALL(Calc!$B$2:$BB$61,556),"")</f>
        <v/>
      </c>
      <c r="B561" s="39">
        <f>IF(A561="","",ROUND(MOD(A561,1)*1000,0))</f>
        <v/>
      </c>
      <c r="C561" s="33" t="n"/>
      <c r="D561" s="40">
        <f>IF(A561="","",INT(A561))</f>
        <v/>
      </c>
      <c r="E561" s="41">
        <f>IF(B561="","",INDEX(Setup!$D$25:$D$84,B561))</f>
        <v/>
      </c>
      <c r="F561" s="42">
        <f>IF(B561="","",INDEX(Setup!$E$25:$E$84,B561))</f>
        <v/>
      </c>
      <c r="G561" s="39">
        <f>IF(B561="","",INDEX(Setup!$I$25:$I$84,B561)&amp;"")</f>
        <v/>
      </c>
      <c r="H561" s="39">
        <f>IF(B561="","",INDEX(Setup!$J$25:$J$84,B561)&amp;"")</f>
        <v/>
      </c>
      <c r="I561" s="39">
        <f>IF(B561="","",INDEX(Setup!$C$25:$C$84,B561))</f>
        <v/>
      </c>
      <c r="J561" s="39" t="n"/>
      <c r="K561" s="37" t="n"/>
      <c r="L561" s="38" t="n"/>
      <c r="M561" s="33" t="n"/>
      <c r="N561" s="33" t="n"/>
      <c r="O561" s="39" t="n"/>
      <c r="P561" s="40">
        <f>IF(A561="","",IF(K561&lt;&gt;"",K561,D561))</f>
        <v/>
      </c>
      <c r="Q561" s="42">
        <f>IF(A561="",0,IF(C561="✗",0,IF(OR(C561="✓",AND(Setup!$D$7="Yes",P561&lt;=TODAY())),IF(L561&lt;&gt;"",L561,F561),0)))</f>
        <v/>
      </c>
      <c r="R561" s="39">
        <f>IF(A561="","",IF(M561&lt;&gt;"",M561,G561))</f>
        <v/>
      </c>
      <c r="S561" s="39">
        <f>IF(A561="","",IF(N561&lt;&gt;"",N561,H561))</f>
        <v/>
      </c>
      <c r="T561" s="39">
        <f>IF(A561="","",IF(C561="✗","Skipped",IF(Q561&gt;0,"Paid","Upcoming")))</f>
        <v/>
      </c>
      <c r="U561" s="42">
        <f>IF(A561="",0,IF(C561="✗",0,IF(L561&lt;&gt;"",L561,F561)))</f>
        <v/>
      </c>
    </row>
    <row r="562">
      <c r="A562" s="32">
        <f>IFERROR(SMALL(Calc!$B$2:$BB$61,557),"")</f>
        <v/>
      </c>
      <c r="B562" s="32">
        <f>IF(A562="","",ROUND(MOD(A562,1)*1000,0))</f>
        <v/>
      </c>
      <c r="C562" s="33" t="n"/>
      <c r="D562" s="34">
        <f>IF(A562="","",INT(A562))</f>
        <v/>
      </c>
      <c r="E562" s="35">
        <f>IF(B562="","",INDEX(Setup!$D$25:$D$84,B562))</f>
        <v/>
      </c>
      <c r="F562" s="36">
        <f>IF(B562="","",INDEX(Setup!$E$25:$E$84,B562))</f>
        <v/>
      </c>
      <c r="G562" s="32">
        <f>IF(B562="","",INDEX(Setup!$I$25:$I$84,B562)&amp;"")</f>
        <v/>
      </c>
      <c r="H562" s="32">
        <f>IF(B562="","",INDEX(Setup!$J$25:$J$84,B562)&amp;"")</f>
        <v/>
      </c>
      <c r="I562" s="32">
        <f>IF(B562="","",INDEX(Setup!$C$25:$C$84,B562))</f>
        <v/>
      </c>
      <c r="J562" s="32" t="n"/>
      <c r="K562" s="37" t="n"/>
      <c r="L562" s="38" t="n"/>
      <c r="M562" s="33" t="n"/>
      <c r="N562" s="33" t="n"/>
      <c r="O562" s="32" t="n"/>
      <c r="P562" s="34">
        <f>IF(A562="","",IF(K562&lt;&gt;"",K562,D562))</f>
        <v/>
      </c>
      <c r="Q562" s="36">
        <f>IF(A562="",0,IF(C562="✗",0,IF(OR(C562="✓",AND(Setup!$D$7="Yes",P562&lt;=TODAY())),IF(L562&lt;&gt;"",L562,F562),0)))</f>
        <v/>
      </c>
      <c r="R562" s="32">
        <f>IF(A562="","",IF(M562&lt;&gt;"",M562,G562))</f>
        <v/>
      </c>
      <c r="S562" s="32">
        <f>IF(A562="","",IF(N562&lt;&gt;"",N562,H562))</f>
        <v/>
      </c>
      <c r="T562" s="32">
        <f>IF(A562="","",IF(C562="✗","Skipped",IF(Q562&gt;0,"Paid","Upcoming")))</f>
        <v/>
      </c>
      <c r="U562" s="36">
        <f>IF(A562="",0,IF(C562="✗",0,IF(L562&lt;&gt;"",L562,F562)))</f>
        <v/>
      </c>
    </row>
    <row r="563">
      <c r="A563" s="39">
        <f>IFERROR(SMALL(Calc!$B$2:$BB$61,558),"")</f>
        <v/>
      </c>
      <c r="B563" s="39">
        <f>IF(A563="","",ROUND(MOD(A563,1)*1000,0))</f>
        <v/>
      </c>
      <c r="C563" s="33" t="n"/>
      <c r="D563" s="40">
        <f>IF(A563="","",INT(A563))</f>
        <v/>
      </c>
      <c r="E563" s="41">
        <f>IF(B563="","",INDEX(Setup!$D$25:$D$84,B563))</f>
        <v/>
      </c>
      <c r="F563" s="42">
        <f>IF(B563="","",INDEX(Setup!$E$25:$E$84,B563))</f>
        <v/>
      </c>
      <c r="G563" s="39">
        <f>IF(B563="","",INDEX(Setup!$I$25:$I$84,B563)&amp;"")</f>
        <v/>
      </c>
      <c r="H563" s="39">
        <f>IF(B563="","",INDEX(Setup!$J$25:$J$84,B563)&amp;"")</f>
        <v/>
      </c>
      <c r="I563" s="39">
        <f>IF(B563="","",INDEX(Setup!$C$25:$C$84,B563))</f>
        <v/>
      </c>
      <c r="J563" s="39" t="n"/>
      <c r="K563" s="37" t="n"/>
      <c r="L563" s="38" t="n"/>
      <c r="M563" s="33" t="n"/>
      <c r="N563" s="33" t="n"/>
      <c r="O563" s="39" t="n"/>
      <c r="P563" s="40">
        <f>IF(A563="","",IF(K563&lt;&gt;"",K563,D563))</f>
        <v/>
      </c>
      <c r="Q563" s="42">
        <f>IF(A563="",0,IF(C563="✗",0,IF(OR(C563="✓",AND(Setup!$D$7="Yes",P563&lt;=TODAY())),IF(L563&lt;&gt;"",L563,F563),0)))</f>
        <v/>
      </c>
      <c r="R563" s="39">
        <f>IF(A563="","",IF(M563&lt;&gt;"",M563,G563))</f>
        <v/>
      </c>
      <c r="S563" s="39">
        <f>IF(A563="","",IF(N563&lt;&gt;"",N563,H563))</f>
        <v/>
      </c>
      <c r="T563" s="39">
        <f>IF(A563="","",IF(C563="✗","Skipped",IF(Q563&gt;0,"Paid","Upcoming")))</f>
        <v/>
      </c>
      <c r="U563" s="42">
        <f>IF(A563="",0,IF(C563="✗",0,IF(L563&lt;&gt;"",L563,F563)))</f>
        <v/>
      </c>
    </row>
    <row r="564">
      <c r="A564" s="32">
        <f>IFERROR(SMALL(Calc!$B$2:$BB$61,559),"")</f>
        <v/>
      </c>
      <c r="B564" s="32">
        <f>IF(A564="","",ROUND(MOD(A564,1)*1000,0))</f>
        <v/>
      </c>
      <c r="C564" s="33" t="n"/>
      <c r="D564" s="34">
        <f>IF(A564="","",INT(A564))</f>
        <v/>
      </c>
      <c r="E564" s="35">
        <f>IF(B564="","",INDEX(Setup!$D$25:$D$84,B564))</f>
        <v/>
      </c>
      <c r="F564" s="36">
        <f>IF(B564="","",INDEX(Setup!$E$25:$E$84,B564))</f>
        <v/>
      </c>
      <c r="G564" s="32">
        <f>IF(B564="","",INDEX(Setup!$I$25:$I$84,B564)&amp;"")</f>
        <v/>
      </c>
      <c r="H564" s="32">
        <f>IF(B564="","",INDEX(Setup!$J$25:$J$84,B564)&amp;"")</f>
        <v/>
      </c>
      <c r="I564" s="32">
        <f>IF(B564="","",INDEX(Setup!$C$25:$C$84,B564))</f>
        <v/>
      </c>
      <c r="J564" s="32" t="n"/>
      <c r="K564" s="37" t="n"/>
      <c r="L564" s="38" t="n"/>
      <c r="M564" s="33" t="n"/>
      <c r="N564" s="33" t="n"/>
      <c r="O564" s="32" t="n"/>
      <c r="P564" s="34">
        <f>IF(A564="","",IF(K564&lt;&gt;"",K564,D564))</f>
        <v/>
      </c>
      <c r="Q564" s="36">
        <f>IF(A564="",0,IF(C564="✗",0,IF(OR(C564="✓",AND(Setup!$D$7="Yes",P564&lt;=TODAY())),IF(L564&lt;&gt;"",L564,F564),0)))</f>
        <v/>
      </c>
      <c r="R564" s="32">
        <f>IF(A564="","",IF(M564&lt;&gt;"",M564,G564))</f>
        <v/>
      </c>
      <c r="S564" s="32">
        <f>IF(A564="","",IF(N564&lt;&gt;"",N564,H564))</f>
        <v/>
      </c>
      <c r="T564" s="32">
        <f>IF(A564="","",IF(C564="✗","Skipped",IF(Q564&gt;0,"Paid","Upcoming")))</f>
        <v/>
      </c>
      <c r="U564" s="36">
        <f>IF(A564="",0,IF(C564="✗",0,IF(L564&lt;&gt;"",L564,F564)))</f>
        <v/>
      </c>
    </row>
    <row r="565">
      <c r="A565" s="39">
        <f>IFERROR(SMALL(Calc!$B$2:$BB$61,560),"")</f>
        <v/>
      </c>
      <c r="B565" s="39">
        <f>IF(A565="","",ROUND(MOD(A565,1)*1000,0))</f>
        <v/>
      </c>
      <c r="C565" s="33" t="n"/>
      <c r="D565" s="40">
        <f>IF(A565="","",INT(A565))</f>
        <v/>
      </c>
      <c r="E565" s="41">
        <f>IF(B565="","",INDEX(Setup!$D$25:$D$84,B565))</f>
        <v/>
      </c>
      <c r="F565" s="42">
        <f>IF(B565="","",INDEX(Setup!$E$25:$E$84,B565))</f>
        <v/>
      </c>
      <c r="G565" s="39">
        <f>IF(B565="","",INDEX(Setup!$I$25:$I$84,B565)&amp;"")</f>
        <v/>
      </c>
      <c r="H565" s="39">
        <f>IF(B565="","",INDEX(Setup!$J$25:$J$84,B565)&amp;"")</f>
        <v/>
      </c>
      <c r="I565" s="39">
        <f>IF(B565="","",INDEX(Setup!$C$25:$C$84,B565))</f>
        <v/>
      </c>
      <c r="J565" s="39" t="n"/>
      <c r="K565" s="37" t="n"/>
      <c r="L565" s="38" t="n"/>
      <c r="M565" s="33" t="n"/>
      <c r="N565" s="33" t="n"/>
      <c r="O565" s="39" t="n"/>
      <c r="P565" s="40">
        <f>IF(A565="","",IF(K565&lt;&gt;"",K565,D565))</f>
        <v/>
      </c>
      <c r="Q565" s="42">
        <f>IF(A565="",0,IF(C565="✗",0,IF(OR(C565="✓",AND(Setup!$D$7="Yes",P565&lt;=TODAY())),IF(L565&lt;&gt;"",L565,F565),0)))</f>
        <v/>
      </c>
      <c r="R565" s="39">
        <f>IF(A565="","",IF(M565&lt;&gt;"",M565,G565))</f>
        <v/>
      </c>
      <c r="S565" s="39">
        <f>IF(A565="","",IF(N565&lt;&gt;"",N565,H565))</f>
        <v/>
      </c>
      <c r="T565" s="39">
        <f>IF(A565="","",IF(C565="✗","Skipped",IF(Q565&gt;0,"Paid","Upcoming")))</f>
        <v/>
      </c>
      <c r="U565" s="42">
        <f>IF(A565="",0,IF(C565="✗",0,IF(L565&lt;&gt;"",L565,F565)))</f>
        <v/>
      </c>
    </row>
    <row r="566">
      <c r="A566" s="32">
        <f>IFERROR(SMALL(Calc!$B$2:$BB$61,561),"")</f>
        <v/>
      </c>
      <c r="B566" s="32">
        <f>IF(A566="","",ROUND(MOD(A566,1)*1000,0))</f>
        <v/>
      </c>
      <c r="C566" s="33" t="n"/>
      <c r="D566" s="34">
        <f>IF(A566="","",INT(A566))</f>
        <v/>
      </c>
      <c r="E566" s="35">
        <f>IF(B566="","",INDEX(Setup!$D$25:$D$84,B566))</f>
        <v/>
      </c>
      <c r="F566" s="36">
        <f>IF(B566="","",INDEX(Setup!$E$25:$E$84,B566))</f>
        <v/>
      </c>
      <c r="G566" s="32">
        <f>IF(B566="","",INDEX(Setup!$I$25:$I$84,B566)&amp;"")</f>
        <v/>
      </c>
      <c r="H566" s="32">
        <f>IF(B566="","",INDEX(Setup!$J$25:$J$84,B566)&amp;"")</f>
        <v/>
      </c>
      <c r="I566" s="32">
        <f>IF(B566="","",INDEX(Setup!$C$25:$C$84,B566))</f>
        <v/>
      </c>
      <c r="J566" s="32" t="n"/>
      <c r="K566" s="37" t="n"/>
      <c r="L566" s="38" t="n"/>
      <c r="M566" s="33" t="n"/>
      <c r="N566" s="33" t="n"/>
      <c r="O566" s="32" t="n"/>
      <c r="P566" s="34">
        <f>IF(A566="","",IF(K566&lt;&gt;"",K566,D566))</f>
        <v/>
      </c>
      <c r="Q566" s="36">
        <f>IF(A566="",0,IF(C566="✗",0,IF(OR(C566="✓",AND(Setup!$D$7="Yes",P566&lt;=TODAY())),IF(L566&lt;&gt;"",L566,F566),0)))</f>
        <v/>
      </c>
      <c r="R566" s="32">
        <f>IF(A566="","",IF(M566&lt;&gt;"",M566,G566))</f>
        <v/>
      </c>
      <c r="S566" s="32">
        <f>IF(A566="","",IF(N566&lt;&gt;"",N566,H566))</f>
        <v/>
      </c>
      <c r="T566" s="32">
        <f>IF(A566="","",IF(C566="✗","Skipped",IF(Q566&gt;0,"Paid","Upcoming")))</f>
        <v/>
      </c>
      <c r="U566" s="36">
        <f>IF(A566="",0,IF(C566="✗",0,IF(L566&lt;&gt;"",L566,F566)))</f>
        <v/>
      </c>
    </row>
    <row r="567">
      <c r="A567" s="39">
        <f>IFERROR(SMALL(Calc!$B$2:$BB$61,562),"")</f>
        <v/>
      </c>
      <c r="B567" s="39">
        <f>IF(A567="","",ROUND(MOD(A567,1)*1000,0))</f>
        <v/>
      </c>
      <c r="C567" s="33" t="n"/>
      <c r="D567" s="40">
        <f>IF(A567="","",INT(A567))</f>
        <v/>
      </c>
      <c r="E567" s="41">
        <f>IF(B567="","",INDEX(Setup!$D$25:$D$84,B567))</f>
        <v/>
      </c>
      <c r="F567" s="42">
        <f>IF(B567="","",INDEX(Setup!$E$25:$E$84,B567))</f>
        <v/>
      </c>
      <c r="G567" s="39">
        <f>IF(B567="","",INDEX(Setup!$I$25:$I$84,B567)&amp;"")</f>
        <v/>
      </c>
      <c r="H567" s="39">
        <f>IF(B567="","",INDEX(Setup!$J$25:$J$84,B567)&amp;"")</f>
        <v/>
      </c>
      <c r="I567" s="39">
        <f>IF(B567="","",INDEX(Setup!$C$25:$C$84,B567))</f>
        <v/>
      </c>
      <c r="J567" s="39" t="n"/>
      <c r="K567" s="37" t="n"/>
      <c r="L567" s="38" t="n"/>
      <c r="M567" s="33" t="n"/>
      <c r="N567" s="33" t="n"/>
      <c r="O567" s="39" t="n"/>
      <c r="P567" s="40">
        <f>IF(A567="","",IF(K567&lt;&gt;"",K567,D567))</f>
        <v/>
      </c>
      <c r="Q567" s="42">
        <f>IF(A567="",0,IF(C567="✗",0,IF(OR(C567="✓",AND(Setup!$D$7="Yes",P567&lt;=TODAY())),IF(L567&lt;&gt;"",L567,F567),0)))</f>
        <v/>
      </c>
      <c r="R567" s="39">
        <f>IF(A567="","",IF(M567&lt;&gt;"",M567,G567))</f>
        <v/>
      </c>
      <c r="S567" s="39">
        <f>IF(A567="","",IF(N567&lt;&gt;"",N567,H567))</f>
        <v/>
      </c>
      <c r="T567" s="39">
        <f>IF(A567="","",IF(C567="✗","Skipped",IF(Q567&gt;0,"Paid","Upcoming")))</f>
        <v/>
      </c>
      <c r="U567" s="42">
        <f>IF(A567="",0,IF(C567="✗",0,IF(L567&lt;&gt;"",L567,F567)))</f>
        <v/>
      </c>
    </row>
    <row r="568">
      <c r="A568" s="32">
        <f>IFERROR(SMALL(Calc!$B$2:$BB$61,563),"")</f>
        <v/>
      </c>
      <c r="B568" s="32">
        <f>IF(A568="","",ROUND(MOD(A568,1)*1000,0))</f>
        <v/>
      </c>
      <c r="C568" s="33" t="n"/>
      <c r="D568" s="34">
        <f>IF(A568="","",INT(A568))</f>
        <v/>
      </c>
      <c r="E568" s="35">
        <f>IF(B568="","",INDEX(Setup!$D$25:$D$84,B568))</f>
        <v/>
      </c>
      <c r="F568" s="36">
        <f>IF(B568="","",INDEX(Setup!$E$25:$E$84,B568))</f>
        <v/>
      </c>
      <c r="G568" s="32">
        <f>IF(B568="","",INDEX(Setup!$I$25:$I$84,B568)&amp;"")</f>
        <v/>
      </c>
      <c r="H568" s="32">
        <f>IF(B568="","",INDEX(Setup!$J$25:$J$84,B568)&amp;"")</f>
        <v/>
      </c>
      <c r="I568" s="32">
        <f>IF(B568="","",INDEX(Setup!$C$25:$C$84,B568))</f>
        <v/>
      </c>
      <c r="J568" s="32" t="n"/>
      <c r="K568" s="37" t="n"/>
      <c r="L568" s="38" t="n"/>
      <c r="M568" s="33" t="n"/>
      <c r="N568" s="33" t="n"/>
      <c r="O568" s="32" t="n"/>
      <c r="P568" s="34">
        <f>IF(A568="","",IF(K568&lt;&gt;"",K568,D568))</f>
        <v/>
      </c>
      <c r="Q568" s="36">
        <f>IF(A568="",0,IF(C568="✗",0,IF(OR(C568="✓",AND(Setup!$D$7="Yes",P568&lt;=TODAY())),IF(L568&lt;&gt;"",L568,F568),0)))</f>
        <v/>
      </c>
      <c r="R568" s="32">
        <f>IF(A568="","",IF(M568&lt;&gt;"",M568,G568))</f>
        <v/>
      </c>
      <c r="S568" s="32">
        <f>IF(A568="","",IF(N568&lt;&gt;"",N568,H568))</f>
        <v/>
      </c>
      <c r="T568" s="32">
        <f>IF(A568="","",IF(C568="✗","Skipped",IF(Q568&gt;0,"Paid","Upcoming")))</f>
        <v/>
      </c>
      <c r="U568" s="36">
        <f>IF(A568="",0,IF(C568="✗",0,IF(L568&lt;&gt;"",L568,F568)))</f>
        <v/>
      </c>
    </row>
    <row r="569">
      <c r="A569" s="39">
        <f>IFERROR(SMALL(Calc!$B$2:$BB$61,564),"")</f>
        <v/>
      </c>
      <c r="B569" s="39">
        <f>IF(A569="","",ROUND(MOD(A569,1)*1000,0))</f>
        <v/>
      </c>
      <c r="C569" s="33" t="n"/>
      <c r="D569" s="40">
        <f>IF(A569="","",INT(A569))</f>
        <v/>
      </c>
      <c r="E569" s="41">
        <f>IF(B569="","",INDEX(Setup!$D$25:$D$84,B569))</f>
        <v/>
      </c>
      <c r="F569" s="42">
        <f>IF(B569="","",INDEX(Setup!$E$25:$E$84,B569))</f>
        <v/>
      </c>
      <c r="G569" s="39">
        <f>IF(B569="","",INDEX(Setup!$I$25:$I$84,B569)&amp;"")</f>
        <v/>
      </c>
      <c r="H569" s="39">
        <f>IF(B569="","",INDEX(Setup!$J$25:$J$84,B569)&amp;"")</f>
        <v/>
      </c>
      <c r="I569" s="39">
        <f>IF(B569="","",INDEX(Setup!$C$25:$C$84,B569))</f>
        <v/>
      </c>
      <c r="J569" s="39" t="n"/>
      <c r="K569" s="37" t="n"/>
      <c r="L569" s="38" t="n"/>
      <c r="M569" s="33" t="n"/>
      <c r="N569" s="33" t="n"/>
      <c r="O569" s="39" t="n"/>
      <c r="P569" s="40">
        <f>IF(A569="","",IF(K569&lt;&gt;"",K569,D569))</f>
        <v/>
      </c>
      <c r="Q569" s="42">
        <f>IF(A569="",0,IF(C569="✗",0,IF(OR(C569="✓",AND(Setup!$D$7="Yes",P569&lt;=TODAY())),IF(L569&lt;&gt;"",L569,F569),0)))</f>
        <v/>
      </c>
      <c r="R569" s="39">
        <f>IF(A569="","",IF(M569&lt;&gt;"",M569,G569))</f>
        <v/>
      </c>
      <c r="S569" s="39">
        <f>IF(A569="","",IF(N569&lt;&gt;"",N569,H569))</f>
        <v/>
      </c>
      <c r="T569" s="39">
        <f>IF(A569="","",IF(C569="✗","Skipped",IF(Q569&gt;0,"Paid","Upcoming")))</f>
        <v/>
      </c>
      <c r="U569" s="42">
        <f>IF(A569="",0,IF(C569="✗",0,IF(L569&lt;&gt;"",L569,F569)))</f>
        <v/>
      </c>
    </row>
    <row r="570">
      <c r="A570" s="32">
        <f>IFERROR(SMALL(Calc!$B$2:$BB$61,565),"")</f>
        <v/>
      </c>
      <c r="B570" s="32">
        <f>IF(A570="","",ROUND(MOD(A570,1)*1000,0))</f>
        <v/>
      </c>
      <c r="C570" s="33" t="n"/>
      <c r="D570" s="34">
        <f>IF(A570="","",INT(A570))</f>
        <v/>
      </c>
      <c r="E570" s="35">
        <f>IF(B570="","",INDEX(Setup!$D$25:$D$84,B570))</f>
        <v/>
      </c>
      <c r="F570" s="36">
        <f>IF(B570="","",INDEX(Setup!$E$25:$E$84,B570))</f>
        <v/>
      </c>
      <c r="G570" s="32">
        <f>IF(B570="","",INDEX(Setup!$I$25:$I$84,B570)&amp;"")</f>
        <v/>
      </c>
      <c r="H570" s="32">
        <f>IF(B570="","",INDEX(Setup!$J$25:$J$84,B570)&amp;"")</f>
        <v/>
      </c>
      <c r="I570" s="32">
        <f>IF(B570="","",INDEX(Setup!$C$25:$C$84,B570))</f>
        <v/>
      </c>
      <c r="J570" s="32" t="n"/>
      <c r="K570" s="37" t="n"/>
      <c r="L570" s="38" t="n"/>
      <c r="M570" s="33" t="n"/>
      <c r="N570" s="33" t="n"/>
      <c r="O570" s="32" t="n"/>
      <c r="P570" s="34">
        <f>IF(A570="","",IF(K570&lt;&gt;"",K570,D570))</f>
        <v/>
      </c>
      <c r="Q570" s="36">
        <f>IF(A570="",0,IF(C570="✗",0,IF(OR(C570="✓",AND(Setup!$D$7="Yes",P570&lt;=TODAY())),IF(L570&lt;&gt;"",L570,F570),0)))</f>
        <v/>
      </c>
      <c r="R570" s="32">
        <f>IF(A570="","",IF(M570&lt;&gt;"",M570,G570))</f>
        <v/>
      </c>
      <c r="S570" s="32">
        <f>IF(A570="","",IF(N570&lt;&gt;"",N570,H570))</f>
        <v/>
      </c>
      <c r="T570" s="32">
        <f>IF(A570="","",IF(C570="✗","Skipped",IF(Q570&gt;0,"Paid","Upcoming")))</f>
        <v/>
      </c>
      <c r="U570" s="36">
        <f>IF(A570="",0,IF(C570="✗",0,IF(L570&lt;&gt;"",L570,F570)))</f>
        <v/>
      </c>
    </row>
    <row r="571">
      <c r="A571" s="39">
        <f>IFERROR(SMALL(Calc!$B$2:$BB$61,566),"")</f>
        <v/>
      </c>
      <c r="B571" s="39">
        <f>IF(A571="","",ROUND(MOD(A571,1)*1000,0))</f>
        <v/>
      </c>
      <c r="C571" s="33" t="n"/>
      <c r="D571" s="40">
        <f>IF(A571="","",INT(A571))</f>
        <v/>
      </c>
      <c r="E571" s="41">
        <f>IF(B571="","",INDEX(Setup!$D$25:$D$84,B571))</f>
        <v/>
      </c>
      <c r="F571" s="42">
        <f>IF(B571="","",INDEX(Setup!$E$25:$E$84,B571))</f>
        <v/>
      </c>
      <c r="G571" s="39">
        <f>IF(B571="","",INDEX(Setup!$I$25:$I$84,B571)&amp;"")</f>
        <v/>
      </c>
      <c r="H571" s="39">
        <f>IF(B571="","",INDEX(Setup!$J$25:$J$84,B571)&amp;"")</f>
        <v/>
      </c>
      <c r="I571" s="39">
        <f>IF(B571="","",INDEX(Setup!$C$25:$C$84,B571))</f>
        <v/>
      </c>
      <c r="J571" s="39" t="n"/>
      <c r="K571" s="37" t="n"/>
      <c r="L571" s="38" t="n"/>
      <c r="M571" s="33" t="n"/>
      <c r="N571" s="33" t="n"/>
      <c r="O571" s="39" t="n"/>
      <c r="P571" s="40">
        <f>IF(A571="","",IF(K571&lt;&gt;"",K571,D571))</f>
        <v/>
      </c>
      <c r="Q571" s="42">
        <f>IF(A571="",0,IF(C571="✗",0,IF(OR(C571="✓",AND(Setup!$D$7="Yes",P571&lt;=TODAY())),IF(L571&lt;&gt;"",L571,F571),0)))</f>
        <v/>
      </c>
      <c r="R571" s="39">
        <f>IF(A571="","",IF(M571&lt;&gt;"",M571,G571))</f>
        <v/>
      </c>
      <c r="S571" s="39">
        <f>IF(A571="","",IF(N571&lt;&gt;"",N571,H571))</f>
        <v/>
      </c>
      <c r="T571" s="39">
        <f>IF(A571="","",IF(C571="✗","Skipped",IF(Q571&gt;0,"Paid","Upcoming")))</f>
        <v/>
      </c>
      <c r="U571" s="42">
        <f>IF(A571="",0,IF(C571="✗",0,IF(L571&lt;&gt;"",L571,F571)))</f>
        <v/>
      </c>
    </row>
    <row r="572">
      <c r="A572" s="32">
        <f>IFERROR(SMALL(Calc!$B$2:$BB$61,567),"")</f>
        <v/>
      </c>
      <c r="B572" s="32">
        <f>IF(A572="","",ROUND(MOD(A572,1)*1000,0))</f>
        <v/>
      </c>
      <c r="C572" s="33" t="n"/>
      <c r="D572" s="34">
        <f>IF(A572="","",INT(A572))</f>
        <v/>
      </c>
      <c r="E572" s="35">
        <f>IF(B572="","",INDEX(Setup!$D$25:$D$84,B572))</f>
        <v/>
      </c>
      <c r="F572" s="36">
        <f>IF(B572="","",INDEX(Setup!$E$25:$E$84,B572))</f>
        <v/>
      </c>
      <c r="G572" s="32">
        <f>IF(B572="","",INDEX(Setup!$I$25:$I$84,B572)&amp;"")</f>
        <v/>
      </c>
      <c r="H572" s="32">
        <f>IF(B572="","",INDEX(Setup!$J$25:$J$84,B572)&amp;"")</f>
        <v/>
      </c>
      <c r="I572" s="32">
        <f>IF(B572="","",INDEX(Setup!$C$25:$C$84,B572))</f>
        <v/>
      </c>
      <c r="J572" s="32" t="n"/>
      <c r="K572" s="37" t="n"/>
      <c r="L572" s="38" t="n"/>
      <c r="M572" s="33" t="n"/>
      <c r="N572" s="33" t="n"/>
      <c r="O572" s="32" t="n"/>
      <c r="P572" s="34">
        <f>IF(A572="","",IF(K572&lt;&gt;"",K572,D572))</f>
        <v/>
      </c>
      <c r="Q572" s="36">
        <f>IF(A572="",0,IF(C572="✗",0,IF(OR(C572="✓",AND(Setup!$D$7="Yes",P572&lt;=TODAY())),IF(L572&lt;&gt;"",L572,F572),0)))</f>
        <v/>
      </c>
      <c r="R572" s="32">
        <f>IF(A572="","",IF(M572&lt;&gt;"",M572,G572))</f>
        <v/>
      </c>
      <c r="S572" s="32">
        <f>IF(A572="","",IF(N572&lt;&gt;"",N572,H572))</f>
        <v/>
      </c>
      <c r="T572" s="32">
        <f>IF(A572="","",IF(C572="✗","Skipped",IF(Q572&gt;0,"Paid","Upcoming")))</f>
        <v/>
      </c>
      <c r="U572" s="36">
        <f>IF(A572="",0,IF(C572="✗",0,IF(L572&lt;&gt;"",L572,F572)))</f>
        <v/>
      </c>
    </row>
    <row r="573">
      <c r="A573" s="39">
        <f>IFERROR(SMALL(Calc!$B$2:$BB$61,568),"")</f>
        <v/>
      </c>
      <c r="B573" s="39">
        <f>IF(A573="","",ROUND(MOD(A573,1)*1000,0))</f>
        <v/>
      </c>
      <c r="C573" s="33" t="n"/>
      <c r="D573" s="40">
        <f>IF(A573="","",INT(A573))</f>
        <v/>
      </c>
      <c r="E573" s="41">
        <f>IF(B573="","",INDEX(Setup!$D$25:$D$84,B573))</f>
        <v/>
      </c>
      <c r="F573" s="42">
        <f>IF(B573="","",INDEX(Setup!$E$25:$E$84,B573))</f>
        <v/>
      </c>
      <c r="G573" s="39">
        <f>IF(B573="","",INDEX(Setup!$I$25:$I$84,B573)&amp;"")</f>
        <v/>
      </c>
      <c r="H573" s="39">
        <f>IF(B573="","",INDEX(Setup!$J$25:$J$84,B573)&amp;"")</f>
        <v/>
      </c>
      <c r="I573" s="39">
        <f>IF(B573="","",INDEX(Setup!$C$25:$C$84,B573))</f>
        <v/>
      </c>
      <c r="J573" s="39" t="n"/>
      <c r="K573" s="37" t="n"/>
      <c r="L573" s="38" t="n"/>
      <c r="M573" s="33" t="n"/>
      <c r="N573" s="33" t="n"/>
      <c r="O573" s="39" t="n"/>
      <c r="P573" s="40">
        <f>IF(A573="","",IF(K573&lt;&gt;"",K573,D573))</f>
        <v/>
      </c>
      <c r="Q573" s="42">
        <f>IF(A573="",0,IF(C573="✗",0,IF(OR(C573="✓",AND(Setup!$D$7="Yes",P573&lt;=TODAY())),IF(L573&lt;&gt;"",L573,F573),0)))</f>
        <v/>
      </c>
      <c r="R573" s="39">
        <f>IF(A573="","",IF(M573&lt;&gt;"",M573,G573))</f>
        <v/>
      </c>
      <c r="S573" s="39">
        <f>IF(A573="","",IF(N573&lt;&gt;"",N573,H573))</f>
        <v/>
      </c>
      <c r="T573" s="39">
        <f>IF(A573="","",IF(C573="✗","Skipped",IF(Q573&gt;0,"Paid","Upcoming")))</f>
        <v/>
      </c>
      <c r="U573" s="42">
        <f>IF(A573="",0,IF(C573="✗",0,IF(L573&lt;&gt;"",L573,F573)))</f>
        <v/>
      </c>
    </row>
    <row r="574">
      <c r="A574" s="32">
        <f>IFERROR(SMALL(Calc!$B$2:$BB$61,569),"")</f>
        <v/>
      </c>
      <c r="B574" s="32">
        <f>IF(A574="","",ROUND(MOD(A574,1)*1000,0))</f>
        <v/>
      </c>
      <c r="C574" s="33" t="n"/>
      <c r="D574" s="34">
        <f>IF(A574="","",INT(A574))</f>
        <v/>
      </c>
      <c r="E574" s="35">
        <f>IF(B574="","",INDEX(Setup!$D$25:$D$84,B574))</f>
        <v/>
      </c>
      <c r="F574" s="36">
        <f>IF(B574="","",INDEX(Setup!$E$25:$E$84,B574))</f>
        <v/>
      </c>
      <c r="G574" s="32">
        <f>IF(B574="","",INDEX(Setup!$I$25:$I$84,B574)&amp;"")</f>
        <v/>
      </c>
      <c r="H574" s="32">
        <f>IF(B574="","",INDEX(Setup!$J$25:$J$84,B574)&amp;"")</f>
        <v/>
      </c>
      <c r="I574" s="32">
        <f>IF(B574="","",INDEX(Setup!$C$25:$C$84,B574))</f>
        <v/>
      </c>
      <c r="J574" s="32" t="n"/>
      <c r="K574" s="37" t="n"/>
      <c r="L574" s="38" t="n"/>
      <c r="M574" s="33" t="n"/>
      <c r="N574" s="33" t="n"/>
      <c r="O574" s="32" t="n"/>
      <c r="P574" s="34">
        <f>IF(A574="","",IF(K574&lt;&gt;"",K574,D574))</f>
        <v/>
      </c>
      <c r="Q574" s="36">
        <f>IF(A574="",0,IF(C574="✗",0,IF(OR(C574="✓",AND(Setup!$D$7="Yes",P574&lt;=TODAY())),IF(L574&lt;&gt;"",L574,F574),0)))</f>
        <v/>
      </c>
      <c r="R574" s="32">
        <f>IF(A574="","",IF(M574&lt;&gt;"",M574,G574))</f>
        <v/>
      </c>
      <c r="S574" s="32">
        <f>IF(A574="","",IF(N574&lt;&gt;"",N574,H574))</f>
        <v/>
      </c>
      <c r="T574" s="32">
        <f>IF(A574="","",IF(C574="✗","Skipped",IF(Q574&gt;0,"Paid","Upcoming")))</f>
        <v/>
      </c>
      <c r="U574" s="36">
        <f>IF(A574="",0,IF(C574="✗",0,IF(L574&lt;&gt;"",L574,F574)))</f>
        <v/>
      </c>
    </row>
    <row r="575">
      <c r="A575" s="39">
        <f>IFERROR(SMALL(Calc!$B$2:$BB$61,570),"")</f>
        <v/>
      </c>
      <c r="B575" s="39">
        <f>IF(A575="","",ROUND(MOD(A575,1)*1000,0))</f>
        <v/>
      </c>
      <c r="C575" s="33" t="n"/>
      <c r="D575" s="40">
        <f>IF(A575="","",INT(A575))</f>
        <v/>
      </c>
      <c r="E575" s="41">
        <f>IF(B575="","",INDEX(Setup!$D$25:$D$84,B575))</f>
        <v/>
      </c>
      <c r="F575" s="42">
        <f>IF(B575="","",INDEX(Setup!$E$25:$E$84,B575))</f>
        <v/>
      </c>
      <c r="G575" s="39">
        <f>IF(B575="","",INDEX(Setup!$I$25:$I$84,B575)&amp;"")</f>
        <v/>
      </c>
      <c r="H575" s="39">
        <f>IF(B575="","",INDEX(Setup!$J$25:$J$84,B575)&amp;"")</f>
        <v/>
      </c>
      <c r="I575" s="39">
        <f>IF(B575="","",INDEX(Setup!$C$25:$C$84,B575))</f>
        <v/>
      </c>
      <c r="J575" s="39" t="n"/>
      <c r="K575" s="37" t="n"/>
      <c r="L575" s="38" t="n"/>
      <c r="M575" s="33" t="n"/>
      <c r="N575" s="33" t="n"/>
      <c r="O575" s="39" t="n"/>
      <c r="P575" s="40">
        <f>IF(A575="","",IF(K575&lt;&gt;"",K575,D575))</f>
        <v/>
      </c>
      <c r="Q575" s="42">
        <f>IF(A575="",0,IF(C575="✗",0,IF(OR(C575="✓",AND(Setup!$D$7="Yes",P575&lt;=TODAY())),IF(L575&lt;&gt;"",L575,F575),0)))</f>
        <v/>
      </c>
      <c r="R575" s="39">
        <f>IF(A575="","",IF(M575&lt;&gt;"",M575,G575))</f>
        <v/>
      </c>
      <c r="S575" s="39">
        <f>IF(A575="","",IF(N575&lt;&gt;"",N575,H575))</f>
        <v/>
      </c>
      <c r="T575" s="39">
        <f>IF(A575="","",IF(C575="✗","Skipped",IF(Q575&gt;0,"Paid","Upcoming")))</f>
        <v/>
      </c>
      <c r="U575" s="42">
        <f>IF(A575="",0,IF(C575="✗",0,IF(L575&lt;&gt;"",L575,F575)))</f>
        <v/>
      </c>
    </row>
    <row r="576">
      <c r="A576" s="32">
        <f>IFERROR(SMALL(Calc!$B$2:$BB$61,571),"")</f>
        <v/>
      </c>
      <c r="B576" s="32">
        <f>IF(A576="","",ROUND(MOD(A576,1)*1000,0))</f>
        <v/>
      </c>
      <c r="C576" s="33" t="n"/>
      <c r="D576" s="34">
        <f>IF(A576="","",INT(A576))</f>
        <v/>
      </c>
      <c r="E576" s="35">
        <f>IF(B576="","",INDEX(Setup!$D$25:$D$84,B576))</f>
        <v/>
      </c>
      <c r="F576" s="36">
        <f>IF(B576="","",INDEX(Setup!$E$25:$E$84,B576))</f>
        <v/>
      </c>
      <c r="G576" s="32">
        <f>IF(B576="","",INDEX(Setup!$I$25:$I$84,B576)&amp;"")</f>
        <v/>
      </c>
      <c r="H576" s="32">
        <f>IF(B576="","",INDEX(Setup!$J$25:$J$84,B576)&amp;"")</f>
        <v/>
      </c>
      <c r="I576" s="32">
        <f>IF(B576="","",INDEX(Setup!$C$25:$C$84,B576))</f>
        <v/>
      </c>
      <c r="J576" s="32" t="n"/>
      <c r="K576" s="37" t="n"/>
      <c r="L576" s="38" t="n"/>
      <c r="M576" s="33" t="n"/>
      <c r="N576" s="33" t="n"/>
      <c r="O576" s="32" t="n"/>
      <c r="P576" s="34">
        <f>IF(A576="","",IF(K576&lt;&gt;"",K576,D576))</f>
        <v/>
      </c>
      <c r="Q576" s="36">
        <f>IF(A576="",0,IF(C576="✗",0,IF(OR(C576="✓",AND(Setup!$D$7="Yes",P576&lt;=TODAY())),IF(L576&lt;&gt;"",L576,F576),0)))</f>
        <v/>
      </c>
      <c r="R576" s="32">
        <f>IF(A576="","",IF(M576&lt;&gt;"",M576,G576))</f>
        <v/>
      </c>
      <c r="S576" s="32">
        <f>IF(A576="","",IF(N576&lt;&gt;"",N576,H576))</f>
        <v/>
      </c>
      <c r="T576" s="32">
        <f>IF(A576="","",IF(C576="✗","Skipped",IF(Q576&gt;0,"Paid","Upcoming")))</f>
        <v/>
      </c>
      <c r="U576" s="36">
        <f>IF(A576="",0,IF(C576="✗",0,IF(L576&lt;&gt;"",L576,F576)))</f>
        <v/>
      </c>
    </row>
    <row r="577">
      <c r="A577" s="39">
        <f>IFERROR(SMALL(Calc!$B$2:$BB$61,572),"")</f>
        <v/>
      </c>
      <c r="B577" s="39">
        <f>IF(A577="","",ROUND(MOD(A577,1)*1000,0))</f>
        <v/>
      </c>
      <c r="C577" s="33" t="n"/>
      <c r="D577" s="40">
        <f>IF(A577="","",INT(A577))</f>
        <v/>
      </c>
      <c r="E577" s="41">
        <f>IF(B577="","",INDEX(Setup!$D$25:$D$84,B577))</f>
        <v/>
      </c>
      <c r="F577" s="42">
        <f>IF(B577="","",INDEX(Setup!$E$25:$E$84,B577))</f>
        <v/>
      </c>
      <c r="G577" s="39">
        <f>IF(B577="","",INDEX(Setup!$I$25:$I$84,B577)&amp;"")</f>
        <v/>
      </c>
      <c r="H577" s="39">
        <f>IF(B577="","",INDEX(Setup!$J$25:$J$84,B577)&amp;"")</f>
        <v/>
      </c>
      <c r="I577" s="39">
        <f>IF(B577="","",INDEX(Setup!$C$25:$C$84,B577))</f>
        <v/>
      </c>
      <c r="J577" s="39" t="n"/>
      <c r="K577" s="37" t="n"/>
      <c r="L577" s="38" t="n"/>
      <c r="M577" s="33" t="n"/>
      <c r="N577" s="33" t="n"/>
      <c r="O577" s="39" t="n"/>
      <c r="P577" s="40">
        <f>IF(A577="","",IF(K577&lt;&gt;"",K577,D577))</f>
        <v/>
      </c>
      <c r="Q577" s="42">
        <f>IF(A577="",0,IF(C577="✗",0,IF(OR(C577="✓",AND(Setup!$D$7="Yes",P577&lt;=TODAY())),IF(L577&lt;&gt;"",L577,F577),0)))</f>
        <v/>
      </c>
      <c r="R577" s="39">
        <f>IF(A577="","",IF(M577&lt;&gt;"",M577,G577))</f>
        <v/>
      </c>
      <c r="S577" s="39">
        <f>IF(A577="","",IF(N577&lt;&gt;"",N577,H577))</f>
        <v/>
      </c>
      <c r="T577" s="39">
        <f>IF(A577="","",IF(C577="✗","Skipped",IF(Q577&gt;0,"Paid","Upcoming")))</f>
        <v/>
      </c>
      <c r="U577" s="42">
        <f>IF(A577="",0,IF(C577="✗",0,IF(L577&lt;&gt;"",L577,F577)))</f>
        <v/>
      </c>
    </row>
    <row r="578">
      <c r="A578" s="32">
        <f>IFERROR(SMALL(Calc!$B$2:$BB$61,573),"")</f>
        <v/>
      </c>
      <c r="B578" s="32">
        <f>IF(A578="","",ROUND(MOD(A578,1)*1000,0))</f>
        <v/>
      </c>
      <c r="C578" s="33" t="n"/>
      <c r="D578" s="34">
        <f>IF(A578="","",INT(A578))</f>
        <v/>
      </c>
      <c r="E578" s="35">
        <f>IF(B578="","",INDEX(Setup!$D$25:$D$84,B578))</f>
        <v/>
      </c>
      <c r="F578" s="36">
        <f>IF(B578="","",INDEX(Setup!$E$25:$E$84,B578))</f>
        <v/>
      </c>
      <c r="G578" s="32">
        <f>IF(B578="","",INDEX(Setup!$I$25:$I$84,B578)&amp;"")</f>
        <v/>
      </c>
      <c r="H578" s="32">
        <f>IF(B578="","",INDEX(Setup!$J$25:$J$84,B578)&amp;"")</f>
        <v/>
      </c>
      <c r="I578" s="32">
        <f>IF(B578="","",INDEX(Setup!$C$25:$C$84,B578))</f>
        <v/>
      </c>
      <c r="J578" s="32" t="n"/>
      <c r="K578" s="37" t="n"/>
      <c r="L578" s="38" t="n"/>
      <c r="M578" s="33" t="n"/>
      <c r="N578" s="33" t="n"/>
      <c r="O578" s="32" t="n"/>
      <c r="P578" s="34">
        <f>IF(A578="","",IF(K578&lt;&gt;"",K578,D578))</f>
        <v/>
      </c>
      <c r="Q578" s="36">
        <f>IF(A578="",0,IF(C578="✗",0,IF(OR(C578="✓",AND(Setup!$D$7="Yes",P578&lt;=TODAY())),IF(L578&lt;&gt;"",L578,F578),0)))</f>
        <v/>
      </c>
      <c r="R578" s="32">
        <f>IF(A578="","",IF(M578&lt;&gt;"",M578,G578))</f>
        <v/>
      </c>
      <c r="S578" s="32">
        <f>IF(A578="","",IF(N578&lt;&gt;"",N578,H578))</f>
        <v/>
      </c>
      <c r="T578" s="32">
        <f>IF(A578="","",IF(C578="✗","Skipped",IF(Q578&gt;0,"Paid","Upcoming")))</f>
        <v/>
      </c>
      <c r="U578" s="36">
        <f>IF(A578="",0,IF(C578="✗",0,IF(L578&lt;&gt;"",L578,F578)))</f>
        <v/>
      </c>
    </row>
    <row r="579">
      <c r="A579" s="39">
        <f>IFERROR(SMALL(Calc!$B$2:$BB$61,574),"")</f>
        <v/>
      </c>
      <c r="B579" s="39">
        <f>IF(A579="","",ROUND(MOD(A579,1)*1000,0))</f>
        <v/>
      </c>
      <c r="C579" s="33" t="n"/>
      <c r="D579" s="40">
        <f>IF(A579="","",INT(A579))</f>
        <v/>
      </c>
      <c r="E579" s="41">
        <f>IF(B579="","",INDEX(Setup!$D$25:$D$84,B579))</f>
        <v/>
      </c>
      <c r="F579" s="42">
        <f>IF(B579="","",INDEX(Setup!$E$25:$E$84,B579))</f>
        <v/>
      </c>
      <c r="G579" s="39">
        <f>IF(B579="","",INDEX(Setup!$I$25:$I$84,B579)&amp;"")</f>
        <v/>
      </c>
      <c r="H579" s="39">
        <f>IF(B579="","",INDEX(Setup!$J$25:$J$84,B579)&amp;"")</f>
        <v/>
      </c>
      <c r="I579" s="39">
        <f>IF(B579="","",INDEX(Setup!$C$25:$C$84,B579))</f>
        <v/>
      </c>
      <c r="J579" s="39" t="n"/>
      <c r="K579" s="37" t="n"/>
      <c r="L579" s="38" t="n"/>
      <c r="M579" s="33" t="n"/>
      <c r="N579" s="33" t="n"/>
      <c r="O579" s="39" t="n"/>
      <c r="P579" s="40">
        <f>IF(A579="","",IF(K579&lt;&gt;"",K579,D579))</f>
        <v/>
      </c>
      <c r="Q579" s="42">
        <f>IF(A579="",0,IF(C579="✗",0,IF(OR(C579="✓",AND(Setup!$D$7="Yes",P579&lt;=TODAY())),IF(L579&lt;&gt;"",L579,F579),0)))</f>
        <v/>
      </c>
      <c r="R579" s="39">
        <f>IF(A579="","",IF(M579&lt;&gt;"",M579,G579))</f>
        <v/>
      </c>
      <c r="S579" s="39">
        <f>IF(A579="","",IF(N579&lt;&gt;"",N579,H579))</f>
        <v/>
      </c>
      <c r="T579" s="39">
        <f>IF(A579="","",IF(C579="✗","Skipped",IF(Q579&gt;0,"Paid","Upcoming")))</f>
        <v/>
      </c>
      <c r="U579" s="42">
        <f>IF(A579="",0,IF(C579="✗",0,IF(L579&lt;&gt;"",L579,F579)))</f>
        <v/>
      </c>
    </row>
    <row r="580">
      <c r="A580" s="32">
        <f>IFERROR(SMALL(Calc!$B$2:$BB$61,575),"")</f>
        <v/>
      </c>
      <c r="B580" s="32">
        <f>IF(A580="","",ROUND(MOD(A580,1)*1000,0))</f>
        <v/>
      </c>
      <c r="C580" s="33" t="n"/>
      <c r="D580" s="34">
        <f>IF(A580="","",INT(A580))</f>
        <v/>
      </c>
      <c r="E580" s="35">
        <f>IF(B580="","",INDEX(Setup!$D$25:$D$84,B580))</f>
        <v/>
      </c>
      <c r="F580" s="36">
        <f>IF(B580="","",INDEX(Setup!$E$25:$E$84,B580))</f>
        <v/>
      </c>
      <c r="G580" s="32">
        <f>IF(B580="","",INDEX(Setup!$I$25:$I$84,B580)&amp;"")</f>
        <v/>
      </c>
      <c r="H580" s="32">
        <f>IF(B580="","",INDEX(Setup!$J$25:$J$84,B580)&amp;"")</f>
        <v/>
      </c>
      <c r="I580" s="32">
        <f>IF(B580="","",INDEX(Setup!$C$25:$C$84,B580))</f>
        <v/>
      </c>
      <c r="J580" s="32" t="n"/>
      <c r="K580" s="37" t="n"/>
      <c r="L580" s="38" t="n"/>
      <c r="M580" s="33" t="n"/>
      <c r="N580" s="33" t="n"/>
      <c r="O580" s="32" t="n"/>
      <c r="P580" s="34">
        <f>IF(A580="","",IF(K580&lt;&gt;"",K580,D580))</f>
        <v/>
      </c>
      <c r="Q580" s="36">
        <f>IF(A580="",0,IF(C580="✗",0,IF(OR(C580="✓",AND(Setup!$D$7="Yes",P580&lt;=TODAY())),IF(L580&lt;&gt;"",L580,F580),0)))</f>
        <v/>
      </c>
      <c r="R580" s="32">
        <f>IF(A580="","",IF(M580&lt;&gt;"",M580,G580))</f>
        <v/>
      </c>
      <c r="S580" s="32">
        <f>IF(A580="","",IF(N580&lt;&gt;"",N580,H580))</f>
        <v/>
      </c>
      <c r="T580" s="32">
        <f>IF(A580="","",IF(C580="✗","Skipped",IF(Q580&gt;0,"Paid","Upcoming")))</f>
        <v/>
      </c>
      <c r="U580" s="36">
        <f>IF(A580="",0,IF(C580="✗",0,IF(L580&lt;&gt;"",L580,F580)))</f>
        <v/>
      </c>
    </row>
    <row r="581">
      <c r="A581" s="39">
        <f>IFERROR(SMALL(Calc!$B$2:$BB$61,576),"")</f>
        <v/>
      </c>
      <c r="B581" s="39">
        <f>IF(A581="","",ROUND(MOD(A581,1)*1000,0))</f>
        <v/>
      </c>
      <c r="C581" s="33" t="n"/>
      <c r="D581" s="40">
        <f>IF(A581="","",INT(A581))</f>
        <v/>
      </c>
      <c r="E581" s="41">
        <f>IF(B581="","",INDEX(Setup!$D$25:$D$84,B581))</f>
        <v/>
      </c>
      <c r="F581" s="42">
        <f>IF(B581="","",INDEX(Setup!$E$25:$E$84,B581))</f>
        <v/>
      </c>
      <c r="G581" s="39">
        <f>IF(B581="","",INDEX(Setup!$I$25:$I$84,B581)&amp;"")</f>
        <v/>
      </c>
      <c r="H581" s="39">
        <f>IF(B581="","",INDEX(Setup!$J$25:$J$84,B581)&amp;"")</f>
        <v/>
      </c>
      <c r="I581" s="39">
        <f>IF(B581="","",INDEX(Setup!$C$25:$C$84,B581))</f>
        <v/>
      </c>
      <c r="J581" s="39" t="n"/>
      <c r="K581" s="37" t="n"/>
      <c r="L581" s="38" t="n"/>
      <c r="M581" s="33" t="n"/>
      <c r="N581" s="33" t="n"/>
      <c r="O581" s="39" t="n"/>
      <c r="P581" s="40">
        <f>IF(A581="","",IF(K581&lt;&gt;"",K581,D581))</f>
        <v/>
      </c>
      <c r="Q581" s="42">
        <f>IF(A581="",0,IF(C581="✗",0,IF(OR(C581="✓",AND(Setup!$D$7="Yes",P581&lt;=TODAY())),IF(L581&lt;&gt;"",L581,F581),0)))</f>
        <v/>
      </c>
      <c r="R581" s="39">
        <f>IF(A581="","",IF(M581&lt;&gt;"",M581,G581))</f>
        <v/>
      </c>
      <c r="S581" s="39">
        <f>IF(A581="","",IF(N581&lt;&gt;"",N581,H581))</f>
        <v/>
      </c>
      <c r="T581" s="39">
        <f>IF(A581="","",IF(C581="✗","Skipped",IF(Q581&gt;0,"Paid","Upcoming")))</f>
        <v/>
      </c>
      <c r="U581" s="42">
        <f>IF(A581="",0,IF(C581="✗",0,IF(L581&lt;&gt;"",L581,F581)))</f>
        <v/>
      </c>
    </row>
    <row r="582">
      <c r="A582" s="32">
        <f>IFERROR(SMALL(Calc!$B$2:$BB$61,577),"")</f>
        <v/>
      </c>
      <c r="B582" s="32">
        <f>IF(A582="","",ROUND(MOD(A582,1)*1000,0))</f>
        <v/>
      </c>
      <c r="C582" s="33" t="n"/>
      <c r="D582" s="34">
        <f>IF(A582="","",INT(A582))</f>
        <v/>
      </c>
      <c r="E582" s="35">
        <f>IF(B582="","",INDEX(Setup!$D$25:$D$84,B582))</f>
        <v/>
      </c>
      <c r="F582" s="36">
        <f>IF(B582="","",INDEX(Setup!$E$25:$E$84,B582))</f>
        <v/>
      </c>
      <c r="G582" s="32">
        <f>IF(B582="","",INDEX(Setup!$I$25:$I$84,B582)&amp;"")</f>
        <v/>
      </c>
      <c r="H582" s="32">
        <f>IF(B582="","",INDEX(Setup!$J$25:$J$84,B582)&amp;"")</f>
        <v/>
      </c>
      <c r="I582" s="32">
        <f>IF(B582="","",INDEX(Setup!$C$25:$C$84,B582))</f>
        <v/>
      </c>
      <c r="J582" s="32" t="n"/>
      <c r="K582" s="37" t="n"/>
      <c r="L582" s="38" t="n"/>
      <c r="M582" s="33" t="n"/>
      <c r="N582" s="33" t="n"/>
      <c r="O582" s="32" t="n"/>
      <c r="P582" s="34">
        <f>IF(A582="","",IF(K582&lt;&gt;"",K582,D582))</f>
        <v/>
      </c>
      <c r="Q582" s="36">
        <f>IF(A582="",0,IF(C582="✗",0,IF(OR(C582="✓",AND(Setup!$D$7="Yes",P582&lt;=TODAY())),IF(L582&lt;&gt;"",L582,F582),0)))</f>
        <v/>
      </c>
      <c r="R582" s="32">
        <f>IF(A582="","",IF(M582&lt;&gt;"",M582,G582))</f>
        <v/>
      </c>
      <c r="S582" s="32">
        <f>IF(A582="","",IF(N582&lt;&gt;"",N582,H582))</f>
        <v/>
      </c>
      <c r="T582" s="32">
        <f>IF(A582="","",IF(C582="✗","Skipped",IF(Q582&gt;0,"Paid","Upcoming")))</f>
        <v/>
      </c>
      <c r="U582" s="36">
        <f>IF(A582="",0,IF(C582="✗",0,IF(L582&lt;&gt;"",L582,F582)))</f>
        <v/>
      </c>
    </row>
    <row r="583">
      <c r="A583" s="39">
        <f>IFERROR(SMALL(Calc!$B$2:$BB$61,578),"")</f>
        <v/>
      </c>
      <c r="B583" s="39">
        <f>IF(A583="","",ROUND(MOD(A583,1)*1000,0))</f>
        <v/>
      </c>
      <c r="C583" s="33" t="n"/>
      <c r="D583" s="40">
        <f>IF(A583="","",INT(A583))</f>
        <v/>
      </c>
      <c r="E583" s="41">
        <f>IF(B583="","",INDEX(Setup!$D$25:$D$84,B583))</f>
        <v/>
      </c>
      <c r="F583" s="42">
        <f>IF(B583="","",INDEX(Setup!$E$25:$E$84,B583))</f>
        <v/>
      </c>
      <c r="G583" s="39">
        <f>IF(B583="","",INDEX(Setup!$I$25:$I$84,B583)&amp;"")</f>
        <v/>
      </c>
      <c r="H583" s="39">
        <f>IF(B583="","",INDEX(Setup!$J$25:$J$84,B583)&amp;"")</f>
        <v/>
      </c>
      <c r="I583" s="39">
        <f>IF(B583="","",INDEX(Setup!$C$25:$C$84,B583))</f>
        <v/>
      </c>
      <c r="J583" s="39" t="n"/>
      <c r="K583" s="37" t="n"/>
      <c r="L583" s="38" t="n"/>
      <c r="M583" s="33" t="n"/>
      <c r="N583" s="33" t="n"/>
      <c r="O583" s="39" t="n"/>
      <c r="P583" s="40">
        <f>IF(A583="","",IF(K583&lt;&gt;"",K583,D583))</f>
        <v/>
      </c>
      <c r="Q583" s="42">
        <f>IF(A583="",0,IF(C583="✗",0,IF(OR(C583="✓",AND(Setup!$D$7="Yes",P583&lt;=TODAY())),IF(L583&lt;&gt;"",L583,F583),0)))</f>
        <v/>
      </c>
      <c r="R583" s="39">
        <f>IF(A583="","",IF(M583&lt;&gt;"",M583,G583))</f>
        <v/>
      </c>
      <c r="S583" s="39">
        <f>IF(A583="","",IF(N583&lt;&gt;"",N583,H583))</f>
        <v/>
      </c>
      <c r="T583" s="39">
        <f>IF(A583="","",IF(C583="✗","Skipped",IF(Q583&gt;0,"Paid","Upcoming")))</f>
        <v/>
      </c>
      <c r="U583" s="42">
        <f>IF(A583="",0,IF(C583="✗",0,IF(L583&lt;&gt;"",L583,F583)))</f>
        <v/>
      </c>
    </row>
    <row r="584">
      <c r="A584" s="32">
        <f>IFERROR(SMALL(Calc!$B$2:$BB$61,579),"")</f>
        <v/>
      </c>
      <c r="B584" s="32">
        <f>IF(A584="","",ROUND(MOD(A584,1)*1000,0))</f>
        <v/>
      </c>
      <c r="C584" s="33" t="n"/>
      <c r="D584" s="34">
        <f>IF(A584="","",INT(A584))</f>
        <v/>
      </c>
      <c r="E584" s="35">
        <f>IF(B584="","",INDEX(Setup!$D$25:$D$84,B584))</f>
        <v/>
      </c>
      <c r="F584" s="36">
        <f>IF(B584="","",INDEX(Setup!$E$25:$E$84,B584))</f>
        <v/>
      </c>
      <c r="G584" s="32">
        <f>IF(B584="","",INDEX(Setup!$I$25:$I$84,B584)&amp;"")</f>
        <v/>
      </c>
      <c r="H584" s="32">
        <f>IF(B584="","",INDEX(Setup!$J$25:$J$84,B584)&amp;"")</f>
        <v/>
      </c>
      <c r="I584" s="32">
        <f>IF(B584="","",INDEX(Setup!$C$25:$C$84,B584))</f>
        <v/>
      </c>
      <c r="J584" s="32" t="n"/>
      <c r="K584" s="37" t="n"/>
      <c r="L584" s="38" t="n"/>
      <c r="M584" s="33" t="n"/>
      <c r="N584" s="33" t="n"/>
      <c r="O584" s="32" t="n"/>
      <c r="P584" s="34">
        <f>IF(A584="","",IF(K584&lt;&gt;"",K584,D584))</f>
        <v/>
      </c>
      <c r="Q584" s="36">
        <f>IF(A584="",0,IF(C584="✗",0,IF(OR(C584="✓",AND(Setup!$D$7="Yes",P584&lt;=TODAY())),IF(L584&lt;&gt;"",L584,F584),0)))</f>
        <v/>
      </c>
      <c r="R584" s="32">
        <f>IF(A584="","",IF(M584&lt;&gt;"",M584,G584))</f>
        <v/>
      </c>
      <c r="S584" s="32">
        <f>IF(A584="","",IF(N584&lt;&gt;"",N584,H584))</f>
        <v/>
      </c>
      <c r="T584" s="32">
        <f>IF(A584="","",IF(C584="✗","Skipped",IF(Q584&gt;0,"Paid","Upcoming")))</f>
        <v/>
      </c>
      <c r="U584" s="36">
        <f>IF(A584="",0,IF(C584="✗",0,IF(L584&lt;&gt;"",L584,F584)))</f>
        <v/>
      </c>
    </row>
    <row r="585">
      <c r="A585" s="39">
        <f>IFERROR(SMALL(Calc!$B$2:$BB$61,580),"")</f>
        <v/>
      </c>
      <c r="B585" s="39">
        <f>IF(A585="","",ROUND(MOD(A585,1)*1000,0))</f>
        <v/>
      </c>
      <c r="C585" s="33" t="n"/>
      <c r="D585" s="40">
        <f>IF(A585="","",INT(A585))</f>
        <v/>
      </c>
      <c r="E585" s="41">
        <f>IF(B585="","",INDEX(Setup!$D$25:$D$84,B585))</f>
        <v/>
      </c>
      <c r="F585" s="42">
        <f>IF(B585="","",INDEX(Setup!$E$25:$E$84,B585))</f>
        <v/>
      </c>
      <c r="G585" s="39">
        <f>IF(B585="","",INDEX(Setup!$I$25:$I$84,B585)&amp;"")</f>
        <v/>
      </c>
      <c r="H585" s="39">
        <f>IF(B585="","",INDEX(Setup!$J$25:$J$84,B585)&amp;"")</f>
        <v/>
      </c>
      <c r="I585" s="39">
        <f>IF(B585="","",INDEX(Setup!$C$25:$C$84,B585))</f>
        <v/>
      </c>
      <c r="J585" s="39" t="n"/>
      <c r="K585" s="37" t="n"/>
      <c r="L585" s="38" t="n"/>
      <c r="M585" s="33" t="n"/>
      <c r="N585" s="33" t="n"/>
      <c r="O585" s="39" t="n"/>
      <c r="P585" s="40">
        <f>IF(A585="","",IF(K585&lt;&gt;"",K585,D585))</f>
        <v/>
      </c>
      <c r="Q585" s="42">
        <f>IF(A585="",0,IF(C585="✗",0,IF(OR(C585="✓",AND(Setup!$D$7="Yes",P585&lt;=TODAY())),IF(L585&lt;&gt;"",L585,F585),0)))</f>
        <v/>
      </c>
      <c r="R585" s="39">
        <f>IF(A585="","",IF(M585&lt;&gt;"",M585,G585))</f>
        <v/>
      </c>
      <c r="S585" s="39">
        <f>IF(A585="","",IF(N585&lt;&gt;"",N585,H585))</f>
        <v/>
      </c>
      <c r="T585" s="39">
        <f>IF(A585="","",IF(C585="✗","Skipped",IF(Q585&gt;0,"Paid","Upcoming")))</f>
        <v/>
      </c>
      <c r="U585" s="42">
        <f>IF(A585="",0,IF(C585="✗",0,IF(L585&lt;&gt;"",L585,F585)))</f>
        <v/>
      </c>
    </row>
    <row r="586">
      <c r="A586" s="32">
        <f>IFERROR(SMALL(Calc!$B$2:$BB$61,581),"")</f>
        <v/>
      </c>
      <c r="B586" s="32">
        <f>IF(A586="","",ROUND(MOD(A586,1)*1000,0))</f>
        <v/>
      </c>
      <c r="C586" s="33" t="n"/>
      <c r="D586" s="34">
        <f>IF(A586="","",INT(A586))</f>
        <v/>
      </c>
      <c r="E586" s="35">
        <f>IF(B586="","",INDEX(Setup!$D$25:$D$84,B586))</f>
        <v/>
      </c>
      <c r="F586" s="36">
        <f>IF(B586="","",INDEX(Setup!$E$25:$E$84,B586))</f>
        <v/>
      </c>
      <c r="G586" s="32">
        <f>IF(B586="","",INDEX(Setup!$I$25:$I$84,B586)&amp;"")</f>
        <v/>
      </c>
      <c r="H586" s="32">
        <f>IF(B586="","",INDEX(Setup!$J$25:$J$84,B586)&amp;"")</f>
        <v/>
      </c>
      <c r="I586" s="32">
        <f>IF(B586="","",INDEX(Setup!$C$25:$C$84,B586))</f>
        <v/>
      </c>
      <c r="J586" s="32" t="n"/>
      <c r="K586" s="37" t="n"/>
      <c r="L586" s="38" t="n"/>
      <c r="M586" s="33" t="n"/>
      <c r="N586" s="33" t="n"/>
      <c r="O586" s="32" t="n"/>
      <c r="P586" s="34">
        <f>IF(A586="","",IF(K586&lt;&gt;"",K586,D586))</f>
        <v/>
      </c>
      <c r="Q586" s="36">
        <f>IF(A586="",0,IF(C586="✗",0,IF(OR(C586="✓",AND(Setup!$D$7="Yes",P586&lt;=TODAY())),IF(L586&lt;&gt;"",L586,F586),0)))</f>
        <v/>
      </c>
      <c r="R586" s="32">
        <f>IF(A586="","",IF(M586&lt;&gt;"",M586,G586))</f>
        <v/>
      </c>
      <c r="S586" s="32">
        <f>IF(A586="","",IF(N586&lt;&gt;"",N586,H586))</f>
        <v/>
      </c>
      <c r="T586" s="32">
        <f>IF(A586="","",IF(C586="✗","Skipped",IF(Q586&gt;0,"Paid","Upcoming")))</f>
        <v/>
      </c>
      <c r="U586" s="36">
        <f>IF(A586="",0,IF(C586="✗",0,IF(L586&lt;&gt;"",L586,F586)))</f>
        <v/>
      </c>
    </row>
    <row r="587">
      <c r="A587" s="39">
        <f>IFERROR(SMALL(Calc!$B$2:$BB$61,582),"")</f>
        <v/>
      </c>
      <c r="B587" s="39">
        <f>IF(A587="","",ROUND(MOD(A587,1)*1000,0))</f>
        <v/>
      </c>
      <c r="C587" s="33" t="n"/>
      <c r="D587" s="40">
        <f>IF(A587="","",INT(A587))</f>
        <v/>
      </c>
      <c r="E587" s="41">
        <f>IF(B587="","",INDEX(Setup!$D$25:$D$84,B587))</f>
        <v/>
      </c>
      <c r="F587" s="42">
        <f>IF(B587="","",INDEX(Setup!$E$25:$E$84,B587))</f>
        <v/>
      </c>
      <c r="G587" s="39">
        <f>IF(B587="","",INDEX(Setup!$I$25:$I$84,B587)&amp;"")</f>
        <v/>
      </c>
      <c r="H587" s="39">
        <f>IF(B587="","",INDEX(Setup!$J$25:$J$84,B587)&amp;"")</f>
        <v/>
      </c>
      <c r="I587" s="39">
        <f>IF(B587="","",INDEX(Setup!$C$25:$C$84,B587))</f>
        <v/>
      </c>
      <c r="J587" s="39" t="n"/>
      <c r="K587" s="37" t="n"/>
      <c r="L587" s="38" t="n"/>
      <c r="M587" s="33" t="n"/>
      <c r="N587" s="33" t="n"/>
      <c r="O587" s="39" t="n"/>
      <c r="P587" s="40">
        <f>IF(A587="","",IF(K587&lt;&gt;"",K587,D587))</f>
        <v/>
      </c>
      <c r="Q587" s="42">
        <f>IF(A587="",0,IF(C587="✗",0,IF(OR(C587="✓",AND(Setup!$D$7="Yes",P587&lt;=TODAY())),IF(L587&lt;&gt;"",L587,F587),0)))</f>
        <v/>
      </c>
      <c r="R587" s="39">
        <f>IF(A587="","",IF(M587&lt;&gt;"",M587,G587))</f>
        <v/>
      </c>
      <c r="S587" s="39">
        <f>IF(A587="","",IF(N587&lt;&gt;"",N587,H587))</f>
        <v/>
      </c>
      <c r="T587" s="39">
        <f>IF(A587="","",IF(C587="✗","Skipped",IF(Q587&gt;0,"Paid","Upcoming")))</f>
        <v/>
      </c>
      <c r="U587" s="42">
        <f>IF(A587="",0,IF(C587="✗",0,IF(L587&lt;&gt;"",L587,F587)))</f>
        <v/>
      </c>
    </row>
    <row r="588">
      <c r="A588" s="32">
        <f>IFERROR(SMALL(Calc!$B$2:$BB$61,583),"")</f>
        <v/>
      </c>
      <c r="B588" s="32">
        <f>IF(A588="","",ROUND(MOD(A588,1)*1000,0))</f>
        <v/>
      </c>
      <c r="C588" s="33" t="n"/>
      <c r="D588" s="34">
        <f>IF(A588="","",INT(A588))</f>
        <v/>
      </c>
      <c r="E588" s="35">
        <f>IF(B588="","",INDEX(Setup!$D$25:$D$84,B588))</f>
        <v/>
      </c>
      <c r="F588" s="36">
        <f>IF(B588="","",INDEX(Setup!$E$25:$E$84,B588))</f>
        <v/>
      </c>
      <c r="G588" s="32">
        <f>IF(B588="","",INDEX(Setup!$I$25:$I$84,B588)&amp;"")</f>
        <v/>
      </c>
      <c r="H588" s="32">
        <f>IF(B588="","",INDEX(Setup!$J$25:$J$84,B588)&amp;"")</f>
        <v/>
      </c>
      <c r="I588" s="32">
        <f>IF(B588="","",INDEX(Setup!$C$25:$C$84,B588))</f>
        <v/>
      </c>
      <c r="J588" s="32" t="n"/>
      <c r="K588" s="37" t="n"/>
      <c r="L588" s="38" t="n"/>
      <c r="M588" s="33" t="n"/>
      <c r="N588" s="33" t="n"/>
      <c r="O588" s="32" t="n"/>
      <c r="P588" s="34">
        <f>IF(A588="","",IF(K588&lt;&gt;"",K588,D588))</f>
        <v/>
      </c>
      <c r="Q588" s="36">
        <f>IF(A588="",0,IF(C588="✗",0,IF(OR(C588="✓",AND(Setup!$D$7="Yes",P588&lt;=TODAY())),IF(L588&lt;&gt;"",L588,F588),0)))</f>
        <v/>
      </c>
      <c r="R588" s="32">
        <f>IF(A588="","",IF(M588&lt;&gt;"",M588,G588))</f>
        <v/>
      </c>
      <c r="S588" s="32">
        <f>IF(A588="","",IF(N588&lt;&gt;"",N588,H588))</f>
        <v/>
      </c>
      <c r="T588" s="32">
        <f>IF(A588="","",IF(C588="✗","Skipped",IF(Q588&gt;0,"Paid","Upcoming")))</f>
        <v/>
      </c>
      <c r="U588" s="36">
        <f>IF(A588="",0,IF(C588="✗",0,IF(L588&lt;&gt;"",L588,F588)))</f>
        <v/>
      </c>
    </row>
    <row r="589">
      <c r="A589" s="39">
        <f>IFERROR(SMALL(Calc!$B$2:$BB$61,584),"")</f>
        <v/>
      </c>
      <c r="B589" s="39">
        <f>IF(A589="","",ROUND(MOD(A589,1)*1000,0))</f>
        <v/>
      </c>
      <c r="C589" s="33" t="n"/>
      <c r="D589" s="40">
        <f>IF(A589="","",INT(A589))</f>
        <v/>
      </c>
      <c r="E589" s="41">
        <f>IF(B589="","",INDEX(Setup!$D$25:$D$84,B589))</f>
        <v/>
      </c>
      <c r="F589" s="42">
        <f>IF(B589="","",INDEX(Setup!$E$25:$E$84,B589))</f>
        <v/>
      </c>
      <c r="G589" s="39">
        <f>IF(B589="","",INDEX(Setup!$I$25:$I$84,B589)&amp;"")</f>
        <v/>
      </c>
      <c r="H589" s="39">
        <f>IF(B589="","",INDEX(Setup!$J$25:$J$84,B589)&amp;"")</f>
        <v/>
      </c>
      <c r="I589" s="39">
        <f>IF(B589="","",INDEX(Setup!$C$25:$C$84,B589))</f>
        <v/>
      </c>
      <c r="J589" s="39" t="n"/>
      <c r="K589" s="37" t="n"/>
      <c r="L589" s="38" t="n"/>
      <c r="M589" s="33" t="n"/>
      <c r="N589" s="33" t="n"/>
      <c r="O589" s="39" t="n"/>
      <c r="P589" s="40">
        <f>IF(A589="","",IF(K589&lt;&gt;"",K589,D589))</f>
        <v/>
      </c>
      <c r="Q589" s="42">
        <f>IF(A589="",0,IF(C589="✗",0,IF(OR(C589="✓",AND(Setup!$D$7="Yes",P589&lt;=TODAY())),IF(L589&lt;&gt;"",L589,F589),0)))</f>
        <v/>
      </c>
      <c r="R589" s="39">
        <f>IF(A589="","",IF(M589&lt;&gt;"",M589,G589))</f>
        <v/>
      </c>
      <c r="S589" s="39">
        <f>IF(A589="","",IF(N589&lt;&gt;"",N589,H589))</f>
        <v/>
      </c>
      <c r="T589" s="39">
        <f>IF(A589="","",IF(C589="✗","Skipped",IF(Q589&gt;0,"Paid","Upcoming")))</f>
        <v/>
      </c>
      <c r="U589" s="42">
        <f>IF(A589="",0,IF(C589="✗",0,IF(L589&lt;&gt;"",L589,F589)))</f>
        <v/>
      </c>
    </row>
    <row r="590">
      <c r="A590" s="32">
        <f>IFERROR(SMALL(Calc!$B$2:$BB$61,585),"")</f>
        <v/>
      </c>
      <c r="B590" s="32">
        <f>IF(A590="","",ROUND(MOD(A590,1)*1000,0))</f>
        <v/>
      </c>
      <c r="C590" s="33" t="n"/>
      <c r="D590" s="34">
        <f>IF(A590="","",INT(A590))</f>
        <v/>
      </c>
      <c r="E590" s="35">
        <f>IF(B590="","",INDEX(Setup!$D$25:$D$84,B590))</f>
        <v/>
      </c>
      <c r="F590" s="36">
        <f>IF(B590="","",INDEX(Setup!$E$25:$E$84,B590))</f>
        <v/>
      </c>
      <c r="G590" s="32">
        <f>IF(B590="","",INDEX(Setup!$I$25:$I$84,B590)&amp;"")</f>
        <v/>
      </c>
      <c r="H590" s="32">
        <f>IF(B590="","",INDEX(Setup!$J$25:$J$84,B590)&amp;"")</f>
        <v/>
      </c>
      <c r="I590" s="32">
        <f>IF(B590="","",INDEX(Setup!$C$25:$C$84,B590))</f>
        <v/>
      </c>
      <c r="J590" s="32" t="n"/>
      <c r="K590" s="37" t="n"/>
      <c r="L590" s="38" t="n"/>
      <c r="M590" s="33" t="n"/>
      <c r="N590" s="33" t="n"/>
      <c r="O590" s="32" t="n"/>
      <c r="P590" s="34">
        <f>IF(A590="","",IF(K590&lt;&gt;"",K590,D590))</f>
        <v/>
      </c>
      <c r="Q590" s="36">
        <f>IF(A590="",0,IF(C590="✗",0,IF(OR(C590="✓",AND(Setup!$D$7="Yes",P590&lt;=TODAY())),IF(L590&lt;&gt;"",L590,F590),0)))</f>
        <v/>
      </c>
      <c r="R590" s="32">
        <f>IF(A590="","",IF(M590&lt;&gt;"",M590,G590))</f>
        <v/>
      </c>
      <c r="S590" s="32">
        <f>IF(A590="","",IF(N590&lt;&gt;"",N590,H590))</f>
        <v/>
      </c>
      <c r="T590" s="32">
        <f>IF(A590="","",IF(C590="✗","Skipped",IF(Q590&gt;0,"Paid","Upcoming")))</f>
        <v/>
      </c>
      <c r="U590" s="36">
        <f>IF(A590="",0,IF(C590="✗",0,IF(L590&lt;&gt;"",L590,F590)))</f>
        <v/>
      </c>
    </row>
    <row r="591">
      <c r="A591" s="39">
        <f>IFERROR(SMALL(Calc!$B$2:$BB$61,586),"")</f>
        <v/>
      </c>
      <c r="B591" s="39">
        <f>IF(A591="","",ROUND(MOD(A591,1)*1000,0))</f>
        <v/>
      </c>
      <c r="C591" s="33" t="n"/>
      <c r="D591" s="40">
        <f>IF(A591="","",INT(A591))</f>
        <v/>
      </c>
      <c r="E591" s="41">
        <f>IF(B591="","",INDEX(Setup!$D$25:$D$84,B591))</f>
        <v/>
      </c>
      <c r="F591" s="42">
        <f>IF(B591="","",INDEX(Setup!$E$25:$E$84,B591))</f>
        <v/>
      </c>
      <c r="G591" s="39">
        <f>IF(B591="","",INDEX(Setup!$I$25:$I$84,B591)&amp;"")</f>
        <v/>
      </c>
      <c r="H591" s="39">
        <f>IF(B591="","",INDEX(Setup!$J$25:$J$84,B591)&amp;"")</f>
        <v/>
      </c>
      <c r="I591" s="39">
        <f>IF(B591="","",INDEX(Setup!$C$25:$C$84,B591))</f>
        <v/>
      </c>
      <c r="J591" s="39" t="n"/>
      <c r="K591" s="37" t="n"/>
      <c r="L591" s="38" t="n"/>
      <c r="M591" s="33" t="n"/>
      <c r="N591" s="33" t="n"/>
      <c r="O591" s="39" t="n"/>
      <c r="P591" s="40">
        <f>IF(A591="","",IF(K591&lt;&gt;"",K591,D591))</f>
        <v/>
      </c>
      <c r="Q591" s="42">
        <f>IF(A591="",0,IF(C591="✗",0,IF(OR(C591="✓",AND(Setup!$D$7="Yes",P591&lt;=TODAY())),IF(L591&lt;&gt;"",L591,F591),0)))</f>
        <v/>
      </c>
      <c r="R591" s="39">
        <f>IF(A591="","",IF(M591&lt;&gt;"",M591,G591))</f>
        <v/>
      </c>
      <c r="S591" s="39">
        <f>IF(A591="","",IF(N591&lt;&gt;"",N591,H591))</f>
        <v/>
      </c>
      <c r="T591" s="39">
        <f>IF(A591="","",IF(C591="✗","Skipped",IF(Q591&gt;0,"Paid","Upcoming")))</f>
        <v/>
      </c>
      <c r="U591" s="42">
        <f>IF(A591="",0,IF(C591="✗",0,IF(L591&lt;&gt;"",L591,F591)))</f>
        <v/>
      </c>
    </row>
    <row r="592">
      <c r="A592" s="32">
        <f>IFERROR(SMALL(Calc!$B$2:$BB$61,587),"")</f>
        <v/>
      </c>
      <c r="B592" s="32">
        <f>IF(A592="","",ROUND(MOD(A592,1)*1000,0))</f>
        <v/>
      </c>
      <c r="C592" s="33" t="n"/>
      <c r="D592" s="34">
        <f>IF(A592="","",INT(A592))</f>
        <v/>
      </c>
      <c r="E592" s="35">
        <f>IF(B592="","",INDEX(Setup!$D$25:$D$84,B592))</f>
        <v/>
      </c>
      <c r="F592" s="36">
        <f>IF(B592="","",INDEX(Setup!$E$25:$E$84,B592))</f>
        <v/>
      </c>
      <c r="G592" s="32">
        <f>IF(B592="","",INDEX(Setup!$I$25:$I$84,B592)&amp;"")</f>
        <v/>
      </c>
      <c r="H592" s="32">
        <f>IF(B592="","",INDEX(Setup!$J$25:$J$84,B592)&amp;"")</f>
        <v/>
      </c>
      <c r="I592" s="32">
        <f>IF(B592="","",INDEX(Setup!$C$25:$C$84,B592))</f>
        <v/>
      </c>
      <c r="J592" s="32" t="n"/>
      <c r="K592" s="37" t="n"/>
      <c r="L592" s="38" t="n"/>
      <c r="M592" s="33" t="n"/>
      <c r="N592" s="33" t="n"/>
      <c r="O592" s="32" t="n"/>
      <c r="P592" s="34">
        <f>IF(A592="","",IF(K592&lt;&gt;"",K592,D592))</f>
        <v/>
      </c>
      <c r="Q592" s="36">
        <f>IF(A592="",0,IF(C592="✗",0,IF(OR(C592="✓",AND(Setup!$D$7="Yes",P592&lt;=TODAY())),IF(L592&lt;&gt;"",L592,F592),0)))</f>
        <v/>
      </c>
      <c r="R592" s="32">
        <f>IF(A592="","",IF(M592&lt;&gt;"",M592,G592))</f>
        <v/>
      </c>
      <c r="S592" s="32">
        <f>IF(A592="","",IF(N592&lt;&gt;"",N592,H592))</f>
        <v/>
      </c>
      <c r="T592" s="32">
        <f>IF(A592="","",IF(C592="✗","Skipped",IF(Q592&gt;0,"Paid","Upcoming")))</f>
        <v/>
      </c>
      <c r="U592" s="36">
        <f>IF(A592="",0,IF(C592="✗",0,IF(L592&lt;&gt;"",L592,F592)))</f>
        <v/>
      </c>
    </row>
    <row r="593">
      <c r="A593" s="39">
        <f>IFERROR(SMALL(Calc!$B$2:$BB$61,588),"")</f>
        <v/>
      </c>
      <c r="B593" s="39">
        <f>IF(A593="","",ROUND(MOD(A593,1)*1000,0))</f>
        <v/>
      </c>
      <c r="C593" s="33" t="n"/>
      <c r="D593" s="40">
        <f>IF(A593="","",INT(A593))</f>
        <v/>
      </c>
      <c r="E593" s="41">
        <f>IF(B593="","",INDEX(Setup!$D$25:$D$84,B593))</f>
        <v/>
      </c>
      <c r="F593" s="42">
        <f>IF(B593="","",INDEX(Setup!$E$25:$E$84,B593))</f>
        <v/>
      </c>
      <c r="G593" s="39">
        <f>IF(B593="","",INDEX(Setup!$I$25:$I$84,B593)&amp;"")</f>
        <v/>
      </c>
      <c r="H593" s="39">
        <f>IF(B593="","",INDEX(Setup!$J$25:$J$84,B593)&amp;"")</f>
        <v/>
      </c>
      <c r="I593" s="39">
        <f>IF(B593="","",INDEX(Setup!$C$25:$C$84,B593))</f>
        <v/>
      </c>
      <c r="J593" s="39" t="n"/>
      <c r="K593" s="37" t="n"/>
      <c r="L593" s="38" t="n"/>
      <c r="M593" s="33" t="n"/>
      <c r="N593" s="33" t="n"/>
      <c r="O593" s="39" t="n"/>
      <c r="P593" s="40">
        <f>IF(A593="","",IF(K593&lt;&gt;"",K593,D593))</f>
        <v/>
      </c>
      <c r="Q593" s="42">
        <f>IF(A593="",0,IF(C593="✗",0,IF(OR(C593="✓",AND(Setup!$D$7="Yes",P593&lt;=TODAY())),IF(L593&lt;&gt;"",L593,F593),0)))</f>
        <v/>
      </c>
      <c r="R593" s="39">
        <f>IF(A593="","",IF(M593&lt;&gt;"",M593,G593))</f>
        <v/>
      </c>
      <c r="S593" s="39">
        <f>IF(A593="","",IF(N593&lt;&gt;"",N593,H593))</f>
        <v/>
      </c>
      <c r="T593" s="39">
        <f>IF(A593="","",IF(C593="✗","Skipped",IF(Q593&gt;0,"Paid","Upcoming")))</f>
        <v/>
      </c>
      <c r="U593" s="42">
        <f>IF(A593="",0,IF(C593="✗",0,IF(L593&lt;&gt;"",L593,F593)))</f>
        <v/>
      </c>
    </row>
    <row r="594">
      <c r="A594" s="32">
        <f>IFERROR(SMALL(Calc!$B$2:$BB$61,589),"")</f>
        <v/>
      </c>
      <c r="B594" s="32">
        <f>IF(A594="","",ROUND(MOD(A594,1)*1000,0))</f>
        <v/>
      </c>
      <c r="C594" s="33" t="n"/>
      <c r="D594" s="34">
        <f>IF(A594="","",INT(A594))</f>
        <v/>
      </c>
      <c r="E594" s="35">
        <f>IF(B594="","",INDEX(Setup!$D$25:$D$84,B594))</f>
        <v/>
      </c>
      <c r="F594" s="36">
        <f>IF(B594="","",INDEX(Setup!$E$25:$E$84,B594))</f>
        <v/>
      </c>
      <c r="G594" s="32">
        <f>IF(B594="","",INDEX(Setup!$I$25:$I$84,B594)&amp;"")</f>
        <v/>
      </c>
      <c r="H594" s="32">
        <f>IF(B594="","",INDEX(Setup!$J$25:$J$84,B594)&amp;"")</f>
        <v/>
      </c>
      <c r="I594" s="32">
        <f>IF(B594="","",INDEX(Setup!$C$25:$C$84,B594))</f>
        <v/>
      </c>
      <c r="J594" s="32" t="n"/>
      <c r="K594" s="37" t="n"/>
      <c r="L594" s="38" t="n"/>
      <c r="M594" s="33" t="n"/>
      <c r="N594" s="33" t="n"/>
      <c r="O594" s="32" t="n"/>
      <c r="P594" s="34">
        <f>IF(A594="","",IF(K594&lt;&gt;"",K594,D594))</f>
        <v/>
      </c>
      <c r="Q594" s="36">
        <f>IF(A594="",0,IF(C594="✗",0,IF(OR(C594="✓",AND(Setup!$D$7="Yes",P594&lt;=TODAY())),IF(L594&lt;&gt;"",L594,F594),0)))</f>
        <v/>
      </c>
      <c r="R594" s="32">
        <f>IF(A594="","",IF(M594&lt;&gt;"",M594,G594))</f>
        <v/>
      </c>
      <c r="S594" s="32">
        <f>IF(A594="","",IF(N594&lt;&gt;"",N594,H594))</f>
        <v/>
      </c>
      <c r="T594" s="32">
        <f>IF(A594="","",IF(C594="✗","Skipped",IF(Q594&gt;0,"Paid","Upcoming")))</f>
        <v/>
      </c>
      <c r="U594" s="36">
        <f>IF(A594="",0,IF(C594="✗",0,IF(L594&lt;&gt;"",L594,F594)))</f>
        <v/>
      </c>
    </row>
    <row r="595">
      <c r="A595" s="39">
        <f>IFERROR(SMALL(Calc!$B$2:$BB$61,590),"")</f>
        <v/>
      </c>
      <c r="B595" s="39">
        <f>IF(A595="","",ROUND(MOD(A595,1)*1000,0))</f>
        <v/>
      </c>
      <c r="C595" s="33" t="n"/>
      <c r="D595" s="40">
        <f>IF(A595="","",INT(A595))</f>
        <v/>
      </c>
      <c r="E595" s="41">
        <f>IF(B595="","",INDEX(Setup!$D$25:$D$84,B595))</f>
        <v/>
      </c>
      <c r="F595" s="42">
        <f>IF(B595="","",INDEX(Setup!$E$25:$E$84,B595))</f>
        <v/>
      </c>
      <c r="G595" s="39">
        <f>IF(B595="","",INDEX(Setup!$I$25:$I$84,B595)&amp;"")</f>
        <v/>
      </c>
      <c r="H595" s="39">
        <f>IF(B595="","",INDEX(Setup!$J$25:$J$84,B595)&amp;"")</f>
        <v/>
      </c>
      <c r="I595" s="39">
        <f>IF(B595="","",INDEX(Setup!$C$25:$C$84,B595))</f>
        <v/>
      </c>
      <c r="J595" s="39" t="n"/>
      <c r="K595" s="37" t="n"/>
      <c r="L595" s="38" t="n"/>
      <c r="M595" s="33" t="n"/>
      <c r="N595" s="33" t="n"/>
      <c r="O595" s="39" t="n"/>
      <c r="P595" s="40">
        <f>IF(A595="","",IF(K595&lt;&gt;"",K595,D595))</f>
        <v/>
      </c>
      <c r="Q595" s="42">
        <f>IF(A595="",0,IF(C595="✗",0,IF(OR(C595="✓",AND(Setup!$D$7="Yes",P595&lt;=TODAY())),IF(L595&lt;&gt;"",L595,F595),0)))</f>
        <v/>
      </c>
      <c r="R595" s="39">
        <f>IF(A595="","",IF(M595&lt;&gt;"",M595,G595))</f>
        <v/>
      </c>
      <c r="S595" s="39">
        <f>IF(A595="","",IF(N595&lt;&gt;"",N595,H595))</f>
        <v/>
      </c>
      <c r="T595" s="39">
        <f>IF(A595="","",IF(C595="✗","Skipped",IF(Q595&gt;0,"Paid","Upcoming")))</f>
        <v/>
      </c>
      <c r="U595" s="42">
        <f>IF(A595="",0,IF(C595="✗",0,IF(L595&lt;&gt;"",L595,F595)))</f>
        <v/>
      </c>
    </row>
    <row r="596">
      <c r="A596" s="32">
        <f>IFERROR(SMALL(Calc!$B$2:$BB$61,591),"")</f>
        <v/>
      </c>
      <c r="B596" s="32">
        <f>IF(A596="","",ROUND(MOD(A596,1)*1000,0))</f>
        <v/>
      </c>
      <c r="C596" s="33" t="n"/>
      <c r="D596" s="34">
        <f>IF(A596="","",INT(A596))</f>
        <v/>
      </c>
      <c r="E596" s="35">
        <f>IF(B596="","",INDEX(Setup!$D$25:$D$84,B596))</f>
        <v/>
      </c>
      <c r="F596" s="36">
        <f>IF(B596="","",INDEX(Setup!$E$25:$E$84,B596))</f>
        <v/>
      </c>
      <c r="G596" s="32">
        <f>IF(B596="","",INDEX(Setup!$I$25:$I$84,B596)&amp;"")</f>
        <v/>
      </c>
      <c r="H596" s="32">
        <f>IF(B596="","",INDEX(Setup!$J$25:$J$84,B596)&amp;"")</f>
        <v/>
      </c>
      <c r="I596" s="32">
        <f>IF(B596="","",INDEX(Setup!$C$25:$C$84,B596))</f>
        <v/>
      </c>
      <c r="J596" s="32" t="n"/>
      <c r="K596" s="37" t="n"/>
      <c r="L596" s="38" t="n"/>
      <c r="M596" s="33" t="n"/>
      <c r="N596" s="33" t="n"/>
      <c r="O596" s="32" t="n"/>
      <c r="P596" s="34">
        <f>IF(A596="","",IF(K596&lt;&gt;"",K596,D596))</f>
        <v/>
      </c>
      <c r="Q596" s="36">
        <f>IF(A596="",0,IF(C596="✗",0,IF(OR(C596="✓",AND(Setup!$D$7="Yes",P596&lt;=TODAY())),IF(L596&lt;&gt;"",L596,F596),0)))</f>
        <v/>
      </c>
      <c r="R596" s="32">
        <f>IF(A596="","",IF(M596&lt;&gt;"",M596,G596))</f>
        <v/>
      </c>
      <c r="S596" s="32">
        <f>IF(A596="","",IF(N596&lt;&gt;"",N596,H596))</f>
        <v/>
      </c>
      <c r="T596" s="32">
        <f>IF(A596="","",IF(C596="✗","Skipped",IF(Q596&gt;0,"Paid","Upcoming")))</f>
        <v/>
      </c>
      <c r="U596" s="36">
        <f>IF(A596="",0,IF(C596="✗",0,IF(L596&lt;&gt;"",L596,F596)))</f>
        <v/>
      </c>
    </row>
    <row r="597">
      <c r="A597" s="39">
        <f>IFERROR(SMALL(Calc!$B$2:$BB$61,592),"")</f>
        <v/>
      </c>
      <c r="B597" s="39">
        <f>IF(A597="","",ROUND(MOD(A597,1)*1000,0))</f>
        <v/>
      </c>
      <c r="C597" s="33" t="n"/>
      <c r="D597" s="40">
        <f>IF(A597="","",INT(A597))</f>
        <v/>
      </c>
      <c r="E597" s="41">
        <f>IF(B597="","",INDEX(Setup!$D$25:$D$84,B597))</f>
        <v/>
      </c>
      <c r="F597" s="42">
        <f>IF(B597="","",INDEX(Setup!$E$25:$E$84,B597))</f>
        <v/>
      </c>
      <c r="G597" s="39">
        <f>IF(B597="","",INDEX(Setup!$I$25:$I$84,B597)&amp;"")</f>
        <v/>
      </c>
      <c r="H597" s="39">
        <f>IF(B597="","",INDEX(Setup!$J$25:$J$84,B597)&amp;"")</f>
        <v/>
      </c>
      <c r="I597" s="39">
        <f>IF(B597="","",INDEX(Setup!$C$25:$C$84,B597))</f>
        <v/>
      </c>
      <c r="J597" s="39" t="n"/>
      <c r="K597" s="37" t="n"/>
      <c r="L597" s="38" t="n"/>
      <c r="M597" s="33" t="n"/>
      <c r="N597" s="33" t="n"/>
      <c r="O597" s="39" t="n"/>
      <c r="P597" s="40">
        <f>IF(A597="","",IF(K597&lt;&gt;"",K597,D597))</f>
        <v/>
      </c>
      <c r="Q597" s="42">
        <f>IF(A597="",0,IF(C597="✗",0,IF(OR(C597="✓",AND(Setup!$D$7="Yes",P597&lt;=TODAY())),IF(L597&lt;&gt;"",L597,F597),0)))</f>
        <v/>
      </c>
      <c r="R597" s="39">
        <f>IF(A597="","",IF(M597&lt;&gt;"",M597,G597))</f>
        <v/>
      </c>
      <c r="S597" s="39">
        <f>IF(A597="","",IF(N597&lt;&gt;"",N597,H597))</f>
        <v/>
      </c>
      <c r="T597" s="39">
        <f>IF(A597="","",IF(C597="✗","Skipped",IF(Q597&gt;0,"Paid","Upcoming")))</f>
        <v/>
      </c>
      <c r="U597" s="42">
        <f>IF(A597="",0,IF(C597="✗",0,IF(L597&lt;&gt;"",L597,F597)))</f>
        <v/>
      </c>
    </row>
    <row r="598">
      <c r="A598" s="32">
        <f>IFERROR(SMALL(Calc!$B$2:$BB$61,593),"")</f>
        <v/>
      </c>
      <c r="B598" s="32">
        <f>IF(A598="","",ROUND(MOD(A598,1)*1000,0))</f>
        <v/>
      </c>
      <c r="C598" s="33" t="n"/>
      <c r="D598" s="34">
        <f>IF(A598="","",INT(A598))</f>
        <v/>
      </c>
      <c r="E598" s="35">
        <f>IF(B598="","",INDEX(Setup!$D$25:$D$84,B598))</f>
        <v/>
      </c>
      <c r="F598" s="36">
        <f>IF(B598="","",INDEX(Setup!$E$25:$E$84,B598))</f>
        <v/>
      </c>
      <c r="G598" s="32">
        <f>IF(B598="","",INDEX(Setup!$I$25:$I$84,B598)&amp;"")</f>
        <v/>
      </c>
      <c r="H598" s="32">
        <f>IF(B598="","",INDEX(Setup!$J$25:$J$84,B598)&amp;"")</f>
        <v/>
      </c>
      <c r="I598" s="32">
        <f>IF(B598="","",INDEX(Setup!$C$25:$C$84,B598))</f>
        <v/>
      </c>
      <c r="J598" s="32" t="n"/>
      <c r="K598" s="37" t="n"/>
      <c r="L598" s="38" t="n"/>
      <c r="M598" s="33" t="n"/>
      <c r="N598" s="33" t="n"/>
      <c r="O598" s="32" t="n"/>
      <c r="P598" s="34">
        <f>IF(A598="","",IF(K598&lt;&gt;"",K598,D598))</f>
        <v/>
      </c>
      <c r="Q598" s="36">
        <f>IF(A598="",0,IF(C598="✗",0,IF(OR(C598="✓",AND(Setup!$D$7="Yes",P598&lt;=TODAY())),IF(L598&lt;&gt;"",L598,F598),0)))</f>
        <v/>
      </c>
      <c r="R598" s="32">
        <f>IF(A598="","",IF(M598&lt;&gt;"",M598,G598))</f>
        <v/>
      </c>
      <c r="S598" s="32">
        <f>IF(A598="","",IF(N598&lt;&gt;"",N598,H598))</f>
        <v/>
      </c>
      <c r="T598" s="32">
        <f>IF(A598="","",IF(C598="✗","Skipped",IF(Q598&gt;0,"Paid","Upcoming")))</f>
        <v/>
      </c>
      <c r="U598" s="36">
        <f>IF(A598="",0,IF(C598="✗",0,IF(L598&lt;&gt;"",L598,F598)))</f>
        <v/>
      </c>
    </row>
    <row r="599">
      <c r="A599" s="39">
        <f>IFERROR(SMALL(Calc!$B$2:$BB$61,594),"")</f>
        <v/>
      </c>
      <c r="B599" s="39">
        <f>IF(A599="","",ROUND(MOD(A599,1)*1000,0))</f>
        <v/>
      </c>
      <c r="C599" s="33" t="n"/>
      <c r="D599" s="40">
        <f>IF(A599="","",INT(A599))</f>
        <v/>
      </c>
      <c r="E599" s="41">
        <f>IF(B599="","",INDEX(Setup!$D$25:$D$84,B599))</f>
        <v/>
      </c>
      <c r="F599" s="42">
        <f>IF(B599="","",INDEX(Setup!$E$25:$E$84,B599))</f>
        <v/>
      </c>
      <c r="G599" s="39">
        <f>IF(B599="","",INDEX(Setup!$I$25:$I$84,B599)&amp;"")</f>
        <v/>
      </c>
      <c r="H599" s="39">
        <f>IF(B599="","",INDEX(Setup!$J$25:$J$84,B599)&amp;"")</f>
        <v/>
      </c>
      <c r="I599" s="39">
        <f>IF(B599="","",INDEX(Setup!$C$25:$C$84,B599))</f>
        <v/>
      </c>
      <c r="J599" s="39" t="n"/>
      <c r="K599" s="37" t="n"/>
      <c r="L599" s="38" t="n"/>
      <c r="M599" s="33" t="n"/>
      <c r="N599" s="33" t="n"/>
      <c r="O599" s="39" t="n"/>
      <c r="P599" s="40">
        <f>IF(A599="","",IF(K599&lt;&gt;"",K599,D599))</f>
        <v/>
      </c>
      <c r="Q599" s="42">
        <f>IF(A599="",0,IF(C599="✗",0,IF(OR(C599="✓",AND(Setup!$D$7="Yes",P599&lt;=TODAY())),IF(L599&lt;&gt;"",L599,F599),0)))</f>
        <v/>
      </c>
      <c r="R599" s="39">
        <f>IF(A599="","",IF(M599&lt;&gt;"",M599,G599))</f>
        <v/>
      </c>
      <c r="S599" s="39">
        <f>IF(A599="","",IF(N599&lt;&gt;"",N599,H599))</f>
        <v/>
      </c>
      <c r="T599" s="39">
        <f>IF(A599="","",IF(C599="✗","Skipped",IF(Q599&gt;0,"Paid","Upcoming")))</f>
        <v/>
      </c>
      <c r="U599" s="42">
        <f>IF(A599="",0,IF(C599="✗",0,IF(L599&lt;&gt;"",L599,F599)))</f>
        <v/>
      </c>
    </row>
    <row r="600">
      <c r="A600" s="32">
        <f>IFERROR(SMALL(Calc!$B$2:$BB$61,595),"")</f>
        <v/>
      </c>
      <c r="B600" s="32">
        <f>IF(A600="","",ROUND(MOD(A600,1)*1000,0))</f>
        <v/>
      </c>
      <c r="C600" s="33" t="n"/>
      <c r="D600" s="34">
        <f>IF(A600="","",INT(A600))</f>
        <v/>
      </c>
      <c r="E600" s="35">
        <f>IF(B600="","",INDEX(Setup!$D$25:$D$84,B600))</f>
        <v/>
      </c>
      <c r="F600" s="36">
        <f>IF(B600="","",INDEX(Setup!$E$25:$E$84,B600))</f>
        <v/>
      </c>
      <c r="G600" s="32">
        <f>IF(B600="","",INDEX(Setup!$I$25:$I$84,B600)&amp;"")</f>
        <v/>
      </c>
      <c r="H600" s="32">
        <f>IF(B600="","",INDEX(Setup!$J$25:$J$84,B600)&amp;"")</f>
        <v/>
      </c>
      <c r="I600" s="32">
        <f>IF(B600="","",INDEX(Setup!$C$25:$C$84,B600))</f>
        <v/>
      </c>
      <c r="J600" s="32" t="n"/>
      <c r="K600" s="37" t="n"/>
      <c r="L600" s="38" t="n"/>
      <c r="M600" s="33" t="n"/>
      <c r="N600" s="33" t="n"/>
      <c r="O600" s="32" t="n"/>
      <c r="P600" s="34">
        <f>IF(A600="","",IF(K600&lt;&gt;"",K600,D600))</f>
        <v/>
      </c>
      <c r="Q600" s="36">
        <f>IF(A600="",0,IF(C600="✗",0,IF(OR(C600="✓",AND(Setup!$D$7="Yes",P600&lt;=TODAY())),IF(L600&lt;&gt;"",L600,F600),0)))</f>
        <v/>
      </c>
      <c r="R600" s="32">
        <f>IF(A600="","",IF(M600&lt;&gt;"",M600,G600))</f>
        <v/>
      </c>
      <c r="S600" s="32">
        <f>IF(A600="","",IF(N600&lt;&gt;"",N600,H600))</f>
        <v/>
      </c>
      <c r="T600" s="32">
        <f>IF(A600="","",IF(C600="✗","Skipped",IF(Q600&gt;0,"Paid","Upcoming")))</f>
        <v/>
      </c>
      <c r="U600" s="36">
        <f>IF(A600="",0,IF(C600="✗",0,IF(L600&lt;&gt;"",L600,F600)))</f>
        <v/>
      </c>
    </row>
    <row r="601">
      <c r="A601" s="39">
        <f>IFERROR(SMALL(Calc!$B$2:$BB$61,596),"")</f>
        <v/>
      </c>
      <c r="B601" s="39">
        <f>IF(A601="","",ROUND(MOD(A601,1)*1000,0))</f>
        <v/>
      </c>
      <c r="C601" s="33" t="n"/>
      <c r="D601" s="40">
        <f>IF(A601="","",INT(A601))</f>
        <v/>
      </c>
      <c r="E601" s="41">
        <f>IF(B601="","",INDEX(Setup!$D$25:$D$84,B601))</f>
        <v/>
      </c>
      <c r="F601" s="42">
        <f>IF(B601="","",INDEX(Setup!$E$25:$E$84,B601))</f>
        <v/>
      </c>
      <c r="G601" s="39">
        <f>IF(B601="","",INDEX(Setup!$I$25:$I$84,B601)&amp;"")</f>
        <v/>
      </c>
      <c r="H601" s="39">
        <f>IF(B601="","",INDEX(Setup!$J$25:$J$84,B601)&amp;"")</f>
        <v/>
      </c>
      <c r="I601" s="39">
        <f>IF(B601="","",INDEX(Setup!$C$25:$C$84,B601))</f>
        <v/>
      </c>
      <c r="J601" s="39" t="n"/>
      <c r="K601" s="37" t="n"/>
      <c r="L601" s="38" t="n"/>
      <c r="M601" s="33" t="n"/>
      <c r="N601" s="33" t="n"/>
      <c r="O601" s="39" t="n"/>
      <c r="P601" s="40">
        <f>IF(A601="","",IF(K601&lt;&gt;"",K601,D601))</f>
        <v/>
      </c>
      <c r="Q601" s="42">
        <f>IF(A601="",0,IF(C601="✗",0,IF(OR(C601="✓",AND(Setup!$D$7="Yes",P601&lt;=TODAY())),IF(L601&lt;&gt;"",L601,F601),0)))</f>
        <v/>
      </c>
      <c r="R601" s="39">
        <f>IF(A601="","",IF(M601&lt;&gt;"",M601,G601))</f>
        <v/>
      </c>
      <c r="S601" s="39">
        <f>IF(A601="","",IF(N601&lt;&gt;"",N601,H601))</f>
        <v/>
      </c>
      <c r="T601" s="39">
        <f>IF(A601="","",IF(C601="✗","Skipped",IF(Q601&gt;0,"Paid","Upcoming")))</f>
        <v/>
      </c>
      <c r="U601" s="42">
        <f>IF(A601="",0,IF(C601="✗",0,IF(L601&lt;&gt;"",L601,F601)))</f>
        <v/>
      </c>
    </row>
    <row r="602">
      <c r="A602" s="32">
        <f>IFERROR(SMALL(Calc!$B$2:$BB$61,597),"")</f>
        <v/>
      </c>
      <c r="B602" s="32">
        <f>IF(A602="","",ROUND(MOD(A602,1)*1000,0))</f>
        <v/>
      </c>
      <c r="C602" s="33" t="n"/>
      <c r="D602" s="34">
        <f>IF(A602="","",INT(A602))</f>
        <v/>
      </c>
      <c r="E602" s="35">
        <f>IF(B602="","",INDEX(Setup!$D$25:$D$84,B602))</f>
        <v/>
      </c>
      <c r="F602" s="36">
        <f>IF(B602="","",INDEX(Setup!$E$25:$E$84,B602))</f>
        <v/>
      </c>
      <c r="G602" s="32">
        <f>IF(B602="","",INDEX(Setup!$I$25:$I$84,B602)&amp;"")</f>
        <v/>
      </c>
      <c r="H602" s="32">
        <f>IF(B602="","",INDEX(Setup!$J$25:$J$84,B602)&amp;"")</f>
        <v/>
      </c>
      <c r="I602" s="32">
        <f>IF(B602="","",INDEX(Setup!$C$25:$C$84,B602))</f>
        <v/>
      </c>
      <c r="J602" s="32" t="n"/>
      <c r="K602" s="37" t="n"/>
      <c r="L602" s="38" t="n"/>
      <c r="M602" s="33" t="n"/>
      <c r="N602" s="33" t="n"/>
      <c r="O602" s="32" t="n"/>
      <c r="P602" s="34">
        <f>IF(A602="","",IF(K602&lt;&gt;"",K602,D602))</f>
        <v/>
      </c>
      <c r="Q602" s="36">
        <f>IF(A602="",0,IF(C602="✗",0,IF(OR(C602="✓",AND(Setup!$D$7="Yes",P602&lt;=TODAY())),IF(L602&lt;&gt;"",L602,F602),0)))</f>
        <v/>
      </c>
      <c r="R602" s="32">
        <f>IF(A602="","",IF(M602&lt;&gt;"",M602,G602))</f>
        <v/>
      </c>
      <c r="S602" s="32">
        <f>IF(A602="","",IF(N602&lt;&gt;"",N602,H602))</f>
        <v/>
      </c>
      <c r="T602" s="32">
        <f>IF(A602="","",IF(C602="✗","Skipped",IF(Q602&gt;0,"Paid","Upcoming")))</f>
        <v/>
      </c>
      <c r="U602" s="36">
        <f>IF(A602="",0,IF(C602="✗",0,IF(L602&lt;&gt;"",L602,F602)))</f>
        <v/>
      </c>
    </row>
    <row r="603">
      <c r="A603" s="39">
        <f>IFERROR(SMALL(Calc!$B$2:$BB$61,598),"")</f>
        <v/>
      </c>
      <c r="B603" s="39">
        <f>IF(A603="","",ROUND(MOD(A603,1)*1000,0))</f>
        <v/>
      </c>
      <c r="C603" s="33" t="n"/>
      <c r="D603" s="40">
        <f>IF(A603="","",INT(A603))</f>
        <v/>
      </c>
      <c r="E603" s="41">
        <f>IF(B603="","",INDEX(Setup!$D$25:$D$84,B603))</f>
        <v/>
      </c>
      <c r="F603" s="42">
        <f>IF(B603="","",INDEX(Setup!$E$25:$E$84,B603))</f>
        <v/>
      </c>
      <c r="G603" s="39">
        <f>IF(B603="","",INDEX(Setup!$I$25:$I$84,B603)&amp;"")</f>
        <v/>
      </c>
      <c r="H603" s="39">
        <f>IF(B603="","",INDEX(Setup!$J$25:$J$84,B603)&amp;"")</f>
        <v/>
      </c>
      <c r="I603" s="39">
        <f>IF(B603="","",INDEX(Setup!$C$25:$C$84,B603))</f>
        <v/>
      </c>
      <c r="J603" s="39" t="n"/>
      <c r="K603" s="37" t="n"/>
      <c r="L603" s="38" t="n"/>
      <c r="M603" s="33" t="n"/>
      <c r="N603" s="33" t="n"/>
      <c r="O603" s="39" t="n"/>
      <c r="P603" s="40">
        <f>IF(A603="","",IF(K603&lt;&gt;"",K603,D603))</f>
        <v/>
      </c>
      <c r="Q603" s="42">
        <f>IF(A603="",0,IF(C603="✗",0,IF(OR(C603="✓",AND(Setup!$D$7="Yes",P603&lt;=TODAY())),IF(L603&lt;&gt;"",L603,F603),0)))</f>
        <v/>
      </c>
      <c r="R603" s="39">
        <f>IF(A603="","",IF(M603&lt;&gt;"",M603,G603))</f>
        <v/>
      </c>
      <c r="S603" s="39">
        <f>IF(A603="","",IF(N603&lt;&gt;"",N603,H603))</f>
        <v/>
      </c>
      <c r="T603" s="39">
        <f>IF(A603="","",IF(C603="✗","Skipped",IF(Q603&gt;0,"Paid","Upcoming")))</f>
        <v/>
      </c>
      <c r="U603" s="42">
        <f>IF(A603="",0,IF(C603="✗",0,IF(L603&lt;&gt;"",L603,F603)))</f>
        <v/>
      </c>
    </row>
    <row r="604">
      <c r="A604" s="32">
        <f>IFERROR(SMALL(Calc!$B$2:$BB$61,599),"")</f>
        <v/>
      </c>
      <c r="B604" s="32">
        <f>IF(A604="","",ROUND(MOD(A604,1)*1000,0))</f>
        <v/>
      </c>
      <c r="C604" s="33" t="n"/>
      <c r="D604" s="34">
        <f>IF(A604="","",INT(A604))</f>
        <v/>
      </c>
      <c r="E604" s="35">
        <f>IF(B604="","",INDEX(Setup!$D$25:$D$84,B604))</f>
        <v/>
      </c>
      <c r="F604" s="36">
        <f>IF(B604="","",INDEX(Setup!$E$25:$E$84,B604))</f>
        <v/>
      </c>
      <c r="G604" s="32">
        <f>IF(B604="","",INDEX(Setup!$I$25:$I$84,B604)&amp;"")</f>
        <v/>
      </c>
      <c r="H604" s="32">
        <f>IF(B604="","",INDEX(Setup!$J$25:$J$84,B604)&amp;"")</f>
        <v/>
      </c>
      <c r="I604" s="32">
        <f>IF(B604="","",INDEX(Setup!$C$25:$C$84,B604))</f>
        <v/>
      </c>
      <c r="J604" s="32" t="n"/>
      <c r="K604" s="37" t="n"/>
      <c r="L604" s="38" t="n"/>
      <c r="M604" s="33" t="n"/>
      <c r="N604" s="33" t="n"/>
      <c r="O604" s="32" t="n"/>
      <c r="P604" s="34">
        <f>IF(A604="","",IF(K604&lt;&gt;"",K604,D604))</f>
        <v/>
      </c>
      <c r="Q604" s="36">
        <f>IF(A604="",0,IF(C604="✗",0,IF(OR(C604="✓",AND(Setup!$D$7="Yes",P604&lt;=TODAY())),IF(L604&lt;&gt;"",L604,F604),0)))</f>
        <v/>
      </c>
      <c r="R604" s="32">
        <f>IF(A604="","",IF(M604&lt;&gt;"",M604,G604))</f>
        <v/>
      </c>
      <c r="S604" s="32">
        <f>IF(A604="","",IF(N604&lt;&gt;"",N604,H604))</f>
        <v/>
      </c>
      <c r="T604" s="32">
        <f>IF(A604="","",IF(C604="✗","Skipped",IF(Q604&gt;0,"Paid","Upcoming")))</f>
        <v/>
      </c>
      <c r="U604" s="36">
        <f>IF(A604="",0,IF(C604="✗",0,IF(L604&lt;&gt;"",L604,F604)))</f>
        <v/>
      </c>
    </row>
    <row r="605">
      <c r="A605" s="39">
        <f>IFERROR(SMALL(Calc!$B$2:$BB$61,600),"")</f>
        <v/>
      </c>
      <c r="B605" s="39">
        <f>IF(A605="","",ROUND(MOD(A605,1)*1000,0))</f>
        <v/>
      </c>
      <c r="C605" s="33" t="n"/>
      <c r="D605" s="40">
        <f>IF(A605="","",INT(A605))</f>
        <v/>
      </c>
      <c r="E605" s="41">
        <f>IF(B605="","",INDEX(Setup!$D$25:$D$84,B605))</f>
        <v/>
      </c>
      <c r="F605" s="42">
        <f>IF(B605="","",INDEX(Setup!$E$25:$E$84,B605))</f>
        <v/>
      </c>
      <c r="G605" s="39">
        <f>IF(B605="","",INDEX(Setup!$I$25:$I$84,B605)&amp;"")</f>
        <v/>
      </c>
      <c r="H605" s="39">
        <f>IF(B605="","",INDEX(Setup!$J$25:$J$84,B605)&amp;"")</f>
        <v/>
      </c>
      <c r="I605" s="39">
        <f>IF(B605="","",INDEX(Setup!$C$25:$C$84,B605))</f>
        <v/>
      </c>
      <c r="J605" s="39" t="n"/>
      <c r="K605" s="37" t="n"/>
      <c r="L605" s="38" t="n"/>
      <c r="M605" s="33" t="n"/>
      <c r="N605" s="33" t="n"/>
      <c r="O605" s="39" t="n"/>
      <c r="P605" s="40">
        <f>IF(A605="","",IF(K605&lt;&gt;"",K605,D605))</f>
        <v/>
      </c>
      <c r="Q605" s="42">
        <f>IF(A605="",0,IF(C605="✗",0,IF(OR(C605="✓",AND(Setup!$D$7="Yes",P605&lt;=TODAY())),IF(L605&lt;&gt;"",L605,F605),0)))</f>
        <v/>
      </c>
      <c r="R605" s="39">
        <f>IF(A605="","",IF(M605&lt;&gt;"",M605,G605))</f>
        <v/>
      </c>
      <c r="S605" s="39">
        <f>IF(A605="","",IF(N605&lt;&gt;"",N605,H605))</f>
        <v/>
      </c>
      <c r="T605" s="39">
        <f>IF(A605="","",IF(C605="✗","Skipped",IF(Q605&gt;0,"Paid","Upcoming")))</f>
        <v/>
      </c>
      <c r="U605" s="42">
        <f>IF(A605="",0,IF(C605="✗",0,IF(L605&lt;&gt;"",L605,F605)))</f>
        <v/>
      </c>
    </row>
    <row r="606">
      <c r="A606" s="32">
        <f>IFERROR(SMALL(Calc!$B$2:$BB$61,601),"")</f>
        <v/>
      </c>
      <c r="B606" s="32">
        <f>IF(A606="","",ROUND(MOD(A606,1)*1000,0))</f>
        <v/>
      </c>
      <c r="C606" s="33" t="n"/>
      <c r="D606" s="34">
        <f>IF(A606="","",INT(A606))</f>
        <v/>
      </c>
      <c r="E606" s="35">
        <f>IF(B606="","",INDEX(Setup!$D$25:$D$84,B606))</f>
        <v/>
      </c>
      <c r="F606" s="36">
        <f>IF(B606="","",INDEX(Setup!$E$25:$E$84,B606))</f>
        <v/>
      </c>
      <c r="G606" s="32">
        <f>IF(B606="","",INDEX(Setup!$I$25:$I$84,B606)&amp;"")</f>
        <v/>
      </c>
      <c r="H606" s="32">
        <f>IF(B606="","",INDEX(Setup!$J$25:$J$84,B606)&amp;"")</f>
        <v/>
      </c>
      <c r="I606" s="32">
        <f>IF(B606="","",INDEX(Setup!$C$25:$C$84,B606))</f>
        <v/>
      </c>
      <c r="J606" s="32" t="n"/>
      <c r="K606" s="37" t="n"/>
      <c r="L606" s="38" t="n"/>
      <c r="M606" s="33" t="n"/>
      <c r="N606" s="33" t="n"/>
      <c r="O606" s="32" t="n"/>
      <c r="P606" s="34">
        <f>IF(A606="","",IF(K606&lt;&gt;"",K606,D606))</f>
        <v/>
      </c>
      <c r="Q606" s="36">
        <f>IF(A606="",0,IF(C606="✗",0,IF(OR(C606="✓",AND(Setup!$D$7="Yes",P606&lt;=TODAY())),IF(L606&lt;&gt;"",L606,F606),0)))</f>
        <v/>
      </c>
      <c r="R606" s="32">
        <f>IF(A606="","",IF(M606&lt;&gt;"",M606,G606))</f>
        <v/>
      </c>
      <c r="S606" s="32">
        <f>IF(A606="","",IF(N606&lt;&gt;"",N606,H606))</f>
        <v/>
      </c>
      <c r="T606" s="32">
        <f>IF(A606="","",IF(C606="✗","Skipped",IF(Q606&gt;0,"Paid","Upcoming")))</f>
        <v/>
      </c>
      <c r="U606" s="36">
        <f>IF(A606="",0,IF(C606="✗",0,IF(L606&lt;&gt;"",L606,F606)))</f>
        <v/>
      </c>
    </row>
    <row r="607">
      <c r="A607" s="39">
        <f>IFERROR(SMALL(Calc!$B$2:$BB$61,602),"")</f>
        <v/>
      </c>
      <c r="B607" s="39">
        <f>IF(A607="","",ROUND(MOD(A607,1)*1000,0))</f>
        <v/>
      </c>
      <c r="C607" s="33" t="n"/>
      <c r="D607" s="40">
        <f>IF(A607="","",INT(A607))</f>
        <v/>
      </c>
      <c r="E607" s="41">
        <f>IF(B607="","",INDEX(Setup!$D$25:$D$84,B607))</f>
        <v/>
      </c>
      <c r="F607" s="42">
        <f>IF(B607="","",INDEX(Setup!$E$25:$E$84,B607))</f>
        <v/>
      </c>
      <c r="G607" s="39">
        <f>IF(B607="","",INDEX(Setup!$I$25:$I$84,B607)&amp;"")</f>
        <v/>
      </c>
      <c r="H607" s="39">
        <f>IF(B607="","",INDEX(Setup!$J$25:$J$84,B607)&amp;"")</f>
        <v/>
      </c>
      <c r="I607" s="39">
        <f>IF(B607="","",INDEX(Setup!$C$25:$C$84,B607))</f>
        <v/>
      </c>
      <c r="J607" s="39" t="n"/>
      <c r="K607" s="37" t="n"/>
      <c r="L607" s="38" t="n"/>
      <c r="M607" s="33" t="n"/>
      <c r="N607" s="33" t="n"/>
      <c r="O607" s="39" t="n"/>
      <c r="P607" s="40">
        <f>IF(A607="","",IF(K607&lt;&gt;"",K607,D607))</f>
        <v/>
      </c>
      <c r="Q607" s="42">
        <f>IF(A607="",0,IF(C607="✗",0,IF(OR(C607="✓",AND(Setup!$D$7="Yes",P607&lt;=TODAY())),IF(L607&lt;&gt;"",L607,F607),0)))</f>
        <v/>
      </c>
      <c r="R607" s="39">
        <f>IF(A607="","",IF(M607&lt;&gt;"",M607,G607))</f>
        <v/>
      </c>
      <c r="S607" s="39">
        <f>IF(A607="","",IF(N607&lt;&gt;"",N607,H607))</f>
        <v/>
      </c>
      <c r="T607" s="39">
        <f>IF(A607="","",IF(C607="✗","Skipped",IF(Q607&gt;0,"Paid","Upcoming")))</f>
        <v/>
      </c>
      <c r="U607" s="42">
        <f>IF(A607="",0,IF(C607="✗",0,IF(L607&lt;&gt;"",L607,F607)))</f>
        <v/>
      </c>
    </row>
    <row r="608">
      <c r="A608" s="32">
        <f>IFERROR(SMALL(Calc!$B$2:$BB$61,603),"")</f>
        <v/>
      </c>
      <c r="B608" s="32">
        <f>IF(A608="","",ROUND(MOD(A608,1)*1000,0))</f>
        <v/>
      </c>
      <c r="C608" s="33" t="n"/>
      <c r="D608" s="34">
        <f>IF(A608="","",INT(A608))</f>
        <v/>
      </c>
      <c r="E608" s="35">
        <f>IF(B608="","",INDEX(Setup!$D$25:$D$84,B608))</f>
        <v/>
      </c>
      <c r="F608" s="36">
        <f>IF(B608="","",INDEX(Setup!$E$25:$E$84,B608))</f>
        <v/>
      </c>
      <c r="G608" s="32">
        <f>IF(B608="","",INDEX(Setup!$I$25:$I$84,B608)&amp;"")</f>
        <v/>
      </c>
      <c r="H608" s="32">
        <f>IF(B608="","",INDEX(Setup!$J$25:$J$84,B608)&amp;"")</f>
        <v/>
      </c>
      <c r="I608" s="32">
        <f>IF(B608="","",INDEX(Setup!$C$25:$C$84,B608))</f>
        <v/>
      </c>
      <c r="J608" s="32" t="n"/>
      <c r="K608" s="37" t="n"/>
      <c r="L608" s="38" t="n"/>
      <c r="M608" s="33" t="n"/>
      <c r="N608" s="33" t="n"/>
      <c r="O608" s="32" t="n"/>
      <c r="P608" s="34">
        <f>IF(A608="","",IF(K608&lt;&gt;"",K608,D608))</f>
        <v/>
      </c>
      <c r="Q608" s="36">
        <f>IF(A608="",0,IF(C608="✗",0,IF(OR(C608="✓",AND(Setup!$D$7="Yes",P608&lt;=TODAY())),IF(L608&lt;&gt;"",L608,F608),0)))</f>
        <v/>
      </c>
      <c r="R608" s="32">
        <f>IF(A608="","",IF(M608&lt;&gt;"",M608,G608))</f>
        <v/>
      </c>
      <c r="S608" s="32">
        <f>IF(A608="","",IF(N608&lt;&gt;"",N608,H608))</f>
        <v/>
      </c>
      <c r="T608" s="32">
        <f>IF(A608="","",IF(C608="✗","Skipped",IF(Q608&gt;0,"Paid","Upcoming")))</f>
        <v/>
      </c>
      <c r="U608" s="36">
        <f>IF(A608="",0,IF(C608="✗",0,IF(L608&lt;&gt;"",L608,F608)))</f>
        <v/>
      </c>
    </row>
    <row r="609">
      <c r="A609" s="39">
        <f>IFERROR(SMALL(Calc!$B$2:$BB$61,604),"")</f>
        <v/>
      </c>
      <c r="B609" s="39">
        <f>IF(A609="","",ROUND(MOD(A609,1)*1000,0))</f>
        <v/>
      </c>
      <c r="C609" s="33" t="n"/>
      <c r="D609" s="40">
        <f>IF(A609="","",INT(A609))</f>
        <v/>
      </c>
      <c r="E609" s="41">
        <f>IF(B609="","",INDEX(Setup!$D$25:$D$84,B609))</f>
        <v/>
      </c>
      <c r="F609" s="42">
        <f>IF(B609="","",INDEX(Setup!$E$25:$E$84,B609))</f>
        <v/>
      </c>
      <c r="G609" s="39">
        <f>IF(B609="","",INDEX(Setup!$I$25:$I$84,B609)&amp;"")</f>
        <v/>
      </c>
      <c r="H609" s="39">
        <f>IF(B609="","",INDEX(Setup!$J$25:$J$84,B609)&amp;"")</f>
        <v/>
      </c>
      <c r="I609" s="39">
        <f>IF(B609="","",INDEX(Setup!$C$25:$C$84,B609))</f>
        <v/>
      </c>
      <c r="J609" s="39" t="n"/>
      <c r="K609" s="37" t="n"/>
      <c r="L609" s="38" t="n"/>
      <c r="M609" s="33" t="n"/>
      <c r="N609" s="33" t="n"/>
      <c r="O609" s="39" t="n"/>
      <c r="P609" s="40">
        <f>IF(A609="","",IF(K609&lt;&gt;"",K609,D609))</f>
        <v/>
      </c>
      <c r="Q609" s="42">
        <f>IF(A609="",0,IF(C609="✗",0,IF(OR(C609="✓",AND(Setup!$D$7="Yes",P609&lt;=TODAY())),IF(L609&lt;&gt;"",L609,F609),0)))</f>
        <v/>
      </c>
      <c r="R609" s="39">
        <f>IF(A609="","",IF(M609&lt;&gt;"",M609,G609))</f>
        <v/>
      </c>
      <c r="S609" s="39">
        <f>IF(A609="","",IF(N609&lt;&gt;"",N609,H609))</f>
        <v/>
      </c>
      <c r="T609" s="39">
        <f>IF(A609="","",IF(C609="✗","Skipped",IF(Q609&gt;0,"Paid","Upcoming")))</f>
        <v/>
      </c>
      <c r="U609" s="42">
        <f>IF(A609="",0,IF(C609="✗",0,IF(L609&lt;&gt;"",L609,F609)))</f>
        <v/>
      </c>
    </row>
    <row r="610">
      <c r="A610" s="32">
        <f>IFERROR(SMALL(Calc!$B$2:$BB$61,605),"")</f>
        <v/>
      </c>
      <c r="B610" s="32">
        <f>IF(A610="","",ROUND(MOD(A610,1)*1000,0))</f>
        <v/>
      </c>
      <c r="C610" s="33" t="n"/>
      <c r="D610" s="34">
        <f>IF(A610="","",INT(A610))</f>
        <v/>
      </c>
      <c r="E610" s="35">
        <f>IF(B610="","",INDEX(Setup!$D$25:$D$84,B610))</f>
        <v/>
      </c>
      <c r="F610" s="36">
        <f>IF(B610="","",INDEX(Setup!$E$25:$E$84,B610))</f>
        <v/>
      </c>
      <c r="G610" s="32">
        <f>IF(B610="","",INDEX(Setup!$I$25:$I$84,B610)&amp;"")</f>
        <v/>
      </c>
      <c r="H610" s="32">
        <f>IF(B610="","",INDEX(Setup!$J$25:$J$84,B610)&amp;"")</f>
        <v/>
      </c>
      <c r="I610" s="32">
        <f>IF(B610="","",INDEX(Setup!$C$25:$C$84,B610))</f>
        <v/>
      </c>
      <c r="J610" s="32" t="n"/>
      <c r="K610" s="37" t="n"/>
      <c r="L610" s="38" t="n"/>
      <c r="M610" s="33" t="n"/>
      <c r="N610" s="33" t="n"/>
      <c r="O610" s="32" t="n"/>
      <c r="P610" s="34">
        <f>IF(A610="","",IF(K610&lt;&gt;"",K610,D610))</f>
        <v/>
      </c>
      <c r="Q610" s="36">
        <f>IF(A610="",0,IF(C610="✗",0,IF(OR(C610="✓",AND(Setup!$D$7="Yes",P610&lt;=TODAY())),IF(L610&lt;&gt;"",L610,F610),0)))</f>
        <v/>
      </c>
      <c r="R610" s="32">
        <f>IF(A610="","",IF(M610&lt;&gt;"",M610,G610))</f>
        <v/>
      </c>
      <c r="S610" s="32">
        <f>IF(A610="","",IF(N610&lt;&gt;"",N610,H610))</f>
        <v/>
      </c>
      <c r="T610" s="32">
        <f>IF(A610="","",IF(C610="✗","Skipped",IF(Q610&gt;0,"Paid","Upcoming")))</f>
        <v/>
      </c>
      <c r="U610" s="36">
        <f>IF(A610="",0,IF(C610="✗",0,IF(L610&lt;&gt;"",L610,F610)))</f>
        <v/>
      </c>
    </row>
    <row r="611">
      <c r="A611" s="39">
        <f>IFERROR(SMALL(Calc!$B$2:$BB$61,606),"")</f>
        <v/>
      </c>
      <c r="B611" s="39">
        <f>IF(A611="","",ROUND(MOD(A611,1)*1000,0))</f>
        <v/>
      </c>
      <c r="C611" s="33" t="n"/>
      <c r="D611" s="40">
        <f>IF(A611="","",INT(A611))</f>
        <v/>
      </c>
      <c r="E611" s="41">
        <f>IF(B611="","",INDEX(Setup!$D$25:$D$84,B611))</f>
        <v/>
      </c>
      <c r="F611" s="42">
        <f>IF(B611="","",INDEX(Setup!$E$25:$E$84,B611))</f>
        <v/>
      </c>
      <c r="G611" s="39">
        <f>IF(B611="","",INDEX(Setup!$I$25:$I$84,B611)&amp;"")</f>
        <v/>
      </c>
      <c r="H611" s="39">
        <f>IF(B611="","",INDEX(Setup!$J$25:$J$84,B611)&amp;"")</f>
        <v/>
      </c>
      <c r="I611" s="39">
        <f>IF(B611="","",INDEX(Setup!$C$25:$C$84,B611))</f>
        <v/>
      </c>
      <c r="J611" s="39" t="n"/>
      <c r="K611" s="37" t="n"/>
      <c r="L611" s="38" t="n"/>
      <c r="M611" s="33" t="n"/>
      <c r="N611" s="33" t="n"/>
      <c r="O611" s="39" t="n"/>
      <c r="P611" s="40">
        <f>IF(A611="","",IF(K611&lt;&gt;"",K611,D611))</f>
        <v/>
      </c>
      <c r="Q611" s="42">
        <f>IF(A611="",0,IF(C611="✗",0,IF(OR(C611="✓",AND(Setup!$D$7="Yes",P611&lt;=TODAY())),IF(L611&lt;&gt;"",L611,F611),0)))</f>
        <v/>
      </c>
      <c r="R611" s="39">
        <f>IF(A611="","",IF(M611&lt;&gt;"",M611,G611))</f>
        <v/>
      </c>
      <c r="S611" s="39">
        <f>IF(A611="","",IF(N611&lt;&gt;"",N611,H611))</f>
        <v/>
      </c>
      <c r="T611" s="39">
        <f>IF(A611="","",IF(C611="✗","Skipped",IF(Q611&gt;0,"Paid","Upcoming")))</f>
        <v/>
      </c>
      <c r="U611" s="42">
        <f>IF(A611="",0,IF(C611="✗",0,IF(L611&lt;&gt;"",L611,F611)))</f>
        <v/>
      </c>
    </row>
    <row r="612">
      <c r="A612" s="32">
        <f>IFERROR(SMALL(Calc!$B$2:$BB$61,607),"")</f>
        <v/>
      </c>
      <c r="B612" s="32">
        <f>IF(A612="","",ROUND(MOD(A612,1)*1000,0))</f>
        <v/>
      </c>
      <c r="C612" s="33" t="n"/>
      <c r="D612" s="34">
        <f>IF(A612="","",INT(A612))</f>
        <v/>
      </c>
      <c r="E612" s="35">
        <f>IF(B612="","",INDEX(Setup!$D$25:$D$84,B612))</f>
        <v/>
      </c>
      <c r="F612" s="36">
        <f>IF(B612="","",INDEX(Setup!$E$25:$E$84,B612))</f>
        <v/>
      </c>
      <c r="G612" s="32">
        <f>IF(B612="","",INDEX(Setup!$I$25:$I$84,B612)&amp;"")</f>
        <v/>
      </c>
      <c r="H612" s="32">
        <f>IF(B612="","",INDEX(Setup!$J$25:$J$84,B612)&amp;"")</f>
        <v/>
      </c>
      <c r="I612" s="32">
        <f>IF(B612="","",INDEX(Setup!$C$25:$C$84,B612))</f>
        <v/>
      </c>
      <c r="J612" s="32" t="n"/>
      <c r="K612" s="37" t="n"/>
      <c r="L612" s="38" t="n"/>
      <c r="M612" s="33" t="n"/>
      <c r="N612" s="33" t="n"/>
      <c r="O612" s="32" t="n"/>
      <c r="P612" s="34">
        <f>IF(A612="","",IF(K612&lt;&gt;"",K612,D612))</f>
        <v/>
      </c>
      <c r="Q612" s="36">
        <f>IF(A612="",0,IF(C612="✗",0,IF(OR(C612="✓",AND(Setup!$D$7="Yes",P612&lt;=TODAY())),IF(L612&lt;&gt;"",L612,F612),0)))</f>
        <v/>
      </c>
      <c r="R612" s="32">
        <f>IF(A612="","",IF(M612&lt;&gt;"",M612,G612))</f>
        <v/>
      </c>
      <c r="S612" s="32">
        <f>IF(A612="","",IF(N612&lt;&gt;"",N612,H612))</f>
        <v/>
      </c>
      <c r="T612" s="32">
        <f>IF(A612="","",IF(C612="✗","Skipped",IF(Q612&gt;0,"Paid","Upcoming")))</f>
        <v/>
      </c>
      <c r="U612" s="36">
        <f>IF(A612="",0,IF(C612="✗",0,IF(L612&lt;&gt;"",L612,F612)))</f>
        <v/>
      </c>
    </row>
    <row r="613">
      <c r="A613" s="39">
        <f>IFERROR(SMALL(Calc!$B$2:$BB$61,608),"")</f>
        <v/>
      </c>
      <c r="B613" s="39">
        <f>IF(A613="","",ROUND(MOD(A613,1)*1000,0))</f>
        <v/>
      </c>
      <c r="C613" s="33" t="n"/>
      <c r="D613" s="40">
        <f>IF(A613="","",INT(A613))</f>
        <v/>
      </c>
      <c r="E613" s="41">
        <f>IF(B613="","",INDEX(Setup!$D$25:$D$84,B613))</f>
        <v/>
      </c>
      <c r="F613" s="42">
        <f>IF(B613="","",INDEX(Setup!$E$25:$E$84,B613))</f>
        <v/>
      </c>
      <c r="G613" s="39">
        <f>IF(B613="","",INDEX(Setup!$I$25:$I$84,B613)&amp;"")</f>
        <v/>
      </c>
      <c r="H613" s="39">
        <f>IF(B613="","",INDEX(Setup!$J$25:$J$84,B613)&amp;"")</f>
        <v/>
      </c>
      <c r="I613" s="39">
        <f>IF(B613="","",INDEX(Setup!$C$25:$C$84,B613))</f>
        <v/>
      </c>
      <c r="J613" s="39" t="n"/>
      <c r="K613" s="37" t="n"/>
      <c r="L613" s="38" t="n"/>
      <c r="M613" s="33" t="n"/>
      <c r="N613" s="33" t="n"/>
      <c r="O613" s="39" t="n"/>
      <c r="P613" s="40">
        <f>IF(A613="","",IF(K613&lt;&gt;"",K613,D613))</f>
        <v/>
      </c>
      <c r="Q613" s="42">
        <f>IF(A613="",0,IF(C613="✗",0,IF(OR(C613="✓",AND(Setup!$D$7="Yes",P613&lt;=TODAY())),IF(L613&lt;&gt;"",L613,F613),0)))</f>
        <v/>
      </c>
      <c r="R613" s="39">
        <f>IF(A613="","",IF(M613&lt;&gt;"",M613,G613))</f>
        <v/>
      </c>
      <c r="S613" s="39">
        <f>IF(A613="","",IF(N613&lt;&gt;"",N613,H613))</f>
        <v/>
      </c>
      <c r="T613" s="39">
        <f>IF(A613="","",IF(C613="✗","Skipped",IF(Q613&gt;0,"Paid","Upcoming")))</f>
        <v/>
      </c>
      <c r="U613" s="42">
        <f>IF(A613="",0,IF(C613="✗",0,IF(L613&lt;&gt;"",L613,F613)))</f>
        <v/>
      </c>
    </row>
    <row r="614">
      <c r="A614" s="32">
        <f>IFERROR(SMALL(Calc!$B$2:$BB$61,609),"")</f>
        <v/>
      </c>
      <c r="B614" s="32">
        <f>IF(A614="","",ROUND(MOD(A614,1)*1000,0))</f>
        <v/>
      </c>
      <c r="C614" s="33" t="n"/>
      <c r="D614" s="34">
        <f>IF(A614="","",INT(A614))</f>
        <v/>
      </c>
      <c r="E614" s="35">
        <f>IF(B614="","",INDEX(Setup!$D$25:$D$84,B614))</f>
        <v/>
      </c>
      <c r="F614" s="36">
        <f>IF(B614="","",INDEX(Setup!$E$25:$E$84,B614))</f>
        <v/>
      </c>
      <c r="G614" s="32">
        <f>IF(B614="","",INDEX(Setup!$I$25:$I$84,B614)&amp;"")</f>
        <v/>
      </c>
      <c r="H614" s="32">
        <f>IF(B614="","",INDEX(Setup!$J$25:$J$84,B614)&amp;"")</f>
        <v/>
      </c>
      <c r="I614" s="32">
        <f>IF(B614="","",INDEX(Setup!$C$25:$C$84,B614))</f>
        <v/>
      </c>
      <c r="J614" s="32" t="n"/>
      <c r="K614" s="37" t="n"/>
      <c r="L614" s="38" t="n"/>
      <c r="M614" s="33" t="n"/>
      <c r="N614" s="33" t="n"/>
      <c r="O614" s="32" t="n"/>
      <c r="P614" s="34">
        <f>IF(A614="","",IF(K614&lt;&gt;"",K614,D614))</f>
        <v/>
      </c>
      <c r="Q614" s="36">
        <f>IF(A614="",0,IF(C614="✗",0,IF(OR(C614="✓",AND(Setup!$D$7="Yes",P614&lt;=TODAY())),IF(L614&lt;&gt;"",L614,F614),0)))</f>
        <v/>
      </c>
      <c r="R614" s="32">
        <f>IF(A614="","",IF(M614&lt;&gt;"",M614,G614))</f>
        <v/>
      </c>
      <c r="S614" s="32">
        <f>IF(A614="","",IF(N614&lt;&gt;"",N614,H614))</f>
        <v/>
      </c>
      <c r="T614" s="32">
        <f>IF(A614="","",IF(C614="✗","Skipped",IF(Q614&gt;0,"Paid","Upcoming")))</f>
        <v/>
      </c>
      <c r="U614" s="36">
        <f>IF(A614="",0,IF(C614="✗",0,IF(L614&lt;&gt;"",L614,F614)))</f>
        <v/>
      </c>
    </row>
    <row r="615">
      <c r="A615" s="39">
        <f>IFERROR(SMALL(Calc!$B$2:$BB$61,610),"")</f>
        <v/>
      </c>
      <c r="B615" s="39">
        <f>IF(A615="","",ROUND(MOD(A615,1)*1000,0))</f>
        <v/>
      </c>
      <c r="C615" s="33" t="n"/>
      <c r="D615" s="40">
        <f>IF(A615="","",INT(A615))</f>
        <v/>
      </c>
      <c r="E615" s="41">
        <f>IF(B615="","",INDEX(Setup!$D$25:$D$84,B615))</f>
        <v/>
      </c>
      <c r="F615" s="42">
        <f>IF(B615="","",INDEX(Setup!$E$25:$E$84,B615))</f>
        <v/>
      </c>
      <c r="G615" s="39">
        <f>IF(B615="","",INDEX(Setup!$I$25:$I$84,B615)&amp;"")</f>
        <v/>
      </c>
      <c r="H615" s="39">
        <f>IF(B615="","",INDEX(Setup!$J$25:$J$84,B615)&amp;"")</f>
        <v/>
      </c>
      <c r="I615" s="39">
        <f>IF(B615="","",INDEX(Setup!$C$25:$C$84,B615))</f>
        <v/>
      </c>
      <c r="J615" s="39" t="n"/>
      <c r="K615" s="37" t="n"/>
      <c r="L615" s="38" t="n"/>
      <c r="M615" s="33" t="n"/>
      <c r="N615" s="33" t="n"/>
      <c r="O615" s="39" t="n"/>
      <c r="P615" s="40">
        <f>IF(A615="","",IF(K615&lt;&gt;"",K615,D615))</f>
        <v/>
      </c>
      <c r="Q615" s="42">
        <f>IF(A615="",0,IF(C615="✗",0,IF(OR(C615="✓",AND(Setup!$D$7="Yes",P615&lt;=TODAY())),IF(L615&lt;&gt;"",L615,F615),0)))</f>
        <v/>
      </c>
      <c r="R615" s="39">
        <f>IF(A615="","",IF(M615&lt;&gt;"",M615,G615))</f>
        <v/>
      </c>
      <c r="S615" s="39">
        <f>IF(A615="","",IF(N615&lt;&gt;"",N615,H615))</f>
        <v/>
      </c>
      <c r="T615" s="39">
        <f>IF(A615="","",IF(C615="✗","Skipped",IF(Q615&gt;0,"Paid","Upcoming")))</f>
        <v/>
      </c>
      <c r="U615" s="42">
        <f>IF(A615="",0,IF(C615="✗",0,IF(L615&lt;&gt;"",L615,F615)))</f>
        <v/>
      </c>
    </row>
    <row r="616">
      <c r="A616" s="32">
        <f>IFERROR(SMALL(Calc!$B$2:$BB$61,611),"")</f>
        <v/>
      </c>
      <c r="B616" s="32">
        <f>IF(A616="","",ROUND(MOD(A616,1)*1000,0))</f>
        <v/>
      </c>
      <c r="C616" s="33" t="n"/>
      <c r="D616" s="34">
        <f>IF(A616="","",INT(A616))</f>
        <v/>
      </c>
      <c r="E616" s="35">
        <f>IF(B616="","",INDEX(Setup!$D$25:$D$84,B616))</f>
        <v/>
      </c>
      <c r="F616" s="36">
        <f>IF(B616="","",INDEX(Setup!$E$25:$E$84,B616))</f>
        <v/>
      </c>
      <c r="G616" s="32">
        <f>IF(B616="","",INDEX(Setup!$I$25:$I$84,B616)&amp;"")</f>
        <v/>
      </c>
      <c r="H616" s="32">
        <f>IF(B616="","",INDEX(Setup!$J$25:$J$84,B616)&amp;"")</f>
        <v/>
      </c>
      <c r="I616" s="32">
        <f>IF(B616="","",INDEX(Setup!$C$25:$C$84,B616))</f>
        <v/>
      </c>
      <c r="J616" s="32" t="n"/>
      <c r="K616" s="37" t="n"/>
      <c r="L616" s="38" t="n"/>
      <c r="M616" s="33" t="n"/>
      <c r="N616" s="33" t="n"/>
      <c r="O616" s="32" t="n"/>
      <c r="P616" s="34">
        <f>IF(A616="","",IF(K616&lt;&gt;"",K616,D616))</f>
        <v/>
      </c>
      <c r="Q616" s="36">
        <f>IF(A616="",0,IF(C616="✗",0,IF(OR(C616="✓",AND(Setup!$D$7="Yes",P616&lt;=TODAY())),IF(L616&lt;&gt;"",L616,F616),0)))</f>
        <v/>
      </c>
      <c r="R616" s="32">
        <f>IF(A616="","",IF(M616&lt;&gt;"",M616,G616))</f>
        <v/>
      </c>
      <c r="S616" s="32">
        <f>IF(A616="","",IF(N616&lt;&gt;"",N616,H616))</f>
        <v/>
      </c>
      <c r="T616" s="32">
        <f>IF(A616="","",IF(C616="✗","Skipped",IF(Q616&gt;0,"Paid","Upcoming")))</f>
        <v/>
      </c>
      <c r="U616" s="36">
        <f>IF(A616="",0,IF(C616="✗",0,IF(L616&lt;&gt;"",L616,F616)))</f>
        <v/>
      </c>
    </row>
    <row r="617">
      <c r="A617" s="39">
        <f>IFERROR(SMALL(Calc!$B$2:$BB$61,612),"")</f>
        <v/>
      </c>
      <c r="B617" s="39">
        <f>IF(A617="","",ROUND(MOD(A617,1)*1000,0))</f>
        <v/>
      </c>
      <c r="C617" s="33" t="n"/>
      <c r="D617" s="40">
        <f>IF(A617="","",INT(A617))</f>
        <v/>
      </c>
      <c r="E617" s="41">
        <f>IF(B617="","",INDEX(Setup!$D$25:$D$84,B617))</f>
        <v/>
      </c>
      <c r="F617" s="42">
        <f>IF(B617="","",INDEX(Setup!$E$25:$E$84,B617))</f>
        <v/>
      </c>
      <c r="G617" s="39">
        <f>IF(B617="","",INDEX(Setup!$I$25:$I$84,B617)&amp;"")</f>
        <v/>
      </c>
      <c r="H617" s="39">
        <f>IF(B617="","",INDEX(Setup!$J$25:$J$84,B617)&amp;"")</f>
        <v/>
      </c>
      <c r="I617" s="39">
        <f>IF(B617="","",INDEX(Setup!$C$25:$C$84,B617))</f>
        <v/>
      </c>
      <c r="J617" s="39" t="n"/>
      <c r="K617" s="37" t="n"/>
      <c r="L617" s="38" t="n"/>
      <c r="M617" s="33" t="n"/>
      <c r="N617" s="33" t="n"/>
      <c r="O617" s="39" t="n"/>
      <c r="P617" s="40">
        <f>IF(A617="","",IF(K617&lt;&gt;"",K617,D617))</f>
        <v/>
      </c>
      <c r="Q617" s="42">
        <f>IF(A617="",0,IF(C617="✗",0,IF(OR(C617="✓",AND(Setup!$D$7="Yes",P617&lt;=TODAY())),IF(L617&lt;&gt;"",L617,F617),0)))</f>
        <v/>
      </c>
      <c r="R617" s="39">
        <f>IF(A617="","",IF(M617&lt;&gt;"",M617,G617))</f>
        <v/>
      </c>
      <c r="S617" s="39">
        <f>IF(A617="","",IF(N617&lt;&gt;"",N617,H617))</f>
        <v/>
      </c>
      <c r="T617" s="39">
        <f>IF(A617="","",IF(C617="✗","Skipped",IF(Q617&gt;0,"Paid","Upcoming")))</f>
        <v/>
      </c>
      <c r="U617" s="42">
        <f>IF(A617="",0,IF(C617="✗",0,IF(L617&lt;&gt;"",L617,F617)))</f>
        <v/>
      </c>
    </row>
    <row r="618">
      <c r="A618" s="32">
        <f>IFERROR(SMALL(Calc!$B$2:$BB$61,613),"")</f>
        <v/>
      </c>
      <c r="B618" s="32">
        <f>IF(A618="","",ROUND(MOD(A618,1)*1000,0))</f>
        <v/>
      </c>
      <c r="C618" s="33" t="n"/>
      <c r="D618" s="34">
        <f>IF(A618="","",INT(A618))</f>
        <v/>
      </c>
      <c r="E618" s="35">
        <f>IF(B618="","",INDEX(Setup!$D$25:$D$84,B618))</f>
        <v/>
      </c>
      <c r="F618" s="36">
        <f>IF(B618="","",INDEX(Setup!$E$25:$E$84,B618))</f>
        <v/>
      </c>
      <c r="G618" s="32">
        <f>IF(B618="","",INDEX(Setup!$I$25:$I$84,B618)&amp;"")</f>
        <v/>
      </c>
      <c r="H618" s="32">
        <f>IF(B618="","",INDEX(Setup!$J$25:$J$84,B618)&amp;"")</f>
        <v/>
      </c>
      <c r="I618" s="32">
        <f>IF(B618="","",INDEX(Setup!$C$25:$C$84,B618))</f>
        <v/>
      </c>
      <c r="J618" s="32" t="n"/>
      <c r="K618" s="37" t="n"/>
      <c r="L618" s="38" t="n"/>
      <c r="M618" s="33" t="n"/>
      <c r="N618" s="33" t="n"/>
      <c r="O618" s="32" t="n"/>
      <c r="P618" s="34">
        <f>IF(A618="","",IF(K618&lt;&gt;"",K618,D618))</f>
        <v/>
      </c>
      <c r="Q618" s="36">
        <f>IF(A618="",0,IF(C618="✗",0,IF(OR(C618="✓",AND(Setup!$D$7="Yes",P618&lt;=TODAY())),IF(L618&lt;&gt;"",L618,F618),0)))</f>
        <v/>
      </c>
      <c r="R618" s="32">
        <f>IF(A618="","",IF(M618&lt;&gt;"",M618,G618))</f>
        <v/>
      </c>
      <c r="S618" s="32">
        <f>IF(A618="","",IF(N618&lt;&gt;"",N618,H618))</f>
        <v/>
      </c>
      <c r="T618" s="32">
        <f>IF(A618="","",IF(C618="✗","Skipped",IF(Q618&gt;0,"Paid","Upcoming")))</f>
        <v/>
      </c>
      <c r="U618" s="36">
        <f>IF(A618="",0,IF(C618="✗",0,IF(L618&lt;&gt;"",L618,F618)))</f>
        <v/>
      </c>
    </row>
    <row r="619">
      <c r="A619" s="39">
        <f>IFERROR(SMALL(Calc!$B$2:$BB$61,614),"")</f>
        <v/>
      </c>
      <c r="B619" s="39">
        <f>IF(A619="","",ROUND(MOD(A619,1)*1000,0))</f>
        <v/>
      </c>
      <c r="C619" s="33" t="n"/>
      <c r="D619" s="40">
        <f>IF(A619="","",INT(A619))</f>
        <v/>
      </c>
      <c r="E619" s="41">
        <f>IF(B619="","",INDEX(Setup!$D$25:$D$84,B619))</f>
        <v/>
      </c>
      <c r="F619" s="42">
        <f>IF(B619="","",INDEX(Setup!$E$25:$E$84,B619))</f>
        <v/>
      </c>
      <c r="G619" s="39">
        <f>IF(B619="","",INDEX(Setup!$I$25:$I$84,B619)&amp;"")</f>
        <v/>
      </c>
      <c r="H619" s="39">
        <f>IF(B619="","",INDEX(Setup!$J$25:$J$84,B619)&amp;"")</f>
        <v/>
      </c>
      <c r="I619" s="39">
        <f>IF(B619="","",INDEX(Setup!$C$25:$C$84,B619))</f>
        <v/>
      </c>
      <c r="J619" s="39" t="n"/>
      <c r="K619" s="37" t="n"/>
      <c r="L619" s="38" t="n"/>
      <c r="M619" s="33" t="n"/>
      <c r="N619" s="33" t="n"/>
      <c r="O619" s="39" t="n"/>
      <c r="P619" s="40">
        <f>IF(A619="","",IF(K619&lt;&gt;"",K619,D619))</f>
        <v/>
      </c>
      <c r="Q619" s="42">
        <f>IF(A619="",0,IF(C619="✗",0,IF(OR(C619="✓",AND(Setup!$D$7="Yes",P619&lt;=TODAY())),IF(L619&lt;&gt;"",L619,F619),0)))</f>
        <v/>
      </c>
      <c r="R619" s="39">
        <f>IF(A619="","",IF(M619&lt;&gt;"",M619,G619))</f>
        <v/>
      </c>
      <c r="S619" s="39">
        <f>IF(A619="","",IF(N619&lt;&gt;"",N619,H619))</f>
        <v/>
      </c>
      <c r="T619" s="39">
        <f>IF(A619="","",IF(C619="✗","Skipped",IF(Q619&gt;0,"Paid","Upcoming")))</f>
        <v/>
      </c>
      <c r="U619" s="42">
        <f>IF(A619="",0,IF(C619="✗",0,IF(L619&lt;&gt;"",L619,F619)))</f>
        <v/>
      </c>
    </row>
    <row r="620">
      <c r="A620" s="32">
        <f>IFERROR(SMALL(Calc!$B$2:$BB$61,615),"")</f>
        <v/>
      </c>
      <c r="B620" s="32">
        <f>IF(A620="","",ROUND(MOD(A620,1)*1000,0))</f>
        <v/>
      </c>
      <c r="C620" s="33" t="n"/>
      <c r="D620" s="34">
        <f>IF(A620="","",INT(A620))</f>
        <v/>
      </c>
      <c r="E620" s="35">
        <f>IF(B620="","",INDEX(Setup!$D$25:$D$84,B620))</f>
        <v/>
      </c>
      <c r="F620" s="36">
        <f>IF(B620="","",INDEX(Setup!$E$25:$E$84,B620))</f>
        <v/>
      </c>
      <c r="G620" s="32">
        <f>IF(B620="","",INDEX(Setup!$I$25:$I$84,B620)&amp;"")</f>
        <v/>
      </c>
      <c r="H620" s="32">
        <f>IF(B620="","",INDEX(Setup!$J$25:$J$84,B620)&amp;"")</f>
        <v/>
      </c>
      <c r="I620" s="32">
        <f>IF(B620="","",INDEX(Setup!$C$25:$C$84,B620))</f>
        <v/>
      </c>
      <c r="J620" s="32" t="n"/>
      <c r="K620" s="37" t="n"/>
      <c r="L620" s="38" t="n"/>
      <c r="M620" s="33" t="n"/>
      <c r="N620" s="33" t="n"/>
      <c r="O620" s="32" t="n"/>
      <c r="P620" s="34">
        <f>IF(A620="","",IF(K620&lt;&gt;"",K620,D620))</f>
        <v/>
      </c>
      <c r="Q620" s="36">
        <f>IF(A620="",0,IF(C620="✗",0,IF(OR(C620="✓",AND(Setup!$D$7="Yes",P620&lt;=TODAY())),IF(L620&lt;&gt;"",L620,F620),0)))</f>
        <v/>
      </c>
      <c r="R620" s="32">
        <f>IF(A620="","",IF(M620&lt;&gt;"",M620,G620))</f>
        <v/>
      </c>
      <c r="S620" s="32">
        <f>IF(A620="","",IF(N620&lt;&gt;"",N620,H620))</f>
        <v/>
      </c>
      <c r="T620" s="32">
        <f>IF(A620="","",IF(C620="✗","Skipped",IF(Q620&gt;0,"Paid","Upcoming")))</f>
        <v/>
      </c>
      <c r="U620" s="36">
        <f>IF(A620="",0,IF(C620="✗",0,IF(L620&lt;&gt;"",L620,F620)))</f>
        <v/>
      </c>
    </row>
    <row r="621">
      <c r="A621" s="39">
        <f>IFERROR(SMALL(Calc!$B$2:$BB$61,616),"")</f>
        <v/>
      </c>
      <c r="B621" s="39">
        <f>IF(A621="","",ROUND(MOD(A621,1)*1000,0))</f>
        <v/>
      </c>
      <c r="C621" s="33" t="n"/>
      <c r="D621" s="40">
        <f>IF(A621="","",INT(A621))</f>
        <v/>
      </c>
      <c r="E621" s="41">
        <f>IF(B621="","",INDEX(Setup!$D$25:$D$84,B621))</f>
        <v/>
      </c>
      <c r="F621" s="42">
        <f>IF(B621="","",INDEX(Setup!$E$25:$E$84,B621))</f>
        <v/>
      </c>
      <c r="G621" s="39">
        <f>IF(B621="","",INDEX(Setup!$I$25:$I$84,B621)&amp;"")</f>
        <v/>
      </c>
      <c r="H621" s="39">
        <f>IF(B621="","",INDEX(Setup!$J$25:$J$84,B621)&amp;"")</f>
        <v/>
      </c>
      <c r="I621" s="39">
        <f>IF(B621="","",INDEX(Setup!$C$25:$C$84,B621))</f>
        <v/>
      </c>
      <c r="J621" s="39" t="n"/>
      <c r="K621" s="37" t="n"/>
      <c r="L621" s="38" t="n"/>
      <c r="M621" s="33" t="n"/>
      <c r="N621" s="33" t="n"/>
      <c r="O621" s="39" t="n"/>
      <c r="P621" s="40">
        <f>IF(A621="","",IF(K621&lt;&gt;"",K621,D621))</f>
        <v/>
      </c>
      <c r="Q621" s="42">
        <f>IF(A621="",0,IF(C621="✗",0,IF(OR(C621="✓",AND(Setup!$D$7="Yes",P621&lt;=TODAY())),IF(L621&lt;&gt;"",L621,F621),0)))</f>
        <v/>
      </c>
      <c r="R621" s="39">
        <f>IF(A621="","",IF(M621&lt;&gt;"",M621,G621))</f>
        <v/>
      </c>
      <c r="S621" s="39">
        <f>IF(A621="","",IF(N621&lt;&gt;"",N621,H621))</f>
        <v/>
      </c>
      <c r="T621" s="39">
        <f>IF(A621="","",IF(C621="✗","Skipped",IF(Q621&gt;0,"Paid","Upcoming")))</f>
        <v/>
      </c>
      <c r="U621" s="42">
        <f>IF(A621="",0,IF(C621="✗",0,IF(L621&lt;&gt;"",L621,F621)))</f>
        <v/>
      </c>
    </row>
    <row r="622">
      <c r="A622" s="32">
        <f>IFERROR(SMALL(Calc!$B$2:$BB$61,617),"")</f>
        <v/>
      </c>
      <c r="B622" s="32">
        <f>IF(A622="","",ROUND(MOD(A622,1)*1000,0))</f>
        <v/>
      </c>
      <c r="C622" s="33" t="n"/>
      <c r="D622" s="34">
        <f>IF(A622="","",INT(A622))</f>
        <v/>
      </c>
      <c r="E622" s="35">
        <f>IF(B622="","",INDEX(Setup!$D$25:$D$84,B622))</f>
        <v/>
      </c>
      <c r="F622" s="36">
        <f>IF(B622="","",INDEX(Setup!$E$25:$E$84,B622))</f>
        <v/>
      </c>
      <c r="G622" s="32">
        <f>IF(B622="","",INDEX(Setup!$I$25:$I$84,B622)&amp;"")</f>
        <v/>
      </c>
      <c r="H622" s="32">
        <f>IF(B622="","",INDEX(Setup!$J$25:$J$84,B622)&amp;"")</f>
        <v/>
      </c>
      <c r="I622" s="32">
        <f>IF(B622="","",INDEX(Setup!$C$25:$C$84,B622))</f>
        <v/>
      </c>
      <c r="J622" s="32" t="n"/>
      <c r="K622" s="37" t="n"/>
      <c r="L622" s="38" t="n"/>
      <c r="M622" s="33" t="n"/>
      <c r="N622" s="33" t="n"/>
      <c r="O622" s="32" t="n"/>
      <c r="P622" s="34">
        <f>IF(A622="","",IF(K622&lt;&gt;"",K622,D622))</f>
        <v/>
      </c>
      <c r="Q622" s="36">
        <f>IF(A622="",0,IF(C622="✗",0,IF(OR(C622="✓",AND(Setup!$D$7="Yes",P622&lt;=TODAY())),IF(L622&lt;&gt;"",L622,F622),0)))</f>
        <v/>
      </c>
      <c r="R622" s="32">
        <f>IF(A622="","",IF(M622&lt;&gt;"",M622,G622))</f>
        <v/>
      </c>
      <c r="S622" s="32">
        <f>IF(A622="","",IF(N622&lt;&gt;"",N622,H622))</f>
        <v/>
      </c>
      <c r="T622" s="32">
        <f>IF(A622="","",IF(C622="✗","Skipped",IF(Q622&gt;0,"Paid","Upcoming")))</f>
        <v/>
      </c>
      <c r="U622" s="36">
        <f>IF(A622="",0,IF(C622="✗",0,IF(L622&lt;&gt;"",L622,F622)))</f>
        <v/>
      </c>
    </row>
    <row r="623">
      <c r="A623" s="39">
        <f>IFERROR(SMALL(Calc!$B$2:$BB$61,618),"")</f>
        <v/>
      </c>
      <c r="B623" s="39">
        <f>IF(A623="","",ROUND(MOD(A623,1)*1000,0))</f>
        <v/>
      </c>
      <c r="C623" s="33" t="n"/>
      <c r="D623" s="40">
        <f>IF(A623="","",INT(A623))</f>
        <v/>
      </c>
      <c r="E623" s="41">
        <f>IF(B623="","",INDEX(Setup!$D$25:$D$84,B623))</f>
        <v/>
      </c>
      <c r="F623" s="42">
        <f>IF(B623="","",INDEX(Setup!$E$25:$E$84,B623))</f>
        <v/>
      </c>
      <c r="G623" s="39">
        <f>IF(B623="","",INDEX(Setup!$I$25:$I$84,B623)&amp;"")</f>
        <v/>
      </c>
      <c r="H623" s="39">
        <f>IF(B623="","",INDEX(Setup!$J$25:$J$84,B623)&amp;"")</f>
        <v/>
      </c>
      <c r="I623" s="39">
        <f>IF(B623="","",INDEX(Setup!$C$25:$C$84,B623))</f>
        <v/>
      </c>
      <c r="J623" s="39" t="n"/>
      <c r="K623" s="37" t="n"/>
      <c r="L623" s="38" t="n"/>
      <c r="M623" s="33" t="n"/>
      <c r="N623" s="33" t="n"/>
      <c r="O623" s="39" t="n"/>
      <c r="P623" s="40">
        <f>IF(A623="","",IF(K623&lt;&gt;"",K623,D623))</f>
        <v/>
      </c>
      <c r="Q623" s="42">
        <f>IF(A623="",0,IF(C623="✗",0,IF(OR(C623="✓",AND(Setup!$D$7="Yes",P623&lt;=TODAY())),IF(L623&lt;&gt;"",L623,F623),0)))</f>
        <v/>
      </c>
      <c r="R623" s="39">
        <f>IF(A623="","",IF(M623&lt;&gt;"",M623,G623))</f>
        <v/>
      </c>
      <c r="S623" s="39">
        <f>IF(A623="","",IF(N623&lt;&gt;"",N623,H623))</f>
        <v/>
      </c>
      <c r="T623" s="39">
        <f>IF(A623="","",IF(C623="✗","Skipped",IF(Q623&gt;0,"Paid","Upcoming")))</f>
        <v/>
      </c>
      <c r="U623" s="42">
        <f>IF(A623="",0,IF(C623="✗",0,IF(L623&lt;&gt;"",L623,F623)))</f>
        <v/>
      </c>
    </row>
    <row r="624">
      <c r="A624" s="32">
        <f>IFERROR(SMALL(Calc!$B$2:$BB$61,619),"")</f>
        <v/>
      </c>
      <c r="B624" s="32">
        <f>IF(A624="","",ROUND(MOD(A624,1)*1000,0))</f>
        <v/>
      </c>
      <c r="C624" s="33" t="n"/>
      <c r="D624" s="34">
        <f>IF(A624="","",INT(A624))</f>
        <v/>
      </c>
      <c r="E624" s="35">
        <f>IF(B624="","",INDEX(Setup!$D$25:$D$84,B624))</f>
        <v/>
      </c>
      <c r="F624" s="36">
        <f>IF(B624="","",INDEX(Setup!$E$25:$E$84,B624))</f>
        <v/>
      </c>
      <c r="G624" s="32">
        <f>IF(B624="","",INDEX(Setup!$I$25:$I$84,B624)&amp;"")</f>
        <v/>
      </c>
      <c r="H624" s="32">
        <f>IF(B624="","",INDEX(Setup!$J$25:$J$84,B624)&amp;"")</f>
        <v/>
      </c>
      <c r="I624" s="32">
        <f>IF(B624="","",INDEX(Setup!$C$25:$C$84,B624))</f>
        <v/>
      </c>
      <c r="J624" s="32" t="n"/>
      <c r="K624" s="37" t="n"/>
      <c r="L624" s="38" t="n"/>
      <c r="M624" s="33" t="n"/>
      <c r="N624" s="33" t="n"/>
      <c r="O624" s="32" t="n"/>
      <c r="P624" s="34">
        <f>IF(A624="","",IF(K624&lt;&gt;"",K624,D624))</f>
        <v/>
      </c>
      <c r="Q624" s="36">
        <f>IF(A624="",0,IF(C624="✗",0,IF(OR(C624="✓",AND(Setup!$D$7="Yes",P624&lt;=TODAY())),IF(L624&lt;&gt;"",L624,F624),0)))</f>
        <v/>
      </c>
      <c r="R624" s="32">
        <f>IF(A624="","",IF(M624&lt;&gt;"",M624,G624))</f>
        <v/>
      </c>
      <c r="S624" s="32">
        <f>IF(A624="","",IF(N624&lt;&gt;"",N624,H624))</f>
        <v/>
      </c>
      <c r="T624" s="32">
        <f>IF(A624="","",IF(C624="✗","Skipped",IF(Q624&gt;0,"Paid","Upcoming")))</f>
        <v/>
      </c>
      <c r="U624" s="36">
        <f>IF(A624="",0,IF(C624="✗",0,IF(L624&lt;&gt;"",L624,F624)))</f>
        <v/>
      </c>
    </row>
    <row r="625">
      <c r="A625" s="39">
        <f>IFERROR(SMALL(Calc!$B$2:$BB$61,620),"")</f>
        <v/>
      </c>
      <c r="B625" s="39">
        <f>IF(A625="","",ROUND(MOD(A625,1)*1000,0))</f>
        <v/>
      </c>
      <c r="C625" s="33" t="n"/>
      <c r="D625" s="40">
        <f>IF(A625="","",INT(A625))</f>
        <v/>
      </c>
      <c r="E625" s="41">
        <f>IF(B625="","",INDEX(Setup!$D$25:$D$84,B625))</f>
        <v/>
      </c>
      <c r="F625" s="42">
        <f>IF(B625="","",INDEX(Setup!$E$25:$E$84,B625))</f>
        <v/>
      </c>
      <c r="G625" s="39">
        <f>IF(B625="","",INDEX(Setup!$I$25:$I$84,B625)&amp;"")</f>
        <v/>
      </c>
      <c r="H625" s="39">
        <f>IF(B625="","",INDEX(Setup!$J$25:$J$84,B625)&amp;"")</f>
        <v/>
      </c>
      <c r="I625" s="39">
        <f>IF(B625="","",INDEX(Setup!$C$25:$C$84,B625))</f>
        <v/>
      </c>
      <c r="J625" s="39" t="n"/>
      <c r="K625" s="37" t="n"/>
      <c r="L625" s="38" t="n"/>
      <c r="M625" s="33" t="n"/>
      <c r="N625" s="33" t="n"/>
      <c r="O625" s="39" t="n"/>
      <c r="P625" s="40">
        <f>IF(A625="","",IF(K625&lt;&gt;"",K625,D625))</f>
        <v/>
      </c>
      <c r="Q625" s="42">
        <f>IF(A625="",0,IF(C625="✗",0,IF(OR(C625="✓",AND(Setup!$D$7="Yes",P625&lt;=TODAY())),IF(L625&lt;&gt;"",L625,F625),0)))</f>
        <v/>
      </c>
      <c r="R625" s="39">
        <f>IF(A625="","",IF(M625&lt;&gt;"",M625,G625))</f>
        <v/>
      </c>
      <c r="S625" s="39">
        <f>IF(A625="","",IF(N625&lt;&gt;"",N625,H625))</f>
        <v/>
      </c>
      <c r="T625" s="39">
        <f>IF(A625="","",IF(C625="✗","Skipped",IF(Q625&gt;0,"Paid","Upcoming")))</f>
        <v/>
      </c>
      <c r="U625" s="42">
        <f>IF(A625="",0,IF(C625="✗",0,IF(L625&lt;&gt;"",L625,F625)))</f>
        <v/>
      </c>
    </row>
    <row r="626">
      <c r="A626" s="32">
        <f>IFERROR(SMALL(Calc!$B$2:$BB$61,621),"")</f>
        <v/>
      </c>
      <c r="B626" s="32">
        <f>IF(A626="","",ROUND(MOD(A626,1)*1000,0))</f>
        <v/>
      </c>
      <c r="C626" s="33" t="n"/>
      <c r="D626" s="34">
        <f>IF(A626="","",INT(A626))</f>
        <v/>
      </c>
      <c r="E626" s="35">
        <f>IF(B626="","",INDEX(Setup!$D$25:$D$84,B626))</f>
        <v/>
      </c>
      <c r="F626" s="36">
        <f>IF(B626="","",INDEX(Setup!$E$25:$E$84,B626))</f>
        <v/>
      </c>
      <c r="G626" s="32">
        <f>IF(B626="","",INDEX(Setup!$I$25:$I$84,B626)&amp;"")</f>
        <v/>
      </c>
      <c r="H626" s="32">
        <f>IF(B626="","",INDEX(Setup!$J$25:$J$84,B626)&amp;"")</f>
        <v/>
      </c>
      <c r="I626" s="32">
        <f>IF(B626="","",INDEX(Setup!$C$25:$C$84,B626))</f>
        <v/>
      </c>
      <c r="J626" s="32" t="n"/>
      <c r="K626" s="37" t="n"/>
      <c r="L626" s="38" t="n"/>
      <c r="M626" s="33" t="n"/>
      <c r="N626" s="33" t="n"/>
      <c r="O626" s="32" t="n"/>
      <c r="P626" s="34">
        <f>IF(A626="","",IF(K626&lt;&gt;"",K626,D626))</f>
        <v/>
      </c>
      <c r="Q626" s="36">
        <f>IF(A626="",0,IF(C626="✗",0,IF(OR(C626="✓",AND(Setup!$D$7="Yes",P626&lt;=TODAY())),IF(L626&lt;&gt;"",L626,F626),0)))</f>
        <v/>
      </c>
      <c r="R626" s="32">
        <f>IF(A626="","",IF(M626&lt;&gt;"",M626,G626))</f>
        <v/>
      </c>
      <c r="S626" s="32">
        <f>IF(A626="","",IF(N626&lt;&gt;"",N626,H626))</f>
        <v/>
      </c>
      <c r="T626" s="32">
        <f>IF(A626="","",IF(C626="✗","Skipped",IF(Q626&gt;0,"Paid","Upcoming")))</f>
        <v/>
      </c>
      <c r="U626" s="36">
        <f>IF(A626="",0,IF(C626="✗",0,IF(L626&lt;&gt;"",L626,F626)))</f>
        <v/>
      </c>
    </row>
    <row r="627">
      <c r="A627" s="39">
        <f>IFERROR(SMALL(Calc!$B$2:$BB$61,622),"")</f>
        <v/>
      </c>
      <c r="B627" s="39">
        <f>IF(A627="","",ROUND(MOD(A627,1)*1000,0))</f>
        <v/>
      </c>
      <c r="C627" s="33" t="n"/>
      <c r="D627" s="40">
        <f>IF(A627="","",INT(A627))</f>
        <v/>
      </c>
      <c r="E627" s="41">
        <f>IF(B627="","",INDEX(Setup!$D$25:$D$84,B627))</f>
        <v/>
      </c>
      <c r="F627" s="42">
        <f>IF(B627="","",INDEX(Setup!$E$25:$E$84,B627))</f>
        <v/>
      </c>
      <c r="G627" s="39">
        <f>IF(B627="","",INDEX(Setup!$I$25:$I$84,B627)&amp;"")</f>
        <v/>
      </c>
      <c r="H627" s="39">
        <f>IF(B627="","",INDEX(Setup!$J$25:$J$84,B627)&amp;"")</f>
        <v/>
      </c>
      <c r="I627" s="39">
        <f>IF(B627="","",INDEX(Setup!$C$25:$C$84,B627))</f>
        <v/>
      </c>
      <c r="J627" s="39" t="n"/>
      <c r="K627" s="37" t="n"/>
      <c r="L627" s="38" t="n"/>
      <c r="M627" s="33" t="n"/>
      <c r="N627" s="33" t="n"/>
      <c r="O627" s="39" t="n"/>
      <c r="P627" s="40">
        <f>IF(A627="","",IF(K627&lt;&gt;"",K627,D627))</f>
        <v/>
      </c>
      <c r="Q627" s="42">
        <f>IF(A627="",0,IF(C627="✗",0,IF(OR(C627="✓",AND(Setup!$D$7="Yes",P627&lt;=TODAY())),IF(L627&lt;&gt;"",L627,F627),0)))</f>
        <v/>
      </c>
      <c r="R627" s="39">
        <f>IF(A627="","",IF(M627&lt;&gt;"",M627,G627))</f>
        <v/>
      </c>
      <c r="S627" s="39">
        <f>IF(A627="","",IF(N627&lt;&gt;"",N627,H627))</f>
        <v/>
      </c>
      <c r="T627" s="39">
        <f>IF(A627="","",IF(C627="✗","Skipped",IF(Q627&gt;0,"Paid","Upcoming")))</f>
        <v/>
      </c>
      <c r="U627" s="42">
        <f>IF(A627="",0,IF(C627="✗",0,IF(L627&lt;&gt;"",L627,F627)))</f>
        <v/>
      </c>
    </row>
    <row r="628">
      <c r="A628" s="32">
        <f>IFERROR(SMALL(Calc!$B$2:$BB$61,623),"")</f>
        <v/>
      </c>
      <c r="B628" s="32">
        <f>IF(A628="","",ROUND(MOD(A628,1)*1000,0))</f>
        <v/>
      </c>
      <c r="C628" s="33" t="n"/>
      <c r="D628" s="34">
        <f>IF(A628="","",INT(A628))</f>
        <v/>
      </c>
      <c r="E628" s="35">
        <f>IF(B628="","",INDEX(Setup!$D$25:$D$84,B628))</f>
        <v/>
      </c>
      <c r="F628" s="36">
        <f>IF(B628="","",INDEX(Setup!$E$25:$E$84,B628))</f>
        <v/>
      </c>
      <c r="G628" s="32">
        <f>IF(B628="","",INDEX(Setup!$I$25:$I$84,B628)&amp;"")</f>
        <v/>
      </c>
      <c r="H628" s="32">
        <f>IF(B628="","",INDEX(Setup!$J$25:$J$84,B628)&amp;"")</f>
        <v/>
      </c>
      <c r="I628" s="32">
        <f>IF(B628="","",INDEX(Setup!$C$25:$C$84,B628))</f>
        <v/>
      </c>
      <c r="J628" s="32" t="n"/>
      <c r="K628" s="37" t="n"/>
      <c r="L628" s="38" t="n"/>
      <c r="M628" s="33" t="n"/>
      <c r="N628" s="33" t="n"/>
      <c r="O628" s="32" t="n"/>
      <c r="P628" s="34">
        <f>IF(A628="","",IF(K628&lt;&gt;"",K628,D628))</f>
        <v/>
      </c>
      <c r="Q628" s="36">
        <f>IF(A628="",0,IF(C628="✗",0,IF(OR(C628="✓",AND(Setup!$D$7="Yes",P628&lt;=TODAY())),IF(L628&lt;&gt;"",L628,F628),0)))</f>
        <v/>
      </c>
      <c r="R628" s="32">
        <f>IF(A628="","",IF(M628&lt;&gt;"",M628,G628))</f>
        <v/>
      </c>
      <c r="S628" s="32">
        <f>IF(A628="","",IF(N628&lt;&gt;"",N628,H628))</f>
        <v/>
      </c>
      <c r="T628" s="32">
        <f>IF(A628="","",IF(C628="✗","Skipped",IF(Q628&gt;0,"Paid","Upcoming")))</f>
        <v/>
      </c>
      <c r="U628" s="36">
        <f>IF(A628="",0,IF(C628="✗",0,IF(L628&lt;&gt;"",L628,F628)))</f>
        <v/>
      </c>
    </row>
    <row r="629">
      <c r="A629" s="39">
        <f>IFERROR(SMALL(Calc!$B$2:$BB$61,624),"")</f>
        <v/>
      </c>
      <c r="B629" s="39">
        <f>IF(A629="","",ROUND(MOD(A629,1)*1000,0))</f>
        <v/>
      </c>
      <c r="C629" s="33" t="n"/>
      <c r="D629" s="40">
        <f>IF(A629="","",INT(A629))</f>
        <v/>
      </c>
      <c r="E629" s="41">
        <f>IF(B629="","",INDEX(Setup!$D$25:$D$84,B629))</f>
        <v/>
      </c>
      <c r="F629" s="42">
        <f>IF(B629="","",INDEX(Setup!$E$25:$E$84,B629))</f>
        <v/>
      </c>
      <c r="G629" s="39">
        <f>IF(B629="","",INDEX(Setup!$I$25:$I$84,B629)&amp;"")</f>
        <v/>
      </c>
      <c r="H629" s="39">
        <f>IF(B629="","",INDEX(Setup!$J$25:$J$84,B629)&amp;"")</f>
        <v/>
      </c>
      <c r="I629" s="39">
        <f>IF(B629="","",INDEX(Setup!$C$25:$C$84,B629))</f>
        <v/>
      </c>
      <c r="J629" s="39" t="n"/>
      <c r="K629" s="37" t="n"/>
      <c r="L629" s="38" t="n"/>
      <c r="M629" s="33" t="n"/>
      <c r="N629" s="33" t="n"/>
      <c r="O629" s="39" t="n"/>
      <c r="P629" s="40">
        <f>IF(A629="","",IF(K629&lt;&gt;"",K629,D629))</f>
        <v/>
      </c>
      <c r="Q629" s="42">
        <f>IF(A629="",0,IF(C629="✗",0,IF(OR(C629="✓",AND(Setup!$D$7="Yes",P629&lt;=TODAY())),IF(L629&lt;&gt;"",L629,F629),0)))</f>
        <v/>
      </c>
      <c r="R629" s="39">
        <f>IF(A629="","",IF(M629&lt;&gt;"",M629,G629))</f>
        <v/>
      </c>
      <c r="S629" s="39">
        <f>IF(A629="","",IF(N629&lt;&gt;"",N629,H629))</f>
        <v/>
      </c>
      <c r="T629" s="39">
        <f>IF(A629="","",IF(C629="✗","Skipped",IF(Q629&gt;0,"Paid","Upcoming")))</f>
        <v/>
      </c>
      <c r="U629" s="42">
        <f>IF(A629="",0,IF(C629="✗",0,IF(L629&lt;&gt;"",L629,F629)))</f>
        <v/>
      </c>
    </row>
    <row r="630">
      <c r="A630" s="32">
        <f>IFERROR(SMALL(Calc!$B$2:$BB$61,625),"")</f>
        <v/>
      </c>
      <c r="B630" s="32">
        <f>IF(A630="","",ROUND(MOD(A630,1)*1000,0))</f>
        <v/>
      </c>
      <c r="C630" s="33" t="n"/>
      <c r="D630" s="34">
        <f>IF(A630="","",INT(A630))</f>
        <v/>
      </c>
      <c r="E630" s="35">
        <f>IF(B630="","",INDEX(Setup!$D$25:$D$84,B630))</f>
        <v/>
      </c>
      <c r="F630" s="36">
        <f>IF(B630="","",INDEX(Setup!$E$25:$E$84,B630))</f>
        <v/>
      </c>
      <c r="G630" s="32">
        <f>IF(B630="","",INDEX(Setup!$I$25:$I$84,B630)&amp;"")</f>
        <v/>
      </c>
      <c r="H630" s="32">
        <f>IF(B630="","",INDEX(Setup!$J$25:$J$84,B630)&amp;"")</f>
        <v/>
      </c>
      <c r="I630" s="32">
        <f>IF(B630="","",INDEX(Setup!$C$25:$C$84,B630))</f>
        <v/>
      </c>
      <c r="J630" s="32" t="n"/>
      <c r="K630" s="37" t="n"/>
      <c r="L630" s="38" t="n"/>
      <c r="M630" s="33" t="n"/>
      <c r="N630" s="33" t="n"/>
      <c r="O630" s="32" t="n"/>
      <c r="P630" s="34">
        <f>IF(A630="","",IF(K630&lt;&gt;"",K630,D630))</f>
        <v/>
      </c>
      <c r="Q630" s="36">
        <f>IF(A630="",0,IF(C630="✗",0,IF(OR(C630="✓",AND(Setup!$D$7="Yes",P630&lt;=TODAY())),IF(L630&lt;&gt;"",L630,F630),0)))</f>
        <v/>
      </c>
      <c r="R630" s="32">
        <f>IF(A630="","",IF(M630&lt;&gt;"",M630,G630))</f>
        <v/>
      </c>
      <c r="S630" s="32">
        <f>IF(A630="","",IF(N630&lt;&gt;"",N630,H630))</f>
        <v/>
      </c>
      <c r="T630" s="32">
        <f>IF(A630="","",IF(C630="✗","Skipped",IF(Q630&gt;0,"Paid","Upcoming")))</f>
        <v/>
      </c>
      <c r="U630" s="36">
        <f>IF(A630="",0,IF(C630="✗",0,IF(L630&lt;&gt;"",L630,F630)))</f>
        <v/>
      </c>
    </row>
    <row r="631">
      <c r="A631" s="39">
        <f>IFERROR(SMALL(Calc!$B$2:$BB$61,626),"")</f>
        <v/>
      </c>
      <c r="B631" s="39">
        <f>IF(A631="","",ROUND(MOD(A631,1)*1000,0))</f>
        <v/>
      </c>
      <c r="C631" s="33" t="n"/>
      <c r="D631" s="40">
        <f>IF(A631="","",INT(A631))</f>
        <v/>
      </c>
      <c r="E631" s="41">
        <f>IF(B631="","",INDEX(Setup!$D$25:$D$84,B631))</f>
        <v/>
      </c>
      <c r="F631" s="42">
        <f>IF(B631="","",INDEX(Setup!$E$25:$E$84,B631))</f>
        <v/>
      </c>
      <c r="G631" s="39">
        <f>IF(B631="","",INDEX(Setup!$I$25:$I$84,B631)&amp;"")</f>
        <v/>
      </c>
      <c r="H631" s="39">
        <f>IF(B631="","",INDEX(Setup!$J$25:$J$84,B631)&amp;"")</f>
        <v/>
      </c>
      <c r="I631" s="39">
        <f>IF(B631="","",INDEX(Setup!$C$25:$C$84,B631))</f>
        <v/>
      </c>
      <c r="J631" s="39" t="n"/>
      <c r="K631" s="37" t="n"/>
      <c r="L631" s="38" t="n"/>
      <c r="M631" s="33" t="n"/>
      <c r="N631" s="33" t="n"/>
      <c r="O631" s="39" t="n"/>
      <c r="P631" s="40">
        <f>IF(A631="","",IF(K631&lt;&gt;"",K631,D631))</f>
        <v/>
      </c>
      <c r="Q631" s="42">
        <f>IF(A631="",0,IF(C631="✗",0,IF(OR(C631="✓",AND(Setup!$D$7="Yes",P631&lt;=TODAY())),IF(L631&lt;&gt;"",L631,F631),0)))</f>
        <v/>
      </c>
      <c r="R631" s="39">
        <f>IF(A631="","",IF(M631&lt;&gt;"",M631,G631))</f>
        <v/>
      </c>
      <c r="S631" s="39">
        <f>IF(A631="","",IF(N631&lt;&gt;"",N631,H631))</f>
        <v/>
      </c>
      <c r="T631" s="39">
        <f>IF(A631="","",IF(C631="✗","Skipped",IF(Q631&gt;0,"Paid","Upcoming")))</f>
        <v/>
      </c>
      <c r="U631" s="42">
        <f>IF(A631="",0,IF(C631="✗",0,IF(L631&lt;&gt;"",L631,F631)))</f>
        <v/>
      </c>
    </row>
    <row r="632">
      <c r="A632" s="32">
        <f>IFERROR(SMALL(Calc!$B$2:$BB$61,627),"")</f>
        <v/>
      </c>
      <c r="B632" s="32">
        <f>IF(A632="","",ROUND(MOD(A632,1)*1000,0))</f>
        <v/>
      </c>
      <c r="C632" s="33" t="n"/>
      <c r="D632" s="34">
        <f>IF(A632="","",INT(A632))</f>
        <v/>
      </c>
      <c r="E632" s="35">
        <f>IF(B632="","",INDEX(Setup!$D$25:$D$84,B632))</f>
        <v/>
      </c>
      <c r="F632" s="36">
        <f>IF(B632="","",INDEX(Setup!$E$25:$E$84,B632))</f>
        <v/>
      </c>
      <c r="G632" s="32">
        <f>IF(B632="","",INDEX(Setup!$I$25:$I$84,B632)&amp;"")</f>
        <v/>
      </c>
      <c r="H632" s="32">
        <f>IF(B632="","",INDEX(Setup!$J$25:$J$84,B632)&amp;"")</f>
        <v/>
      </c>
      <c r="I632" s="32">
        <f>IF(B632="","",INDEX(Setup!$C$25:$C$84,B632))</f>
        <v/>
      </c>
      <c r="J632" s="32" t="n"/>
      <c r="K632" s="37" t="n"/>
      <c r="L632" s="38" t="n"/>
      <c r="M632" s="33" t="n"/>
      <c r="N632" s="33" t="n"/>
      <c r="O632" s="32" t="n"/>
      <c r="P632" s="34">
        <f>IF(A632="","",IF(K632&lt;&gt;"",K632,D632))</f>
        <v/>
      </c>
      <c r="Q632" s="36">
        <f>IF(A632="",0,IF(C632="✗",0,IF(OR(C632="✓",AND(Setup!$D$7="Yes",P632&lt;=TODAY())),IF(L632&lt;&gt;"",L632,F632),0)))</f>
        <v/>
      </c>
      <c r="R632" s="32">
        <f>IF(A632="","",IF(M632&lt;&gt;"",M632,G632))</f>
        <v/>
      </c>
      <c r="S632" s="32">
        <f>IF(A632="","",IF(N632&lt;&gt;"",N632,H632))</f>
        <v/>
      </c>
      <c r="T632" s="32">
        <f>IF(A632="","",IF(C632="✗","Skipped",IF(Q632&gt;0,"Paid","Upcoming")))</f>
        <v/>
      </c>
      <c r="U632" s="36">
        <f>IF(A632="",0,IF(C632="✗",0,IF(L632&lt;&gt;"",L632,F632)))</f>
        <v/>
      </c>
    </row>
    <row r="633">
      <c r="A633" s="39">
        <f>IFERROR(SMALL(Calc!$B$2:$BB$61,628),"")</f>
        <v/>
      </c>
      <c r="B633" s="39">
        <f>IF(A633="","",ROUND(MOD(A633,1)*1000,0))</f>
        <v/>
      </c>
      <c r="C633" s="33" t="n"/>
      <c r="D633" s="40">
        <f>IF(A633="","",INT(A633))</f>
        <v/>
      </c>
      <c r="E633" s="41">
        <f>IF(B633="","",INDEX(Setup!$D$25:$D$84,B633))</f>
        <v/>
      </c>
      <c r="F633" s="42">
        <f>IF(B633="","",INDEX(Setup!$E$25:$E$84,B633))</f>
        <v/>
      </c>
      <c r="G633" s="39">
        <f>IF(B633="","",INDEX(Setup!$I$25:$I$84,B633)&amp;"")</f>
        <v/>
      </c>
      <c r="H633" s="39">
        <f>IF(B633="","",INDEX(Setup!$J$25:$J$84,B633)&amp;"")</f>
        <v/>
      </c>
      <c r="I633" s="39">
        <f>IF(B633="","",INDEX(Setup!$C$25:$C$84,B633))</f>
        <v/>
      </c>
      <c r="J633" s="39" t="n"/>
      <c r="K633" s="37" t="n"/>
      <c r="L633" s="38" t="n"/>
      <c r="M633" s="33" t="n"/>
      <c r="N633" s="33" t="n"/>
      <c r="O633" s="39" t="n"/>
      <c r="P633" s="40">
        <f>IF(A633="","",IF(K633&lt;&gt;"",K633,D633))</f>
        <v/>
      </c>
      <c r="Q633" s="42">
        <f>IF(A633="",0,IF(C633="✗",0,IF(OR(C633="✓",AND(Setup!$D$7="Yes",P633&lt;=TODAY())),IF(L633&lt;&gt;"",L633,F633),0)))</f>
        <v/>
      </c>
      <c r="R633" s="39">
        <f>IF(A633="","",IF(M633&lt;&gt;"",M633,G633))</f>
        <v/>
      </c>
      <c r="S633" s="39">
        <f>IF(A633="","",IF(N633&lt;&gt;"",N633,H633))</f>
        <v/>
      </c>
      <c r="T633" s="39">
        <f>IF(A633="","",IF(C633="✗","Skipped",IF(Q633&gt;0,"Paid","Upcoming")))</f>
        <v/>
      </c>
      <c r="U633" s="42">
        <f>IF(A633="",0,IF(C633="✗",0,IF(L633&lt;&gt;"",L633,F633)))</f>
        <v/>
      </c>
    </row>
    <row r="634">
      <c r="A634" s="32">
        <f>IFERROR(SMALL(Calc!$B$2:$BB$61,629),"")</f>
        <v/>
      </c>
      <c r="B634" s="32">
        <f>IF(A634="","",ROUND(MOD(A634,1)*1000,0))</f>
        <v/>
      </c>
      <c r="C634" s="33" t="n"/>
      <c r="D634" s="34">
        <f>IF(A634="","",INT(A634))</f>
        <v/>
      </c>
      <c r="E634" s="35">
        <f>IF(B634="","",INDEX(Setup!$D$25:$D$84,B634))</f>
        <v/>
      </c>
      <c r="F634" s="36">
        <f>IF(B634="","",INDEX(Setup!$E$25:$E$84,B634))</f>
        <v/>
      </c>
      <c r="G634" s="32">
        <f>IF(B634="","",INDEX(Setup!$I$25:$I$84,B634)&amp;"")</f>
        <v/>
      </c>
      <c r="H634" s="32">
        <f>IF(B634="","",INDEX(Setup!$J$25:$J$84,B634)&amp;"")</f>
        <v/>
      </c>
      <c r="I634" s="32">
        <f>IF(B634="","",INDEX(Setup!$C$25:$C$84,B634))</f>
        <v/>
      </c>
      <c r="J634" s="32" t="n"/>
      <c r="K634" s="37" t="n"/>
      <c r="L634" s="38" t="n"/>
      <c r="M634" s="33" t="n"/>
      <c r="N634" s="33" t="n"/>
      <c r="O634" s="32" t="n"/>
      <c r="P634" s="34">
        <f>IF(A634="","",IF(K634&lt;&gt;"",K634,D634))</f>
        <v/>
      </c>
      <c r="Q634" s="36">
        <f>IF(A634="",0,IF(C634="✗",0,IF(OR(C634="✓",AND(Setup!$D$7="Yes",P634&lt;=TODAY())),IF(L634&lt;&gt;"",L634,F634),0)))</f>
        <v/>
      </c>
      <c r="R634" s="32">
        <f>IF(A634="","",IF(M634&lt;&gt;"",M634,G634))</f>
        <v/>
      </c>
      <c r="S634" s="32">
        <f>IF(A634="","",IF(N634&lt;&gt;"",N634,H634))</f>
        <v/>
      </c>
      <c r="T634" s="32">
        <f>IF(A634="","",IF(C634="✗","Skipped",IF(Q634&gt;0,"Paid","Upcoming")))</f>
        <v/>
      </c>
      <c r="U634" s="36">
        <f>IF(A634="",0,IF(C634="✗",0,IF(L634&lt;&gt;"",L634,F634)))</f>
        <v/>
      </c>
    </row>
    <row r="635">
      <c r="A635" s="39">
        <f>IFERROR(SMALL(Calc!$B$2:$BB$61,630),"")</f>
        <v/>
      </c>
      <c r="B635" s="39">
        <f>IF(A635="","",ROUND(MOD(A635,1)*1000,0))</f>
        <v/>
      </c>
      <c r="C635" s="33" t="n"/>
      <c r="D635" s="40">
        <f>IF(A635="","",INT(A635))</f>
        <v/>
      </c>
      <c r="E635" s="41">
        <f>IF(B635="","",INDEX(Setup!$D$25:$D$84,B635))</f>
        <v/>
      </c>
      <c r="F635" s="42">
        <f>IF(B635="","",INDEX(Setup!$E$25:$E$84,B635))</f>
        <v/>
      </c>
      <c r="G635" s="39">
        <f>IF(B635="","",INDEX(Setup!$I$25:$I$84,B635)&amp;"")</f>
        <v/>
      </c>
      <c r="H635" s="39">
        <f>IF(B635="","",INDEX(Setup!$J$25:$J$84,B635)&amp;"")</f>
        <v/>
      </c>
      <c r="I635" s="39">
        <f>IF(B635="","",INDEX(Setup!$C$25:$C$84,B635))</f>
        <v/>
      </c>
      <c r="J635" s="39" t="n"/>
      <c r="K635" s="37" t="n"/>
      <c r="L635" s="38" t="n"/>
      <c r="M635" s="33" t="n"/>
      <c r="N635" s="33" t="n"/>
      <c r="O635" s="39" t="n"/>
      <c r="P635" s="40">
        <f>IF(A635="","",IF(K635&lt;&gt;"",K635,D635))</f>
        <v/>
      </c>
      <c r="Q635" s="42">
        <f>IF(A635="",0,IF(C635="✗",0,IF(OR(C635="✓",AND(Setup!$D$7="Yes",P635&lt;=TODAY())),IF(L635&lt;&gt;"",L635,F635),0)))</f>
        <v/>
      </c>
      <c r="R635" s="39">
        <f>IF(A635="","",IF(M635&lt;&gt;"",M635,G635))</f>
        <v/>
      </c>
      <c r="S635" s="39">
        <f>IF(A635="","",IF(N635&lt;&gt;"",N635,H635))</f>
        <v/>
      </c>
      <c r="T635" s="39">
        <f>IF(A635="","",IF(C635="✗","Skipped",IF(Q635&gt;0,"Paid","Upcoming")))</f>
        <v/>
      </c>
      <c r="U635" s="42">
        <f>IF(A635="",0,IF(C635="✗",0,IF(L635&lt;&gt;"",L635,F635)))</f>
        <v/>
      </c>
    </row>
    <row r="636">
      <c r="A636" s="32">
        <f>IFERROR(SMALL(Calc!$B$2:$BB$61,631),"")</f>
        <v/>
      </c>
      <c r="B636" s="32">
        <f>IF(A636="","",ROUND(MOD(A636,1)*1000,0))</f>
        <v/>
      </c>
      <c r="C636" s="33" t="n"/>
      <c r="D636" s="34">
        <f>IF(A636="","",INT(A636))</f>
        <v/>
      </c>
      <c r="E636" s="35">
        <f>IF(B636="","",INDEX(Setup!$D$25:$D$84,B636))</f>
        <v/>
      </c>
      <c r="F636" s="36">
        <f>IF(B636="","",INDEX(Setup!$E$25:$E$84,B636))</f>
        <v/>
      </c>
      <c r="G636" s="32">
        <f>IF(B636="","",INDEX(Setup!$I$25:$I$84,B636)&amp;"")</f>
        <v/>
      </c>
      <c r="H636" s="32">
        <f>IF(B636="","",INDEX(Setup!$J$25:$J$84,B636)&amp;"")</f>
        <v/>
      </c>
      <c r="I636" s="32">
        <f>IF(B636="","",INDEX(Setup!$C$25:$C$84,B636))</f>
        <v/>
      </c>
      <c r="J636" s="32" t="n"/>
      <c r="K636" s="37" t="n"/>
      <c r="L636" s="38" t="n"/>
      <c r="M636" s="33" t="n"/>
      <c r="N636" s="33" t="n"/>
      <c r="O636" s="32" t="n"/>
      <c r="P636" s="34">
        <f>IF(A636="","",IF(K636&lt;&gt;"",K636,D636))</f>
        <v/>
      </c>
      <c r="Q636" s="36">
        <f>IF(A636="",0,IF(C636="✗",0,IF(OR(C636="✓",AND(Setup!$D$7="Yes",P636&lt;=TODAY())),IF(L636&lt;&gt;"",L636,F636),0)))</f>
        <v/>
      </c>
      <c r="R636" s="32">
        <f>IF(A636="","",IF(M636&lt;&gt;"",M636,G636))</f>
        <v/>
      </c>
      <c r="S636" s="32">
        <f>IF(A636="","",IF(N636&lt;&gt;"",N636,H636))</f>
        <v/>
      </c>
      <c r="T636" s="32">
        <f>IF(A636="","",IF(C636="✗","Skipped",IF(Q636&gt;0,"Paid","Upcoming")))</f>
        <v/>
      </c>
      <c r="U636" s="36">
        <f>IF(A636="",0,IF(C636="✗",0,IF(L636&lt;&gt;"",L636,F636)))</f>
        <v/>
      </c>
    </row>
    <row r="637">
      <c r="A637" s="39">
        <f>IFERROR(SMALL(Calc!$B$2:$BB$61,632),"")</f>
        <v/>
      </c>
      <c r="B637" s="39">
        <f>IF(A637="","",ROUND(MOD(A637,1)*1000,0))</f>
        <v/>
      </c>
      <c r="C637" s="33" t="n"/>
      <c r="D637" s="40">
        <f>IF(A637="","",INT(A637))</f>
        <v/>
      </c>
      <c r="E637" s="41">
        <f>IF(B637="","",INDEX(Setup!$D$25:$D$84,B637))</f>
        <v/>
      </c>
      <c r="F637" s="42">
        <f>IF(B637="","",INDEX(Setup!$E$25:$E$84,B637))</f>
        <v/>
      </c>
      <c r="G637" s="39">
        <f>IF(B637="","",INDEX(Setup!$I$25:$I$84,B637)&amp;"")</f>
        <v/>
      </c>
      <c r="H637" s="39">
        <f>IF(B637="","",INDEX(Setup!$J$25:$J$84,B637)&amp;"")</f>
        <v/>
      </c>
      <c r="I637" s="39">
        <f>IF(B637="","",INDEX(Setup!$C$25:$C$84,B637))</f>
        <v/>
      </c>
      <c r="J637" s="39" t="n"/>
      <c r="K637" s="37" t="n"/>
      <c r="L637" s="38" t="n"/>
      <c r="M637" s="33" t="n"/>
      <c r="N637" s="33" t="n"/>
      <c r="O637" s="39" t="n"/>
      <c r="P637" s="40">
        <f>IF(A637="","",IF(K637&lt;&gt;"",K637,D637))</f>
        <v/>
      </c>
      <c r="Q637" s="42">
        <f>IF(A637="",0,IF(C637="✗",0,IF(OR(C637="✓",AND(Setup!$D$7="Yes",P637&lt;=TODAY())),IF(L637&lt;&gt;"",L637,F637),0)))</f>
        <v/>
      </c>
      <c r="R637" s="39">
        <f>IF(A637="","",IF(M637&lt;&gt;"",M637,G637))</f>
        <v/>
      </c>
      <c r="S637" s="39">
        <f>IF(A637="","",IF(N637&lt;&gt;"",N637,H637))</f>
        <v/>
      </c>
      <c r="T637" s="39">
        <f>IF(A637="","",IF(C637="✗","Skipped",IF(Q637&gt;0,"Paid","Upcoming")))</f>
        <v/>
      </c>
      <c r="U637" s="42">
        <f>IF(A637="",0,IF(C637="✗",0,IF(L637&lt;&gt;"",L637,F637)))</f>
        <v/>
      </c>
    </row>
    <row r="638">
      <c r="A638" s="32">
        <f>IFERROR(SMALL(Calc!$B$2:$BB$61,633),"")</f>
        <v/>
      </c>
      <c r="B638" s="32">
        <f>IF(A638="","",ROUND(MOD(A638,1)*1000,0))</f>
        <v/>
      </c>
      <c r="C638" s="33" t="n"/>
      <c r="D638" s="34">
        <f>IF(A638="","",INT(A638))</f>
        <v/>
      </c>
      <c r="E638" s="35">
        <f>IF(B638="","",INDEX(Setup!$D$25:$D$84,B638))</f>
        <v/>
      </c>
      <c r="F638" s="36">
        <f>IF(B638="","",INDEX(Setup!$E$25:$E$84,B638))</f>
        <v/>
      </c>
      <c r="G638" s="32">
        <f>IF(B638="","",INDEX(Setup!$I$25:$I$84,B638)&amp;"")</f>
        <v/>
      </c>
      <c r="H638" s="32">
        <f>IF(B638="","",INDEX(Setup!$J$25:$J$84,B638)&amp;"")</f>
        <v/>
      </c>
      <c r="I638" s="32">
        <f>IF(B638="","",INDEX(Setup!$C$25:$C$84,B638))</f>
        <v/>
      </c>
      <c r="J638" s="32" t="n"/>
      <c r="K638" s="37" t="n"/>
      <c r="L638" s="38" t="n"/>
      <c r="M638" s="33" t="n"/>
      <c r="N638" s="33" t="n"/>
      <c r="O638" s="32" t="n"/>
      <c r="P638" s="34">
        <f>IF(A638="","",IF(K638&lt;&gt;"",K638,D638))</f>
        <v/>
      </c>
      <c r="Q638" s="36">
        <f>IF(A638="",0,IF(C638="✗",0,IF(OR(C638="✓",AND(Setup!$D$7="Yes",P638&lt;=TODAY())),IF(L638&lt;&gt;"",L638,F638),0)))</f>
        <v/>
      </c>
      <c r="R638" s="32">
        <f>IF(A638="","",IF(M638&lt;&gt;"",M638,G638))</f>
        <v/>
      </c>
      <c r="S638" s="32">
        <f>IF(A638="","",IF(N638&lt;&gt;"",N638,H638))</f>
        <v/>
      </c>
      <c r="T638" s="32">
        <f>IF(A638="","",IF(C638="✗","Skipped",IF(Q638&gt;0,"Paid","Upcoming")))</f>
        <v/>
      </c>
      <c r="U638" s="36">
        <f>IF(A638="",0,IF(C638="✗",0,IF(L638&lt;&gt;"",L638,F638)))</f>
        <v/>
      </c>
    </row>
    <row r="639">
      <c r="A639" s="39">
        <f>IFERROR(SMALL(Calc!$B$2:$BB$61,634),"")</f>
        <v/>
      </c>
      <c r="B639" s="39">
        <f>IF(A639="","",ROUND(MOD(A639,1)*1000,0))</f>
        <v/>
      </c>
      <c r="C639" s="33" t="n"/>
      <c r="D639" s="40">
        <f>IF(A639="","",INT(A639))</f>
        <v/>
      </c>
      <c r="E639" s="41">
        <f>IF(B639="","",INDEX(Setup!$D$25:$D$84,B639))</f>
        <v/>
      </c>
      <c r="F639" s="42">
        <f>IF(B639="","",INDEX(Setup!$E$25:$E$84,B639))</f>
        <v/>
      </c>
      <c r="G639" s="39">
        <f>IF(B639="","",INDEX(Setup!$I$25:$I$84,B639)&amp;"")</f>
        <v/>
      </c>
      <c r="H639" s="39">
        <f>IF(B639="","",INDEX(Setup!$J$25:$J$84,B639)&amp;"")</f>
        <v/>
      </c>
      <c r="I639" s="39">
        <f>IF(B639="","",INDEX(Setup!$C$25:$C$84,B639))</f>
        <v/>
      </c>
      <c r="J639" s="39" t="n"/>
      <c r="K639" s="37" t="n"/>
      <c r="L639" s="38" t="n"/>
      <c r="M639" s="33" t="n"/>
      <c r="N639" s="33" t="n"/>
      <c r="O639" s="39" t="n"/>
      <c r="P639" s="40">
        <f>IF(A639="","",IF(K639&lt;&gt;"",K639,D639))</f>
        <v/>
      </c>
      <c r="Q639" s="42">
        <f>IF(A639="",0,IF(C639="✗",0,IF(OR(C639="✓",AND(Setup!$D$7="Yes",P639&lt;=TODAY())),IF(L639&lt;&gt;"",L639,F639),0)))</f>
        <v/>
      </c>
      <c r="R639" s="39">
        <f>IF(A639="","",IF(M639&lt;&gt;"",M639,G639))</f>
        <v/>
      </c>
      <c r="S639" s="39">
        <f>IF(A639="","",IF(N639&lt;&gt;"",N639,H639))</f>
        <v/>
      </c>
      <c r="T639" s="39">
        <f>IF(A639="","",IF(C639="✗","Skipped",IF(Q639&gt;0,"Paid","Upcoming")))</f>
        <v/>
      </c>
      <c r="U639" s="42">
        <f>IF(A639="",0,IF(C639="✗",0,IF(L639&lt;&gt;"",L639,F639)))</f>
        <v/>
      </c>
    </row>
    <row r="640">
      <c r="A640" s="32">
        <f>IFERROR(SMALL(Calc!$B$2:$BB$61,635),"")</f>
        <v/>
      </c>
      <c r="B640" s="32">
        <f>IF(A640="","",ROUND(MOD(A640,1)*1000,0))</f>
        <v/>
      </c>
      <c r="C640" s="33" t="n"/>
      <c r="D640" s="34">
        <f>IF(A640="","",INT(A640))</f>
        <v/>
      </c>
      <c r="E640" s="35">
        <f>IF(B640="","",INDEX(Setup!$D$25:$D$84,B640))</f>
        <v/>
      </c>
      <c r="F640" s="36">
        <f>IF(B640="","",INDEX(Setup!$E$25:$E$84,B640))</f>
        <v/>
      </c>
      <c r="G640" s="32">
        <f>IF(B640="","",INDEX(Setup!$I$25:$I$84,B640)&amp;"")</f>
        <v/>
      </c>
      <c r="H640" s="32">
        <f>IF(B640="","",INDEX(Setup!$J$25:$J$84,B640)&amp;"")</f>
        <v/>
      </c>
      <c r="I640" s="32">
        <f>IF(B640="","",INDEX(Setup!$C$25:$C$84,B640))</f>
        <v/>
      </c>
      <c r="J640" s="32" t="n"/>
      <c r="K640" s="37" t="n"/>
      <c r="L640" s="38" t="n"/>
      <c r="M640" s="33" t="n"/>
      <c r="N640" s="33" t="n"/>
      <c r="O640" s="32" t="n"/>
      <c r="P640" s="34">
        <f>IF(A640="","",IF(K640&lt;&gt;"",K640,D640))</f>
        <v/>
      </c>
      <c r="Q640" s="36">
        <f>IF(A640="",0,IF(C640="✗",0,IF(OR(C640="✓",AND(Setup!$D$7="Yes",P640&lt;=TODAY())),IF(L640&lt;&gt;"",L640,F640),0)))</f>
        <v/>
      </c>
      <c r="R640" s="32">
        <f>IF(A640="","",IF(M640&lt;&gt;"",M640,G640))</f>
        <v/>
      </c>
      <c r="S640" s="32">
        <f>IF(A640="","",IF(N640&lt;&gt;"",N640,H640))</f>
        <v/>
      </c>
      <c r="T640" s="32">
        <f>IF(A640="","",IF(C640="✗","Skipped",IF(Q640&gt;0,"Paid","Upcoming")))</f>
        <v/>
      </c>
      <c r="U640" s="36">
        <f>IF(A640="",0,IF(C640="✗",0,IF(L640&lt;&gt;"",L640,F640)))</f>
        <v/>
      </c>
    </row>
    <row r="641">
      <c r="A641" s="39">
        <f>IFERROR(SMALL(Calc!$B$2:$BB$61,636),"")</f>
        <v/>
      </c>
      <c r="B641" s="39">
        <f>IF(A641="","",ROUND(MOD(A641,1)*1000,0))</f>
        <v/>
      </c>
      <c r="C641" s="33" t="n"/>
      <c r="D641" s="40">
        <f>IF(A641="","",INT(A641))</f>
        <v/>
      </c>
      <c r="E641" s="41">
        <f>IF(B641="","",INDEX(Setup!$D$25:$D$84,B641))</f>
        <v/>
      </c>
      <c r="F641" s="42">
        <f>IF(B641="","",INDEX(Setup!$E$25:$E$84,B641))</f>
        <v/>
      </c>
      <c r="G641" s="39">
        <f>IF(B641="","",INDEX(Setup!$I$25:$I$84,B641)&amp;"")</f>
        <v/>
      </c>
      <c r="H641" s="39">
        <f>IF(B641="","",INDEX(Setup!$J$25:$J$84,B641)&amp;"")</f>
        <v/>
      </c>
      <c r="I641" s="39">
        <f>IF(B641="","",INDEX(Setup!$C$25:$C$84,B641))</f>
        <v/>
      </c>
      <c r="J641" s="39" t="n"/>
      <c r="K641" s="37" t="n"/>
      <c r="L641" s="38" t="n"/>
      <c r="M641" s="33" t="n"/>
      <c r="N641" s="33" t="n"/>
      <c r="O641" s="39" t="n"/>
      <c r="P641" s="40">
        <f>IF(A641="","",IF(K641&lt;&gt;"",K641,D641))</f>
        <v/>
      </c>
      <c r="Q641" s="42">
        <f>IF(A641="",0,IF(C641="✗",0,IF(OR(C641="✓",AND(Setup!$D$7="Yes",P641&lt;=TODAY())),IF(L641&lt;&gt;"",L641,F641),0)))</f>
        <v/>
      </c>
      <c r="R641" s="39">
        <f>IF(A641="","",IF(M641&lt;&gt;"",M641,G641))</f>
        <v/>
      </c>
      <c r="S641" s="39">
        <f>IF(A641="","",IF(N641&lt;&gt;"",N641,H641))</f>
        <v/>
      </c>
      <c r="T641" s="39">
        <f>IF(A641="","",IF(C641="✗","Skipped",IF(Q641&gt;0,"Paid","Upcoming")))</f>
        <v/>
      </c>
      <c r="U641" s="42">
        <f>IF(A641="",0,IF(C641="✗",0,IF(L641&lt;&gt;"",L641,F641)))</f>
        <v/>
      </c>
    </row>
    <row r="642">
      <c r="A642" s="32">
        <f>IFERROR(SMALL(Calc!$B$2:$BB$61,637),"")</f>
        <v/>
      </c>
      <c r="B642" s="32">
        <f>IF(A642="","",ROUND(MOD(A642,1)*1000,0))</f>
        <v/>
      </c>
      <c r="C642" s="33" t="n"/>
      <c r="D642" s="34">
        <f>IF(A642="","",INT(A642))</f>
        <v/>
      </c>
      <c r="E642" s="35">
        <f>IF(B642="","",INDEX(Setup!$D$25:$D$84,B642))</f>
        <v/>
      </c>
      <c r="F642" s="36">
        <f>IF(B642="","",INDEX(Setup!$E$25:$E$84,B642))</f>
        <v/>
      </c>
      <c r="G642" s="32">
        <f>IF(B642="","",INDEX(Setup!$I$25:$I$84,B642)&amp;"")</f>
        <v/>
      </c>
      <c r="H642" s="32">
        <f>IF(B642="","",INDEX(Setup!$J$25:$J$84,B642)&amp;"")</f>
        <v/>
      </c>
      <c r="I642" s="32">
        <f>IF(B642="","",INDEX(Setup!$C$25:$C$84,B642))</f>
        <v/>
      </c>
      <c r="J642" s="32" t="n"/>
      <c r="K642" s="37" t="n"/>
      <c r="L642" s="38" t="n"/>
      <c r="M642" s="33" t="n"/>
      <c r="N642" s="33" t="n"/>
      <c r="O642" s="32" t="n"/>
      <c r="P642" s="34">
        <f>IF(A642="","",IF(K642&lt;&gt;"",K642,D642))</f>
        <v/>
      </c>
      <c r="Q642" s="36">
        <f>IF(A642="",0,IF(C642="✗",0,IF(OR(C642="✓",AND(Setup!$D$7="Yes",P642&lt;=TODAY())),IF(L642&lt;&gt;"",L642,F642),0)))</f>
        <v/>
      </c>
      <c r="R642" s="32">
        <f>IF(A642="","",IF(M642&lt;&gt;"",M642,G642))</f>
        <v/>
      </c>
      <c r="S642" s="32">
        <f>IF(A642="","",IF(N642&lt;&gt;"",N642,H642))</f>
        <v/>
      </c>
      <c r="T642" s="32">
        <f>IF(A642="","",IF(C642="✗","Skipped",IF(Q642&gt;0,"Paid","Upcoming")))</f>
        <v/>
      </c>
      <c r="U642" s="36">
        <f>IF(A642="",0,IF(C642="✗",0,IF(L642&lt;&gt;"",L642,F642)))</f>
        <v/>
      </c>
    </row>
    <row r="643">
      <c r="A643" s="39">
        <f>IFERROR(SMALL(Calc!$B$2:$BB$61,638),"")</f>
        <v/>
      </c>
      <c r="B643" s="39">
        <f>IF(A643="","",ROUND(MOD(A643,1)*1000,0))</f>
        <v/>
      </c>
      <c r="C643" s="33" t="n"/>
      <c r="D643" s="40">
        <f>IF(A643="","",INT(A643))</f>
        <v/>
      </c>
      <c r="E643" s="41">
        <f>IF(B643="","",INDEX(Setup!$D$25:$D$84,B643))</f>
        <v/>
      </c>
      <c r="F643" s="42">
        <f>IF(B643="","",INDEX(Setup!$E$25:$E$84,B643))</f>
        <v/>
      </c>
      <c r="G643" s="39">
        <f>IF(B643="","",INDEX(Setup!$I$25:$I$84,B643)&amp;"")</f>
        <v/>
      </c>
      <c r="H643" s="39">
        <f>IF(B643="","",INDEX(Setup!$J$25:$J$84,B643)&amp;"")</f>
        <v/>
      </c>
      <c r="I643" s="39">
        <f>IF(B643="","",INDEX(Setup!$C$25:$C$84,B643))</f>
        <v/>
      </c>
      <c r="J643" s="39" t="n"/>
      <c r="K643" s="37" t="n"/>
      <c r="L643" s="38" t="n"/>
      <c r="M643" s="33" t="n"/>
      <c r="N643" s="33" t="n"/>
      <c r="O643" s="39" t="n"/>
      <c r="P643" s="40">
        <f>IF(A643="","",IF(K643&lt;&gt;"",K643,D643))</f>
        <v/>
      </c>
      <c r="Q643" s="42">
        <f>IF(A643="",0,IF(C643="✗",0,IF(OR(C643="✓",AND(Setup!$D$7="Yes",P643&lt;=TODAY())),IF(L643&lt;&gt;"",L643,F643),0)))</f>
        <v/>
      </c>
      <c r="R643" s="39">
        <f>IF(A643="","",IF(M643&lt;&gt;"",M643,G643))</f>
        <v/>
      </c>
      <c r="S643" s="39">
        <f>IF(A643="","",IF(N643&lt;&gt;"",N643,H643))</f>
        <v/>
      </c>
      <c r="T643" s="39">
        <f>IF(A643="","",IF(C643="✗","Skipped",IF(Q643&gt;0,"Paid","Upcoming")))</f>
        <v/>
      </c>
      <c r="U643" s="42">
        <f>IF(A643="",0,IF(C643="✗",0,IF(L643&lt;&gt;"",L643,F643)))</f>
        <v/>
      </c>
    </row>
    <row r="644">
      <c r="A644" s="32">
        <f>IFERROR(SMALL(Calc!$B$2:$BB$61,639),"")</f>
        <v/>
      </c>
      <c r="B644" s="32">
        <f>IF(A644="","",ROUND(MOD(A644,1)*1000,0))</f>
        <v/>
      </c>
      <c r="C644" s="33" t="n"/>
      <c r="D644" s="34">
        <f>IF(A644="","",INT(A644))</f>
        <v/>
      </c>
      <c r="E644" s="35">
        <f>IF(B644="","",INDEX(Setup!$D$25:$D$84,B644))</f>
        <v/>
      </c>
      <c r="F644" s="36">
        <f>IF(B644="","",INDEX(Setup!$E$25:$E$84,B644))</f>
        <v/>
      </c>
      <c r="G644" s="32">
        <f>IF(B644="","",INDEX(Setup!$I$25:$I$84,B644)&amp;"")</f>
        <v/>
      </c>
      <c r="H644" s="32">
        <f>IF(B644="","",INDEX(Setup!$J$25:$J$84,B644)&amp;"")</f>
        <v/>
      </c>
      <c r="I644" s="32">
        <f>IF(B644="","",INDEX(Setup!$C$25:$C$84,B644))</f>
        <v/>
      </c>
      <c r="J644" s="32" t="n"/>
      <c r="K644" s="37" t="n"/>
      <c r="L644" s="38" t="n"/>
      <c r="M644" s="33" t="n"/>
      <c r="N644" s="33" t="n"/>
      <c r="O644" s="32" t="n"/>
      <c r="P644" s="34">
        <f>IF(A644="","",IF(K644&lt;&gt;"",K644,D644))</f>
        <v/>
      </c>
      <c r="Q644" s="36">
        <f>IF(A644="",0,IF(C644="✗",0,IF(OR(C644="✓",AND(Setup!$D$7="Yes",P644&lt;=TODAY())),IF(L644&lt;&gt;"",L644,F644),0)))</f>
        <v/>
      </c>
      <c r="R644" s="32">
        <f>IF(A644="","",IF(M644&lt;&gt;"",M644,G644))</f>
        <v/>
      </c>
      <c r="S644" s="32">
        <f>IF(A644="","",IF(N644&lt;&gt;"",N644,H644))</f>
        <v/>
      </c>
      <c r="T644" s="32">
        <f>IF(A644="","",IF(C644="✗","Skipped",IF(Q644&gt;0,"Paid","Upcoming")))</f>
        <v/>
      </c>
      <c r="U644" s="36">
        <f>IF(A644="",0,IF(C644="✗",0,IF(L644&lt;&gt;"",L644,F644)))</f>
        <v/>
      </c>
    </row>
    <row r="645">
      <c r="A645" s="39">
        <f>IFERROR(SMALL(Calc!$B$2:$BB$61,640),"")</f>
        <v/>
      </c>
      <c r="B645" s="39">
        <f>IF(A645="","",ROUND(MOD(A645,1)*1000,0))</f>
        <v/>
      </c>
      <c r="C645" s="33" t="n"/>
      <c r="D645" s="40">
        <f>IF(A645="","",INT(A645))</f>
        <v/>
      </c>
      <c r="E645" s="41">
        <f>IF(B645="","",INDEX(Setup!$D$25:$D$84,B645))</f>
        <v/>
      </c>
      <c r="F645" s="42">
        <f>IF(B645="","",INDEX(Setup!$E$25:$E$84,B645))</f>
        <v/>
      </c>
      <c r="G645" s="39">
        <f>IF(B645="","",INDEX(Setup!$I$25:$I$84,B645)&amp;"")</f>
        <v/>
      </c>
      <c r="H645" s="39">
        <f>IF(B645="","",INDEX(Setup!$J$25:$J$84,B645)&amp;"")</f>
        <v/>
      </c>
      <c r="I645" s="39">
        <f>IF(B645="","",INDEX(Setup!$C$25:$C$84,B645))</f>
        <v/>
      </c>
      <c r="J645" s="39" t="n"/>
      <c r="K645" s="37" t="n"/>
      <c r="L645" s="38" t="n"/>
      <c r="M645" s="33" t="n"/>
      <c r="N645" s="33" t="n"/>
      <c r="O645" s="39" t="n"/>
      <c r="P645" s="40">
        <f>IF(A645="","",IF(K645&lt;&gt;"",K645,D645))</f>
        <v/>
      </c>
      <c r="Q645" s="42">
        <f>IF(A645="",0,IF(C645="✗",0,IF(OR(C645="✓",AND(Setup!$D$7="Yes",P645&lt;=TODAY())),IF(L645&lt;&gt;"",L645,F645),0)))</f>
        <v/>
      </c>
      <c r="R645" s="39">
        <f>IF(A645="","",IF(M645&lt;&gt;"",M645,G645))</f>
        <v/>
      </c>
      <c r="S645" s="39">
        <f>IF(A645="","",IF(N645&lt;&gt;"",N645,H645))</f>
        <v/>
      </c>
      <c r="T645" s="39">
        <f>IF(A645="","",IF(C645="✗","Skipped",IF(Q645&gt;0,"Paid","Upcoming")))</f>
        <v/>
      </c>
      <c r="U645" s="42">
        <f>IF(A645="",0,IF(C645="✗",0,IF(L645&lt;&gt;"",L645,F645)))</f>
        <v/>
      </c>
    </row>
    <row r="646">
      <c r="A646" s="32">
        <f>IFERROR(SMALL(Calc!$B$2:$BB$61,641),"")</f>
        <v/>
      </c>
      <c r="B646" s="32">
        <f>IF(A646="","",ROUND(MOD(A646,1)*1000,0))</f>
        <v/>
      </c>
      <c r="C646" s="33" t="n"/>
      <c r="D646" s="34">
        <f>IF(A646="","",INT(A646))</f>
        <v/>
      </c>
      <c r="E646" s="35">
        <f>IF(B646="","",INDEX(Setup!$D$25:$D$84,B646))</f>
        <v/>
      </c>
      <c r="F646" s="36">
        <f>IF(B646="","",INDEX(Setup!$E$25:$E$84,B646))</f>
        <v/>
      </c>
      <c r="G646" s="32">
        <f>IF(B646="","",INDEX(Setup!$I$25:$I$84,B646)&amp;"")</f>
        <v/>
      </c>
      <c r="H646" s="32">
        <f>IF(B646="","",INDEX(Setup!$J$25:$J$84,B646)&amp;"")</f>
        <v/>
      </c>
      <c r="I646" s="32">
        <f>IF(B646="","",INDEX(Setup!$C$25:$C$84,B646))</f>
        <v/>
      </c>
      <c r="J646" s="32" t="n"/>
      <c r="K646" s="37" t="n"/>
      <c r="L646" s="38" t="n"/>
      <c r="M646" s="33" t="n"/>
      <c r="N646" s="33" t="n"/>
      <c r="O646" s="32" t="n"/>
      <c r="P646" s="34">
        <f>IF(A646="","",IF(K646&lt;&gt;"",K646,D646))</f>
        <v/>
      </c>
      <c r="Q646" s="36">
        <f>IF(A646="",0,IF(C646="✗",0,IF(OR(C646="✓",AND(Setup!$D$7="Yes",P646&lt;=TODAY())),IF(L646&lt;&gt;"",L646,F646),0)))</f>
        <v/>
      </c>
      <c r="R646" s="32">
        <f>IF(A646="","",IF(M646&lt;&gt;"",M646,G646))</f>
        <v/>
      </c>
      <c r="S646" s="32">
        <f>IF(A646="","",IF(N646&lt;&gt;"",N646,H646))</f>
        <v/>
      </c>
      <c r="T646" s="32">
        <f>IF(A646="","",IF(C646="✗","Skipped",IF(Q646&gt;0,"Paid","Upcoming")))</f>
        <v/>
      </c>
      <c r="U646" s="36">
        <f>IF(A646="",0,IF(C646="✗",0,IF(L646&lt;&gt;"",L646,F646)))</f>
        <v/>
      </c>
    </row>
    <row r="647">
      <c r="A647" s="39">
        <f>IFERROR(SMALL(Calc!$B$2:$BB$61,642),"")</f>
        <v/>
      </c>
      <c r="B647" s="39">
        <f>IF(A647="","",ROUND(MOD(A647,1)*1000,0))</f>
        <v/>
      </c>
      <c r="C647" s="33" t="n"/>
      <c r="D647" s="40">
        <f>IF(A647="","",INT(A647))</f>
        <v/>
      </c>
      <c r="E647" s="41">
        <f>IF(B647="","",INDEX(Setup!$D$25:$D$84,B647))</f>
        <v/>
      </c>
      <c r="F647" s="42">
        <f>IF(B647="","",INDEX(Setup!$E$25:$E$84,B647))</f>
        <v/>
      </c>
      <c r="G647" s="39">
        <f>IF(B647="","",INDEX(Setup!$I$25:$I$84,B647)&amp;"")</f>
        <v/>
      </c>
      <c r="H647" s="39">
        <f>IF(B647="","",INDEX(Setup!$J$25:$J$84,B647)&amp;"")</f>
        <v/>
      </c>
      <c r="I647" s="39">
        <f>IF(B647="","",INDEX(Setup!$C$25:$C$84,B647))</f>
        <v/>
      </c>
      <c r="J647" s="39" t="n"/>
      <c r="K647" s="37" t="n"/>
      <c r="L647" s="38" t="n"/>
      <c r="M647" s="33" t="n"/>
      <c r="N647" s="33" t="n"/>
      <c r="O647" s="39" t="n"/>
      <c r="P647" s="40">
        <f>IF(A647="","",IF(K647&lt;&gt;"",K647,D647))</f>
        <v/>
      </c>
      <c r="Q647" s="42">
        <f>IF(A647="",0,IF(C647="✗",0,IF(OR(C647="✓",AND(Setup!$D$7="Yes",P647&lt;=TODAY())),IF(L647&lt;&gt;"",L647,F647),0)))</f>
        <v/>
      </c>
      <c r="R647" s="39">
        <f>IF(A647="","",IF(M647&lt;&gt;"",M647,G647))</f>
        <v/>
      </c>
      <c r="S647" s="39">
        <f>IF(A647="","",IF(N647&lt;&gt;"",N647,H647))</f>
        <v/>
      </c>
      <c r="T647" s="39">
        <f>IF(A647="","",IF(C647="✗","Skipped",IF(Q647&gt;0,"Paid","Upcoming")))</f>
        <v/>
      </c>
      <c r="U647" s="42">
        <f>IF(A647="",0,IF(C647="✗",0,IF(L647&lt;&gt;"",L647,F647)))</f>
        <v/>
      </c>
    </row>
    <row r="648">
      <c r="A648" s="32">
        <f>IFERROR(SMALL(Calc!$B$2:$BB$61,643),"")</f>
        <v/>
      </c>
      <c r="B648" s="32">
        <f>IF(A648="","",ROUND(MOD(A648,1)*1000,0))</f>
        <v/>
      </c>
      <c r="C648" s="33" t="n"/>
      <c r="D648" s="34">
        <f>IF(A648="","",INT(A648))</f>
        <v/>
      </c>
      <c r="E648" s="35">
        <f>IF(B648="","",INDEX(Setup!$D$25:$D$84,B648))</f>
        <v/>
      </c>
      <c r="F648" s="36">
        <f>IF(B648="","",INDEX(Setup!$E$25:$E$84,B648))</f>
        <v/>
      </c>
      <c r="G648" s="32">
        <f>IF(B648="","",INDEX(Setup!$I$25:$I$84,B648)&amp;"")</f>
        <v/>
      </c>
      <c r="H648" s="32">
        <f>IF(B648="","",INDEX(Setup!$J$25:$J$84,B648)&amp;"")</f>
        <v/>
      </c>
      <c r="I648" s="32">
        <f>IF(B648="","",INDEX(Setup!$C$25:$C$84,B648))</f>
        <v/>
      </c>
      <c r="J648" s="32" t="n"/>
      <c r="K648" s="37" t="n"/>
      <c r="L648" s="38" t="n"/>
      <c r="M648" s="33" t="n"/>
      <c r="N648" s="33" t="n"/>
      <c r="O648" s="32" t="n"/>
      <c r="P648" s="34">
        <f>IF(A648="","",IF(K648&lt;&gt;"",K648,D648))</f>
        <v/>
      </c>
      <c r="Q648" s="36">
        <f>IF(A648="",0,IF(C648="✗",0,IF(OR(C648="✓",AND(Setup!$D$7="Yes",P648&lt;=TODAY())),IF(L648&lt;&gt;"",L648,F648),0)))</f>
        <v/>
      </c>
      <c r="R648" s="32">
        <f>IF(A648="","",IF(M648&lt;&gt;"",M648,G648))</f>
        <v/>
      </c>
      <c r="S648" s="32">
        <f>IF(A648="","",IF(N648&lt;&gt;"",N648,H648))</f>
        <v/>
      </c>
      <c r="T648" s="32">
        <f>IF(A648="","",IF(C648="✗","Skipped",IF(Q648&gt;0,"Paid","Upcoming")))</f>
        <v/>
      </c>
      <c r="U648" s="36">
        <f>IF(A648="",0,IF(C648="✗",0,IF(L648&lt;&gt;"",L648,F648)))</f>
        <v/>
      </c>
    </row>
    <row r="649">
      <c r="A649" s="39">
        <f>IFERROR(SMALL(Calc!$B$2:$BB$61,644),"")</f>
        <v/>
      </c>
      <c r="B649" s="39">
        <f>IF(A649="","",ROUND(MOD(A649,1)*1000,0))</f>
        <v/>
      </c>
      <c r="C649" s="33" t="n"/>
      <c r="D649" s="40">
        <f>IF(A649="","",INT(A649))</f>
        <v/>
      </c>
      <c r="E649" s="41">
        <f>IF(B649="","",INDEX(Setup!$D$25:$D$84,B649))</f>
        <v/>
      </c>
      <c r="F649" s="42">
        <f>IF(B649="","",INDEX(Setup!$E$25:$E$84,B649))</f>
        <v/>
      </c>
      <c r="G649" s="39">
        <f>IF(B649="","",INDEX(Setup!$I$25:$I$84,B649)&amp;"")</f>
        <v/>
      </c>
      <c r="H649" s="39">
        <f>IF(B649="","",INDEX(Setup!$J$25:$J$84,B649)&amp;"")</f>
        <v/>
      </c>
      <c r="I649" s="39">
        <f>IF(B649="","",INDEX(Setup!$C$25:$C$84,B649))</f>
        <v/>
      </c>
      <c r="J649" s="39" t="n"/>
      <c r="K649" s="37" t="n"/>
      <c r="L649" s="38" t="n"/>
      <c r="M649" s="33" t="n"/>
      <c r="N649" s="33" t="n"/>
      <c r="O649" s="39" t="n"/>
      <c r="P649" s="40">
        <f>IF(A649="","",IF(K649&lt;&gt;"",K649,D649))</f>
        <v/>
      </c>
      <c r="Q649" s="42">
        <f>IF(A649="",0,IF(C649="✗",0,IF(OR(C649="✓",AND(Setup!$D$7="Yes",P649&lt;=TODAY())),IF(L649&lt;&gt;"",L649,F649),0)))</f>
        <v/>
      </c>
      <c r="R649" s="39">
        <f>IF(A649="","",IF(M649&lt;&gt;"",M649,G649))</f>
        <v/>
      </c>
      <c r="S649" s="39">
        <f>IF(A649="","",IF(N649&lt;&gt;"",N649,H649))</f>
        <v/>
      </c>
      <c r="T649" s="39">
        <f>IF(A649="","",IF(C649="✗","Skipped",IF(Q649&gt;0,"Paid","Upcoming")))</f>
        <v/>
      </c>
      <c r="U649" s="42">
        <f>IF(A649="",0,IF(C649="✗",0,IF(L649&lt;&gt;"",L649,F649)))</f>
        <v/>
      </c>
    </row>
    <row r="650">
      <c r="A650" s="32">
        <f>IFERROR(SMALL(Calc!$B$2:$BB$61,645),"")</f>
        <v/>
      </c>
      <c r="B650" s="32">
        <f>IF(A650="","",ROUND(MOD(A650,1)*1000,0))</f>
        <v/>
      </c>
      <c r="C650" s="33" t="n"/>
      <c r="D650" s="34">
        <f>IF(A650="","",INT(A650))</f>
        <v/>
      </c>
      <c r="E650" s="35">
        <f>IF(B650="","",INDEX(Setup!$D$25:$D$84,B650))</f>
        <v/>
      </c>
      <c r="F650" s="36">
        <f>IF(B650="","",INDEX(Setup!$E$25:$E$84,B650))</f>
        <v/>
      </c>
      <c r="G650" s="32">
        <f>IF(B650="","",INDEX(Setup!$I$25:$I$84,B650)&amp;"")</f>
        <v/>
      </c>
      <c r="H650" s="32">
        <f>IF(B650="","",INDEX(Setup!$J$25:$J$84,B650)&amp;"")</f>
        <v/>
      </c>
      <c r="I650" s="32">
        <f>IF(B650="","",INDEX(Setup!$C$25:$C$84,B650))</f>
        <v/>
      </c>
      <c r="J650" s="32" t="n"/>
      <c r="K650" s="37" t="n"/>
      <c r="L650" s="38" t="n"/>
      <c r="M650" s="33" t="n"/>
      <c r="N650" s="33" t="n"/>
      <c r="O650" s="32" t="n"/>
      <c r="P650" s="34">
        <f>IF(A650="","",IF(K650&lt;&gt;"",K650,D650))</f>
        <v/>
      </c>
      <c r="Q650" s="36">
        <f>IF(A650="",0,IF(C650="✗",0,IF(OR(C650="✓",AND(Setup!$D$7="Yes",P650&lt;=TODAY())),IF(L650&lt;&gt;"",L650,F650),0)))</f>
        <v/>
      </c>
      <c r="R650" s="32">
        <f>IF(A650="","",IF(M650&lt;&gt;"",M650,G650))</f>
        <v/>
      </c>
      <c r="S650" s="32">
        <f>IF(A650="","",IF(N650&lt;&gt;"",N650,H650))</f>
        <v/>
      </c>
      <c r="T650" s="32">
        <f>IF(A650="","",IF(C650="✗","Skipped",IF(Q650&gt;0,"Paid","Upcoming")))</f>
        <v/>
      </c>
      <c r="U650" s="36">
        <f>IF(A650="",0,IF(C650="✗",0,IF(L650&lt;&gt;"",L650,F650)))</f>
        <v/>
      </c>
    </row>
    <row r="651">
      <c r="A651" s="39">
        <f>IFERROR(SMALL(Calc!$B$2:$BB$61,646),"")</f>
        <v/>
      </c>
      <c r="B651" s="39">
        <f>IF(A651="","",ROUND(MOD(A651,1)*1000,0))</f>
        <v/>
      </c>
      <c r="C651" s="33" t="n"/>
      <c r="D651" s="40">
        <f>IF(A651="","",INT(A651))</f>
        <v/>
      </c>
      <c r="E651" s="41">
        <f>IF(B651="","",INDEX(Setup!$D$25:$D$84,B651))</f>
        <v/>
      </c>
      <c r="F651" s="42">
        <f>IF(B651="","",INDEX(Setup!$E$25:$E$84,B651))</f>
        <v/>
      </c>
      <c r="G651" s="39">
        <f>IF(B651="","",INDEX(Setup!$I$25:$I$84,B651)&amp;"")</f>
        <v/>
      </c>
      <c r="H651" s="39">
        <f>IF(B651="","",INDEX(Setup!$J$25:$J$84,B651)&amp;"")</f>
        <v/>
      </c>
      <c r="I651" s="39">
        <f>IF(B651="","",INDEX(Setup!$C$25:$C$84,B651))</f>
        <v/>
      </c>
      <c r="J651" s="39" t="n"/>
      <c r="K651" s="37" t="n"/>
      <c r="L651" s="38" t="n"/>
      <c r="M651" s="33" t="n"/>
      <c r="N651" s="33" t="n"/>
      <c r="O651" s="39" t="n"/>
      <c r="P651" s="40">
        <f>IF(A651="","",IF(K651&lt;&gt;"",K651,D651))</f>
        <v/>
      </c>
      <c r="Q651" s="42">
        <f>IF(A651="",0,IF(C651="✗",0,IF(OR(C651="✓",AND(Setup!$D$7="Yes",P651&lt;=TODAY())),IF(L651&lt;&gt;"",L651,F651),0)))</f>
        <v/>
      </c>
      <c r="R651" s="39">
        <f>IF(A651="","",IF(M651&lt;&gt;"",M651,G651))</f>
        <v/>
      </c>
      <c r="S651" s="39">
        <f>IF(A651="","",IF(N651&lt;&gt;"",N651,H651))</f>
        <v/>
      </c>
      <c r="T651" s="39">
        <f>IF(A651="","",IF(C651="✗","Skipped",IF(Q651&gt;0,"Paid","Upcoming")))</f>
        <v/>
      </c>
      <c r="U651" s="42">
        <f>IF(A651="",0,IF(C651="✗",0,IF(L651&lt;&gt;"",L651,F651)))</f>
        <v/>
      </c>
    </row>
    <row r="652">
      <c r="A652" s="32">
        <f>IFERROR(SMALL(Calc!$B$2:$BB$61,647),"")</f>
        <v/>
      </c>
      <c r="B652" s="32">
        <f>IF(A652="","",ROUND(MOD(A652,1)*1000,0))</f>
        <v/>
      </c>
      <c r="C652" s="33" t="n"/>
      <c r="D652" s="34">
        <f>IF(A652="","",INT(A652))</f>
        <v/>
      </c>
      <c r="E652" s="35">
        <f>IF(B652="","",INDEX(Setup!$D$25:$D$84,B652))</f>
        <v/>
      </c>
      <c r="F652" s="36">
        <f>IF(B652="","",INDEX(Setup!$E$25:$E$84,B652))</f>
        <v/>
      </c>
      <c r="G652" s="32">
        <f>IF(B652="","",INDEX(Setup!$I$25:$I$84,B652)&amp;"")</f>
        <v/>
      </c>
      <c r="H652" s="32">
        <f>IF(B652="","",INDEX(Setup!$J$25:$J$84,B652)&amp;"")</f>
        <v/>
      </c>
      <c r="I652" s="32">
        <f>IF(B652="","",INDEX(Setup!$C$25:$C$84,B652))</f>
        <v/>
      </c>
      <c r="J652" s="32" t="n"/>
      <c r="K652" s="37" t="n"/>
      <c r="L652" s="38" t="n"/>
      <c r="M652" s="33" t="n"/>
      <c r="N652" s="33" t="n"/>
      <c r="O652" s="32" t="n"/>
      <c r="P652" s="34">
        <f>IF(A652="","",IF(K652&lt;&gt;"",K652,D652))</f>
        <v/>
      </c>
      <c r="Q652" s="36">
        <f>IF(A652="",0,IF(C652="✗",0,IF(OR(C652="✓",AND(Setup!$D$7="Yes",P652&lt;=TODAY())),IF(L652&lt;&gt;"",L652,F652),0)))</f>
        <v/>
      </c>
      <c r="R652" s="32">
        <f>IF(A652="","",IF(M652&lt;&gt;"",M652,G652))</f>
        <v/>
      </c>
      <c r="S652" s="32">
        <f>IF(A652="","",IF(N652&lt;&gt;"",N652,H652))</f>
        <v/>
      </c>
      <c r="T652" s="32">
        <f>IF(A652="","",IF(C652="✗","Skipped",IF(Q652&gt;0,"Paid","Upcoming")))</f>
        <v/>
      </c>
      <c r="U652" s="36">
        <f>IF(A652="",0,IF(C652="✗",0,IF(L652&lt;&gt;"",L652,F652)))</f>
        <v/>
      </c>
    </row>
    <row r="653">
      <c r="A653" s="39">
        <f>IFERROR(SMALL(Calc!$B$2:$BB$61,648),"")</f>
        <v/>
      </c>
      <c r="B653" s="39">
        <f>IF(A653="","",ROUND(MOD(A653,1)*1000,0))</f>
        <v/>
      </c>
      <c r="C653" s="33" t="n"/>
      <c r="D653" s="40">
        <f>IF(A653="","",INT(A653))</f>
        <v/>
      </c>
      <c r="E653" s="41">
        <f>IF(B653="","",INDEX(Setup!$D$25:$D$84,B653))</f>
        <v/>
      </c>
      <c r="F653" s="42">
        <f>IF(B653="","",INDEX(Setup!$E$25:$E$84,B653))</f>
        <v/>
      </c>
      <c r="G653" s="39">
        <f>IF(B653="","",INDEX(Setup!$I$25:$I$84,B653)&amp;"")</f>
        <v/>
      </c>
      <c r="H653" s="39">
        <f>IF(B653="","",INDEX(Setup!$J$25:$J$84,B653)&amp;"")</f>
        <v/>
      </c>
      <c r="I653" s="39">
        <f>IF(B653="","",INDEX(Setup!$C$25:$C$84,B653))</f>
        <v/>
      </c>
      <c r="J653" s="39" t="n"/>
      <c r="K653" s="37" t="n"/>
      <c r="L653" s="38" t="n"/>
      <c r="M653" s="33" t="n"/>
      <c r="N653" s="33" t="n"/>
      <c r="O653" s="39" t="n"/>
      <c r="P653" s="40">
        <f>IF(A653="","",IF(K653&lt;&gt;"",K653,D653))</f>
        <v/>
      </c>
      <c r="Q653" s="42">
        <f>IF(A653="",0,IF(C653="✗",0,IF(OR(C653="✓",AND(Setup!$D$7="Yes",P653&lt;=TODAY())),IF(L653&lt;&gt;"",L653,F653),0)))</f>
        <v/>
      </c>
      <c r="R653" s="39">
        <f>IF(A653="","",IF(M653&lt;&gt;"",M653,G653))</f>
        <v/>
      </c>
      <c r="S653" s="39">
        <f>IF(A653="","",IF(N653&lt;&gt;"",N653,H653))</f>
        <v/>
      </c>
      <c r="T653" s="39">
        <f>IF(A653="","",IF(C653="✗","Skipped",IF(Q653&gt;0,"Paid","Upcoming")))</f>
        <v/>
      </c>
      <c r="U653" s="42">
        <f>IF(A653="",0,IF(C653="✗",0,IF(L653&lt;&gt;"",L653,F653)))</f>
        <v/>
      </c>
    </row>
    <row r="654">
      <c r="A654" s="32">
        <f>IFERROR(SMALL(Calc!$B$2:$BB$61,649),"")</f>
        <v/>
      </c>
      <c r="B654" s="32">
        <f>IF(A654="","",ROUND(MOD(A654,1)*1000,0))</f>
        <v/>
      </c>
      <c r="C654" s="33" t="n"/>
      <c r="D654" s="34">
        <f>IF(A654="","",INT(A654))</f>
        <v/>
      </c>
      <c r="E654" s="35">
        <f>IF(B654="","",INDEX(Setup!$D$25:$D$84,B654))</f>
        <v/>
      </c>
      <c r="F654" s="36">
        <f>IF(B654="","",INDEX(Setup!$E$25:$E$84,B654))</f>
        <v/>
      </c>
      <c r="G654" s="32">
        <f>IF(B654="","",INDEX(Setup!$I$25:$I$84,B654)&amp;"")</f>
        <v/>
      </c>
      <c r="H654" s="32">
        <f>IF(B654="","",INDEX(Setup!$J$25:$J$84,B654)&amp;"")</f>
        <v/>
      </c>
      <c r="I654" s="32">
        <f>IF(B654="","",INDEX(Setup!$C$25:$C$84,B654))</f>
        <v/>
      </c>
      <c r="J654" s="32" t="n"/>
      <c r="K654" s="37" t="n"/>
      <c r="L654" s="38" t="n"/>
      <c r="M654" s="33" t="n"/>
      <c r="N654" s="33" t="n"/>
      <c r="O654" s="32" t="n"/>
      <c r="P654" s="34">
        <f>IF(A654="","",IF(K654&lt;&gt;"",K654,D654))</f>
        <v/>
      </c>
      <c r="Q654" s="36">
        <f>IF(A654="",0,IF(C654="✗",0,IF(OR(C654="✓",AND(Setup!$D$7="Yes",P654&lt;=TODAY())),IF(L654&lt;&gt;"",L654,F654),0)))</f>
        <v/>
      </c>
      <c r="R654" s="32">
        <f>IF(A654="","",IF(M654&lt;&gt;"",M654,G654))</f>
        <v/>
      </c>
      <c r="S654" s="32">
        <f>IF(A654="","",IF(N654&lt;&gt;"",N654,H654))</f>
        <v/>
      </c>
      <c r="T654" s="32">
        <f>IF(A654="","",IF(C654="✗","Skipped",IF(Q654&gt;0,"Paid","Upcoming")))</f>
        <v/>
      </c>
      <c r="U654" s="36">
        <f>IF(A654="",0,IF(C654="✗",0,IF(L654&lt;&gt;"",L654,F654)))</f>
        <v/>
      </c>
    </row>
    <row r="655">
      <c r="A655" s="39">
        <f>IFERROR(SMALL(Calc!$B$2:$BB$61,650),"")</f>
        <v/>
      </c>
      <c r="B655" s="39">
        <f>IF(A655="","",ROUND(MOD(A655,1)*1000,0))</f>
        <v/>
      </c>
      <c r="C655" s="33" t="n"/>
      <c r="D655" s="40">
        <f>IF(A655="","",INT(A655))</f>
        <v/>
      </c>
      <c r="E655" s="41">
        <f>IF(B655="","",INDEX(Setup!$D$25:$D$84,B655))</f>
        <v/>
      </c>
      <c r="F655" s="42">
        <f>IF(B655="","",INDEX(Setup!$E$25:$E$84,B655))</f>
        <v/>
      </c>
      <c r="G655" s="39">
        <f>IF(B655="","",INDEX(Setup!$I$25:$I$84,B655)&amp;"")</f>
        <v/>
      </c>
      <c r="H655" s="39">
        <f>IF(B655="","",INDEX(Setup!$J$25:$J$84,B655)&amp;"")</f>
        <v/>
      </c>
      <c r="I655" s="39">
        <f>IF(B655="","",INDEX(Setup!$C$25:$C$84,B655))</f>
        <v/>
      </c>
      <c r="J655" s="39" t="n"/>
      <c r="K655" s="37" t="n"/>
      <c r="L655" s="38" t="n"/>
      <c r="M655" s="33" t="n"/>
      <c r="N655" s="33" t="n"/>
      <c r="O655" s="39" t="n"/>
      <c r="P655" s="40">
        <f>IF(A655="","",IF(K655&lt;&gt;"",K655,D655))</f>
        <v/>
      </c>
      <c r="Q655" s="42">
        <f>IF(A655="",0,IF(C655="✗",0,IF(OR(C655="✓",AND(Setup!$D$7="Yes",P655&lt;=TODAY())),IF(L655&lt;&gt;"",L655,F655),0)))</f>
        <v/>
      </c>
      <c r="R655" s="39">
        <f>IF(A655="","",IF(M655&lt;&gt;"",M655,G655))</f>
        <v/>
      </c>
      <c r="S655" s="39">
        <f>IF(A655="","",IF(N655&lt;&gt;"",N655,H655))</f>
        <v/>
      </c>
      <c r="T655" s="39">
        <f>IF(A655="","",IF(C655="✗","Skipped",IF(Q655&gt;0,"Paid","Upcoming")))</f>
        <v/>
      </c>
      <c r="U655" s="42">
        <f>IF(A655="",0,IF(C655="✗",0,IF(L655&lt;&gt;"",L655,F655)))</f>
        <v/>
      </c>
    </row>
    <row r="656">
      <c r="A656" s="32">
        <f>IFERROR(SMALL(Calc!$B$2:$BB$61,651),"")</f>
        <v/>
      </c>
      <c r="B656" s="32">
        <f>IF(A656="","",ROUND(MOD(A656,1)*1000,0))</f>
        <v/>
      </c>
      <c r="C656" s="33" t="n"/>
      <c r="D656" s="34">
        <f>IF(A656="","",INT(A656))</f>
        <v/>
      </c>
      <c r="E656" s="35">
        <f>IF(B656="","",INDEX(Setup!$D$25:$D$84,B656))</f>
        <v/>
      </c>
      <c r="F656" s="36">
        <f>IF(B656="","",INDEX(Setup!$E$25:$E$84,B656))</f>
        <v/>
      </c>
      <c r="G656" s="32">
        <f>IF(B656="","",INDEX(Setup!$I$25:$I$84,B656)&amp;"")</f>
        <v/>
      </c>
      <c r="H656" s="32">
        <f>IF(B656="","",INDEX(Setup!$J$25:$J$84,B656)&amp;"")</f>
        <v/>
      </c>
      <c r="I656" s="32">
        <f>IF(B656="","",INDEX(Setup!$C$25:$C$84,B656))</f>
        <v/>
      </c>
      <c r="J656" s="32" t="n"/>
      <c r="K656" s="37" t="n"/>
      <c r="L656" s="38" t="n"/>
      <c r="M656" s="33" t="n"/>
      <c r="N656" s="33" t="n"/>
      <c r="O656" s="32" t="n"/>
      <c r="P656" s="34">
        <f>IF(A656="","",IF(K656&lt;&gt;"",K656,D656))</f>
        <v/>
      </c>
      <c r="Q656" s="36">
        <f>IF(A656="",0,IF(C656="✗",0,IF(OR(C656="✓",AND(Setup!$D$7="Yes",P656&lt;=TODAY())),IF(L656&lt;&gt;"",L656,F656),0)))</f>
        <v/>
      </c>
      <c r="R656" s="32">
        <f>IF(A656="","",IF(M656&lt;&gt;"",M656,G656))</f>
        <v/>
      </c>
      <c r="S656" s="32">
        <f>IF(A656="","",IF(N656&lt;&gt;"",N656,H656))</f>
        <v/>
      </c>
      <c r="T656" s="32">
        <f>IF(A656="","",IF(C656="✗","Skipped",IF(Q656&gt;0,"Paid","Upcoming")))</f>
        <v/>
      </c>
      <c r="U656" s="36">
        <f>IF(A656="",0,IF(C656="✗",0,IF(L656&lt;&gt;"",L656,F656)))</f>
        <v/>
      </c>
    </row>
    <row r="657">
      <c r="A657" s="39">
        <f>IFERROR(SMALL(Calc!$B$2:$BB$61,652),"")</f>
        <v/>
      </c>
      <c r="B657" s="39">
        <f>IF(A657="","",ROUND(MOD(A657,1)*1000,0))</f>
        <v/>
      </c>
      <c r="C657" s="33" t="n"/>
      <c r="D657" s="40">
        <f>IF(A657="","",INT(A657))</f>
        <v/>
      </c>
      <c r="E657" s="41">
        <f>IF(B657="","",INDEX(Setup!$D$25:$D$84,B657))</f>
        <v/>
      </c>
      <c r="F657" s="42">
        <f>IF(B657="","",INDEX(Setup!$E$25:$E$84,B657))</f>
        <v/>
      </c>
      <c r="G657" s="39">
        <f>IF(B657="","",INDEX(Setup!$I$25:$I$84,B657)&amp;"")</f>
        <v/>
      </c>
      <c r="H657" s="39">
        <f>IF(B657="","",INDEX(Setup!$J$25:$J$84,B657)&amp;"")</f>
        <v/>
      </c>
      <c r="I657" s="39">
        <f>IF(B657="","",INDEX(Setup!$C$25:$C$84,B657))</f>
        <v/>
      </c>
      <c r="J657" s="39" t="n"/>
      <c r="K657" s="37" t="n"/>
      <c r="L657" s="38" t="n"/>
      <c r="M657" s="33" t="n"/>
      <c r="N657" s="33" t="n"/>
      <c r="O657" s="39" t="n"/>
      <c r="P657" s="40">
        <f>IF(A657="","",IF(K657&lt;&gt;"",K657,D657))</f>
        <v/>
      </c>
      <c r="Q657" s="42">
        <f>IF(A657="",0,IF(C657="✗",0,IF(OR(C657="✓",AND(Setup!$D$7="Yes",P657&lt;=TODAY())),IF(L657&lt;&gt;"",L657,F657),0)))</f>
        <v/>
      </c>
      <c r="R657" s="39">
        <f>IF(A657="","",IF(M657&lt;&gt;"",M657,G657))</f>
        <v/>
      </c>
      <c r="S657" s="39">
        <f>IF(A657="","",IF(N657&lt;&gt;"",N657,H657))</f>
        <v/>
      </c>
      <c r="T657" s="39">
        <f>IF(A657="","",IF(C657="✗","Skipped",IF(Q657&gt;0,"Paid","Upcoming")))</f>
        <v/>
      </c>
      <c r="U657" s="42">
        <f>IF(A657="",0,IF(C657="✗",0,IF(L657&lt;&gt;"",L657,F657)))</f>
        <v/>
      </c>
    </row>
    <row r="658">
      <c r="A658" s="32">
        <f>IFERROR(SMALL(Calc!$B$2:$BB$61,653),"")</f>
        <v/>
      </c>
      <c r="B658" s="32">
        <f>IF(A658="","",ROUND(MOD(A658,1)*1000,0))</f>
        <v/>
      </c>
      <c r="C658" s="33" t="n"/>
      <c r="D658" s="34">
        <f>IF(A658="","",INT(A658))</f>
        <v/>
      </c>
      <c r="E658" s="35">
        <f>IF(B658="","",INDEX(Setup!$D$25:$D$84,B658))</f>
        <v/>
      </c>
      <c r="F658" s="36">
        <f>IF(B658="","",INDEX(Setup!$E$25:$E$84,B658))</f>
        <v/>
      </c>
      <c r="G658" s="32">
        <f>IF(B658="","",INDEX(Setup!$I$25:$I$84,B658)&amp;"")</f>
        <v/>
      </c>
      <c r="H658" s="32">
        <f>IF(B658="","",INDEX(Setup!$J$25:$J$84,B658)&amp;"")</f>
        <v/>
      </c>
      <c r="I658" s="32">
        <f>IF(B658="","",INDEX(Setup!$C$25:$C$84,B658))</f>
        <v/>
      </c>
      <c r="J658" s="32" t="n"/>
      <c r="K658" s="37" t="n"/>
      <c r="L658" s="38" t="n"/>
      <c r="M658" s="33" t="n"/>
      <c r="N658" s="33" t="n"/>
      <c r="O658" s="32" t="n"/>
      <c r="P658" s="34">
        <f>IF(A658="","",IF(K658&lt;&gt;"",K658,D658))</f>
        <v/>
      </c>
      <c r="Q658" s="36">
        <f>IF(A658="",0,IF(C658="✗",0,IF(OR(C658="✓",AND(Setup!$D$7="Yes",P658&lt;=TODAY())),IF(L658&lt;&gt;"",L658,F658),0)))</f>
        <v/>
      </c>
      <c r="R658" s="32">
        <f>IF(A658="","",IF(M658&lt;&gt;"",M658,G658))</f>
        <v/>
      </c>
      <c r="S658" s="32">
        <f>IF(A658="","",IF(N658&lt;&gt;"",N658,H658))</f>
        <v/>
      </c>
      <c r="T658" s="32">
        <f>IF(A658="","",IF(C658="✗","Skipped",IF(Q658&gt;0,"Paid","Upcoming")))</f>
        <v/>
      </c>
      <c r="U658" s="36">
        <f>IF(A658="",0,IF(C658="✗",0,IF(L658&lt;&gt;"",L658,F658)))</f>
        <v/>
      </c>
    </row>
    <row r="659">
      <c r="A659" s="39">
        <f>IFERROR(SMALL(Calc!$B$2:$BB$61,654),"")</f>
        <v/>
      </c>
      <c r="B659" s="39">
        <f>IF(A659="","",ROUND(MOD(A659,1)*1000,0))</f>
        <v/>
      </c>
      <c r="C659" s="33" t="n"/>
      <c r="D659" s="40">
        <f>IF(A659="","",INT(A659))</f>
        <v/>
      </c>
      <c r="E659" s="41">
        <f>IF(B659="","",INDEX(Setup!$D$25:$D$84,B659))</f>
        <v/>
      </c>
      <c r="F659" s="42">
        <f>IF(B659="","",INDEX(Setup!$E$25:$E$84,B659))</f>
        <v/>
      </c>
      <c r="G659" s="39">
        <f>IF(B659="","",INDEX(Setup!$I$25:$I$84,B659)&amp;"")</f>
        <v/>
      </c>
      <c r="H659" s="39">
        <f>IF(B659="","",INDEX(Setup!$J$25:$J$84,B659)&amp;"")</f>
        <v/>
      </c>
      <c r="I659" s="39">
        <f>IF(B659="","",INDEX(Setup!$C$25:$C$84,B659))</f>
        <v/>
      </c>
      <c r="J659" s="39" t="n"/>
      <c r="K659" s="37" t="n"/>
      <c r="L659" s="38" t="n"/>
      <c r="M659" s="33" t="n"/>
      <c r="N659" s="33" t="n"/>
      <c r="O659" s="39" t="n"/>
      <c r="P659" s="40">
        <f>IF(A659="","",IF(K659&lt;&gt;"",K659,D659))</f>
        <v/>
      </c>
      <c r="Q659" s="42">
        <f>IF(A659="",0,IF(C659="✗",0,IF(OR(C659="✓",AND(Setup!$D$7="Yes",P659&lt;=TODAY())),IF(L659&lt;&gt;"",L659,F659),0)))</f>
        <v/>
      </c>
      <c r="R659" s="39">
        <f>IF(A659="","",IF(M659&lt;&gt;"",M659,G659))</f>
        <v/>
      </c>
      <c r="S659" s="39">
        <f>IF(A659="","",IF(N659&lt;&gt;"",N659,H659))</f>
        <v/>
      </c>
      <c r="T659" s="39">
        <f>IF(A659="","",IF(C659="✗","Skipped",IF(Q659&gt;0,"Paid","Upcoming")))</f>
        <v/>
      </c>
      <c r="U659" s="42">
        <f>IF(A659="",0,IF(C659="✗",0,IF(L659&lt;&gt;"",L659,F659)))</f>
        <v/>
      </c>
    </row>
    <row r="660">
      <c r="A660" s="32">
        <f>IFERROR(SMALL(Calc!$B$2:$BB$61,655),"")</f>
        <v/>
      </c>
      <c r="B660" s="32">
        <f>IF(A660="","",ROUND(MOD(A660,1)*1000,0))</f>
        <v/>
      </c>
      <c r="C660" s="33" t="n"/>
      <c r="D660" s="34">
        <f>IF(A660="","",INT(A660))</f>
        <v/>
      </c>
      <c r="E660" s="35">
        <f>IF(B660="","",INDEX(Setup!$D$25:$D$84,B660))</f>
        <v/>
      </c>
      <c r="F660" s="36">
        <f>IF(B660="","",INDEX(Setup!$E$25:$E$84,B660))</f>
        <v/>
      </c>
      <c r="G660" s="32">
        <f>IF(B660="","",INDEX(Setup!$I$25:$I$84,B660)&amp;"")</f>
        <v/>
      </c>
      <c r="H660" s="32">
        <f>IF(B660="","",INDEX(Setup!$J$25:$J$84,B660)&amp;"")</f>
        <v/>
      </c>
      <c r="I660" s="32">
        <f>IF(B660="","",INDEX(Setup!$C$25:$C$84,B660))</f>
        <v/>
      </c>
      <c r="J660" s="32" t="n"/>
      <c r="K660" s="37" t="n"/>
      <c r="L660" s="38" t="n"/>
      <c r="M660" s="33" t="n"/>
      <c r="N660" s="33" t="n"/>
      <c r="O660" s="32" t="n"/>
      <c r="P660" s="34">
        <f>IF(A660="","",IF(K660&lt;&gt;"",K660,D660))</f>
        <v/>
      </c>
      <c r="Q660" s="36">
        <f>IF(A660="",0,IF(C660="✗",0,IF(OR(C660="✓",AND(Setup!$D$7="Yes",P660&lt;=TODAY())),IF(L660&lt;&gt;"",L660,F660),0)))</f>
        <v/>
      </c>
      <c r="R660" s="32">
        <f>IF(A660="","",IF(M660&lt;&gt;"",M660,G660))</f>
        <v/>
      </c>
      <c r="S660" s="32">
        <f>IF(A660="","",IF(N660&lt;&gt;"",N660,H660))</f>
        <v/>
      </c>
      <c r="T660" s="32">
        <f>IF(A660="","",IF(C660="✗","Skipped",IF(Q660&gt;0,"Paid","Upcoming")))</f>
        <v/>
      </c>
      <c r="U660" s="36">
        <f>IF(A660="",0,IF(C660="✗",0,IF(L660&lt;&gt;"",L660,F660)))</f>
        <v/>
      </c>
    </row>
    <row r="661">
      <c r="A661" s="39">
        <f>IFERROR(SMALL(Calc!$B$2:$BB$61,656),"")</f>
        <v/>
      </c>
      <c r="B661" s="39">
        <f>IF(A661="","",ROUND(MOD(A661,1)*1000,0))</f>
        <v/>
      </c>
      <c r="C661" s="33" t="n"/>
      <c r="D661" s="40">
        <f>IF(A661="","",INT(A661))</f>
        <v/>
      </c>
      <c r="E661" s="41">
        <f>IF(B661="","",INDEX(Setup!$D$25:$D$84,B661))</f>
        <v/>
      </c>
      <c r="F661" s="42">
        <f>IF(B661="","",INDEX(Setup!$E$25:$E$84,B661))</f>
        <v/>
      </c>
      <c r="G661" s="39">
        <f>IF(B661="","",INDEX(Setup!$I$25:$I$84,B661)&amp;"")</f>
        <v/>
      </c>
      <c r="H661" s="39">
        <f>IF(B661="","",INDEX(Setup!$J$25:$J$84,B661)&amp;"")</f>
        <v/>
      </c>
      <c r="I661" s="39">
        <f>IF(B661="","",INDEX(Setup!$C$25:$C$84,B661))</f>
        <v/>
      </c>
      <c r="J661" s="39" t="n"/>
      <c r="K661" s="37" t="n"/>
      <c r="L661" s="38" t="n"/>
      <c r="M661" s="33" t="n"/>
      <c r="N661" s="33" t="n"/>
      <c r="O661" s="39" t="n"/>
      <c r="P661" s="40">
        <f>IF(A661="","",IF(K661&lt;&gt;"",K661,D661))</f>
        <v/>
      </c>
      <c r="Q661" s="42">
        <f>IF(A661="",0,IF(C661="✗",0,IF(OR(C661="✓",AND(Setup!$D$7="Yes",P661&lt;=TODAY())),IF(L661&lt;&gt;"",L661,F661),0)))</f>
        <v/>
      </c>
      <c r="R661" s="39">
        <f>IF(A661="","",IF(M661&lt;&gt;"",M661,G661))</f>
        <v/>
      </c>
      <c r="S661" s="39">
        <f>IF(A661="","",IF(N661&lt;&gt;"",N661,H661))</f>
        <v/>
      </c>
      <c r="T661" s="39">
        <f>IF(A661="","",IF(C661="✗","Skipped",IF(Q661&gt;0,"Paid","Upcoming")))</f>
        <v/>
      </c>
      <c r="U661" s="42">
        <f>IF(A661="",0,IF(C661="✗",0,IF(L661&lt;&gt;"",L661,F661)))</f>
        <v/>
      </c>
    </row>
    <row r="662">
      <c r="A662" s="32">
        <f>IFERROR(SMALL(Calc!$B$2:$BB$61,657),"")</f>
        <v/>
      </c>
      <c r="B662" s="32">
        <f>IF(A662="","",ROUND(MOD(A662,1)*1000,0))</f>
        <v/>
      </c>
      <c r="C662" s="33" t="n"/>
      <c r="D662" s="34">
        <f>IF(A662="","",INT(A662))</f>
        <v/>
      </c>
      <c r="E662" s="35">
        <f>IF(B662="","",INDEX(Setup!$D$25:$D$84,B662))</f>
        <v/>
      </c>
      <c r="F662" s="36">
        <f>IF(B662="","",INDEX(Setup!$E$25:$E$84,B662))</f>
        <v/>
      </c>
      <c r="G662" s="32">
        <f>IF(B662="","",INDEX(Setup!$I$25:$I$84,B662)&amp;"")</f>
        <v/>
      </c>
      <c r="H662" s="32">
        <f>IF(B662="","",INDEX(Setup!$J$25:$J$84,B662)&amp;"")</f>
        <v/>
      </c>
      <c r="I662" s="32">
        <f>IF(B662="","",INDEX(Setup!$C$25:$C$84,B662))</f>
        <v/>
      </c>
      <c r="J662" s="32" t="n"/>
      <c r="K662" s="37" t="n"/>
      <c r="L662" s="38" t="n"/>
      <c r="M662" s="33" t="n"/>
      <c r="N662" s="33" t="n"/>
      <c r="O662" s="32" t="n"/>
      <c r="P662" s="34">
        <f>IF(A662="","",IF(K662&lt;&gt;"",K662,D662))</f>
        <v/>
      </c>
      <c r="Q662" s="36">
        <f>IF(A662="",0,IF(C662="✗",0,IF(OR(C662="✓",AND(Setup!$D$7="Yes",P662&lt;=TODAY())),IF(L662&lt;&gt;"",L662,F662),0)))</f>
        <v/>
      </c>
      <c r="R662" s="32">
        <f>IF(A662="","",IF(M662&lt;&gt;"",M662,G662))</f>
        <v/>
      </c>
      <c r="S662" s="32">
        <f>IF(A662="","",IF(N662&lt;&gt;"",N662,H662))</f>
        <v/>
      </c>
      <c r="T662" s="32">
        <f>IF(A662="","",IF(C662="✗","Skipped",IF(Q662&gt;0,"Paid","Upcoming")))</f>
        <v/>
      </c>
      <c r="U662" s="36">
        <f>IF(A662="",0,IF(C662="✗",0,IF(L662&lt;&gt;"",L662,F662)))</f>
        <v/>
      </c>
    </row>
    <row r="663">
      <c r="A663" s="39">
        <f>IFERROR(SMALL(Calc!$B$2:$BB$61,658),"")</f>
        <v/>
      </c>
      <c r="B663" s="39">
        <f>IF(A663="","",ROUND(MOD(A663,1)*1000,0))</f>
        <v/>
      </c>
      <c r="C663" s="33" t="n"/>
      <c r="D663" s="40">
        <f>IF(A663="","",INT(A663))</f>
        <v/>
      </c>
      <c r="E663" s="41">
        <f>IF(B663="","",INDEX(Setup!$D$25:$D$84,B663))</f>
        <v/>
      </c>
      <c r="F663" s="42">
        <f>IF(B663="","",INDEX(Setup!$E$25:$E$84,B663))</f>
        <v/>
      </c>
      <c r="G663" s="39">
        <f>IF(B663="","",INDEX(Setup!$I$25:$I$84,B663)&amp;"")</f>
        <v/>
      </c>
      <c r="H663" s="39">
        <f>IF(B663="","",INDEX(Setup!$J$25:$J$84,B663)&amp;"")</f>
        <v/>
      </c>
      <c r="I663" s="39">
        <f>IF(B663="","",INDEX(Setup!$C$25:$C$84,B663))</f>
        <v/>
      </c>
      <c r="J663" s="39" t="n"/>
      <c r="K663" s="37" t="n"/>
      <c r="L663" s="38" t="n"/>
      <c r="M663" s="33" t="n"/>
      <c r="N663" s="33" t="n"/>
      <c r="O663" s="39" t="n"/>
      <c r="P663" s="40">
        <f>IF(A663="","",IF(K663&lt;&gt;"",K663,D663))</f>
        <v/>
      </c>
      <c r="Q663" s="42">
        <f>IF(A663="",0,IF(C663="✗",0,IF(OR(C663="✓",AND(Setup!$D$7="Yes",P663&lt;=TODAY())),IF(L663&lt;&gt;"",L663,F663),0)))</f>
        <v/>
      </c>
      <c r="R663" s="39">
        <f>IF(A663="","",IF(M663&lt;&gt;"",M663,G663))</f>
        <v/>
      </c>
      <c r="S663" s="39">
        <f>IF(A663="","",IF(N663&lt;&gt;"",N663,H663))</f>
        <v/>
      </c>
      <c r="T663" s="39">
        <f>IF(A663="","",IF(C663="✗","Skipped",IF(Q663&gt;0,"Paid","Upcoming")))</f>
        <v/>
      </c>
      <c r="U663" s="42">
        <f>IF(A663="",0,IF(C663="✗",0,IF(L663&lt;&gt;"",L663,F663)))</f>
        <v/>
      </c>
    </row>
    <row r="664">
      <c r="A664" s="32">
        <f>IFERROR(SMALL(Calc!$B$2:$BB$61,659),"")</f>
        <v/>
      </c>
      <c r="B664" s="32">
        <f>IF(A664="","",ROUND(MOD(A664,1)*1000,0))</f>
        <v/>
      </c>
      <c r="C664" s="33" t="n"/>
      <c r="D664" s="34">
        <f>IF(A664="","",INT(A664))</f>
        <v/>
      </c>
      <c r="E664" s="35">
        <f>IF(B664="","",INDEX(Setup!$D$25:$D$84,B664))</f>
        <v/>
      </c>
      <c r="F664" s="36">
        <f>IF(B664="","",INDEX(Setup!$E$25:$E$84,B664))</f>
        <v/>
      </c>
      <c r="G664" s="32">
        <f>IF(B664="","",INDEX(Setup!$I$25:$I$84,B664)&amp;"")</f>
        <v/>
      </c>
      <c r="H664" s="32">
        <f>IF(B664="","",INDEX(Setup!$J$25:$J$84,B664)&amp;"")</f>
        <v/>
      </c>
      <c r="I664" s="32">
        <f>IF(B664="","",INDEX(Setup!$C$25:$C$84,B664))</f>
        <v/>
      </c>
      <c r="J664" s="32" t="n"/>
      <c r="K664" s="37" t="n"/>
      <c r="L664" s="38" t="n"/>
      <c r="M664" s="33" t="n"/>
      <c r="N664" s="33" t="n"/>
      <c r="O664" s="32" t="n"/>
      <c r="P664" s="34">
        <f>IF(A664="","",IF(K664&lt;&gt;"",K664,D664))</f>
        <v/>
      </c>
      <c r="Q664" s="36">
        <f>IF(A664="",0,IF(C664="✗",0,IF(OR(C664="✓",AND(Setup!$D$7="Yes",P664&lt;=TODAY())),IF(L664&lt;&gt;"",L664,F664),0)))</f>
        <v/>
      </c>
      <c r="R664" s="32">
        <f>IF(A664="","",IF(M664&lt;&gt;"",M664,G664))</f>
        <v/>
      </c>
      <c r="S664" s="32">
        <f>IF(A664="","",IF(N664&lt;&gt;"",N664,H664))</f>
        <v/>
      </c>
      <c r="T664" s="32">
        <f>IF(A664="","",IF(C664="✗","Skipped",IF(Q664&gt;0,"Paid","Upcoming")))</f>
        <v/>
      </c>
      <c r="U664" s="36">
        <f>IF(A664="",0,IF(C664="✗",0,IF(L664&lt;&gt;"",L664,F664)))</f>
        <v/>
      </c>
    </row>
    <row r="665">
      <c r="A665" s="39">
        <f>IFERROR(SMALL(Calc!$B$2:$BB$61,660),"")</f>
        <v/>
      </c>
      <c r="B665" s="39">
        <f>IF(A665="","",ROUND(MOD(A665,1)*1000,0))</f>
        <v/>
      </c>
      <c r="C665" s="33" t="n"/>
      <c r="D665" s="40">
        <f>IF(A665="","",INT(A665))</f>
        <v/>
      </c>
      <c r="E665" s="41">
        <f>IF(B665="","",INDEX(Setup!$D$25:$D$84,B665))</f>
        <v/>
      </c>
      <c r="F665" s="42">
        <f>IF(B665="","",INDEX(Setup!$E$25:$E$84,B665))</f>
        <v/>
      </c>
      <c r="G665" s="39">
        <f>IF(B665="","",INDEX(Setup!$I$25:$I$84,B665)&amp;"")</f>
        <v/>
      </c>
      <c r="H665" s="39">
        <f>IF(B665="","",INDEX(Setup!$J$25:$J$84,B665)&amp;"")</f>
        <v/>
      </c>
      <c r="I665" s="39">
        <f>IF(B665="","",INDEX(Setup!$C$25:$C$84,B665))</f>
        <v/>
      </c>
      <c r="J665" s="39" t="n"/>
      <c r="K665" s="37" t="n"/>
      <c r="L665" s="38" t="n"/>
      <c r="M665" s="33" t="n"/>
      <c r="N665" s="33" t="n"/>
      <c r="O665" s="39" t="n"/>
      <c r="P665" s="40">
        <f>IF(A665="","",IF(K665&lt;&gt;"",K665,D665))</f>
        <v/>
      </c>
      <c r="Q665" s="42">
        <f>IF(A665="",0,IF(C665="✗",0,IF(OR(C665="✓",AND(Setup!$D$7="Yes",P665&lt;=TODAY())),IF(L665&lt;&gt;"",L665,F665),0)))</f>
        <v/>
      </c>
      <c r="R665" s="39">
        <f>IF(A665="","",IF(M665&lt;&gt;"",M665,G665))</f>
        <v/>
      </c>
      <c r="S665" s="39">
        <f>IF(A665="","",IF(N665&lt;&gt;"",N665,H665))</f>
        <v/>
      </c>
      <c r="T665" s="39">
        <f>IF(A665="","",IF(C665="✗","Skipped",IF(Q665&gt;0,"Paid","Upcoming")))</f>
        <v/>
      </c>
      <c r="U665" s="42">
        <f>IF(A665="",0,IF(C665="✗",0,IF(L665&lt;&gt;"",L665,F665)))</f>
        <v/>
      </c>
    </row>
    <row r="666">
      <c r="A666" s="32">
        <f>IFERROR(SMALL(Calc!$B$2:$BB$61,661),"")</f>
        <v/>
      </c>
      <c r="B666" s="32">
        <f>IF(A666="","",ROUND(MOD(A666,1)*1000,0))</f>
        <v/>
      </c>
      <c r="C666" s="33" t="n"/>
      <c r="D666" s="34">
        <f>IF(A666="","",INT(A666))</f>
        <v/>
      </c>
      <c r="E666" s="35">
        <f>IF(B666="","",INDEX(Setup!$D$25:$D$84,B666))</f>
        <v/>
      </c>
      <c r="F666" s="36">
        <f>IF(B666="","",INDEX(Setup!$E$25:$E$84,B666))</f>
        <v/>
      </c>
      <c r="G666" s="32">
        <f>IF(B666="","",INDEX(Setup!$I$25:$I$84,B666)&amp;"")</f>
        <v/>
      </c>
      <c r="H666" s="32">
        <f>IF(B666="","",INDEX(Setup!$J$25:$J$84,B666)&amp;"")</f>
        <v/>
      </c>
      <c r="I666" s="32">
        <f>IF(B666="","",INDEX(Setup!$C$25:$C$84,B666))</f>
        <v/>
      </c>
      <c r="J666" s="32" t="n"/>
      <c r="K666" s="37" t="n"/>
      <c r="L666" s="38" t="n"/>
      <c r="M666" s="33" t="n"/>
      <c r="N666" s="33" t="n"/>
      <c r="O666" s="32" t="n"/>
      <c r="P666" s="34">
        <f>IF(A666="","",IF(K666&lt;&gt;"",K666,D666))</f>
        <v/>
      </c>
      <c r="Q666" s="36">
        <f>IF(A666="",0,IF(C666="✗",0,IF(OR(C666="✓",AND(Setup!$D$7="Yes",P666&lt;=TODAY())),IF(L666&lt;&gt;"",L666,F666),0)))</f>
        <v/>
      </c>
      <c r="R666" s="32">
        <f>IF(A666="","",IF(M666&lt;&gt;"",M666,G666))</f>
        <v/>
      </c>
      <c r="S666" s="32">
        <f>IF(A666="","",IF(N666&lt;&gt;"",N666,H666))</f>
        <v/>
      </c>
      <c r="T666" s="32">
        <f>IF(A666="","",IF(C666="✗","Skipped",IF(Q666&gt;0,"Paid","Upcoming")))</f>
        <v/>
      </c>
      <c r="U666" s="36">
        <f>IF(A666="",0,IF(C666="✗",0,IF(L666&lt;&gt;"",L666,F666)))</f>
        <v/>
      </c>
    </row>
    <row r="667">
      <c r="A667" s="39">
        <f>IFERROR(SMALL(Calc!$B$2:$BB$61,662),"")</f>
        <v/>
      </c>
      <c r="B667" s="39">
        <f>IF(A667="","",ROUND(MOD(A667,1)*1000,0))</f>
        <v/>
      </c>
      <c r="C667" s="33" t="n"/>
      <c r="D667" s="40">
        <f>IF(A667="","",INT(A667))</f>
        <v/>
      </c>
      <c r="E667" s="41">
        <f>IF(B667="","",INDEX(Setup!$D$25:$D$84,B667))</f>
        <v/>
      </c>
      <c r="F667" s="42">
        <f>IF(B667="","",INDEX(Setup!$E$25:$E$84,B667))</f>
        <v/>
      </c>
      <c r="G667" s="39">
        <f>IF(B667="","",INDEX(Setup!$I$25:$I$84,B667)&amp;"")</f>
        <v/>
      </c>
      <c r="H667" s="39">
        <f>IF(B667="","",INDEX(Setup!$J$25:$J$84,B667)&amp;"")</f>
        <v/>
      </c>
      <c r="I667" s="39">
        <f>IF(B667="","",INDEX(Setup!$C$25:$C$84,B667))</f>
        <v/>
      </c>
      <c r="J667" s="39" t="n"/>
      <c r="K667" s="37" t="n"/>
      <c r="L667" s="38" t="n"/>
      <c r="M667" s="33" t="n"/>
      <c r="N667" s="33" t="n"/>
      <c r="O667" s="39" t="n"/>
      <c r="P667" s="40">
        <f>IF(A667="","",IF(K667&lt;&gt;"",K667,D667))</f>
        <v/>
      </c>
      <c r="Q667" s="42">
        <f>IF(A667="",0,IF(C667="✗",0,IF(OR(C667="✓",AND(Setup!$D$7="Yes",P667&lt;=TODAY())),IF(L667&lt;&gt;"",L667,F667),0)))</f>
        <v/>
      </c>
      <c r="R667" s="39">
        <f>IF(A667="","",IF(M667&lt;&gt;"",M667,G667))</f>
        <v/>
      </c>
      <c r="S667" s="39">
        <f>IF(A667="","",IF(N667&lt;&gt;"",N667,H667))</f>
        <v/>
      </c>
      <c r="T667" s="39">
        <f>IF(A667="","",IF(C667="✗","Skipped",IF(Q667&gt;0,"Paid","Upcoming")))</f>
        <v/>
      </c>
      <c r="U667" s="42">
        <f>IF(A667="",0,IF(C667="✗",0,IF(L667&lt;&gt;"",L667,F667)))</f>
        <v/>
      </c>
    </row>
    <row r="668">
      <c r="A668" s="32">
        <f>IFERROR(SMALL(Calc!$B$2:$BB$61,663),"")</f>
        <v/>
      </c>
      <c r="B668" s="32">
        <f>IF(A668="","",ROUND(MOD(A668,1)*1000,0))</f>
        <v/>
      </c>
      <c r="C668" s="33" t="n"/>
      <c r="D668" s="34">
        <f>IF(A668="","",INT(A668))</f>
        <v/>
      </c>
      <c r="E668" s="35">
        <f>IF(B668="","",INDEX(Setup!$D$25:$D$84,B668))</f>
        <v/>
      </c>
      <c r="F668" s="36">
        <f>IF(B668="","",INDEX(Setup!$E$25:$E$84,B668))</f>
        <v/>
      </c>
      <c r="G668" s="32">
        <f>IF(B668="","",INDEX(Setup!$I$25:$I$84,B668)&amp;"")</f>
        <v/>
      </c>
      <c r="H668" s="32">
        <f>IF(B668="","",INDEX(Setup!$J$25:$J$84,B668)&amp;"")</f>
        <v/>
      </c>
      <c r="I668" s="32">
        <f>IF(B668="","",INDEX(Setup!$C$25:$C$84,B668))</f>
        <v/>
      </c>
      <c r="J668" s="32" t="n"/>
      <c r="K668" s="37" t="n"/>
      <c r="L668" s="38" t="n"/>
      <c r="M668" s="33" t="n"/>
      <c r="N668" s="33" t="n"/>
      <c r="O668" s="32" t="n"/>
      <c r="P668" s="34">
        <f>IF(A668="","",IF(K668&lt;&gt;"",K668,D668))</f>
        <v/>
      </c>
      <c r="Q668" s="36">
        <f>IF(A668="",0,IF(C668="✗",0,IF(OR(C668="✓",AND(Setup!$D$7="Yes",P668&lt;=TODAY())),IF(L668&lt;&gt;"",L668,F668),0)))</f>
        <v/>
      </c>
      <c r="R668" s="32">
        <f>IF(A668="","",IF(M668&lt;&gt;"",M668,G668))</f>
        <v/>
      </c>
      <c r="S668" s="32">
        <f>IF(A668="","",IF(N668&lt;&gt;"",N668,H668))</f>
        <v/>
      </c>
      <c r="T668" s="32">
        <f>IF(A668="","",IF(C668="✗","Skipped",IF(Q668&gt;0,"Paid","Upcoming")))</f>
        <v/>
      </c>
      <c r="U668" s="36">
        <f>IF(A668="",0,IF(C668="✗",0,IF(L668&lt;&gt;"",L668,F668)))</f>
        <v/>
      </c>
    </row>
    <row r="669">
      <c r="A669" s="39">
        <f>IFERROR(SMALL(Calc!$B$2:$BB$61,664),"")</f>
        <v/>
      </c>
      <c r="B669" s="39">
        <f>IF(A669="","",ROUND(MOD(A669,1)*1000,0))</f>
        <v/>
      </c>
      <c r="C669" s="33" t="n"/>
      <c r="D669" s="40">
        <f>IF(A669="","",INT(A669))</f>
        <v/>
      </c>
      <c r="E669" s="41">
        <f>IF(B669="","",INDEX(Setup!$D$25:$D$84,B669))</f>
        <v/>
      </c>
      <c r="F669" s="42">
        <f>IF(B669="","",INDEX(Setup!$E$25:$E$84,B669))</f>
        <v/>
      </c>
      <c r="G669" s="39">
        <f>IF(B669="","",INDEX(Setup!$I$25:$I$84,B669)&amp;"")</f>
        <v/>
      </c>
      <c r="H669" s="39">
        <f>IF(B669="","",INDEX(Setup!$J$25:$J$84,B669)&amp;"")</f>
        <v/>
      </c>
      <c r="I669" s="39">
        <f>IF(B669="","",INDEX(Setup!$C$25:$C$84,B669))</f>
        <v/>
      </c>
      <c r="J669" s="39" t="n"/>
      <c r="K669" s="37" t="n"/>
      <c r="L669" s="38" t="n"/>
      <c r="M669" s="33" t="n"/>
      <c r="N669" s="33" t="n"/>
      <c r="O669" s="39" t="n"/>
      <c r="P669" s="40">
        <f>IF(A669="","",IF(K669&lt;&gt;"",K669,D669))</f>
        <v/>
      </c>
      <c r="Q669" s="42">
        <f>IF(A669="",0,IF(C669="✗",0,IF(OR(C669="✓",AND(Setup!$D$7="Yes",P669&lt;=TODAY())),IF(L669&lt;&gt;"",L669,F669),0)))</f>
        <v/>
      </c>
      <c r="R669" s="39">
        <f>IF(A669="","",IF(M669&lt;&gt;"",M669,G669))</f>
        <v/>
      </c>
      <c r="S669" s="39">
        <f>IF(A669="","",IF(N669&lt;&gt;"",N669,H669))</f>
        <v/>
      </c>
      <c r="T669" s="39">
        <f>IF(A669="","",IF(C669="✗","Skipped",IF(Q669&gt;0,"Paid","Upcoming")))</f>
        <v/>
      </c>
      <c r="U669" s="42">
        <f>IF(A669="",0,IF(C669="✗",0,IF(L669&lt;&gt;"",L669,F669)))</f>
        <v/>
      </c>
    </row>
    <row r="670">
      <c r="A670" s="32">
        <f>IFERROR(SMALL(Calc!$B$2:$BB$61,665),"")</f>
        <v/>
      </c>
      <c r="B670" s="32">
        <f>IF(A670="","",ROUND(MOD(A670,1)*1000,0))</f>
        <v/>
      </c>
      <c r="C670" s="33" t="n"/>
      <c r="D670" s="34">
        <f>IF(A670="","",INT(A670))</f>
        <v/>
      </c>
      <c r="E670" s="35">
        <f>IF(B670="","",INDEX(Setup!$D$25:$D$84,B670))</f>
        <v/>
      </c>
      <c r="F670" s="36">
        <f>IF(B670="","",INDEX(Setup!$E$25:$E$84,B670))</f>
        <v/>
      </c>
      <c r="G670" s="32">
        <f>IF(B670="","",INDEX(Setup!$I$25:$I$84,B670)&amp;"")</f>
        <v/>
      </c>
      <c r="H670" s="32">
        <f>IF(B670="","",INDEX(Setup!$J$25:$J$84,B670)&amp;"")</f>
        <v/>
      </c>
      <c r="I670" s="32">
        <f>IF(B670="","",INDEX(Setup!$C$25:$C$84,B670))</f>
        <v/>
      </c>
      <c r="J670" s="32" t="n"/>
      <c r="K670" s="37" t="n"/>
      <c r="L670" s="38" t="n"/>
      <c r="M670" s="33" t="n"/>
      <c r="N670" s="33" t="n"/>
      <c r="O670" s="32" t="n"/>
      <c r="P670" s="34">
        <f>IF(A670="","",IF(K670&lt;&gt;"",K670,D670))</f>
        <v/>
      </c>
      <c r="Q670" s="36">
        <f>IF(A670="",0,IF(C670="✗",0,IF(OR(C670="✓",AND(Setup!$D$7="Yes",P670&lt;=TODAY())),IF(L670&lt;&gt;"",L670,F670),0)))</f>
        <v/>
      </c>
      <c r="R670" s="32">
        <f>IF(A670="","",IF(M670&lt;&gt;"",M670,G670))</f>
        <v/>
      </c>
      <c r="S670" s="32">
        <f>IF(A670="","",IF(N670&lt;&gt;"",N670,H670))</f>
        <v/>
      </c>
      <c r="T670" s="32">
        <f>IF(A670="","",IF(C670="✗","Skipped",IF(Q670&gt;0,"Paid","Upcoming")))</f>
        <v/>
      </c>
      <c r="U670" s="36">
        <f>IF(A670="",0,IF(C670="✗",0,IF(L670&lt;&gt;"",L670,F670)))</f>
        <v/>
      </c>
    </row>
    <row r="671">
      <c r="A671" s="39">
        <f>IFERROR(SMALL(Calc!$B$2:$BB$61,666),"")</f>
        <v/>
      </c>
      <c r="B671" s="39">
        <f>IF(A671="","",ROUND(MOD(A671,1)*1000,0))</f>
        <v/>
      </c>
      <c r="C671" s="33" t="n"/>
      <c r="D671" s="40">
        <f>IF(A671="","",INT(A671))</f>
        <v/>
      </c>
      <c r="E671" s="41">
        <f>IF(B671="","",INDEX(Setup!$D$25:$D$84,B671))</f>
        <v/>
      </c>
      <c r="F671" s="42">
        <f>IF(B671="","",INDEX(Setup!$E$25:$E$84,B671))</f>
        <v/>
      </c>
      <c r="G671" s="39">
        <f>IF(B671="","",INDEX(Setup!$I$25:$I$84,B671)&amp;"")</f>
        <v/>
      </c>
      <c r="H671" s="39">
        <f>IF(B671="","",INDEX(Setup!$J$25:$J$84,B671)&amp;"")</f>
        <v/>
      </c>
      <c r="I671" s="39">
        <f>IF(B671="","",INDEX(Setup!$C$25:$C$84,B671))</f>
        <v/>
      </c>
      <c r="J671" s="39" t="n"/>
      <c r="K671" s="37" t="n"/>
      <c r="L671" s="38" t="n"/>
      <c r="M671" s="33" t="n"/>
      <c r="N671" s="33" t="n"/>
      <c r="O671" s="39" t="n"/>
      <c r="P671" s="40">
        <f>IF(A671="","",IF(K671&lt;&gt;"",K671,D671))</f>
        <v/>
      </c>
      <c r="Q671" s="42">
        <f>IF(A671="",0,IF(C671="✗",0,IF(OR(C671="✓",AND(Setup!$D$7="Yes",P671&lt;=TODAY())),IF(L671&lt;&gt;"",L671,F671),0)))</f>
        <v/>
      </c>
      <c r="R671" s="39">
        <f>IF(A671="","",IF(M671&lt;&gt;"",M671,G671))</f>
        <v/>
      </c>
      <c r="S671" s="39">
        <f>IF(A671="","",IF(N671&lt;&gt;"",N671,H671))</f>
        <v/>
      </c>
      <c r="T671" s="39">
        <f>IF(A671="","",IF(C671="✗","Skipped",IF(Q671&gt;0,"Paid","Upcoming")))</f>
        <v/>
      </c>
      <c r="U671" s="42">
        <f>IF(A671="",0,IF(C671="✗",0,IF(L671&lt;&gt;"",L671,F671)))</f>
        <v/>
      </c>
    </row>
    <row r="672">
      <c r="A672" s="32">
        <f>IFERROR(SMALL(Calc!$B$2:$BB$61,667),"")</f>
        <v/>
      </c>
      <c r="B672" s="32">
        <f>IF(A672="","",ROUND(MOD(A672,1)*1000,0))</f>
        <v/>
      </c>
      <c r="C672" s="33" t="n"/>
      <c r="D672" s="34">
        <f>IF(A672="","",INT(A672))</f>
        <v/>
      </c>
      <c r="E672" s="35">
        <f>IF(B672="","",INDEX(Setup!$D$25:$D$84,B672))</f>
        <v/>
      </c>
      <c r="F672" s="36">
        <f>IF(B672="","",INDEX(Setup!$E$25:$E$84,B672))</f>
        <v/>
      </c>
      <c r="G672" s="32">
        <f>IF(B672="","",INDEX(Setup!$I$25:$I$84,B672)&amp;"")</f>
        <v/>
      </c>
      <c r="H672" s="32">
        <f>IF(B672="","",INDEX(Setup!$J$25:$J$84,B672)&amp;"")</f>
        <v/>
      </c>
      <c r="I672" s="32">
        <f>IF(B672="","",INDEX(Setup!$C$25:$C$84,B672))</f>
        <v/>
      </c>
      <c r="J672" s="32" t="n"/>
      <c r="K672" s="37" t="n"/>
      <c r="L672" s="38" t="n"/>
      <c r="M672" s="33" t="n"/>
      <c r="N672" s="33" t="n"/>
      <c r="O672" s="32" t="n"/>
      <c r="P672" s="34">
        <f>IF(A672="","",IF(K672&lt;&gt;"",K672,D672))</f>
        <v/>
      </c>
      <c r="Q672" s="36">
        <f>IF(A672="",0,IF(C672="✗",0,IF(OR(C672="✓",AND(Setup!$D$7="Yes",P672&lt;=TODAY())),IF(L672&lt;&gt;"",L672,F672),0)))</f>
        <v/>
      </c>
      <c r="R672" s="32">
        <f>IF(A672="","",IF(M672&lt;&gt;"",M672,G672))</f>
        <v/>
      </c>
      <c r="S672" s="32">
        <f>IF(A672="","",IF(N672&lt;&gt;"",N672,H672))</f>
        <v/>
      </c>
      <c r="T672" s="32">
        <f>IF(A672="","",IF(C672="✗","Skipped",IF(Q672&gt;0,"Paid","Upcoming")))</f>
        <v/>
      </c>
      <c r="U672" s="36">
        <f>IF(A672="",0,IF(C672="✗",0,IF(L672&lt;&gt;"",L672,F672)))</f>
        <v/>
      </c>
    </row>
    <row r="673">
      <c r="A673" s="39">
        <f>IFERROR(SMALL(Calc!$B$2:$BB$61,668),"")</f>
        <v/>
      </c>
      <c r="B673" s="39">
        <f>IF(A673="","",ROUND(MOD(A673,1)*1000,0))</f>
        <v/>
      </c>
      <c r="C673" s="33" t="n"/>
      <c r="D673" s="40">
        <f>IF(A673="","",INT(A673))</f>
        <v/>
      </c>
      <c r="E673" s="41">
        <f>IF(B673="","",INDEX(Setup!$D$25:$D$84,B673))</f>
        <v/>
      </c>
      <c r="F673" s="42">
        <f>IF(B673="","",INDEX(Setup!$E$25:$E$84,B673))</f>
        <v/>
      </c>
      <c r="G673" s="39">
        <f>IF(B673="","",INDEX(Setup!$I$25:$I$84,B673)&amp;"")</f>
        <v/>
      </c>
      <c r="H673" s="39">
        <f>IF(B673="","",INDEX(Setup!$J$25:$J$84,B673)&amp;"")</f>
        <v/>
      </c>
      <c r="I673" s="39">
        <f>IF(B673="","",INDEX(Setup!$C$25:$C$84,B673))</f>
        <v/>
      </c>
      <c r="J673" s="39" t="n"/>
      <c r="K673" s="37" t="n"/>
      <c r="L673" s="38" t="n"/>
      <c r="M673" s="33" t="n"/>
      <c r="N673" s="33" t="n"/>
      <c r="O673" s="39" t="n"/>
      <c r="P673" s="40">
        <f>IF(A673="","",IF(K673&lt;&gt;"",K673,D673))</f>
        <v/>
      </c>
      <c r="Q673" s="42">
        <f>IF(A673="",0,IF(C673="✗",0,IF(OR(C673="✓",AND(Setup!$D$7="Yes",P673&lt;=TODAY())),IF(L673&lt;&gt;"",L673,F673),0)))</f>
        <v/>
      </c>
      <c r="R673" s="39">
        <f>IF(A673="","",IF(M673&lt;&gt;"",M673,G673))</f>
        <v/>
      </c>
      <c r="S673" s="39">
        <f>IF(A673="","",IF(N673&lt;&gt;"",N673,H673))</f>
        <v/>
      </c>
      <c r="T673" s="39">
        <f>IF(A673="","",IF(C673="✗","Skipped",IF(Q673&gt;0,"Paid","Upcoming")))</f>
        <v/>
      </c>
      <c r="U673" s="42">
        <f>IF(A673="",0,IF(C673="✗",0,IF(L673&lt;&gt;"",L673,F673)))</f>
        <v/>
      </c>
    </row>
    <row r="674">
      <c r="A674" s="32">
        <f>IFERROR(SMALL(Calc!$B$2:$BB$61,669),"")</f>
        <v/>
      </c>
      <c r="B674" s="32">
        <f>IF(A674="","",ROUND(MOD(A674,1)*1000,0))</f>
        <v/>
      </c>
      <c r="C674" s="33" t="n"/>
      <c r="D674" s="34">
        <f>IF(A674="","",INT(A674))</f>
        <v/>
      </c>
      <c r="E674" s="35">
        <f>IF(B674="","",INDEX(Setup!$D$25:$D$84,B674))</f>
        <v/>
      </c>
      <c r="F674" s="36">
        <f>IF(B674="","",INDEX(Setup!$E$25:$E$84,B674))</f>
        <v/>
      </c>
      <c r="G674" s="32">
        <f>IF(B674="","",INDEX(Setup!$I$25:$I$84,B674)&amp;"")</f>
        <v/>
      </c>
      <c r="H674" s="32">
        <f>IF(B674="","",INDEX(Setup!$J$25:$J$84,B674)&amp;"")</f>
        <v/>
      </c>
      <c r="I674" s="32">
        <f>IF(B674="","",INDEX(Setup!$C$25:$C$84,B674))</f>
        <v/>
      </c>
      <c r="J674" s="32" t="n"/>
      <c r="K674" s="37" t="n"/>
      <c r="L674" s="38" t="n"/>
      <c r="M674" s="33" t="n"/>
      <c r="N674" s="33" t="n"/>
      <c r="O674" s="32" t="n"/>
      <c r="P674" s="34">
        <f>IF(A674="","",IF(K674&lt;&gt;"",K674,D674))</f>
        <v/>
      </c>
      <c r="Q674" s="36">
        <f>IF(A674="",0,IF(C674="✗",0,IF(OR(C674="✓",AND(Setup!$D$7="Yes",P674&lt;=TODAY())),IF(L674&lt;&gt;"",L674,F674),0)))</f>
        <v/>
      </c>
      <c r="R674" s="32">
        <f>IF(A674="","",IF(M674&lt;&gt;"",M674,G674))</f>
        <v/>
      </c>
      <c r="S674" s="32">
        <f>IF(A674="","",IF(N674&lt;&gt;"",N674,H674))</f>
        <v/>
      </c>
      <c r="T674" s="32">
        <f>IF(A674="","",IF(C674="✗","Skipped",IF(Q674&gt;0,"Paid","Upcoming")))</f>
        <v/>
      </c>
      <c r="U674" s="36">
        <f>IF(A674="",0,IF(C674="✗",0,IF(L674&lt;&gt;"",L674,F674)))</f>
        <v/>
      </c>
    </row>
    <row r="675">
      <c r="A675" s="39">
        <f>IFERROR(SMALL(Calc!$B$2:$BB$61,670),"")</f>
        <v/>
      </c>
      <c r="B675" s="39">
        <f>IF(A675="","",ROUND(MOD(A675,1)*1000,0))</f>
        <v/>
      </c>
      <c r="C675" s="33" t="n"/>
      <c r="D675" s="40">
        <f>IF(A675="","",INT(A675))</f>
        <v/>
      </c>
      <c r="E675" s="41">
        <f>IF(B675="","",INDEX(Setup!$D$25:$D$84,B675))</f>
        <v/>
      </c>
      <c r="F675" s="42">
        <f>IF(B675="","",INDEX(Setup!$E$25:$E$84,B675))</f>
        <v/>
      </c>
      <c r="G675" s="39">
        <f>IF(B675="","",INDEX(Setup!$I$25:$I$84,B675)&amp;"")</f>
        <v/>
      </c>
      <c r="H675" s="39">
        <f>IF(B675="","",INDEX(Setup!$J$25:$J$84,B675)&amp;"")</f>
        <v/>
      </c>
      <c r="I675" s="39">
        <f>IF(B675="","",INDEX(Setup!$C$25:$C$84,B675))</f>
        <v/>
      </c>
      <c r="J675" s="39" t="n"/>
      <c r="K675" s="37" t="n"/>
      <c r="L675" s="38" t="n"/>
      <c r="M675" s="33" t="n"/>
      <c r="N675" s="33" t="n"/>
      <c r="O675" s="39" t="n"/>
      <c r="P675" s="40">
        <f>IF(A675="","",IF(K675&lt;&gt;"",K675,D675))</f>
        <v/>
      </c>
      <c r="Q675" s="42">
        <f>IF(A675="",0,IF(C675="✗",0,IF(OR(C675="✓",AND(Setup!$D$7="Yes",P675&lt;=TODAY())),IF(L675&lt;&gt;"",L675,F675),0)))</f>
        <v/>
      </c>
      <c r="R675" s="39">
        <f>IF(A675="","",IF(M675&lt;&gt;"",M675,G675))</f>
        <v/>
      </c>
      <c r="S675" s="39">
        <f>IF(A675="","",IF(N675&lt;&gt;"",N675,H675))</f>
        <v/>
      </c>
      <c r="T675" s="39">
        <f>IF(A675="","",IF(C675="✗","Skipped",IF(Q675&gt;0,"Paid","Upcoming")))</f>
        <v/>
      </c>
      <c r="U675" s="42">
        <f>IF(A675="",0,IF(C675="✗",0,IF(L675&lt;&gt;"",L675,F675)))</f>
        <v/>
      </c>
    </row>
    <row r="676">
      <c r="A676" s="32">
        <f>IFERROR(SMALL(Calc!$B$2:$BB$61,671),"")</f>
        <v/>
      </c>
      <c r="B676" s="32">
        <f>IF(A676="","",ROUND(MOD(A676,1)*1000,0))</f>
        <v/>
      </c>
      <c r="C676" s="33" t="n"/>
      <c r="D676" s="34">
        <f>IF(A676="","",INT(A676))</f>
        <v/>
      </c>
      <c r="E676" s="35">
        <f>IF(B676="","",INDEX(Setup!$D$25:$D$84,B676))</f>
        <v/>
      </c>
      <c r="F676" s="36">
        <f>IF(B676="","",INDEX(Setup!$E$25:$E$84,B676))</f>
        <v/>
      </c>
      <c r="G676" s="32">
        <f>IF(B676="","",INDEX(Setup!$I$25:$I$84,B676)&amp;"")</f>
        <v/>
      </c>
      <c r="H676" s="32">
        <f>IF(B676="","",INDEX(Setup!$J$25:$J$84,B676)&amp;"")</f>
        <v/>
      </c>
      <c r="I676" s="32">
        <f>IF(B676="","",INDEX(Setup!$C$25:$C$84,B676))</f>
        <v/>
      </c>
      <c r="J676" s="32" t="n"/>
      <c r="K676" s="37" t="n"/>
      <c r="L676" s="38" t="n"/>
      <c r="M676" s="33" t="n"/>
      <c r="N676" s="33" t="n"/>
      <c r="O676" s="32" t="n"/>
      <c r="P676" s="34">
        <f>IF(A676="","",IF(K676&lt;&gt;"",K676,D676))</f>
        <v/>
      </c>
      <c r="Q676" s="36">
        <f>IF(A676="",0,IF(C676="✗",0,IF(OR(C676="✓",AND(Setup!$D$7="Yes",P676&lt;=TODAY())),IF(L676&lt;&gt;"",L676,F676),0)))</f>
        <v/>
      </c>
      <c r="R676" s="32">
        <f>IF(A676="","",IF(M676&lt;&gt;"",M676,G676))</f>
        <v/>
      </c>
      <c r="S676" s="32">
        <f>IF(A676="","",IF(N676&lt;&gt;"",N676,H676))</f>
        <v/>
      </c>
      <c r="T676" s="32">
        <f>IF(A676="","",IF(C676="✗","Skipped",IF(Q676&gt;0,"Paid","Upcoming")))</f>
        <v/>
      </c>
      <c r="U676" s="36">
        <f>IF(A676="",0,IF(C676="✗",0,IF(L676&lt;&gt;"",L676,F676)))</f>
        <v/>
      </c>
    </row>
    <row r="677">
      <c r="A677" s="39">
        <f>IFERROR(SMALL(Calc!$B$2:$BB$61,672),"")</f>
        <v/>
      </c>
      <c r="B677" s="39">
        <f>IF(A677="","",ROUND(MOD(A677,1)*1000,0))</f>
        <v/>
      </c>
      <c r="C677" s="33" t="n"/>
      <c r="D677" s="40">
        <f>IF(A677="","",INT(A677))</f>
        <v/>
      </c>
      <c r="E677" s="41">
        <f>IF(B677="","",INDEX(Setup!$D$25:$D$84,B677))</f>
        <v/>
      </c>
      <c r="F677" s="42">
        <f>IF(B677="","",INDEX(Setup!$E$25:$E$84,B677))</f>
        <v/>
      </c>
      <c r="G677" s="39">
        <f>IF(B677="","",INDEX(Setup!$I$25:$I$84,B677)&amp;"")</f>
        <v/>
      </c>
      <c r="H677" s="39">
        <f>IF(B677="","",INDEX(Setup!$J$25:$J$84,B677)&amp;"")</f>
        <v/>
      </c>
      <c r="I677" s="39">
        <f>IF(B677="","",INDEX(Setup!$C$25:$C$84,B677))</f>
        <v/>
      </c>
      <c r="J677" s="39" t="n"/>
      <c r="K677" s="37" t="n"/>
      <c r="L677" s="38" t="n"/>
      <c r="M677" s="33" t="n"/>
      <c r="N677" s="33" t="n"/>
      <c r="O677" s="39" t="n"/>
      <c r="P677" s="40">
        <f>IF(A677="","",IF(K677&lt;&gt;"",K677,D677))</f>
        <v/>
      </c>
      <c r="Q677" s="42">
        <f>IF(A677="",0,IF(C677="✗",0,IF(OR(C677="✓",AND(Setup!$D$7="Yes",P677&lt;=TODAY())),IF(L677&lt;&gt;"",L677,F677),0)))</f>
        <v/>
      </c>
      <c r="R677" s="39">
        <f>IF(A677="","",IF(M677&lt;&gt;"",M677,G677))</f>
        <v/>
      </c>
      <c r="S677" s="39">
        <f>IF(A677="","",IF(N677&lt;&gt;"",N677,H677))</f>
        <v/>
      </c>
      <c r="T677" s="39">
        <f>IF(A677="","",IF(C677="✗","Skipped",IF(Q677&gt;0,"Paid","Upcoming")))</f>
        <v/>
      </c>
      <c r="U677" s="42">
        <f>IF(A677="",0,IF(C677="✗",0,IF(L677&lt;&gt;"",L677,F677)))</f>
        <v/>
      </c>
    </row>
    <row r="678">
      <c r="A678" s="32">
        <f>IFERROR(SMALL(Calc!$B$2:$BB$61,673),"")</f>
        <v/>
      </c>
      <c r="B678" s="32">
        <f>IF(A678="","",ROUND(MOD(A678,1)*1000,0))</f>
        <v/>
      </c>
      <c r="C678" s="33" t="n"/>
      <c r="D678" s="34">
        <f>IF(A678="","",INT(A678))</f>
        <v/>
      </c>
      <c r="E678" s="35">
        <f>IF(B678="","",INDEX(Setup!$D$25:$D$84,B678))</f>
        <v/>
      </c>
      <c r="F678" s="36">
        <f>IF(B678="","",INDEX(Setup!$E$25:$E$84,B678))</f>
        <v/>
      </c>
      <c r="G678" s="32">
        <f>IF(B678="","",INDEX(Setup!$I$25:$I$84,B678)&amp;"")</f>
        <v/>
      </c>
      <c r="H678" s="32">
        <f>IF(B678="","",INDEX(Setup!$J$25:$J$84,B678)&amp;"")</f>
        <v/>
      </c>
      <c r="I678" s="32">
        <f>IF(B678="","",INDEX(Setup!$C$25:$C$84,B678))</f>
        <v/>
      </c>
      <c r="J678" s="32" t="n"/>
      <c r="K678" s="37" t="n"/>
      <c r="L678" s="38" t="n"/>
      <c r="M678" s="33" t="n"/>
      <c r="N678" s="33" t="n"/>
      <c r="O678" s="32" t="n"/>
      <c r="P678" s="34">
        <f>IF(A678="","",IF(K678&lt;&gt;"",K678,D678))</f>
        <v/>
      </c>
      <c r="Q678" s="36">
        <f>IF(A678="",0,IF(C678="✗",0,IF(OR(C678="✓",AND(Setup!$D$7="Yes",P678&lt;=TODAY())),IF(L678&lt;&gt;"",L678,F678),0)))</f>
        <v/>
      </c>
      <c r="R678" s="32">
        <f>IF(A678="","",IF(M678&lt;&gt;"",M678,G678))</f>
        <v/>
      </c>
      <c r="S678" s="32">
        <f>IF(A678="","",IF(N678&lt;&gt;"",N678,H678))</f>
        <v/>
      </c>
      <c r="T678" s="32">
        <f>IF(A678="","",IF(C678="✗","Skipped",IF(Q678&gt;0,"Paid","Upcoming")))</f>
        <v/>
      </c>
      <c r="U678" s="36">
        <f>IF(A678="",0,IF(C678="✗",0,IF(L678&lt;&gt;"",L678,F678)))</f>
        <v/>
      </c>
    </row>
    <row r="679">
      <c r="A679" s="39">
        <f>IFERROR(SMALL(Calc!$B$2:$BB$61,674),"")</f>
        <v/>
      </c>
      <c r="B679" s="39">
        <f>IF(A679="","",ROUND(MOD(A679,1)*1000,0))</f>
        <v/>
      </c>
      <c r="C679" s="33" t="n"/>
      <c r="D679" s="40">
        <f>IF(A679="","",INT(A679))</f>
        <v/>
      </c>
      <c r="E679" s="41">
        <f>IF(B679="","",INDEX(Setup!$D$25:$D$84,B679))</f>
        <v/>
      </c>
      <c r="F679" s="42">
        <f>IF(B679="","",INDEX(Setup!$E$25:$E$84,B679))</f>
        <v/>
      </c>
      <c r="G679" s="39">
        <f>IF(B679="","",INDEX(Setup!$I$25:$I$84,B679)&amp;"")</f>
        <v/>
      </c>
      <c r="H679" s="39">
        <f>IF(B679="","",INDEX(Setup!$J$25:$J$84,B679)&amp;"")</f>
        <v/>
      </c>
      <c r="I679" s="39">
        <f>IF(B679="","",INDEX(Setup!$C$25:$C$84,B679))</f>
        <v/>
      </c>
      <c r="J679" s="39" t="n"/>
      <c r="K679" s="37" t="n"/>
      <c r="L679" s="38" t="n"/>
      <c r="M679" s="33" t="n"/>
      <c r="N679" s="33" t="n"/>
      <c r="O679" s="39" t="n"/>
      <c r="P679" s="40">
        <f>IF(A679="","",IF(K679&lt;&gt;"",K679,D679))</f>
        <v/>
      </c>
      <c r="Q679" s="42">
        <f>IF(A679="",0,IF(C679="✗",0,IF(OR(C679="✓",AND(Setup!$D$7="Yes",P679&lt;=TODAY())),IF(L679&lt;&gt;"",L679,F679),0)))</f>
        <v/>
      </c>
      <c r="R679" s="39">
        <f>IF(A679="","",IF(M679&lt;&gt;"",M679,G679))</f>
        <v/>
      </c>
      <c r="S679" s="39">
        <f>IF(A679="","",IF(N679&lt;&gt;"",N679,H679))</f>
        <v/>
      </c>
      <c r="T679" s="39">
        <f>IF(A679="","",IF(C679="✗","Skipped",IF(Q679&gt;0,"Paid","Upcoming")))</f>
        <v/>
      </c>
      <c r="U679" s="42">
        <f>IF(A679="",0,IF(C679="✗",0,IF(L679&lt;&gt;"",L679,F679)))</f>
        <v/>
      </c>
    </row>
    <row r="680">
      <c r="A680" s="32">
        <f>IFERROR(SMALL(Calc!$B$2:$BB$61,675),"")</f>
        <v/>
      </c>
      <c r="B680" s="32">
        <f>IF(A680="","",ROUND(MOD(A680,1)*1000,0))</f>
        <v/>
      </c>
      <c r="C680" s="33" t="n"/>
      <c r="D680" s="34">
        <f>IF(A680="","",INT(A680))</f>
        <v/>
      </c>
      <c r="E680" s="35">
        <f>IF(B680="","",INDEX(Setup!$D$25:$D$84,B680))</f>
        <v/>
      </c>
      <c r="F680" s="36">
        <f>IF(B680="","",INDEX(Setup!$E$25:$E$84,B680))</f>
        <v/>
      </c>
      <c r="G680" s="32">
        <f>IF(B680="","",INDEX(Setup!$I$25:$I$84,B680)&amp;"")</f>
        <v/>
      </c>
      <c r="H680" s="32">
        <f>IF(B680="","",INDEX(Setup!$J$25:$J$84,B680)&amp;"")</f>
        <v/>
      </c>
      <c r="I680" s="32">
        <f>IF(B680="","",INDEX(Setup!$C$25:$C$84,B680))</f>
        <v/>
      </c>
      <c r="J680" s="32" t="n"/>
      <c r="K680" s="37" t="n"/>
      <c r="L680" s="38" t="n"/>
      <c r="M680" s="33" t="n"/>
      <c r="N680" s="33" t="n"/>
      <c r="O680" s="32" t="n"/>
      <c r="P680" s="34">
        <f>IF(A680="","",IF(K680&lt;&gt;"",K680,D680))</f>
        <v/>
      </c>
      <c r="Q680" s="36">
        <f>IF(A680="",0,IF(C680="✗",0,IF(OR(C680="✓",AND(Setup!$D$7="Yes",P680&lt;=TODAY())),IF(L680&lt;&gt;"",L680,F680),0)))</f>
        <v/>
      </c>
      <c r="R680" s="32">
        <f>IF(A680="","",IF(M680&lt;&gt;"",M680,G680))</f>
        <v/>
      </c>
      <c r="S680" s="32">
        <f>IF(A680="","",IF(N680&lt;&gt;"",N680,H680))</f>
        <v/>
      </c>
      <c r="T680" s="32">
        <f>IF(A680="","",IF(C680="✗","Skipped",IF(Q680&gt;0,"Paid","Upcoming")))</f>
        <v/>
      </c>
      <c r="U680" s="36">
        <f>IF(A680="",0,IF(C680="✗",0,IF(L680&lt;&gt;"",L680,F680)))</f>
        <v/>
      </c>
    </row>
    <row r="681">
      <c r="A681" s="39">
        <f>IFERROR(SMALL(Calc!$B$2:$BB$61,676),"")</f>
        <v/>
      </c>
      <c r="B681" s="39">
        <f>IF(A681="","",ROUND(MOD(A681,1)*1000,0))</f>
        <v/>
      </c>
      <c r="C681" s="33" t="n"/>
      <c r="D681" s="40">
        <f>IF(A681="","",INT(A681))</f>
        <v/>
      </c>
      <c r="E681" s="41">
        <f>IF(B681="","",INDEX(Setup!$D$25:$D$84,B681))</f>
        <v/>
      </c>
      <c r="F681" s="42">
        <f>IF(B681="","",INDEX(Setup!$E$25:$E$84,B681))</f>
        <v/>
      </c>
      <c r="G681" s="39">
        <f>IF(B681="","",INDEX(Setup!$I$25:$I$84,B681)&amp;"")</f>
        <v/>
      </c>
      <c r="H681" s="39">
        <f>IF(B681="","",INDEX(Setup!$J$25:$J$84,B681)&amp;"")</f>
        <v/>
      </c>
      <c r="I681" s="39">
        <f>IF(B681="","",INDEX(Setup!$C$25:$C$84,B681))</f>
        <v/>
      </c>
      <c r="J681" s="39" t="n"/>
      <c r="K681" s="37" t="n"/>
      <c r="L681" s="38" t="n"/>
      <c r="M681" s="33" t="n"/>
      <c r="N681" s="33" t="n"/>
      <c r="O681" s="39" t="n"/>
      <c r="P681" s="40">
        <f>IF(A681="","",IF(K681&lt;&gt;"",K681,D681))</f>
        <v/>
      </c>
      <c r="Q681" s="42">
        <f>IF(A681="",0,IF(C681="✗",0,IF(OR(C681="✓",AND(Setup!$D$7="Yes",P681&lt;=TODAY())),IF(L681&lt;&gt;"",L681,F681),0)))</f>
        <v/>
      </c>
      <c r="R681" s="39">
        <f>IF(A681="","",IF(M681&lt;&gt;"",M681,G681))</f>
        <v/>
      </c>
      <c r="S681" s="39">
        <f>IF(A681="","",IF(N681&lt;&gt;"",N681,H681))</f>
        <v/>
      </c>
      <c r="T681" s="39">
        <f>IF(A681="","",IF(C681="✗","Skipped",IF(Q681&gt;0,"Paid","Upcoming")))</f>
        <v/>
      </c>
      <c r="U681" s="42">
        <f>IF(A681="",0,IF(C681="✗",0,IF(L681&lt;&gt;"",L681,F681)))</f>
        <v/>
      </c>
    </row>
    <row r="682">
      <c r="A682" s="32">
        <f>IFERROR(SMALL(Calc!$B$2:$BB$61,677),"")</f>
        <v/>
      </c>
      <c r="B682" s="32">
        <f>IF(A682="","",ROUND(MOD(A682,1)*1000,0))</f>
        <v/>
      </c>
      <c r="C682" s="33" t="n"/>
      <c r="D682" s="34">
        <f>IF(A682="","",INT(A682))</f>
        <v/>
      </c>
      <c r="E682" s="35">
        <f>IF(B682="","",INDEX(Setup!$D$25:$D$84,B682))</f>
        <v/>
      </c>
      <c r="F682" s="36">
        <f>IF(B682="","",INDEX(Setup!$E$25:$E$84,B682))</f>
        <v/>
      </c>
      <c r="G682" s="32">
        <f>IF(B682="","",INDEX(Setup!$I$25:$I$84,B682)&amp;"")</f>
        <v/>
      </c>
      <c r="H682" s="32">
        <f>IF(B682="","",INDEX(Setup!$J$25:$J$84,B682)&amp;"")</f>
        <v/>
      </c>
      <c r="I682" s="32">
        <f>IF(B682="","",INDEX(Setup!$C$25:$C$84,B682))</f>
        <v/>
      </c>
      <c r="J682" s="32" t="n"/>
      <c r="K682" s="37" t="n"/>
      <c r="L682" s="38" t="n"/>
      <c r="M682" s="33" t="n"/>
      <c r="N682" s="33" t="n"/>
      <c r="O682" s="32" t="n"/>
      <c r="P682" s="34">
        <f>IF(A682="","",IF(K682&lt;&gt;"",K682,D682))</f>
        <v/>
      </c>
      <c r="Q682" s="36">
        <f>IF(A682="",0,IF(C682="✗",0,IF(OR(C682="✓",AND(Setup!$D$7="Yes",P682&lt;=TODAY())),IF(L682&lt;&gt;"",L682,F682),0)))</f>
        <v/>
      </c>
      <c r="R682" s="32">
        <f>IF(A682="","",IF(M682&lt;&gt;"",M682,G682))</f>
        <v/>
      </c>
      <c r="S682" s="32">
        <f>IF(A682="","",IF(N682&lt;&gt;"",N682,H682))</f>
        <v/>
      </c>
      <c r="T682" s="32">
        <f>IF(A682="","",IF(C682="✗","Skipped",IF(Q682&gt;0,"Paid","Upcoming")))</f>
        <v/>
      </c>
      <c r="U682" s="36">
        <f>IF(A682="",0,IF(C682="✗",0,IF(L682&lt;&gt;"",L682,F682)))</f>
        <v/>
      </c>
    </row>
    <row r="683">
      <c r="A683" s="39">
        <f>IFERROR(SMALL(Calc!$B$2:$BB$61,678),"")</f>
        <v/>
      </c>
      <c r="B683" s="39">
        <f>IF(A683="","",ROUND(MOD(A683,1)*1000,0))</f>
        <v/>
      </c>
      <c r="C683" s="33" t="n"/>
      <c r="D683" s="40">
        <f>IF(A683="","",INT(A683))</f>
        <v/>
      </c>
      <c r="E683" s="41">
        <f>IF(B683="","",INDEX(Setup!$D$25:$D$84,B683))</f>
        <v/>
      </c>
      <c r="F683" s="42">
        <f>IF(B683="","",INDEX(Setup!$E$25:$E$84,B683))</f>
        <v/>
      </c>
      <c r="G683" s="39">
        <f>IF(B683="","",INDEX(Setup!$I$25:$I$84,B683)&amp;"")</f>
        <v/>
      </c>
      <c r="H683" s="39">
        <f>IF(B683="","",INDEX(Setup!$J$25:$J$84,B683)&amp;"")</f>
        <v/>
      </c>
      <c r="I683" s="39">
        <f>IF(B683="","",INDEX(Setup!$C$25:$C$84,B683))</f>
        <v/>
      </c>
      <c r="J683" s="39" t="n"/>
      <c r="K683" s="37" t="n"/>
      <c r="L683" s="38" t="n"/>
      <c r="M683" s="33" t="n"/>
      <c r="N683" s="33" t="n"/>
      <c r="O683" s="39" t="n"/>
      <c r="P683" s="40">
        <f>IF(A683="","",IF(K683&lt;&gt;"",K683,D683))</f>
        <v/>
      </c>
      <c r="Q683" s="42">
        <f>IF(A683="",0,IF(C683="✗",0,IF(OR(C683="✓",AND(Setup!$D$7="Yes",P683&lt;=TODAY())),IF(L683&lt;&gt;"",L683,F683),0)))</f>
        <v/>
      </c>
      <c r="R683" s="39">
        <f>IF(A683="","",IF(M683&lt;&gt;"",M683,G683))</f>
        <v/>
      </c>
      <c r="S683" s="39">
        <f>IF(A683="","",IF(N683&lt;&gt;"",N683,H683))</f>
        <v/>
      </c>
      <c r="T683" s="39">
        <f>IF(A683="","",IF(C683="✗","Skipped",IF(Q683&gt;0,"Paid","Upcoming")))</f>
        <v/>
      </c>
      <c r="U683" s="42">
        <f>IF(A683="",0,IF(C683="✗",0,IF(L683&lt;&gt;"",L683,F683)))</f>
        <v/>
      </c>
    </row>
    <row r="684">
      <c r="A684" s="32">
        <f>IFERROR(SMALL(Calc!$B$2:$BB$61,679),"")</f>
        <v/>
      </c>
      <c r="B684" s="32">
        <f>IF(A684="","",ROUND(MOD(A684,1)*1000,0))</f>
        <v/>
      </c>
      <c r="C684" s="33" t="n"/>
      <c r="D684" s="34">
        <f>IF(A684="","",INT(A684))</f>
        <v/>
      </c>
      <c r="E684" s="35">
        <f>IF(B684="","",INDEX(Setup!$D$25:$D$84,B684))</f>
        <v/>
      </c>
      <c r="F684" s="36">
        <f>IF(B684="","",INDEX(Setup!$E$25:$E$84,B684))</f>
        <v/>
      </c>
      <c r="G684" s="32">
        <f>IF(B684="","",INDEX(Setup!$I$25:$I$84,B684)&amp;"")</f>
        <v/>
      </c>
      <c r="H684" s="32">
        <f>IF(B684="","",INDEX(Setup!$J$25:$J$84,B684)&amp;"")</f>
        <v/>
      </c>
      <c r="I684" s="32">
        <f>IF(B684="","",INDEX(Setup!$C$25:$C$84,B684))</f>
        <v/>
      </c>
      <c r="J684" s="32" t="n"/>
      <c r="K684" s="37" t="n"/>
      <c r="L684" s="38" t="n"/>
      <c r="M684" s="33" t="n"/>
      <c r="N684" s="33" t="n"/>
      <c r="O684" s="32" t="n"/>
      <c r="P684" s="34">
        <f>IF(A684="","",IF(K684&lt;&gt;"",K684,D684))</f>
        <v/>
      </c>
      <c r="Q684" s="36">
        <f>IF(A684="",0,IF(C684="✗",0,IF(OR(C684="✓",AND(Setup!$D$7="Yes",P684&lt;=TODAY())),IF(L684&lt;&gt;"",L684,F684),0)))</f>
        <v/>
      </c>
      <c r="R684" s="32">
        <f>IF(A684="","",IF(M684&lt;&gt;"",M684,G684))</f>
        <v/>
      </c>
      <c r="S684" s="32">
        <f>IF(A684="","",IF(N684&lt;&gt;"",N684,H684))</f>
        <v/>
      </c>
      <c r="T684" s="32">
        <f>IF(A684="","",IF(C684="✗","Skipped",IF(Q684&gt;0,"Paid","Upcoming")))</f>
        <v/>
      </c>
      <c r="U684" s="36">
        <f>IF(A684="",0,IF(C684="✗",0,IF(L684&lt;&gt;"",L684,F684)))</f>
        <v/>
      </c>
    </row>
    <row r="685">
      <c r="A685" s="39">
        <f>IFERROR(SMALL(Calc!$B$2:$BB$61,680),"")</f>
        <v/>
      </c>
      <c r="B685" s="39">
        <f>IF(A685="","",ROUND(MOD(A685,1)*1000,0))</f>
        <v/>
      </c>
      <c r="C685" s="33" t="n"/>
      <c r="D685" s="40">
        <f>IF(A685="","",INT(A685))</f>
        <v/>
      </c>
      <c r="E685" s="41">
        <f>IF(B685="","",INDEX(Setup!$D$25:$D$84,B685))</f>
        <v/>
      </c>
      <c r="F685" s="42">
        <f>IF(B685="","",INDEX(Setup!$E$25:$E$84,B685))</f>
        <v/>
      </c>
      <c r="G685" s="39">
        <f>IF(B685="","",INDEX(Setup!$I$25:$I$84,B685)&amp;"")</f>
        <v/>
      </c>
      <c r="H685" s="39">
        <f>IF(B685="","",INDEX(Setup!$J$25:$J$84,B685)&amp;"")</f>
        <v/>
      </c>
      <c r="I685" s="39">
        <f>IF(B685="","",INDEX(Setup!$C$25:$C$84,B685))</f>
        <v/>
      </c>
      <c r="J685" s="39" t="n"/>
      <c r="K685" s="37" t="n"/>
      <c r="L685" s="38" t="n"/>
      <c r="M685" s="33" t="n"/>
      <c r="N685" s="33" t="n"/>
      <c r="O685" s="39" t="n"/>
      <c r="P685" s="40">
        <f>IF(A685="","",IF(K685&lt;&gt;"",K685,D685))</f>
        <v/>
      </c>
      <c r="Q685" s="42">
        <f>IF(A685="",0,IF(C685="✗",0,IF(OR(C685="✓",AND(Setup!$D$7="Yes",P685&lt;=TODAY())),IF(L685&lt;&gt;"",L685,F685),0)))</f>
        <v/>
      </c>
      <c r="R685" s="39">
        <f>IF(A685="","",IF(M685&lt;&gt;"",M685,G685))</f>
        <v/>
      </c>
      <c r="S685" s="39">
        <f>IF(A685="","",IF(N685&lt;&gt;"",N685,H685))</f>
        <v/>
      </c>
      <c r="T685" s="39">
        <f>IF(A685="","",IF(C685="✗","Skipped",IF(Q685&gt;0,"Paid","Upcoming")))</f>
        <v/>
      </c>
      <c r="U685" s="42">
        <f>IF(A685="",0,IF(C685="✗",0,IF(L685&lt;&gt;"",L685,F685)))</f>
        <v/>
      </c>
    </row>
    <row r="686">
      <c r="A686" s="32">
        <f>IFERROR(SMALL(Calc!$B$2:$BB$61,681),"")</f>
        <v/>
      </c>
      <c r="B686" s="32">
        <f>IF(A686="","",ROUND(MOD(A686,1)*1000,0))</f>
        <v/>
      </c>
      <c r="C686" s="33" t="n"/>
      <c r="D686" s="34">
        <f>IF(A686="","",INT(A686))</f>
        <v/>
      </c>
      <c r="E686" s="35">
        <f>IF(B686="","",INDEX(Setup!$D$25:$D$84,B686))</f>
        <v/>
      </c>
      <c r="F686" s="36">
        <f>IF(B686="","",INDEX(Setup!$E$25:$E$84,B686))</f>
        <v/>
      </c>
      <c r="G686" s="32">
        <f>IF(B686="","",INDEX(Setup!$I$25:$I$84,B686)&amp;"")</f>
        <v/>
      </c>
      <c r="H686" s="32">
        <f>IF(B686="","",INDEX(Setup!$J$25:$J$84,B686)&amp;"")</f>
        <v/>
      </c>
      <c r="I686" s="32">
        <f>IF(B686="","",INDEX(Setup!$C$25:$C$84,B686))</f>
        <v/>
      </c>
      <c r="J686" s="32" t="n"/>
      <c r="K686" s="37" t="n"/>
      <c r="L686" s="38" t="n"/>
      <c r="M686" s="33" t="n"/>
      <c r="N686" s="33" t="n"/>
      <c r="O686" s="32" t="n"/>
      <c r="P686" s="34">
        <f>IF(A686="","",IF(K686&lt;&gt;"",K686,D686))</f>
        <v/>
      </c>
      <c r="Q686" s="36">
        <f>IF(A686="",0,IF(C686="✗",0,IF(OR(C686="✓",AND(Setup!$D$7="Yes",P686&lt;=TODAY())),IF(L686&lt;&gt;"",L686,F686),0)))</f>
        <v/>
      </c>
      <c r="R686" s="32">
        <f>IF(A686="","",IF(M686&lt;&gt;"",M686,G686))</f>
        <v/>
      </c>
      <c r="S686" s="32">
        <f>IF(A686="","",IF(N686&lt;&gt;"",N686,H686))</f>
        <v/>
      </c>
      <c r="T686" s="32">
        <f>IF(A686="","",IF(C686="✗","Skipped",IF(Q686&gt;0,"Paid","Upcoming")))</f>
        <v/>
      </c>
      <c r="U686" s="36">
        <f>IF(A686="",0,IF(C686="✗",0,IF(L686&lt;&gt;"",L686,F686)))</f>
        <v/>
      </c>
    </row>
    <row r="687">
      <c r="A687" s="39">
        <f>IFERROR(SMALL(Calc!$B$2:$BB$61,682),"")</f>
        <v/>
      </c>
      <c r="B687" s="39">
        <f>IF(A687="","",ROUND(MOD(A687,1)*1000,0))</f>
        <v/>
      </c>
      <c r="C687" s="33" t="n"/>
      <c r="D687" s="40">
        <f>IF(A687="","",INT(A687))</f>
        <v/>
      </c>
      <c r="E687" s="41">
        <f>IF(B687="","",INDEX(Setup!$D$25:$D$84,B687))</f>
        <v/>
      </c>
      <c r="F687" s="42">
        <f>IF(B687="","",INDEX(Setup!$E$25:$E$84,B687))</f>
        <v/>
      </c>
      <c r="G687" s="39">
        <f>IF(B687="","",INDEX(Setup!$I$25:$I$84,B687)&amp;"")</f>
        <v/>
      </c>
      <c r="H687" s="39">
        <f>IF(B687="","",INDEX(Setup!$J$25:$J$84,B687)&amp;"")</f>
        <v/>
      </c>
      <c r="I687" s="39">
        <f>IF(B687="","",INDEX(Setup!$C$25:$C$84,B687))</f>
        <v/>
      </c>
      <c r="J687" s="39" t="n"/>
      <c r="K687" s="37" t="n"/>
      <c r="L687" s="38" t="n"/>
      <c r="M687" s="33" t="n"/>
      <c r="N687" s="33" t="n"/>
      <c r="O687" s="39" t="n"/>
      <c r="P687" s="40">
        <f>IF(A687="","",IF(K687&lt;&gt;"",K687,D687))</f>
        <v/>
      </c>
      <c r="Q687" s="42">
        <f>IF(A687="",0,IF(C687="✗",0,IF(OR(C687="✓",AND(Setup!$D$7="Yes",P687&lt;=TODAY())),IF(L687&lt;&gt;"",L687,F687),0)))</f>
        <v/>
      </c>
      <c r="R687" s="39">
        <f>IF(A687="","",IF(M687&lt;&gt;"",M687,G687))</f>
        <v/>
      </c>
      <c r="S687" s="39">
        <f>IF(A687="","",IF(N687&lt;&gt;"",N687,H687))</f>
        <v/>
      </c>
      <c r="T687" s="39">
        <f>IF(A687="","",IF(C687="✗","Skipped",IF(Q687&gt;0,"Paid","Upcoming")))</f>
        <v/>
      </c>
      <c r="U687" s="42">
        <f>IF(A687="",0,IF(C687="✗",0,IF(L687&lt;&gt;"",L687,F687)))</f>
        <v/>
      </c>
    </row>
    <row r="688">
      <c r="A688" s="32">
        <f>IFERROR(SMALL(Calc!$B$2:$BB$61,683),"")</f>
        <v/>
      </c>
      <c r="B688" s="32">
        <f>IF(A688="","",ROUND(MOD(A688,1)*1000,0))</f>
        <v/>
      </c>
      <c r="C688" s="33" t="n"/>
      <c r="D688" s="34">
        <f>IF(A688="","",INT(A688))</f>
        <v/>
      </c>
      <c r="E688" s="35">
        <f>IF(B688="","",INDEX(Setup!$D$25:$D$84,B688))</f>
        <v/>
      </c>
      <c r="F688" s="36">
        <f>IF(B688="","",INDEX(Setup!$E$25:$E$84,B688))</f>
        <v/>
      </c>
      <c r="G688" s="32">
        <f>IF(B688="","",INDEX(Setup!$I$25:$I$84,B688)&amp;"")</f>
        <v/>
      </c>
      <c r="H688" s="32">
        <f>IF(B688="","",INDEX(Setup!$J$25:$J$84,B688)&amp;"")</f>
        <v/>
      </c>
      <c r="I688" s="32">
        <f>IF(B688="","",INDEX(Setup!$C$25:$C$84,B688))</f>
        <v/>
      </c>
      <c r="J688" s="32" t="n"/>
      <c r="K688" s="37" t="n"/>
      <c r="L688" s="38" t="n"/>
      <c r="M688" s="33" t="n"/>
      <c r="N688" s="33" t="n"/>
      <c r="O688" s="32" t="n"/>
      <c r="P688" s="34">
        <f>IF(A688="","",IF(K688&lt;&gt;"",K688,D688))</f>
        <v/>
      </c>
      <c r="Q688" s="36">
        <f>IF(A688="",0,IF(C688="✗",0,IF(OR(C688="✓",AND(Setup!$D$7="Yes",P688&lt;=TODAY())),IF(L688&lt;&gt;"",L688,F688),0)))</f>
        <v/>
      </c>
      <c r="R688" s="32">
        <f>IF(A688="","",IF(M688&lt;&gt;"",M688,G688))</f>
        <v/>
      </c>
      <c r="S688" s="32">
        <f>IF(A688="","",IF(N688&lt;&gt;"",N688,H688))</f>
        <v/>
      </c>
      <c r="T688" s="32">
        <f>IF(A688="","",IF(C688="✗","Skipped",IF(Q688&gt;0,"Paid","Upcoming")))</f>
        <v/>
      </c>
      <c r="U688" s="36">
        <f>IF(A688="",0,IF(C688="✗",0,IF(L688&lt;&gt;"",L688,F688)))</f>
        <v/>
      </c>
    </row>
    <row r="689">
      <c r="A689" s="39">
        <f>IFERROR(SMALL(Calc!$B$2:$BB$61,684),"")</f>
        <v/>
      </c>
      <c r="B689" s="39">
        <f>IF(A689="","",ROUND(MOD(A689,1)*1000,0))</f>
        <v/>
      </c>
      <c r="C689" s="33" t="n"/>
      <c r="D689" s="40">
        <f>IF(A689="","",INT(A689))</f>
        <v/>
      </c>
      <c r="E689" s="41">
        <f>IF(B689="","",INDEX(Setup!$D$25:$D$84,B689))</f>
        <v/>
      </c>
      <c r="F689" s="42">
        <f>IF(B689="","",INDEX(Setup!$E$25:$E$84,B689))</f>
        <v/>
      </c>
      <c r="G689" s="39">
        <f>IF(B689="","",INDEX(Setup!$I$25:$I$84,B689)&amp;"")</f>
        <v/>
      </c>
      <c r="H689" s="39">
        <f>IF(B689="","",INDEX(Setup!$J$25:$J$84,B689)&amp;"")</f>
        <v/>
      </c>
      <c r="I689" s="39">
        <f>IF(B689="","",INDEX(Setup!$C$25:$C$84,B689))</f>
        <v/>
      </c>
      <c r="J689" s="39" t="n"/>
      <c r="K689" s="37" t="n"/>
      <c r="L689" s="38" t="n"/>
      <c r="M689" s="33" t="n"/>
      <c r="N689" s="33" t="n"/>
      <c r="O689" s="39" t="n"/>
      <c r="P689" s="40">
        <f>IF(A689="","",IF(K689&lt;&gt;"",K689,D689))</f>
        <v/>
      </c>
      <c r="Q689" s="42">
        <f>IF(A689="",0,IF(C689="✗",0,IF(OR(C689="✓",AND(Setup!$D$7="Yes",P689&lt;=TODAY())),IF(L689&lt;&gt;"",L689,F689),0)))</f>
        <v/>
      </c>
      <c r="R689" s="39">
        <f>IF(A689="","",IF(M689&lt;&gt;"",M689,G689))</f>
        <v/>
      </c>
      <c r="S689" s="39">
        <f>IF(A689="","",IF(N689&lt;&gt;"",N689,H689))</f>
        <v/>
      </c>
      <c r="T689" s="39">
        <f>IF(A689="","",IF(C689="✗","Skipped",IF(Q689&gt;0,"Paid","Upcoming")))</f>
        <v/>
      </c>
      <c r="U689" s="42">
        <f>IF(A689="",0,IF(C689="✗",0,IF(L689&lt;&gt;"",L689,F689)))</f>
        <v/>
      </c>
    </row>
    <row r="690">
      <c r="A690" s="32">
        <f>IFERROR(SMALL(Calc!$B$2:$BB$61,685),"")</f>
        <v/>
      </c>
      <c r="B690" s="32">
        <f>IF(A690="","",ROUND(MOD(A690,1)*1000,0))</f>
        <v/>
      </c>
      <c r="C690" s="33" t="n"/>
      <c r="D690" s="34">
        <f>IF(A690="","",INT(A690))</f>
        <v/>
      </c>
      <c r="E690" s="35">
        <f>IF(B690="","",INDEX(Setup!$D$25:$D$84,B690))</f>
        <v/>
      </c>
      <c r="F690" s="36">
        <f>IF(B690="","",INDEX(Setup!$E$25:$E$84,B690))</f>
        <v/>
      </c>
      <c r="G690" s="32">
        <f>IF(B690="","",INDEX(Setup!$I$25:$I$84,B690)&amp;"")</f>
        <v/>
      </c>
      <c r="H690" s="32">
        <f>IF(B690="","",INDEX(Setup!$J$25:$J$84,B690)&amp;"")</f>
        <v/>
      </c>
      <c r="I690" s="32">
        <f>IF(B690="","",INDEX(Setup!$C$25:$C$84,B690))</f>
        <v/>
      </c>
      <c r="J690" s="32" t="n"/>
      <c r="K690" s="37" t="n"/>
      <c r="L690" s="38" t="n"/>
      <c r="M690" s="33" t="n"/>
      <c r="N690" s="33" t="n"/>
      <c r="O690" s="32" t="n"/>
      <c r="P690" s="34">
        <f>IF(A690="","",IF(K690&lt;&gt;"",K690,D690))</f>
        <v/>
      </c>
      <c r="Q690" s="36">
        <f>IF(A690="",0,IF(C690="✗",0,IF(OR(C690="✓",AND(Setup!$D$7="Yes",P690&lt;=TODAY())),IF(L690&lt;&gt;"",L690,F690),0)))</f>
        <v/>
      </c>
      <c r="R690" s="32">
        <f>IF(A690="","",IF(M690&lt;&gt;"",M690,G690))</f>
        <v/>
      </c>
      <c r="S690" s="32">
        <f>IF(A690="","",IF(N690&lt;&gt;"",N690,H690))</f>
        <v/>
      </c>
      <c r="T690" s="32">
        <f>IF(A690="","",IF(C690="✗","Skipped",IF(Q690&gt;0,"Paid","Upcoming")))</f>
        <v/>
      </c>
      <c r="U690" s="36">
        <f>IF(A690="",0,IF(C690="✗",0,IF(L690&lt;&gt;"",L690,F690)))</f>
        <v/>
      </c>
    </row>
    <row r="691">
      <c r="A691" s="39">
        <f>IFERROR(SMALL(Calc!$B$2:$BB$61,686),"")</f>
        <v/>
      </c>
      <c r="B691" s="39">
        <f>IF(A691="","",ROUND(MOD(A691,1)*1000,0))</f>
        <v/>
      </c>
      <c r="C691" s="33" t="n"/>
      <c r="D691" s="40">
        <f>IF(A691="","",INT(A691))</f>
        <v/>
      </c>
      <c r="E691" s="41">
        <f>IF(B691="","",INDEX(Setup!$D$25:$D$84,B691))</f>
        <v/>
      </c>
      <c r="F691" s="42">
        <f>IF(B691="","",INDEX(Setup!$E$25:$E$84,B691))</f>
        <v/>
      </c>
      <c r="G691" s="39">
        <f>IF(B691="","",INDEX(Setup!$I$25:$I$84,B691)&amp;"")</f>
        <v/>
      </c>
      <c r="H691" s="39">
        <f>IF(B691="","",INDEX(Setup!$J$25:$J$84,B691)&amp;"")</f>
        <v/>
      </c>
      <c r="I691" s="39">
        <f>IF(B691="","",INDEX(Setup!$C$25:$C$84,B691))</f>
        <v/>
      </c>
      <c r="J691" s="39" t="n"/>
      <c r="K691" s="37" t="n"/>
      <c r="L691" s="38" t="n"/>
      <c r="M691" s="33" t="n"/>
      <c r="N691" s="33" t="n"/>
      <c r="O691" s="39" t="n"/>
      <c r="P691" s="40">
        <f>IF(A691="","",IF(K691&lt;&gt;"",K691,D691))</f>
        <v/>
      </c>
      <c r="Q691" s="42">
        <f>IF(A691="",0,IF(C691="✗",0,IF(OR(C691="✓",AND(Setup!$D$7="Yes",P691&lt;=TODAY())),IF(L691&lt;&gt;"",L691,F691),0)))</f>
        <v/>
      </c>
      <c r="R691" s="39">
        <f>IF(A691="","",IF(M691&lt;&gt;"",M691,G691))</f>
        <v/>
      </c>
      <c r="S691" s="39">
        <f>IF(A691="","",IF(N691&lt;&gt;"",N691,H691))</f>
        <v/>
      </c>
      <c r="T691" s="39">
        <f>IF(A691="","",IF(C691="✗","Skipped",IF(Q691&gt;0,"Paid","Upcoming")))</f>
        <v/>
      </c>
      <c r="U691" s="42">
        <f>IF(A691="",0,IF(C691="✗",0,IF(L691&lt;&gt;"",L691,F691)))</f>
        <v/>
      </c>
    </row>
    <row r="692">
      <c r="A692" s="32">
        <f>IFERROR(SMALL(Calc!$B$2:$BB$61,687),"")</f>
        <v/>
      </c>
      <c r="B692" s="32">
        <f>IF(A692="","",ROUND(MOD(A692,1)*1000,0))</f>
        <v/>
      </c>
      <c r="C692" s="33" t="n"/>
      <c r="D692" s="34">
        <f>IF(A692="","",INT(A692))</f>
        <v/>
      </c>
      <c r="E692" s="35">
        <f>IF(B692="","",INDEX(Setup!$D$25:$D$84,B692))</f>
        <v/>
      </c>
      <c r="F692" s="36">
        <f>IF(B692="","",INDEX(Setup!$E$25:$E$84,B692))</f>
        <v/>
      </c>
      <c r="G692" s="32">
        <f>IF(B692="","",INDEX(Setup!$I$25:$I$84,B692)&amp;"")</f>
        <v/>
      </c>
      <c r="H692" s="32">
        <f>IF(B692="","",INDEX(Setup!$J$25:$J$84,B692)&amp;"")</f>
        <v/>
      </c>
      <c r="I692" s="32">
        <f>IF(B692="","",INDEX(Setup!$C$25:$C$84,B692))</f>
        <v/>
      </c>
      <c r="J692" s="32" t="n"/>
      <c r="K692" s="37" t="n"/>
      <c r="L692" s="38" t="n"/>
      <c r="M692" s="33" t="n"/>
      <c r="N692" s="33" t="n"/>
      <c r="O692" s="32" t="n"/>
      <c r="P692" s="34">
        <f>IF(A692="","",IF(K692&lt;&gt;"",K692,D692))</f>
        <v/>
      </c>
      <c r="Q692" s="36">
        <f>IF(A692="",0,IF(C692="✗",0,IF(OR(C692="✓",AND(Setup!$D$7="Yes",P692&lt;=TODAY())),IF(L692&lt;&gt;"",L692,F692),0)))</f>
        <v/>
      </c>
      <c r="R692" s="32">
        <f>IF(A692="","",IF(M692&lt;&gt;"",M692,G692))</f>
        <v/>
      </c>
      <c r="S692" s="32">
        <f>IF(A692="","",IF(N692&lt;&gt;"",N692,H692))</f>
        <v/>
      </c>
      <c r="T692" s="32">
        <f>IF(A692="","",IF(C692="✗","Skipped",IF(Q692&gt;0,"Paid","Upcoming")))</f>
        <v/>
      </c>
      <c r="U692" s="36">
        <f>IF(A692="",0,IF(C692="✗",0,IF(L692&lt;&gt;"",L692,F692)))</f>
        <v/>
      </c>
    </row>
    <row r="693">
      <c r="A693" s="39">
        <f>IFERROR(SMALL(Calc!$B$2:$BB$61,688),"")</f>
        <v/>
      </c>
      <c r="B693" s="39">
        <f>IF(A693="","",ROUND(MOD(A693,1)*1000,0))</f>
        <v/>
      </c>
      <c r="C693" s="33" t="n"/>
      <c r="D693" s="40">
        <f>IF(A693="","",INT(A693))</f>
        <v/>
      </c>
      <c r="E693" s="41">
        <f>IF(B693="","",INDEX(Setup!$D$25:$D$84,B693))</f>
        <v/>
      </c>
      <c r="F693" s="42">
        <f>IF(B693="","",INDEX(Setup!$E$25:$E$84,B693))</f>
        <v/>
      </c>
      <c r="G693" s="39">
        <f>IF(B693="","",INDEX(Setup!$I$25:$I$84,B693)&amp;"")</f>
        <v/>
      </c>
      <c r="H693" s="39">
        <f>IF(B693="","",INDEX(Setup!$J$25:$J$84,B693)&amp;"")</f>
        <v/>
      </c>
      <c r="I693" s="39">
        <f>IF(B693="","",INDEX(Setup!$C$25:$C$84,B693))</f>
        <v/>
      </c>
      <c r="J693" s="39" t="n"/>
      <c r="K693" s="37" t="n"/>
      <c r="L693" s="38" t="n"/>
      <c r="M693" s="33" t="n"/>
      <c r="N693" s="33" t="n"/>
      <c r="O693" s="39" t="n"/>
      <c r="P693" s="40">
        <f>IF(A693="","",IF(K693&lt;&gt;"",K693,D693))</f>
        <v/>
      </c>
      <c r="Q693" s="42">
        <f>IF(A693="",0,IF(C693="✗",0,IF(OR(C693="✓",AND(Setup!$D$7="Yes",P693&lt;=TODAY())),IF(L693&lt;&gt;"",L693,F693),0)))</f>
        <v/>
      </c>
      <c r="R693" s="39">
        <f>IF(A693="","",IF(M693&lt;&gt;"",M693,G693))</f>
        <v/>
      </c>
      <c r="S693" s="39">
        <f>IF(A693="","",IF(N693&lt;&gt;"",N693,H693))</f>
        <v/>
      </c>
      <c r="T693" s="39">
        <f>IF(A693="","",IF(C693="✗","Skipped",IF(Q693&gt;0,"Paid","Upcoming")))</f>
        <v/>
      </c>
      <c r="U693" s="42">
        <f>IF(A693="",0,IF(C693="✗",0,IF(L693&lt;&gt;"",L693,F693)))</f>
        <v/>
      </c>
    </row>
    <row r="694">
      <c r="A694" s="32">
        <f>IFERROR(SMALL(Calc!$B$2:$BB$61,689),"")</f>
        <v/>
      </c>
      <c r="B694" s="32">
        <f>IF(A694="","",ROUND(MOD(A694,1)*1000,0))</f>
        <v/>
      </c>
      <c r="C694" s="33" t="n"/>
      <c r="D694" s="34">
        <f>IF(A694="","",INT(A694))</f>
        <v/>
      </c>
      <c r="E694" s="35">
        <f>IF(B694="","",INDEX(Setup!$D$25:$D$84,B694))</f>
        <v/>
      </c>
      <c r="F694" s="36">
        <f>IF(B694="","",INDEX(Setup!$E$25:$E$84,B694))</f>
        <v/>
      </c>
      <c r="G694" s="32">
        <f>IF(B694="","",INDEX(Setup!$I$25:$I$84,B694)&amp;"")</f>
        <v/>
      </c>
      <c r="H694" s="32">
        <f>IF(B694="","",INDEX(Setup!$J$25:$J$84,B694)&amp;"")</f>
        <v/>
      </c>
      <c r="I694" s="32">
        <f>IF(B694="","",INDEX(Setup!$C$25:$C$84,B694))</f>
        <v/>
      </c>
      <c r="J694" s="32" t="n"/>
      <c r="K694" s="37" t="n"/>
      <c r="L694" s="38" t="n"/>
      <c r="M694" s="33" t="n"/>
      <c r="N694" s="33" t="n"/>
      <c r="O694" s="32" t="n"/>
      <c r="P694" s="34">
        <f>IF(A694="","",IF(K694&lt;&gt;"",K694,D694))</f>
        <v/>
      </c>
      <c r="Q694" s="36">
        <f>IF(A694="",0,IF(C694="✗",0,IF(OR(C694="✓",AND(Setup!$D$7="Yes",P694&lt;=TODAY())),IF(L694&lt;&gt;"",L694,F694),0)))</f>
        <v/>
      </c>
      <c r="R694" s="32">
        <f>IF(A694="","",IF(M694&lt;&gt;"",M694,G694))</f>
        <v/>
      </c>
      <c r="S694" s="32">
        <f>IF(A694="","",IF(N694&lt;&gt;"",N694,H694))</f>
        <v/>
      </c>
      <c r="T694" s="32">
        <f>IF(A694="","",IF(C694="✗","Skipped",IF(Q694&gt;0,"Paid","Upcoming")))</f>
        <v/>
      </c>
      <c r="U694" s="36">
        <f>IF(A694="",0,IF(C694="✗",0,IF(L694&lt;&gt;"",L694,F694)))</f>
        <v/>
      </c>
    </row>
    <row r="695">
      <c r="A695" s="39">
        <f>IFERROR(SMALL(Calc!$B$2:$BB$61,690),"")</f>
        <v/>
      </c>
      <c r="B695" s="39">
        <f>IF(A695="","",ROUND(MOD(A695,1)*1000,0))</f>
        <v/>
      </c>
      <c r="C695" s="33" t="n"/>
      <c r="D695" s="40">
        <f>IF(A695="","",INT(A695))</f>
        <v/>
      </c>
      <c r="E695" s="41">
        <f>IF(B695="","",INDEX(Setup!$D$25:$D$84,B695))</f>
        <v/>
      </c>
      <c r="F695" s="42">
        <f>IF(B695="","",INDEX(Setup!$E$25:$E$84,B695))</f>
        <v/>
      </c>
      <c r="G695" s="39">
        <f>IF(B695="","",INDEX(Setup!$I$25:$I$84,B695)&amp;"")</f>
        <v/>
      </c>
      <c r="H695" s="39">
        <f>IF(B695="","",INDEX(Setup!$J$25:$J$84,B695)&amp;"")</f>
        <v/>
      </c>
      <c r="I695" s="39">
        <f>IF(B695="","",INDEX(Setup!$C$25:$C$84,B695))</f>
        <v/>
      </c>
      <c r="J695" s="39" t="n"/>
      <c r="K695" s="37" t="n"/>
      <c r="L695" s="38" t="n"/>
      <c r="M695" s="33" t="n"/>
      <c r="N695" s="33" t="n"/>
      <c r="O695" s="39" t="n"/>
      <c r="P695" s="40">
        <f>IF(A695="","",IF(K695&lt;&gt;"",K695,D695))</f>
        <v/>
      </c>
      <c r="Q695" s="42">
        <f>IF(A695="",0,IF(C695="✗",0,IF(OR(C695="✓",AND(Setup!$D$7="Yes",P695&lt;=TODAY())),IF(L695&lt;&gt;"",L695,F695),0)))</f>
        <v/>
      </c>
      <c r="R695" s="39">
        <f>IF(A695="","",IF(M695&lt;&gt;"",M695,G695))</f>
        <v/>
      </c>
      <c r="S695" s="39">
        <f>IF(A695="","",IF(N695&lt;&gt;"",N695,H695))</f>
        <v/>
      </c>
      <c r="T695" s="39">
        <f>IF(A695="","",IF(C695="✗","Skipped",IF(Q695&gt;0,"Paid","Upcoming")))</f>
        <v/>
      </c>
      <c r="U695" s="42">
        <f>IF(A695="",0,IF(C695="✗",0,IF(L695&lt;&gt;"",L695,F695)))</f>
        <v/>
      </c>
    </row>
    <row r="696">
      <c r="A696" s="32">
        <f>IFERROR(SMALL(Calc!$B$2:$BB$61,691),"")</f>
        <v/>
      </c>
      <c r="B696" s="32">
        <f>IF(A696="","",ROUND(MOD(A696,1)*1000,0))</f>
        <v/>
      </c>
      <c r="C696" s="33" t="n"/>
      <c r="D696" s="34">
        <f>IF(A696="","",INT(A696))</f>
        <v/>
      </c>
      <c r="E696" s="35">
        <f>IF(B696="","",INDEX(Setup!$D$25:$D$84,B696))</f>
        <v/>
      </c>
      <c r="F696" s="36">
        <f>IF(B696="","",INDEX(Setup!$E$25:$E$84,B696))</f>
        <v/>
      </c>
      <c r="G696" s="32">
        <f>IF(B696="","",INDEX(Setup!$I$25:$I$84,B696)&amp;"")</f>
        <v/>
      </c>
      <c r="H696" s="32">
        <f>IF(B696="","",INDEX(Setup!$J$25:$J$84,B696)&amp;"")</f>
        <v/>
      </c>
      <c r="I696" s="32">
        <f>IF(B696="","",INDEX(Setup!$C$25:$C$84,B696))</f>
        <v/>
      </c>
      <c r="J696" s="32" t="n"/>
      <c r="K696" s="37" t="n"/>
      <c r="L696" s="38" t="n"/>
      <c r="M696" s="33" t="n"/>
      <c r="N696" s="33" t="n"/>
      <c r="O696" s="32" t="n"/>
      <c r="P696" s="34">
        <f>IF(A696="","",IF(K696&lt;&gt;"",K696,D696))</f>
        <v/>
      </c>
      <c r="Q696" s="36">
        <f>IF(A696="",0,IF(C696="✗",0,IF(OR(C696="✓",AND(Setup!$D$7="Yes",P696&lt;=TODAY())),IF(L696&lt;&gt;"",L696,F696),0)))</f>
        <v/>
      </c>
      <c r="R696" s="32">
        <f>IF(A696="","",IF(M696&lt;&gt;"",M696,G696))</f>
        <v/>
      </c>
      <c r="S696" s="32">
        <f>IF(A696="","",IF(N696&lt;&gt;"",N696,H696))</f>
        <v/>
      </c>
      <c r="T696" s="32">
        <f>IF(A696="","",IF(C696="✗","Skipped",IF(Q696&gt;0,"Paid","Upcoming")))</f>
        <v/>
      </c>
      <c r="U696" s="36">
        <f>IF(A696="",0,IF(C696="✗",0,IF(L696&lt;&gt;"",L696,F696)))</f>
        <v/>
      </c>
    </row>
    <row r="697">
      <c r="A697" s="39">
        <f>IFERROR(SMALL(Calc!$B$2:$BB$61,692),"")</f>
        <v/>
      </c>
      <c r="B697" s="39">
        <f>IF(A697="","",ROUND(MOD(A697,1)*1000,0))</f>
        <v/>
      </c>
      <c r="C697" s="33" t="n"/>
      <c r="D697" s="40">
        <f>IF(A697="","",INT(A697))</f>
        <v/>
      </c>
      <c r="E697" s="41">
        <f>IF(B697="","",INDEX(Setup!$D$25:$D$84,B697))</f>
        <v/>
      </c>
      <c r="F697" s="42">
        <f>IF(B697="","",INDEX(Setup!$E$25:$E$84,B697))</f>
        <v/>
      </c>
      <c r="G697" s="39">
        <f>IF(B697="","",INDEX(Setup!$I$25:$I$84,B697)&amp;"")</f>
        <v/>
      </c>
      <c r="H697" s="39">
        <f>IF(B697="","",INDEX(Setup!$J$25:$J$84,B697)&amp;"")</f>
        <v/>
      </c>
      <c r="I697" s="39">
        <f>IF(B697="","",INDEX(Setup!$C$25:$C$84,B697))</f>
        <v/>
      </c>
      <c r="J697" s="39" t="n"/>
      <c r="K697" s="37" t="n"/>
      <c r="L697" s="38" t="n"/>
      <c r="M697" s="33" t="n"/>
      <c r="N697" s="33" t="n"/>
      <c r="O697" s="39" t="n"/>
      <c r="P697" s="40">
        <f>IF(A697="","",IF(K697&lt;&gt;"",K697,D697))</f>
        <v/>
      </c>
      <c r="Q697" s="42">
        <f>IF(A697="",0,IF(C697="✗",0,IF(OR(C697="✓",AND(Setup!$D$7="Yes",P697&lt;=TODAY())),IF(L697&lt;&gt;"",L697,F697),0)))</f>
        <v/>
      </c>
      <c r="R697" s="39">
        <f>IF(A697="","",IF(M697&lt;&gt;"",M697,G697))</f>
        <v/>
      </c>
      <c r="S697" s="39">
        <f>IF(A697="","",IF(N697&lt;&gt;"",N697,H697))</f>
        <v/>
      </c>
      <c r="T697" s="39">
        <f>IF(A697="","",IF(C697="✗","Skipped",IF(Q697&gt;0,"Paid","Upcoming")))</f>
        <v/>
      </c>
      <c r="U697" s="42">
        <f>IF(A697="",0,IF(C697="✗",0,IF(L697&lt;&gt;"",L697,F697)))</f>
        <v/>
      </c>
    </row>
    <row r="698">
      <c r="A698" s="32">
        <f>IFERROR(SMALL(Calc!$B$2:$BB$61,693),"")</f>
        <v/>
      </c>
      <c r="B698" s="32">
        <f>IF(A698="","",ROUND(MOD(A698,1)*1000,0))</f>
        <v/>
      </c>
      <c r="C698" s="33" t="n"/>
      <c r="D698" s="34">
        <f>IF(A698="","",INT(A698))</f>
        <v/>
      </c>
      <c r="E698" s="35">
        <f>IF(B698="","",INDEX(Setup!$D$25:$D$84,B698))</f>
        <v/>
      </c>
      <c r="F698" s="36">
        <f>IF(B698="","",INDEX(Setup!$E$25:$E$84,B698))</f>
        <v/>
      </c>
      <c r="G698" s="32">
        <f>IF(B698="","",INDEX(Setup!$I$25:$I$84,B698)&amp;"")</f>
        <v/>
      </c>
      <c r="H698" s="32">
        <f>IF(B698="","",INDEX(Setup!$J$25:$J$84,B698)&amp;"")</f>
        <v/>
      </c>
      <c r="I698" s="32">
        <f>IF(B698="","",INDEX(Setup!$C$25:$C$84,B698))</f>
        <v/>
      </c>
      <c r="J698" s="32" t="n"/>
      <c r="K698" s="37" t="n"/>
      <c r="L698" s="38" t="n"/>
      <c r="M698" s="33" t="n"/>
      <c r="N698" s="33" t="n"/>
      <c r="O698" s="32" t="n"/>
      <c r="P698" s="34">
        <f>IF(A698="","",IF(K698&lt;&gt;"",K698,D698))</f>
        <v/>
      </c>
      <c r="Q698" s="36">
        <f>IF(A698="",0,IF(C698="✗",0,IF(OR(C698="✓",AND(Setup!$D$7="Yes",P698&lt;=TODAY())),IF(L698&lt;&gt;"",L698,F698),0)))</f>
        <v/>
      </c>
      <c r="R698" s="32">
        <f>IF(A698="","",IF(M698&lt;&gt;"",M698,G698))</f>
        <v/>
      </c>
      <c r="S698" s="32">
        <f>IF(A698="","",IF(N698&lt;&gt;"",N698,H698))</f>
        <v/>
      </c>
      <c r="T698" s="32">
        <f>IF(A698="","",IF(C698="✗","Skipped",IF(Q698&gt;0,"Paid","Upcoming")))</f>
        <v/>
      </c>
      <c r="U698" s="36">
        <f>IF(A698="",0,IF(C698="✗",0,IF(L698&lt;&gt;"",L698,F698)))</f>
        <v/>
      </c>
    </row>
    <row r="699">
      <c r="A699" s="39">
        <f>IFERROR(SMALL(Calc!$B$2:$BB$61,694),"")</f>
        <v/>
      </c>
      <c r="B699" s="39">
        <f>IF(A699="","",ROUND(MOD(A699,1)*1000,0))</f>
        <v/>
      </c>
      <c r="C699" s="33" t="n"/>
      <c r="D699" s="40">
        <f>IF(A699="","",INT(A699))</f>
        <v/>
      </c>
      <c r="E699" s="41">
        <f>IF(B699="","",INDEX(Setup!$D$25:$D$84,B699))</f>
        <v/>
      </c>
      <c r="F699" s="42">
        <f>IF(B699="","",INDEX(Setup!$E$25:$E$84,B699))</f>
        <v/>
      </c>
      <c r="G699" s="39">
        <f>IF(B699="","",INDEX(Setup!$I$25:$I$84,B699)&amp;"")</f>
        <v/>
      </c>
      <c r="H699" s="39">
        <f>IF(B699="","",INDEX(Setup!$J$25:$J$84,B699)&amp;"")</f>
        <v/>
      </c>
      <c r="I699" s="39">
        <f>IF(B699="","",INDEX(Setup!$C$25:$C$84,B699))</f>
        <v/>
      </c>
      <c r="J699" s="39" t="n"/>
      <c r="K699" s="37" t="n"/>
      <c r="L699" s="38" t="n"/>
      <c r="M699" s="33" t="n"/>
      <c r="N699" s="33" t="n"/>
      <c r="O699" s="39" t="n"/>
      <c r="P699" s="40">
        <f>IF(A699="","",IF(K699&lt;&gt;"",K699,D699))</f>
        <v/>
      </c>
      <c r="Q699" s="42">
        <f>IF(A699="",0,IF(C699="✗",0,IF(OR(C699="✓",AND(Setup!$D$7="Yes",P699&lt;=TODAY())),IF(L699&lt;&gt;"",L699,F699),0)))</f>
        <v/>
      </c>
      <c r="R699" s="39">
        <f>IF(A699="","",IF(M699&lt;&gt;"",M699,G699))</f>
        <v/>
      </c>
      <c r="S699" s="39">
        <f>IF(A699="","",IF(N699&lt;&gt;"",N699,H699))</f>
        <v/>
      </c>
      <c r="T699" s="39">
        <f>IF(A699="","",IF(C699="✗","Skipped",IF(Q699&gt;0,"Paid","Upcoming")))</f>
        <v/>
      </c>
      <c r="U699" s="42">
        <f>IF(A699="",0,IF(C699="✗",0,IF(L699&lt;&gt;"",L699,F699)))</f>
        <v/>
      </c>
    </row>
    <row r="700">
      <c r="A700" s="32">
        <f>IFERROR(SMALL(Calc!$B$2:$BB$61,695),"")</f>
        <v/>
      </c>
      <c r="B700" s="32">
        <f>IF(A700="","",ROUND(MOD(A700,1)*1000,0))</f>
        <v/>
      </c>
      <c r="C700" s="33" t="n"/>
      <c r="D700" s="34">
        <f>IF(A700="","",INT(A700))</f>
        <v/>
      </c>
      <c r="E700" s="35">
        <f>IF(B700="","",INDEX(Setup!$D$25:$D$84,B700))</f>
        <v/>
      </c>
      <c r="F700" s="36">
        <f>IF(B700="","",INDEX(Setup!$E$25:$E$84,B700))</f>
        <v/>
      </c>
      <c r="G700" s="32">
        <f>IF(B700="","",INDEX(Setup!$I$25:$I$84,B700)&amp;"")</f>
        <v/>
      </c>
      <c r="H700" s="32">
        <f>IF(B700="","",INDEX(Setup!$J$25:$J$84,B700)&amp;"")</f>
        <v/>
      </c>
      <c r="I700" s="32">
        <f>IF(B700="","",INDEX(Setup!$C$25:$C$84,B700))</f>
        <v/>
      </c>
      <c r="J700" s="32" t="n"/>
      <c r="K700" s="37" t="n"/>
      <c r="L700" s="38" t="n"/>
      <c r="M700" s="33" t="n"/>
      <c r="N700" s="33" t="n"/>
      <c r="O700" s="32" t="n"/>
      <c r="P700" s="34">
        <f>IF(A700="","",IF(K700&lt;&gt;"",K700,D700))</f>
        <v/>
      </c>
      <c r="Q700" s="36">
        <f>IF(A700="",0,IF(C700="✗",0,IF(OR(C700="✓",AND(Setup!$D$7="Yes",P700&lt;=TODAY())),IF(L700&lt;&gt;"",L700,F700),0)))</f>
        <v/>
      </c>
      <c r="R700" s="32">
        <f>IF(A700="","",IF(M700&lt;&gt;"",M700,G700))</f>
        <v/>
      </c>
      <c r="S700" s="32">
        <f>IF(A700="","",IF(N700&lt;&gt;"",N700,H700))</f>
        <v/>
      </c>
      <c r="T700" s="32">
        <f>IF(A700="","",IF(C700="✗","Skipped",IF(Q700&gt;0,"Paid","Upcoming")))</f>
        <v/>
      </c>
      <c r="U700" s="36">
        <f>IF(A700="",0,IF(C700="✗",0,IF(L700&lt;&gt;"",L700,F700)))</f>
        <v/>
      </c>
    </row>
    <row r="701">
      <c r="A701" s="39">
        <f>IFERROR(SMALL(Calc!$B$2:$BB$61,696),"")</f>
        <v/>
      </c>
      <c r="B701" s="39">
        <f>IF(A701="","",ROUND(MOD(A701,1)*1000,0))</f>
        <v/>
      </c>
      <c r="C701" s="33" t="n"/>
      <c r="D701" s="40">
        <f>IF(A701="","",INT(A701))</f>
        <v/>
      </c>
      <c r="E701" s="41">
        <f>IF(B701="","",INDEX(Setup!$D$25:$D$84,B701))</f>
        <v/>
      </c>
      <c r="F701" s="42">
        <f>IF(B701="","",INDEX(Setup!$E$25:$E$84,B701))</f>
        <v/>
      </c>
      <c r="G701" s="39">
        <f>IF(B701="","",INDEX(Setup!$I$25:$I$84,B701)&amp;"")</f>
        <v/>
      </c>
      <c r="H701" s="39">
        <f>IF(B701="","",INDEX(Setup!$J$25:$J$84,B701)&amp;"")</f>
        <v/>
      </c>
      <c r="I701" s="39">
        <f>IF(B701="","",INDEX(Setup!$C$25:$C$84,B701))</f>
        <v/>
      </c>
      <c r="J701" s="39" t="n"/>
      <c r="K701" s="37" t="n"/>
      <c r="L701" s="38" t="n"/>
      <c r="M701" s="33" t="n"/>
      <c r="N701" s="33" t="n"/>
      <c r="O701" s="39" t="n"/>
      <c r="P701" s="40">
        <f>IF(A701="","",IF(K701&lt;&gt;"",K701,D701))</f>
        <v/>
      </c>
      <c r="Q701" s="42">
        <f>IF(A701="",0,IF(C701="✗",0,IF(OR(C701="✓",AND(Setup!$D$7="Yes",P701&lt;=TODAY())),IF(L701&lt;&gt;"",L701,F701),0)))</f>
        <v/>
      </c>
      <c r="R701" s="39">
        <f>IF(A701="","",IF(M701&lt;&gt;"",M701,G701))</f>
        <v/>
      </c>
      <c r="S701" s="39">
        <f>IF(A701="","",IF(N701&lt;&gt;"",N701,H701))</f>
        <v/>
      </c>
      <c r="T701" s="39">
        <f>IF(A701="","",IF(C701="✗","Skipped",IF(Q701&gt;0,"Paid","Upcoming")))</f>
        <v/>
      </c>
      <c r="U701" s="42">
        <f>IF(A701="",0,IF(C701="✗",0,IF(L701&lt;&gt;"",L701,F701)))</f>
        <v/>
      </c>
    </row>
    <row r="702">
      <c r="A702" s="32">
        <f>IFERROR(SMALL(Calc!$B$2:$BB$61,697),"")</f>
        <v/>
      </c>
      <c r="B702" s="32">
        <f>IF(A702="","",ROUND(MOD(A702,1)*1000,0))</f>
        <v/>
      </c>
      <c r="C702" s="33" t="n"/>
      <c r="D702" s="34">
        <f>IF(A702="","",INT(A702))</f>
        <v/>
      </c>
      <c r="E702" s="35">
        <f>IF(B702="","",INDEX(Setup!$D$25:$D$84,B702))</f>
        <v/>
      </c>
      <c r="F702" s="36">
        <f>IF(B702="","",INDEX(Setup!$E$25:$E$84,B702))</f>
        <v/>
      </c>
      <c r="G702" s="32">
        <f>IF(B702="","",INDEX(Setup!$I$25:$I$84,B702)&amp;"")</f>
        <v/>
      </c>
      <c r="H702" s="32">
        <f>IF(B702="","",INDEX(Setup!$J$25:$J$84,B702)&amp;"")</f>
        <v/>
      </c>
      <c r="I702" s="32">
        <f>IF(B702="","",INDEX(Setup!$C$25:$C$84,B702))</f>
        <v/>
      </c>
      <c r="J702" s="32" t="n"/>
      <c r="K702" s="37" t="n"/>
      <c r="L702" s="38" t="n"/>
      <c r="M702" s="33" t="n"/>
      <c r="N702" s="33" t="n"/>
      <c r="O702" s="32" t="n"/>
      <c r="P702" s="34">
        <f>IF(A702="","",IF(K702&lt;&gt;"",K702,D702))</f>
        <v/>
      </c>
      <c r="Q702" s="36">
        <f>IF(A702="",0,IF(C702="✗",0,IF(OR(C702="✓",AND(Setup!$D$7="Yes",P702&lt;=TODAY())),IF(L702&lt;&gt;"",L702,F702),0)))</f>
        <v/>
      </c>
      <c r="R702" s="32">
        <f>IF(A702="","",IF(M702&lt;&gt;"",M702,G702))</f>
        <v/>
      </c>
      <c r="S702" s="32">
        <f>IF(A702="","",IF(N702&lt;&gt;"",N702,H702))</f>
        <v/>
      </c>
      <c r="T702" s="32">
        <f>IF(A702="","",IF(C702="✗","Skipped",IF(Q702&gt;0,"Paid","Upcoming")))</f>
        <v/>
      </c>
      <c r="U702" s="36">
        <f>IF(A702="",0,IF(C702="✗",0,IF(L702&lt;&gt;"",L702,F702)))</f>
        <v/>
      </c>
    </row>
    <row r="703">
      <c r="A703" s="39">
        <f>IFERROR(SMALL(Calc!$B$2:$BB$61,698),"")</f>
        <v/>
      </c>
      <c r="B703" s="39">
        <f>IF(A703="","",ROUND(MOD(A703,1)*1000,0))</f>
        <v/>
      </c>
      <c r="C703" s="33" t="n"/>
      <c r="D703" s="40">
        <f>IF(A703="","",INT(A703))</f>
        <v/>
      </c>
      <c r="E703" s="41">
        <f>IF(B703="","",INDEX(Setup!$D$25:$D$84,B703))</f>
        <v/>
      </c>
      <c r="F703" s="42">
        <f>IF(B703="","",INDEX(Setup!$E$25:$E$84,B703))</f>
        <v/>
      </c>
      <c r="G703" s="39">
        <f>IF(B703="","",INDEX(Setup!$I$25:$I$84,B703)&amp;"")</f>
        <v/>
      </c>
      <c r="H703" s="39">
        <f>IF(B703="","",INDEX(Setup!$J$25:$J$84,B703)&amp;"")</f>
        <v/>
      </c>
      <c r="I703" s="39">
        <f>IF(B703="","",INDEX(Setup!$C$25:$C$84,B703))</f>
        <v/>
      </c>
      <c r="J703" s="39" t="n"/>
      <c r="K703" s="37" t="n"/>
      <c r="L703" s="38" t="n"/>
      <c r="M703" s="33" t="n"/>
      <c r="N703" s="33" t="n"/>
      <c r="O703" s="39" t="n"/>
      <c r="P703" s="40">
        <f>IF(A703="","",IF(K703&lt;&gt;"",K703,D703))</f>
        <v/>
      </c>
      <c r="Q703" s="42">
        <f>IF(A703="",0,IF(C703="✗",0,IF(OR(C703="✓",AND(Setup!$D$7="Yes",P703&lt;=TODAY())),IF(L703&lt;&gt;"",L703,F703),0)))</f>
        <v/>
      </c>
      <c r="R703" s="39">
        <f>IF(A703="","",IF(M703&lt;&gt;"",M703,G703))</f>
        <v/>
      </c>
      <c r="S703" s="39">
        <f>IF(A703="","",IF(N703&lt;&gt;"",N703,H703))</f>
        <v/>
      </c>
      <c r="T703" s="39">
        <f>IF(A703="","",IF(C703="✗","Skipped",IF(Q703&gt;0,"Paid","Upcoming")))</f>
        <v/>
      </c>
      <c r="U703" s="42">
        <f>IF(A703="",0,IF(C703="✗",0,IF(L703&lt;&gt;"",L703,F703)))</f>
        <v/>
      </c>
    </row>
    <row r="704">
      <c r="A704" s="32">
        <f>IFERROR(SMALL(Calc!$B$2:$BB$61,699),"")</f>
        <v/>
      </c>
      <c r="B704" s="32">
        <f>IF(A704="","",ROUND(MOD(A704,1)*1000,0))</f>
        <v/>
      </c>
      <c r="C704" s="33" t="n"/>
      <c r="D704" s="34">
        <f>IF(A704="","",INT(A704))</f>
        <v/>
      </c>
      <c r="E704" s="35">
        <f>IF(B704="","",INDEX(Setup!$D$25:$D$84,B704))</f>
        <v/>
      </c>
      <c r="F704" s="36">
        <f>IF(B704="","",INDEX(Setup!$E$25:$E$84,B704))</f>
        <v/>
      </c>
      <c r="G704" s="32">
        <f>IF(B704="","",INDEX(Setup!$I$25:$I$84,B704)&amp;"")</f>
        <v/>
      </c>
      <c r="H704" s="32">
        <f>IF(B704="","",INDEX(Setup!$J$25:$J$84,B704)&amp;"")</f>
        <v/>
      </c>
      <c r="I704" s="32">
        <f>IF(B704="","",INDEX(Setup!$C$25:$C$84,B704))</f>
        <v/>
      </c>
      <c r="J704" s="32" t="n"/>
      <c r="K704" s="37" t="n"/>
      <c r="L704" s="38" t="n"/>
      <c r="M704" s="33" t="n"/>
      <c r="N704" s="33" t="n"/>
      <c r="O704" s="32" t="n"/>
      <c r="P704" s="34">
        <f>IF(A704="","",IF(K704&lt;&gt;"",K704,D704))</f>
        <v/>
      </c>
      <c r="Q704" s="36">
        <f>IF(A704="",0,IF(C704="✗",0,IF(OR(C704="✓",AND(Setup!$D$7="Yes",P704&lt;=TODAY())),IF(L704&lt;&gt;"",L704,F704),0)))</f>
        <v/>
      </c>
      <c r="R704" s="32">
        <f>IF(A704="","",IF(M704&lt;&gt;"",M704,G704))</f>
        <v/>
      </c>
      <c r="S704" s="32">
        <f>IF(A704="","",IF(N704&lt;&gt;"",N704,H704))</f>
        <v/>
      </c>
      <c r="T704" s="32">
        <f>IF(A704="","",IF(C704="✗","Skipped",IF(Q704&gt;0,"Paid","Upcoming")))</f>
        <v/>
      </c>
      <c r="U704" s="36">
        <f>IF(A704="",0,IF(C704="✗",0,IF(L704&lt;&gt;"",L704,F704)))</f>
        <v/>
      </c>
    </row>
    <row r="705">
      <c r="A705" s="39">
        <f>IFERROR(SMALL(Calc!$B$2:$BB$61,700),"")</f>
        <v/>
      </c>
      <c r="B705" s="39">
        <f>IF(A705="","",ROUND(MOD(A705,1)*1000,0))</f>
        <v/>
      </c>
      <c r="C705" s="33" t="n"/>
      <c r="D705" s="40">
        <f>IF(A705="","",INT(A705))</f>
        <v/>
      </c>
      <c r="E705" s="41">
        <f>IF(B705="","",INDEX(Setup!$D$25:$D$84,B705))</f>
        <v/>
      </c>
      <c r="F705" s="42">
        <f>IF(B705="","",INDEX(Setup!$E$25:$E$84,B705))</f>
        <v/>
      </c>
      <c r="G705" s="39">
        <f>IF(B705="","",INDEX(Setup!$I$25:$I$84,B705)&amp;"")</f>
        <v/>
      </c>
      <c r="H705" s="39">
        <f>IF(B705="","",INDEX(Setup!$J$25:$J$84,B705)&amp;"")</f>
        <v/>
      </c>
      <c r="I705" s="39">
        <f>IF(B705="","",INDEX(Setup!$C$25:$C$84,B705))</f>
        <v/>
      </c>
      <c r="J705" s="39" t="n"/>
      <c r="K705" s="37" t="n"/>
      <c r="L705" s="38" t="n"/>
      <c r="M705" s="33" t="n"/>
      <c r="N705" s="33" t="n"/>
      <c r="O705" s="39" t="n"/>
      <c r="P705" s="40">
        <f>IF(A705="","",IF(K705&lt;&gt;"",K705,D705))</f>
        <v/>
      </c>
      <c r="Q705" s="42">
        <f>IF(A705="",0,IF(C705="✗",0,IF(OR(C705="✓",AND(Setup!$D$7="Yes",P705&lt;=TODAY())),IF(L705&lt;&gt;"",L705,F705),0)))</f>
        <v/>
      </c>
      <c r="R705" s="39">
        <f>IF(A705="","",IF(M705&lt;&gt;"",M705,G705))</f>
        <v/>
      </c>
      <c r="S705" s="39">
        <f>IF(A705="","",IF(N705&lt;&gt;"",N705,H705))</f>
        <v/>
      </c>
      <c r="T705" s="39">
        <f>IF(A705="","",IF(C705="✗","Skipped",IF(Q705&gt;0,"Paid","Upcoming")))</f>
        <v/>
      </c>
      <c r="U705" s="42">
        <f>IF(A705="",0,IF(C705="✗",0,IF(L705&lt;&gt;"",L705,F705)))</f>
        <v/>
      </c>
    </row>
    <row r="706">
      <c r="A706" s="32">
        <f>IFERROR(SMALL(Calc!$B$2:$BB$61,701),"")</f>
        <v/>
      </c>
      <c r="B706" s="32">
        <f>IF(A706="","",ROUND(MOD(A706,1)*1000,0))</f>
        <v/>
      </c>
      <c r="C706" s="33" t="n"/>
      <c r="D706" s="34">
        <f>IF(A706="","",INT(A706))</f>
        <v/>
      </c>
      <c r="E706" s="35">
        <f>IF(B706="","",INDEX(Setup!$D$25:$D$84,B706))</f>
        <v/>
      </c>
      <c r="F706" s="36">
        <f>IF(B706="","",INDEX(Setup!$E$25:$E$84,B706))</f>
        <v/>
      </c>
      <c r="G706" s="32">
        <f>IF(B706="","",INDEX(Setup!$I$25:$I$84,B706)&amp;"")</f>
        <v/>
      </c>
      <c r="H706" s="32">
        <f>IF(B706="","",INDEX(Setup!$J$25:$J$84,B706)&amp;"")</f>
        <v/>
      </c>
      <c r="I706" s="32">
        <f>IF(B706="","",INDEX(Setup!$C$25:$C$84,B706))</f>
        <v/>
      </c>
      <c r="J706" s="32" t="n"/>
      <c r="K706" s="37" t="n"/>
      <c r="L706" s="38" t="n"/>
      <c r="M706" s="33" t="n"/>
      <c r="N706" s="33" t="n"/>
      <c r="O706" s="32" t="n"/>
      <c r="P706" s="34">
        <f>IF(A706="","",IF(K706&lt;&gt;"",K706,D706))</f>
        <v/>
      </c>
      <c r="Q706" s="36">
        <f>IF(A706="",0,IF(C706="✗",0,IF(OR(C706="✓",AND(Setup!$D$7="Yes",P706&lt;=TODAY())),IF(L706&lt;&gt;"",L706,F706),0)))</f>
        <v/>
      </c>
      <c r="R706" s="32">
        <f>IF(A706="","",IF(M706&lt;&gt;"",M706,G706))</f>
        <v/>
      </c>
      <c r="S706" s="32">
        <f>IF(A706="","",IF(N706&lt;&gt;"",N706,H706))</f>
        <v/>
      </c>
      <c r="T706" s="32">
        <f>IF(A706="","",IF(C706="✗","Skipped",IF(Q706&gt;0,"Paid","Upcoming")))</f>
        <v/>
      </c>
      <c r="U706" s="36">
        <f>IF(A706="",0,IF(C706="✗",0,IF(L706&lt;&gt;"",L706,F706)))</f>
        <v/>
      </c>
    </row>
    <row r="707">
      <c r="A707" s="39">
        <f>IFERROR(SMALL(Calc!$B$2:$BB$61,702),"")</f>
        <v/>
      </c>
      <c r="B707" s="39">
        <f>IF(A707="","",ROUND(MOD(A707,1)*1000,0))</f>
        <v/>
      </c>
      <c r="C707" s="33" t="n"/>
      <c r="D707" s="40">
        <f>IF(A707="","",INT(A707))</f>
        <v/>
      </c>
      <c r="E707" s="41">
        <f>IF(B707="","",INDEX(Setup!$D$25:$D$84,B707))</f>
        <v/>
      </c>
      <c r="F707" s="42">
        <f>IF(B707="","",INDEX(Setup!$E$25:$E$84,B707))</f>
        <v/>
      </c>
      <c r="G707" s="39">
        <f>IF(B707="","",INDEX(Setup!$I$25:$I$84,B707)&amp;"")</f>
        <v/>
      </c>
      <c r="H707" s="39">
        <f>IF(B707="","",INDEX(Setup!$J$25:$J$84,B707)&amp;"")</f>
        <v/>
      </c>
      <c r="I707" s="39">
        <f>IF(B707="","",INDEX(Setup!$C$25:$C$84,B707))</f>
        <v/>
      </c>
      <c r="J707" s="39" t="n"/>
      <c r="K707" s="37" t="n"/>
      <c r="L707" s="38" t="n"/>
      <c r="M707" s="33" t="n"/>
      <c r="N707" s="33" t="n"/>
      <c r="O707" s="39" t="n"/>
      <c r="P707" s="40">
        <f>IF(A707="","",IF(K707&lt;&gt;"",K707,D707))</f>
        <v/>
      </c>
      <c r="Q707" s="42">
        <f>IF(A707="",0,IF(C707="✗",0,IF(OR(C707="✓",AND(Setup!$D$7="Yes",P707&lt;=TODAY())),IF(L707&lt;&gt;"",L707,F707),0)))</f>
        <v/>
      </c>
      <c r="R707" s="39">
        <f>IF(A707="","",IF(M707&lt;&gt;"",M707,G707))</f>
        <v/>
      </c>
      <c r="S707" s="39">
        <f>IF(A707="","",IF(N707&lt;&gt;"",N707,H707))</f>
        <v/>
      </c>
      <c r="T707" s="39">
        <f>IF(A707="","",IF(C707="✗","Skipped",IF(Q707&gt;0,"Paid","Upcoming")))</f>
        <v/>
      </c>
      <c r="U707" s="42">
        <f>IF(A707="",0,IF(C707="✗",0,IF(L707&lt;&gt;"",L707,F707)))</f>
        <v/>
      </c>
    </row>
    <row r="708">
      <c r="A708" s="32">
        <f>IFERROR(SMALL(Calc!$B$2:$BB$61,703),"")</f>
        <v/>
      </c>
      <c r="B708" s="32">
        <f>IF(A708="","",ROUND(MOD(A708,1)*1000,0))</f>
        <v/>
      </c>
      <c r="C708" s="33" t="n"/>
      <c r="D708" s="34">
        <f>IF(A708="","",INT(A708))</f>
        <v/>
      </c>
      <c r="E708" s="35">
        <f>IF(B708="","",INDEX(Setup!$D$25:$D$84,B708))</f>
        <v/>
      </c>
      <c r="F708" s="36">
        <f>IF(B708="","",INDEX(Setup!$E$25:$E$84,B708))</f>
        <v/>
      </c>
      <c r="G708" s="32">
        <f>IF(B708="","",INDEX(Setup!$I$25:$I$84,B708)&amp;"")</f>
        <v/>
      </c>
      <c r="H708" s="32">
        <f>IF(B708="","",INDEX(Setup!$J$25:$J$84,B708)&amp;"")</f>
        <v/>
      </c>
      <c r="I708" s="32">
        <f>IF(B708="","",INDEX(Setup!$C$25:$C$84,B708))</f>
        <v/>
      </c>
      <c r="J708" s="32" t="n"/>
      <c r="K708" s="37" t="n"/>
      <c r="L708" s="38" t="n"/>
      <c r="M708" s="33" t="n"/>
      <c r="N708" s="33" t="n"/>
      <c r="O708" s="32" t="n"/>
      <c r="P708" s="34">
        <f>IF(A708="","",IF(K708&lt;&gt;"",K708,D708))</f>
        <v/>
      </c>
      <c r="Q708" s="36">
        <f>IF(A708="",0,IF(C708="✗",0,IF(OR(C708="✓",AND(Setup!$D$7="Yes",P708&lt;=TODAY())),IF(L708&lt;&gt;"",L708,F708),0)))</f>
        <v/>
      </c>
      <c r="R708" s="32">
        <f>IF(A708="","",IF(M708&lt;&gt;"",M708,G708))</f>
        <v/>
      </c>
      <c r="S708" s="32">
        <f>IF(A708="","",IF(N708&lt;&gt;"",N708,H708))</f>
        <v/>
      </c>
      <c r="T708" s="32">
        <f>IF(A708="","",IF(C708="✗","Skipped",IF(Q708&gt;0,"Paid","Upcoming")))</f>
        <v/>
      </c>
      <c r="U708" s="36">
        <f>IF(A708="",0,IF(C708="✗",0,IF(L708&lt;&gt;"",L708,F708)))</f>
        <v/>
      </c>
    </row>
    <row r="709">
      <c r="A709" s="39">
        <f>IFERROR(SMALL(Calc!$B$2:$BB$61,704),"")</f>
        <v/>
      </c>
      <c r="B709" s="39">
        <f>IF(A709="","",ROUND(MOD(A709,1)*1000,0))</f>
        <v/>
      </c>
      <c r="C709" s="33" t="n"/>
      <c r="D709" s="40">
        <f>IF(A709="","",INT(A709))</f>
        <v/>
      </c>
      <c r="E709" s="41">
        <f>IF(B709="","",INDEX(Setup!$D$25:$D$84,B709))</f>
        <v/>
      </c>
      <c r="F709" s="42">
        <f>IF(B709="","",INDEX(Setup!$E$25:$E$84,B709))</f>
        <v/>
      </c>
      <c r="G709" s="39">
        <f>IF(B709="","",INDEX(Setup!$I$25:$I$84,B709)&amp;"")</f>
        <v/>
      </c>
      <c r="H709" s="39">
        <f>IF(B709="","",INDEX(Setup!$J$25:$J$84,B709)&amp;"")</f>
        <v/>
      </c>
      <c r="I709" s="39">
        <f>IF(B709="","",INDEX(Setup!$C$25:$C$84,B709))</f>
        <v/>
      </c>
      <c r="J709" s="39" t="n"/>
      <c r="K709" s="37" t="n"/>
      <c r="L709" s="38" t="n"/>
      <c r="M709" s="33" t="n"/>
      <c r="N709" s="33" t="n"/>
      <c r="O709" s="39" t="n"/>
      <c r="P709" s="40">
        <f>IF(A709="","",IF(K709&lt;&gt;"",K709,D709))</f>
        <v/>
      </c>
      <c r="Q709" s="42">
        <f>IF(A709="",0,IF(C709="✗",0,IF(OR(C709="✓",AND(Setup!$D$7="Yes",P709&lt;=TODAY())),IF(L709&lt;&gt;"",L709,F709),0)))</f>
        <v/>
      </c>
      <c r="R709" s="39">
        <f>IF(A709="","",IF(M709&lt;&gt;"",M709,G709))</f>
        <v/>
      </c>
      <c r="S709" s="39">
        <f>IF(A709="","",IF(N709&lt;&gt;"",N709,H709))</f>
        <v/>
      </c>
      <c r="T709" s="39">
        <f>IF(A709="","",IF(C709="✗","Skipped",IF(Q709&gt;0,"Paid","Upcoming")))</f>
        <v/>
      </c>
      <c r="U709" s="42">
        <f>IF(A709="",0,IF(C709="✗",0,IF(L709&lt;&gt;"",L709,F709)))</f>
        <v/>
      </c>
    </row>
    <row r="710">
      <c r="A710" s="32">
        <f>IFERROR(SMALL(Calc!$B$2:$BB$61,705),"")</f>
        <v/>
      </c>
      <c r="B710" s="32">
        <f>IF(A710="","",ROUND(MOD(A710,1)*1000,0))</f>
        <v/>
      </c>
      <c r="C710" s="33" t="n"/>
      <c r="D710" s="34">
        <f>IF(A710="","",INT(A710))</f>
        <v/>
      </c>
      <c r="E710" s="35">
        <f>IF(B710="","",INDEX(Setup!$D$25:$D$84,B710))</f>
        <v/>
      </c>
      <c r="F710" s="36">
        <f>IF(B710="","",INDEX(Setup!$E$25:$E$84,B710))</f>
        <v/>
      </c>
      <c r="G710" s="32">
        <f>IF(B710="","",INDEX(Setup!$I$25:$I$84,B710)&amp;"")</f>
        <v/>
      </c>
      <c r="H710" s="32">
        <f>IF(B710="","",INDEX(Setup!$J$25:$J$84,B710)&amp;"")</f>
        <v/>
      </c>
      <c r="I710" s="32">
        <f>IF(B710="","",INDEX(Setup!$C$25:$C$84,B710))</f>
        <v/>
      </c>
      <c r="J710" s="32" t="n"/>
      <c r="K710" s="37" t="n"/>
      <c r="L710" s="38" t="n"/>
      <c r="M710" s="33" t="n"/>
      <c r="N710" s="33" t="n"/>
      <c r="O710" s="32" t="n"/>
      <c r="P710" s="34">
        <f>IF(A710="","",IF(K710&lt;&gt;"",K710,D710))</f>
        <v/>
      </c>
      <c r="Q710" s="36">
        <f>IF(A710="",0,IF(C710="✗",0,IF(OR(C710="✓",AND(Setup!$D$7="Yes",P710&lt;=TODAY())),IF(L710&lt;&gt;"",L710,F710),0)))</f>
        <v/>
      </c>
      <c r="R710" s="32">
        <f>IF(A710="","",IF(M710&lt;&gt;"",M710,G710))</f>
        <v/>
      </c>
      <c r="S710" s="32">
        <f>IF(A710="","",IF(N710&lt;&gt;"",N710,H710))</f>
        <v/>
      </c>
      <c r="T710" s="32">
        <f>IF(A710="","",IF(C710="✗","Skipped",IF(Q710&gt;0,"Paid","Upcoming")))</f>
        <v/>
      </c>
      <c r="U710" s="36">
        <f>IF(A710="",0,IF(C710="✗",0,IF(L710&lt;&gt;"",L710,F710)))</f>
        <v/>
      </c>
    </row>
    <row r="711">
      <c r="A711" s="39">
        <f>IFERROR(SMALL(Calc!$B$2:$BB$61,706),"")</f>
        <v/>
      </c>
      <c r="B711" s="39">
        <f>IF(A711="","",ROUND(MOD(A711,1)*1000,0))</f>
        <v/>
      </c>
      <c r="C711" s="33" t="n"/>
      <c r="D711" s="40">
        <f>IF(A711="","",INT(A711))</f>
        <v/>
      </c>
      <c r="E711" s="41">
        <f>IF(B711="","",INDEX(Setup!$D$25:$D$84,B711))</f>
        <v/>
      </c>
      <c r="F711" s="42">
        <f>IF(B711="","",INDEX(Setup!$E$25:$E$84,B711))</f>
        <v/>
      </c>
      <c r="G711" s="39">
        <f>IF(B711="","",INDEX(Setup!$I$25:$I$84,B711)&amp;"")</f>
        <v/>
      </c>
      <c r="H711" s="39">
        <f>IF(B711="","",INDEX(Setup!$J$25:$J$84,B711)&amp;"")</f>
        <v/>
      </c>
      <c r="I711" s="39">
        <f>IF(B711="","",INDEX(Setup!$C$25:$C$84,B711))</f>
        <v/>
      </c>
      <c r="J711" s="39" t="n"/>
      <c r="K711" s="37" t="n"/>
      <c r="L711" s="38" t="n"/>
      <c r="M711" s="33" t="n"/>
      <c r="N711" s="33" t="n"/>
      <c r="O711" s="39" t="n"/>
      <c r="P711" s="40">
        <f>IF(A711="","",IF(K711&lt;&gt;"",K711,D711))</f>
        <v/>
      </c>
      <c r="Q711" s="42">
        <f>IF(A711="",0,IF(C711="✗",0,IF(OR(C711="✓",AND(Setup!$D$7="Yes",P711&lt;=TODAY())),IF(L711&lt;&gt;"",L711,F711),0)))</f>
        <v/>
      </c>
      <c r="R711" s="39">
        <f>IF(A711="","",IF(M711&lt;&gt;"",M711,G711))</f>
        <v/>
      </c>
      <c r="S711" s="39">
        <f>IF(A711="","",IF(N711&lt;&gt;"",N711,H711))</f>
        <v/>
      </c>
      <c r="T711" s="39">
        <f>IF(A711="","",IF(C711="✗","Skipped",IF(Q711&gt;0,"Paid","Upcoming")))</f>
        <v/>
      </c>
      <c r="U711" s="42">
        <f>IF(A711="",0,IF(C711="✗",0,IF(L711&lt;&gt;"",L711,F711)))</f>
        <v/>
      </c>
    </row>
    <row r="712">
      <c r="A712" s="32">
        <f>IFERROR(SMALL(Calc!$B$2:$BB$61,707),"")</f>
        <v/>
      </c>
      <c r="B712" s="32">
        <f>IF(A712="","",ROUND(MOD(A712,1)*1000,0))</f>
        <v/>
      </c>
      <c r="C712" s="33" t="n"/>
      <c r="D712" s="34">
        <f>IF(A712="","",INT(A712))</f>
        <v/>
      </c>
      <c r="E712" s="35">
        <f>IF(B712="","",INDEX(Setup!$D$25:$D$84,B712))</f>
        <v/>
      </c>
      <c r="F712" s="36">
        <f>IF(B712="","",INDEX(Setup!$E$25:$E$84,B712))</f>
        <v/>
      </c>
      <c r="G712" s="32">
        <f>IF(B712="","",INDEX(Setup!$I$25:$I$84,B712)&amp;"")</f>
        <v/>
      </c>
      <c r="H712" s="32">
        <f>IF(B712="","",INDEX(Setup!$J$25:$J$84,B712)&amp;"")</f>
        <v/>
      </c>
      <c r="I712" s="32">
        <f>IF(B712="","",INDEX(Setup!$C$25:$C$84,B712))</f>
        <v/>
      </c>
      <c r="J712" s="32" t="n"/>
      <c r="K712" s="37" t="n"/>
      <c r="L712" s="38" t="n"/>
      <c r="M712" s="33" t="n"/>
      <c r="N712" s="33" t="n"/>
      <c r="O712" s="32" t="n"/>
      <c r="P712" s="34">
        <f>IF(A712="","",IF(K712&lt;&gt;"",K712,D712))</f>
        <v/>
      </c>
      <c r="Q712" s="36">
        <f>IF(A712="",0,IF(C712="✗",0,IF(OR(C712="✓",AND(Setup!$D$7="Yes",P712&lt;=TODAY())),IF(L712&lt;&gt;"",L712,F712),0)))</f>
        <v/>
      </c>
      <c r="R712" s="32">
        <f>IF(A712="","",IF(M712&lt;&gt;"",M712,G712))</f>
        <v/>
      </c>
      <c r="S712" s="32">
        <f>IF(A712="","",IF(N712&lt;&gt;"",N712,H712))</f>
        <v/>
      </c>
      <c r="T712" s="32">
        <f>IF(A712="","",IF(C712="✗","Skipped",IF(Q712&gt;0,"Paid","Upcoming")))</f>
        <v/>
      </c>
      <c r="U712" s="36">
        <f>IF(A712="",0,IF(C712="✗",0,IF(L712&lt;&gt;"",L712,F712)))</f>
        <v/>
      </c>
    </row>
    <row r="713">
      <c r="A713" s="39">
        <f>IFERROR(SMALL(Calc!$B$2:$BB$61,708),"")</f>
        <v/>
      </c>
      <c r="B713" s="39">
        <f>IF(A713="","",ROUND(MOD(A713,1)*1000,0))</f>
        <v/>
      </c>
      <c r="C713" s="33" t="n"/>
      <c r="D713" s="40">
        <f>IF(A713="","",INT(A713))</f>
        <v/>
      </c>
      <c r="E713" s="41">
        <f>IF(B713="","",INDEX(Setup!$D$25:$D$84,B713))</f>
        <v/>
      </c>
      <c r="F713" s="42">
        <f>IF(B713="","",INDEX(Setup!$E$25:$E$84,B713))</f>
        <v/>
      </c>
      <c r="G713" s="39">
        <f>IF(B713="","",INDEX(Setup!$I$25:$I$84,B713)&amp;"")</f>
        <v/>
      </c>
      <c r="H713" s="39">
        <f>IF(B713="","",INDEX(Setup!$J$25:$J$84,B713)&amp;"")</f>
        <v/>
      </c>
      <c r="I713" s="39">
        <f>IF(B713="","",INDEX(Setup!$C$25:$C$84,B713))</f>
        <v/>
      </c>
      <c r="J713" s="39" t="n"/>
      <c r="K713" s="37" t="n"/>
      <c r="L713" s="38" t="n"/>
      <c r="M713" s="33" t="n"/>
      <c r="N713" s="33" t="n"/>
      <c r="O713" s="39" t="n"/>
      <c r="P713" s="40">
        <f>IF(A713="","",IF(K713&lt;&gt;"",K713,D713))</f>
        <v/>
      </c>
      <c r="Q713" s="42">
        <f>IF(A713="",0,IF(C713="✗",0,IF(OR(C713="✓",AND(Setup!$D$7="Yes",P713&lt;=TODAY())),IF(L713&lt;&gt;"",L713,F713),0)))</f>
        <v/>
      </c>
      <c r="R713" s="39">
        <f>IF(A713="","",IF(M713&lt;&gt;"",M713,G713))</f>
        <v/>
      </c>
      <c r="S713" s="39">
        <f>IF(A713="","",IF(N713&lt;&gt;"",N713,H713))</f>
        <v/>
      </c>
      <c r="T713" s="39">
        <f>IF(A713="","",IF(C713="✗","Skipped",IF(Q713&gt;0,"Paid","Upcoming")))</f>
        <v/>
      </c>
      <c r="U713" s="42">
        <f>IF(A713="",0,IF(C713="✗",0,IF(L713&lt;&gt;"",L713,F713)))</f>
        <v/>
      </c>
    </row>
    <row r="714">
      <c r="A714" s="32">
        <f>IFERROR(SMALL(Calc!$B$2:$BB$61,709),"")</f>
        <v/>
      </c>
      <c r="B714" s="32">
        <f>IF(A714="","",ROUND(MOD(A714,1)*1000,0))</f>
        <v/>
      </c>
      <c r="C714" s="33" t="n"/>
      <c r="D714" s="34">
        <f>IF(A714="","",INT(A714))</f>
        <v/>
      </c>
      <c r="E714" s="35">
        <f>IF(B714="","",INDEX(Setup!$D$25:$D$84,B714))</f>
        <v/>
      </c>
      <c r="F714" s="36">
        <f>IF(B714="","",INDEX(Setup!$E$25:$E$84,B714))</f>
        <v/>
      </c>
      <c r="G714" s="32">
        <f>IF(B714="","",INDEX(Setup!$I$25:$I$84,B714)&amp;"")</f>
        <v/>
      </c>
      <c r="H714" s="32">
        <f>IF(B714="","",INDEX(Setup!$J$25:$J$84,B714)&amp;"")</f>
        <v/>
      </c>
      <c r="I714" s="32">
        <f>IF(B714="","",INDEX(Setup!$C$25:$C$84,B714))</f>
        <v/>
      </c>
      <c r="J714" s="32" t="n"/>
      <c r="K714" s="37" t="n"/>
      <c r="L714" s="38" t="n"/>
      <c r="M714" s="33" t="n"/>
      <c r="N714" s="33" t="n"/>
      <c r="O714" s="32" t="n"/>
      <c r="P714" s="34">
        <f>IF(A714="","",IF(K714&lt;&gt;"",K714,D714))</f>
        <v/>
      </c>
      <c r="Q714" s="36">
        <f>IF(A714="",0,IF(C714="✗",0,IF(OR(C714="✓",AND(Setup!$D$7="Yes",P714&lt;=TODAY())),IF(L714&lt;&gt;"",L714,F714),0)))</f>
        <v/>
      </c>
      <c r="R714" s="32">
        <f>IF(A714="","",IF(M714&lt;&gt;"",M714,G714))</f>
        <v/>
      </c>
      <c r="S714" s="32">
        <f>IF(A714="","",IF(N714&lt;&gt;"",N714,H714))</f>
        <v/>
      </c>
      <c r="T714" s="32">
        <f>IF(A714="","",IF(C714="✗","Skipped",IF(Q714&gt;0,"Paid","Upcoming")))</f>
        <v/>
      </c>
      <c r="U714" s="36">
        <f>IF(A714="",0,IF(C714="✗",0,IF(L714&lt;&gt;"",L714,F714)))</f>
        <v/>
      </c>
    </row>
    <row r="715">
      <c r="A715" s="39">
        <f>IFERROR(SMALL(Calc!$B$2:$BB$61,710),"")</f>
        <v/>
      </c>
      <c r="B715" s="39">
        <f>IF(A715="","",ROUND(MOD(A715,1)*1000,0))</f>
        <v/>
      </c>
      <c r="C715" s="33" t="n"/>
      <c r="D715" s="40">
        <f>IF(A715="","",INT(A715))</f>
        <v/>
      </c>
      <c r="E715" s="41">
        <f>IF(B715="","",INDEX(Setup!$D$25:$D$84,B715))</f>
        <v/>
      </c>
      <c r="F715" s="42">
        <f>IF(B715="","",INDEX(Setup!$E$25:$E$84,B715))</f>
        <v/>
      </c>
      <c r="G715" s="39">
        <f>IF(B715="","",INDEX(Setup!$I$25:$I$84,B715)&amp;"")</f>
        <v/>
      </c>
      <c r="H715" s="39">
        <f>IF(B715="","",INDEX(Setup!$J$25:$J$84,B715)&amp;"")</f>
        <v/>
      </c>
      <c r="I715" s="39">
        <f>IF(B715="","",INDEX(Setup!$C$25:$C$84,B715))</f>
        <v/>
      </c>
      <c r="J715" s="39" t="n"/>
      <c r="K715" s="37" t="n"/>
      <c r="L715" s="38" t="n"/>
      <c r="M715" s="33" t="n"/>
      <c r="N715" s="33" t="n"/>
      <c r="O715" s="39" t="n"/>
      <c r="P715" s="40">
        <f>IF(A715="","",IF(K715&lt;&gt;"",K715,D715))</f>
        <v/>
      </c>
      <c r="Q715" s="42">
        <f>IF(A715="",0,IF(C715="✗",0,IF(OR(C715="✓",AND(Setup!$D$7="Yes",P715&lt;=TODAY())),IF(L715&lt;&gt;"",L715,F715),0)))</f>
        <v/>
      </c>
      <c r="R715" s="39">
        <f>IF(A715="","",IF(M715&lt;&gt;"",M715,G715))</f>
        <v/>
      </c>
      <c r="S715" s="39">
        <f>IF(A715="","",IF(N715&lt;&gt;"",N715,H715))</f>
        <v/>
      </c>
      <c r="T715" s="39">
        <f>IF(A715="","",IF(C715="✗","Skipped",IF(Q715&gt;0,"Paid","Upcoming")))</f>
        <v/>
      </c>
      <c r="U715" s="42">
        <f>IF(A715="",0,IF(C715="✗",0,IF(L715&lt;&gt;"",L715,F715)))</f>
        <v/>
      </c>
    </row>
    <row r="716">
      <c r="A716" s="32">
        <f>IFERROR(SMALL(Calc!$B$2:$BB$61,711),"")</f>
        <v/>
      </c>
      <c r="B716" s="32">
        <f>IF(A716="","",ROUND(MOD(A716,1)*1000,0))</f>
        <v/>
      </c>
      <c r="C716" s="33" t="n"/>
      <c r="D716" s="34">
        <f>IF(A716="","",INT(A716))</f>
        <v/>
      </c>
      <c r="E716" s="35">
        <f>IF(B716="","",INDEX(Setup!$D$25:$D$84,B716))</f>
        <v/>
      </c>
      <c r="F716" s="36">
        <f>IF(B716="","",INDEX(Setup!$E$25:$E$84,B716))</f>
        <v/>
      </c>
      <c r="G716" s="32">
        <f>IF(B716="","",INDEX(Setup!$I$25:$I$84,B716)&amp;"")</f>
        <v/>
      </c>
      <c r="H716" s="32">
        <f>IF(B716="","",INDEX(Setup!$J$25:$J$84,B716)&amp;"")</f>
        <v/>
      </c>
      <c r="I716" s="32">
        <f>IF(B716="","",INDEX(Setup!$C$25:$C$84,B716))</f>
        <v/>
      </c>
      <c r="J716" s="32" t="n"/>
      <c r="K716" s="37" t="n"/>
      <c r="L716" s="38" t="n"/>
      <c r="M716" s="33" t="n"/>
      <c r="N716" s="33" t="n"/>
      <c r="O716" s="32" t="n"/>
      <c r="P716" s="34">
        <f>IF(A716="","",IF(K716&lt;&gt;"",K716,D716))</f>
        <v/>
      </c>
      <c r="Q716" s="36">
        <f>IF(A716="",0,IF(C716="✗",0,IF(OR(C716="✓",AND(Setup!$D$7="Yes",P716&lt;=TODAY())),IF(L716&lt;&gt;"",L716,F716),0)))</f>
        <v/>
      </c>
      <c r="R716" s="32">
        <f>IF(A716="","",IF(M716&lt;&gt;"",M716,G716))</f>
        <v/>
      </c>
      <c r="S716" s="32">
        <f>IF(A716="","",IF(N716&lt;&gt;"",N716,H716))</f>
        <v/>
      </c>
      <c r="T716" s="32">
        <f>IF(A716="","",IF(C716="✗","Skipped",IF(Q716&gt;0,"Paid","Upcoming")))</f>
        <v/>
      </c>
      <c r="U716" s="36">
        <f>IF(A716="",0,IF(C716="✗",0,IF(L716&lt;&gt;"",L716,F716)))</f>
        <v/>
      </c>
    </row>
    <row r="717">
      <c r="A717" s="39">
        <f>IFERROR(SMALL(Calc!$B$2:$BB$61,712),"")</f>
        <v/>
      </c>
      <c r="B717" s="39">
        <f>IF(A717="","",ROUND(MOD(A717,1)*1000,0))</f>
        <v/>
      </c>
      <c r="C717" s="33" t="n"/>
      <c r="D717" s="40">
        <f>IF(A717="","",INT(A717))</f>
        <v/>
      </c>
      <c r="E717" s="41">
        <f>IF(B717="","",INDEX(Setup!$D$25:$D$84,B717))</f>
        <v/>
      </c>
      <c r="F717" s="42">
        <f>IF(B717="","",INDEX(Setup!$E$25:$E$84,B717))</f>
        <v/>
      </c>
      <c r="G717" s="39">
        <f>IF(B717="","",INDEX(Setup!$I$25:$I$84,B717)&amp;"")</f>
        <v/>
      </c>
      <c r="H717" s="39">
        <f>IF(B717="","",INDEX(Setup!$J$25:$J$84,B717)&amp;"")</f>
        <v/>
      </c>
      <c r="I717" s="39">
        <f>IF(B717="","",INDEX(Setup!$C$25:$C$84,B717))</f>
        <v/>
      </c>
      <c r="J717" s="39" t="n"/>
      <c r="K717" s="37" t="n"/>
      <c r="L717" s="38" t="n"/>
      <c r="M717" s="33" t="n"/>
      <c r="N717" s="33" t="n"/>
      <c r="O717" s="39" t="n"/>
      <c r="P717" s="40">
        <f>IF(A717="","",IF(K717&lt;&gt;"",K717,D717))</f>
        <v/>
      </c>
      <c r="Q717" s="42">
        <f>IF(A717="",0,IF(C717="✗",0,IF(OR(C717="✓",AND(Setup!$D$7="Yes",P717&lt;=TODAY())),IF(L717&lt;&gt;"",L717,F717),0)))</f>
        <v/>
      </c>
      <c r="R717" s="39">
        <f>IF(A717="","",IF(M717&lt;&gt;"",M717,G717))</f>
        <v/>
      </c>
      <c r="S717" s="39">
        <f>IF(A717="","",IF(N717&lt;&gt;"",N717,H717))</f>
        <v/>
      </c>
      <c r="T717" s="39">
        <f>IF(A717="","",IF(C717="✗","Skipped",IF(Q717&gt;0,"Paid","Upcoming")))</f>
        <v/>
      </c>
      <c r="U717" s="42">
        <f>IF(A717="",0,IF(C717="✗",0,IF(L717&lt;&gt;"",L717,F717)))</f>
        <v/>
      </c>
    </row>
    <row r="718">
      <c r="A718" s="32">
        <f>IFERROR(SMALL(Calc!$B$2:$BB$61,713),"")</f>
        <v/>
      </c>
      <c r="B718" s="32">
        <f>IF(A718="","",ROUND(MOD(A718,1)*1000,0))</f>
        <v/>
      </c>
      <c r="C718" s="33" t="n"/>
      <c r="D718" s="34">
        <f>IF(A718="","",INT(A718))</f>
        <v/>
      </c>
      <c r="E718" s="35">
        <f>IF(B718="","",INDEX(Setup!$D$25:$D$84,B718))</f>
        <v/>
      </c>
      <c r="F718" s="36">
        <f>IF(B718="","",INDEX(Setup!$E$25:$E$84,B718))</f>
        <v/>
      </c>
      <c r="G718" s="32">
        <f>IF(B718="","",INDEX(Setup!$I$25:$I$84,B718)&amp;"")</f>
        <v/>
      </c>
      <c r="H718" s="32">
        <f>IF(B718="","",INDEX(Setup!$J$25:$J$84,B718)&amp;"")</f>
        <v/>
      </c>
      <c r="I718" s="32">
        <f>IF(B718="","",INDEX(Setup!$C$25:$C$84,B718))</f>
        <v/>
      </c>
      <c r="J718" s="32" t="n"/>
      <c r="K718" s="37" t="n"/>
      <c r="L718" s="38" t="n"/>
      <c r="M718" s="33" t="n"/>
      <c r="N718" s="33" t="n"/>
      <c r="O718" s="32" t="n"/>
      <c r="P718" s="34">
        <f>IF(A718="","",IF(K718&lt;&gt;"",K718,D718))</f>
        <v/>
      </c>
      <c r="Q718" s="36">
        <f>IF(A718="",0,IF(C718="✗",0,IF(OR(C718="✓",AND(Setup!$D$7="Yes",P718&lt;=TODAY())),IF(L718&lt;&gt;"",L718,F718),0)))</f>
        <v/>
      </c>
      <c r="R718" s="32">
        <f>IF(A718="","",IF(M718&lt;&gt;"",M718,G718))</f>
        <v/>
      </c>
      <c r="S718" s="32">
        <f>IF(A718="","",IF(N718&lt;&gt;"",N718,H718))</f>
        <v/>
      </c>
      <c r="T718" s="32">
        <f>IF(A718="","",IF(C718="✗","Skipped",IF(Q718&gt;0,"Paid","Upcoming")))</f>
        <v/>
      </c>
      <c r="U718" s="36">
        <f>IF(A718="",0,IF(C718="✗",0,IF(L718&lt;&gt;"",L718,F718)))</f>
        <v/>
      </c>
    </row>
    <row r="719">
      <c r="A719" s="39">
        <f>IFERROR(SMALL(Calc!$B$2:$BB$61,714),"")</f>
        <v/>
      </c>
      <c r="B719" s="39">
        <f>IF(A719="","",ROUND(MOD(A719,1)*1000,0))</f>
        <v/>
      </c>
      <c r="C719" s="33" t="n"/>
      <c r="D719" s="40">
        <f>IF(A719="","",INT(A719))</f>
        <v/>
      </c>
      <c r="E719" s="41">
        <f>IF(B719="","",INDEX(Setup!$D$25:$D$84,B719))</f>
        <v/>
      </c>
      <c r="F719" s="42">
        <f>IF(B719="","",INDEX(Setup!$E$25:$E$84,B719))</f>
        <v/>
      </c>
      <c r="G719" s="39">
        <f>IF(B719="","",INDEX(Setup!$I$25:$I$84,B719)&amp;"")</f>
        <v/>
      </c>
      <c r="H719" s="39">
        <f>IF(B719="","",INDEX(Setup!$J$25:$J$84,B719)&amp;"")</f>
        <v/>
      </c>
      <c r="I719" s="39">
        <f>IF(B719="","",INDEX(Setup!$C$25:$C$84,B719))</f>
        <v/>
      </c>
      <c r="J719" s="39" t="n"/>
      <c r="K719" s="37" t="n"/>
      <c r="L719" s="38" t="n"/>
      <c r="M719" s="33" t="n"/>
      <c r="N719" s="33" t="n"/>
      <c r="O719" s="39" t="n"/>
      <c r="P719" s="40">
        <f>IF(A719="","",IF(K719&lt;&gt;"",K719,D719))</f>
        <v/>
      </c>
      <c r="Q719" s="42">
        <f>IF(A719="",0,IF(C719="✗",0,IF(OR(C719="✓",AND(Setup!$D$7="Yes",P719&lt;=TODAY())),IF(L719&lt;&gt;"",L719,F719),0)))</f>
        <v/>
      </c>
      <c r="R719" s="39">
        <f>IF(A719="","",IF(M719&lt;&gt;"",M719,G719))</f>
        <v/>
      </c>
      <c r="S719" s="39">
        <f>IF(A719="","",IF(N719&lt;&gt;"",N719,H719))</f>
        <v/>
      </c>
      <c r="T719" s="39">
        <f>IF(A719="","",IF(C719="✗","Skipped",IF(Q719&gt;0,"Paid","Upcoming")))</f>
        <v/>
      </c>
      <c r="U719" s="42">
        <f>IF(A719="",0,IF(C719="✗",0,IF(L719&lt;&gt;"",L719,F719)))</f>
        <v/>
      </c>
    </row>
    <row r="720">
      <c r="A720" s="32">
        <f>IFERROR(SMALL(Calc!$B$2:$BB$61,715),"")</f>
        <v/>
      </c>
      <c r="B720" s="32">
        <f>IF(A720="","",ROUND(MOD(A720,1)*1000,0))</f>
        <v/>
      </c>
      <c r="C720" s="33" t="n"/>
      <c r="D720" s="34">
        <f>IF(A720="","",INT(A720))</f>
        <v/>
      </c>
      <c r="E720" s="35">
        <f>IF(B720="","",INDEX(Setup!$D$25:$D$84,B720))</f>
        <v/>
      </c>
      <c r="F720" s="36">
        <f>IF(B720="","",INDEX(Setup!$E$25:$E$84,B720))</f>
        <v/>
      </c>
      <c r="G720" s="32">
        <f>IF(B720="","",INDEX(Setup!$I$25:$I$84,B720)&amp;"")</f>
        <v/>
      </c>
      <c r="H720" s="32">
        <f>IF(B720="","",INDEX(Setup!$J$25:$J$84,B720)&amp;"")</f>
        <v/>
      </c>
      <c r="I720" s="32">
        <f>IF(B720="","",INDEX(Setup!$C$25:$C$84,B720))</f>
        <v/>
      </c>
      <c r="J720" s="32" t="n"/>
      <c r="K720" s="37" t="n"/>
      <c r="L720" s="38" t="n"/>
      <c r="M720" s="33" t="n"/>
      <c r="N720" s="33" t="n"/>
      <c r="O720" s="32" t="n"/>
      <c r="P720" s="34">
        <f>IF(A720="","",IF(K720&lt;&gt;"",K720,D720))</f>
        <v/>
      </c>
      <c r="Q720" s="36">
        <f>IF(A720="",0,IF(C720="✗",0,IF(OR(C720="✓",AND(Setup!$D$7="Yes",P720&lt;=TODAY())),IF(L720&lt;&gt;"",L720,F720),0)))</f>
        <v/>
      </c>
      <c r="R720" s="32">
        <f>IF(A720="","",IF(M720&lt;&gt;"",M720,G720))</f>
        <v/>
      </c>
      <c r="S720" s="32">
        <f>IF(A720="","",IF(N720&lt;&gt;"",N720,H720))</f>
        <v/>
      </c>
      <c r="T720" s="32">
        <f>IF(A720="","",IF(C720="✗","Skipped",IF(Q720&gt;0,"Paid","Upcoming")))</f>
        <v/>
      </c>
      <c r="U720" s="36">
        <f>IF(A720="",0,IF(C720="✗",0,IF(L720&lt;&gt;"",L720,F720)))</f>
        <v/>
      </c>
    </row>
    <row r="721">
      <c r="A721" s="39">
        <f>IFERROR(SMALL(Calc!$B$2:$BB$61,716),"")</f>
        <v/>
      </c>
      <c r="B721" s="39">
        <f>IF(A721="","",ROUND(MOD(A721,1)*1000,0))</f>
        <v/>
      </c>
      <c r="C721" s="33" t="n"/>
      <c r="D721" s="40">
        <f>IF(A721="","",INT(A721))</f>
        <v/>
      </c>
      <c r="E721" s="41">
        <f>IF(B721="","",INDEX(Setup!$D$25:$D$84,B721))</f>
        <v/>
      </c>
      <c r="F721" s="42">
        <f>IF(B721="","",INDEX(Setup!$E$25:$E$84,B721))</f>
        <v/>
      </c>
      <c r="G721" s="39">
        <f>IF(B721="","",INDEX(Setup!$I$25:$I$84,B721)&amp;"")</f>
        <v/>
      </c>
      <c r="H721" s="39">
        <f>IF(B721="","",INDEX(Setup!$J$25:$J$84,B721)&amp;"")</f>
        <v/>
      </c>
      <c r="I721" s="39">
        <f>IF(B721="","",INDEX(Setup!$C$25:$C$84,B721))</f>
        <v/>
      </c>
      <c r="J721" s="39" t="n"/>
      <c r="K721" s="37" t="n"/>
      <c r="L721" s="38" t="n"/>
      <c r="M721" s="33" t="n"/>
      <c r="N721" s="33" t="n"/>
      <c r="O721" s="39" t="n"/>
      <c r="P721" s="40">
        <f>IF(A721="","",IF(K721&lt;&gt;"",K721,D721))</f>
        <v/>
      </c>
      <c r="Q721" s="42">
        <f>IF(A721="",0,IF(C721="✗",0,IF(OR(C721="✓",AND(Setup!$D$7="Yes",P721&lt;=TODAY())),IF(L721&lt;&gt;"",L721,F721),0)))</f>
        <v/>
      </c>
      <c r="R721" s="39">
        <f>IF(A721="","",IF(M721&lt;&gt;"",M721,G721))</f>
        <v/>
      </c>
      <c r="S721" s="39">
        <f>IF(A721="","",IF(N721&lt;&gt;"",N721,H721))</f>
        <v/>
      </c>
      <c r="T721" s="39">
        <f>IF(A721="","",IF(C721="✗","Skipped",IF(Q721&gt;0,"Paid","Upcoming")))</f>
        <v/>
      </c>
      <c r="U721" s="42">
        <f>IF(A721="",0,IF(C721="✗",0,IF(L721&lt;&gt;"",L721,F721)))</f>
        <v/>
      </c>
    </row>
    <row r="722">
      <c r="A722" s="32">
        <f>IFERROR(SMALL(Calc!$B$2:$BB$61,717),"")</f>
        <v/>
      </c>
      <c r="B722" s="32">
        <f>IF(A722="","",ROUND(MOD(A722,1)*1000,0))</f>
        <v/>
      </c>
      <c r="C722" s="33" t="n"/>
      <c r="D722" s="34">
        <f>IF(A722="","",INT(A722))</f>
        <v/>
      </c>
      <c r="E722" s="35">
        <f>IF(B722="","",INDEX(Setup!$D$25:$D$84,B722))</f>
        <v/>
      </c>
      <c r="F722" s="36">
        <f>IF(B722="","",INDEX(Setup!$E$25:$E$84,B722))</f>
        <v/>
      </c>
      <c r="G722" s="32">
        <f>IF(B722="","",INDEX(Setup!$I$25:$I$84,B722)&amp;"")</f>
        <v/>
      </c>
      <c r="H722" s="32">
        <f>IF(B722="","",INDEX(Setup!$J$25:$J$84,B722)&amp;"")</f>
        <v/>
      </c>
      <c r="I722" s="32">
        <f>IF(B722="","",INDEX(Setup!$C$25:$C$84,B722))</f>
        <v/>
      </c>
      <c r="J722" s="32" t="n"/>
      <c r="K722" s="37" t="n"/>
      <c r="L722" s="38" t="n"/>
      <c r="M722" s="33" t="n"/>
      <c r="N722" s="33" t="n"/>
      <c r="O722" s="32" t="n"/>
      <c r="P722" s="34">
        <f>IF(A722="","",IF(K722&lt;&gt;"",K722,D722))</f>
        <v/>
      </c>
      <c r="Q722" s="36">
        <f>IF(A722="",0,IF(C722="✗",0,IF(OR(C722="✓",AND(Setup!$D$7="Yes",P722&lt;=TODAY())),IF(L722&lt;&gt;"",L722,F722),0)))</f>
        <v/>
      </c>
      <c r="R722" s="32">
        <f>IF(A722="","",IF(M722&lt;&gt;"",M722,G722))</f>
        <v/>
      </c>
      <c r="S722" s="32">
        <f>IF(A722="","",IF(N722&lt;&gt;"",N722,H722))</f>
        <v/>
      </c>
      <c r="T722" s="32">
        <f>IF(A722="","",IF(C722="✗","Skipped",IF(Q722&gt;0,"Paid","Upcoming")))</f>
        <v/>
      </c>
      <c r="U722" s="36">
        <f>IF(A722="",0,IF(C722="✗",0,IF(L722&lt;&gt;"",L722,F722)))</f>
        <v/>
      </c>
    </row>
    <row r="723">
      <c r="A723" s="39">
        <f>IFERROR(SMALL(Calc!$B$2:$BB$61,718),"")</f>
        <v/>
      </c>
      <c r="B723" s="39">
        <f>IF(A723="","",ROUND(MOD(A723,1)*1000,0))</f>
        <v/>
      </c>
      <c r="C723" s="33" t="n"/>
      <c r="D723" s="40">
        <f>IF(A723="","",INT(A723))</f>
        <v/>
      </c>
      <c r="E723" s="41">
        <f>IF(B723="","",INDEX(Setup!$D$25:$D$84,B723))</f>
        <v/>
      </c>
      <c r="F723" s="42">
        <f>IF(B723="","",INDEX(Setup!$E$25:$E$84,B723))</f>
        <v/>
      </c>
      <c r="G723" s="39">
        <f>IF(B723="","",INDEX(Setup!$I$25:$I$84,B723)&amp;"")</f>
        <v/>
      </c>
      <c r="H723" s="39">
        <f>IF(B723="","",INDEX(Setup!$J$25:$J$84,B723)&amp;"")</f>
        <v/>
      </c>
      <c r="I723" s="39">
        <f>IF(B723="","",INDEX(Setup!$C$25:$C$84,B723))</f>
        <v/>
      </c>
      <c r="J723" s="39" t="n"/>
      <c r="K723" s="37" t="n"/>
      <c r="L723" s="38" t="n"/>
      <c r="M723" s="33" t="n"/>
      <c r="N723" s="33" t="n"/>
      <c r="O723" s="39" t="n"/>
      <c r="P723" s="40">
        <f>IF(A723="","",IF(K723&lt;&gt;"",K723,D723))</f>
        <v/>
      </c>
      <c r="Q723" s="42">
        <f>IF(A723="",0,IF(C723="✗",0,IF(OR(C723="✓",AND(Setup!$D$7="Yes",P723&lt;=TODAY())),IF(L723&lt;&gt;"",L723,F723),0)))</f>
        <v/>
      </c>
      <c r="R723" s="39">
        <f>IF(A723="","",IF(M723&lt;&gt;"",M723,G723))</f>
        <v/>
      </c>
      <c r="S723" s="39">
        <f>IF(A723="","",IF(N723&lt;&gt;"",N723,H723))</f>
        <v/>
      </c>
      <c r="T723" s="39">
        <f>IF(A723="","",IF(C723="✗","Skipped",IF(Q723&gt;0,"Paid","Upcoming")))</f>
        <v/>
      </c>
      <c r="U723" s="42">
        <f>IF(A723="",0,IF(C723="✗",0,IF(L723&lt;&gt;"",L723,F723)))</f>
        <v/>
      </c>
    </row>
    <row r="724">
      <c r="A724" s="32">
        <f>IFERROR(SMALL(Calc!$B$2:$BB$61,719),"")</f>
        <v/>
      </c>
      <c r="B724" s="32">
        <f>IF(A724="","",ROUND(MOD(A724,1)*1000,0))</f>
        <v/>
      </c>
      <c r="C724" s="33" t="n"/>
      <c r="D724" s="34">
        <f>IF(A724="","",INT(A724))</f>
        <v/>
      </c>
      <c r="E724" s="35">
        <f>IF(B724="","",INDEX(Setup!$D$25:$D$84,B724))</f>
        <v/>
      </c>
      <c r="F724" s="36">
        <f>IF(B724="","",INDEX(Setup!$E$25:$E$84,B724))</f>
        <v/>
      </c>
      <c r="G724" s="32">
        <f>IF(B724="","",INDEX(Setup!$I$25:$I$84,B724)&amp;"")</f>
        <v/>
      </c>
      <c r="H724" s="32">
        <f>IF(B724="","",INDEX(Setup!$J$25:$J$84,B724)&amp;"")</f>
        <v/>
      </c>
      <c r="I724" s="32">
        <f>IF(B724="","",INDEX(Setup!$C$25:$C$84,B724))</f>
        <v/>
      </c>
      <c r="J724" s="32" t="n"/>
      <c r="K724" s="37" t="n"/>
      <c r="L724" s="38" t="n"/>
      <c r="M724" s="33" t="n"/>
      <c r="N724" s="33" t="n"/>
      <c r="O724" s="32" t="n"/>
      <c r="P724" s="34">
        <f>IF(A724="","",IF(K724&lt;&gt;"",K724,D724))</f>
        <v/>
      </c>
      <c r="Q724" s="36">
        <f>IF(A724="",0,IF(C724="✗",0,IF(OR(C724="✓",AND(Setup!$D$7="Yes",P724&lt;=TODAY())),IF(L724&lt;&gt;"",L724,F724),0)))</f>
        <v/>
      </c>
      <c r="R724" s="32">
        <f>IF(A724="","",IF(M724&lt;&gt;"",M724,G724))</f>
        <v/>
      </c>
      <c r="S724" s="32">
        <f>IF(A724="","",IF(N724&lt;&gt;"",N724,H724))</f>
        <v/>
      </c>
      <c r="T724" s="32">
        <f>IF(A724="","",IF(C724="✗","Skipped",IF(Q724&gt;0,"Paid","Upcoming")))</f>
        <v/>
      </c>
      <c r="U724" s="36">
        <f>IF(A724="",0,IF(C724="✗",0,IF(L724&lt;&gt;"",L724,F724)))</f>
        <v/>
      </c>
    </row>
    <row r="725">
      <c r="A725" s="39">
        <f>IFERROR(SMALL(Calc!$B$2:$BB$61,720),"")</f>
        <v/>
      </c>
      <c r="B725" s="39">
        <f>IF(A725="","",ROUND(MOD(A725,1)*1000,0))</f>
        <v/>
      </c>
      <c r="C725" s="33" t="n"/>
      <c r="D725" s="40">
        <f>IF(A725="","",INT(A725))</f>
        <v/>
      </c>
      <c r="E725" s="41">
        <f>IF(B725="","",INDEX(Setup!$D$25:$D$84,B725))</f>
        <v/>
      </c>
      <c r="F725" s="42">
        <f>IF(B725="","",INDEX(Setup!$E$25:$E$84,B725))</f>
        <v/>
      </c>
      <c r="G725" s="39">
        <f>IF(B725="","",INDEX(Setup!$I$25:$I$84,B725)&amp;"")</f>
        <v/>
      </c>
      <c r="H725" s="39">
        <f>IF(B725="","",INDEX(Setup!$J$25:$J$84,B725)&amp;"")</f>
        <v/>
      </c>
      <c r="I725" s="39">
        <f>IF(B725="","",INDEX(Setup!$C$25:$C$84,B725))</f>
        <v/>
      </c>
      <c r="J725" s="39" t="n"/>
      <c r="K725" s="37" t="n"/>
      <c r="L725" s="38" t="n"/>
      <c r="M725" s="33" t="n"/>
      <c r="N725" s="33" t="n"/>
      <c r="O725" s="39" t="n"/>
      <c r="P725" s="40">
        <f>IF(A725="","",IF(K725&lt;&gt;"",K725,D725))</f>
        <v/>
      </c>
      <c r="Q725" s="42">
        <f>IF(A725="",0,IF(C725="✗",0,IF(OR(C725="✓",AND(Setup!$D$7="Yes",P725&lt;=TODAY())),IF(L725&lt;&gt;"",L725,F725),0)))</f>
        <v/>
      </c>
      <c r="R725" s="39">
        <f>IF(A725="","",IF(M725&lt;&gt;"",M725,G725))</f>
        <v/>
      </c>
      <c r="S725" s="39">
        <f>IF(A725="","",IF(N725&lt;&gt;"",N725,H725))</f>
        <v/>
      </c>
      <c r="T725" s="39">
        <f>IF(A725="","",IF(C725="✗","Skipped",IF(Q725&gt;0,"Paid","Upcoming")))</f>
        <v/>
      </c>
      <c r="U725" s="42">
        <f>IF(A725="",0,IF(C725="✗",0,IF(L725&lt;&gt;"",L725,F725)))</f>
        <v/>
      </c>
    </row>
    <row r="726">
      <c r="A726" s="32">
        <f>IFERROR(SMALL(Calc!$B$2:$BB$61,721),"")</f>
        <v/>
      </c>
      <c r="B726" s="32">
        <f>IF(A726="","",ROUND(MOD(A726,1)*1000,0))</f>
        <v/>
      </c>
      <c r="C726" s="33" t="n"/>
      <c r="D726" s="34">
        <f>IF(A726="","",INT(A726))</f>
        <v/>
      </c>
      <c r="E726" s="35">
        <f>IF(B726="","",INDEX(Setup!$D$25:$D$84,B726))</f>
        <v/>
      </c>
      <c r="F726" s="36">
        <f>IF(B726="","",INDEX(Setup!$E$25:$E$84,B726))</f>
        <v/>
      </c>
      <c r="G726" s="32">
        <f>IF(B726="","",INDEX(Setup!$I$25:$I$84,B726)&amp;"")</f>
        <v/>
      </c>
      <c r="H726" s="32">
        <f>IF(B726="","",INDEX(Setup!$J$25:$J$84,B726)&amp;"")</f>
        <v/>
      </c>
      <c r="I726" s="32">
        <f>IF(B726="","",INDEX(Setup!$C$25:$C$84,B726))</f>
        <v/>
      </c>
      <c r="J726" s="32" t="n"/>
      <c r="K726" s="37" t="n"/>
      <c r="L726" s="38" t="n"/>
      <c r="M726" s="33" t="n"/>
      <c r="N726" s="33" t="n"/>
      <c r="O726" s="32" t="n"/>
      <c r="P726" s="34">
        <f>IF(A726="","",IF(K726&lt;&gt;"",K726,D726))</f>
        <v/>
      </c>
      <c r="Q726" s="36">
        <f>IF(A726="",0,IF(C726="✗",0,IF(OR(C726="✓",AND(Setup!$D$7="Yes",P726&lt;=TODAY())),IF(L726&lt;&gt;"",L726,F726),0)))</f>
        <v/>
      </c>
      <c r="R726" s="32">
        <f>IF(A726="","",IF(M726&lt;&gt;"",M726,G726))</f>
        <v/>
      </c>
      <c r="S726" s="32">
        <f>IF(A726="","",IF(N726&lt;&gt;"",N726,H726))</f>
        <v/>
      </c>
      <c r="T726" s="32">
        <f>IF(A726="","",IF(C726="✗","Skipped",IF(Q726&gt;0,"Paid","Upcoming")))</f>
        <v/>
      </c>
      <c r="U726" s="36">
        <f>IF(A726="",0,IF(C726="✗",0,IF(L726&lt;&gt;"",L726,F726)))</f>
        <v/>
      </c>
    </row>
    <row r="727">
      <c r="A727" s="39">
        <f>IFERROR(SMALL(Calc!$B$2:$BB$61,722),"")</f>
        <v/>
      </c>
      <c r="B727" s="39">
        <f>IF(A727="","",ROUND(MOD(A727,1)*1000,0))</f>
        <v/>
      </c>
      <c r="C727" s="33" t="n"/>
      <c r="D727" s="40">
        <f>IF(A727="","",INT(A727))</f>
        <v/>
      </c>
      <c r="E727" s="41">
        <f>IF(B727="","",INDEX(Setup!$D$25:$D$84,B727))</f>
        <v/>
      </c>
      <c r="F727" s="42">
        <f>IF(B727="","",INDEX(Setup!$E$25:$E$84,B727))</f>
        <v/>
      </c>
      <c r="G727" s="39">
        <f>IF(B727="","",INDEX(Setup!$I$25:$I$84,B727)&amp;"")</f>
        <v/>
      </c>
      <c r="H727" s="39">
        <f>IF(B727="","",INDEX(Setup!$J$25:$J$84,B727)&amp;"")</f>
        <v/>
      </c>
      <c r="I727" s="39">
        <f>IF(B727="","",INDEX(Setup!$C$25:$C$84,B727))</f>
        <v/>
      </c>
      <c r="J727" s="39" t="n"/>
      <c r="K727" s="37" t="n"/>
      <c r="L727" s="38" t="n"/>
      <c r="M727" s="33" t="n"/>
      <c r="N727" s="33" t="n"/>
      <c r="O727" s="39" t="n"/>
      <c r="P727" s="40">
        <f>IF(A727="","",IF(K727&lt;&gt;"",K727,D727))</f>
        <v/>
      </c>
      <c r="Q727" s="42">
        <f>IF(A727="",0,IF(C727="✗",0,IF(OR(C727="✓",AND(Setup!$D$7="Yes",P727&lt;=TODAY())),IF(L727&lt;&gt;"",L727,F727),0)))</f>
        <v/>
      </c>
      <c r="R727" s="39">
        <f>IF(A727="","",IF(M727&lt;&gt;"",M727,G727))</f>
        <v/>
      </c>
      <c r="S727" s="39">
        <f>IF(A727="","",IF(N727&lt;&gt;"",N727,H727))</f>
        <v/>
      </c>
      <c r="T727" s="39">
        <f>IF(A727="","",IF(C727="✗","Skipped",IF(Q727&gt;0,"Paid","Upcoming")))</f>
        <v/>
      </c>
      <c r="U727" s="42">
        <f>IF(A727="",0,IF(C727="✗",0,IF(L727&lt;&gt;"",L727,F727)))</f>
        <v/>
      </c>
    </row>
    <row r="728">
      <c r="A728" s="32">
        <f>IFERROR(SMALL(Calc!$B$2:$BB$61,723),"")</f>
        <v/>
      </c>
      <c r="B728" s="32">
        <f>IF(A728="","",ROUND(MOD(A728,1)*1000,0))</f>
        <v/>
      </c>
      <c r="C728" s="33" t="n"/>
      <c r="D728" s="34">
        <f>IF(A728="","",INT(A728))</f>
        <v/>
      </c>
      <c r="E728" s="35">
        <f>IF(B728="","",INDEX(Setup!$D$25:$D$84,B728))</f>
        <v/>
      </c>
      <c r="F728" s="36">
        <f>IF(B728="","",INDEX(Setup!$E$25:$E$84,B728))</f>
        <v/>
      </c>
      <c r="G728" s="32">
        <f>IF(B728="","",INDEX(Setup!$I$25:$I$84,B728)&amp;"")</f>
        <v/>
      </c>
      <c r="H728" s="32">
        <f>IF(B728="","",INDEX(Setup!$J$25:$J$84,B728)&amp;"")</f>
        <v/>
      </c>
      <c r="I728" s="32">
        <f>IF(B728="","",INDEX(Setup!$C$25:$C$84,B728))</f>
        <v/>
      </c>
      <c r="J728" s="32" t="n"/>
      <c r="K728" s="37" t="n"/>
      <c r="L728" s="38" t="n"/>
      <c r="M728" s="33" t="n"/>
      <c r="N728" s="33" t="n"/>
      <c r="O728" s="32" t="n"/>
      <c r="P728" s="34">
        <f>IF(A728="","",IF(K728&lt;&gt;"",K728,D728))</f>
        <v/>
      </c>
      <c r="Q728" s="36">
        <f>IF(A728="",0,IF(C728="✗",0,IF(OR(C728="✓",AND(Setup!$D$7="Yes",P728&lt;=TODAY())),IF(L728&lt;&gt;"",L728,F728),0)))</f>
        <v/>
      </c>
      <c r="R728" s="32">
        <f>IF(A728="","",IF(M728&lt;&gt;"",M728,G728))</f>
        <v/>
      </c>
      <c r="S728" s="32">
        <f>IF(A728="","",IF(N728&lt;&gt;"",N728,H728))</f>
        <v/>
      </c>
      <c r="T728" s="32">
        <f>IF(A728="","",IF(C728="✗","Skipped",IF(Q728&gt;0,"Paid","Upcoming")))</f>
        <v/>
      </c>
      <c r="U728" s="36">
        <f>IF(A728="",0,IF(C728="✗",0,IF(L728&lt;&gt;"",L728,F728)))</f>
        <v/>
      </c>
    </row>
    <row r="729">
      <c r="A729" s="39">
        <f>IFERROR(SMALL(Calc!$B$2:$BB$61,724),"")</f>
        <v/>
      </c>
      <c r="B729" s="39">
        <f>IF(A729="","",ROUND(MOD(A729,1)*1000,0))</f>
        <v/>
      </c>
      <c r="C729" s="33" t="n"/>
      <c r="D729" s="40">
        <f>IF(A729="","",INT(A729))</f>
        <v/>
      </c>
      <c r="E729" s="41">
        <f>IF(B729="","",INDEX(Setup!$D$25:$D$84,B729))</f>
        <v/>
      </c>
      <c r="F729" s="42">
        <f>IF(B729="","",INDEX(Setup!$E$25:$E$84,B729))</f>
        <v/>
      </c>
      <c r="G729" s="39">
        <f>IF(B729="","",INDEX(Setup!$I$25:$I$84,B729)&amp;"")</f>
        <v/>
      </c>
      <c r="H729" s="39">
        <f>IF(B729="","",INDEX(Setup!$J$25:$J$84,B729)&amp;"")</f>
        <v/>
      </c>
      <c r="I729" s="39">
        <f>IF(B729="","",INDEX(Setup!$C$25:$C$84,B729))</f>
        <v/>
      </c>
      <c r="J729" s="39" t="n"/>
      <c r="K729" s="37" t="n"/>
      <c r="L729" s="38" t="n"/>
      <c r="M729" s="33" t="n"/>
      <c r="N729" s="33" t="n"/>
      <c r="O729" s="39" t="n"/>
      <c r="P729" s="40">
        <f>IF(A729="","",IF(K729&lt;&gt;"",K729,D729))</f>
        <v/>
      </c>
      <c r="Q729" s="42">
        <f>IF(A729="",0,IF(C729="✗",0,IF(OR(C729="✓",AND(Setup!$D$7="Yes",P729&lt;=TODAY())),IF(L729&lt;&gt;"",L729,F729),0)))</f>
        <v/>
      </c>
      <c r="R729" s="39">
        <f>IF(A729="","",IF(M729&lt;&gt;"",M729,G729))</f>
        <v/>
      </c>
      <c r="S729" s="39">
        <f>IF(A729="","",IF(N729&lt;&gt;"",N729,H729))</f>
        <v/>
      </c>
      <c r="T729" s="39">
        <f>IF(A729="","",IF(C729="✗","Skipped",IF(Q729&gt;0,"Paid","Upcoming")))</f>
        <v/>
      </c>
      <c r="U729" s="42">
        <f>IF(A729="",0,IF(C729="✗",0,IF(L729&lt;&gt;"",L729,F729)))</f>
        <v/>
      </c>
    </row>
    <row r="730">
      <c r="A730" s="32">
        <f>IFERROR(SMALL(Calc!$B$2:$BB$61,725),"")</f>
        <v/>
      </c>
      <c r="B730" s="32">
        <f>IF(A730="","",ROUND(MOD(A730,1)*1000,0))</f>
        <v/>
      </c>
      <c r="C730" s="33" t="n"/>
      <c r="D730" s="34">
        <f>IF(A730="","",INT(A730))</f>
        <v/>
      </c>
      <c r="E730" s="35">
        <f>IF(B730="","",INDEX(Setup!$D$25:$D$84,B730))</f>
        <v/>
      </c>
      <c r="F730" s="36">
        <f>IF(B730="","",INDEX(Setup!$E$25:$E$84,B730))</f>
        <v/>
      </c>
      <c r="G730" s="32">
        <f>IF(B730="","",INDEX(Setup!$I$25:$I$84,B730)&amp;"")</f>
        <v/>
      </c>
      <c r="H730" s="32">
        <f>IF(B730="","",INDEX(Setup!$J$25:$J$84,B730)&amp;"")</f>
        <v/>
      </c>
      <c r="I730" s="32">
        <f>IF(B730="","",INDEX(Setup!$C$25:$C$84,B730))</f>
        <v/>
      </c>
      <c r="J730" s="32" t="n"/>
      <c r="K730" s="37" t="n"/>
      <c r="L730" s="38" t="n"/>
      <c r="M730" s="33" t="n"/>
      <c r="N730" s="33" t="n"/>
      <c r="O730" s="32" t="n"/>
      <c r="P730" s="34">
        <f>IF(A730="","",IF(K730&lt;&gt;"",K730,D730))</f>
        <v/>
      </c>
      <c r="Q730" s="36">
        <f>IF(A730="",0,IF(C730="✗",0,IF(OR(C730="✓",AND(Setup!$D$7="Yes",P730&lt;=TODAY())),IF(L730&lt;&gt;"",L730,F730),0)))</f>
        <v/>
      </c>
      <c r="R730" s="32">
        <f>IF(A730="","",IF(M730&lt;&gt;"",M730,G730))</f>
        <v/>
      </c>
      <c r="S730" s="32">
        <f>IF(A730="","",IF(N730&lt;&gt;"",N730,H730))</f>
        <v/>
      </c>
      <c r="T730" s="32">
        <f>IF(A730="","",IF(C730="✗","Skipped",IF(Q730&gt;0,"Paid","Upcoming")))</f>
        <v/>
      </c>
      <c r="U730" s="36">
        <f>IF(A730="",0,IF(C730="✗",0,IF(L730&lt;&gt;"",L730,F730)))</f>
        <v/>
      </c>
    </row>
    <row r="731">
      <c r="A731" s="39">
        <f>IFERROR(SMALL(Calc!$B$2:$BB$61,726),"")</f>
        <v/>
      </c>
      <c r="B731" s="39">
        <f>IF(A731="","",ROUND(MOD(A731,1)*1000,0))</f>
        <v/>
      </c>
      <c r="C731" s="33" t="n"/>
      <c r="D731" s="40">
        <f>IF(A731="","",INT(A731))</f>
        <v/>
      </c>
      <c r="E731" s="41">
        <f>IF(B731="","",INDEX(Setup!$D$25:$D$84,B731))</f>
        <v/>
      </c>
      <c r="F731" s="42">
        <f>IF(B731="","",INDEX(Setup!$E$25:$E$84,B731))</f>
        <v/>
      </c>
      <c r="G731" s="39">
        <f>IF(B731="","",INDEX(Setup!$I$25:$I$84,B731)&amp;"")</f>
        <v/>
      </c>
      <c r="H731" s="39">
        <f>IF(B731="","",INDEX(Setup!$J$25:$J$84,B731)&amp;"")</f>
        <v/>
      </c>
      <c r="I731" s="39">
        <f>IF(B731="","",INDEX(Setup!$C$25:$C$84,B731))</f>
        <v/>
      </c>
      <c r="J731" s="39" t="n"/>
      <c r="K731" s="37" t="n"/>
      <c r="L731" s="38" t="n"/>
      <c r="M731" s="33" t="n"/>
      <c r="N731" s="33" t="n"/>
      <c r="O731" s="39" t="n"/>
      <c r="P731" s="40">
        <f>IF(A731="","",IF(K731&lt;&gt;"",K731,D731))</f>
        <v/>
      </c>
      <c r="Q731" s="42">
        <f>IF(A731="",0,IF(C731="✗",0,IF(OR(C731="✓",AND(Setup!$D$7="Yes",P731&lt;=TODAY())),IF(L731&lt;&gt;"",L731,F731),0)))</f>
        <v/>
      </c>
      <c r="R731" s="39">
        <f>IF(A731="","",IF(M731&lt;&gt;"",M731,G731))</f>
        <v/>
      </c>
      <c r="S731" s="39">
        <f>IF(A731="","",IF(N731&lt;&gt;"",N731,H731))</f>
        <v/>
      </c>
      <c r="T731" s="39">
        <f>IF(A731="","",IF(C731="✗","Skipped",IF(Q731&gt;0,"Paid","Upcoming")))</f>
        <v/>
      </c>
      <c r="U731" s="42">
        <f>IF(A731="",0,IF(C731="✗",0,IF(L731&lt;&gt;"",L731,F731)))</f>
        <v/>
      </c>
    </row>
    <row r="732">
      <c r="A732" s="32">
        <f>IFERROR(SMALL(Calc!$B$2:$BB$61,727),"")</f>
        <v/>
      </c>
      <c r="B732" s="32">
        <f>IF(A732="","",ROUND(MOD(A732,1)*1000,0))</f>
        <v/>
      </c>
      <c r="C732" s="33" t="n"/>
      <c r="D732" s="34">
        <f>IF(A732="","",INT(A732))</f>
        <v/>
      </c>
      <c r="E732" s="35">
        <f>IF(B732="","",INDEX(Setup!$D$25:$D$84,B732))</f>
        <v/>
      </c>
      <c r="F732" s="36">
        <f>IF(B732="","",INDEX(Setup!$E$25:$E$84,B732))</f>
        <v/>
      </c>
      <c r="G732" s="32">
        <f>IF(B732="","",INDEX(Setup!$I$25:$I$84,B732)&amp;"")</f>
        <v/>
      </c>
      <c r="H732" s="32">
        <f>IF(B732="","",INDEX(Setup!$J$25:$J$84,B732)&amp;"")</f>
        <v/>
      </c>
      <c r="I732" s="32">
        <f>IF(B732="","",INDEX(Setup!$C$25:$C$84,B732))</f>
        <v/>
      </c>
      <c r="J732" s="32" t="n"/>
      <c r="K732" s="37" t="n"/>
      <c r="L732" s="38" t="n"/>
      <c r="M732" s="33" t="n"/>
      <c r="N732" s="33" t="n"/>
      <c r="O732" s="32" t="n"/>
      <c r="P732" s="34">
        <f>IF(A732="","",IF(K732&lt;&gt;"",K732,D732))</f>
        <v/>
      </c>
      <c r="Q732" s="36">
        <f>IF(A732="",0,IF(C732="✗",0,IF(OR(C732="✓",AND(Setup!$D$7="Yes",P732&lt;=TODAY())),IF(L732&lt;&gt;"",L732,F732),0)))</f>
        <v/>
      </c>
      <c r="R732" s="32">
        <f>IF(A732="","",IF(M732&lt;&gt;"",M732,G732))</f>
        <v/>
      </c>
      <c r="S732" s="32">
        <f>IF(A732="","",IF(N732&lt;&gt;"",N732,H732))</f>
        <v/>
      </c>
      <c r="T732" s="32">
        <f>IF(A732="","",IF(C732="✗","Skipped",IF(Q732&gt;0,"Paid","Upcoming")))</f>
        <v/>
      </c>
      <c r="U732" s="36">
        <f>IF(A732="",0,IF(C732="✗",0,IF(L732&lt;&gt;"",L732,F732)))</f>
        <v/>
      </c>
    </row>
    <row r="733">
      <c r="A733" s="39">
        <f>IFERROR(SMALL(Calc!$B$2:$BB$61,728),"")</f>
        <v/>
      </c>
      <c r="B733" s="39">
        <f>IF(A733="","",ROUND(MOD(A733,1)*1000,0))</f>
        <v/>
      </c>
      <c r="C733" s="33" t="n"/>
      <c r="D733" s="40">
        <f>IF(A733="","",INT(A733))</f>
        <v/>
      </c>
      <c r="E733" s="41">
        <f>IF(B733="","",INDEX(Setup!$D$25:$D$84,B733))</f>
        <v/>
      </c>
      <c r="F733" s="42">
        <f>IF(B733="","",INDEX(Setup!$E$25:$E$84,B733))</f>
        <v/>
      </c>
      <c r="G733" s="39">
        <f>IF(B733="","",INDEX(Setup!$I$25:$I$84,B733)&amp;"")</f>
        <v/>
      </c>
      <c r="H733" s="39">
        <f>IF(B733="","",INDEX(Setup!$J$25:$J$84,B733)&amp;"")</f>
        <v/>
      </c>
      <c r="I733" s="39">
        <f>IF(B733="","",INDEX(Setup!$C$25:$C$84,B733))</f>
        <v/>
      </c>
      <c r="J733" s="39" t="n"/>
      <c r="K733" s="37" t="n"/>
      <c r="L733" s="38" t="n"/>
      <c r="M733" s="33" t="n"/>
      <c r="N733" s="33" t="n"/>
      <c r="O733" s="39" t="n"/>
      <c r="P733" s="40">
        <f>IF(A733="","",IF(K733&lt;&gt;"",K733,D733))</f>
        <v/>
      </c>
      <c r="Q733" s="42">
        <f>IF(A733="",0,IF(C733="✗",0,IF(OR(C733="✓",AND(Setup!$D$7="Yes",P733&lt;=TODAY())),IF(L733&lt;&gt;"",L733,F733),0)))</f>
        <v/>
      </c>
      <c r="R733" s="39">
        <f>IF(A733="","",IF(M733&lt;&gt;"",M733,G733))</f>
        <v/>
      </c>
      <c r="S733" s="39">
        <f>IF(A733="","",IF(N733&lt;&gt;"",N733,H733))</f>
        <v/>
      </c>
      <c r="T733" s="39">
        <f>IF(A733="","",IF(C733="✗","Skipped",IF(Q733&gt;0,"Paid","Upcoming")))</f>
        <v/>
      </c>
      <c r="U733" s="42">
        <f>IF(A733="",0,IF(C733="✗",0,IF(L733&lt;&gt;"",L733,F733)))</f>
        <v/>
      </c>
    </row>
    <row r="734">
      <c r="A734" s="32">
        <f>IFERROR(SMALL(Calc!$B$2:$BB$61,729),"")</f>
        <v/>
      </c>
      <c r="B734" s="32">
        <f>IF(A734="","",ROUND(MOD(A734,1)*1000,0))</f>
        <v/>
      </c>
      <c r="C734" s="33" t="n"/>
      <c r="D734" s="34">
        <f>IF(A734="","",INT(A734))</f>
        <v/>
      </c>
      <c r="E734" s="35">
        <f>IF(B734="","",INDEX(Setup!$D$25:$D$84,B734))</f>
        <v/>
      </c>
      <c r="F734" s="36">
        <f>IF(B734="","",INDEX(Setup!$E$25:$E$84,B734))</f>
        <v/>
      </c>
      <c r="G734" s="32">
        <f>IF(B734="","",INDEX(Setup!$I$25:$I$84,B734)&amp;"")</f>
        <v/>
      </c>
      <c r="H734" s="32">
        <f>IF(B734="","",INDEX(Setup!$J$25:$J$84,B734)&amp;"")</f>
        <v/>
      </c>
      <c r="I734" s="32">
        <f>IF(B734="","",INDEX(Setup!$C$25:$C$84,B734))</f>
        <v/>
      </c>
      <c r="J734" s="32" t="n"/>
      <c r="K734" s="37" t="n"/>
      <c r="L734" s="38" t="n"/>
      <c r="M734" s="33" t="n"/>
      <c r="N734" s="33" t="n"/>
      <c r="O734" s="32" t="n"/>
      <c r="P734" s="34">
        <f>IF(A734="","",IF(K734&lt;&gt;"",K734,D734))</f>
        <v/>
      </c>
      <c r="Q734" s="36">
        <f>IF(A734="",0,IF(C734="✗",0,IF(OR(C734="✓",AND(Setup!$D$7="Yes",P734&lt;=TODAY())),IF(L734&lt;&gt;"",L734,F734),0)))</f>
        <v/>
      </c>
      <c r="R734" s="32">
        <f>IF(A734="","",IF(M734&lt;&gt;"",M734,G734))</f>
        <v/>
      </c>
      <c r="S734" s="32">
        <f>IF(A734="","",IF(N734&lt;&gt;"",N734,H734))</f>
        <v/>
      </c>
      <c r="T734" s="32">
        <f>IF(A734="","",IF(C734="✗","Skipped",IF(Q734&gt;0,"Paid","Upcoming")))</f>
        <v/>
      </c>
      <c r="U734" s="36">
        <f>IF(A734="",0,IF(C734="✗",0,IF(L734&lt;&gt;"",L734,F734)))</f>
        <v/>
      </c>
    </row>
    <row r="735">
      <c r="A735" s="39">
        <f>IFERROR(SMALL(Calc!$B$2:$BB$61,730),"")</f>
        <v/>
      </c>
      <c r="B735" s="39">
        <f>IF(A735="","",ROUND(MOD(A735,1)*1000,0))</f>
        <v/>
      </c>
      <c r="C735" s="33" t="n"/>
      <c r="D735" s="40">
        <f>IF(A735="","",INT(A735))</f>
        <v/>
      </c>
      <c r="E735" s="41">
        <f>IF(B735="","",INDEX(Setup!$D$25:$D$84,B735))</f>
        <v/>
      </c>
      <c r="F735" s="42">
        <f>IF(B735="","",INDEX(Setup!$E$25:$E$84,B735))</f>
        <v/>
      </c>
      <c r="G735" s="39">
        <f>IF(B735="","",INDEX(Setup!$I$25:$I$84,B735)&amp;"")</f>
        <v/>
      </c>
      <c r="H735" s="39">
        <f>IF(B735="","",INDEX(Setup!$J$25:$J$84,B735)&amp;"")</f>
        <v/>
      </c>
      <c r="I735" s="39">
        <f>IF(B735="","",INDEX(Setup!$C$25:$C$84,B735))</f>
        <v/>
      </c>
      <c r="J735" s="39" t="n"/>
      <c r="K735" s="37" t="n"/>
      <c r="L735" s="38" t="n"/>
      <c r="M735" s="33" t="n"/>
      <c r="N735" s="33" t="n"/>
      <c r="O735" s="39" t="n"/>
      <c r="P735" s="40">
        <f>IF(A735="","",IF(K735&lt;&gt;"",K735,D735))</f>
        <v/>
      </c>
      <c r="Q735" s="42">
        <f>IF(A735="",0,IF(C735="✗",0,IF(OR(C735="✓",AND(Setup!$D$7="Yes",P735&lt;=TODAY())),IF(L735&lt;&gt;"",L735,F735),0)))</f>
        <v/>
      </c>
      <c r="R735" s="39">
        <f>IF(A735="","",IF(M735&lt;&gt;"",M735,G735))</f>
        <v/>
      </c>
      <c r="S735" s="39">
        <f>IF(A735="","",IF(N735&lt;&gt;"",N735,H735))</f>
        <v/>
      </c>
      <c r="T735" s="39">
        <f>IF(A735="","",IF(C735="✗","Skipped",IF(Q735&gt;0,"Paid","Upcoming")))</f>
        <v/>
      </c>
      <c r="U735" s="42">
        <f>IF(A735="",0,IF(C735="✗",0,IF(L735&lt;&gt;"",L735,F735)))</f>
        <v/>
      </c>
    </row>
    <row r="736">
      <c r="A736" s="32">
        <f>IFERROR(SMALL(Calc!$B$2:$BB$61,731),"")</f>
        <v/>
      </c>
      <c r="B736" s="32">
        <f>IF(A736="","",ROUND(MOD(A736,1)*1000,0))</f>
        <v/>
      </c>
      <c r="C736" s="33" t="n"/>
      <c r="D736" s="34">
        <f>IF(A736="","",INT(A736))</f>
        <v/>
      </c>
      <c r="E736" s="35">
        <f>IF(B736="","",INDEX(Setup!$D$25:$D$84,B736))</f>
        <v/>
      </c>
      <c r="F736" s="36">
        <f>IF(B736="","",INDEX(Setup!$E$25:$E$84,B736))</f>
        <v/>
      </c>
      <c r="G736" s="32">
        <f>IF(B736="","",INDEX(Setup!$I$25:$I$84,B736)&amp;"")</f>
        <v/>
      </c>
      <c r="H736" s="32">
        <f>IF(B736="","",INDEX(Setup!$J$25:$J$84,B736)&amp;"")</f>
        <v/>
      </c>
      <c r="I736" s="32">
        <f>IF(B736="","",INDEX(Setup!$C$25:$C$84,B736))</f>
        <v/>
      </c>
      <c r="J736" s="32" t="n"/>
      <c r="K736" s="37" t="n"/>
      <c r="L736" s="38" t="n"/>
      <c r="M736" s="33" t="n"/>
      <c r="N736" s="33" t="n"/>
      <c r="O736" s="32" t="n"/>
      <c r="P736" s="34">
        <f>IF(A736="","",IF(K736&lt;&gt;"",K736,D736))</f>
        <v/>
      </c>
      <c r="Q736" s="36">
        <f>IF(A736="",0,IF(C736="✗",0,IF(OR(C736="✓",AND(Setup!$D$7="Yes",P736&lt;=TODAY())),IF(L736&lt;&gt;"",L736,F736),0)))</f>
        <v/>
      </c>
      <c r="R736" s="32">
        <f>IF(A736="","",IF(M736&lt;&gt;"",M736,G736))</f>
        <v/>
      </c>
      <c r="S736" s="32">
        <f>IF(A736="","",IF(N736&lt;&gt;"",N736,H736))</f>
        <v/>
      </c>
      <c r="T736" s="32">
        <f>IF(A736="","",IF(C736="✗","Skipped",IF(Q736&gt;0,"Paid","Upcoming")))</f>
        <v/>
      </c>
      <c r="U736" s="36">
        <f>IF(A736="",0,IF(C736="✗",0,IF(L736&lt;&gt;"",L736,F736)))</f>
        <v/>
      </c>
    </row>
    <row r="737">
      <c r="A737" s="39">
        <f>IFERROR(SMALL(Calc!$B$2:$BB$61,732),"")</f>
        <v/>
      </c>
      <c r="B737" s="39">
        <f>IF(A737="","",ROUND(MOD(A737,1)*1000,0))</f>
        <v/>
      </c>
      <c r="C737" s="33" t="n"/>
      <c r="D737" s="40">
        <f>IF(A737="","",INT(A737))</f>
        <v/>
      </c>
      <c r="E737" s="41">
        <f>IF(B737="","",INDEX(Setup!$D$25:$D$84,B737))</f>
        <v/>
      </c>
      <c r="F737" s="42">
        <f>IF(B737="","",INDEX(Setup!$E$25:$E$84,B737))</f>
        <v/>
      </c>
      <c r="G737" s="39">
        <f>IF(B737="","",INDEX(Setup!$I$25:$I$84,B737)&amp;"")</f>
        <v/>
      </c>
      <c r="H737" s="39">
        <f>IF(B737="","",INDEX(Setup!$J$25:$J$84,B737)&amp;"")</f>
        <v/>
      </c>
      <c r="I737" s="39">
        <f>IF(B737="","",INDEX(Setup!$C$25:$C$84,B737))</f>
        <v/>
      </c>
      <c r="J737" s="39" t="n"/>
      <c r="K737" s="37" t="n"/>
      <c r="L737" s="38" t="n"/>
      <c r="M737" s="33" t="n"/>
      <c r="N737" s="33" t="n"/>
      <c r="O737" s="39" t="n"/>
      <c r="P737" s="40">
        <f>IF(A737="","",IF(K737&lt;&gt;"",K737,D737))</f>
        <v/>
      </c>
      <c r="Q737" s="42">
        <f>IF(A737="",0,IF(C737="✗",0,IF(OR(C737="✓",AND(Setup!$D$7="Yes",P737&lt;=TODAY())),IF(L737&lt;&gt;"",L737,F737),0)))</f>
        <v/>
      </c>
      <c r="R737" s="39">
        <f>IF(A737="","",IF(M737&lt;&gt;"",M737,G737))</f>
        <v/>
      </c>
      <c r="S737" s="39">
        <f>IF(A737="","",IF(N737&lt;&gt;"",N737,H737))</f>
        <v/>
      </c>
      <c r="T737" s="39">
        <f>IF(A737="","",IF(C737="✗","Skipped",IF(Q737&gt;0,"Paid","Upcoming")))</f>
        <v/>
      </c>
      <c r="U737" s="42">
        <f>IF(A737="",0,IF(C737="✗",0,IF(L737&lt;&gt;"",L737,F737)))</f>
        <v/>
      </c>
    </row>
    <row r="738">
      <c r="A738" s="32">
        <f>IFERROR(SMALL(Calc!$B$2:$BB$61,733),"")</f>
        <v/>
      </c>
      <c r="B738" s="32">
        <f>IF(A738="","",ROUND(MOD(A738,1)*1000,0))</f>
        <v/>
      </c>
      <c r="C738" s="33" t="n"/>
      <c r="D738" s="34">
        <f>IF(A738="","",INT(A738))</f>
        <v/>
      </c>
      <c r="E738" s="35">
        <f>IF(B738="","",INDEX(Setup!$D$25:$D$84,B738))</f>
        <v/>
      </c>
      <c r="F738" s="36">
        <f>IF(B738="","",INDEX(Setup!$E$25:$E$84,B738))</f>
        <v/>
      </c>
      <c r="G738" s="32">
        <f>IF(B738="","",INDEX(Setup!$I$25:$I$84,B738)&amp;"")</f>
        <v/>
      </c>
      <c r="H738" s="32">
        <f>IF(B738="","",INDEX(Setup!$J$25:$J$84,B738)&amp;"")</f>
        <v/>
      </c>
      <c r="I738" s="32">
        <f>IF(B738="","",INDEX(Setup!$C$25:$C$84,B738))</f>
        <v/>
      </c>
      <c r="J738" s="32" t="n"/>
      <c r="K738" s="37" t="n"/>
      <c r="L738" s="38" t="n"/>
      <c r="M738" s="33" t="n"/>
      <c r="N738" s="33" t="n"/>
      <c r="O738" s="32" t="n"/>
      <c r="P738" s="34">
        <f>IF(A738="","",IF(K738&lt;&gt;"",K738,D738))</f>
        <v/>
      </c>
      <c r="Q738" s="36">
        <f>IF(A738="",0,IF(C738="✗",0,IF(OR(C738="✓",AND(Setup!$D$7="Yes",P738&lt;=TODAY())),IF(L738&lt;&gt;"",L738,F738),0)))</f>
        <v/>
      </c>
      <c r="R738" s="32">
        <f>IF(A738="","",IF(M738&lt;&gt;"",M738,G738))</f>
        <v/>
      </c>
      <c r="S738" s="32">
        <f>IF(A738="","",IF(N738&lt;&gt;"",N738,H738))</f>
        <v/>
      </c>
      <c r="T738" s="32">
        <f>IF(A738="","",IF(C738="✗","Skipped",IF(Q738&gt;0,"Paid","Upcoming")))</f>
        <v/>
      </c>
      <c r="U738" s="36">
        <f>IF(A738="",0,IF(C738="✗",0,IF(L738&lt;&gt;"",L738,F738)))</f>
        <v/>
      </c>
    </row>
    <row r="739">
      <c r="A739" s="39">
        <f>IFERROR(SMALL(Calc!$B$2:$BB$61,734),"")</f>
        <v/>
      </c>
      <c r="B739" s="39">
        <f>IF(A739="","",ROUND(MOD(A739,1)*1000,0))</f>
        <v/>
      </c>
      <c r="C739" s="33" t="n"/>
      <c r="D739" s="40">
        <f>IF(A739="","",INT(A739))</f>
        <v/>
      </c>
      <c r="E739" s="41">
        <f>IF(B739="","",INDEX(Setup!$D$25:$D$84,B739))</f>
        <v/>
      </c>
      <c r="F739" s="42">
        <f>IF(B739="","",INDEX(Setup!$E$25:$E$84,B739))</f>
        <v/>
      </c>
      <c r="G739" s="39">
        <f>IF(B739="","",INDEX(Setup!$I$25:$I$84,B739)&amp;"")</f>
        <v/>
      </c>
      <c r="H739" s="39">
        <f>IF(B739="","",INDEX(Setup!$J$25:$J$84,B739)&amp;"")</f>
        <v/>
      </c>
      <c r="I739" s="39">
        <f>IF(B739="","",INDEX(Setup!$C$25:$C$84,B739))</f>
        <v/>
      </c>
      <c r="J739" s="39" t="n"/>
      <c r="K739" s="37" t="n"/>
      <c r="L739" s="38" t="n"/>
      <c r="M739" s="33" t="n"/>
      <c r="N739" s="33" t="n"/>
      <c r="O739" s="39" t="n"/>
      <c r="P739" s="40">
        <f>IF(A739="","",IF(K739&lt;&gt;"",K739,D739))</f>
        <v/>
      </c>
      <c r="Q739" s="42">
        <f>IF(A739="",0,IF(C739="✗",0,IF(OR(C739="✓",AND(Setup!$D$7="Yes",P739&lt;=TODAY())),IF(L739&lt;&gt;"",L739,F739),0)))</f>
        <v/>
      </c>
      <c r="R739" s="39">
        <f>IF(A739="","",IF(M739&lt;&gt;"",M739,G739))</f>
        <v/>
      </c>
      <c r="S739" s="39">
        <f>IF(A739="","",IF(N739&lt;&gt;"",N739,H739))</f>
        <v/>
      </c>
      <c r="T739" s="39">
        <f>IF(A739="","",IF(C739="✗","Skipped",IF(Q739&gt;0,"Paid","Upcoming")))</f>
        <v/>
      </c>
      <c r="U739" s="42">
        <f>IF(A739="",0,IF(C739="✗",0,IF(L739&lt;&gt;"",L739,F739)))</f>
        <v/>
      </c>
    </row>
    <row r="740">
      <c r="A740" s="32">
        <f>IFERROR(SMALL(Calc!$B$2:$BB$61,735),"")</f>
        <v/>
      </c>
      <c r="B740" s="32">
        <f>IF(A740="","",ROUND(MOD(A740,1)*1000,0))</f>
        <v/>
      </c>
      <c r="C740" s="33" t="n"/>
      <c r="D740" s="34">
        <f>IF(A740="","",INT(A740))</f>
        <v/>
      </c>
      <c r="E740" s="35">
        <f>IF(B740="","",INDEX(Setup!$D$25:$D$84,B740))</f>
        <v/>
      </c>
      <c r="F740" s="36">
        <f>IF(B740="","",INDEX(Setup!$E$25:$E$84,B740))</f>
        <v/>
      </c>
      <c r="G740" s="32">
        <f>IF(B740="","",INDEX(Setup!$I$25:$I$84,B740)&amp;"")</f>
        <v/>
      </c>
      <c r="H740" s="32">
        <f>IF(B740="","",INDEX(Setup!$J$25:$J$84,B740)&amp;"")</f>
        <v/>
      </c>
      <c r="I740" s="32">
        <f>IF(B740="","",INDEX(Setup!$C$25:$C$84,B740))</f>
        <v/>
      </c>
      <c r="J740" s="32" t="n"/>
      <c r="K740" s="37" t="n"/>
      <c r="L740" s="38" t="n"/>
      <c r="M740" s="33" t="n"/>
      <c r="N740" s="33" t="n"/>
      <c r="O740" s="32" t="n"/>
      <c r="P740" s="34">
        <f>IF(A740="","",IF(K740&lt;&gt;"",K740,D740))</f>
        <v/>
      </c>
      <c r="Q740" s="36">
        <f>IF(A740="",0,IF(C740="✗",0,IF(OR(C740="✓",AND(Setup!$D$7="Yes",P740&lt;=TODAY())),IF(L740&lt;&gt;"",L740,F740),0)))</f>
        <v/>
      </c>
      <c r="R740" s="32">
        <f>IF(A740="","",IF(M740&lt;&gt;"",M740,G740))</f>
        <v/>
      </c>
      <c r="S740" s="32">
        <f>IF(A740="","",IF(N740&lt;&gt;"",N740,H740))</f>
        <v/>
      </c>
      <c r="T740" s="32">
        <f>IF(A740="","",IF(C740="✗","Skipped",IF(Q740&gt;0,"Paid","Upcoming")))</f>
        <v/>
      </c>
      <c r="U740" s="36">
        <f>IF(A740="",0,IF(C740="✗",0,IF(L740&lt;&gt;"",L740,F740)))</f>
        <v/>
      </c>
    </row>
    <row r="741">
      <c r="A741" s="39">
        <f>IFERROR(SMALL(Calc!$B$2:$BB$61,736),"")</f>
        <v/>
      </c>
      <c r="B741" s="39">
        <f>IF(A741="","",ROUND(MOD(A741,1)*1000,0))</f>
        <v/>
      </c>
      <c r="C741" s="33" t="n"/>
      <c r="D741" s="40">
        <f>IF(A741="","",INT(A741))</f>
        <v/>
      </c>
      <c r="E741" s="41">
        <f>IF(B741="","",INDEX(Setup!$D$25:$D$84,B741))</f>
        <v/>
      </c>
      <c r="F741" s="42">
        <f>IF(B741="","",INDEX(Setup!$E$25:$E$84,B741))</f>
        <v/>
      </c>
      <c r="G741" s="39">
        <f>IF(B741="","",INDEX(Setup!$I$25:$I$84,B741)&amp;"")</f>
        <v/>
      </c>
      <c r="H741" s="39">
        <f>IF(B741="","",INDEX(Setup!$J$25:$J$84,B741)&amp;"")</f>
        <v/>
      </c>
      <c r="I741" s="39">
        <f>IF(B741="","",INDEX(Setup!$C$25:$C$84,B741))</f>
        <v/>
      </c>
      <c r="J741" s="39" t="n"/>
      <c r="K741" s="37" t="n"/>
      <c r="L741" s="38" t="n"/>
      <c r="M741" s="33" t="n"/>
      <c r="N741" s="33" t="n"/>
      <c r="O741" s="39" t="n"/>
      <c r="P741" s="40">
        <f>IF(A741="","",IF(K741&lt;&gt;"",K741,D741))</f>
        <v/>
      </c>
      <c r="Q741" s="42">
        <f>IF(A741="",0,IF(C741="✗",0,IF(OR(C741="✓",AND(Setup!$D$7="Yes",P741&lt;=TODAY())),IF(L741&lt;&gt;"",L741,F741),0)))</f>
        <v/>
      </c>
      <c r="R741" s="39">
        <f>IF(A741="","",IF(M741&lt;&gt;"",M741,G741))</f>
        <v/>
      </c>
      <c r="S741" s="39">
        <f>IF(A741="","",IF(N741&lt;&gt;"",N741,H741))</f>
        <v/>
      </c>
      <c r="T741" s="39">
        <f>IF(A741="","",IF(C741="✗","Skipped",IF(Q741&gt;0,"Paid","Upcoming")))</f>
        <v/>
      </c>
      <c r="U741" s="42">
        <f>IF(A741="",0,IF(C741="✗",0,IF(L741&lt;&gt;"",L741,F741)))</f>
        <v/>
      </c>
    </row>
    <row r="742">
      <c r="A742" s="32">
        <f>IFERROR(SMALL(Calc!$B$2:$BB$61,737),"")</f>
        <v/>
      </c>
      <c r="B742" s="32">
        <f>IF(A742="","",ROUND(MOD(A742,1)*1000,0))</f>
        <v/>
      </c>
      <c r="C742" s="33" t="n"/>
      <c r="D742" s="34">
        <f>IF(A742="","",INT(A742))</f>
        <v/>
      </c>
      <c r="E742" s="35">
        <f>IF(B742="","",INDEX(Setup!$D$25:$D$84,B742))</f>
        <v/>
      </c>
      <c r="F742" s="36">
        <f>IF(B742="","",INDEX(Setup!$E$25:$E$84,B742))</f>
        <v/>
      </c>
      <c r="G742" s="32">
        <f>IF(B742="","",INDEX(Setup!$I$25:$I$84,B742)&amp;"")</f>
        <v/>
      </c>
      <c r="H742" s="32">
        <f>IF(B742="","",INDEX(Setup!$J$25:$J$84,B742)&amp;"")</f>
        <v/>
      </c>
      <c r="I742" s="32">
        <f>IF(B742="","",INDEX(Setup!$C$25:$C$84,B742))</f>
        <v/>
      </c>
      <c r="J742" s="32" t="n"/>
      <c r="K742" s="37" t="n"/>
      <c r="L742" s="38" t="n"/>
      <c r="M742" s="33" t="n"/>
      <c r="N742" s="33" t="n"/>
      <c r="O742" s="32" t="n"/>
      <c r="P742" s="34">
        <f>IF(A742="","",IF(K742&lt;&gt;"",K742,D742))</f>
        <v/>
      </c>
      <c r="Q742" s="36">
        <f>IF(A742="",0,IF(C742="✗",0,IF(OR(C742="✓",AND(Setup!$D$7="Yes",P742&lt;=TODAY())),IF(L742&lt;&gt;"",L742,F742),0)))</f>
        <v/>
      </c>
      <c r="R742" s="32">
        <f>IF(A742="","",IF(M742&lt;&gt;"",M742,G742))</f>
        <v/>
      </c>
      <c r="S742" s="32">
        <f>IF(A742="","",IF(N742&lt;&gt;"",N742,H742))</f>
        <v/>
      </c>
      <c r="T742" s="32">
        <f>IF(A742="","",IF(C742="✗","Skipped",IF(Q742&gt;0,"Paid","Upcoming")))</f>
        <v/>
      </c>
      <c r="U742" s="36">
        <f>IF(A742="",0,IF(C742="✗",0,IF(L742&lt;&gt;"",L742,F742)))</f>
        <v/>
      </c>
    </row>
    <row r="743">
      <c r="A743" s="39">
        <f>IFERROR(SMALL(Calc!$B$2:$BB$61,738),"")</f>
        <v/>
      </c>
      <c r="B743" s="39">
        <f>IF(A743="","",ROUND(MOD(A743,1)*1000,0))</f>
        <v/>
      </c>
      <c r="C743" s="33" t="n"/>
      <c r="D743" s="40">
        <f>IF(A743="","",INT(A743))</f>
        <v/>
      </c>
      <c r="E743" s="41">
        <f>IF(B743="","",INDEX(Setup!$D$25:$D$84,B743))</f>
        <v/>
      </c>
      <c r="F743" s="42">
        <f>IF(B743="","",INDEX(Setup!$E$25:$E$84,B743))</f>
        <v/>
      </c>
      <c r="G743" s="39">
        <f>IF(B743="","",INDEX(Setup!$I$25:$I$84,B743)&amp;"")</f>
        <v/>
      </c>
      <c r="H743" s="39">
        <f>IF(B743="","",INDEX(Setup!$J$25:$J$84,B743)&amp;"")</f>
        <v/>
      </c>
      <c r="I743" s="39">
        <f>IF(B743="","",INDEX(Setup!$C$25:$C$84,B743))</f>
        <v/>
      </c>
      <c r="J743" s="39" t="n"/>
      <c r="K743" s="37" t="n"/>
      <c r="L743" s="38" t="n"/>
      <c r="M743" s="33" t="n"/>
      <c r="N743" s="33" t="n"/>
      <c r="O743" s="39" t="n"/>
      <c r="P743" s="40">
        <f>IF(A743="","",IF(K743&lt;&gt;"",K743,D743))</f>
        <v/>
      </c>
      <c r="Q743" s="42">
        <f>IF(A743="",0,IF(C743="✗",0,IF(OR(C743="✓",AND(Setup!$D$7="Yes",P743&lt;=TODAY())),IF(L743&lt;&gt;"",L743,F743),0)))</f>
        <v/>
      </c>
      <c r="R743" s="39">
        <f>IF(A743="","",IF(M743&lt;&gt;"",M743,G743))</f>
        <v/>
      </c>
      <c r="S743" s="39">
        <f>IF(A743="","",IF(N743&lt;&gt;"",N743,H743))</f>
        <v/>
      </c>
      <c r="T743" s="39">
        <f>IF(A743="","",IF(C743="✗","Skipped",IF(Q743&gt;0,"Paid","Upcoming")))</f>
        <v/>
      </c>
      <c r="U743" s="42">
        <f>IF(A743="",0,IF(C743="✗",0,IF(L743&lt;&gt;"",L743,F743)))</f>
        <v/>
      </c>
    </row>
    <row r="744">
      <c r="A744" s="32">
        <f>IFERROR(SMALL(Calc!$B$2:$BB$61,739),"")</f>
        <v/>
      </c>
      <c r="B744" s="32">
        <f>IF(A744="","",ROUND(MOD(A744,1)*1000,0))</f>
        <v/>
      </c>
      <c r="C744" s="33" t="n"/>
      <c r="D744" s="34">
        <f>IF(A744="","",INT(A744))</f>
        <v/>
      </c>
      <c r="E744" s="35">
        <f>IF(B744="","",INDEX(Setup!$D$25:$D$84,B744))</f>
        <v/>
      </c>
      <c r="F744" s="36">
        <f>IF(B744="","",INDEX(Setup!$E$25:$E$84,B744))</f>
        <v/>
      </c>
      <c r="G744" s="32">
        <f>IF(B744="","",INDEX(Setup!$I$25:$I$84,B744)&amp;"")</f>
        <v/>
      </c>
      <c r="H744" s="32">
        <f>IF(B744="","",INDEX(Setup!$J$25:$J$84,B744)&amp;"")</f>
        <v/>
      </c>
      <c r="I744" s="32">
        <f>IF(B744="","",INDEX(Setup!$C$25:$C$84,B744))</f>
        <v/>
      </c>
      <c r="J744" s="32" t="n"/>
      <c r="K744" s="37" t="n"/>
      <c r="L744" s="38" t="n"/>
      <c r="M744" s="33" t="n"/>
      <c r="N744" s="33" t="n"/>
      <c r="O744" s="32" t="n"/>
      <c r="P744" s="34">
        <f>IF(A744="","",IF(K744&lt;&gt;"",K744,D744))</f>
        <v/>
      </c>
      <c r="Q744" s="36">
        <f>IF(A744="",0,IF(C744="✗",0,IF(OR(C744="✓",AND(Setup!$D$7="Yes",P744&lt;=TODAY())),IF(L744&lt;&gt;"",L744,F744),0)))</f>
        <v/>
      </c>
      <c r="R744" s="32">
        <f>IF(A744="","",IF(M744&lt;&gt;"",M744,G744))</f>
        <v/>
      </c>
      <c r="S744" s="32">
        <f>IF(A744="","",IF(N744&lt;&gt;"",N744,H744))</f>
        <v/>
      </c>
      <c r="T744" s="32">
        <f>IF(A744="","",IF(C744="✗","Skipped",IF(Q744&gt;0,"Paid","Upcoming")))</f>
        <v/>
      </c>
      <c r="U744" s="36">
        <f>IF(A744="",0,IF(C744="✗",0,IF(L744&lt;&gt;"",L744,F744)))</f>
        <v/>
      </c>
    </row>
    <row r="745">
      <c r="A745" s="39">
        <f>IFERROR(SMALL(Calc!$B$2:$BB$61,740),"")</f>
        <v/>
      </c>
      <c r="B745" s="39">
        <f>IF(A745="","",ROUND(MOD(A745,1)*1000,0))</f>
        <v/>
      </c>
      <c r="C745" s="33" t="n"/>
      <c r="D745" s="40">
        <f>IF(A745="","",INT(A745))</f>
        <v/>
      </c>
      <c r="E745" s="41">
        <f>IF(B745="","",INDEX(Setup!$D$25:$D$84,B745))</f>
        <v/>
      </c>
      <c r="F745" s="42">
        <f>IF(B745="","",INDEX(Setup!$E$25:$E$84,B745))</f>
        <v/>
      </c>
      <c r="G745" s="39">
        <f>IF(B745="","",INDEX(Setup!$I$25:$I$84,B745)&amp;"")</f>
        <v/>
      </c>
      <c r="H745" s="39">
        <f>IF(B745="","",INDEX(Setup!$J$25:$J$84,B745)&amp;"")</f>
        <v/>
      </c>
      <c r="I745" s="39">
        <f>IF(B745="","",INDEX(Setup!$C$25:$C$84,B745))</f>
        <v/>
      </c>
      <c r="J745" s="39" t="n"/>
      <c r="K745" s="37" t="n"/>
      <c r="L745" s="38" t="n"/>
      <c r="M745" s="33" t="n"/>
      <c r="N745" s="33" t="n"/>
      <c r="O745" s="39" t="n"/>
      <c r="P745" s="40">
        <f>IF(A745="","",IF(K745&lt;&gt;"",K745,D745))</f>
        <v/>
      </c>
      <c r="Q745" s="42">
        <f>IF(A745="",0,IF(C745="✗",0,IF(OR(C745="✓",AND(Setup!$D$7="Yes",P745&lt;=TODAY())),IF(L745&lt;&gt;"",L745,F745),0)))</f>
        <v/>
      </c>
      <c r="R745" s="39">
        <f>IF(A745="","",IF(M745&lt;&gt;"",M745,G745))</f>
        <v/>
      </c>
      <c r="S745" s="39">
        <f>IF(A745="","",IF(N745&lt;&gt;"",N745,H745))</f>
        <v/>
      </c>
      <c r="T745" s="39">
        <f>IF(A745="","",IF(C745="✗","Skipped",IF(Q745&gt;0,"Paid","Upcoming")))</f>
        <v/>
      </c>
      <c r="U745" s="42">
        <f>IF(A745="",0,IF(C745="✗",0,IF(L745&lt;&gt;"",L745,F745)))</f>
        <v/>
      </c>
    </row>
    <row r="746">
      <c r="A746" s="32">
        <f>IFERROR(SMALL(Calc!$B$2:$BB$61,741),"")</f>
        <v/>
      </c>
      <c r="B746" s="32">
        <f>IF(A746="","",ROUND(MOD(A746,1)*1000,0))</f>
        <v/>
      </c>
      <c r="C746" s="33" t="n"/>
      <c r="D746" s="34">
        <f>IF(A746="","",INT(A746))</f>
        <v/>
      </c>
      <c r="E746" s="35">
        <f>IF(B746="","",INDEX(Setup!$D$25:$D$84,B746))</f>
        <v/>
      </c>
      <c r="F746" s="36">
        <f>IF(B746="","",INDEX(Setup!$E$25:$E$84,B746))</f>
        <v/>
      </c>
      <c r="G746" s="32">
        <f>IF(B746="","",INDEX(Setup!$I$25:$I$84,B746)&amp;"")</f>
        <v/>
      </c>
      <c r="H746" s="32">
        <f>IF(B746="","",INDEX(Setup!$J$25:$J$84,B746)&amp;"")</f>
        <v/>
      </c>
      <c r="I746" s="32">
        <f>IF(B746="","",INDEX(Setup!$C$25:$C$84,B746))</f>
        <v/>
      </c>
      <c r="J746" s="32" t="n"/>
      <c r="K746" s="37" t="n"/>
      <c r="L746" s="38" t="n"/>
      <c r="M746" s="33" t="n"/>
      <c r="N746" s="33" t="n"/>
      <c r="O746" s="32" t="n"/>
      <c r="P746" s="34">
        <f>IF(A746="","",IF(K746&lt;&gt;"",K746,D746))</f>
        <v/>
      </c>
      <c r="Q746" s="36">
        <f>IF(A746="",0,IF(C746="✗",0,IF(OR(C746="✓",AND(Setup!$D$7="Yes",P746&lt;=TODAY())),IF(L746&lt;&gt;"",L746,F746),0)))</f>
        <v/>
      </c>
      <c r="R746" s="32">
        <f>IF(A746="","",IF(M746&lt;&gt;"",M746,G746))</f>
        <v/>
      </c>
      <c r="S746" s="32">
        <f>IF(A746="","",IF(N746&lt;&gt;"",N746,H746))</f>
        <v/>
      </c>
      <c r="T746" s="32">
        <f>IF(A746="","",IF(C746="✗","Skipped",IF(Q746&gt;0,"Paid","Upcoming")))</f>
        <v/>
      </c>
      <c r="U746" s="36">
        <f>IF(A746="",0,IF(C746="✗",0,IF(L746&lt;&gt;"",L746,F746)))</f>
        <v/>
      </c>
    </row>
    <row r="747">
      <c r="A747" s="39">
        <f>IFERROR(SMALL(Calc!$B$2:$BB$61,742),"")</f>
        <v/>
      </c>
      <c r="B747" s="39">
        <f>IF(A747="","",ROUND(MOD(A747,1)*1000,0))</f>
        <v/>
      </c>
      <c r="C747" s="33" t="n"/>
      <c r="D747" s="40">
        <f>IF(A747="","",INT(A747))</f>
        <v/>
      </c>
      <c r="E747" s="41">
        <f>IF(B747="","",INDEX(Setup!$D$25:$D$84,B747))</f>
        <v/>
      </c>
      <c r="F747" s="42">
        <f>IF(B747="","",INDEX(Setup!$E$25:$E$84,B747))</f>
        <v/>
      </c>
      <c r="G747" s="39">
        <f>IF(B747="","",INDEX(Setup!$I$25:$I$84,B747)&amp;"")</f>
        <v/>
      </c>
      <c r="H747" s="39">
        <f>IF(B747="","",INDEX(Setup!$J$25:$J$84,B747)&amp;"")</f>
        <v/>
      </c>
      <c r="I747" s="39">
        <f>IF(B747="","",INDEX(Setup!$C$25:$C$84,B747))</f>
        <v/>
      </c>
      <c r="J747" s="39" t="n"/>
      <c r="K747" s="37" t="n"/>
      <c r="L747" s="38" t="n"/>
      <c r="M747" s="33" t="n"/>
      <c r="N747" s="33" t="n"/>
      <c r="O747" s="39" t="n"/>
      <c r="P747" s="40">
        <f>IF(A747="","",IF(K747&lt;&gt;"",K747,D747))</f>
        <v/>
      </c>
      <c r="Q747" s="42">
        <f>IF(A747="",0,IF(C747="✗",0,IF(OR(C747="✓",AND(Setup!$D$7="Yes",P747&lt;=TODAY())),IF(L747&lt;&gt;"",L747,F747),0)))</f>
        <v/>
      </c>
      <c r="R747" s="39">
        <f>IF(A747="","",IF(M747&lt;&gt;"",M747,G747))</f>
        <v/>
      </c>
      <c r="S747" s="39">
        <f>IF(A747="","",IF(N747&lt;&gt;"",N747,H747))</f>
        <v/>
      </c>
      <c r="T747" s="39">
        <f>IF(A747="","",IF(C747="✗","Skipped",IF(Q747&gt;0,"Paid","Upcoming")))</f>
        <v/>
      </c>
      <c r="U747" s="42">
        <f>IF(A747="",0,IF(C747="✗",0,IF(L747&lt;&gt;"",L747,F747)))</f>
        <v/>
      </c>
    </row>
    <row r="748">
      <c r="A748" s="32">
        <f>IFERROR(SMALL(Calc!$B$2:$BB$61,743),"")</f>
        <v/>
      </c>
      <c r="B748" s="32">
        <f>IF(A748="","",ROUND(MOD(A748,1)*1000,0))</f>
        <v/>
      </c>
      <c r="C748" s="33" t="n"/>
      <c r="D748" s="34">
        <f>IF(A748="","",INT(A748))</f>
        <v/>
      </c>
      <c r="E748" s="35">
        <f>IF(B748="","",INDEX(Setup!$D$25:$D$84,B748))</f>
        <v/>
      </c>
      <c r="F748" s="36">
        <f>IF(B748="","",INDEX(Setup!$E$25:$E$84,B748))</f>
        <v/>
      </c>
      <c r="G748" s="32">
        <f>IF(B748="","",INDEX(Setup!$I$25:$I$84,B748)&amp;"")</f>
        <v/>
      </c>
      <c r="H748" s="32">
        <f>IF(B748="","",INDEX(Setup!$J$25:$J$84,B748)&amp;"")</f>
        <v/>
      </c>
      <c r="I748" s="32">
        <f>IF(B748="","",INDEX(Setup!$C$25:$C$84,B748))</f>
        <v/>
      </c>
      <c r="J748" s="32" t="n"/>
      <c r="K748" s="37" t="n"/>
      <c r="L748" s="38" t="n"/>
      <c r="M748" s="33" t="n"/>
      <c r="N748" s="33" t="n"/>
      <c r="O748" s="32" t="n"/>
      <c r="P748" s="34">
        <f>IF(A748="","",IF(K748&lt;&gt;"",K748,D748))</f>
        <v/>
      </c>
      <c r="Q748" s="36">
        <f>IF(A748="",0,IF(C748="✗",0,IF(OR(C748="✓",AND(Setup!$D$7="Yes",P748&lt;=TODAY())),IF(L748&lt;&gt;"",L748,F748),0)))</f>
        <v/>
      </c>
      <c r="R748" s="32">
        <f>IF(A748="","",IF(M748&lt;&gt;"",M748,G748))</f>
        <v/>
      </c>
      <c r="S748" s="32">
        <f>IF(A748="","",IF(N748&lt;&gt;"",N748,H748))</f>
        <v/>
      </c>
      <c r="T748" s="32">
        <f>IF(A748="","",IF(C748="✗","Skipped",IF(Q748&gt;0,"Paid","Upcoming")))</f>
        <v/>
      </c>
      <c r="U748" s="36">
        <f>IF(A748="",0,IF(C748="✗",0,IF(L748&lt;&gt;"",L748,F748)))</f>
        <v/>
      </c>
    </row>
    <row r="749">
      <c r="A749" s="39">
        <f>IFERROR(SMALL(Calc!$B$2:$BB$61,744),"")</f>
        <v/>
      </c>
      <c r="B749" s="39">
        <f>IF(A749="","",ROUND(MOD(A749,1)*1000,0))</f>
        <v/>
      </c>
      <c r="C749" s="33" t="n"/>
      <c r="D749" s="40">
        <f>IF(A749="","",INT(A749))</f>
        <v/>
      </c>
      <c r="E749" s="41">
        <f>IF(B749="","",INDEX(Setup!$D$25:$D$84,B749))</f>
        <v/>
      </c>
      <c r="F749" s="42">
        <f>IF(B749="","",INDEX(Setup!$E$25:$E$84,B749))</f>
        <v/>
      </c>
      <c r="G749" s="39">
        <f>IF(B749="","",INDEX(Setup!$I$25:$I$84,B749)&amp;"")</f>
        <v/>
      </c>
      <c r="H749" s="39">
        <f>IF(B749="","",INDEX(Setup!$J$25:$J$84,B749)&amp;"")</f>
        <v/>
      </c>
      <c r="I749" s="39">
        <f>IF(B749="","",INDEX(Setup!$C$25:$C$84,B749))</f>
        <v/>
      </c>
      <c r="J749" s="39" t="n"/>
      <c r="K749" s="37" t="n"/>
      <c r="L749" s="38" t="n"/>
      <c r="M749" s="33" t="n"/>
      <c r="N749" s="33" t="n"/>
      <c r="O749" s="39" t="n"/>
      <c r="P749" s="40">
        <f>IF(A749="","",IF(K749&lt;&gt;"",K749,D749))</f>
        <v/>
      </c>
      <c r="Q749" s="42">
        <f>IF(A749="",0,IF(C749="✗",0,IF(OR(C749="✓",AND(Setup!$D$7="Yes",P749&lt;=TODAY())),IF(L749&lt;&gt;"",L749,F749),0)))</f>
        <v/>
      </c>
      <c r="R749" s="39">
        <f>IF(A749="","",IF(M749&lt;&gt;"",M749,G749))</f>
        <v/>
      </c>
      <c r="S749" s="39">
        <f>IF(A749="","",IF(N749&lt;&gt;"",N749,H749))</f>
        <v/>
      </c>
      <c r="T749" s="39">
        <f>IF(A749="","",IF(C749="✗","Skipped",IF(Q749&gt;0,"Paid","Upcoming")))</f>
        <v/>
      </c>
      <c r="U749" s="42">
        <f>IF(A749="",0,IF(C749="✗",0,IF(L749&lt;&gt;"",L749,F749)))</f>
        <v/>
      </c>
    </row>
    <row r="750">
      <c r="A750" s="32">
        <f>IFERROR(SMALL(Calc!$B$2:$BB$61,745),"")</f>
        <v/>
      </c>
      <c r="B750" s="32">
        <f>IF(A750="","",ROUND(MOD(A750,1)*1000,0))</f>
        <v/>
      </c>
      <c r="C750" s="33" t="n"/>
      <c r="D750" s="34">
        <f>IF(A750="","",INT(A750))</f>
        <v/>
      </c>
      <c r="E750" s="35">
        <f>IF(B750="","",INDEX(Setup!$D$25:$D$84,B750))</f>
        <v/>
      </c>
      <c r="F750" s="36">
        <f>IF(B750="","",INDEX(Setup!$E$25:$E$84,B750))</f>
        <v/>
      </c>
      <c r="G750" s="32">
        <f>IF(B750="","",INDEX(Setup!$I$25:$I$84,B750)&amp;"")</f>
        <v/>
      </c>
      <c r="H750" s="32">
        <f>IF(B750="","",INDEX(Setup!$J$25:$J$84,B750)&amp;"")</f>
        <v/>
      </c>
      <c r="I750" s="32">
        <f>IF(B750="","",INDEX(Setup!$C$25:$C$84,B750))</f>
        <v/>
      </c>
      <c r="J750" s="32" t="n"/>
      <c r="K750" s="37" t="n"/>
      <c r="L750" s="38" t="n"/>
      <c r="M750" s="33" t="n"/>
      <c r="N750" s="33" t="n"/>
      <c r="O750" s="32" t="n"/>
      <c r="P750" s="34">
        <f>IF(A750="","",IF(K750&lt;&gt;"",K750,D750))</f>
        <v/>
      </c>
      <c r="Q750" s="36">
        <f>IF(A750="",0,IF(C750="✗",0,IF(OR(C750="✓",AND(Setup!$D$7="Yes",P750&lt;=TODAY())),IF(L750&lt;&gt;"",L750,F750),0)))</f>
        <v/>
      </c>
      <c r="R750" s="32">
        <f>IF(A750="","",IF(M750&lt;&gt;"",M750,G750))</f>
        <v/>
      </c>
      <c r="S750" s="32">
        <f>IF(A750="","",IF(N750&lt;&gt;"",N750,H750))</f>
        <v/>
      </c>
      <c r="T750" s="32">
        <f>IF(A750="","",IF(C750="✗","Skipped",IF(Q750&gt;0,"Paid","Upcoming")))</f>
        <v/>
      </c>
      <c r="U750" s="36">
        <f>IF(A750="",0,IF(C750="✗",0,IF(L750&lt;&gt;"",L750,F750)))</f>
        <v/>
      </c>
    </row>
    <row r="751">
      <c r="A751" s="39">
        <f>IFERROR(SMALL(Calc!$B$2:$BB$61,746),"")</f>
        <v/>
      </c>
      <c r="B751" s="39">
        <f>IF(A751="","",ROUND(MOD(A751,1)*1000,0))</f>
        <v/>
      </c>
      <c r="C751" s="33" t="n"/>
      <c r="D751" s="40">
        <f>IF(A751="","",INT(A751))</f>
        <v/>
      </c>
      <c r="E751" s="41">
        <f>IF(B751="","",INDEX(Setup!$D$25:$D$84,B751))</f>
        <v/>
      </c>
      <c r="F751" s="42">
        <f>IF(B751="","",INDEX(Setup!$E$25:$E$84,B751))</f>
        <v/>
      </c>
      <c r="G751" s="39">
        <f>IF(B751="","",INDEX(Setup!$I$25:$I$84,B751)&amp;"")</f>
        <v/>
      </c>
      <c r="H751" s="39">
        <f>IF(B751="","",INDEX(Setup!$J$25:$J$84,B751)&amp;"")</f>
        <v/>
      </c>
      <c r="I751" s="39">
        <f>IF(B751="","",INDEX(Setup!$C$25:$C$84,B751))</f>
        <v/>
      </c>
      <c r="J751" s="39" t="n"/>
      <c r="K751" s="37" t="n"/>
      <c r="L751" s="38" t="n"/>
      <c r="M751" s="33" t="n"/>
      <c r="N751" s="33" t="n"/>
      <c r="O751" s="39" t="n"/>
      <c r="P751" s="40">
        <f>IF(A751="","",IF(K751&lt;&gt;"",K751,D751))</f>
        <v/>
      </c>
      <c r="Q751" s="42">
        <f>IF(A751="",0,IF(C751="✗",0,IF(OR(C751="✓",AND(Setup!$D$7="Yes",P751&lt;=TODAY())),IF(L751&lt;&gt;"",L751,F751),0)))</f>
        <v/>
      </c>
      <c r="R751" s="39">
        <f>IF(A751="","",IF(M751&lt;&gt;"",M751,G751))</f>
        <v/>
      </c>
      <c r="S751" s="39">
        <f>IF(A751="","",IF(N751&lt;&gt;"",N751,H751))</f>
        <v/>
      </c>
      <c r="T751" s="39">
        <f>IF(A751="","",IF(C751="✗","Skipped",IF(Q751&gt;0,"Paid","Upcoming")))</f>
        <v/>
      </c>
      <c r="U751" s="42">
        <f>IF(A751="",0,IF(C751="✗",0,IF(L751&lt;&gt;"",L751,F751)))</f>
        <v/>
      </c>
    </row>
    <row r="752">
      <c r="A752" s="32">
        <f>IFERROR(SMALL(Calc!$B$2:$BB$61,747),"")</f>
        <v/>
      </c>
      <c r="B752" s="32">
        <f>IF(A752="","",ROUND(MOD(A752,1)*1000,0))</f>
        <v/>
      </c>
      <c r="C752" s="33" t="n"/>
      <c r="D752" s="34">
        <f>IF(A752="","",INT(A752))</f>
        <v/>
      </c>
      <c r="E752" s="35">
        <f>IF(B752="","",INDEX(Setup!$D$25:$D$84,B752))</f>
        <v/>
      </c>
      <c r="F752" s="36">
        <f>IF(B752="","",INDEX(Setup!$E$25:$E$84,B752))</f>
        <v/>
      </c>
      <c r="G752" s="32">
        <f>IF(B752="","",INDEX(Setup!$I$25:$I$84,B752)&amp;"")</f>
        <v/>
      </c>
      <c r="H752" s="32">
        <f>IF(B752="","",INDEX(Setup!$J$25:$J$84,B752)&amp;"")</f>
        <v/>
      </c>
      <c r="I752" s="32">
        <f>IF(B752="","",INDEX(Setup!$C$25:$C$84,B752))</f>
        <v/>
      </c>
      <c r="J752" s="32" t="n"/>
      <c r="K752" s="37" t="n"/>
      <c r="L752" s="38" t="n"/>
      <c r="M752" s="33" t="n"/>
      <c r="N752" s="33" t="n"/>
      <c r="O752" s="32" t="n"/>
      <c r="P752" s="34">
        <f>IF(A752="","",IF(K752&lt;&gt;"",K752,D752))</f>
        <v/>
      </c>
      <c r="Q752" s="36">
        <f>IF(A752="",0,IF(C752="✗",0,IF(OR(C752="✓",AND(Setup!$D$7="Yes",P752&lt;=TODAY())),IF(L752&lt;&gt;"",L752,F752),0)))</f>
        <v/>
      </c>
      <c r="R752" s="32">
        <f>IF(A752="","",IF(M752&lt;&gt;"",M752,G752))</f>
        <v/>
      </c>
      <c r="S752" s="32">
        <f>IF(A752="","",IF(N752&lt;&gt;"",N752,H752))</f>
        <v/>
      </c>
      <c r="T752" s="32">
        <f>IF(A752="","",IF(C752="✗","Skipped",IF(Q752&gt;0,"Paid","Upcoming")))</f>
        <v/>
      </c>
      <c r="U752" s="36">
        <f>IF(A752="",0,IF(C752="✗",0,IF(L752&lt;&gt;"",L752,F752)))</f>
        <v/>
      </c>
    </row>
    <row r="753">
      <c r="A753" s="39">
        <f>IFERROR(SMALL(Calc!$B$2:$BB$61,748),"")</f>
        <v/>
      </c>
      <c r="B753" s="39">
        <f>IF(A753="","",ROUND(MOD(A753,1)*1000,0))</f>
        <v/>
      </c>
      <c r="C753" s="33" t="n"/>
      <c r="D753" s="40">
        <f>IF(A753="","",INT(A753))</f>
        <v/>
      </c>
      <c r="E753" s="41">
        <f>IF(B753="","",INDEX(Setup!$D$25:$D$84,B753))</f>
        <v/>
      </c>
      <c r="F753" s="42">
        <f>IF(B753="","",INDEX(Setup!$E$25:$E$84,B753))</f>
        <v/>
      </c>
      <c r="G753" s="39">
        <f>IF(B753="","",INDEX(Setup!$I$25:$I$84,B753)&amp;"")</f>
        <v/>
      </c>
      <c r="H753" s="39">
        <f>IF(B753="","",INDEX(Setup!$J$25:$J$84,B753)&amp;"")</f>
        <v/>
      </c>
      <c r="I753" s="39">
        <f>IF(B753="","",INDEX(Setup!$C$25:$C$84,B753))</f>
        <v/>
      </c>
      <c r="J753" s="39" t="n"/>
      <c r="K753" s="37" t="n"/>
      <c r="L753" s="38" t="n"/>
      <c r="M753" s="33" t="n"/>
      <c r="N753" s="33" t="n"/>
      <c r="O753" s="39" t="n"/>
      <c r="P753" s="40">
        <f>IF(A753="","",IF(K753&lt;&gt;"",K753,D753))</f>
        <v/>
      </c>
      <c r="Q753" s="42">
        <f>IF(A753="",0,IF(C753="✗",0,IF(OR(C753="✓",AND(Setup!$D$7="Yes",P753&lt;=TODAY())),IF(L753&lt;&gt;"",L753,F753),0)))</f>
        <v/>
      </c>
      <c r="R753" s="39">
        <f>IF(A753="","",IF(M753&lt;&gt;"",M753,G753))</f>
        <v/>
      </c>
      <c r="S753" s="39">
        <f>IF(A753="","",IF(N753&lt;&gt;"",N753,H753))</f>
        <v/>
      </c>
      <c r="T753" s="39">
        <f>IF(A753="","",IF(C753="✗","Skipped",IF(Q753&gt;0,"Paid","Upcoming")))</f>
        <v/>
      </c>
      <c r="U753" s="42">
        <f>IF(A753="",0,IF(C753="✗",0,IF(L753&lt;&gt;"",L753,F753)))</f>
        <v/>
      </c>
    </row>
    <row r="754">
      <c r="A754" s="32">
        <f>IFERROR(SMALL(Calc!$B$2:$BB$61,749),"")</f>
        <v/>
      </c>
      <c r="B754" s="32">
        <f>IF(A754="","",ROUND(MOD(A754,1)*1000,0))</f>
        <v/>
      </c>
      <c r="C754" s="33" t="n"/>
      <c r="D754" s="34">
        <f>IF(A754="","",INT(A754))</f>
        <v/>
      </c>
      <c r="E754" s="35">
        <f>IF(B754="","",INDEX(Setup!$D$25:$D$84,B754))</f>
        <v/>
      </c>
      <c r="F754" s="36">
        <f>IF(B754="","",INDEX(Setup!$E$25:$E$84,B754))</f>
        <v/>
      </c>
      <c r="G754" s="32">
        <f>IF(B754="","",INDEX(Setup!$I$25:$I$84,B754)&amp;"")</f>
        <v/>
      </c>
      <c r="H754" s="32">
        <f>IF(B754="","",INDEX(Setup!$J$25:$J$84,B754)&amp;"")</f>
        <v/>
      </c>
      <c r="I754" s="32">
        <f>IF(B754="","",INDEX(Setup!$C$25:$C$84,B754))</f>
        <v/>
      </c>
      <c r="J754" s="32" t="n"/>
      <c r="K754" s="37" t="n"/>
      <c r="L754" s="38" t="n"/>
      <c r="M754" s="33" t="n"/>
      <c r="N754" s="33" t="n"/>
      <c r="O754" s="32" t="n"/>
      <c r="P754" s="34">
        <f>IF(A754="","",IF(K754&lt;&gt;"",K754,D754))</f>
        <v/>
      </c>
      <c r="Q754" s="36">
        <f>IF(A754="",0,IF(C754="✗",0,IF(OR(C754="✓",AND(Setup!$D$7="Yes",P754&lt;=TODAY())),IF(L754&lt;&gt;"",L754,F754),0)))</f>
        <v/>
      </c>
      <c r="R754" s="32">
        <f>IF(A754="","",IF(M754&lt;&gt;"",M754,G754))</f>
        <v/>
      </c>
      <c r="S754" s="32">
        <f>IF(A754="","",IF(N754&lt;&gt;"",N754,H754))</f>
        <v/>
      </c>
      <c r="T754" s="32">
        <f>IF(A754="","",IF(C754="✗","Skipped",IF(Q754&gt;0,"Paid","Upcoming")))</f>
        <v/>
      </c>
      <c r="U754" s="36">
        <f>IF(A754="",0,IF(C754="✗",0,IF(L754&lt;&gt;"",L754,F754)))</f>
        <v/>
      </c>
    </row>
    <row r="755">
      <c r="A755" s="39">
        <f>IFERROR(SMALL(Calc!$B$2:$BB$61,750),"")</f>
        <v/>
      </c>
      <c r="B755" s="39">
        <f>IF(A755="","",ROUND(MOD(A755,1)*1000,0))</f>
        <v/>
      </c>
      <c r="C755" s="33" t="n"/>
      <c r="D755" s="40">
        <f>IF(A755="","",INT(A755))</f>
        <v/>
      </c>
      <c r="E755" s="41">
        <f>IF(B755="","",INDEX(Setup!$D$25:$D$84,B755))</f>
        <v/>
      </c>
      <c r="F755" s="42">
        <f>IF(B755="","",INDEX(Setup!$E$25:$E$84,B755))</f>
        <v/>
      </c>
      <c r="G755" s="39">
        <f>IF(B755="","",INDEX(Setup!$I$25:$I$84,B755)&amp;"")</f>
        <v/>
      </c>
      <c r="H755" s="39">
        <f>IF(B755="","",INDEX(Setup!$J$25:$J$84,B755)&amp;"")</f>
        <v/>
      </c>
      <c r="I755" s="39">
        <f>IF(B755="","",INDEX(Setup!$C$25:$C$84,B755))</f>
        <v/>
      </c>
      <c r="J755" s="39" t="n"/>
      <c r="K755" s="37" t="n"/>
      <c r="L755" s="38" t="n"/>
      <c r="M755" s="33" t="n"/>
      <c r="N755" s="33" t="n"/>
      <c r="O755" s="39" t="n"/>
      <c r="P755" s="40">
        <f>IF(A755="","",IF(K755&lt;&gt;"",K755,D755))</f>
        <v/>
      </c>
      <c r="Q755" s="42">
        <f>IF(A755="",0,IF(C755="✗",0,IF(OR(C755="✓",AND(Setup!$D$7="Yes",P755&lt;=TODAY())),IF(L755&lt;&gt;"",L755,F755),0)))</f>
        <v/>
      </c>
      <c r="R755" s="39">
        <f>IF(A755="","",IF(M755&lt;&gt;"",M755,G755))</f>
        <v/>
      </c>
      <c r="S755" s="39">
        <f>IF(A755="","",IF(N755&lt;&gt;"",N755,H755))</f>
        <v/>
      </c>
      <c r="T755" s="39">
        <f>IF(A755="","",IF(C755="✗","Skipped",IF(Q755&gt;0,"Paid","Upcoming")))</f>
        <v/>
      </c>
      <c r="U755" s="42">
        <f>IF(A755="",0,IF(C755="✗",0,IF(L755&lt;&gt;"",L755,F755)))</f>
        <v/>
      </c>
    </row>
    <row r="756">
      <c r="A756" s="32">
        <f>IFERROR(SMALL(Calc!$B$2:$BB$61,751),"")</f>
        <v/>
      </c>
      <c r="B756" s="32">
        <f>IF(A756="","",ROUND(MOD(A756,1)*1000,0))</f>
        <v/>
      </c>
      <c r="C756" s="33" t="n"/>
      <c r="D756" s="34">
        <f>IF(A756="","",INT(A756))</f>
        <v/>
      </c>
      <c r="E756" s="35">
        <f>IF(B756="","",INDEX(Setup!$D$25:$D$84,B756))</f>
        <v/>
      </c>
      <c r="F756" s="36">
        <f>IF(B756="","",INDEX(Setup!$E$25:$E$84,B756))</f>
        <v/>
      </c>
      <c r="G756" s="32">
        <f>IF(B756="","",INDEX(Setup!$I$25:$I$84,B756)&amp;"")</f>
        <v/>
      </c>
      <c r="H756" s="32">
        <f>IF(B756="","",INDEX(Setup!$J$25:$J$84,B756)&amp;"")</f>
        <v/>
      </c>
      <c r="I756" s="32">
        <f>IF(B756="","",INDEX(Setup!$C$25:$C$84,B756))</f>
        <v/>
      </c>
      <c r="J756" s="32" t="n"/>
      <c r="K756" s="37" t="n"/>
      <c r="L756" s="38" t="n"/>
      <c r="M756" s="33" t="n"/>
      <c r="N756" s="33" t="n"/>
      <c r="O756" s="32" t="n"/>
      <c r="P756" s="34">
        <f>IF(A756="","",IF(K756&lt;&gt;"",K756,D756))</f>
        <v/>
      </c>
      <c r="Q756" s="36">
        <f>IF(A756="",0,IF(C756="✗",0,IF(OR(C756="✓",AND(Setup!$D$7="Yes",P756&lt;=TODAY())),IF(L756&lt;&gt;"",L756,F756),0)))</f>
        <v/>
      </c>
      <c r="R756" s="32">
        <f>IF(A756="","",IF(M756&lt;&gt;"",M756,G756))</f>
        <v/>
      </c>
      <c r="S756" s="32">
        <f>IF(A756="","",IF(N756&lt;&gt;"",N756,H756))</f>
        <v/>
      </c>
      <c r="T756" s="32">
        <f>IF(A756="","",IF(C756="✗","Skipped",IF(Q756&gt;0,"Paid","Upcoming")))</f>
        <v/>
      </c>
      <c r="U756" s="36">
        <f>IF(A756="",0,IF(C756="✗",0,IF(L756&lt;&gt;"",L756,F756)))</f>
        <v/>
      </c>
    </row>
    <row r="757">
      <c r="A757" s="39">
        <f>IFERROR(SMALL(Calc!$B$2:$BB$61,752),"")</f>
        <v/>
      </c>
      <c r="B757" s="39">
        <f>IF(A757="","",ROUND(MOD(A757,1)*1000,0))</f>
        <v/>
      </c>
      <c r="C757" s="33" t="n"/>
      <c r="D757" s="40">
        <f>IF(A757="","",INT(A757))</f>
        <v/>
      </c>
      <c r="E757" s="41">
        <f>IF(B757="","",INDEX(Setup!$D$25:$D$84,B757))</f>
        <v/>
      </c>
      <c r="F757" s="42">
        <f>IF(B757="","",INDEX(Setup!$E$25:$E$84,B757))</f>
        <v/>
      </c>
      <c r="G757" s="39">
        <f>IF(B757="","",INDEX(Setup!$I$25:$I$84,B757)&amp;"")</f>
        <v/>
      </c>
      <c r="H757" s="39">
        <f>IF(B757="","",INDEX(Setup!$J$25:$J$84,B757)&amp;"")</f>
        <v/>
      </c>
      <c r="I757" s="39">
        <f>IF(B757="","",INDEX(Setup!$C$25:$C$84,B757))</f>
        <v/>
      </c>
      <c r="J757" s="39" t="n"/>
      <c r="K757" s="37" t="n"/>
      <c r="L757" s="38" t="n"/>
      <c r="M757" s="33" t="n"/>
      <c r="N757" s="33" t="n"/>
      <c r="O757" s="39" t="n"/>
      <c r="P757" s="40">
        <f>IF(A757="","",IF(K757&lt;&gt;"",K757,D757))</f>
        <v/>
      </c>
      <c r="Q757" s="42">
        <f>IF(A757="",0,IF(C757="✗",0,IF(OR(C757="✓",AND(Setup!$D$7="Yes",P757&lt;=TODAY())),IF(L757&lt;&gt;"",L757,F757),0)))</f>
        <v/>
      </c>
      <c r="R757" s="39">
        <f>IF(A757="","",IF(M757&lt;&gt;"",M757,G757))</f>
        <v/>
      </c>
      <c r="S757" s="39">
        <f>IF(A757="","",IF(N757&lt;&gt;"",N757,H757))</f>
        <v/>
      </c>
      <c r="T757" s="39">
        <f>IF(A757="","",IF(C757="✗","Skipped",IF(Q757&gt;0,"Paid","Upcoming")))</f>
        <v/>
      </c>
      <c r="U757" s="42">
        <f>IF(A757="",0,IF(C757="✗",0,IF(L757&lt;&gt;"",L757,F757)))</f>
        <v/>
      </c>
    </row>
    <row r="758">
      <c r="A758" s="32">
        <f>IFERROR(SMALL(Calc!$B$2:$BB$61,753),"")</f>
        <v/>
      </c>
      <c r="B758" s="32">
        <f>IF(A758="","",ROUND(MOD(A758,1)*1000,0))</f>
        <v/>
      </c>
      <c r="C758" s="33" t="n"/>
      <c r="D758" s="34">
        <f>IF(A758="","",INT(A758))</f>
        <v/>
      </c>
      <c r="E758" s="35">
        <f>IF(B758="","",INDEX(Setup!$D$25:$D$84,B758))</f>
        <v/>
      </c>
      <c r="F758" s="36">
        <f>IF(B758="","",INDEX(Setup!$E$25:$E$84,B758))</f>
        <v/>
      </c>
      <c r="G758" s="32">
        <f>IF(B758="","",INDEX(Setup!$I$25:$I$84,B758)&amp;"")</f>
        <v/>
      </c>
      <c r="H758" s="32">
        <f>IF(B758="","",INDEX(Setup!$J$25:$J$84,B758)&amp;"")</f>
        <v/>
      </c>
      <c r="I758" s="32">
        <f>IF(B758="","",INDEX(Setup!$C$25:$C$84,B758))</f>
        <v/>
      </c>
      <c r="J758" s="32" t="n"/>
      <c r="K758" s="37" t="n"/>
      <c r="L758" s="38" t="n"/>
      <c r="M758" s="33" t="n"/>
      <c r="N758" s="33" t="n"/>
      <c r="O758" s="32" t="n"/>
      <c r="P758" s="34">
        <f>IF(A758="","",IF(K758&lt;&gt;"",K758,D758))</f>
        <v/>
      </c>
      <c r="Q758" s="36">
        <f>IF(A758="",0,IF(C758="✗",0,IF(OR(C758="✓",AND(Setup!$D$7="Yes",P758&lt;=TODAY())),IF(L758&lt;&gt;"",L758,F758),0)))</f>
        <v/>
      </c>
      <c r="R758" s="32">
        <f>IF(A758="","",IF(M758&lt;&gt;"",M758,G758))</f>
        <v/>
      </c>
      <c r="S758" s="32">
        <f>IF(A758="","",IF(N758&lt;&gt;"",N758,H758))</f>
        <v/>
      </c>
      <c r="T758" s="32">
        <f>IF(A758="","",IF(C758="✗","Skipped",IF(Q758&gt;0,"Paid","Upcoming")))</f>
        <v/>
      </c>
      <c r="U758" s="36">
        <f>IF(A758="",0,IF(C758="✗",0,IF(L758&lt;&gt;"",L758,F758)))</f>
        <v/>
      </c>
    </row>
    <row r="759">
      <c r="A759" s="39">
        <f>IFERROR(SMALL(Calc!$B$2:$BB$61,754),"")</f>
        <v/>
      </c>
      <c r="B759" s="39">
        <f>IF(A759="","",ROUND(MOD(A759,1)*1000,0))</f>
        <v/>
      </c>
      <c r="C759" s="33" t="n"/>
      <c r="D759" s="40">
        <f>IF(A759="","",INT(A759))</f>
        <v/>
      </c>
      <c r="E759" s="41">
        <f>IF(B759="","",INDEX(Setup!$D$25:$D$84,B759))</f>
        <v/>
      </c>
      <c r="F759" s="42">
        <f>IF(B759="","",INDEX(Setup!$E$25:$E$84,B759))</f>
        <v/>
      </c>
      <c r="G759" s="39">
        <f>IF(B759="","",INDEX(Setup!$I$25:$I$84,B759)&amp;"")</f>
        <v/>
      </c>
      <c r="H759" s="39">
        <f>IF(B759="","",INDEX(Setup!$J$25:$J$84,B759)&amp;"")</f>
        <v/>
      </c>
      <c r="I759" s="39">
        <f>IF(B759="","",INDEX(Setup!$C$25:$C$84,B759))</f>
        <v/>
      </c>
      <c r="J759" s="39" t="n"/>
      <c r="K759" s="37" t="n"/>
      <c r="L759" s="38" t="n"/>
      <c r="M759" s="33" t="n"/>
      <c r="N759" s="33" t="n"/>
      <c r="O759" s="39" t="n"/>
      <c r="P759" s="40">
        <f>IF(A759="","",IF(K759&lt;&gt;"",K759,D759))</f>
        <v/>
      </c>
      <c r="Q759" s="42">
        <f>IF(A759="",0,IF(C759="✗",0,IF(OR(C759="✓",AND(Setup!$D$7="Yes",P759&lt;=TODAY())),IF(L759&lt;&gt;"",L759,F759),0)))</f>
        <v/>
      </c>
      <c r="R759" s="39">
        <f>IF(A759="","",IF(M759&lt;&gt;"",M759,G759))</f>
        <v/>
      </c>
      <c r="S759" s="39">
        <f>IF(A759="","",IF(N759&lt;&gt;"",N759,H759))</f>
        <v/>
      </c>
      <c r="T759" s="39">
        <f>IF(A759="","",IF(C759="✗","Skipped",IF(Q759&gt;0,"Paid","Upcoming")))</f>
        <v/>
      </c>
      <c r="U759" s="42">
        <f>IF(A759="",0,IF(C759="✗",0,IF(L759&lt;&gt;"",L759,F759)))</f>
        <v/>
      </c>
    </row>
    <row r="760">
      <c r="A760" s="32">
        <f>IFERROR(SMALL(Calc!$B$2:$BB$61,755),"")</f>
        <v/>
      </c>
      <c r="B760" s="32">
        <f>IF(A760="","",ROUND(MOD(A760,1)*1000,0))</f>
        <v/>
      </c>
      <c r="C760" s="33" t="n"/>
      <c r="D760" s="34">
        <f>IF(A760="","",INT(A760))</f>
        <v/>
      </c>
      <c r="E760" s="35">
        <f>IF(B760="","",INDEX(Setup!$D$25:$D$84,B760))</f>
        <v/>
      </c>
      <c r="F760" s="36">
        <f>IF(B760="","",INDEX(Setup!$E$25:$E$84,B760))</f>
        <v/>
      </c>
      <c r="G760" s="32">
        <f>IF(B760="","",INDEX(Setup!$I$25:$I$84,B760)&amp;"")</f>
        <v/>
      </c>
      <c r="H760" s="32">
        <f>IF(B760="","",INDEX(Setup!$J$25:$J$84,B760)&amp;"")</f>
        <v/>
      </c>
      <c r="I760" s="32">
        <f>IF(B760="","",INDEX(Setup!$C$25:$C$84,B760))</f>
        <v/>
      </c>
      <c r="J760" s="32" t="n"/>
      <c r="K760" s="37" t="n"/>
      <c r="L760" s="38" t="n"/>
      <c r="M760" s="33" t="n"/>
      <c r="N760" s="33" t="n"/>
      <c r="O760" s="32" t="n"/>
      <c r="P760" s="34">
        <f>IF(A760="","",IF(K760&lt;&gt;"",K760,D760))</f>
        <v/>
      </c>
      <c r="Q760" s="36">
        <f>IF(A760="",0,IF(C760="✗",0,IF(OR(C760="✓",AND(Setup!$D$7="Yes",P760&lt;=TODAY())),IF(L760&lt;&gt;"",L760,F760),0)))</f>
        <v/>
      </c>
      <c r="R760" s="32">
        <f>IF(A760="","",IF(M760&lt;&gt;"",M760,G760))</f>
        <v/>
      </c>
      <c r="S760" s="32">
        <f>IF(A760="","",IF(N760&lt;&gt;"",N760,H760))</f>
        <v/>
      </c>
      <c r="T760" s="32">
        <f>IF(A760="","",IF(C760="✗","Skipped",IF(Q760&gt;0,"Paid","Upcoming")))</f>
        <v/>
      </c>
      <c r="U760" s="36">
        <f>IF(A760="",0,IF(C760="✗",0,IF(L760&lt;&gt;"",L760,F760)))</f>
        <v/>
      </c>
    </row>
    <row r="761">
      <c r="A761" s="39">
        <f>IFERROR(SMALL(Calc!$B$2:$BB$61,756),"")</f>
        <v/>
      </c>
      <c r="B761" s="39">
        <f>IF(A761="","",ROUND(MOD(A761,1)*1000,0))</f>
        <v/>
      </c>
      <c r="C761" s="33" t="n"/>
      <c r="D761" s="40">
        <f>IF(A761="","",INT(A761))</f>
        <v/>
      </c>
      <c r="E761" s="41">
        <f>IF(B761="","",INDEX(Setup!$D$25:$D$84,B761))</f>
        <v/>
      </c>
      <c r="F761" s="42">
        <f>IF(B761="","",INDEX(Setup!$E$25:$E$84,B761))</f>
        <v/>
      </c>
      <c r="G761" s="39">
        <f>IF(B761="","",INDEX(Setup!$I$25:$I$84,B761)&amp;"")</f>
        <v/>
      </c>
      <c r="H761" s="39">
        <f>IF(B761="","",INDEX(Setup!$J$25:$J$84,B761)&amp;"")</f>
        <v/>
      </c>
      <c r="I761" s="39">
        <f>IF(B761="","",INDEX(Setup!$C$25:$C$84,B761))</f>
        <v/>
      </c>
      <c r="J761" s="39" t="n"/>
      <c r="K761" s="37" t="n"/>
      <c r="L761" s="38" t="n"/>
      <c r="M761" s="33" t="n"/>
      <c r="N761" s="33" t="n"/>
      <c r="O761" s="39" t="n"/>
      <c r="P761" s="40">
        <f>IF(A761="","",IF(K761&lt;&gt;"",K761,D761))</f>
        <v/>
      </c>
      <c r="Q761" s="42">
        <f>IF(A761="",0,IF(C761="✗",0,IF(OR(C761="✓",AND(Setup!$D$7="Yes",P761&lt;=TODAY())),IF(L761&lt;&gt;"",L761,F761),0)))</f>
        <v/>
      </c>
      <c r="R761" s="39">
        <f>IF(A761="","",IF(M761&lt;&gt;"",M761,G761))</f>
        <v/>
      </c>
      <c r="S761" s="39">
        <f>IF(A761="","",IF(N761&lt;&gt;"",N761,H761))</f>
        <v/>
      </c>
      <c r="T761" s="39">
        <f>IF(A761="","",IF(C761="✗","Skipped",IF(Q761&gt;0,"Paid","Upcoming")))</f>
        <v/>
      </c>
      <c r="U761" s="42">
        <f>IF(A761="",0,IF(C761="✗",0,IF(L761&lt;&gt;"",L761,F761)))</f>
        <v/>
      </c>
    </row>
    <row r="762">
      <c r="A762" s="32">
        <f>IFERROR(SMALL(Calc!$B$2:$BB$61,757),"")</f>
        <v/>
      </c>
      <c r="B762" s="32">
        <f>IF(A762="","",ROUND(MOD(A762,1)*1000,0))</f>
        <v/>
      </c>
      <c r="C762" s="33" t="n"/>
      <c r="D762" s="34">
        <f>IF(A762="","",INT(A762))</f>
        <v/>
      </c>
      <c r="E762" s="35">
        <f>IF(B762="","",INDEX(Setup!$D$25:$D$84,B762))</f>
        <v/>
      </c>
      <c r="F762" s="36">
        <f>IF(B762="","",INDEX(Setup!$E$25:$E$84,B762))</f>
        <v/>
      </c>
      <c r="G762" s="32">
        <f>IF(B762="","",INDEX(Setup!$I$25:$I$84,B762)&amp;"")</f>
        <v/>
      </c>
      <c r="H762" s="32">
        <f>IF(B762="","",INDEX(Setup!$J$25:$J$84,B762)&amp;"")</f>
        <v/>
      </c>
      <c r="I762" s="32">
        <f>IF(B762="","",INDEX(Setup!$C$25:$C$84,B762))</f>
        <v/>
      </c>
      <c r="J762" s="32" t="n"/>
      <c r="K762" s="37" t="n"/>
      <c r="L762" s="38" t="n"/>
      <c r="M762" s="33" t="n"/>
      <c r="N762" s="33" t="n"/>
      <c r="O762" s="32" t="n"/>
      <c r="P762" s="34">
        <f>IF(A762="","",IF(K762&lt;&gt;"",K762,D762))</f>
        <v/>
      </c>
      <c r="Q762" s="36">
        <f>IF(A762="",0,IF(C762="✗",0,IF(OR(C762="✓",AND(Setup!$D$7="Yes",P762&lt;=TODAY())),IF(L762&lt;&gt;"",L762,F762),0)))</f>
        <v/>
      </c>
      <c r="R762" s="32">
        <f>IF(A762="","",IF(M762&lt;&gt;"",M762,G762))</f>
        <v/>
      </c>
      <c r="S762" s="32">
        <f>IF(A762="","",IF(N762&lt;&gt;"",N762,H762))</f>
        <v/>
      </c>
      <c r="T762" s="32">
        <f>IF(A762="","",IF(C762="✗","Skipped",IF(Q762&gt;0,"Paid","Upcoming")))</f>
        <v/>
      </c>
      <c r="U762" s="36">
        <f>IF(A762="",0,IF(C762="✗",0,IF(L762&lt;&gt;"",L762,F762)))</f>
        <v/>
      </c>
    </row>
    <row r="763">
      <c r="A763" s="39">
        <f>IFERROR(SMALL(Calc!$B$2:$BB$61,758),"")</f>
        <v/>
      </c>
      <c r="B763" s="39">
        <f>IF(A763="","",ROUND(MOD(A763,1)*1000,0))</f>
        <v/>
      </c>
      <c r="C763" s="33" t="n"/>
      <c r="D763" s="40">
        <f>IF(A763="","",INT(A763))</f>
        <v/>
      </c>
      <c r="E763" s="41">
        <f>IF(B763="","",INDEX(Setup!$D$25:$D$84,B763))</f>
        <v/>
      </c>
      <c r="F763" s="42">
        <f>IF(B763="","",INDEX(Setup!$E$25:$E$84,B763))</f>
        <v/>
      </c>
      <c r="G763" s="39">
        <f>IF(B763="","",INDEX(Setup!$I$25:$I$84,B763)&amp;"")</f>
        <v/>
      </c>
      <c r="H763" s="39">
        <f>IF(B763="","",INDEX(Setup!$J$25:$J$84,B763)&amp;"")</f>
        <v/>
      </c>
      <c r="I763" s="39">
        <f>IF(B763="","",INDEX(Setup!$C$25:$C$84,B763))</f>
        <v/>
      </c>
      <c r="J763" s="39" t="n"/>
      <c r="K763" s="37" t="n"/>
      <c r="L763" s="38" t="n"/>
      <c r="M763" s="33" t="n"/>
      <c r="N763" s="33" t="n"/>
      <c r="O763" s="39" t="n"/>
      <c r="P763" s="40">
        <f>IF(A763="","",IF(K763&lt;&gt;"",K763,D763))</f>
        <v/>
      </c>
      <c r="Q763" s="42">
        <f>IF(A763="",0,IF(C763="✗",0,IF(OR(C763="✓",AND(Setup!$D$7="Yes",P763&lt;=TODAY())),IF(L763&lt;&gt;"",L763,F763),0)))</f>
        <v/>
      </c>
      <c r="R763" s="39">
        <f>IF(A763="","",IF(M763&lt;&gt;"",M763,G763))</f>
        <v/>
      </c>
      <c r="S763" s="39">
        <f>IF(A763="","",IF(N763&lt;&gt;"",N763,H763))</f>
        <v/>
      </c>
      <c r="T763" s="39">
        <f>IF(A763="","",IF(C763="✗","Skipped",IF(Q763&gt;0,"Paid","Upcoming")))</f>
        <v/>
      </c>
      <c r="U763" s="42">
        <f>IF(A763="",0,IF(C763="✗",0,IF(L763&lt;&gt;"",L763,F763)))</f>
        <v/>
      </c>
    </row>
    <row r="764">
      <c r="A764" s="32">
        <f>IFERROR(SMALL(Calc!$B$2:$BB$61,759),"")</f>
        <v/>
      </c>
      <c r="B764" s="32">
        <f>IF(A764="","",ROUND(MOD(A764,1)*1000,0))</f>
        <v/>
      </c>
      <c r="C764" s="33" t="n"/>
      <c r="D764" s="34">
        <f>IF(A764="","",INT(A764))</f>
        <v/>
      </c>
      <c r="E764" s="35">
        <f>IF(B764="","",INDEX(Setup!$D$25:$D$84,B764))</f>
        <v/>
      </c>
      <c r="F764" s="36">
        <f>IF(B764="","",INDEX(Setup!$E$25:$E$84,B764))</f>
        <v/>
      </c>
      <c r="G764" s="32">
        <f>IF(B764="","",INDEX(Setup!$I$25:$I$84,B764)&amp;"")</f>
        <v/>
      </c>
      <c r="H764" s="32">
        <f>IF(B764="","",INDEX(Setup!$J$25:$J$84,B764)&amp;"")</f>
        <v/>
      </c>
      <c r="I764" s="32">
        <f>IF(B764="","",INDEX(Setup!$C$25:$C$84,B764))</f>
        <v/>
      </c>
      <c r="J764" s="32" t="n"/>
      <c r="K764" s="37" t="n"/>
      <c r="L764" s="38" t="n"/>
      <c r="M764" s="33" t="n"/>
      <c r="N764" s="33" t="n"/>
      <c r="O764" s="32" t="n"/>
      <c r="P764" s="34">
        <f>IF(A764="","",IF(K764&lt;&gt;"",K764,D764))</f>
        <v/>
      </c>
      <c r="Q764" s="36">
        <f>IF(A764="",0,IF(C764="✗",0,IF(OR(C764="✓",AND(Setup!$D$7="Yes",P764&lt;=TODAY())),IF(L764&lt;&gt;"",L764,F764),0)))</f>
        <v/>
      </c>
      <c r="R764" s="32">
        <f>IF(A764="","",IF(M764&lt;&gt;"",M764,G764))</f>
        <v/>
      </c>
      <c r="S764" s="32">
        <f>IF(A764="","",IF(N764&lt;&gt;"",N764,H764))</f>
        <v/>
      </c>
      <c r="T764" s="32">
        <f>IF(A764="","",IF(C764="✗","Skipped",IF(Q764&gt;0,"Paid","Upcoming")))</f>
        <v/>
      </c>
      <c r="U764" s="36">
        <f>IF(A764="",0,IF(C764="✗",0,IF(L764&lt;&gt;"",L764,F764)))</f>
        <v/>
      </c>
    </row>
    <row r="765">
      <c r="A765" s="39">
        <f>IFERROR(SMALL(Calc!$B$2:$BB$61,760),"")</f>
        <v/>
      </c>
      <c r="B765" s="39">
        <f>IF(A765="","",ROUND(MOD(A765,1)*1000,0))</f>
        <v/>
      </c>
      <c r="C765" s="33" t="n"/>
      <c r="D765" s="40">
        <f>IF(A765="","",INT(A765))</f>
        <v/>
      </c>
      <c r="E765" s="41">
        <f>IF(B765="","",INDEX(Setup!$D$25:$D$84,B765))</f>
        <v/>
      </c>
      <c r="F765" s="42">
        <f>IF(B765="","",INDEX(Setup!$E$25:$E$84,B765))</f>
        <v/>
      </c>
      <c r="G765" s="39">
        <f>IF(B765="","",INDEX(Setup!$I$25:$I$84,B765)&amp;"")</f>
        <v/>
      </c>
      <c r="H765" s="39">
        <f>IF(B765="","",INDEX(Setup!$J$25:$J$84,B765)&amp;"")</f>
        <v/>
      </c>
      <c r="I765" s="39">
        <f>IF(B765="","",INDEX(Setup!$C$25:$C$84,B765))</f>
        <v/>
      </c>
      <c r="J765" s="39" t="n"/>
      <c r="K765" s="37" t="n"/>
      <c r="L765" s="38" t="n"/>
      <c r="M765" s="33" t="n"/>
      <c r="N765" s="33" t="n"/>
      <c r="O765" s="39" t="n"/>
      <c r="P765" s="40">
        <f>IF(A765="","",IF(K765&lt;&gt;"",K765,D765))</f>
        <v/>
      </c>
      <c r="Q765" s="42">
        <f>IF(A765="",0,IF(C765="✗",0,IF(OR(C765="✓",AND(Setup!$D$7="Yes",P765&lt;=TODAY())),IF(L765&lt;&gt;"",L765,F765),0)))</f>
        <v/>
      </c>
      <c r="R765" s="39">
        <f>IF(A765="","",IF(M765&lt;&gt;"",M765,G765))</f>
        <v/>
      </c>
      <c r="S765" s="39">
        <f>IF(A765="","",IF(N765&lt;&gt;"",N765,H765))</f>
        <v/>
      </c>
      <c r="T765" s="39">
        <f>IF(A765="","",IF(C765="✗","Skipped",IF(Q765&gt;0,"Paid","Upcoming")))</f>
        <v/>
      </c>
      <c r="U765" s="42">
        <f>IF(A765="",0,IF(C765="✗",0,IF(L765&lt;&gt;"",L765,F765)))</f>
        <v/>
      </c>
    </row>
    <row r="766">
      <c r="A766" s="32">
        <f>IFERROR(SMALL(Calc!$B$2:$BB$61,761),"")</f>
        <v/>
      </c>
      <c r="B766" s="32">
        <f>IF(A766="","",ROUND(MOD(A766,1)*1000,0))</f>
        <v/>
      </c>
      <c r="C766" s="33" t="n"/>
      <c r="D766" s="34">
        <f>IF(A766="","",INT(A766))</f>
        <v/>
      </c>
      <c r="E766" s="35">
        <f>IF(B766="","",INDEX(Setup!$D$25:$D$84,B766))</f>
        <v/>
      </c>
      <c r="F766" s="36">
        <f>IF(B766="","",INDEX(Setup!$E$25:$E$84,B766))</f>
        <v/>
      </c>
      <c r="G766" s="32">
        <f>IF(B766="","",INDEX(Setup!$I$25:$I$84,B766)&amp;"")</f>
        <v/>
      </c>
      <c r="H766" s="32">
        <f>IF(B766="","",INDEX(Setup!$J$25:$J$84,B766)&amp;"")</f>
        <v/>
      </c>
      <c r="I766" s="32">
        <f>IF(B766="","",INDEX(Setup!$C$25:$C$84,B766))</f>
        <v/>
      </c>
      <c r="J766" s="32" t="n"/>
      <c r="K766" s="37" t="n"/>
      <c r="L766" s="38" t="n"/>
      <c r="M766" s="33" t="n"/>
      <c r="N766" s="33" t="n"/>
      <c r="O766" s="32" t="n"/>
      <c r="P766" s="34">
        <f>IF(A766="","",IF(K766&lt;&gt;"",K766,D766))</f>
        <v/>
      </c>
      <c r="Q766" s="36">
        <f>IF(A766="",0,IF(C766="✗",0,IF(OR(C766="✓",AND(Setup!$D$7="Yes",P766&lt;=TODAY())),IF(L766&lt;&gt;"",L766,F766),0)))</f>
        <v/>
      </c>
      <c r="R766" s="32">
        <f>IF(A766="","",IF(M766&lt;&gt;"",M766,G766))</f>
        <v/>
      </c>
      <c r="S766" s="32">
        <f>IF(A766="","",IF(N766&lt;&gt;"",N766,H766))</f>
        <v/>
      </c>
      <c r="T766" s="32">
        <f>IF(A766="","",IF(C766="✗","Skipped",IF(Q766&gt;0,"Paid","Upcoming")))</f>
        <v/>
      </c>
      <c r="U766" s="36">
        <f>IF(A766="",0,IF(C766="✗",0,IF(L766&lt;&gt;"",L766,F766)))</f>
        <v/>
      </c>
    </row>
    <row r="767">
      <c r="A767" s="39">
        <f>IFERROR(SMALL(Calc!$B$2:$BB$61,762),"")</f>
        <v/>
      </c>
      <c r="B767" s="39">
        <f>IF(A767="","",ROUND(MOD(A767,1)*1000,0))</f>
        <v/>
      </c>
      <c r="C767" s="33" t="n"/>
      <c r="D767" s="40">
        <f>IF(A767="","",INT(A767))</f>
        <v/>
      </c>
      <c r="E767" s="41">
        <f>IF(B767="","",INDEX(Setup!$D$25:$D$84,B767))</f>
        <v/>
      </c>
      <c r="F767" s="42">
        <f>IF(B767="","",INDEX(Setup!$E$25:$E$84,B767))</f>
        <v/>
      </c>
      <c r="G767" s="39">
        <f>IF(B767="","",INDEX(Setup!$I$25:$I$84,B767)&amp;"")</f>
        <v/>
      </c>
      <c r="H767" s="39">
        <f>IF(B767="","",INDEX(Setup!$J$25:$J$84,B767)&amp;"")</f>
        <v/>
      </c>
      <c r="I767" s="39">
        <f>IF(B767="","",INDEX(Setup!$C$25:$C$84,B767))</f>
        <v/>
      </c>
      <c r="J767" s="39" t="n"/>
      <c r="K767" s="37" t="n"/>
      <c r="L767" s="38" t="n"/>
      <c r="M767" s="33" t="n"/>
      <c r="N767" s="33" t="n"/>
      <c r="O767" s="39" t="n"/>
      <c r="P767" s="40">
        <f>IF(A767="","",IF(K767&lt;&gt;"",K767,D767))</f>
        <v/>
      </c>
      <c r="Q767" s="42">
        <f>IF(A767="",0,IF(C767="✗",0,IF(OR(C767="✓",AND(Setup!$D$7="Yes",P767&lt;=TODAY())),IF(L767&lt;&gt;"",L767,F767),0)))</f>
        <v/>
      </c>
      <c r="R767" s="39">
        <f>IF(A767="","",IF(M767&lt;&gt;"",M767,G767))</f>
        <v/>
      </c>
      <c r="S767" s="39">
        <f>IF(A767="","",IF(N767&lt;&gt;"",N767,H767))</f>
        <v/>
      </c>
      <c r="T767" s="39">
        <f>IF(A767="","",IF(C767="✗","Skipped",IF(Q767&gt;0,"Paid","Upcoming")))</f>
        <v/>
      </c>
      <c r="U767" s="42">
        <f>IF(A767="",0,IF(C767="✗",0,IF(L767&lt;&gt;"",L767,F767)))</f>
        <v/>
      </c>
    </row>
    <row r="768">
      <c r="A768" s="32">
        <f>IFERROR(SMALL(Calc!$B$2:$BB$61,763),"")</f>
        <v/>
      </c>
      <c r="B768" s="32">
        <f>IF(A768="","",ROUND(MOD(A768,1)*1000,0))</f>
        <v/>
      </c>
      <c r="C768" s="33" t="n"/>
      <c r="D768" s="34">
        <f>IF(A768="","",INT(A768))</f>
        <v/>
      </c>
      <c r="E768" s="35">
        <f>IF(B768="","",INDEX(Setup!$D$25:$D$84,B768))</f>
        <v/>
      </c>
      <c r="F768" s="36">
        <f>IF(B768="","",INDEX(Setup!$E$25:$E$84,B768))</f>
        <v/>
      </c>
      <c r="G768" s="32">
        <f>IF(B768="","",INDEX(Setup!$I$25:$I$84,B768)&amp;"")</f>
        <v/>
      </c>
      <c r="H768" s="32">
        <f>IF(B768="","",INDEX(Setup!$J$25:$J$84,B768)&amp;"")</f>
        <v/>
      </c>
      <c r="I768" s="32">
        <f>IF(B768="","",INDEX(Setup!$C$25:$C$84,B768))</f>
        <v/>
      </c>
      <c r="J768" s="32" t="n"/>
      <c r="K768" s="37" t="n"/>
      <c r="L768" s="38" t="n"/>
      <c r="M768" s="33" t="n"/>
      <c r="N768" s="33" t="n"/>
      <c r="O768" s="32" t="n"/>
      <c r="P768" s="34">
        <f>IF(A768="","",IF(K768&lt;&gt;"",K768,D768))</f>
        <v/>
      </c>
      <c r="Q768" s="36">
        <f>IF(A768="",0,IF(C768="✗",0,IF(OR(C768="✓",AND(Setup!$D$7="Yes",P768&lt;=TODAY())),IF(L768&lt;&gt;"",L768,F768),0)))</f>
        <v/>
      </c>
      <c r="R768" s="32">
        <f>IF(A768="","",IF(M768&lt;&gt;"",M768,G768))</f>
        <v/>
      </c>
      <c r="S768" s="32">
        <f>IF(A768="","",IF(N768&lt;&gt;"",N768,H768))</f>
        <v/>
      </c>
      <c r="T768" s="32">
        <f>IF(A768="","",IF(C768="✗","Skipped",IF(Q768&gt;0,"Paid","Upcoming")))</f>
        <v/>
      </c>
      <c r="U768" s="36">
        <f>IF(A768="",0,IF(C768="✗",0,IF(L768&lt;&gt;"",L768,F768)))</f>
        <v/>
      </c>
    </row>
    <row r="769">
      <c r="A769" s="39">
        <f>IFERROR(SMALL(Calc!$B$2:$BB$61,764),"")</f>
        <v/>
      </c>
      <c r="B769" s="39">
        <f>IF(A769="","",ROUND(MOD(A769,1)*1000,0))</f>
        <v/>
      </c>
      <c r="C769" s="33" t="n"/>
      <c r="D769" s="40">
        <f>IF(A769="","",INT(A769))</f>
        <v/>
      </c>
      <c r="E769" s="41">
        <f>IF(B769="","",INDEX(Setup!$D$25:$D$84,B769))</f>
        <v/>
      </c>
      <c r="F769" s="42">
        <f>IF(B769="","",INDEX(Setup!$E$25:$E$84,B769))</f>
        <v/>
      </c>
      <c r="G769" s="39">
        <f>IF(B769="","",INDEX(Setup!$I$25:$I$84,B769)&amp;"")</f>
        <v/>
      </c>
      <c r="H769" s="39">
        <f>IF(B769="","",INDEX(Setup!$J$25:$J$84,B769)&amp;"")</f>
        <v/>
      </c>
      <c r="I769" s="39">
        <f>IF(B769="","",INDEX(Setup!$C$25:$C$84,B769))</f>
        <v/>
      </c>
      <c r="J769" s="39" t="n"/>
      <c r="K769" s="37" t="n"/>
      <c r="L769" s="38" t="n"/>
      <c r="M769" s="33" t="n"/>
      <c r="N769" s="33" t="n"/>
      <c r="O769" s="39" t="n"/>
      <c r="P769" s="40">
        <f>IF(A769="","",IF(K769&lt;&gt;"",K769,D769))</f>
        <v/>
      </c>
      <c r="Q769" s="42">
        <f>IF(A769="",0,IF(C769="✗",0,IF(OR(C769="✓",AND(Setup!$D$7="Yes",P769&lt;=TODAY())),IF(L769&lt;&gt;"",L769,F769),0)))</f>
        <v/>
      </c>
      <c r="R769" s="39">
        <f>IF(A769="","",IF(M769&lt;&gt;"",M769,G769))</f>
        <v/>
      </c>
      <c r="S769" s="39">
        <f>IF(A769="","",IF(N769&lt;&gt;"",N769,H769))</f>
        <v/>
      </c>
      <c r="T769" s="39">
        <f>IF(A769="","",IF(C769="✗","Skipped",IF(Q769&gt;0,"Paid","Upcoming")))</f>
        <v/>
      </c>
      <c r="U769" s="42">
        <f>IF(A769="",0,IF(C769="✗",0,IF(L769&lt;&gt;"",L769,F769)))</f>
        <v/>
      </c>
    </row>
    <row r="770">
      <c r="A770" s="32">
        <f>IFERROR(SMALL(Calc!$B$2:$BB$61,765),"")</f>
        <v/>
      </c>
      <c r="B770" s="32">
        <f>IF(A770="","",ROUND(MOD(A770,1)*1000,0))</f>
        <v/>
      </c>
      <c r="C770" s="33" t="n"/>
      <c r="D770" s="34">
        <f>IF(A770="","",INT(A770))</f>
        <v/>
      </c>
      <c r="E770" s="35">
        <f>IF(B770="","",INDEX(Setup!$D$25:$D$84,B770))</f>
        <v/>
      </c>
      <c r="F770" s="36">
        <f>IF(B770="","",INDEX(Setup!$E$25:$E$84,B770))</f>
        <v/>
      </c>
      <c r="G770" s="32">
        <f>IF(B770="","",INDEX(Setup!$I$25:$I$84,B770)&amp;"")</f>
        <v/>
      </c>
      <c r="H770" s="32">
        <f>IF(B770="","",INDEX(Setup!$J$25:$J$84,B770)&amp;"")</f>
        <v/>
      </c>
      <c r="I770" s="32">
        <f>IF(B770="","",INDEX(Setup!$C$25:$C$84,B770))</f>
        <v/>
      </c>
      <c r="J770" s="32" t="n"/>
      <c r="K770" s="37" t="n"/>
      <c r="L770" s="38" t="n"/>
      <c r="M770" s="33" t="n"/>
      <c r="N770" s="33" t="n"/>
      <c r="O770" s="32" t="n"/>
      <c r="P770" s="34">
        <f>IF(A770="","",IF(K770&lt;&gt;"",K770,D770))</f>
        <v/>
      </c>
      <c r="Q770" s="36">
        <f>IF(A770="",0,IF(C770="✗",0,IF(OR(C770="✓",AND(Setup!$D$7="Yes",P770&lt;=TODAY())),IF(L770&lt;&gt;"",L770,F770),0)))</f>
        <v/>
      </c>
      <c r="R770" s="32">
        <f>IF(A770="","",IF(M770&lt;&gt;"",M770,G770))</f>
        <v/>
      </c>
      <c r="S770" s="32">
        <f>IF(A770="","",IF(N770&lt;&gt;"",N770,H770))</f>
        <v/>
      </c>
      <c r="T770" s="32">
        <f>IF(A770="","",IF(C770="✗","Skipped",IF(Q770&gt;0,"Paid","Upcoming")))</f>
        <v/>
      </c>
      <c r="U770" s="36">
        <f>IF(A770="",0,IF(C770="✗",0,IF(L770&lt;&gt;"",L770,F770)))</f>
        <v/>
      </c>
    </row>
    <row r="771">
      <c r="A771" s="39">
        <f>IFERROR(SMALL(Calc!$B$2:$BB$61,766),"")</f>
        <v/>
      </c>
      <c r="B771" s="39">
        <f>IF(A771="","",ROUND(MOD(A771,1)*1000,0))</f>
        <v/>
      </c>
      <c r="C771" s="33" t="n"/>
      <c r="D771" s="40">
        <f>IF(A771="","",INT(A771))</f>
        <v/>
      </c>
      <c r="E771" s="41">
        <f>IF(B771="","",INDEX(Setup!$D$25:$D$84,B771))</f>
        <v/>
      </c>
      <c r="F771" s="42">
        <f>IF(B771="","",INDEX(Setup!$E$25:$E$84,B771))</f>
        <v/>
      </c>
      <c r="G771" s="39">
        <f>IF(B771="","",INDEX(Setup!$I$25:$I$84,B771)&amp;"")</f>
        <v/>
      </c>
      <c r="H771" s="39">
        <f>IF(B771="","",INDEX(Setup!$J$25:$J$84,B771)&amp;"")</f>
        <v/>
      </c>
      <c r="I771" s="39">
        <f>IF(B771="","",INDEX(Setup!$C$25:$C$84,B771))</f>
        <v/>
      </c>
      <c r="J771" s="39" t="n"/>
      <c r="K771" s="37" t="n"/>
      <c r="L771" s="38" t="n"/>
      <c r="M771" s="33" t="n"/>
      <c r="N771" s="33" t="n"/>
      <c r="O771" s="39" t="n"/>
      <c r="P771" s="40">
        <f>IF(A771="","",IF(K771&lt;&gt;"",K771,D771))</f>
        <v/>
      </c>
      <c r="Q771" s="42">
        <f>IF(A771="",0,IF(C771="✗",0,IF(OR(C771="✓",AND(Setup!$D$7="Yes",P771&lt;=TODAY())),IF(L771&lt;&gt;"",L771,F771),0)))</f>
        <v/>
      </c>
      <c r="R771" s="39">
        <f>IF(A771="","",IF(M771&lt;&gt;"",M771,G771))</f>
        <v/>
      </c>
      <c r="S771" s="39">
        <f>IF(A771="","",IF(N771&lt;&gt;"",N771,H771))</f>
        <v/>
      </c>
      <c r="T771" s="39">
        <f>IF(A771="","",IF(C771="✗","Skipped",IF(Q771&gt;0,"Paid","Upcoming")))</f>
        <v/>
      </c>
      <c r="U771" s="42">
        <f>IF(A771="",0,IF(C771="✗",0,IF(L771&lt;&gt;"",L771,F771)))</f>
        <v/>
      </c>
    </row>
    <row r="772">
      <c r="A772" s="32">
        <f>IFERROR(SMALL(Calc!$B$2:$BB$61,767),"")</f>
        <v/>
      </c>
      <c r="B772" s="32">
        <f>IF(A772="","",ROUND(MOD(A772,1)*1000,0))</f>
        <v/>
      </c>
      <c r="C772" s="33" t="n"/>
      <c r="D772" s="34">
        <f>IF(A772="","",INT(A772))</f>
        <v/>
      </c>
      <c r="E772" s="35">
        <f>IF(B772="","",INDEX(Setup!$D$25:$D$84,B772))</f>
        <v/>
      </c>
      <c r="F772" s="36">
        <f>IF(B772="","",INDEX(Setup!$E$25:$E$84,B772))</f>
        <v/>
      </c>
      <c r="G772" s="32">
        <f>IF(B772="","",INDEX(Setup!$I$25:$I$84,B772)&amp;"")</f>
        <v/>
      </c>
      <c r="H772" s="32">
        <f>IF(B772="","",INDEX(Setup!$J$25:$J$84,B772)&amp;"")</f>
        <v/>
      </c>
      <c r="I772" s="32">
        <f>IF(B772="","",INDEX(Setup!$C$25:$C$84,B772))</f>
        <v/>
      </c>
      <c r="J772" s="32" t="n"/>
      <c r="K772" s="37" t="n"/>
      <c r="L772" s="38" t="n"/>
      <c r="M772" s="33" t="n"/>
      <c r="N772" s="33" t="n"/>
      <c r="O772" s="32" t="n"/>
      <c r="P772" s="34">
        <f>IF(A772="","",IF(K772&lt;&gt;"",K772,D772))</f>
        <v/>
      </c>
      <c r="Q772" s="36">
        <f>IF(A772="",0,IF(C772="✗",0,IF(OR(C772="✓",AND(Setup!$D$7="Yes",P772&lt;=TODAY())),IF(L772&lt;&gt;"",L772,F772),0)))</f>
        <v/>
      </c>
      <c r="R772" s="32">
        <f>IF(A772="","",IF(M772&lt;&gt;"",M772,G772))</f>
        <v/>
      </c>
      <c r="S772" s="32">
        <f>IF(A772="","",IF(N772&lt;&gt;"",N772,H772))</f>
        <v/>
      </c>
      <c r="T772" s="32">
        <f>IF(A772="","",IF(C772="✗","Skipped",IF(Q772&gt;0,"Paid","Upcoming")))</f>
        <v/>
      </c>
      <c r="U772" s="36">
        <f>IF(A772="",0,IF(C772="✗",0,IF(L772&lt;&gt;"",L772,F772)))</f>
        <v/>
      </c>
    </row>
    <row r="773">
      <c r="A773" s="39">
        <f>IFERROR(SMALL(Calc!$B$2:$BB$61,768),"")</f>
        <v/>
      </c>
      <c r="B773" s="39">
        <f>IF(A773="","",ROUND(MOD(A773,1)*1000,0))</f>
        <v/>
      </c>
      <c r="C773" s="33" t="n"/>
      <c r="D773" s="40">
        <f>IF(A773="","",INT(A773))</f>
        <v/>
      </c>
      <c r="E773" s="41">
        <f>IF(B773="","",INDEX(Setup!$D$25:$D$84,B773))</f>
        <v/>
      </c>
      <c r="F773" s="42">
        <f>IF(B773="","",INDEX(Setup!$E$25:$E$84,B773))</f>
        <v/>
      </c>
      <c r="G773" s="39">
        <f>IF(B773="","",INDEX(Setup!$I$25:$I$84,B773)&amp;"")</f>
        <v/>
      </c>
      <c r="H773" s="39">
        <f>IF(B773="","",INDEX(Setup!$J$25:$J$84,B773)&amp;"")</f>
        <v/>
      </c>
      <c r="I773" s="39">
        <f>IF(B773="","",INDEX(Setup!$C$25:$C$84,B773))</f>
        <v/>
      </c>
      <c r="J773" s="39" t="n"/>
      <c r="K773" s="37" t="n"/>
      <c r="L773" s="38" t="n"/>
      <c r="M773" s="33" t="n"/>
      <c r="N773" s="33" t="n"/>
      <c r="O773" s="39" t="n"/>
      <c r="P773" s="40">
        <f>IF(A773="","",IF(K773&lt;&gt;"",K773,D773))</f>
        <v/>
      </c>
      <c r="Q773" s="42">
        <f>IF(A773="",0,IF(C773="✗",0,IF(OR(C773="✓",AND(Setup!$D$7="Yes",P773&lt;=TODAY())),IF(L773&lt;&gt;"",L773,F773),0)))</f>
        <v/>
      </c>
      <c r="R773" s="39">
        <f>IF(A773="","",IF(M773&lt;&gt;"",M773,G773))</f>
        <v/>
      </c>
      <c r="S773" s="39">
        <f>IF(A773="","",IF(N773&lt;&gt;"",N773,H773))</f>
        <v/>
      </c>
      <c r="T773" s="39">
        <f>IF(A773="","",IF(C773="✗","Skipped",IF(Q773&gt;0,"Paid","Upcoming")))</f>
        <v/>
      </c>
      <c r="U773" s="42">
        <f>IF(A773="",0,IF(C773="✗",0,IF(L773&lt;&gt;"",L773,F773)))</f>
        <v/>
      </c>
    </row>
    <row r="774">
      <c r="A774" s="32">
        <f>IFERROR(SMALL(Calc!$B$2:$BB$61,769),"")</f>
        <v/>
      </c>
      <c r="B774" s="32">
        <f>IF(A774="","",ROUND(MOD(A774,1)*1000,0))</f>
        <v/>
      </c>
      <c r="C774" s="33" t="n"/>
      <c r="D774" s="34">
        <f>IF(A774="","",INT(A774))</f>
        <v/>
      </c>
      <c r="E774" s="35">
        <f>IF(B774="","",INDEX(Setup!$D$25:$D$84,B774))</f>
        <v/>
      </c>
      <c r="F774" s="36">
        <f>IF(B774="","",INDEX(Setup!$E$25:$E$84,B774))</f>
        <v/>
      </c>
      <c r="G774" s="32">
        <f>IF(B774="","",INDEX(Setup!$I$25:$I$84,B774)&amp;"")</f>
        <v/>
      </c>
      <c r="H774" s="32">
        <f>IF(B774="","",INDEX(Setup!$J$25:$J$84,B774)&amp;"")</f>
        <v/>
      </c>
      <c r="I774" s="32">
        <f>IF(B774="","",INDEX(Setup!$C$25:$C$84,B774))</f>
        <v/>
      </c>
      <c r="J774" s="32" t="n"/>
      <c r="K774" s="37" t="n"/>
      <c r="L774" s="38" t="n"/>
      <c r="M774" s="33" t="n"/>
      <c r="N774" s="33" t="n"/>
      <c r="O774" s="32" t="n"/>
      <c r="P774" s="34">
        <f>IF(A774="","",IF(K774&lt;&gt;"",K774,D774))</f>
        <v/>
      </c>
      <c r="Q774" s="36">
        <f>IF(A774="",0,IF(C774="✗",0,IF(OR(C774="✓",AND(Setup!$D$7="Yes",P774&lt;=TODAY())),IF(L774&lt;&gt;"",L774,F774),0)))</f>
        <v/>
      </c>
      <c r="R774" s="32">
        <f>IF(A774="","",IF(M774&lt;&gt;"",M774,G774))</f>
        <v/>
      </c>
      <c r="S774" s="32">
        <f>IF(A774="","",IF(N774&lt;&gt;"",N774,H774))</f>
        <v/>
      </c>
      <c r="T774" s="32">
        <f>IF(A774="","",IF(C774="✗","Skipped",IF(Q774&gt;0,"Paid","Upcoming")))</f>
        <v/>
      </c>
      <c r="U774" s="36">
        <f>IF(A774="",0,IF(C774="✗",0,IF(L774&lt;&gt;"",L774,F774)))</f>
        <v/>
      </c>
    </row>
    <row r="775">
      <c r="A775" s="39">
        <f>IFERROR(SMALL(Calc!$B$2:$BB$61,770),"")</f>
        <v/>
      </c>
      <c r="B775" s="39">
        <f>IF(A775="","",ROUND(MOD(A775,1)*1000,0))</f>
        <v/>
      </c>
      <c r="C775" s="33" t="n"/>
      <c r="D775" s="40">
        <f>IF(A775="","",INT(A775))</f>
        <v/>
      </c>
      <c r="E775" s="41">
        <f>IF(B775="","",INDEX(Setup!$D$25:$D$84,B775))</f>
        <v/>
      </c>
      <c r="F775" s="42">
        <f>IF(B775="","",INDEX(Setup!$E$25:$E$84,B775))</f>
        <v/>
      </c>
      <c r="G775" s="39">
        <f>IF(B775="","",INDEX(Setup!$I$25:$I$84,B775)&amp;"")</f>
        <v/>
      </c>
      <c r="H775" s="39">
        <f>IF(B775="","",INDEX(Setup!$J$25:$J$84,B775)&amp;"")</f>
        <v/>
      </c>
      <c r="I775" s="39">
        <f>IF(B775="","",INDEX(Setup!$C$25:$C$84,B775))</f>
        <v/>
      </c>
      <c r="J775" s="39" t="n"/>
      <c r="K775" s="37" t="n"/>
      <c r="L775" s="38" t="n"/>
      <c r="M775" s="33" t="n"/>
      <c r="N775" s="33" t="n"/>
      <c r="O775" s="39" t="n"/>
      <c r="P775" s="40">
        <f>IF(A775="","",IF(K775&lt;&gt;"",K775,D775))</f>
        <v/>
      </c>
      <c r="Q775" s="42">
        <f>IF(A775="",0,IF(C775="✗",0,IF(OR(C775="✓",AND(Setup!$D$7="Yes",P775&lt;=TODAY())),IF(L775&lt;&gt;"",L775,F775),0)))</f>
        <v/>
      </c>
      <c r="R775" s="39">
        <f>IF(A775="","",IF(M775&lt;&gt;"",M775,G775))</f>
        <v/>
      </c>
      <c r="S775" s="39">
        <f>IF(A775="","",IF(N775&lt;&gt;"",N775,H775))</f>
        <v/>
      </c>
      <c r="T775" s="39">
        <f>IF(A775="","",IF(C775="✗","Skipped",IF(Q775&gt;0,"Paid","Upcoming")))</f>
        <v/>
      </c>
      <c r="U775" s="42">
        <f>IF(A775="",0,IF(C775="✗",0,IF(L775&lt;&gt;"",L775,F775)))</f>
        <v/>
      </c>
    </row>
    <row r="776">
      <c r="A776" s="32">
        <f>IFERROR(SMALL(Calc!$B$2:$BB$61,771),"")</f>
        <v/>
      </c>
      <c r="B776" s="32">
        <f>IF(A776="","",ROUND(MOD(A776,1)*1000,0))</f>
        <v/>
      </c>
      <c r="C776" s="33" t="n"/>
      <c r="D776" s="34">
        <f>IF(A776="","",INT(A776))</f>
        <v/>
      </c>
      <c r="E776" s="35">
        <f>IF(B776="","",INDEX(Setup!$D$25:$D$84,B776))</f>
        <v/>
      </c>
      <c r="F776" s="36">
        <f>IF(B776="","",INDEX(Setup!$E$25:$E$84,B776))</f>
        <v/>
      </c>
      <c r="G776" s="32">
        <f>IF(B776="","",INDEX(Setup!$I$25:$I$84,B776)&amp;"")</f>
        <v/>
      </c>
      <c r="H776" s="32">
        <f>IF(B776="","",INDEX(Setup!$J$25:$J$84,B776)&amp;"")</f>
        <v/>
      </c>
      <c r="I776" s="32">
        <f>IF(B776="","",INDEX(Setup!$C$25:$C$84,B776))</f>
        <v/>
      </c>
      <c r="J776" s="32" t="n"/>
      <c r="K776" s="37" t="n"/>
      <c r="L776" s="38" t="n"/>
      <c r="M776" s="33" t="n"/>
      <c r="N776" s="33" t="n"/>
      <c r="O776" s="32" t="n"/>
      <c r="P776" s="34">
        <f>IF(A776="","",IF(K776&lt;&gt;"",K776,D776))</f>
        <v/>
      </c>
      <c r="Q776" s="36">
        <f>IF(A776="",0,IF(C776="✗",0,IF(OR(C776="✓",AND(Setup!$D$7="Yes",P776&lt;=TODAY())),IF(L776&lt;&gt;"",L776,F776),0)))</f>
        <v/>
      </c>
      <c r="R776" s="32">
        <f>IF(A776="","",IF(M776&lt;&gt;"",M776,G776))</f>
        <v/>
      </c>
      <c r="S776" s="32">
        <f>IF(A776="","",IF(N776&lt;&gt;"",N776,H776))</f>
        <v/>
      </c>
      <c r="T776" s="32">
        <f>IF(A776="","",IF(C776="✗","Skipped",IF(Q776&gt;0,"Paid","Upcoming")))</f>
        <v/>
      </c>
      <c r="U776" s="36">
        <f>IF(A776="",0,IF(C776="✗",0,IF(L776&lt;&gt;"",L776,F776)))</f>
        <v/>
      </c>
    </row>
    <row r="777">
      <c r="A777" s="39">
        <f>IFERROR(SMALL(Calc!$B$2:$BB$61,772),"")</f>
        <v/>
      </c>
      <c r="B777" s="39">
        <f>IF(A777="","",ROUND(MOD(A777,1)*1000,0))</f>
        <v/>
      </c>
      <c r="C777" s="33" t="n"/>
      <c r="D777" s="40">
        <f>IF(A777="","",INT(A777))</f>
        <v/>
      </c>
      <c r="E777" s="41">
        <f>IF(B777="","",INDEX(Setup!$D$25:$D$84,B777))</f>
        <v/>
      </c>
      <c r="F777" s="42">
        <f>IF(B777="","",INDEX(Setup!$E$25:$E$84,B777))</f>
        <v/>
      </c>
      <c r="G777" s="39">
        <f>IF(B777="","",INDEX(Setup!$I$25:$I$84,B777)&amp;"")</f>
        <v/>
      </c>
      <c r="H777" s="39">
        <f>IF(B777="","",INDEX(Setup!$J$25:$J$84,B777)&amp;"")</f>
        <v/>
      </c>
      <c r="I777" s="39">
        <f>IF(B777="","",INDEX(Setup!$C$25:$C$84,B777))</f>
        <v/>
      </c>
      <c r="J777" s="39" t="n"/>
      <c r="K777" s="37" t="n"/>
      <c r="L777" s="38" t="n"/>
      <c r="M777" s="33" t="n"/>
      <c r="N777" s="33" t="n"/>
      <c r="O777" s="39" t="n"/>
      <c r="P777" s="40">
        <f>IF(A777="","",IF(K777&lt;&gt;"",K777,D777))</f>
        <v/>
      </c>
      <c r="Q777" s="42">
        <f>IF(A777="",0,IF(C777="✗",0,IF(OR(C777="✓",AND(Setup!$D$7="Yes",P777&lt;=TODAY())),IF(L777&lt;&gt;"",L777,F777),0)))</f>
        <v/>
      </c>
      <c r="R777" s="39">
        <f>IF(A777="","",IF(M777&lt;&gt;"",M777,G777))</f>
        <v/>
      </c>
      <c r="S777" s="39">
        <f>IF(A777="","",IF(N777&lt;&gt;"",N777,H777))</f>
        <v/>
      </c>
      <c r="T777" s="39">
        <f>IF(A777="","",IF(C777="✗","Skipped",IF(Q777&gt;0,"Paid","Upcoming")))</f>
        <v/>
      </c>
      <c r="U777" s="42">
        <f>IF(A777="",0,IF(C777="✗",0,IF(L777&lt;&gt;"",L777,F777)))</f>
        <v/>
      </c>
    </row>
    <row r="778">
      <c r="A778" s="32">
        <f>IFERROR(SMALL(Calc!$B$2:$BB$61,773),"")</f>
        <v/>
      </c>
      <c r="B778" s="32">
        <f>IF(A778="","",ROUND(MOD(A778,1)*1000,0))</f>
        <v/>
      </c>
      <c r="C778" s="33" t="n"/>
      <c r="D778" s="34">
        <f>IF(A778="","",INT(A778))</f>
        <v/>
      </c>
      <c r="E778" s="35">
        <f>IF(B778="","",INDEX(Setup!$D$25:$D$84,B778))</f>
        <v/>
      </c>
      <c r="F778" s="36">
        <f>IF(B778="","",INDEX(Setup!$E$25:$E$84,B778))</f>
        <v/>
      </c>
      <c r="G778" s="32">
        <f>IF(B778="","",INDEX(Setup!$I$25:$I$84,B778)&amp;"")</f>
        <v/>
      </c>
      <c r="H778" s="32">
        <f>IF(B778="","",INDEX(Setup!$J$25:$J$84,B778)&amp;"")</f>
        <v/>
      </c>
      <c r="I778" s="32">
        <f>IF(B778="","",INDEX(Setup!$C$25:$C$84,B778))</f>
        <v/>
      </c>
      <c r="J778" s="32" t="n"/>
      <c r="K778" s="37" t="n"/>
      <c r="L778" s="38" t="n"/>
      <c r="M778" s="33" t="n"/>
      <c r="N778" s="33" t="n"/>
      <c r="O778" s="32" t="n"/>
      <c r="P778" s="34">
        <f>IF(A778="","",IF(K778&lt;&gt;"",K778,D778))</f>
        <v/>
      </c>
      <c r="Q778" s="36">
        <f>IF(A778="",0,IF(C778="✗",0,IF(OR(C778="✓",AND(Setup!$D$7="Yes",P778&lt;=TODAY())),IF(L778&lt;&gt;"",L778,F778),0)))</f>
        <v/>
      </c>
      <c r="R778" s="32">
        <f>IF(A778="","",IF(M778&lt;&gt;"",M778,G778))</f>
        <v/>
      </c>
      <c r="S778" s="32">
        <f>IF(A778="","",IF(N778&lt;&gt;"",N778,H778))</f>
        <v/>
      </c>
      <c r="T778" s="32">
        <f>IF(A778="","",IF(C778="✗","Skipped",IF(Q778&gt;0,"Paid","Upcoming")))</f>
        <v/>
      </c>
      <c r="U778" s="36">
        <f>IF(A778="",0,IF(C778="✗",0,IF(L778&lt;&gt;"",L778,F778)))</f>
        <v/>
      </c>
    </row>
    <row r="779">
      <c r="A779" s="39">
        <f>IFERROR(SMALL(Calc!$B$2:$BB$61,774),"")</f>
        <v/>
      </c>
      <c r="B779" s="39">
        <f>IF(A779="","",ROUND(MOD(A779,1)*1000,0))</f>
        <v/>
      </c>
      <c r="C779" s="33" t="n"/>
      <c r="D779" s="40">
        <f>IF(A779="","",INT(A779))</f>
        <v/>
      </c>
      <c r="E779" s="41">
        <f>IF(B779="","",INDEX(Setup!$D$25:$D$84,B779))</f>
        <v/>
      </c>
      <c r="F779" s="42">
        <f>IF(B779="","",INDEX(Setup!$E$25:$E$84,B779))</f>
        <v/>
      </c>
      <c r="G779" s="39">
        <f>IF(B779="","",INDEX(Setup!$I$25:$I$84,B779)&amp;"")</f>
        <v/>
      </c>
      <c r="H779" s="39">
        <f>IF(B779="","",INDEX(Setup!$J$25:$J$84,B779)&amp;"")</f>
        <v/>
      </c>
      <c r="I779" s="39">
        <f>IF(B779="","",INDEX(Setup!$C$25:$C$84,B779))</f>
        <v/>
      </c>
      <c r="J779" s="39" t="n"/>
      <c r="K779" s="37" t="n"/>
      <c r="L779" s="38" t="n"/>
      <c r="M779" s="33" t="n"/>
      <c r="N779" s="33" t="n"/>
      <c r="O779" s="39" t="n"/>
      <c r="P779" s="40">
        <f>IF(A779="","",IF(K779&lt;&gt;"",K779,D779))</f>
        <v/>
      </c>
      <c r="Q779" s="42">
        <f>IF(A779="",0,IF(C779="✗",0,IF(OR(C779="✓",AND(Setup!$D$7="Yes",P779&lt;=TODAY())),IF(L779&lt;&gt;"",L779,F779),0)))</f>
        <v/>
      </c>
      <c r="R779" s="39">
        <f>IF(A779="","",IF(M779&lt;&gt;"",M779,G779))</f>
        <v/>
      </c>
      <c r="S779" s="39">
        <f>IF(A779="","",IF(N779&lt;&gt;"",N779,H779))</f>
        <v/>
      </c>
      <c r="T779" s="39">
        <f>IF(A779="","",IF(C779="✗","Skipped",IF(Q779&gt;0,"Paid","Upcoming")))</f>
        <v/>
      </c>
      <c r="U779" s="42">
        <f>IF(A779="",0,IF(C779="✗",0,IF(L779&lt;&gt;"",L779,F779)))</f>
        <v/>
      </c>
    </row>
    <row r="780">
      <c r="A780" s="32">
        <f>IFERROR(SMALL(Calc!$B$2:$BB$61,775),"")</f>
        <v/>
      </c>
      <c r="B780" s="32">
        <f>IF(A780="","",ROUND(MOD(A780,1)*1000,0))</f>
        <v/>
      </c>
      <c r="C780" s="33" t="n"/>
      <c r="D780" s="34">
        <f>IF(A780="","",INT(A780))</f>
        <v/>
      </c>
      <c r="E780" s="35">
        <f>IF(B780="","",INDEX(Setup!$D$25:$D$84,B780))</f>
        <v/>
      </c>
      <c r="F780" s="36">
        <f>IF(B780="","",INDEX(Setup!$E$25:$E$84,B780))</f>
        <v/>
      </c>
      <c r="G780" s="32">
        <f>IF(B780="","",INDEX(Setup!$I$25:$I$84,B780)&amp;"")</f>
        <v/>
      </c>
      <c r="H780" s="32">
        <f>IF(B780="","",INDEX(Setup!$J$25:$J$84,B780)&amp;"")</f>
        <v/>
      </c>
      <c r="I780" s="32">
        <f>IF(B780="","",INDEX(Setup!$C$25:$C$84,B780))</f>
        <v/>
      </c>
      <c r="J780" s="32" t="n"/>
      <c r="K780" s="37" t="n"/>
      <c r="L780" s="38" t="n"/>
      <c r="M780" s="33" t="n"/>
      <c r="N780" s="33" t="n"/>
      <c r="O780" s="32" t="n"/>
      <c r="P780" s="34">
        <f>IF(A780="","",IF(K780&lt;&gt;"",K780,D780))</f>
        <v/>
      </c>
      <c r="Q780" s="36">
        <f>IF(A780="",0,IF(C780="✗",0,IF(OR(C780="✓",AND(Setup!$D$7="Yes",P780&lt;=TODAY())),IF(L780&lt;&gt;"",L780,F780),0)))</f>
        <v/>
      </c>
      <c r="R780" s="32">
        <f>IF(A780="","",IF(M780&lt;&gt;"",M780,G780))</f>
        <v/>
      </c>
      <c r="S780" s="32">
        <f>IF(A780="","",IF(N780&lt;&gt;"",N780,H780))</f>
        <v/>
      </c>
      <c r="T780" s="32">
        <f>IF(A780="","",IF(C780="✗","Skipped",IF(Q780&gt;0,"Paid","Upcoming")))</f>
        <v/>
      </c>
      <c r="U780" s="36">
        <f>IF(A780="",0,IF(C780="✗",0,IF(L780&lt;&gt;"",L780,F780)))</f>
        <v/>
      </c>
    </row>
    <row r="781">
      <c r="A781" s="39">
        <f>IFERROR(SMALL(Calc!$B$2:$BB$61,776),"")</f>
        <v/>
      </c>
      <c r="B781" s="39">
        <f>IF(A781="","",ROUND(MOD(A781,1)*1000,0))</f>
        <v/>
      </c>
      <c r="C781" s="33" t="n"/>
      <c r="D781" s="40">
        <f>IF(A781="","",INT(A781))</f>
        <v/>
      </c>
      <c r="E781" s="41">
        <f>IF(B781="","",INDEX(Setup!$D$25:$D$84,B781))</f>
        <v/>
      </c>
      <c r="F781" s="42">
        <f>IF(B781="","",INDEX(Setup!$E$25:$E$84,B781))</f>
        <v/>
      </c>
      <c r="G781" s="39">
        <f>IF(B781="","",INDEX(Setup!$I$25:$I$84,B781)&amp;"")</f>
        <v/>
      </c>
      <c r="H781" s="39">
        <f>IF(B781="","",INDEX(Setup!$J$25:$J$84,B781)&amp;"")</f>
        <v/>
      </c>
      <c r="I781" s="39">
        <f>IF(B781="","",INDEX(Setup!$C$25:$C$84,B781))</f>
        <v/>
      </c>
      <c r="J781" s="39" t="n"/>
      <c r="K781" s="37" t="n"/>
      <c r="L781" s="38" t="n"/>
      <c r="M781" s="33" t="n"/>
      <c r="N781" s="33" t="n"/>
      <c r="O781" s="39" t="n"/>
      <c r="P781" s="40">
        <f>IF(A781="","",IF(K781&lt;&gt;"",K781,D781))</f>
        <v/>
      </c>
      <c r="Q781" s="42">
        <f>IF(A781="",0,IF(C781="✗",0,IF(OR(C781="✓",AND(Setup!$D$7="Yes",P781&lt;=TODAY())),IF(L781&lt;&gt;"",L781,F781),0)))</f>
        <v/>
      </c>
      <c r="R781" s="39">
        <f>IF(A781="","",IF(M781&lt;&gt;"",M781,G781))</f>
        <v/>
      </c>
      <c r="S781" s="39">
        <f>IF(A781="","",IF(N781&lt;&gt;"",N781,H781))</f>
        <v/>
      </c>
      <c r="T781" s="39">
        <f>IF(A781="","",IF(C781="✗","Skipped",IF(Q781&gt;0,"Paid","Upcoming")))</f>
        <v/>
      </c>
      <c r="U781" s="42">
        <f>IF(A781="",0,IF(C781="✗",0,IF(L781&lt;&gt;"",L781,F781)))</f>
        <v/>
      </c>
    </row>
    <row r="782">
      <c r="A782" s="32">
        <f>IFERROR(SMALL(Calc!$B$2:$BB$61,777),"")</f>
        <v/>
      </c>
      <c r="B782" s="32">
        <f>IF(A782="","",ROUND(MOD(A782,1)*1000,0))</f>
        <v/>
      </c>
      <c r="C782" s="33" t="n"/>
      <c r="D782" s="34">
        <f>IF(A782="","",INT(A782))</f>
        <v/>
      </c>
      <c r="E782" s="35">
        <f>IF(B782="","",INDEX(Setup!$D$25:$D$84,B782))</f>
        <v/>
      </c>
      <c r="F782" s="36">
        <f>IF(B782="","",INDEX(Setup!$E$25:$E$84,B782))</f>
        <v/>
      </c>
      <c r="G782" s="32">
        <f>IF(B782="","",INDEX(Setup!$I$25:$I$84,B782)&amp;"")</f>
        <v/>
      </c>
      <c r="H782" s="32">
        <f>IF(B782="","",INDEX(Setup!$J$25:$J$84,B782)&amp;"")</f>
        <v/>
      </c>
      <c r="I782" s="32">
        <f>IF(B782="","",INDEX(Setup!$C$25:$C$84,B782))</f>
        <v/>
      </c>
      <c r="J782" s="32" t="n"/>
      <c r="K782" s="37" t="n"/>
      <c r="L782" s="38" t="n"/>
      <c r="M782" s="33" t="n"/>
      <c r="N782" s="33" t="n"/>
      <c r="O782" s="32" t="n"/>
      <c r="P782" s="34">
        <f>IF(A782="","",IF(K782&lt;&gt;"",K782,D782))</f>
        <v/>
      </c>
      <c r="Q782" s="36">
        <f>IF(A782="",0,IF(C782="✗",0,IF(OR(C782="✓",AND(Setup!$D$7="Yes",P782&lt;=TODAY())),IF(L782&lt;&gt;"",L782,F782),0)))</f>
        <v/>
      </c>
      <c r="R782" s="32">
        <f>IF(A782="","",IF(M782&lt;&gt;"",M782,G782))</f>
        <v/>
      </c>
      <c r="S782" s="32">
        <f>IF(A782="","",IF(N782&lt;&gt;"",N782,H782))</f>
        <v/>
      </c>
      <c r="T782" s="32">
        <f>IF(A782="","",IF(C782="✗","Skipped",IF(Q782&gt;0,"Paid","Upcoming")))</f>
        <v/>
      </c>
      <c r="U782" s="36">
        <f>IF(A782="",0,IF(C782="✗",0,IF(L782&lt;&gt;"",L782,F782)))</f>
        <v/>
      </c>
    </row>
    <row r="783">
      <c r="A783" s="39">
        <f>IFERROR(SMALL(Calc!$B$2:$BB$61,778),"")</f>
        <v/>
      </c>
      <c r="B783" s="39">
        <f>IF(A783="","",ROUND(MOD(A783,1)*1000,0))</f>
        <v/>
      </c>
      <c r="C783" s="33" t="n"/>
      <c r="D783" s="40">
        <f>IF(A783="","",INT(A783))</f>
        <v/>
      </c>
      <c r="E783" s="41">
        <f>IF(B783="","",INDEX(Setup!$D$25:$D$84,B783))</f>
        <v/>
      </c>
      <c r="F783" s="42">
        <f>IF(B783="","",INDEX(Setup!$E$25:$E$84,B783))</f>
        <v/>
      </c>
      <c r="G783" s="39">
        <f>IF(B783="","",INDEX(Setup!$I$25:$I$84,B783)&amp;"")</f>
        <v/>
      </c>
      <c r="H783" s="39">
        <f>IF(B783="","",INDEX(Setup!$J$25:$J$84,B783)&amp;"")</f>
        <v/>
      </c>
      <c r="I783" s="39">
        <f>IF(B783="","",INDEX(Setup!$C$25:$C$84,B783))</f>
        <v/>
      </c>
      <c r="J783" s="39" t="n"/>
      <c r="K783" s="37" t="n"/>
      <c r="L783" s="38" t="n"/>
      <c r="M783" s="33" t="n"/>
      <c r="N783" s="33" t="n"/>
      <c r="O783" s="39" t="n"/>
      <c r="P783" s="40">
        <f>IF(A783="","",IF(K783&lt;&gt;"",K783,D783))</f>
        <v/>
      </c>
      <c r="Q783" s="42">
        <f>IF(A783="",0,IF(C783="✗",0,IF(OR(C783="✓",AND(Setup!$D$7="Yes",P783&lt;=TODAY())),IF(L783&lt;&gt;"",L783,F783),0)))</f>
        <v/>
      </c>
      <c r="R783" s="39">
        <f>IF(A783="","",IF(M783&lt;&gt;"",M783,G783))</f>
        <v/>
      </c>
      <c r="S783" s="39">
        <f>IF(A783="","",IF(N783&lt;&gt;"",N783,H783))</f>
        <v/>
      </c>
      <c r="T783" s="39">
        <f>IF(A783="","",IF(C783="✗","Skipped",IF(Q783&gt;0,"Paid","Upcoming")))</f>
        <v/>
      </c>
      <c r="U783" s="42">
        <f>IF(A783="",0,IF(C783="✗",0,IF(L783&lt;&gt;"",L783,F783)))</f>
        <v/>
      </c>
    </row>
    <row r="784">
      <c r="A784" s="32">
        <f>IFERROR(SMALL(Calc!$B$2:$BB$61,779),"")</f>
        <v/>
      </c>
      <c r="B784" s="32">
        <f>IF(A784="","",ROUND(MOD(A784,1)*1000,0))</f>
        <v/>
      </c>
      <c r="C784" s="33" t="n"/>
      <c r="D784" s="34">
        <f>IF(A784="","",INT(A784))</f>
        <v/>
      </c>
      <c r="E784" s="35">
        <f>IF(B784="","",INDEX(Setup!$D$25:$D$84,B784))</f>
        <v/>
      </c>
      <c r="F784" s="36">
        <f>IF(B784="","",INDEX(Setup!$E$25:$E$84,B784))</f>
        <v/>
      </c>
      <c r="G784" s="32">
        <f>IF(B784="","",INDEX(Setup!$I$25:$I$84,B784)&amp;"")</f>
        <v/>
      </c>
      <c r="H784" s="32">
        <f>IF(B784="","",INDEX(Setup!$J$25:$J$84,B784)&amp;"")</f>
        <v/>
      </c>
      <c r="I784" s="32">
        <f>IF(B784="","",INDEX(Setup!$C$25:$C$84,B784))</f>
        <v/>
      </c>
      <c r="J784" s="32" t="n"/>
      <c r="K784" s="37" t="n"/>
      <c r="L784" s="38" t="n"/>
      <c r="M784" s="33" t="n"/>
      <c r="N784" s="33" t="n"/>
      <c r="O784" s="32" t="n"/>
      <c r="P784" s="34">
        <f>IF(A784="","",IF(K784&lt;&gt;"",K784,D784))</f>
        <v/>
      </c>
      <c r="Q784" s="36">
        <f>IF(A784="",0,IF(C784="✗",0,IF(OR(C784="✓",AND(Setup!$D$7="Yes",P784&lt;=TODAY())),IF(L784&lt;&gt;"",L784,F784),0)))</f>
        <v/>
      </c>
      <c r="R784" s="32">
        <f>IF(A784="","",IF(M784&lt;&gt;"",M784,G784))</f>
        <v/>
      </c>
      <c r="S784" s="32">
        <f>IF(A784="","",IF(N784&lt;&gt;"",N784,H784))</f>
        <v/>
      </c>
      <c r="T784" s="32">
        <f>IF(A784="","",IF(C784="✗","Skipped",IF(Q784&gt;0,"Paid","Upcoming")))</f>
        <v/>
      </c>
      <c r="U784" s="36">
        <f>IF(A784="",0,IF(C784="✗",0,IF(L784&lt;&gt;"",L784,F784)))</f>
        <v/>
      </c>
    </row>
    <row r="785">
      <c r="A785" s="39">
        <f>IFERROR(SMALL(Calc!$B$2:$BB$61,780),"")</f>
        <v/>
      </c>
      <c r="B785" s="39">
        <f>IF(A785="","",ROUND(MOD(A785,1)*1000,0))</f>
        <v/>
      </c>
      <c r="C785" s="33" t="n"/>
      <c r="D785" s="40">
        <f>IF(A785="","",INT(A785))</f>
        <v/>
      </c>
      <c r="E785" s="41">
        <f>IF(B785="","",INDEX(Setup!$D$25:$D$84,B785))</f>
        <v/>
      </c>
      <c r="F785" s="42">
        <f>IF(B785="","",INDEX(Setup!$E$25:$E$84,B785))</f>
        <v/>
      </c>
      <c r="G785" s="39">
        <f>IF(B785="","",INDEX(Setup!$I$25:$I$84,B785)&amp;"")</f>
        <v/>
      </c>
      <c r="H785" s="39">
        <f>IF(B785="","",INDEX(Setup!$J$25:$J$84,B785)&amp;"")</f>
        <v/>
      </c>
      <c r="I785" s="39">
        <f>IF(B785="","",INDEX(Setup!$C$25:$C$84,B785))</f>
        <v/>
      </c>
      <c r="J785" s="39" t="n"/>
      <c r="K785" s="37" t="n"/>
      <c r="L785" s="38" t="n"/>
      <c r="M785" s="33" t="n"/>
      <c r="N785" s="33" t="n"/>
      <c r="O785" s="39" t="n"/>
      <c r="P785" s="40">
        <f>IF(A785="","",IF(K785&lt;&gt;"",K785,D785))</f>
        <v/>
      </c>
      <c r="Q785" s="42">
        <f>IF(A785="",0,IF(C785="✗",0,IF(OR(C785="✓",AND(Setup!$D$7="Yes",P785&lt;=TODAY())),IF(L785&lt;&gt;"",L785,F785),0)))</f>
        <v/>
      </c>
      <c r="R785" s="39">
        <f>IF(A785="","",IF(M785&lt;&gt;"",M785,G785))</f>
        <v/>
      </c>
      <c r="S785" s="39">
        <f>IF(A785="","",IF(N785&lt;&gt;"",N785,H785))</f>
        <v/>
      </c>
      <c r="T785" s="39">
        <f>IF(A785="","",IF(C785="✗","Skipped",IF(Q785&gt;0,"Paid","Upcoming")))</f>
        <v/>
      </c>
      <c r="U785" s="42">
        <f>IF(A785="",0,IF(C785="✗",0,IF(L785&lt;&gt;"",L785,F785)))</f>
        <v/>
      </c>
    </row>
    <row r="786">
      <c r="A786" s="32">
        <f>IFERROR(SMALL(Calc!$B$2:$BB$61,781),"")</f>
        <v/>
      </c>
      <c r="B786" s="32">
        <f>IF(A786="","",ROUND(MOD(A786,1)*1000,0))</f>
        <v/>
      </c>
      <c r="C786" s="33" t="n"/>
      <c r="D786" s="34">
        <f>IF(A786="","",INT(A786))</f>
        <v/>
      </c>
      <c r="E786" s="35">
        <f>IF(B786="","",INDEX(Setup!$D$25:$D$84,B786))</f>
        <v/>
      </c>
      <c r="F786" s="36">
        <f>IF(B786="","",INDEX(Setup!$E$25:$E$84,B786))</f>
        <v/>
      </c>
      <c r="G786" s="32">
        <f>IF(B786="","",INDEX(Setup!$I$25:$I$84,B786)&amp;"")</f>
        <v/>
      </c>
      <c r="H786" s="32">
        <f>IF(B786="","",INDEX(Setup!$J$25:$J$84,B786)&amp;"")</f>
        <v/>
      </c>
      <c r="I786" s="32">
        <f>IF(B786="","",INDEX(Setup!$C$25:$C$84,B786))</f>
        <v/>
      </c>
      <c r="J786" s="32" t="n"/>
      <c r="K786" s="37" t="n"/>
      <c r="L786" s="38" t="n"/>
      <c r="M786" s="33" t="n"/>
      <c r="N786" s="33" t="n"/>
      <c r="O786" s="32" t="n"/>
      <c r="P786" s="34">
        <f>IF(A786="","",IF(K786&lt;&gt;"",K786,D786))</f>
        <v/>
      </c>
      <c r="Q786" s="36">
        <f>IF(A786="",0,IF(C786="✗",0,IF(OR(C786="✓",AND(Setup!$D$7="Yes",P786&lt;=TODAY())),IF(L786&lt;&gt;"",L786,F786),0)))</f>
        <v/>
      </c>
      <c r="R786" s="32">
        <f>IF(A786="","",IF(M786&lt;&gt;"",M786,G786))</f>
        <v/>
      </c>
      <c r="S786" s="32">
        <f>IF(A786="","",IF(N786&lt;&gt;"",N786,H786))</f>
        <v/>
      </c>
      <c r="T786" s="32">
        <f>IF(A786="","",IF(C786="✗","Skipped",IF(Q786&gt;0,"Paid","Upcoming")))</f>
        <v/>
      </c>
      <c r="U786" s="36">
        <f>IF(A786="",0,IF(C786="✗",0,IF(L786&lt;&gt;"",L786,F786)))</f>
        <v/>
      </c>
    </row>
    <row r="787">
      <c r="A787" s="39">
        <f>IFERROR(SMALL(Calc!$B$2:$BB$61,782),"")</f>
        <v/>
      </c>
      <c r="B787" s="39">
        <f>IF(A787="","",ROUND(MOD(A787,1)*1000,0))</f>
        <v/>
      </c>
      <c r="C787" s="33" t="n"/>
      <c r="D787" s="40">
        <f>IF(A787="","",INT(A787))</f>
        <v/>
      </c>
      <c r="E787" s="41">
        <f>IF(B787="","",INDEX(Setup!$D$25:$D$84,B787))</f>
        <v/>
      </c>
      <c r="F787" s="42">
        <f>IF(B787="","",INDEX(Setup!$E$25:$E$84,B787))</f>
        <v/>
      </c>
      <c r="G787" s="39">
        <f>IF(B787="","",INDEX(Setup!$I$25:$I$84,B787)&amp;"")</f>
        <v/>
      </c>
      <c r="H787" s="39">
        <f>IF(B787="","",INDEX(Setup!$J$25:$J$84,B787)&amp;"")</f>
        <v/>
      </c>
      <c r="I787" s="39">
        <f>IF(B787="","",INDEX(Setup!$C$25:$C$84,B787))</f>
        <v/>
      </c>
      <c r="J787" s="39" t="n"/>
      <c r="K787" s="37" t="n"/>
      <c r="L787" s="38" t="n"/>
      <c r="M787" s="33" t="n"/>
      <c r="N787" s="33" t="n"/>
      <c r="O787" s="39" t="n"/>
      <c r="P787" s="40">
        <f>IF(A787="","",IF(K787&lt;&gt;"",K787,D787))</f>
        <v/>
      </c>
      <c r="Q787" s="42">
        <f>IF(A787="",0,IF(C787="✗",0,IF(OR(C787="✓",AND(Setup!$D$7="Yes",P787&lt;=TODAY())),IF(L787&lt;&gt;"",L787,F787),0)))</f>
        <v/>
      </c>
      <c r="R787" s="39">
        <f>IF(A787="","",IF(M787&lt;&gt;"",M787,G787))</f>
        <v/>
      </c>
      <c r="S787" s="39">
        <f>IF(A787="","",IF(N787&lt;&gt;"",N787,H787))</f>
        <v/>
      </c>
      <c r="T787" s="39">
        <f>IF(A787="","",IF(C787="✗","Skipped",IF(Q787&gt;0,"Paid","Upcoming")))</f>
        <v/>
      </c>
      <c r="U787" s="42">
        <f>IF(A787="",0,IF(C787="✗",0,IF(L787&lt;&gt;"",L787,F787)))</f>
        <v/>
      </c>
    </row>
    <row r="788">
      <c r="A788" s="32">
        <f>IFERROR(SMALL(Calc!$B$2:$BB$61,783),"")</f>
        <v/>
      </c>
      <c r="B788" s="32">
        <f>IF(A788="","",ROUND(MOD(A788,1)*1000,0))</f>
        <v/>
      </c>
      <c r="C788" s="33" t="n"/>
      <c r="D788" s="34">
        <f>IF(A788="","",INT(A788))</f>
        <v/>
      </c>
      <c r="E788" s="35">
        <f>IF(B788="","",INDEX(Setup!$D$25:$D$84,B788))</f>
        <v/>
      </c>
      <c r="F788" s="36">
        <f>IF(B788="","",INDEX(Setup!$E$25:$E$84,B788))</f>
        <v/>
      </c>
      <c r="G788" s="32">
        <f>IF(B788="","",INDEX(Setup!$I$25:$I$84,B788)&amp;"")</f>
        <v/>
      </c>
      <c r="H788" s="32">
        <f>IF(B788="","",INDEX(Setup!$J$25:$J$84,B788)&amp;"")</f>
        <v/>
      </c>
      <c r="I788" s="32">
        <f>IF(B788="","",INDEX(Setup!$C$25:$C$84,B788))</f>
        <v/>
      </c>
      <c r="J788" s="32" t="n"/>
      <c r="K788" s="37" t="n"/>
      <c r="L788" s="38" t="n"/>
      <c r="M788" s="33" t="n"/>
      <c r="N788" s="33" t="n"/>
      <c r="O788" s="32" t="n"/>
      <c r="P788" s="34">
        <f>IF(A788="","",IF(K788&lt;&gt;"",K788,D788))</f>
        <v/>
      </c>
      <c r="Q788" s="36">
        <f>IF(A788="",0,IF(C788="✗",0,IF(OR(C788="✓",AND(Setup!$D$7="Yes",P788&lt;=TODAY())),IF(L788&lt;&gt;"",L788,F788),0)))</f>
        <v/>
      </c>
      <c r="R788" s="32">
        <f>IF(A788="","",IF(M788&lt;&gt;"",M788,G788))</f>
        <v/>
      </c>
      <c r="S788" s="32">
        <f>IF(A788="","",IF(N788&lt;&gt;"",N788,H788))</f>
        <v/>
      </c>
      <c r="T788" s="32">
        <f>IF(A788="","",IF(C788="✗","Skipped",IF(Q788&gt;0,"Paid","Upcoming")))</f>
        <v/>
      </c>
      <c r="U788" s="36">
        <f>IF(A788="",0,IF(C788="✗",0,IF(L788&lt;&gt;"",L788,F788)))</f>
        <v/>
      </c>
    </row>
    <row r="789">
      <c r="A789" s="39">
        <f>IFERROR(SMALL(Calc!$B$2:$BB$61,784),"")</f>
        <v/>
      </c>
      <c r="B789" s="39">
        <f>IF(A789="","",ROUND(MOD(A789,1)*1000,0))</f>
        <v/>
      </c>
      <c r="C789" s="33" t="n"/>
      <c r="D789" s="40">
        <f>IF(A789="","",INT(A789))</f>
        <v/>
      </c>
      <c r="E789" s="41">
        <f>IF(B789="","",INDEX(Setup!$D$25:$D$84,B789))</f>
        <v/>
      </c>
      <c r="F789" s="42">
        <f>IF(B789="","",INDEX(Setup!$E$25:$E$84,B789))</f>
        <v/>
      </c>
      <c r="G789" s="39">
        <f>IF(B789="","",INDEX(Setup!$I$25:$I$84,B789)&amp;"")</f>
        <v/>
      </c>
      <c r="H789" s="39">
        <f>IF(B789="","",INDEX(Setup!$J$25:$J$84,B789)&amp;"")</f>
        <v/>
      </c>
      <c r="I789" s="39">
        <f>IF(B789="","",INDEX(Setup!$C$25:$C$84,B789))</f>
        <v/>
      </c>
      <c r="J789" s="39" t="n"/>
      <c r="K789" s="37" t="n"/>
      <c r="L789" s="38" t="n"/>
      <c r="M789" s="33" t="n"/>
      <c r="N789" s="33" t="n"/>
      <c r="O789" s="39" t="n"/>
      <c r="P789" s="40">
        <f>IF(A789="","",IF(K789&lt;&gt;"",K789,D789))</f>
        <v/>
      </c>
      <c r="Q789" s="42">
        <f>IF(A789="",0,IF(C789="✗",0,IF(OR(C789="✓",AND(Setup!$D$7="Yes",P789&lt;=TODAY())),IF(L789&lt;&gt;"",L789,F789),0)))</f>
        <v/>
      </c>
      <c r="R789" s="39">
        <f>IF(A789="","",IF(M789&lt;&gt;"",M789,G789))</f>
        <v/>
      </c>
      <c r="S789" s="39">
        <f>IF(A789="","",IF(N789&lt;&gt;"",N789,H789))</f>
        <v/>
      </c>
      <c r="T789" s="39">
        <f>IF(A789="","",IF(C789="✗","Skipped",IF(Q789&gt;0,"Paid","Upcoming")))</f>
        <v/>
      </c>
      <c r="U789" s="42">
        <f>IF(A789="",0,IF(C789="✗",0,IF(L789&lt;&gt;"",L789,F789)))</f>
        <v/>
      </c>
    </row>
    <row r="790">
      <c r="A790" s="32">
        <f>IFERROR(SMALL(Calc!$B$2:$BB$61,785),"")</f>
        <v/>
      </c>
      <c r="B790" s="32">
        <f>IF(A790="","",ROUND(MOD(A790,1)*1000,0))</f>
        <v/>
      </c>
      <c r="C790" s="33" t="n"/>
      <c r="D790" s="34">
        <f>IF(A790="","",INT(A790))</f>
        <v/>
      </c>
      <c r="E790" s="35">
        <f>IF(B790="","",INDEX(Setup!$D$25:$D$84,B790))</f>
        <v/>
      </c>
      <c r="F790" s="36">
        <f>IF(B790="","",INDEX(Setup!$E$25:$E$84,B790))</f>
        <v/>
      </c>
      <c r="G790" s="32">
        <f>IF(B790="","",INDEX(Setup!$I$25:$I$84,B790)&amp;"")</f>
        <v/>
      </c>
      <c r="H790" s="32">
        <f>IF(B790="","",INDEX(Setup!$J$25:$J$84,B790)&amp;"")</f>
        <v/>
      </c>
      <c r="I790" s="32">
        <f>IF(B790="","",INDEX(Setup!$C$25:$C$84,B790))</f>
        <v/>
      </c>
      <c r="J790" s="32" t="n"/>
      <c r="K790" s="37" t="n"/>
      <c r="L790" s="38" t="n"/>
      <c r="M790" s="33" t="n"/>
      <c r="N790" s="33" t="n"/>
      <c r="O790" s="32" t="n"/>
      <c r="P790" s="34">
        <f>IF(A790="","",IF(K790&lt;&gt;"",K790,D790))</f>
        <v/>
      </c>
      <c r="Q790" s="36">
        <f>IF(A790="",0,IF(C790="✗",0,IF(OR(C790="✓",AND(Setup!$D$7="Yes",P790&lt;=TODAY())),IF(L790&lt;&gt;"",L790,F790),0)))</f>
        <v/>
      </c>
      <c r="R790" s="32">
        <f>IF(A790="","",IF(M790&lt;&gt;"",M790,G790))</f>
        <v/>
      </c>
      <c r="S790" s="32">
        <f>IF(A790="","",IF(N790&lt;&gt;"",N790,H790))</f>
        <v/>
      </c>
      <c r="T790" s="32">
        <f>IF(A790="","",IF(C790="✗","Skipped",IF(Q790&gt;0,"Paid","Upcoming")))</f>
        <v/>
      </c>
      <c r="U790" s="36">
        <f>IF(A790="",0,IF(C790="✗",0,IF(L790&lt;&gt;"",L790,F790)))</f>
        <v/>
      </c>
    </row>
    <row r="791">
      <c r="A791" s="39">
        <f>IFERROR(SMALL(Calc!$B$2:$BB$61,786),"")</f>
        <v/>
      </c>
      <c r="B791" s="39">
        <f>IF(A791="","",ROUND(MOD(A791,1)*1000,0))</f>
        <v/>
      </c>
      <c r="C791" s="33" t="n"/>
      <c r="D791" s="40">
        <f>IF(A791="","",INT(A791))</f>
        <v/>
      </c>
      <c r="E791" s="41">
        <f>IF(B791="","",INDEX(Setup!$D$25:$D$84,B791))</f>
        <v/>
      </c>
      <c r="F791" s="42">
        <f>IF(B791="","",INDEX(Setup!$E$25:$E$84,B791))</f>
        <v/>
      </c>
      <c r="G791" s="39">
        <f>IF(B791="","",INDEX(Setup!$I$25:$I$84,B791)&amp;"")</f>
        <v/>
      </c>
      <c r="H791" s="39">
        <f>IF(B791="","",INDEX(Setup!$J$25:$J$84,B791)&amp;"")</f>
        <v/>
      </c>
      <c r="I791" s="39">
        <f>IF(B791="","",INDEX(Setup!$C$25:$C$84,B791))</f>
        <v/>
      </c>
      <c r="J791" s="39" t="n"/>
      <c r="K791" s="37" t="n"/>
      <c r="L791" s="38" t="n"/>
      <c r="M791" s="33" t="n"/>
      <c r="N791" s="33" t="n"/>
      <c r="O791" s="39" t="n"/>
      <c r="P791" s="40">
        <f>IF(A791="","",IF(K791&lt;&gt;"",K791,D791))</f>
        <v/>
      </c>
      <c r="Q791" s="42">
        <f>IF(A791="",0,IF(C791="✗",0,IF(OR(C791="✓",AND(Setup!$D$7="Yes",P791&lt;=TODAY())),IF(L791&lt;&gt;"",L791,F791),0)))</f>
        <v/>
      </c>
      <c r="R791" s="39">
        <f>IF(A791="","",IF(M791&lt;&gt;"",M791,G791))</f>
        <v/>
      </c>
      <c r="S791" s="39">
        <f>IF(A791="","",IF(N791&lt;&gt;"",N791,H791))</f>
        <v/>
      </c>
      <c r="T791" s="39">
        <f>IF(A791="","",IF(C791="✗","Skipped",IF(Q791&gt;0,"Paid","Upcoming")))</f>
        <v/>
      </c>
      <c r="U791" s="42">
        <f>IF(A791="",0,IF(C791="✗",0,IF(L791&lt;&gt;"",L791,F791)))</f>
        <v/>
      </c>
    </row>
    <row r="792">
      <c r="A792" s="32">
        <f>IFERROR(SMALL(Calc!$B$2:$BB$61,787),"")</f>
        <v/>
      </c>
      <c r="B792" s="32">
        <f>IF(A792="","",ROUND(MOD(A792,1)*1000,0))</f>
        <v/>
      </c>
      <c r="C792" s="33" t="n"/>
      <c r="D792" s="34">
        <f>IF(A792="","",INT(A792))</f>
        <v/>
      </c>
      <c r="E792" s="35">
        <f>IF(B792="","",INDEX(Setup!$D$25:$D$84,B792))</f>
        <v/>
      </c>
      <c r="F792" s="36">
        <f>IF(B792="","",INDEX(Setup!$E$25:$E$84,B792))</f>
        <v/>
      </c>
      <c r="G792" s="32">
        <f>IF(B792="","",INDEX(Setup!$I$25:$I$84,B792)&amp;"")</f>
        <v/>
      </c>
      <c r="H792" s="32">
        <f>IF(B792="","",INDEX(Setup!$J$25:$J$84,B792)&amp;"")</f>
        <v/>
      </c>
      <c r="I792" s="32">
        <f>IF(B792="","",INDEX(Setup!$C$25:$C$84,B792))</f>
        <v/>
      </c>
      <c r="J792" s="32" t="n"/>
      <c r="K792" s="37" t="n"/>
      <c r="L792" s="38" t="n"/>
      <c r="M792" s="33" t="n"/>
      <c r="N792" s="33" t="n"/>
      <c r="O792" s="32" t="n"/>
      <c r="P792" s="34">
        <f>IF(A792="","",IF(K792&lt;&gt;"",K792,D792))</f>
        <v/>
      </c>
      <c r="Q792" s="36">
        <f>IF(A792="",0,IF(C792="✗",0,IF(OR(C792="✓",AND(Setup!$D$7="Yes",P792&lt;=TODAY())),IF(L792&lt;&gt;"",L792,F792),0)))</f>
        <v/>
      </c>
      <c r="R792" s="32">
        <f>IF(A792="","",IF(M792&lt;&gt;"",M792,G792))</f>
        <v/>
      </c>
      <c r="S792" s="32">
        <f>IF(A792="","",IF(N792&lt;&gt;"",N792,H792))</f>
        <v/>
      </c>
      <c r="T792" s="32">
        <f>IF(A792="","",IF(C792="✗","Skipped",IF(Q792&gt;0,"Paid","Upcoming")))</f>
        <v/>
      </c>
      <c r="U792" s="36">
        <f>IF(A792="",0,IF(C792="✗",0,IF(L792&lt;&gt;"",L792,F792)))</f>
        <v/>
      </c>
    </row>
    <row r="793">
      <c r="A793" s="39">
        <f>IFERROR(SMALL(Calc!$B$2:$BB$61,788),"")</f>
        <v/>
      </c>
      <c r="B793" s="39">
        <f>IF(A793="","",ROUND(MOD(A793,1)*1000,0))</f>
        <v/>
      </c>
      <c r="C793" s="33" t="n"/>
      <c r="D793" s="40">
        <f>IF(A793="","",INT(A793))</f>
        <v/>
      </c>
      <c r="E793" s="41">
        <f>IF(B793="","",INDEX(Setup!$D$25:$D$84,B793))</f>
        <v/>
      </c>
      <c r="F793" s="42">
        <f>IF(B793="","",INDEX(Setup!$E$25:$E$84,B793))</f>
        <v/>
      </c>
      <c r="G793" s="39">
        <f>IF(B793="","",INDEX(Setup!$I$25:$I$84,B793)&amp;"")</f>
        <v/>
      </c>
      <c r="H793" s="39">
        <f>IF(B793="","",INDEX(Setup!$J$25:$J$84,B793)&amp;"")</f>
        <v/>
      </c>
      <c r="I793" s="39">
        <f>IF(B793="","",INDEX(Setup!$C$25:$C$84,B793))</f>
        <v/>
      </c>
      <c r="J793" s="39" t="n"/>
      <c r="K793" s="37" t="n"/>
      <c r="L793" s="38" t="n"/>
      <c r="M793" s="33" t="n"/>
      <c r="N793" s="33" t="n"/>
      <c r="O793" s="39" t="n"/>
      <c r="P793" s="40">
        <f>IF(A793="","",IF(K793&lt;&gt;"",K793,D793))</f>
        <v/>
      </c>
      <c r="Q793" s="42">
        <f>IF(A793="",0,IF(C793="✗",0,IF(OR(C793="✓",AND(Setup!$D$7="Yes",P793&lt;=TODAY())),IF(L793&lt;&gt;"",L793,F793),0)))</f>
        <v/>
      </c>
      <c r="R793" s="39">
        <f>IF(A793="","",IF(M793&lt;&gt;"",M793,G793))</f>
        <v/>
      </c>
      <c r="S793" s="39">
        <f>IF(A793="","",IF(N793&lt;&gt;"",N793,H793))</f>
        <v/>
      </c>
      <c r="T793" s="39">
        <f>IF(A793="","",IF(C793="✗","Skipped",IF(Q793&gt;0,"Paid","Upcoming")))</f>
        <v/>
      </c>
      <c r="U793" s="42">
        <f>IF(A793="",0,IF(C793="✗",0,IF(L793&lt;&gt;"",L793,F793)))</f>
        <v/>
      </c>
    </row>
    <row r="794">
      <c r="A794" s="32">
        <f>IFERROR(SMALL(Calc!$B$2:$BB$61,789),"")</f>
        <v/>
      </c>
      <c r="B794" s="32">
        <f>IF(A794="","",ROUND(MOD(A794,1)*1000,0))</f>
        <v/>
      </c>
      <c r="C794" s="33" t="n"/>
      <c r="D794" s="34">
        <f>IF(A794="","",INT(A794))</f>
        <v/>
      </c>
      <c r="E794" s="35">
        <f>IF(B794="","",INDEX(Setup!$D$25:$D$84,B794))</f>
        <v/>
      </c>
      <c r="F794" s="36">
        <f>IF(B794="","",INDEX(Setup!$E$25:$E$84,B794))</f>
        <v/>
      </c>
      <c r="G794" s="32">
        <f>IF(B794="","",INDEX(Setup!$I$25:$I$84,B794)&amp;"")</f>
        <v/>
      </c>
      <c r="H794" s="32">
        <f>IF(B794="","",INDEX(Setup!$J$25:$J$84,B794)&amp;"")</f>
        <v/>
      </c>
      <c r="I794" s="32">
        <f>IF(B794="","",INDEX(Setup!$C$25:$C$84,B794))</f>
        <v/>
      </c>
      <c r="J794" s="32" t="n"/>
      <c r="K794" s="37" t="n"/>
      <c r="L794" s="38" t="n"/>
      <c r="M794" s="33" t="n"/>
      <c r="N794" s="33" t="n"/>
      <c r="O794" s="32" t="n"/>
      <c r="P794" s="34">
        <f>IF(A794="","",IF(K794&lt;&gt;"",K794,D794))</f>
        <v/>
      </c>
      <c r="Q794" s="36">
        <f>IF(A794="",0,IF(C794="✗",0,IF(OR(C794="✓",AND(Setup!$D$7="Yes",P794&lt;=TODAY())),IF(L794&lt;&gt;"",L794,F794),0)))</f>
        <v/>
      </c>
      <c r="R794" s="32">
        <f>IF(A794="","",IF(M794&lt;&gt;"",M794,G794))</f>
        <v/>
      </c>
      <c r="S794" s="32">
        <f>IF(A794="","",IF(N794&lt;&gt;"",N794,H794))</f>
        <v/>
      </c>
      <c r="T794" s="32">
        <f>IF(A794="","",IF(C794="✗","Skipped",IF(Q794&gt;0,"Paid","Upcoming")))</f>
        <v/>
      </c>
      <c r="U794" s="36">
        <f>IF(A794="",0,IF(C794="✗",0,IF(L794&lt;&gt;"",L794,F794)))</f>
        <v/>
      </c>
    </row>
    <row r="795">
      <c r="A795" s="39">
        <f>IFERROR(SMALL(Calc!$B$2:$BB$61,790),"")</f>
        <v/>
      </c>
      <c r="B795" s="39">
        <f>IF(A795="","",ROUND(MOD(A795,1)*1000,0))</f>
        <v/>
      </c>
      <c r="C795" s="33" t="n"/>
      <c r="D795" s="40">
        <f>IF(A795="","",INT(A795))</f>
        <v/>
      </c>
      <c r="E795" s="41">
        <f>IF(B795="","",INDEX(Setup!$D$25:$D$84,B795))</f>
        <v/>
      </c>
      <c r="F795" s="42">
        <f>IF(B795="","",INDEX(Setup!$E$25:$E$84,B795))</f>
        <v/>
      </c>
      <c r="G795" s="39">
        <f>IF(B795="","",INDEX(Setup!$I$25:$I$84,B795)&amp;"")</f>
        <v/>
      </c>
      <c r="H795" s="39">
        <f>IF(B795="","",INDEX(Setup!$J$25:$J$84,B795)&amp;"")</f>
        <v/>
      </c>
      <c r="I795" s="39">
        <f>IF(B795="","",INDEX(Setup!$C$25:$C$84,B795))</f>
        <v/>
      </c>
      <c r="J795" s="39" t="n"/>
      <c r="K795" s="37" t="n"/>
      <c r="L795" s="38" t="n"/>
      <c r="M795" s="33" t="n"/>
      <c r="N795" s="33" t="n"/>
      <c r="O795" s="39" t="n"/>
      <c r="P795" s="40">
        <f>IF(A795="","",IF(K795&lt;&gt;"",K795,D795))</f>
        <v/>
      </c>
      <c r="Q795" s="42">
        <f>IF(A795="",0,IF(C795="✗",0,IF(OR(C795="✓",AND(Setup!$D$7="Yes",P795&lt;=TODAY())),IF(L795&lt;&gt;"",L795,F795),0)))</f>
        <v/>
      </c>
      <c r="R795" s="39">
        <f>IF(A795="","",IF(M795&lt;&gt;"",M795,G795))</f>
        <v/>
      </c>
      <c r="S795" s="39">
        <f>IF(A795="","",IF(N795&lt;&gt;"",N795,H795))</f>
        <v/>
      </c>
      <c r="T795" s="39">
        <f>IF(A795="","",IF(C795="✗","Skipped",IF(Q795&gt;0,"Paid","Upcoming")))</f>
        <v/>
      </c>
      <c r="U795" s="42">
        <f>IF(A795="",0,IF(C795="✗",0,IF(L795&lt;&gt;"",L795,F795)))</f>
        <v/>
      </c>
    </row>
    <row r="796">
      <c r="A796" s="32">
        <f>IFERROR(SMALL(Calc!$B$2:$BB$61,791),"")</f>
        <v/>
      </c>
      <c r="B796" s="32">
        <f>IF(A796="","",ROUND(MOD(A796,1)*1000,0))</f>
        <v/>
      </c>
      <c r="C796" s="33" t="n"/>
      <c r="D796" s="34">
        <f>IF(A796="","",INT(A796))</f>
        <v/>
      </c>
      <c r="E796" s="35">
        <f>IF(B796="","",INDEX(Setup!$D$25:$D$84,B796))</f>
        <v/>
      </c>
      <c r="F796" s="36">
        <f>IF(B796="","",INDEX(Setup!$E$25:$E$84,B796))</f>
        <v/>
      </c>
      <c r="G796" s="32">
        <f>IF(B796="","",INDEX(Setup!$I$25:$I$84,B796)&amp;"")</f>
        <v/>
      </c>
      <c r="H796" s="32">
        <f>IF(B796="","",INDEX(Setup!$J$25:$J$84,B796)&amp;"")</f>
        <v/>
      </c>
      <c r="I796" s="32">
        <f>IF(B796="","",INDEX(Setup!$C$25:$C$84,B796))</f>
        <v/>
      </c>
      <c r="J796" s="32" t="n"/>
      <c r="K796" s="37" t="n"/>
      <c r="L796" s="38" t="n"/>
      <c r="M796" s="33" t="n"/>
      <c r="N796" s="33" t="n"/>
      <c r="O796" s="32" t="n"/>
      <c r="P796" s="34">
        <f>IF(A796="","",IF(K796&lt;&gt;"",K796,D796))</f>
        <v/>
      </c>
      <c r="Q796" s="36">
        <f>IF(A796="",0,IF(C796="✗",0,IF(OR(C796="✓",AND(Setup!$D$7="Yes",P796&lt;=TODAY())),IF(L796&lt;&gt;"",L796,F796),0)))</f>
        <v/>
      </c>
      <c r="R796" s="32">
        <f>IF(A796="","",IF(M796&lt;&gt;"",M796,G796))</f>
        <v/>
      </c>
      <c r="S796" s="32">
        <f>IF(A796="","",IF(N796&lt;&gt;"",N796,H796))</f>
        <v/>
      </c>
      <c r="T796" s="32">
        <f>IF(A796="","",IF(C796="✗","Skipped",IF(Q796&gt;0,"Paid","Upcoming")))</f>
        <v/>
      </c>
      <c r="U796" s="36">
        <f>IF(A796="",0,IF(C796="✗",0,IF(L796&lt;&gt;"",L796,F796)))</f>
        <v/>
      </c>
    </row>
    <row r="797">
      <c r="A797" s="39">
        <f>IFERROR(SMALL(Calc!$B$2:$BB$61,792),"")</f>
        <v/>
      </c>
      <c r="B797" s="39">
        <f>IF(A797="","",ROUND(MOD(A797,1)*1000,0))</f>
        <v/>
      </c>
      <c r="C797" s="33" t="n"/>
      <c r="D797" s="40">
        <f>IF(A797="","",INT(A797))</f>
        <v/>
      </c>
      <c r="E797" s="41">
        <f>IF(B797="","",INDEX(Setup!$D$25:$D$84,B797))</f>
        <v/>
      </c>
      <c r="F797" s="42">
        <f>IF(B797="","",INDEX(Setup!$E$25:$E$84,B797))</f>
        <v/>
      </c>
      <c r="G797" s="39">
        <f>IF(B797="","",INDEX(Setup!$I$25:$I$84,B797)&amp;"")</f>
        <v/>
      </c>
      <c r="H797" s="39">
        <f>IF(B797="","",INDEX(Setup!$J$25:$J$84,B797)&amp;"")</f>
        <v/>
      </c>
      <c r="I797" s="39">
        <f>IF(B797="","",INDEX(Setup!$C$25:$C$84,B797))</f>
        <v/>
      </c>
      <c r="J797" s="39" t="n"/>
      <c r="K797" s="37" t="n"/>
      <c r="L797" s="38" t="n"/>
      <c r="M797" s="33" t="n"/>
      <c r="N797" s="33" t="n"/>
      <c r="O797" s="39" t="n"/>
      <c r="P797" s="40">
        <f>IF(A797="","",IF(K797&lt;&gt;"",K797,D797))</f>
        <v/>
      </c>
      <c r="Q797" s="42">
        <f>IF(A797="",0,IF(C797="✗",0,IF(OR(C797="✓",AND(Setup!$D$7="Yes",P797&lt;=TODAY())),IF(L797&lt;&gt;"",L797,F797),0)))</f>
        <v/>
      </c>
      <c r="R797" s="39">
        <f>IF(A797="","",IF(M797&lt;&gt;"",M797,G797))</f>
        <v/>
      </c>
      <c r="S797" s="39">
        <f>IF(A797="","",IF(N797&lt;&gt;"",N797,H797))</f>
        <v/>
      </c>
      <c r="T797" s="39">
        <f>IF(A797="","",IF(C797="✗","Skipped",IF(Q797&gt;0,"Paid","Upcoming")))</f>
        <v/>
      </c>
      <c r="U797" s="42">
        <f>IF(A797="",0,IF(C797="✗",0,IF(L797&lt;&gt;"",L797,F797)))</f>
        <v/>
      </c>
    </row>
    <row r="798">
      <c r="A798" s="32">
        <f>IFERROR(SMALL(Calc!$B$2:$BB$61,793),"")</f>
        <v/>
      </c>
      <c r="B798" s="32">
        <f>IF(A798="","",ROUND(MOD(A798,1)*1000,0))</f>
        <v/>
      </c>
      <c r="C798" s="33" t="n"/>
      <c r="D798" s="34">
        <f>IF(A798="","",INT(A798))</f>
        <v/>
      </c>
      <c r="E798" s="35">
        <f>IF(B798="","",INDEX(Setup!$D$25:$D$84,B798))</f>
        <v/>
      </c>
      <c r="F798" s="36">
        <f>IF(B798="","",INDEX(Setup!$E$25:$E$84,B798))</f>
        <v/>
      </c>
      <c r="G798" s="32">
        <f>IF(B798="","",INDEX(Setup!$I$25:$I$84,B798)&amp;"")</f>
        <v/>
      </c>
      <c r="H798" s="32">
        <f>IF(B798="","",INDEX(Setup!$J$25:$J$84,B798)&amp;"")</f>
        <v/>
      </c>
      <c r="I798" s="32">
        <f>IF(B798="","",INDEX(Setup!$C$25:$C$84,B798))</f>
        <v/>
      </c>
      <c r="J798" s="32" t="n"/>
      <c r="K798" s="37" t="n"/>
      <c r="L798" s="38" t="n"/>
      <c r="M798" s="33" t="n"/>
      <c r="N798" s="33" t="n"/>
      <c r="O798" s="32" t="n"/>
      <c r="P798" s="34">
        <f>IF(A798="","",IF(K798&lt;&gt;"",K798,D798))</f>
        <v/>
      </c>
      <c r="Q798" s="36">
        <f>IF(A798="",0,IF(C798="✗",0,IF(OR(C798="✓",AND(Setup!$D$7="Yes",P798&lt;=TODAY())),IF(L798&lt;&gt;"",L798,F798),0)))</f>
        <v/>
      </c>
      <c r="R798" s="32">
        <f>IF(A798="","",IF(M798&lt;&gt;"",M798,G798))</f>
        <v/>
      </c>
      <c r="S798" s="32">
        <f>IF(A798="","",IF(N798&lt;&gt;"",N798,H798))</f>
        <v/>
      </c>
      <c r="T798" s="32">
        <f>IF(A798="","",IF(C798="✗","Skipped",IF(Q798&gt;0,"Paid","Upcoming")))</f>
        <v/>
      </c>
      <c r="U798" s="36">
        <f>IF(A798="",0,IF(C798="✗",0,IF(L798&lt;&gt;"",L798,F798)))</f>
        <v/>
      </c>
    </row>
    <row r="799">
      <c r="A799" s="39">
        <f>IFERROR(SMALL(Calc!$B$2:$BB$61,794),"")</f>
        <v/>
      </c>
      <c r="B799" s="39">
        <f>IF(A799="","",ROUND(MOD(A799,1)*1000,0))</f>
        <v/>
      </c>
      <c r="C799" s="33" t="n"/>
      <c r="D799" s="40">
        <f>IF(A799="","",INT(A799))</f>
        <v/>
      </c>
      <c r="E799" s="41">
        <f>IF(B799="","",INDEX(Setup!$D$25:$D$84,B799))</f>
        <v/>
      </c>
      <c r="F799" s="42">
        <f>IF(B799="","",INDEX(Setup!$E$25:$E$84,B799))</f>
        <v/>
      </c>
      <c r="G799" s="39">
        <f>IF(B799="","",INDEX(Setup!$I$25:$I$84,B799)&amp;"")</f>
        <v/>
      </c>
      <c r="H799" s="39">
        <f>IF(B799="","",INDEX(Setup!$J$25:$J$84,B799)&amp;"")</f>
        <v/>
      </c>
      <c r="I799" s="39">
        <f>IF(B799="","",INDEX(Setup!$C$25:$C$84,B799))</f>
        <v/>
      </c>
      <c r="J799" s="39" t="n"/>
      <c r="K799" s="37" t="n"/>
      <c r="L799" s="38" t="n"/>
      <c r="M799" s="33" t="n"/>
      <c r="N799" s="33" t="n"/>
      <c r="O799" s="39" t="n"/>
      <c r="P799" s="40">
        <f>IF(A799="","",IF(K799&lt;&gt;"",K799,D799))</f>
        <v/>
      </c>
      <c r="Q799" s="42">
        <f>IF(A799="",0,IF(C799="✗",0,IF(OR(C799="✓",AND(Setup!$D$7="Yes",P799&lt;=TODAY())),IF(L799&lt;&gt;"",L799,F799),0)))</f>
        <v/>
      </c>
      <c r="R799" s="39">
        <f>IF(A799="","",IF(M799&lt;&gt;"",M799,G799))</f>
        <v/>
      </c>
      <c r="S799" s="39">
        <f>IF(A799="","",IF(N799&lt;&gt;"",N799,H799))</f>
        <v/>
      </c>
      <c r="T799" s="39">
        <f>IF(A799="","",IF(C799="✗","Skipped",IF(Q799&gt;0,"Paid","Upcoming")))</f>
        <v/>
      </c>
      <c r="U799" s="42">
        <f>IF(A799="",0,IF(C799="✗",0,IF(L799&lt;&gt;"",L799,F799)))</f>
        <v/>
      </c>
    </row>
    <row r="800">
      <c r="A800" s="32">
        <f>IFERROR(SMALL(Calc!$B$2:$BB$61,795),"")</f>
        <v/>
      </c>
      <c r="B800" s="32">
        <f>IF(A800="","",ROUND(MOD(A800,1)*1000,0))</f>
        <v/>
      </c>
      <c r="C800" s="33" t="n"/>
      <c r="D800" s="34">
        <f>IF(A800="","",INT(A800))</f>
        <v/>
      </c>
      <c r="E800" s="35">
        <f>IF(B800="","",INDEX(Setup!$D$25:$D$84,B800))</f>
        <v/>
      </c>
      <c r="F800" s="36">
        <f>IF(B800="","",INDEX(Setup!$E$25:$E$84,B800))</f>
        <v/>
      </c>
      <c r="G800" s="32">
        <f>IF(B800="","",INDEX(Setup!$I$25:$I$84,B800)&amp;"")</f>
        <v/>
      </c>
      <c r="H800" s="32">
        <f>IF(B800="","",INDEX(Setup!$J$25:$J$84,B800)&amp;"")</f>
        <v/>
      </c>
      <c r="I800" s="32">
        <f>IF(B800="","",INDEX(Setup!$C$25:$C$84,B800))</f>
        <v/>
      </c>
      <c r="J800" s="32" t="n"/>
      <c r="K800" s="37" t="n"/>
      <c r="L800" s="38" t="n"/>
      <c r="M800" s="33" t="n"/>
      <c r="N800" s="33" t="n"/>
      <c r="O800" s="32" t="n"/>
      <c r="P800" s="34">
        <f>IF(A800="","",IF(K800&lt;&gt;"",K800,D800))</f>
        <v/>
      </c>
      <c r="Q800" s="36">
        <f>IF(A800="",0,IF(C800="✗",0,IF(OR(C800="✓",AND(Setup!$D$7="Yes",P800&lt;=TODAY())),IF(L800&lt;&gt;"",L800,F800),0)))</f>
        <v/>
      </c>
      <c r="R800" s="32">
        <f>IF(A800="","",IF(M800&lt;&gt;"",M800,G800))</f>
        <v/>
      </c>
      <c r="S800" s="32">
        <f>IF(A800="","",IF(N800&lt;&gt;"",N800,H800))</f>
        <v/>
      </c>
      <c r="T800" s="32">
        <f>IF(A800="","",IF(C800="✗","Skipped",IF(Q800&gt;0,"Paid","Upcoming")))</f>
        <v/>
      </c>
      <c r="U800" s="36">
        <f>IF(A800="",0,IF(C800="✗",0,IF(L800&lt;&gt;"",L800,F800)))</f>
        <v/>
      </c>
    </row>
    <row r="801">
      <c r="A801" s="39">
        <f>IFERROR(SMALL(Calc!$B$2:$BB$61,796),"")</f>
        <v/>
      </c>
      <c r="B801" s="39">
        <f>IF(A801="","",ROUND(MOD(A801,1)*1000,0))</f>
        <v/>
      </c>
      <c r="C801" s="33" t="n"/>
      <c r="D801" s="40">
        <f>IF(A801="","",INT(A801))</f>
        <v/>
      </c>
      <c r="E801" s="41">
        <f>IF(B801="","",INDEX(Setup!$D$25:$D$84,B801))</f>
        <v/>
      </c>
      <c r="F801" s="42">
        <f>IF(B801="","",INDEX(Setup!$E$25:$E$84,B801))</f>
        <v/>
      </c>
      <c r="G801" s="39">
        <f>IF(B801="","",INDEX(Setup!$I$25:$I$84,B801)&amp;"")</f>
        <v/>
      </c>
      <c r="H801" s="39">
        <f>IF(B801="","",INDEX(Setup!$J$25:$J$84,B801)&amp;"")</f>
        <v/>
      </c>
      <c r="I801" s="39">
        <f>IF(B801="","",INDEX(Setup!$C$25:$C$84,B801))</f>
        <v/>
      </c>
      <c r="J801" s="39" t="n"/>
      <c r="K801" s="37" t="n"/>
      <c r="L801" s="38" t="n"/>
      <c r="M801" s="33" t="n"/>
      <c r="N801" s="33" t="n"/>
      <c r="O801" s="39" t="n"/>
      <c r="P801" s="40">
        <f>IF(A801="","",IF(K801&lt;&gt;"",K801,D801))</f>
        <v/>
      </c>
      <c r="Q801" s="42">
        <f>IF(A801="",0,IF(C801="✗",0,IF(OR(C801="✓",AND(Setup!$D$7="Yes",P801&lt;=TODAY())),IF(L801&lt;&gt;"",L801,F801),0)))</f>
        <v/>
      </c>
      <c r="R801" s="39">
        <f>IF(A801="","",IF(M801&lt;&gt;"",M801,G801))</f>
        <v/>
      </c>
      <c r="S801" s="39">
        <f>IF(A801="","",IF(N801&lt;&gt;"",N801,H801))</f>
        <v/>
      </c>
      <c r="T801" s="39">
        <f>IF(A801="","",IF(C801="✗","Skipped",IF(Q801&gt;0,"Paid","Upcoming")))</f>
        <v/>
      </c>
      <c r="U801" s="42">
        <f>IF(A801="",0,IF(C801="✗",0,IF(L801&lt;&gt;"",L801,F801)))</f>
        <v/>
      </c>
    </row>
    <row r="802">
      <c r="A802" s="32">
        <f>IFERROR(SMALL(Calc!$B$2:$BB$61,797),"")</f>
        <v/>
      </c>
      <c r="B802" s="32">
        <f>IF(A802="","",ROUND(MOD(A802,1)*1000,0))</f>
        <v/>
      </c>
      <c r="C802" s="33" t="n"/>
      <c r="D802" s="34">
        <f>IF(A802="","",INT(A802))</f>
        <v/>
      </c>
      <c r="E802" s="35">
        <f>IF(B802="","",INDEX(Setup!$D$25:$D$84,B802))</f>
        <v/>
      </c>
      <c r="F802" s="36">
        <f>IF(B802="","",INDEX(Setup!$E$25:$E$84,B802))</f>
        <v/>
      </c>
      <c r="G802" s="32">
        <f>IF(B802="","",INDEX(Setup!$I$25:$I$84,B802)&amp;"")</f>
        <v/>
      </c>
      <c r="H802" s="32">
        <f>IF(B802="","",INDEX(Setup!$J$25:$J$84,B802)&amp;"")</f>
        <v/>
      </c>
      <c r="I802" s="32">
        <f>IF(B802="","",INDEX(Setup!$C$25:$C$84,B802))</f>
        <v/>
      </c>
      <c r="J802" s="32" t="n"/>
      <c r="K802" s="37" t="n"/>
      <c r="L802" s="38" t="n"/>
      <c r="M802" s="33" t="n"/>
      <c r="N802" s="33" t="n"/>
      <c r="O802" s="32" t="n"/>
      <c r="P802" s="34">
        <f>IF(A802="","",IF(K802&lt;&gt;"",K802,D802))</f>
        <v/>
      </c>
      <c r="Q802" s="36">
        <f>IF(A802="",0,IF(C802="✗",0,IF(OR(C802="✓",AND(Setup!$D$7="Yes",P802&lt;=TODAY())),IF(L802&lt;&gt;"",L802,F802),0)))</f>
        <v/>
      </c>
      <c r="R802" s="32">
        <f>IF(A802="","",IF(M802&lt;&gt;"",M802,G802))</f>
        <v/>
      </c>
      <c r="S802" s="32">
        <f>IF(A802="","",IF(N802&lt;&gt;"",N802,H802))</f>
        <v/>
      </c>
      <c r="T802" s="32">
        <f>IF(A802="","",IF(C802="✗","Skipped",IF(Q802&gt;0,"Paid","Upcoming")))</f>
        <v/>
      </c>
      <c r="U802" s="36">
        <f>IF(A802="",0,IF(C802="✗",0,IF(L802&lt;&gt;"",L802,F802)))</f>
        <v/>
      </c>
    </row>
    <row r="803">
      <c r="A803" s="39">
        <f>IFERROR(SMALL(Calc!$B$2:$BB$61,798),"")</f>
        <v/>
      </c>
      <c r="B803" s="39">
        <f>IF(A803="","",ROUND(MOD(A803,1)*1000,0))</f>
        <v/>
      </c>
      <c r="C803" s="33" t="n"/>
      <c r="D803" s="40">
        <f>IF(A803="","",INT(A803))</f>
        <v/>
      </c>
      <c r="E803" s="41">
        <f>IF(B803="","",INDEX(Setup!$D$25:$D$84,B803))</f>
        <v/>
      </c>
      <c r="F803" s="42">
        <f>IF(B803="","",INDEX(Setup!$E$25:$E$84,B803))</f>
        <v/>
      </c>
      <c r="G803" s="39">
        <f>IF(B803="","",INDEX(Setup!$I$25:$I$84,B803)&amp;"")</f>
        <v/>
      </c>
      <c r="H803" s="39">
        <f>IF(B803="","",INDEX(Setup!$J$25:$J$84,B803)&amp;"")</f>
        <v/>
      </c>
      <c r="I803" s="39">
        <f>IF(B803="","",INDEX(Setup!$C$25:$C$84,B803))</f>
        <v/>
      </c>
      <c r="J803" s="39" t="n"/>
      <c r="K803" s="37" t="n"/>
      <c r="L803" s="38" t="n"/>
      <c r="M803" s="33" t="n"/>
      <c r="N803" s="33" t="n"/>
      <c r="O803" s="39" t="n"/>
      <c r="P803" s="40">
        <f>IF(A803="","",IF(K803&lt;&gt;"",K803,D803))</f>
        <v/>
      </c>
      <c r="Q803" s="42">
        <f>IF(A803="",0,IF(C803="✗",0,IF(OR(C803="✓",AND(Setup!$D$7="Yes",P803&lt;=TODAY())),IF(L803&lt;&gt;"",L803,F803),0)))</f>
        <v/>
      </c>
      <c r="R803" s="39">
        <f>IF(A803="","",IF(M803&lt;&gt;"",M803,G803))</f>
        <v/>
      </c>
      <c r="S803" s="39">
        <f>IF(A803="","",IF(N803&lt;&gt;"",N803,H803))</f>
        <v/>
      </c>
      <c r="T803" s="39">
        <f>IF(A803="","",IF(C803="✗","Skipped",IF(Q803&gt;0,"Paid","Upcoming")))</f>
        <v/>
      </c>
      <c r="U803" s="42">
        <f>IF(A803="",0,IF(C803="✗",0,IF(L803&lt;&gt;"",L803,F803)))</f>
        <v/>
      </c>
    </row>
    <row r="804">
      <c r="A804" s="32">
        <f>IFERROR(SMALL(Calc!$B$2:$BB$61,799),"")</f>
        <v/>
      </c>
      <c r="B804" s="32">
        <f>IF(A804="","",ROUND(MOD(A804,1)*1000,0))</f>
        <v/>
      </c>
      <c r="C804" s="33" t="n"/>
      <c r="D804" s="34">
        <f>IF(A804="","",INT(A804))</f>
        <v/>
      </c>
      <c r="E804" s="35">
        <f>IF(B804="","",INDEX(Setup!$D$25:$D$84,B804))</f>
        <v/>
      </c>
      <c r="F804" s="36">
        <f>IF(B804="","",INDEX(Setup!$E$25:$E$84,B804))</f>
        <v/>
      </c>
      <c r="G804" s="32">
        <f>IF(B804="","",INDEX(Setup!$I$25:$I$84,B804)&amp;"")</f>
        <v/>
      </c>
      <c r="H804" s="32">
        <f>IF(B804="","",INDEX(Setup!$J$25:$J$84,B804)&amp;"")</f>
        <v/>
      </c>
      <c r="I804" s="32">
        <f>IF(B804="","",INDEX(Setup!$C$25:$C$84,B804))</f>
        <v/>
      </c>
      <c r="J804" s="32" t="n"/>
      <c r="K804" s="37" t="n"/>
      <c r="L804" s="38" t="n"/>
      <c r="M804" s="33" t="n"/>
      <c r="N804" s="33" t="n"/>
      <c r="O804" s="32" t="n"/>
      <c r="P804" s="34">
        <f>IF(A804="","",IF(K804&lt;&gt;"",K804,D804))</f>
        <v/>
      </c>
      <c r="Q804" s="36">
        <f>IF(A804="",0,IF(C804="✗",0,IF(OR(C804="✓",AND(Setup!$D$7="Yes",P804&lt;=TODAY())),IF(L804&lt;&gt;"",L804,F804),0)))</f>
        <v/>
      </c>
      <c r="R804" s="32">
        <f>IF(A804="","",IF(M804&lt;&gt;"",M804,G804))</f>
        <v/>
      </c>
      <c r="S804" s="32">
        <f>IF(A804="","",IF(N804&lt;&gt;"",N804,H804))</f>
        <v/>
      </c>
      <c r="T804" s="32">
        <f>IF(A804="","",IF(C804="✗","Skipped",IF(Q804&gt;0,"Paid","Upcoming")))</f>
        <v/>
      </c>
      <c r="U804" s="36">
        <f>IF(A804="",0,IF(C804="✗",0,IF(L804&lt;&gt;"",L804,F804)))</f>
        <v/>
      </c>
    </row>
    <row r="805">
      <c r="A805" s="39">
        <f>IFERROR(SMALL(Calc!$B$2:$BB$61,800),"")</f>
        <v/>
      </c>
      <c r="B805" s="39">
        <f>IF(A805="","",ROUND(MOD(A805,1)*1000,0))</f>
        <v/>
      </c>
      <c r="C805" s="33" t="n"/>
      <c r="D805" s="40">
        <f>IF(A805="","",INT(A805))</f>
        <v/>
      </c>
      <c r="E805" s="41">
        <f>IF(B805="","",INDEX(Setup!$D$25:$D$84,B805))</f>
        <v/>
      </c>
      <c r="F805" s="42">
        <f>IF(B805="","",INDEX(Setup!$E$25:$E$84,B805))</f>
        <v/>
      </c>
      <c r="G805" s="39">
        <f>IF(B805="","",INDEX(Setup!$I$25:$I$84,B805)&amp;"")</f>
        <v/>
      </c>
      <c r="H805" s="39">
        <f>IF(B805="","",INDEX(Setup!$J$25:$J$84,B805)&amp;"")</f>
        <v/>
      </c>
      <c r="I805" s="39">
        <f>IF(B805="","",INDEX(Setup!$C$25:$C$84,B805))</f>
        <v/>
      </c>
      <c r="J805" s="39" t="n"/>
      <c r="K805" s="37" t="n"/>
      <c r="L805" s="38" t="n"/>
      <c r="M805" s="33" t="n"/>
      <c r="N805" s="33" t="n"/>
      <c r="O805" s="39" t="n"/>
      <c r="P805" s="40">
        <f>IF(A805="","",IF(K805&lt;&gt;"",K805,D805))</f>
        <v/>
      </c>
      <c r="Q805" s="42">
        <f>IF(A805="",0,IF(C805="✗",0,IF(OR(C805="✓",AND(Setup!$D$7="Yes",P805&lt;=TODAY())),IF(L805&lt;&gt;"",L805,F805),0)))</f>
        <v/>
      </c>
      <c r="R805" s="39">
        <f>IF(A805="","",IF(M805&lt;&gt;"",M805,G805))</f>
        <v/>
      </c>
      <c r="S805" s="39">
        <f>IF(A805="","",IF(N805&lt;&gt;"",N805,H805))</f>
        <v/>
      </c>
      <c r="T805" s="39">
        <f>IF(A805="","",IF(C805="✗","Skipped",IF(Q805&gt;0,"Paid","Upcoming")))</f>
        <v/>
      </c>
      <c r="U805" s="42">
        <f>IF(A805="",0,IF(C805="✗",0,IF(L805&lt;&gt;"",L805,F805)))</f>
        <v/>
      </c>
    </row>
    <row r="806">
      <c r="A806" s="32">
        <f>IFERROR(SMALL(Calc!$B$2:$BB$61,801),"")</f>
        <v/>
      </c>
      <c r="B806" s="32">
        <f>IF(A806="","",ROUND(MOD(A806,1)*1000,0))</f>
        <v/>
      </c>
      <c r="C806" s="33" t="n"/>
      <c r="D806" s="34">
        <f>IF(A806="","",INT(A806))</f>
        <v/>
      </c>
      <c r="E806" s="35">
        <f>IF(B806="","",INDEX(Setup!$D$25:$D$84,B806))</f>
        <v/>
      </c>
      <c r="F806" s="36">
        <f>IF(B806="","",INDEX(Setup!$E$25:$E$84,B806))</f>
        <v/>
      </c>
      <c r="G806" s="32">
        <f>IF(B806="","",INDEX(Setup!$I$25:$I$84,B806)&amp;"")</f>
        <v/>
      </c>
      <c r="H806" s="32">
        <f>IF(B806="","",INDEX(Setup!$J$25:$J$84,B806)&amp;"")</f>
        <v/>
      </c>
      <c r="I806" s="32">
        <f>IF(B806="","",INDEX(Setup!$C$25:$C$84,B806))</f>
        <v/>
      </c>
      <c r="J806" s="32" t="n"/>
      <c r="K806" s="37" t="n"/>
      <c r="L806" s="38" t="n"/>
      <c r="M806" s="33" t="n"/>
      <c r="N806" s="33" t="n"/>
      <c r="O806" s="32" t="n"/>
      <c r="P806" s="34">
        <f>IF(A806="","",IF(K806&lt;&gt;"",K806,D806))</f>
        <v/>
      </c>
      <c r="Q806" s="36">
        <f>IF(A806="",0,IF(C806="✗",0,IF(OR(C806="✓",AND(Setup!$D$7="Yes",P806&lt;=TODAY())),IF(L806&lt;&gt;"",L806,F806),0)))</f>
        <v/>
      </c>
      <c r="R806" s="32">
        <f>IF(A806="","",IF(M806&lt;&gt;"",M806,G806))</f>
        <v/>
      </c>
      <c r="S806" s="32">
        <f>IF(A806="","",IF(N806&lt;&gt;"",N806,H806))</f>
        <v/>
      </c>
      <c r="T806" s="32">
        <f>IF(A806="","",IF(C806="✗","Skipped",IF(Q806&gt;0,"Paid","Upcoming")))</f>
        <v/>
      </c>
      <c r="U806" s="36">
        <f>IF(A806="",0,IF(C806="✗",0,IF(L806&lt;&gt;"",L806,F806)))</f>
        <v/>
      </c>
    </row>
    <row r="807">
      <c r="A807" s="39">
        <f>IFERROR(SMALL(Calc!$B$2:$BB$61,802),"")</f>
        <v/>
      </c>
      <c r="B807" s="39">
        <f>IF(A807="","",ROUND(MOD(A807,1)*1000,0))</f>
        <v/>
      </c>
      <c r="C807" s="33" t="n"/>
      <c r="D807" s="40">
        <f>IF(A807="","",INT(A807))</f>
        <v/>
      </c>
      <c r="E807" s="41">
        <f>IF(B807="","",INDEX(Setup!$D$25:$D$84,B807))</f>
        <v/>
      </c>
      <c r="F807" s="42">
        <f>IF(B807="","",INDEX(Setup!$E$25:$E$84,B807))</f>
        <v/>
      </c>
      <c r="G807" s="39">
        <f>IF(B807="","",INDEX(Setup!$I$25:$I$84,B807)&amp;"")</f>
        <v/>
      </c>
      <c r="H807" s="39">
        <f>IF(B807="","",INDEX(Setup!$J$25:$J$84,B807)&amp;"")</f>
        <v/>
      </c>
      <c r="I807" s="39">
        <f>IF(B807="","",INDEX(Setup!$C$25:$C$84,B807))</f>
        <v/>
      </c>
      <c r="J807" s="39" t="n"/>
      <c r="K807" s="37" t="n"/>
      <c r="L807" s="38" t="n"/>
      <c r="M807" s="33" t="n"/>
      <c r="N807" s="33" t="n"/>
      <c r="O807" s="39" t="n"/>
      <c r="P807" s="40">
        <f>IF(A807="","",IF(K807&lt;&gt;"",K807,D807))</f>
        <v/>
      </c>
      <c r="Q807" s="42">
        <f>IF(A807="",0,IF(C807="✗",0,IF(OR(C807="✓",AND(Setup!$D$7="Yes",P807&lt;=TODAY())),IF(L807&lt;&gt;"",L807,F807),0)))</f>
        <v/>
      </c>
      <c r="R807" s="39">
        <f>IF(A807="","",IF(M807&lt;&gt;"",M807,G807))</f>
        <v/>
      </c>
      <c r="S807" s="39">
        <f>IF(A807="","",IF(N807&lt;&gt;"",N807,H807))</f>
        <v/>
      </c>
      <c r="T807" s="39">
        <f>IF(A807="","",IF(C807="✗","Skipped",IF(Q807&gt;0,"Paid","Upcoming")))</f>
        <v/>
      </c>
      <c r="U807" s="42">
        <f>IF(A807="",0,IF(C807="✗",0,IF(L807&lt;&gt;"",L807,F807)))</f>
        <v/>
      </c>
    </row>
    <row r="808">
      <c r="A808" s="32">
        <f>IFERROR(SMALL(Calc!$B$2:$BB$61,803),"")</f>
        <v/>
      </c>
      <c r="B808" s="32">
        <f>IF(A808="","",ROUND(MOD(A808,1)*1000,0))</f>
        <v/>
      </c>
      <c r="C808" s="33" t="n"/>
      <c r="D808" s="34">
        <f>IF(A808="","",INT(A808))</f>
        <v/>
      </c>
      <c r="E808" s="35">
        <f>IF(B808="","",INDEX(Setup!$D$25:$D$84,B808))</f>
        <v/>
      </c>
      <c r="F808" s="36">
        <f>IF(B808="","",INDEX(Setup!$E$25:$E$84,B808))</f>
        <v/>
      </c>
      <c r="G808" s="32">
        <f>IF(B808="","",INDEX(Setup!$I$25:$I$84,B808)&amp;"")</f>
        <v/>
      </c>
      <c r="H808" s="32">
        <f>IF(B808="","",INDEX(Setup!$J$25:$J$84,B808)&amp;"")</f>
        <v/>
      </c>
      <c r="I808" s="32">
        <f>IF(B808="","",INDEX(Setup!$C$25:$C$84,B808))</f>
        <v/>
      </c>
      <c r="J808" s="32" t="n"/>
      <c r="K808" s="37" t="n"/>
      <c r="L808" s="38" t="n"/>
      <c r="M808" s="33" t="n"/>
      <c r="N808" s="33" t="n"/>
      <c r="O808" s="32" t="n"/>
      <c r="P808" s="34">
        <f>IF(A808="","",IF(K808&lt;&gt;"",K808,D808))</f>
        <v/>
      </c>
      <c r="Q808" s="36">
        <f>IF(A808="",0,IF(C808="✗",0,IF(OR(C808="✓",AND(Setup!$D$7="Yes",P808&lt;=TODAY())),IF(L808&lt;&gt;"",L808,F808),0)))</f>
        <v/>
      </c>
      <c r="R808" s="32">
        <f>IF(A808="","",IF(M808&lt;&gt;"",M808,G808))</f>
        <v/>
      </c>
      <c r="S808" s="32">
        <f>IF(A808="","",IF(N808&lt;&gt;"",N808,H808))</f>
        <v/>
      </c>
      <c r="T808" s="32">
        <f>IF(A808="","",IF(C808="✗","Skipped",IF(Q808&gt;0,"Paid","Upcoming")))</f>
        <v/>
      </c>
      <c r="U808" s="36">
        <f>IF(A808="",0,IF(C808="✗",0,IF(L808&lt;&gt;"",L808,F808)))</f>
        <v/>
      </c>
    </row>
    <row r="809">
      <c r="A809" s="39">
        <f>IFERROR(SMALL(Calc!$B$2:$BB$61,804),"")</f>
        <v/>
      </c>
      <c r="B809" s="39">
        <f>IF(A809="","",ROUND(MOD(A809,1)*1000,0))</f>
        <v/>
      </c>
      <c r="C809" s="33" t="n"/>
      <c r="D809" s="40">
        <f>IF(A809="","",INT(A809))</f>
        <v/>
      </c>
      <c r="E809" s="41">
        <f>IF(B809="","",INDEX(Setup!$D$25:$D$84,B809))</f>
        <v/>
      </c>
      <c r="F809" s="42">
        <f>IF(B809="","",INDEX(Setup!$E$25:$E$84,B809))</f>
        <v/>
      </c>
      <c r="G809" s="39">
        <f>IF(B809="","",INDEX(Setup!$I$25:$I$84,B809)&amp;"")</f>
        <v/>
      </c>
      <c r="H809" s="39">
        <f>IF(B809="","",INDEX(Setup!$J$25:$J$84,B809)&amp;"")</f>
        <v/>
      </c>
      <c r="I809" s="39">
        <f>IF(B809="","",INDEX(Setup!$C$25:$C$84,B809))</f>
        <v/>
      </c>
      <c r="J809" s="39" t="n"/>
      <c r="K809" s="37" t="n"/>
      <c r="L809" s="38" t="n"/>
      <c r="M809" s="33" t="n"/>
      <c r="N809" s="33" t="n"/>
      <c r="O809" s="39" t="n"/>
      <c r="P809" s="40">
        <f>IF(A809="","",IF(K809&lt;&gt;"",K809,D809))</f>
        <v/>
      </c>
      <c r="Q809" s="42">
        <f>IF(A809="",0,IF(C809="✗",0,IF(OR(C809="✓",AND(Setup!$D$7="Yes",P809&lt;=TODAY())),IF(L809&lt;&gt;"",L809,F809),0)))</f>
        <v/>
      </c>
      <c r="R809" s="39">
        <f>IF(A809="","",IF(M809&lt;&gt;"",M809,G809))</f>
        <v/>
      </c>
      <c r="S809" s="39">
        <f>IF(A809="","",IF(N809&lt;&gt;"",N809,H809))</f>
        <v/>
      </c>
      <c r="T809" s="39">
        <f>IF(A809="","",IF(C809="✗","Skipped",IF(Q809&gt;0,"Paid","Upcoming")))</f>
        <v/>
      </c>
      <c r="U809" s="42">
        <f>IF(A809="",0,IF(C809="✗",0,IF(L809&lt;&gt;"",L809,F809)))</f>
        <v/>
      </c>
    </row>
    <row r="810">
      <c r="A810" s="32">
        <f>IFERROR(SMALL(Calc!$B$2:$BB$61,805),"")</f>
        <v/>
      </c>
      <c r="B810" s="32">
        <f>IF(A810="","",ROUND(MOD(A810,1)*1000,0))</f>
        <v/>
      </c>
      <c r="C810" s="33" t="n"/>
      <c r="D810" s="34">
        <f>IF(A810="","",INT(A810))</f>
        <v/>
      </c>
      <c r="E810" s="35">
        <f>IF(B810="","",INDEX(Setup!$D$25:$D$84,B810))</f>
        <v/>
      </c>
      <c r="F810" s="36">
        <f>IF(B810="","",INDEX(Setup!$E$25:$E$84,B810))</f>
        <v/>
      </c>
      <c r="G810" s="32">
        <f>IF(B810="","",INDEX(Setup!$I$25:$I$84,B810)&amp;"")</f>
        <v/>
      </c>
      <c r="H810" s="32">
        <f>IF(B810="","",INDEX(Setup!$J$25:$J$84,B810)&amp;"")</f>
        <v/>
      </c>
      <c r="I810" s="32">
        <f>IF(B810="","",INDEX(Setup!$C$25:$C$84,B810))</f>
        <v/>
      </c>
      <c r="J810" s="32" t="n"/>
      <c r="K810" s="37" t="n"/>
      <c r="L810" s="38" t="n"/>
      <c r="M810" s="33" t="n"/>
      <c r="N810" s="33" t="n"/>
      <c r="O810" s="32" t="n"/>
      <c r="P810" s="34">
        <f>IF(A810="","",IF(K810&lt;&gt;"",K810,D810))</f>
        <v/>
      </c>
      <c r="Q810" s="36">
        <f>IF(A810="",0,IF(C810="✗",0,IF(OR(C810="✓",AND(Setup!$D$7="Yes",P810&lt;=TODAY())),IF(L810&lt;&gt;"",L810,F810),0)))</f>
        <v/>
      </c>
      <c r="R810" s="32">
        <f>IF(A810="","",IF(M810&lt;&gt;"",M810,G810))</f>
        <v/>
      </c>
      <c r="S810" s="32">
        <f>IF(A810="","",IF(N810&lt;&gt;"",N810,H810))</f>
        <v/>
      </c>
      <c r="T810" s="32">
        <f>IF(A810="","",IF(C810="✗","Skipped",IF(Q810&gt;0,"Paid","Upcoming")))</f>
        <v/>
      </c>
      <c r="U810" s="36">
        <f>IF(A810="",0,IF(C810="✗",0,IF(L810&lt;&gt;"",L810,F810)))</f>
        <v/>
      </c>
    </row>
    <row r="811">
      <c r="A811" s="39">
        <f>IFERROR(SMALL(Calc!$B$2:$BB$61,806),"")</f>
        <v/>
      </c>
      <c r="B811" s="39">
        <f>IF(A811="","",ROUND(MOD(A811,1)*1000,0))</f>
        <v/>
      </c>
      <c r="C811" s="33" t="n"/>
      <c r="D811" s="40">
        <f>IF(A811="","",INT(A811))</f>
        <v/>
      </c>
      <c r="E811" s="41">
        <f>IF(B811="","",INDEX(Setup!$D$25:$D$84,B811))</f>
        <v/>
      </c>
      <c r="F811" s="42">
        <f>IF(B811="","",INDEX(Setup!$E$25:$E$84,B811))</f>
        <v/>
      </c>
      <c r="G811" s="39">
        <f>IF(B811="","",INDEX(Setup!$I$25:$I$84,B811)&amp;"")</f>
        <v/>
      </c>
      <c r="H811" s="39">
        <f>IF(B811="","",INDEX(Setup!$J$25:$J$84,B811)&amp;"")</f>
        <v/>
      </c>
      <c r="I811" s="39">
        <f>IF(B811="","",INDEX(Setup!$C$25:$C$84,B811))</f>
        <v/>
      </c>
      <c r="J811" s="39" t="n"/>
      <c r="K811" s="37" t="n"/>
      <c r="L811" s="38" t="n"/>
      <c r="M811" s="33" t="n"/>
      <c r="N811" s="33" t="n"/>
      <c r="O811" s="39" t="n"/>
      <c r="P811" s="40">
        <f>IF(A811="","",IF(K811&lt;&gt;"",K811,D811))</f>
        <v/>
      </c>
      <c r="Q811" s="42">
        <f>IF(A811="",0,IF(C811="✗",0,IF(OR(C811="✓",AND(Setup!$D$7="Yes",P811&lt;=TODAY())),IF(L811&lt;&gt;"",L811,F811),0)))</f>
        <v/>
      </c>
      <c r="R811" s="39">
        <f>IF(A811="","",IF(M811&lt;&gt;"",M811,G811))</f>
        <v/>
      </c>
      <c r="S811" s="39">
        <f>IF(A811="","",IF(N811&lt;&gt;"",N811,H811))</f>
        <v/>
      </c>
      <c r="T811" s="39">
        <f>IF(A811="","",IF(C811="✗","Skipped",IF(Q811&gt;0,"Paid","Upcoming")))</f>
        <v/>
      </c>
      <c r="U811" s="42">
        <f>IF(A811="",0,IF(C811="✗",0,IF(L811&lt;&gt;"",L811,F811)))</f>
        <v/>
      </c>
    </row>
    <row r="812">
      <c r="A812" s="32">
        <f>IFERROR(SMALL(Calc!$B$2:$BB$61,807),"")</f>
        <v/>
      </c>
      <c r="B812" s="32">
        <f>IF(A812="","",ROUND(MOD(A812,1)*1000,0))</f>
        <v/>
      </c>
      <c r="C812" s="33" t="n"/>
      <c r="D812" s="34">
        <f>IF(A812="","",INT(A812))</f>
        <v/>
      </c>
      <c r="E812" s="35">
        <f>IF(B812="","",INDEX(Setup!$D$25:$D$84,B812))</f>
        <v/>
      </c>
      <c r="F812" s="36">
        <f>IF(B812="","",INDEX(Setup!$E$25:$E$84,B812))</f>
        <v/>
      </c>
      <c r="G812" s="32">
        <f>IF(B812="","",INDEX(Setup!$I$25:$I$84,B812)&amp;"")</f>
        <v/>
      </c>
      <c r="H812" s="32">
        <f>IF(B812="","",INDEX(Setup!$J$25:$J$84,B812)&amp;"")</f>
        <v/>
      </c>
      <c r="I812" s="32">
        <f>IF(B812="","",INDEX(Setup!$C$25:$C$84,B812))</f>
        <v/>
      </c>
      <c r="J812" s="32" t="n"/>
      <c r="K812" s="37" t="n"/>
      <c r="L812" s="38" t="n"/>
      <c r="M812" s="33" t="n"/>
      <c r="N812" s="33" t="n"/>
      <c r="O812" s="32" t="n"/>
      <c r="P812" s="34">
        <f>IF(A812="","",IF(K812&lt;&gt;"",K812,D812))</f>
        <v/>
      </c>
      <c r="Q812" s="36">
        <f>IF(A812="",0,IF(C812="✗",0,IF(OR(C812="✓",AND(Setup!$D$7="Yes",P812&lt;=TODAY())),IF(L812&lt;&gt;"",L812,F812),0)))</f>
        <v/>
      </c>
      <c r="R812" s="32">
        <f>IF(A812="","",IF(M812&lt;&gt;"",M812,G812))</f>
        <v/>
      </c>
      <c r="S812" s="32">
        <f>IF(A812="","",IF(N812&lt;&gt;"",N812,H812))</f>
        <v/>
      </c>
      <c r="T812" s="32">
        <f>IF(A812="","",IF(C812="✗","Skipped",IF(Q812&gt;0,"Paid","Upcoming")))</f>
        <v/>
      </c>
      <c r="U812" s="36">
        <f>IF(A812="",0,IF(C812="✗",0,IF(L812&lt;&gt;"",L812,F812)))</f>
        <v/>
      </c>
    </row>
    <row r="813">
      <c r="A813" s="39">
        <f>IFERROR(SMALL(Calc!$B$2:$BB$61,808),"")</f>
        <v/>
      </c>
      <c r="B813" s="39">
        <f>IF(A813="","",ROUND(MOD(A813,1)*1000,0))</f>
        <v/>
      </c>
      <c r="C813" s="33" t="n"/>
      <c r="D813" s="40">
        <f>IF(A813="","",INT(A813))</f>
        <v/>
      </c>
      <c r="E813" s="41">
        <f>IF(B813="","",INDEX(Setup!$D$25:$D$84,B813))</f>
        <v/>
      </c>
      <c r="F813" s="42">
        <f>IF(B813="","",INDEX(Setup!$E$25:$E$84,B813))</f>
        <v/>
      </c>
      <c r="G813" s="39">
        <f>IF(B813="","",INDEX(Setup!$I$25:$I$84,B813)&amp;"")</f>
        <v/>
      </c>
      <c r="H813" s="39">
        <f>IF(B813="","",INDEX(Setup!$J$25:$J$84,B813)&amp;"")</f>
        <v/>
      </c>
      <c r="I813" s="39">
        <f>IF(B813="","",INDEX(Setup!$C$25:$C$84,B813))</f>
        <v/>
      </c>
      <c r="J813" s="39" t="n"/>
      <c r="K813" s="37" t="n"/>
      <c r="L813" s="38" t="n"/>
      <c r="M813" s="33" t="n"/>
      <c r="N813" s="33" t="n"/>
      <c r="O813" s="39" t="n"/>
      <c r="P813" s="40">
        <f>IF(A813="","",IF(K813&lt;&gt;"",K813,D813))</f>
        <v/>
      </c>
      <c r="Q813" s="42">
        <f>IF(A813="",0,IF(C813="✗",0,IF(OR(C813="✓",AND(Setup!$D$7="Yes",P813&lt;=TODAY())),IF(L813&lt;&gt;"",L813,F813),0)))</f>
        <v/>
      </c>
      <c r="R813" s="39">
        <f>IF(A813="","",IF(M813&lt;&gt;"",M813,G813))</f>
        <v/>
      </c>
      <c r="S813" s="39">
        <f>IF(A813="","",IF(N813&lt;&gt;"",N813,H813))</f>
        <v/>
      </c>
      <c r="T813" s="39">
        <f>IF(A813="","",IF(C813="✗","Skipped",IF(Q813&gt;0,"Paid","Upcoming")))</f>
        <v/>
      </c>
      <c r="U813" s="42">
        <f>IF(A813="",0,IF(C813="✗",0,IF(L813&lt;&gt;"",L813,F813)))</f>
        <v/>
      </c>
    </row>
    <row r="814">
      <c r="A814" s="32">
        <f>IFERROR(SMALL(Calc!$B$2:$BB$61,809),"")</f>
        <v/>
      </c>
      <c r="B814" s="32">
        <f>IF(A814="","",ROUND(MOD(A814,1)*1000,0))</f>
        <v/>
      </c>
      <c r="C814" s="33" t="n"/>
      <c r="D814" s="34">
        <f>IF(A814="","",INT(A814))</f>
        <v/>
      </c>
      <c r="E814" s="35">
        <f>IF(B814="","",INDEX(Setup!$D$25:$D$84,B814))</f>
        <v/>
      </c>
      <c r="F814" s="36">
        <f>IF(B814="","",INDEX(Setup!$E$25:$E$84,B814))</f>
        <v/>
      </c>
      <c r="G814" s="32">
        <f>IF(B814="","",INDEX(Setup!$I$25:$I$84,B814)&amp;"")</f>
        <v/>
      </c>
      <c r="H814" s="32">
        <f>IF(B814="","",INDEX(Setup!$J$25:$J$84,B814)&amp;"")</f>
        <v/>
      </c>
      <c r="I814" s="32">
        <f>IF(B814="","",INDEX(Setup!$C$25:$C$84,B814))</f>
        <v/>
      </c>
      <c r="J814" s="32" t="n"/>
      <c r="K814" s="37" t="n"/>
      <c r="L814" s="38" t="n"/>
      <c r="M814" s="33" t="n"/>
      <c r="N814" s="33" t="n"/>
      <c r="O814" s="32" t="n"/>
      <c r="P814" s="34">
        <f>IF(A814="","",IF(K814&lt;&gt;"",K814,D814))</f>
        <v/>
      </c>
      <c r="Q814" s="36">
        <f>IF(A814="",0,IF(C814="✗",0,IF(OR(C814="✓",AND(Setup!$D$7="Yes",P814&lt;=TODAY())),IF(L814&lt;&gt;"",L814,F814),0)))</f>
        <v/>
      </c>
      <c r="R814" s="32">
        <f>IF(A814="","",IF(M814&lt;&gt;"",M814,G814))</f>
        <v/>
      </c>
      <c r="S814" s="32">
        <f>IF(A814="","",IF(N814&lt;&gt;"",N814,H814))</f>
        <v/>
      </c>
      <c r="T814" s="32">
        <f>IF(A814="","",IF(C814="✗","Skipped",IF(Q814&gt;0,"Paid","Upcoming")))</f>
        <v/>
      </c>
      <c r="U814" s="36">
        <f>IF(A814="",0,IF(C814="✗",0,IF(L814&lt;&gt;"",L814,F814)))</f>
        <v/>
      </c>
    </row>
    <row r="815">
      <c r="A815" s="39">
        <f>IFERROR(SMALL(Calc!$B$2:$BB$61,810),"")</f>
        <v/>
      </c>
      <c r="B815" s="39">
        <f>IF(A815="","",ROUND(MOD(A815,1)*1000,0))</f>
        <v/>
      </c>
      <c r="C815" s="33" t="n"/>
      <c r="D815" s="40">
        <f>IF(A815="","",INT(A815))</f>
        <v/>
      </c>
      <c r="E815" s="41">
        <f>IF(B815="","",INDEX(Setup!$D$25:$D$84,B815))</f>
        <v/>
      </c>
      <c r="F815" s="42">
        <f>IF(B815="","",INDEX(Setup!$E$25:$E$84,B815))</f>
        <v/>
      </c>
      <c r="G815" s="39">
        <f>IF(B815="","",INDEX(Setup!$I$25:$I$84,B815)&amp;"")</f>
        <v/>
      </c>
      <c r="H815" s="39">
        <f>IF(B815="","",INDEX(Setup!$J$25:$J$84,B815)&amp;"")</f>
        <v/>
      </c>
      <c r="I815" s="39">
        <f>IF(B815="","",INDEX(Setup!$C$25:$C$84,B815))</f>
        <v/>
      </c>
      <c r="J815" s="39" t="n"/>
      <c r="K815" s="37" t="n"/>
      <c r="L815" s="38" t="n"/>
      <c r="M815" s="33" t="n"/>
      <c r="N815" s="33" t="n"/>
      <c r="O815" s="39" t="n"/>
      <c r="P815" s="40">
        <f>IF(A815="","",IF(K815&lt;&gt;"",K815,D815))</f>
        <v/>
      </c>
      <c r="Q815" s="42">
        <f>IF(A815="",0,IF(C815="✗",0,IF(OR(C815="✓",AND(Setup!$D$7="Yes",P815&lt;=TODAY())),IF(L815&lt;&gt;"",L815,F815),0)))</f>
        <v/>
      </c>
      <c r="R815" s="39">
        <f>IF(A815="","",IF(M815&lt;&gt;"",M815,G815))</f>
        <v/>
      </c>
      <c r="S815" s="39">
        <f>IF(A815="","",IF(N815&lt;&gt;"",N815,H815))</f>
        <v/>
      </c>
      <c r="T815" s="39">
        <f>IF(A815="","",IF(C815="✗","Skipped",IF(Q815&gt;0,"Paid","Upcoming")))</f>
        <v/>
      </c>
      <c r="U815" s="42">
        <f>IF(A815="",0,IF(C815="✗",0,IF(L815&lt;&gt;"",L815,F815)))</f>
        <v/>
      </c>
    </row>
    <row r="816">
      <c r="A816" s="32">
        <f>IFERROR(SMALL(Calc!$B$2:$BB$61,811),"")</f>
        <v/>
      </c>
      <c r="B816" s="32">
        <f>IF(A816="","",ROUND(MOD(A816,1)*1000,0))</f>
        <v/>
      </c>
      <c r="C816" s="33" t="n"/>
      <c r="D816" s="34">
        <f>IF(A816="","",INT(A816))</f>
        <v/>
      </c>
      <c r="E816" s="35">
        <f>IF(B816="","",INDEX(Setup!$D$25:$D$84,B816))</f>
        <v/>
      </c>
      <c r="F816" s="36">
        <f>IF(B816="","",INDEX(Setup!$E$25:$E$84,B816))</f>
        <v/>
      </c>
      <c r="G816" s="32">
        <f>IF(B816="","",INDEX(Setup!$I$25:$I$84,B816)&amp;"")</f>
        <v/>
      </c>
      <c r="H816" s="32">
        <f>IF(B816="","",INDEX(Setup!$J$25:$J$84,B816)&amp;"")</f>
        <v/>
      </c>
      <c r="I816" s="32">
        <f>IF(B816="","",INDEX(Setup!$C$25:$C$84,B816))</f>
        <v/>
      </c>
      <c r="J816" s="32" t="n"/>
      <c r="K816" s="37" t="n"/>
      <c r="L816" s="38" t="n"/>
      <c r="M816" s="33" t="n"/>
      <c r="N816" s="33" t="n"/>
      <c r="O816" s="32" t="n"/>
      <c r="P816" s="34">
        <f>IF(A816="","",IF(K816&lt;&gt;"",K816,D816))</f>
        <v/>
      </c>
      <c r="Q816" s="36">
        <f>IF(A816="",0,IF(C816="✗",0,IF(OR(C816="✓",AND(Setup!$D$7="Yes",P816&lt;=TODAY())),IF(L816&lt;&gt;"",L816,F816),0)))</f>
        <v/>
      </c>
      <c r="R816" s="32">
        <f>IF(A816="","",IF(M816&lt;&gt;"",M816,G816))</f>
        <v/>
      </c>
      <c r="S816" s="32">
        <f>IF(A816="","",IF(N816&lt;&gt;"",N816,H816))</f>
        <v/>
      </c>
      <c r="T816" s="32">
        <f>IF(A816="","",IF(C816="✗","Skipped",IF(Q816&gt;0,"Paid","Upcoming")))</f>
        <v/>
      </c>
      <c r="U816" s="36">
        <f>IF(A816="",0,IF(C816="✗",0,IF(L816&lt;&gt;"",L816,F816)))</f>
        <v/>
      </c>
    </row>
    <row r="817">
      <c r="A817" s="39">
        <f>IFERROR(SMALL(Calc!$B$2:$BB$61,812),"")</f>
        <v/>
      </c>
      <c r="B817" s="39">
        <f>IF(A817="","",ROUND(MOD(A817,1)*1000,0))</f>
        <v/>
      </c>
      <c r="C817" s="33" t="n"/>
      <c r="D817" s="40">
        <f>IF(A817="","",INT(A817))</f>
        <v/>
      </c>
      <c r="E817" s="41">
        <f>IF(B817="","",INDEX(Setup!$D$25:$D$84,B817))</f>
        <v/>
      </c>
      <c r="F817" s="42">
        <f>IF(B817="","",INDEX(Setup!$E$25:$E$84,B817))</f>
        <v/>
      </c>
      <c r="G817" s="39">
        <f>IF(B817="","",INDEX(Setup!$I$25:$I$84,B817)&amp;"")</f>
        <v/>
      </c>
      <c r="H817" s="39">
        <f>IF(B817="","",INDEX(Setup!$J$25:$J$84,B817)&amp;"")</f>
        <v/>
      </c>
      <c r="I817" s="39">
        <f>IF(B817="","",INDEX(Setup!$C$25:$C$84,B817))</f>
        <v/>
      </c>
      <c r="J817" s="39" t="n"/>
      <c r="K817" s="37" t="n"/>
      <c r="L817" s="38" t="n"/>
      <c r="M817" s="33" t="n"/>
      <c r="N817" s="33" t="n"/>
      <c r="O817" s="39" t="n"/>
      <c r="P817" s="40">
        <f>IF(A817="","",IF(K817&lt;&gt;"",K817,D817))</f>
        <v/>
      </c>
      <c r="Q817" s="42">
        <f>IF(A817="",0,IF(C817="✗",0,IF(OR(C817="✓",AND(Setup!$D$7="Yes",P817&lt;=TODAY())),IF(L817&lt;&gt;"",L817,F817),0)))</f>
        <v/>
      </c>
      <c r="R817" s="39">
        <f>IF(A817="","",IF(M817&lt;&gt;"",M817,G817))</f>
        <v/>
      </c>
      <c r="S817" s="39">
        <f>IF(A817="","",IF(N817&lt;&gt;"",N817,H817))</f>
        <v/>
      </c>
      <c r="T817" s="39">
        <f>IF(A817="","",IF(C817="✗","Skipped",IF(Q817&gt;0,"Paid","Upcoming")))</f>
        <v/>
      </c>
      <c r="U817" s="42">
        <f>IF(A817="",0,IF(C817="✗",0,IF(L817&lt;&gt;"",L817,F817)))</f>
        <v/>
      </c>
    </row>
    <row r="818">
      <c r="A818" s="32">
        <f>IFERROR(SMALL(Calc!$B$2:$BB$61,813),"")</f>
        <v/>
      </c>
      <c r="B818" s="32">
        <f>IF(A818="","",ROUND(MOD(A818,1)*1000,0))</f>
        <v/>
      </c>
      <c r="C818" s="33" t="n"/>
      <c r="D818" s="34">
        <f>IF(A818="","",INT(A818))</f>
        <v/>
      </c>
      <c r="E818" s="35">
        <f>IF(B818="","",INDEX(Setup!$D$25:$D$84,B818))</f>
        <v/>
      </c>
      <c r="F818" s="36">
        <f>IF(B818="","",INDEX(Setup!$E$25:$E$84,B818))</f>
        <v/>
      </c>
      <c r="G818" s="32">
        <f>IF(B818="","",INDEX(Setup!$I$25:$I$84,B818)&amp;"")</f>
        <v/>
      </c>
      <c r="H818" s="32">
        <f>IF(B818="","",INDEX(Setup!$J$25:$J$84,B818)&amp;"")</f>
        <v/>
      </c>
      <c r="I818" s="32">
        <f>IF(B818="","",INDEX(Setup!$C$25:$C$84,B818))</f>
        <v/>
      </c>
      <c r="J818" s="32" t="n"/>
      <c r="K818" s="37" t="n"/>
      <c r="L818" s="38" t="n"/>
      <c r="M818" s="33" t="n"/>
      <c r="N818" s="33" t="n"/>
      <c r="O818" s="32" t="n"/>
      <c r="P818" s="34">
        <f>IF(A818="","",IF(K818&lt;&gt;"",K818,D818))</f>
        <v/>
      </c>
      <c r="Q818" s="36">
        <f>IF(A818="",0,IF(C818="✗",0,IF(OR(C818="✓",AND(Setup!$D$7="Yes",P818&lt;=TODAY())),IF(L818&lt;&gt;"",L818,F818),0)))</f>
        <v/>
      </c>
      <c r="R818" s="32">
        <f>IF(A818="","",IF(M818&lt;&gt;"",M818,G818))</f>
        <v/>
      </c>
      <c r="S818" s="32">
        <f>IF(A818="","",IF(N818&lt;&gt;"",N818,H818))</f>
        <v/>
      </c>
      <c r="T818" s="32">
        <f>IF(A818="","",IF(C818="✗","Skipped",IF(Q818&gt;0,"Paid","Upcoming")))</f>
        <v/>
      </c>
      <c r="U818" s="36">
        <f>IF(A818="",0,IF(C818="✗",0,IF(L818&lt;&gt;"",L818,F818)))</f>
        <v/>
      </c>
    </row>
    <row r="819">
      <c r="A819" s="39">
        <f>IFERROR(SMALL(Calc!$B$2:$BB$61,814),"")</f>
        <v/>
      </c>
      <c r="B819" s="39">
        <f>IF(A819="","",ROUND(MOD(A819,1)*1000,0))</f>
        <v/>
      </c>
      <c r="C819" s="33" t="n"/>
      <c r="D819" s="40">
        <f>IF(A819="","",INT(A819))</f>
        <v/>
      </c>
      <c r="E819" s="41">
        <f>IF(B819="","",INDEX(Setup!$D$25:$D$84,B819))</f>
        <v/>
      </c>
      <c r="F819" s="42">
        <f>IF(B819="","",INDEX(Setup!$E$25:$E$84,B819))</f>
        <v/>
      </c>
      <c r="G819" s="39">
        <f>IF(B819="","",INDEX(Setup!$I$25:$I$84,B819)&amp;"")</f>
        <v/>
      </c>
      <c r="H819" s="39">
        <f>IF(B819="","",INDEX(Setup!$J$25:$J$84,B819)&amp;"")</f>
        <v/>
      </c>
      <c r="I819" s="39">
        <f>IF(B819="","",INDEX(Setup!$C$25:$C$84,B819))</f>
        <v/>
      </c>
      <c r="J819" s="39" t="n"/>
      <c r="K819" s="37" t="n"/>
      <c r="L819" s="38" t="n"/>
      <c r="M819" s="33" t="n"/>
      <c r="N819" s="33" t="n"/>
      <c r="O819" s="39" t="n"/>
      <c r="P819" s="40">
        <f>IF(A819="","",IF(K819&lt;&gt;"",K819,D819))</f>
        <v/>
      </c>
      <c r="Q819" s="42">
        <f>IF(A819="",0,IF(C819="✗",0,IF(OR(C819="✓",AND(Setup!$D$7="Yes",P819&lt;=TODAY())),IF(L819&lt;&gt;"",L819,F819),0)))</f>
        <v/>
      </c>
      <c r="R819" s="39">
        <f>IF(A819="","",IF(M819&lt;&gt;"",M819,G819))</f>
        <v/>
      </c>
      <c r="S819" s="39">
        <f>IF(A819="","",IF(N819&lt;&gt;"",N819,H819))</f>
        <v/>
      </c>
      <c r="T819" s="39">
        <f>IF(A819="","",IF(C819="✗","Skipped",IF(Q819&gt;0,"Paid","Upcoming")))</f>
        <v/>
      </c>
      <c r="U819" s="42">
        <f>IF(A819="",0,IF(C819="✗",0,IF(L819&lt;&gt;"",L819,F819)))</f>
        <v/>
      </c>
    </row>
    <row r="820">
      <c r="A820" s="32">
        <f>IFERROR(SMALL(Calc!$B$2:$BB$61,815),"")</f>
        <v/>
      </c>
      <c r="B820" s="32">
        <f>IF(A820="","",ROUND(MOD(A820,1)*1000,0))</f>
        <v/>
      </c>
      <c r="C820" s="33" t="n"/>
      <c r="D820" s="34">
        <f>IF(A820="","",INT(A820))</f>
        <v/>
      </c>
      <c r="E820" s="35">
        <f>IF(B820="","",INDEX(Setup!$D$25:$D$84,B820))</f>
        <v/>
      </c>
      <c r="F820" s="36">
        <f>IF(B820="","",INDEX(Setup!$E$25:$E$84,B820))</f>
        <v/>
      </c>
      <c r="G820" s="32">
        <f>IF(B820="","",INDEX(Setup!$I$25:$I$84,B820)&amp;"")</f>
        <v/>
      </c>
      <c r="H820" s="32">
        <f>IF(B820="","",INDEX(Setup!$J$25:$J$84,B820)&amp;"")</f>
        <v/>
      </c>
      <c r="I820" s="32">
        <f>IF(B820="","",INDEX(Setup!$C$25:$C$84,B820))</f>
        <v/>
      </c>
      <c r="J820" s="32" t="n"/>
      <c r="K820" s="37" t="n"/>
      <c r="L820" s="38" t="n"/>
      <c r="M820" s="33" t="n"/>
      <c r="N820" s="33" t="n"/>
      <c r="O820" s="32" t="n"/>
      <c r="P820" s="34">
        <f>IF(A820="","",IF(K820&lt;&gt;"",K820,D820))</f>
        <v/>
      </c>
      <c r="Q820" s="36">
        <f>IF(A820="",0,IF(C820="✗",0,IF(OR(C820="✓",AND(Setup!$D$7="Yes",P820&lt;=TODAY())),IF(L820&lt;&gt;"",L820,F820),0)))</f>
        <v/>
      </c>
      <c r="R820" s="32">
        <f>IF(A820="","",IF(M820&lt;&gt;"",M820,G820))</f>
        <v/>
      </c>
      <c r="S820" s="32">
        <f>IF(A820="","",IF(N820&lt;&gt;"",N820,H820))</f>
        <v/>
      </c>
      <c r="T820" s="32">
        <f>IF(A820="","",IF(C820="✗","Skipped",IF(Q820&gt;0,"Paid","Upcoming")))</f>
        <v/>
      </c>
      <c r="U820" s="36">
        <f>IF(A820="",0,IF(C820="✗",0,IF(L820&lt;&gt;"",L820,F820)))</f>
        <v/>
      </c>
    </row>
    <row r="821">
      <c r="A821" s="39">
        <f>IFERROR(SMALL(Calc!$B$2:$BB$61,816),"")</f>
        <v/>
      </c>
      <c r="B821" s="39">
        <f>IF(A821="","",ROUND(MOD(A821,1)*1000,0))</f>
        <v/>
      </c>
      <c r="C821" s="33" t="n"/>
      <c r="D821" s="40">
        <f>IF(A821="","",INT(A821))</f>
        <v/>
      </c>
      <c r="E821" s="41">
        <f>IF(B821="","",INDEX(Setup!$D$25:$D$84,B821))</f>
        <v/>
      </c>
      <c r="F821" s="42">
        <f>IF(B821="","",INDEX(Setup!$E$25:$E$84,B821))</f>
        <v/>
      </c>
      <c r="G821" s="39">
        <f>IF(B821="","",INDEX(Setup!$I$25:$I$84,B821)&amp;"")</f>
        <v/>
      </c>
      <c r="H821" s="39">
        <f>IF(B821="","",INDEX(Setup!$J$25:$J$84,B821)&amp;"")</f>
        <v/>
      </c>
      <c r="I821" s="39">
        <f>IF(B821="","",INDEX(Setup!$C$25:$C$84,B821))</f>
        <v/>
      </c>
      <c r="J821" s="39" t="n"/>
      <c r="K821" s="37" t="n"/>
      <c r="L821" s="38" t="n"/>
      <c r="M821" s="33" t="n"/>
      <c r="N821" s="33" t="n"/>
      <c r="O821" s="39" t="n"/>
      <c r="P821" s="40">
        <f>IF(A821="","",IF(K821&lt;&gt;"",K821,D821))</f>
        <v/>
      </c>
      <c r="Q821" s="42">
        <f>IF(A821="",0,IF(C821="✗",0,IF(OR(C821="✓",AND(Setup!$D$7="Yes",P821&lt;=TODAY())),IF(L821&lt;&gt;"",L821,F821),0)))</f>
        <v/>
      </c>
      <c r="R821" s="39">
        <f>IF(A821="","",IF(M821&lt;&gt;"",M821,G821))</f>
        <v/>
      </c>
      <c r="S821" s="39">
        <f>IF(A821="","",IF(N821&lt;&gt;"",N821,H821))</f>
        <v/>
      </c>
      <c r="T821" s="39">
        <f>IF(A821="","",IF(C821="✗","Skipped",IF(Q821&gt;0,"Paid","Upcoming")))</f>
        <v/>
      </c>
      <c r="U821" s="42">
        <f>IF(A821="",0,IF(C821="✗",0,IF(L821&lt;&gt;"",L821,F821)))</f>
        <v/>
      </c>
    </row>
    <row r="822">
      <c r="A822" s="32">
        <f>IFERROR(SMALL(Calc!$B$2:$BB$61,817),"")</f>
        <v/>
      </c>
      <c r="B822" s="32">
        <f>IF(A822="","",ROUND(MOD(A822,1)*1000,0))</f>
        <v/>
      </c>
      <c r="C822" s="33" t="n"/>
      <c r="D822" s="34">
        <f>IF(A822="","",INT(A822))</f>
        <v/>
      </c>
      <c r="E822" s="35">
        <f>IF(B822="","",INDEX(Setup!$D$25:$D$84,B822))</f>
        <v/>
      </c>
      <c r="F822" s="36">
        <f>IF(B822="","",INDEX(Setup!$E$25:$E$84,B822))</f>
        <v/>
      </c>
      <c r="G822" s="32">
        <f>IF(B822="","",INDEX(Setup!$I$25:$I$84,B822)&amp;"")</f>
        <v/>
      </c>
      <c r="H822" s="32">
        <f>IF(B822="","",INDEX(Setup!$J$25:$J$84,B822)&amp;"")</f>
        <v/>
      </c>
      <c r="I822" s="32">
        <f>IF(B822="","",INDEX(Setup!$C$25:$C$84,B822))</f>
        <v/>
      </c>
      <c r="J822" s="32" t="n"/>
      <c r="K822" s="37" t="n"/>
      <c r="L822" s="38" t="n"/>
      <c r="M822" s="33" t="n"/>
      <c r="N822" s="33" t="n"/>
      <c r="O822" s="32" t="n"/>
      <c r="P822" s="34">
        <f>IF(A822="","",IF(K822&lt;&gt;"",K822,D822))</f>
        <v/>
      </c>
      <c r="Q822" s="36">
        <f>IF(A822="",0,IF(C822="✗",0,IF(OR(C822="✓",AND(Setup!$D$7="Yes",P822&lt;=TODAY())),IF(L822&lt;&gt;"",L822,F822),0)))</f>
        <v/>
      </c>
      <c r="R822" s="32">
        <f>IF(A822="","",IF(M822&lt;&gt;"",M822,G822))</f>
        <v/>
      </c>
      <c r="S822" s="32">
        <f>IF(A822="","",IF(N822&lt;&gt;"",N822,H822))</f>
        <v/>
      </c>
      <c r="T822" s="32">
        <f>IF(A822="","",IF(C822="✗","Skipped",IF(Q822&gt;0,"Paid","Upcoming")))</f>
        <v/>
      </c>
      <c r="U822" s="36">
        <f>IF(A822="",0,IF(C822="✗",0,IF(L822&lt;&gt;"",L822,F822)))</f>
        <v/>
      </c>
    </row>
    <row r="823">
      <c r="A823" s="39">
        <f>IFERROR(SMALL(Calc!$B$2:$BB$61,818),"")</f>
        <v/>
      </c>
      <c r="B823" s="39">
        <f>IF(A823="","",ROUND(MOD(A823,1)*1000,0))</f>
        <v/>
      </c>
      <c r="C823" s="33" t="n"/>
      <c r="D823" s="40">
        <f>IF(A823="","",INT(A823))</f>
        <v/>
      </c>
      <c r="E823" s="41">
        <f>IF(B823="","",INDEX(Setup!$D$25:$D$84,B823))</f>
        <v/>
      </c>
      <c r="F823" s="42">
        <f>IF(B823="","",INDEX(Setup!$E$25:$E$84,B823))</f>
        <v/>
      </c>
      <c r="G823" s="39">
        <f>IF(B823="","",INDEX(Setup!$I$25:$I$84,B823)&amp;"")</f>
        <v/>
      </c>
      <c r="H823" s="39">
        <f>IF(B823="","",INDEX(Setup!$J$25:$J$84,B823)&amp;"")</f>
        <v/>
      </c>
      <c r="I823" s="39">
        <f>IF(B823="","",INDEX(Setup!$C$25:$C$84,B823))</f>
        <v/>
      </c>
      <c r="J823" s="39" t="n"/>
      <c r="K823" s="37" t="n"/>
      <c r="L823" s="38" t="n"/>
      <c r="M823" s="33" t="n"/>
      <c r="N823" s="33" t="n"/>
      <c r="O823" s="39" t="n"/>
      <c r="P823" s="40">
        <f>IF(A823="","",IF(K823&lt;&gt;"",K823,D823))</f>
        <v/>
      </c>
      <c r="Q823" s="42">
        <f>IF(A823="",0,IF(C823="✗",0,IF(OR(C823="✓",AND(Setup!$D$7="Yes",P823&lt;=TODAY())),IF(L823&lt;&gt;"",L823,F823),0)))</f>
        <v/>
      </c>
      <c r="R823" s="39">
        <f>IF(A823="","",IF(M823&lt;&gt;"",M823,G823))</f>
        <v/>
      </c>
      <c r="S823" s="39">
        <f>IF(A823="","",IF(N823&lt;&gt;"",N823,H823))</f>
        <v/>
      </c>
      <c r="T823" s="39">
        <f>IF(A823="","",IF(C823="✗","Skipped",IF(Q823&gt;0,"Paid","Upcoming")))</f>
        <v/>
      </c>
      <c r="U823" s="42">
        <f>IF(A823="",0,IF(C823="✗",0,IF(L823&lt;&gt;"",L823,F823)))</f>
        <v/>
      </c>
    </row>
    <row r="824">
      <c r="A824" s="32">
        <f>IFERROR(SMALL(Calc!$B$2:$BB$61,819),"")</f>
        <v/>
      </c>
      <c r="B824" s="32">
        <f>IF(A824="","",ROUND(MOD(A824,1)*1000,0))</f>
        <v/>
      </c>
      <c r="C824" s="33" t="n"/>
      <c r="D824" s="34">
        <f>IF(A824="","",INT(A824))</f>
        <v/>
      </c>
      <c r="E824" s="35">
        <f>IF(B824="","",INDEX(Setup!$D$25:$D$84,B824))</f>
        <v/>
      </c>
      <c r="F824" s="36">
        <f>IF(B824="","",INDEX(Setup!$E$25:$E$84,B824))</f>
        <v/>
      </c>
      <c r="G824" s="32">
        <f>IF(B824="","",INDEX(Setup!$I$25:$I$84,B824)&amp;"")</f>
        <v/>
      </c>
      <c r="H824" s="32">
        <f>IF(B824="","",INDEX(Setup!$J$25:$J$84,B824)&amp;"")</f>
        <v/>
      </c>
      <c r="I824" s="32">
        <f>IF(B824="","",INDEX(Setup!$C$25:$C$84,B824))</f>
        <v/>
      </c>
      <c r="J824" s="32" t="n"/>
      <c r="K824" s="37" t="n"/>
      <c r="L824" s="38" t="n"/>
      <c r="M824" s="33" t="n"/>
      <c r="N824" s="33" t="n"/>
      <c r="O824" s="32" t="n"/>
      <c r="P824" s="34">
        <f>IF(A824="","",IF(K824&lt;&gt;"",K824,D824))</f>
        <v/>
      </c>
      <c r="Q824" s="36">
        <f>IF(A824="",0,IF(C824="✗",0,IF(OR(C824="✓",AND(Setup!$D$7="Yes",P824&lt;=TODAY())),IF(L824&lt;&gt;"",L824,F824),0)))</f>
        <v/>
      </c>
      <c r="R824" s="32">
        <f>IF(A824="","",IF(M824&lt;&gt;"",M824,G824))</f>
        <v/>
      </c>
      <c r="S824" s="32">
        <f>IF(A824="","",IF(N824&lt;&gt;"",N824,H824))</f>
        <v/>
      </c>
      <c r="T824" s="32">
        <f>IF(A824="","",IF(C824="✗","Skipped",IF(Q824&gt;0,"Paid","Upcoming")))</f>
        <v/>
      </c>
      <c r="U824" s="36">
        <f>IF(A824="",0,IF(C824="✗",0,IF(L824&lt;&gt;"",L824,F824)))</f>
        <v/>
      </c>
    </row>
    <row r="825">
      <c r="A825" s="39">
        <f>IFERROR(SMALL(Calc!$B$2:$BB$61,820),"")</f>
        <v/>
      </c>
      <c r="B825" s="39">
        <f>IF(A825="","",ROUND(MOD(A825,1)*1000,0))</f>
        <v/>
      </c>
      <c r="C825" s="33" t="n"/>
      <c r="D825" s="40">
        <f>IF(A825="","",INT(A825))</f>
        <v/>
      </c>
      <c r="E825" s="41">
        <f>IF(B825="","",INDEX(Setup!$D$25:$D$84,B825))</f>
        <v/>
      </c>
      <c r="F825" s="42">
        <f>IF(B825="","",INDEX(Setup!$E$25:$E$84,B825))</f>
        <v/>
      </c>
      <c r="G825" s="39">
        <f>IF(B825="","",INDEX(Setup!$I$25:$I$84,B825)&amp;"")</f>
        <v/>
      </c>
      <c r="H825" s="39">
        <f>IF(B825="","",INDEX(Setup!$J$25:$J$84,B825)&amp;"")</f>
        <v/>
      </c>
      <c r="I825" s="39">
        <f>IF(B825="","",INDEX(Setup!$C$25:$C$84,B825))</f>
        <v/>
      </c>
      <c r="J825" s="39" t="n"/>
      <c r="K825" s="37" t="n"/>
      <c r="L825" s="38" t="n"/>
      <c r="M825" s="33" t="n"/>
      <c r="N825" s="33" t="n"/>
      <c r="O825" s="39" t="n"/>
      <c r="P825" s="40">
        <f>IF(A825="","",IF(K825&lt;&gt;"",K825,D825))</f>
        <v/>
      </c>
      <c r="Q825" s="42">
        <f>IF(A825="",0,IF(C825="✗",0,IF(OR(C825="✓",AND(Setup!$D$7="Yes",P825&lt;=TODAY())),IF(L825&lt;&gt;"",L825,F825),0)))</f>
        <v/>
      </c>
      <c r="R825" s="39">
        <f>IF(A825="","",IF(M825&lt;&gt;"",M825,G825))</f>
        <v/>
      </c>
      <c r="S825" s="39">
        <f>IF(A825="","",IF(N825&lt;&gt;"",N825,H825))</f>
        <v/>
      </c>
      <c r="T825" s="39">
        <f>IF(A825="","",IF(C825="✗","Skipped",IF(Q825&gt;0,"Paid","Upcoming")))</f>
        <v/>
      </c>
      <c r="U825" s="42">
        <f>IF(A825="",0,IF(C825="✗",0,IF(L825&lt;&gt;"",L825,F825)))</f>
        <v/>
      </c>
    </row>
    <row r="826">
      <c r="A826" s="32">
        <f>IFERROR(SMALL(Calc!$B$2:$BB$61,821),"")</f>
        <v/>
      </c>
      <c r="B826" s="32">
        <f>IF(A826="","",ROUND(MOD(A826,1)*1000,0))</f>
        <v/>
      </c>
      <c r="C826" s="33" t="n"/>
      <c r="D826" s="34">
        <f>IF(A826="","",INT(A826))</f>
        <v/>
      </c>
      <c r="E826" s="35">
        <f>IF(B826="","",INDEX(Setup!$D$25:$D$84,B826))</f>
        <v/>
      </c>
      <c r="F826" s="36">
        <f>IF(B826="","",INDEX(Setup!$E$25:$E$84,B826))</f>
        <v/>
      </c>
      <c r="G826" s="32">
        <f>IF(B826="","",INDEX(Setup!$I$25:$I$84,B826)&amp;"")</f>
        <v/>
      </c>
      <c r="H826" s="32">
        <f>IF(B826="","",INDEX(Setup!$J$25:$J$84,B826)&amp;"")</f>
        <v/>
      </c>
      <c r="I826" s="32">
        <f>IF(B826="","",INDEX(Setup!$C$25:$C$84,B826))</f>
        <v/>
      </c>
      <c r="J826" s="32" t="n"/>
      <c r="K826" s="37" t="n"/>
      <c r="L826" s="38" t="n"/>
      <c r="M826" s="33" t="n"/>
      <c r="N826" s="33" t="n"/>
      <c r="O826" s="32" t="n"/>
      <c r="P826" s="34">
        <f>IF(A826="","",IF(K826&lt;&gt;"",K826,D826))</f>
        <v/>
      </c>
      <c r="Q826" s="36">
        <f>IF(A826="",0,IF(C826="✗",0,IF(OR(C826="✓",AND(Setup!$D$7="Yes",P826&lt;=TODAY())),IF(L826&lt;&gt;"",L826,F826),0)))</f>
        <v/>
      </c>
      <c r="R826" s="32">
        <f>IF(A826="","",IF(M826&lt;&gt;"",M826,G826))</f>
        <v/>
      </c>
      <c r="S826" s="32">
        <f>IF(A826="","",IF(N826&lt;&gt;"",N826,H826))</f>
        <v/>
      </c>
      <c r="T826" s="32">
        <f>IF(A826="","",IF(C826="✗","Skipped",IF(Q826&gt;0,"Paid","Upcoming")))</f>
        <v/>
      </c>
      <c r="U826" s="36">
        <f>IF(A826="",0,IF(C826="✗",0,IF(L826&lt;&gt;"",L826,F826)))</f>
        <v/>
      </c>
    </row>
    <row r="827">
      <c r="A827" s="39">
        <f>IFERROR(SMALL(Calc!$B$2:$BB$61,822),"")</f>
        <v/>
      </c>
      <c r="B827" s="39">
        <f>IF(A827="","",ROUND(MOD(A827,1)*1000,0))</f>
        <v/>
      </c>
      <c r="C827" s="33" t="n"/>
      <c r="D827" s="40">
        <f>IF(A827="","",INT(A827))</f>
        <v/>
      </c>
      <c r="E827" s="41">
        <f>IF(B827="","",INDEX(Setup!$D$25:$D$84,B827))</f>
        <v/>
      </c>
      <c r="F827" s="42">
        <f>IF(B827="","",INDEX(Setup!$E$25:$E$84,B827))</f>
        <v/>
      </c>
      <c r="G827" s="39">
        <f>IF(B827="","",INDEX(Setup!$I$25:$I$84,B827)&amp;"")</f>
        <v/>
      </c>
      <c r="H827" s="39">
        <f>IF(B827="","",INDEX(Setup!$J$25:$J$84,B827)&amp;"")</f>
        <v/>
      </c>
      <c r="I827" s="39">
        <f>IF(B827="","",INDEX(Setup!$C$25:$C$84,B827))</f>
        <v/>
      </c>
      <c r="J827" s="39" t="n"/>
      <c r="K827" s="37" t="n"/>
      <c r="L827" s="38" t="n"/>
      <c r="M827" s="33" t="n"/>
      <c r="N827" s="33" t="n"/>
      <c r="O827" s="39" t="n"/>
      <c r="P827" s="40">
        <f>IF(A827="","",IF(K827&lt;&gt;"",K827,D827))</f>
        <v/>
      </c>
      <c r="Q827" s="42">
        <f>IF(A827="",0,IF(C827="✗",0,IF(OR(C827="✓",AND(Setup!$D$7="Yes",P827&lt;=TODAY())),IF(L827&lt;&gt;"",L827,F827),0)))</f>
        <v/>
      </c>
      <c r="R827" s="39">
        <f>IF(A827="","",IF(M827&lt;&gt;"",M827,G827))</f>
        <v/>
      </c>
      <c r="S827" s="39">
        <f>IF(A827="","",IF(N827&lt;&gt;"",N827,H827))</f>
        <v/>
      </c>
      <c r="T827" s="39">
        <f>IF(A827="","",IF(C827="✗","Skipped",IF(Q827&gt;0,"Paid","Upcoming")))</f>
        <v/>
      </c>
      <c r="U827" s="42">
        <f>IF(A827="",0,IF(C827="✗",0,IF(L827&lt;&gt;"",L827,F827)))</f>
        <v/>
      </c>
    </row>
    <row r="828">
      <c r="A828" s="32">
        <f>IFERROR(SMALL(Calc!$B$2:$BB$61,823),"")</f>
        <v/>
      </c>
      <c r="B828" s="32">
        <f>IF(A828="","",ROUND(MOD(A828,1)*1000,0))</f>
        <v/>
      </c>
      <c r="C828" s="33" t="n"/>
      <c r="D828" s="34">
        <f>IF(A828="","",INT(A828))</f>
        <v/>
      </c>
      <c r="E828" s="35">
        <f>IF(B828="","",INDEX(Setup!$D$25:$D$84,B828))</f>
        <v/>
      </c>
      <c r="F828" s="36">
        <f>IF(B828="","",INDEX(Setup!$E$25:$E$84,B828))</f>
        <v/>
      </c>
      <c r="G828" s="32">
        <f>IF(B828="","",INDEX(Setup!$I$25:$I$84,B828)&amp;"")</f>
        <v/>
      </c>
      <c r="H828" s="32">
        <f>IF(B828="","",INDEX(Setup!$J$25:$J$84,B828)&amp;"")</f>
        <v/>
      </c>
      <c r="I828" s="32">
        <f>IF(B828="","",INDEX(Setup!$C$25:$C$84,B828))</f>
        <v/>
      </c>
      <c r="J828" s="32" t="n"/>
      <c r="K828" s="37" t="n"/>
      <c r="L828" s="38" t="n"/>
      <c r="M828" s="33" t="n"/>
      <c r="N828" s="33" t="n"/>
      <c r="O828" s="32" t="n"/>
      <c r="P828" s="34">
        <f>IF(A828="","",IF(K828&lt;&gt;"",K828,D828))</f>
        <v/>
      </c>
      <c r="Q828" s="36">
        <f>IF(A828="",0,IF(C828="✗",0,IF(OR(C828="✓",AND(Setup!$D$7="Yes",P828&lt;=TODAY())),IF(L828&lt;&gt;"",L828,F828),0)))</f>
        <v/>
      </c>
      <c r="R828" s="32">
        <f>IF(A828="","",IF(M828&lt;&gt;"",M828,G828))</f>
        <v/>
      </c>
      <c r="S828" s="32">
        <f>IF(A828="","",IF(N828&lt;&gt;"",N828,H828))</f>
        <v/>
      </c>
      <c r="T828" s="32">
        <f>IF(A828="","",IF(C828="✗","Skipped",IF(Q828&gt;0,"Paid","Upcoming")))</f>
        <v/>
      </c>
      <c r="U828" s="36">
        <f>IF(A828="",0,IF(C828="✗",0,IF(L828&lt;&gt;"",L828,F828)))</f>
        <v/>
      </c>
    </row>
    <row r="829">
      <c r="A829" s="39">
        <f>IFERROR(SMALL(Calc!$B$2:$BB$61,824),"")</f>
        <v/>
      </c>
      <c r="B829" s="39">
        <f>IF(A829="","",ROUND(MOD(A829,1)*1000,0))</f>
        <v/>
      </c>
      <c r="C829" s="33" t="n"/>
      <c r="D829" s="40">
        <f>IF(A829="","",INT(A829))</f>
        <v/>
      </c>
      <c r="E829" s="41">
        <f>IF(B829="","",INDEX(Setup!$D$25:$D$84,B829))</f>
        <v/>
      </c>
      <c r="F829" s="42">
        <f>IF(B829="","",INDEX(Setup!$E$25:$E$84,B829))</f>
        <v/>
      </c>
      <c r="G829" s="39">
        <f>IF(B829="","",INDEX(Setup!$I$25:$I$84,B829)&amp;"")</f>
        <v/>
      </c>
      <c r="H829" s="39">
        <f>IF(B829="","",INDEX(Setup!$J$25:$J$84,B829)&amp;"")</f>
        <v/>
      </c>
      <c r="I829" s="39">
        <f>IF(B829="","",INDEX(Setup!$C$25:$C$84,B829))</f>
        <v/>
      </c>
      <c r="J829" s="39" t="n"/>
      <c r="K829" s="37" t="n"/>
      <c r="L829" s="38" t="n"/>
      <c r="M829" s="33" t="n"/>
      <c r="N829" s="33" t="n"/>
      <c r="O829" s="39" t="n"/>
      <c r="P829" s="40">
        <f>IF(A829="","",IF(K829&lt;&gt;"",K829,D829))</f>
        <v/>
      </c>
      <c r="Q829" s="42">
        <f>IF(A829="",0,IF(C829="✗",0,IF(OR(C829="✓",AND(Setup!$D$7="Yes",P829&lt;=TODAY())),IF(L829&lt;&gt;"",L829,F829),0)))</f>
        <v/>
      </c>
      <c r="R829" s="39">
        <f>IF(A829="","",IF(M829&lt;&gt;"",M829,G829))</f>
        <v/>
      </c>
      <c r="S829" s="39">
        <f>IF(A829="","",IF(N829&lt;&gt;"",N829,H829))</f>
        <v/>
      </c>
      <c r="T829" s="39">
        <f>IF(A829="","",IF(C829="✗","Skipped",IF(Q829&gt;0,"Paid","Upcoming")))</f>
        <v/>
      </c>
      <c r="U829" s="42">
        <f>IF(A829="",0,IF(C829="✗",0,IF(L829&lt;&gt;"",L829,F829)))</f>
        <v/>
      </c>
    </row>
    <row r="830">
      <c r="A830" s="32">
        <f>IFERROR(SMALL(Calc!$B$2:$BB$61,825),"")</f>
        <v/>
      </c>
      <c r="B830" s="32">
        <f>IF(A830="","",ROUND(MOD(A830,1)*1000,0))</f>
        <v/>
      </c>
      <c r="C830" s="33" t="n"/>
      <c r="D830" s="34">
        <f>IF(A830="","",INT(A830))</f>
        <v/>
      </c>
      <c r="E830" s="35">
        <f>IF(B830="","",INDEX(Setup!$D$25:$D$84,B830))</f>
        <v/>
      </c>
      <c r="F830" s="36">
        <f>IF(B830="","",INDEX(Setup!$E$25:$E$84,B830))</f>
        <v/>
      </c>
      <c r="G830" s="32">
        <f>IF(B830="","",INDEX(Setup!$I$25:$I$84,B830)&amp;"")</f>
        <v/>
      </c>
      <c r="H830" s="32">
        <f>IF(B830="","",INDEX(Setup!$J$25:$J$84,B830)&amp;"")</f>
        <v/>
      </c>
      <c r="I830" s="32">
        <f>IF(B830="","",INDEX(Setup!$C$25:$C$84,B830))</f>
        <v/>
      </c>
      <c r="J830" s="32" t="n"/>
      <c r="K830" s="37" t="n"/>
      <c r="L830" s="38" t="n"/>
      <c r="M830" s="33" t="n"/>
      <c r="N830" s="33" t="n"/>
      <c r="O830" s="32" t="n"/>
      <c r="P830" s="34">
        <f>IF(A830="","",IF(K830&lt;&gt;"",K830,D830))</f>
        <v/>
      </c>
      <c r="Q830" s="36">
        <f>IF(A830="",0,IF(C830="✗",0,IF(OR(C830="✓",AND(Setup!$D$7="Yes",P830&lt;=TODAY())),IF(L830&lt;&gt;"",L830,F830),0)))</f>
        <v/>
      </c>
      <c r="R830" s="32">
        <f>IF(A830="","",IF(M830&lt;&gt;"",M830,G830))</f>
        <v/>
      </c>
      <c r="S830" s="32">
        <f>IF(A830="","",IF(N830&lt;&gt;"",N830,H830))</f>
        <v/>
      </c>
      <c r="T830" s="32">
        <f>IF(A830="","",IF(C830="✗","Skipped",IF(Q830&gt;0,"Paid","Upcoming")))</f>
        <v/>
      </c>
      <c r="U830" s="36">
        <f>IF(A830="",0,IF(C830="✗",0,IF(L830&lt;&gt;"",L830,F830)))</f>
        <v/>
      </c>
    </row>
    <row r="831">
      <c r="A831" s="39">
        <f>IFERROR(SMALL(Calc!$B$2:$BB$61,826),"")</f>
        <v/>
      </c>
      <c r="B831" s="39">
        <f>IF(A831="","",ROUND(MOD(A831,1)*1000,0))</f>
        <v/>
      </c>
      <c r="C831" s="33" t="n"/>
      <c r="D831" s="40">
        <f>IF(A831="","",INT(A831))</f>
        <v/>
      </c>
      <c r="E831" s="41">
        <f>IF(B831="","",INDEX(Setup!$D$25:$D$84,B831))</f>
        <v/>
      </c>
      <c r="F831" s="42">
        <f>IF(B831="","",INDEX(Setup!$E$25:$E$84,B831))</f>
        <v/>
      </c>
      <c r="G831" s="39">
        <f>IF(B831="","",INDEX(Setup!$I$25:$I$84,B831)&amp;"")</f>
        <v/>
      </c>
      <c r="H831" s="39">
        <f>IF(B831="","",INDEX(Setup!$J$25:$J$84,B831)&amp;"")</f>
        <v/>
      </c>
      <c r="I831" s="39">
        <f>IF(B831="","",INDEX(Setup!$C$25:$C$84,B831))</f>
        <v/>
      </c>
      <c r="J831" s="39" t="n"/>
      <c r="K831" s="37" t="n"/>
      <c r="L831" s="38" t="n"/>
      <c r="M831" s="33" t="n"/>
      <c r="N831" s="33" t="n"/>
      <c r="O831" s="39" t="n"/>
      <c r="P831" s="40">
        <f>IF(A831="","",IF(K831&lt;&gt;"",K831,D831))</f>
        <v/>
      </c>
      <c r="Q831" s="42">
        <f>IF(A831="",0,IF(C831="✗",0,IF(OR(C831="✓",AND(Setup!$D$7="Yes",P831&lt;=TODAY())),IF(L831&lt;&gt;"",L831,F831),0)))</f>
        <v/>
      </c>
      <c r="R831" s="39">
        <f>IF(A831="","",IF(M831&lt;&gt;"",M831,G831))</f>
        <v/>
      </c>
      <c r="S831" s="39">
        <f>IF(A831="","",IF(N831&lt;&gt;"",N831,H831))</f>
        <v/>
      </c>
      <c r="T831" s="39">
        <f>IF(A831="","",IF(C831="✗","Skipped",IF(Q831&gt;0,"Paid","Upcoming")))</f>
        <v/>
      </c>
      <c r="U831" s="42">
        <f>IF(A831="",0,IF(C831="✗",0,IF(L831&lt;&gt;"",L831,F831)))</f>
        <v/>
      </c>
    </row>
    <row r="832">
      <c r="A832" s="32">
        <f>IFERROR(SMALL(Calc!$B$2:$BB$61,827),"")</f>
        <v/>
      </c>
      <c r="B832" s="32">
        <f>IF(A832="","",ROUND(MOD(A832,1)*1000,0))</f>
        <v/>
      </c>
      <c r="C832" s="33" t="n"/>
      <c r="D832" s="34">
        <f>IF(A832="","",INT(A832))</f>
        <v/>
      </c>
      <c r="E832" s="35">
        <f>IF(B832="","",INDEX(Setup!$D$25:$D$84,B832))</f>
        <v/>
      </c>
      <c r="F832" s="36">
        <f>IF(B832="","",INDEX(Setup!$E$25:$E$84,B832))</f>
        <v/>
      </c>
      <c r="G832" s="32">
        <f>IF(B832="","",INDEX(Setup!$I$25:$I$84,B832)&amp;"")</f>
        <v/>
      </c>
      <c r="H832" s="32">
        <f>IF(B832="","",INDEX(Setup!$J$25:$J$84,B832)&amp;"")</f>
        <v/>
      </c>
      <c r="I832" s="32">
        <f>IF(B832="","",INDEX(Setup!$C$25:$C$84,B832))</f>
        <v/>
      </c>
      <c r="J832" s="32" t="n"/>
      <c r="K832" s="37" t="n"/>
      <c r="L832" s="38" t="n"/>
      <c r="M832" s="33" t="n"/>
      <c r="N832" s="33" t="n"/>
      <c r="O832" s="32" t="n"/>
      <c r="P832" s="34">
        <f>IF(A832="","",IF(K832&lt;&gt;"",K832,D832))</f>
        <v/>
      </c>
      <c r="Q832" s="36">
        <f>IF(A832="",0,IF(C832="✗",0,IF(OR(C832="✓",AND(Setup!$D$7="Yes",P832&lt;=TODAY())),IF(L832&lt;&gt;"",L832,F832),0)))</f>
        <v/>
      </c>
      <c r="R832" s="32">
        <f>IF(A832="","",IF(M832&lt;&gt;"",M832,G832))</f>
        <v/>
      </c>
      <c r="S832" s="32">
        <f>IF(A832="","",IF(N832&lt;&gt;"",N832,H832))</f>
        <v/>
      </c>
      <c r="T832" s="32">
        <f>IF(A832="","",IF(C832="✗","Skipped",IF(Q832&gt;0,"Paid","Upcoming")))</f>
        <v/>
      </c>
      <c r="U832" s="36">
        <f>IF(A832="",0,IF(C832="✗",0,IF(L832&lt;&gt;"",L832,F832)))</f>
        <v/>
      </c>
    </row>
    <row r="833">
      <c r="A833" s="39">
        <f>IFERROR(SMALL(Calc!$B$2:$BB$61,828),"")</f>
        <v/>
      </c>
      <c r="B833" s="39">
        <f>IF(A833="","",ROUND(MOD(A833,1)*1000,0))</f>
        <v/>
      </c>
      <c r="C833" s="33" t="n"/>
      <c r="D833" s="40">
        <f>IF(A833="","",INT(A833))</f>
        <v/>
      </c>
      <c r="E833" s="41">
        <f>IF(B833="","",INDEX(Setup!$D$25:$D$84,B833))</f>
        <v/>
      </c>
      <c r="F833" s="42">
        <f>IF(B833="","",INDEX(Setup!$E$25:$E$84,B833))</f>
        <v/>
      </c>
      <c r="G833" s="39">
        <f>IF(B833="","",INDEX(Setup!$I$25:$I$84,B833)&amp;"")</f>
        <v/>
      </c>
      <c r="H833" s="39">
        <f>IF(B833="","",INDEX(Setup!$J$25:$J$84,B833)&amp;"")</f>
        <v/>
      </c>
      <c r="I833" s="39">
        <f>IF(B833="","",INDEX(Setup!$C$25:$C$84,B833))</f>
        <v/>
      </c>
      <c r="J833" s="39" t="n"/>
      <c r="K833" s="37" t="n"/>
      <c r="L833" s="38" t="n"/>
      <c r="M833" s="33" t="n"/>
      <c r="N833" s="33" t="n"/>
      <c r="O833" s="39" t="n"/>
      <c r="P833" s="40">
        <f>IF(A833="","",IF(K833&lt;&gt;"",K833,D833))</f>
        <v/>
      </c>
      <c r="Q833" s="42">
        <f>IF(A833="",0,IF(C833="✗",0,IF(OR(C833="✓",AND(Setup!$D$7="Yes",P833&lt;=TODAY())),IF(L833&lt;&gt;"",L833,F833),0)))</f>
        <v/>
      </c>
      <c r="R833" s="39">
        <f>IF(A833="","",IF(M833&lt;&gt;"",M833,G833))</f>
        <v/>
      </c>
      <c r="S833" s="39">
        <f>IF(A833="","",IF(N833&lt;&gt;"",N833,H833))</f>
        <v/>
      </c>
      <c r="T833" s="39">
        <f>IF(A833="","",IF(C833="✗","Skipped",IF(Q833&gt;0,"Paid","Upcoming")))</f>
        <v/>
      </c>
      <c r="U833" s="42">
        <f>IF(A833="",0,IF(C833="✗",0,IF(L833&lt;&gt;"",L833,F833)))</f>
        <v/>
      </c>
    </row>
    <row r="834">
      <c r="A834" s="32">
        <f>IFERROR(SMALL(Calc!$B$2:$BB$61,829),"")</f>
        <v/>
      </c>
      <c r="B834" s="32">
        <f>IF(A834="","",ROUND(MOD(A834,1)*1000,0))</f>
        <v/>
      </c>
      <c r="C834" s="33" t="n"/>
      <c r="D834" s="34">
        <f>IF(A834="","",INT(A834))</f>
        <v/>
      </c>
      <c r="E834" s="35">
        <f>IF(B834="","",INDEX(Setup!$D$25:$D$84,B834))</f>
        <v/>
      </c>
      <c r="F834" s="36">
        <f>IF(B834="","",INDEX(Setup!$E$25:$E$84,B834))</f>
        <v/>
      </c>
      <c r="G834" s="32">
        <f>IF(B834="","",INDEX(Setup!$I$25:$I$84,B834)&amp;"")</f>
        <v/>
      </c>
      <c r="H834" s="32">
        <f>IF(B834="","",INDEX(Setup!$J$25:$J$84,B834)&amp;"")</f>
        <v/>
      </c>
      <c r="I834" s="32">
        <f>IF(B834="","",INDEX(Setup!$C$25:$C$84,B834))</f>
        <v/>
      </c>
      <c r="J834" s="32" t="n"/>
      <c r="K834" s="37" t="n"/>
      <c r="L834" s="38" t="n"/>
      <c r="M834" s="33" t="n"/>
      <c r="N834" s="33" t="n"/>
      <c r="O834" s="32" t="n"/>
      <c r="P834" s="34">
        <f>IF(A834="","",IF(K834&lt;&gt;"",K834,D834))</f>
        <v/>
      </c>
      <c r="Q834" s="36">
        <f>IF(A834="",0,IF(C834="✗",0,IF(OR(C834="✓",AND(Setup!$D$7="Yes",P834&lt;=TODAY())),IF(L834&lt;&gt;"",L834,F834),0)))</f>
        <v/>
      </c>
      <c r="R834" s="32">
        <f>IF(A834="","",IF(M834&lt;&gt;"",M834,G834))</f>
        <v/>
      </c>
      <c r="S834" s="32">
        <f>IF(A834="","",IF(N834&lt;&gt;"",N834,H834))</f>
        <v/>
      </c>
      <c r="T834" s="32">
        <f>IF(A834="","",IF(C834="✗","Skipped",IF(Q834&gt;0,"Paid","Upcoming")))</f>
        <v/>
      </c>
      <c r="U834" s="36">
        <f>IF(A834="",0,IF(C834="✗",0,IF(L834&lt;&gt;"",L834,F834)))</f>
        <v/>
      </c>
    </row>
    <row r="835">
      <c r="A835" s="39">
        <f>IFERROR(SMALL(Calc!$B$2:$BB$61,830),"")</f>
        <v/>
      </c>
      <c r="B835" s="39">
        <f>IF(A835="","",ROUND(MOD(A835,1)*1000,0))</f>
        <v/>
      </c>
      <c r="C835" s="33" t="n"/>
      <c r="D835" s="40">
        <f>IF(A835="","",INT(A835))</f>
        <v/>
      </c>
      <c r="E835" s="41">
        <f>IF(B835="","",INDEX(Setup!$D$25:$D$84,B835))</f>
        <v/>
      </c>
      <c r="F835" s="42">
        <f>IF(B835="","",INDEX(Setup!$E$25:$E$84,B835))</f>
        <v/>
      </c>
      <c r="G835" s="39">
        <f>IF(B835="","",INDEX(Setup!$I$25:$I$84,B835)&amp;"")</f>
        <v/>
      </c>
      <c r="H835" s="39">
        <f>IF(B835="","",INDEX(Setup!$J$25:$J$84,B835)&amp;"")</f>
        <v/>
      </c>
      <c r="I835" s="39">
        <f>IF(B835="","",INDEX(Setup!$C$25:$C$84,B835))</f>
        <v/>
      </c>
      <c r="J835" s="39" t="n"/>
      <c r="K835" s="37" t="n"/>
      <c r="L835" s="38" t="n"/>
      <c r="M835" s="33" t="n"/>
      <c r="N835" s="33" t="n"/>
      <c r="O835" s="39" t="n"/>
      <c r="P835" s="40">
        <f>IF(A835="","",IF(K835&lt;&gt;"",K835,D835))</f>
        <v/>
      </c>
      <c r="Q835" s="42">
        <f>IF(A835="",0,IF(C835="✗",0,IF(OR(C835="✓",AND(Setup!$D$7="Yes",P835&lt;=TODAY())),IF(L835&lt;&gt;"",L835,F835),0)))</f>
        <v/>
      </c>
      <c r="R835" s="39">
        <f>IF(A835="","",IF(M835&lt;&gt;"",M835,G835))</f>
        <v/>
      </c>
      <c r="S835" s="39">
        <f>IF(A835="","",IF(N835&lt;&gt;"",N835,H835))</f>
        <v/>
      </c>
      <c r="T835" s="39">
        <f>IF(A835="","",IF(C835="✗","Skipped",IF(Q835&gt;0,"Paid","Upcoming")))</f>
        <v/>
      </c>
      <c r="U835" s="42">
        <f>IF(A835="",0,IF(C835="✗",0,IF(L835&lt;&gt;"",L835,F835)))</f>
        <v/>
      </c>
    </row>
    <row r="836">
      <c r="A836" s="32">
        <f>IFERROR(SMALL(Calc!$B$2:$BB$61,831),"")</f>
        <v/>
      </c>
      <c r="B836" s="32">
        <f>IF(A836="","",ROUND(MOD(A836,1)*1000,0))</f>
        <v/>
      </c>
      <c r="C836" s="33" t="n"/>
      <c r="D836" s="34">
        <f>IF(A836="","",INT(A836))</f>
        <v/>
      </c>
      <c r="E836" s="35">
        <f>IF(B836="","",INDEX(Setup!$D$25:$D$84,B836))</f>
        <v/>
      </c>
      <c r="F836" s="36">
        <f>IF(B836="","",INDEX(Setup!$E$25:$E$84,B836))</f>
        <v/>
      </c>
      <c r="G836" s="32">
        <f>IF(B836="","",INDEX(Setup!$I$25:$I$84,B836)&amp;"")</f>
        <v/>
      </c>
      <c r="H836" s="32">
        <f>IF(B836="","",INDEX(Setup!$J$25:$J$84,B836)&amp;"")</f>
        <v/>
      </c>
      <c r="I836" s="32">
        <f>IF(B836="","",INDEX(Setup!$C$25:$C$84,B836))</f>
        <v/>
      </c>
      <c r="J836" s="32" t="n"/>
      <c r="K836" s="37" t="n"/>
      <c r="L836" s="38" t="n"/>
      <c r="M836" s="33" t="n"/>
      <c r="N836" s="33" t="n"/>
      <c r="O836" s="32" t="n"/>
      <c r="P836" s="34">
        <f>IF(A836="","",IF(K836&lt;&gt;"",K836,D836))</f>
        <v/>
      </c>
      <c r="Q836" s="36">
        <f>IF(A836="",0,IF(C836="✗",0,IF(OR(C836="✓",AND(Setup!$D$7="Yes",P836&lt;=TODAY())),IF(L836&lt;&gt;"",L836,F836),0)))</f>
        <v/>
      </c>
      <c r="R836" s="32">
        <f>IF(A836="","",IF(M836&lt;&gt;"",M836,G836))</f>
        <v/>
      </c>
      <c r="S836" s="32">
        <f>IF(A836="","",IF(N836&lt;&gt;"",N836,H836))</f>
        <v/>
      </c>
      <c r="T836" s="32">
        <f>IF(A836="","",IF(C836="✗","Skipped",IF(Q836&gt;0,"Paid","Upcoming")))</f>
        <v/>
      </c>
      <c r="U836" s="36">
        <f>IF(A836="",0,IF(C836="✗",0,IF(L836&lt;&gt;"",L836,F836)))</f>
        <v/>
      </c>
    </row>
    <row r="837">
      <c r="A837" s="39">
        <f>IFERROR(SMALL(Calc!$B$2:$BB$61,832),"")</f>
        <v/>
      </c>
      <c r="B837" s="39">
        <f>IF(A837="","",ROUND(MOD(A837,1)*1000,0))</f>
        <v/>
      </c>
      <c r="C837" s="33" t="n"/>
      <c r="D837" s="40">
        <f>IF(A837="","",INT(A837))</f>
        <v/>
      </c>
      <c r="E837" s="41">
        <f>IF(B837="","",INDEX(Setup!$D$25:$D$84,B837))</f>
        <v/>
      </c>
      <c r="F837" s="42">
        <f>IF(B837="","",INDEX(Setup!$E$25:$E$84,B837))</f>
        <v/>
      </c>
      <c r="G837" s="39">
        <f>IF(B837="","",INDEX(Setup!$I$25:$I$84,B837)&amp;"")</f>
        <v/>
      </c>
      <c r="H837" s="39">
        <f>IF(B837="","",INDEX(Setup!$J$25:$J$84,B837)&amp;"")</f>
        <v/>
      </c>
      <c r="I837" s="39">
        <f>IF(B837="","",INDEX(Setup!$C$25:$C$84,B837))</f>
        <v/>
      </c>
      <c r="J837" s="39" t="n"/>
      <c r="K837" s="37" t="n"/>
      <c r="L837" s="38" t="n"/>
      <c r="M837" s="33" t="n"/>
      <c r="N837" s="33" t="n"/>
      <c r="O837" s="39" t="n"/>
      <c r="P837" s="40">
        <f>IF(A837="","",IF(K837&lt;&gt;"",K837,D837))</f>
        <v/>
      </c>
      <c r="Q837" s="42">
        <f>IF(A837="",0,IF(C837="✗",0,IF(OR(C837="✓",AND(Setup!$D$7="Yes",P837&lt;=TODAY())),IF(L837&lt;&gt;"",L837,F837),0)))</f>
        <v/>
      </c>
      <c r="R837" s="39">
        <f>IF(A837="","",IF(M837&lt;&gt;"",M837,G837))</f>
        <v/>
      </c>
      <c r="S837" s="39">
        <f>IF(A837="","",IF(N837&lt;&gt;"",N837,H837))</f>
        <v/>
      </c>
      <c r="T837" s="39">
        <f>IF(A837="","",IF(C837="✗","Skipped",IF(Q837&gt;0,"Paid","Upcoming")))</f>
        <v/>
      </c>
      <c r="U837" s="42">
        <f>IF(A837="",0,IF(C837="✗",0,IF(L837&lt;&gt;"",L837,F837)))</f>
        <v/>
      </c>
    </row>
    <row r="838">
      <c r="A838" s="32">
        <f>IFERROR(SMALL(Calc!$B$2:$BB$61,833),"")</f>
        <v/>
      </c>
      <c r="B838" s="32">
        <f>IF(A838="","",ROUND(MOD(A838,1)*1000,0))</f>
        <v/>
      </c>
      <c r="C838" s="33" t="n"/>
      <c r="D838" s="34">
        <f>IF(A838="","",INT(A838))</f>
        <v/>
      </c>
      <c r="E838" s="35">
        <f>IF(B838="","",INDEX(Setup!$D$25:$D$84,B838))</f>
        <v/>
      </c>
      <c r="F838" s="36">
        <f>IF(B838="","",INDEX(Setup!$E$25:$E$84,B838))</f>
        <v/>
      </c>
      <c r="G838" s="32">
        <f>IF(B838="","",INDEX(Setup!$I$25:$I$84,B838)&amp;"")</f>
        <v/>
      </c>
      <c r="H838" s="32">
        <f>IF(B838="","",INDEX(Setup!$J$25:$J$84,B838)&amp;"")</f>
        <v/>
      </c>
      <c r="I838" s="32">
        <f>IF(B838="","",INDEX(Setup!$C$25:$C$84,B838))</f>
        <v/>
      </c>
      <c r="J838" s="32" t="n"/>
      <c r="K838" s="37" t="n"/>
      <c r="L838" s="38" t="n"/>
      <c r="M838" s="33" t="n"/>
      <c r="N838" s="33" t="n"/>
      <c r="O838" s="32" t="n"/>
      <c r="P838" s="34">
        <f>IF(A838="","",IF(K838&lt;&gt;"",K838,D838))</f>
        <v/>
      </c>
      <c r="Q838" s="36">
        <f>IF(A838="",0,IF(C838="✗",0,IF(OR(C838="✓",AND(Setup!$D$7="Yes",P838&lt;=TODAY())),IF(L838&lt;&gt;"",L838,F838),0)))</f>
        <v/>
      </c>
      <c r="R838" s="32">
        <f>IF(A838="","",IF(M838&lt;&gt;"",M838,G838))</f>
        <v/>
      </c>
      <c r="S838" s="32">
        <f>IF(A838="","",IF(N838&lt;&gt;"",N838,H838))</f>
        <v/>
      </c>
      <c r="T838" s="32">
        <f>IF(A838="","",IF(C838="✗","Skipped",IF(Q838&gt;0,"Paid","Upcoming")))</f>
        <v/>
      </c>
      <c r="U838" s="36">
        <f>IF(A838="",0,IF(C838="✗",0,IF(L838&lt;&gt;"",L838,F838)))</f>
        <v/>
      </c>
    </row>
    <row r="839">
      <c r="A839" s="39">
        <f>IFERROR(SMALL(Calc!$B$2:$BB$61,834),"")</f>
        <v/>
      </c>
      <c r="B839" s="39">
        <f>IF(A839="","",ROUND(MOD(A839,1)*1000,0))</f>
        <v/>
      </c>
      <c r="C839" s="33" t="n"/>
      <c r="D839" s="40">
        <f>IF(A839="","",INT(A839))</f>
        <v/>
      </c>
      <c r="E839" s="41">
        <f>IF(B839="","",INDEX(Setup!$D$25:$D$84,B839))</f>
        <v/>
      </c>
      <c r="F839" s="42">
        <f>IF(B839="","",INDEX(Setup!$E$25:$E$84,B839))</f>
        <v/>
      </c>
      <c r="G839" s="39">
        <f>IF(B839="","",INDEX(Setup!$I$25:$I$84,B839)&amp;"")</f>
        <v/>
      </c>
      <c r="H839" s="39">
        <f>IF(B839="","",INDEX(Setup!$J$25:$J$84,B839)&amp;"")</f>
        <v/>
      </c>
      <c r="I839" s="39">
        <f>IF(B839="","",INDEX(Setup!$C$25:$C$84,B839))</f>
        <v/>
      </c>
      <c r="J839" s="39" t="n"/>
      <c r="K839" s="37" t="n"/>
      <c r="L839" s="38" t="n"/>
      <c r="M839" s="33" t="n"/>
      <c r="N839" s="33" t="n"/>
      <c r="O839" s="39" t="n"/>
      <c r="P839" s="40">
        <f>IF(A839="","",IF(K839&lt;&gt;"",K839,D839))</f>
        <v/>
      </c>
      <c r="Q839" s="42">
        <f>IF(A839="",0,IF(C839="✗",0,IF(OR(C839="✓",AND(Setup!$D$7="Yes",P839&lt;=TODAY())),IF(L839&lt;&gt;"",L839,F839),0)))</f>
        <v/>
      </c>
      <c r="R839" s="39">
        <f>IF(A839="","",IF(M839&lt;&gt;"",M839,G839))</f>
        <v/>
      </c>
      <c r="S839" s="39">
        <f>IF(A839="","",IF(N839&lt;&gt;"",N839,H839))</f>
        <v/>
      </c>
      <c r="T839" s="39">
        <f>IF(A839="","",IF(C839="✗","Skipped",IF(Q839&gt;0,"Paid","Upcoming")))</f>
        <v/>
      </c>
      <c r="U839" s="42">
        <f>IF(A839="",0,IF(C839="✗",0,IF(L839&lt;&gt;"",L839,F839)))</f>
        <v/>
      </c>
    </row>
    <row r="840">
      <c r="A840" s="32">
        <f>IFERROR(SMALL(Calc!$B$2:$BB$61,835),"")</f>
        <v/>
      </c>
      <c r="B840" s="32">
        <f>IF(A840="","",ROUND(MOD(A840,1)*1000,0))</f>
        <v/>
      </c>
      <c r="C840" s="33" t="n"/>
      <c r="D840" s="34">
        <f>IF(A840="","",INT(A840))</f>
        <v/>
      </c>
      <c r="E840" s="35">
        <f>IF(B840="","",INDEX(Setup!$D$25:$D$84,B840))</f>
        <v/>
      </c>
      <c r="F840" s="36">
        <f>IF(B840="","",INDEX(Setup!$E$25:$E$84,B840))</f>
        <v/>
      </c>
      <c r="G840" s="32">
        <f>IF(B840="","",INDEX(Setup!$I$25:$I$84,B840)&amp;"")</f>
        <v/>
      </c>
      <c r="H840" s="32">
        <f>IF(B840="","",INDEX(Setup!$J$25:$J$84,B840)&amp;"")</f>
        <v/>
      </c>
      <c r="I840" s="32">
        <f>IF(B840="","",INDEX(Setup!$C$25:$C$84,B840))</f>
        <v/>
      </c>
      <c r="J840" s="32" t="n"/>
      <c r="K840" s="37" t="n"/>
      <c r="L840" s="38" t="n"/>
      <c r="M840" s="33" t="n"/>
      <c r="N840" s="33" t="n"/>
      <c r="O840" s="32" t="n"/>
      <c r="P840" s="34">
        <f>IF(A840="","",IF(K840&lt;&gt;"",K840,D840))</f>
        <v/>
      </c>
      <c r="Q840" s="36">
        <f>IF(A840="",0,IF(C840="✗",0,IF(OR(C840="✓",AND(Setup!$D$7="Yes",P840&lt;=TODAY())),IF(L840&lt;&gt;"",L840,F840),0)))</f>
        <v/>
      </c>
      <c r="R840" s="32">
        <f>IF(A840="","",IF(M840&lt;&gt;"",M840,G840))</f>
        <v/>
      </c>
      <c r="S840" s="32">
        <f>IF(A840="","",IF(N840&lt;&gt;"",N840,H840))</f>
        <v/>
      </c>
      <c r="T840" s="32">
        <f>IF(A840="","",IF(C840="✗","Skipped",IF(Q840&gt;0,"Paid","Upcoming")))</f>
        <v/>
      </c>
      <c r="U840" s="36">
        <f>IF(A840="",0,IF(C840="✗",0,IF(L840&lt;&gt;"",L840,F840)))</f>
        <v/>
      </c>
    </row>
    <row r="841">
      <c r="A841" s="39">
        <f>IFERROR(SMALL(Calc!$B$2:$BB$61,836),"")</f>
        <v/>
      </c>
      <c r="B841" s="39">
        <f>IF(A841="","",ROUND(MOD(A841,1)*1000,0))</f>
        <v/>
      </c>
      <c r="C841" s="33" t="n"/>
      <c r="D841" s="40">
        <f>IF(A841="","",INT(A841))</f>
        <v/>
      </c>
      <c r="E841" s="41">
        <f>IF(B841="","",INDEX(Setup!$D$25:$D$84,B841))</f>
        <v/>
      </c>
      <c r="F841" s="42">
        <f>IF(B841="","",INDEX(Setup!$E$25:$E$84,B841))</f>
        <v/>
      </c>
      <c r="G841" s="39">
        <f>IF(B841="","",INDEX(Setup!$I$25:$I$84,B841)&amp;"")</f>
        <v/>
      </c>
      <c r="H841" s="39">
        <f>IF(B841="","",INDEX(Setup!$J$25:$J$84,B841)&amp;"")</f>
        <v/>
      </c>
      <c r="I841" s="39">
        <f>IF(B841="","",INDEX(Setup!$C$25:$C$84,B841))</f>
        <v/>
      </c>
      <c r="J841" s="39" t="n"/>
      <c r="K841" s="37" t="n"/>
      <c r="L841" s="38" t="n"/>
      <c r="M841" s="33" t="n"/>
      <c r="N841" s="33" t="n"/>
      <c r="O841" s="39" t="n"/>
      <c r="P841" s="40">
        <f>IF(A841="","",IF(K841&lt;&gt;"",K841,D841))</f>
        <v/>
      </c>
      <c r="Q841" s="42">
        <f>IF(A841="",0,IF(C841="✗",0,IF(OR(C841="✓",AND(Setup!$D$7="Yes",P841&lt;=TODAY())),IF(L841&lt;&gt;"",L841,F841),0)))</f>
        <v/>
      </c>
      <c r="R841" s="39">
        <f>IF(A841="","",IF(M841&lt;&gt;"",M841,G841))</f>
        <v/>
      </c>
      <c r="S841" s="39">
        <f>IF(A841="","",IF(N841&lt;&gt;"",N841,H841))</f>
        <v/>
      </c>
      <c r="T841" s="39">
        <f>IF(A841="","",IF(C841="✗","Skipped",IF(Q841&gt;0,"Paid","Upcoming")))</f>
        <v/>
      </c>
      <c r="U841" s="42">
        <f>IF(A841="",0,IF(C841="✗",0,IF(L841&lt;&gt;"",L841,F841)))</f>
        <v/>
      </c>
    </row>
    <row r="842">
      <c r="A842" s="32">
        <f>IFERROR(SMALL(Calc!$B$2:$BB$61,837),"")</f>
        <v/>
      </c>
      <c r="B842" s="32">
        <f>IF(A842="","",ROUND(MOD(A842,1)*1000,0))</f>
        <v/>
      </c>
      <c r="C842" s="33" t="n"/>
      <c r="D842" s="34">
        <f>IF(A842="","",INT(A842))</f>
        <v/>
      </c>
      <c r="E842" s="35">
        <f>IF(B842="","",INDEX(Setup!$D$25:$D$84,B842))</f>
        <v/>
      </c>
      <c r="F842" s="36">
        <f>IF(B842="","",INDEX(Setup!$E$25:$E$84,B842))</f>
        <v/>
      </c>
      <c r="G842" s="32">
        <f>IF(B842="","",INDEX(Setup!$I$25:$I$84,B842)&amp;"")</f>
        <v/>
      </c>
      <c r="H842" s="32">
        <f>IF(B842="","",INDEX(Setup!$J$25:$J$84,B842)&amp;"")</f>
        <v/>
      </c>
      <c r="I842" s="32">
        <f>IF(B842="","",INDEX(Setup!$C$25:$C$84,B842))</f>
        <v/>
      </c>
      <c r="J842" s="32" t="n"/>
      <c r="K842" s="37" t="n"/>
      <c r="L842" s="38" t="n"/>
      <c r="M842" s="33" t="n"/>
      <c r="N842" s="33" t="n"/>
      <c r="O842" s="32" t="n"/>
      <c r="P842" s="34">
        <f>IF(A842="","",IF(K842&lt;&gt;"",K842,D842))</f>
        <v/>
      </c>
      <c r="Q842" s="36">
        <f>IF(A842="",0,IF(C842="✗",0,IF(OR(C842="✓",AND(Setup!$D$7="Yes",P842&lt;=TODAY())),IF(L842&lt;&gt;"",L842,F842),0)))</f>
        <v/>
      </c>
      <c r="R842" s="32">
        <f>IF(A842="","",IF(M842&lt;&gt;"",M842,G842))</f>
        <v/>
      </c>
      <c r="S842" s="32">
        <f>IF(A842="","",IF(N842&lt;&gt;"",N842,H842))</f>
        <v/>
      </c>
      <c r="T842" s="32">
        <f>IF(A842="","",IF(C842="✗","Skipped",IF(Q842&gt;0,"Paid","Upcoming")))</f>
        <v/>
      </c>
      <c r="U842" s="36">
        <f>IF(A842="",0,IF(C842="✗",0,IF(L842&lt;&gt;"",L842,F842)))</f>
        <v/>
      </c>
    </row>
    <row r="843">
      <c r="A843" s="39">
        <f>IFERROR(SMALL(Calc!$B$2:$BB$61,838),"")</f>
        <v/>
      </c>
      <c r="B843" s="39">
        <f>IF(A843="","",ROUND(MOD(A843,1)*1000,0))</f>
        <v/>
      </c>
      <c r="C843" s="33" t="n"/>
      <c r="D843" s="40">
        <f>IF(A843="","",INT(A843))</f>
        <v/>
      </c>
      <c r="E843" s="41">
        <f>IF(B843="","",INDEX(Setup!$D$25:$D$84,B843))</f>
        <v/>
      </c>
      <c r="F843" s="42">
        <f>IF(B843="","",INDEX(Setup!$E$25:$E$84,B843))</f>
        <v/>
      </c>
      <c r="G843" s="39">
        <f>IF(B843="","",INDEX(Setup!$I$25:$I$84,B843)&amp;"")</f>
        <v/>
      </c>
      <c r="H843" s="39">
        <f>IF(B843="","",INDEX(Setup!$J$25:$J$84,B843)&amp;"")</f>
        <v/>
      </c>
      <c r="I843" s="39">
        <f>IF(B843="","",INDEX(Setup!$C$25:$C$84,B843))</f>
        <v/>
      </c>
      <c r="J843" s="39" t="n"/>
      <c r="K843" s="37" t="n"/>
      <c r="L843" s="38" t="n"/>
      <c r="M843" s="33" t="n"/>
      <c r="N843" s="33" t="n"/>
      <c r="O843" s="39" t="n"/>
      <c r="P843" s="40">
        <f>IF(A843="","",IF(K843&lt;&gt;"",K843,D843))</f>
        <v/>
      </c>
      <c r="Q843" s="42">
        <f>IF(A843="",0,IF(C843="✗",0,IF(OR(C843="✓",AND(Setup!$D$7="Yes",P843&lt;=TODAY())),IF(L843&lt;&gt;"",L843,F843),0)))</f>
        <v/>
      </c>
      <c r="R843" s="39">
        <f>IF(A843="","",IF(M843&lt;&gt;"",M843,G843))</f>
        <v/>
      </c>
      <c r="S843" s="39">
        <f>IF(A843="","",IF(N843&lt;&gt;"",N843,H843))</f>
        <v/>
      </c>
      <c r="T843" s="39">
        <f>IF(A843="","",IF(C843="✗","Skipped",IF(Q843&gt;0,"Paid","Upcoming")))</f>
        <v/>
      </c>
      <c r="U843" s="42">
        <f>IF(A843="",0,IF(C843="✗",0,IF(L843&lt;&gt;"",L843,F843)))</f>
        <v/>
      </c>
    </row>
    <row r="844">
      <c r="A844" s="32">
        <f>IFERROR(SMALL(Calc!$B$2:$BB$61,839),"")</f>
        <v/>
      </c>
      <c r="B844" s="32">
        <f>IF(A844="","",ROUND(MOD(A844,1)*1000,0))</f>
        <v/>
      </c>
      <c r="C844" s="33" t="n"/>
      <c r="D844" s="34">
        <f>IF(A844="","",INT(A844))</f>
        <v/>
      </c>
      <c r="E844" s="35">
        <f>IF(B844="","",INDEX(Setup!$D$25:$D$84,B844))</f>
        <v/>
      </c>
      <c r="F844" s="36">
        <f>IF(B844="","",INDEX(Setup!$E$25:$E$84,B844))</f>
        <v/>
      </c>
      <c r="G844" s="32">
        <f>IF(B844="","",INDEX(Setup!$I$25:$I$84,B844)&amp;"")</f>
        <v/>
      </c>
      <c r="H844" s="32">
        <f>IF(B844="","",INDEX(Setup!$J$25:$J$84,B844)&amp;"")</f>
        <v/>
      </c>
      <c r="I844" s="32">
        <f>IF(B844="","",INDEX(Setup!$C$25:$C$84,B844))</f>
        <v/>
      </c>
      <c r="J844" s="32" t="n"/>
      <c r="K844" s="37" t="n"/>
      <c r="L844" s="38" t="n"/>
      <c r="M844" s="33" t="n"/>
      <c r="N844" s="33" t="n"/>
      <c r="O844" s="32" t="n"/>
      <c r="P844" s="34">
        <f>IF(A844="","",IF(K844&lt;&gt;"",K844,D844))</f>
        <v/>
      </c>
      <c r="Q844" s="36">
        <f>IF(A844="",0,IF(C844="✗",0,IF(OR(C844="✓",AND(Setup!$D$7="Yes",P844&lt;=TODAY())),IF(L844&lt;&gt;"",L844,F844),0)))</f>
        <v/>
      </c>
      <c r="R844" s="32">
        <f>IF(A844="","",IF(M844&lt;&gt;"",M844,G844))</f>
        <v/>
      </c>
      <c r="S844" s="32">
        <f>IF(A844="","",IF(N844&lt;&gt;"",N844,H844))</f>
        <v/>
      </c>
      <c r="T844" s="32">
        <f>IF(A844="","",IF(C844="✗","Skipped",IF(Q844&gt;0,"Paid","Upcoming")))</f>
        <v/>
      </c>
      <c r="U844" s="36">
        <f>IF(A844="",0,IF(C844="✗",0,IF(L844&lt;&gt;"",L844,F844)))</f>
        <v/>
      </c>
    </row>
    <row r="845">
      <c r="A845" s="39">
        <f>IFERROR(SMALL(Calc!$B$2:$BB$61,840),"")</f>
        <v/>
      </c>
      <c r="B845" s="39">
        <f>IF(A845="","",ROUND(MOD(A845,1)*1000,0))</f>
        <v/>
      </c>
      <c r="C845" s="33" t="n"/>
      <c r="D845" s="40">
        <f>IF(A845="","",INT(A845))</f>
        <v/>
      </c>
      <c r="E845" s="41">
        <f>IF(B845="","",INDEX(Setup!$D$25:$D$84,B845))</f>
        <v/>
      </c>
      <c r="F845" s="42">
        <f>IF(B845="","",INDEX(Setup!$E$25:$E$84,B845))</f>
        <v/>
      </c>
      <c r="G845" s="39">
        <f>IF(B845="","",INDEX(Setup!$I$25:$I$84,B845)&amp;"")</f>
        <v/>
      </c>
      <c r="H845" s="39">
        <f>IF(B845="","",INDEX(Setup!$J$25:$J$84,B845)&amp;"")</f>
        <v/>
      </c>
      <c r="I845" s="39">
        <f>IF(B845="","",INDEX(Setup!$C$25:$C$84,B845))</f>
        <v/>
      </c>
      <c r="J845" s="39" t="n"/>
      <c r="K845" s="37" t="n"/>
      <c r="L845" s="38" t="n"/>
      <c r="M845" s="33" t="n"/>
      <c r="N845" s="33" t="n"/>
      <c r="O845" s="39" t="n"/>
      <c r="P845" s="40">
        <f>IF(A845="","",IF(K845&lt;&gt;"",K845,D845))</f>
        <v/>
      </c>
      <c r="Q845" s="42">
        <f>IF(A845="",0,IF(C845="✗",0,IF(OR(C845="✓",AND(Setup!$D$7="Yes",P845&lt;=TODAY())),IF(L845&lt;&gt;"",L845,F845),0)))</f>
        <v/>
      </c>
      <c r="R845" s="39">
        <f>IF(A845="","",IF(M845&lt;&gt;"",M845,G845))</f>
        <v/>
      </c>
      <c r="S845" s="39">
        <f>IF(A845="","",IF(N845&lt;&gt;"",N845,H845))</f>
        <v/>
      </c>
      <c r="T845" s="39">
        <f>IF(A845="","",IF(C845="✗","Skipped",IF(Q845&gt;0,"Paid","Upcoming")))</f>
        <v/>
      </c>
      <c r="U845" s="42">
        <f>IF(A845="",0,IF(C845="✗",0,IF(L845&lt;&gt;"",L845,F845)))</f>
        <v/>
      </c>
    </row>
    <row r="846">
      <c r="A846" s="32">
        <f>IFERROR(SMALL(Calc!$B$2:$BB$61,841),"")</f>
        <v/>
      </c>
      <c r="B846" s="32">
        <f>IF(A846="","",ROUND(MOD(A846,1)*1000,0))</f>
        <v/>
      </c>
      <c r="C846" s="33" t="n"/>
      <c r="D846" s="34">
        <f>IF(A846="","",INT(A846))</f>
        <v/>
      </c>
      <c r="E846" s="35">
        <f>IF(B846="","",INDEX(Setup!$D$25:$D$84,B846))</f>
        <v/>
      </c>
      <c r="F846" s="36">
        <f>IF(B846="","",INDEX(Setup!$E$25:$E$84,B846))</f>
        <v/>
      </c>
      <c r="G846" s="32">
        <f>IF(B846="","",INDEX(Setup!$I$25:$I$84,B846)&amp;"")</f>
        <v/>
      </c>
      <c r="H846" s="32">
        <f>IF(B846="","",INDEX(Setup!$J$25:$J$84,B846)&amp;"")</f>
        <v/>
      </c>
      <c r="I846" s="32">
        <f>IF(B846="","",INDEX(Setup!$C$25:$C$84,B846))</f>
        <v/>
      </c>
      <c r="J846" s="32" t="n"/>
      <c r="K846" s="37" t="n"/>
      <c r="L846" s="38" t="n"/>
      <c r="M846" s="33" t="n"/>
      <c r="N846" s="33" t="n"/>
      <c r="O846" s="32" t="n"/>
      <c r="P846" s="34">
        <f>IF(A846="","",IF(K846&lt;&gt;"",K846,D846))</f>
        <v/>
      </c>
      <c r="Q846" s="36">
        <f>IF(A846="",0,IF(C846="✗",0,IF(OR(C846="✓",AND(Setup!$D$7="Yes",P846&lt;=TODAY())),IF(L846&lt;&gt;"",L846,F846),0)))</f>
        <v/>
      </c>
      <c r="R846" s="32">
        <f>IF(A846="","",IF(M846&lt;&gt;"",M846,G846))</f>
        <v/>
      </c>
      <c r="S846" s="32">
        <f>IF(A846="","",IF(N846&lt;&gt;"",N846,H846))</f>
        <v/>
      </c>
      <c r="T846" s="32">
        <f>IF(A846="","",IF(C846="✗","Skipped",IF(Q846&gt;0,"Paid","Upcoming")))</f>
        <v/>
      </c>
      <c r="U846" s="36">
        <f>IF(A846="",0,IF(C846="✗",0,IF(L846&lt;&gt;"",L846,F846)))</f>
        <v/>
      </c>
    </row>
    <row r="847">
      <c r="A847" s="39">
        <f>IFERROR(SMALL(Calc!$B$2:$BB$61,842),"")</f>
        <v/>
      </c>
      <c r="B847" s="39">
        <f>IF(A847="","",ROUND(MOD(A847,1)*1000,0))</f>
        <v/>
      </c>
      <c r="C847" s="33" t="n"/>
      <c r="D847" s="40">
        <f>IF(A847="","",INT(A847))</f>
        <v/>
      </c>
      <c r="E847" s="41">
        <f>IF(B847="","",INDEX(Setup!$D$25:$D$84,B847))</f>
        <v/>
      </c>
      <c r="F847" s="42">
        <f>IF(B847="","",INDEX(Setup!$E$25:$E$84,B847))</f>
        <v/>
      </c>
      <c r="G847" s="39">
        <f>IF(B847="","",INDEX(Setup!$I$25:$I$84,B847)&amp;"")</f>
        <v/>
      </c>
      <c r="H847" s="39">
        <f>IF(B847="","",INDEX(Setup!$J$25:$J$84,B847)&amp;"")</f>
        <v/>
      </c>
      <c r="I847" s="39">
        <f>IF(B847="","",INDEX(Setup!$C$25:$C$84,B847))</f>
        <v/>
      </c>
      <c r="J847" s="39" t="n"/>
      <c r="K847" s="37" t="n"/>
      <c r="L847" s="38" t="n"/>
      <c r="M847" s="33" t="n"/>
      <c r="N847" s="33" t="n"/>
      <c r="O847" s="39" t="n"/>
      <c r="P847" s="40">
        <f>IF(A847="","",IF(K847&lt;&gt;"",K847,D847))</f>
        <v/>
      </c>
      <c r="Q847" s="42">
        <f>IF(A847="",0,IF(C847="✗",0,IF(OR(C847="✓",AND(Setup!$D$7="Yes",P847&lt;=TODAY())),IF(L847&lt;&gt;"",L847,F847),0)))</f>
        <v/>
      </c>
      <c r="R847" s="39">
        <f>IF(A847="","",IF(M847&lt;&gt;"",M847,G847))</f>
        <v/>
      </c>
      <c r="S847" s="39">
        <f>IF(A847="","",IF(N847&lt;&gt;"",N847,H847))</f>
        <v/>
      </c>
      <c r="T847" s="39">
        <f>IF(A847="","",IF(C847="✗","Skipped",IF(Q847&gt;0,"Paid","Upcoming")))</f>
        <v/>
      </c>
      <c r="U847" s="42">
        <f>IF(A847="",0,IF(C847="✗",0,IF(L847&lt;&gt;"",L847,F847)))</f>
        <v/>
      </c>
    </row>
    <row r="848">
      <c r="A848" s="32">
        <f>IFERROR(SMALL(Calc!$B$2:$BB$61,843),"")</f>
        <v/>
      </c>
      <c r="B848" s="32">
        <f>IF(A848="","",ROUND(MOD(A848,1)*1000,0))</f>
        <v/>
      </c>
      <c r="C848" s="33" t="n"/>
      <c r="D848" s="34">
        <f>IF(A848="","",INT(A848))</f>
        <v/>
      </c>
      <c r="E848" s="35">
        <f>IF(B848="","",INDEX(Setup!$D$25:$D$84,B848))</f>
        <v/>
      </c>
      <c r="F848" s="36">
        <f>IF(B848="","",INDEX(Setup!$E$25:$E$84,B848))</f>
        <v/>
      </c>
      <c r="G848" s="32">
        <f>IF(B848="","",INDEX(Setup!$I$25:$I$84,B848)&amp;"")</f>
        <v/>
      </c>
      <c r="H848" s="32">
        <f>IF(B848="","",INDEX(Setup!$J$25:$J$84,B848)&amp;"")</f>
        <v/>
      </c>
      <c r="I848" s="32">
        <f>IF(B848="","",INDEX(Setup!$C$25:$C$84,B848))</f>
        <v/>
      </c>
      <c r="J848" s="32" t="n"/>
      <c r="K848" s="37" t="n"/>
      <c r="L848" s="38" t="n"/>
      <c r="M848" s="33" t="n"/>
      <c r="N848" s="33" t="n"/>
      <c r="O848" s="32" t="n"/>
      <c r="P848" s="34">
        <f>IF(A848="","",IF(K848&lt;&gt;"",K848,D848))</f>
        <v/>
      </c>
      <c r="Q848" s="36">
        <f>IF(A848="",0,IF(C848="✗",0,IF(OR(C848="✓",AND(Setup!$D$7="Yes",P848&lt;=TODAY())),IF(L848&lt;&gt;"",L848,F848),0)))</f>
        <v/>
      </c>
      <c r="R848" s="32">
        <f>IF(A848="","",IF(M848&lt;&gt;"",M848,G848))</f>
        <v/>
      </c>
      <c r="S848" s="32">
        <f>IF(A848="","",IF(N848&lt;&gt;"",N848,H848))</f>
        <v/>
      </c>
      <c r="T848" s="32">
        <f>IF(A848="","",IF(C848="✗","Skipped",IF(Q848&gt;0,"Paid","Upcoming")))</f>
        <v/>
      </c>
      <c r="U848" s="36">
        <f>IF(A848="",0,IF(C848="✗",0,IF(L848&lt;&gt;"",L848,F848)))</f>
        <v/>
      </c>
    </row>
    <row r="849">
      <c r="A849" s="39">
        <f>IFERROR(SMALL(Calc!$B$2:$BB$61,844),"")</f>
        <v/>
      </c>
      <c r="B849" s="39">
        <f>IF(A849="","",ROUND(MOD(A849,1)*1000,0))</f>
        <v/>
      </c>
      <c r="C849" s="33" t="n"/>
      <c r="D849" s="40">
        <f>IF(A849="","",INT(A849))</f>
        <v/>
      </c>
      <c r="E849" s="41">
        <f>IF(B849="","",INDEX(Setup!$D$25:$D$84,B849))</f>
        <v/>
      </c>
      <c r="F849" s="42">
        <f>IF(B849="","",INDEX(Setup!$E$25:$E$84,B849))</f>
        <v/>
      </c>
      <c r="G849" s="39">
        <f>IF(B849="","",INDEX(Setup!$I$25:$I$84,B849)&amp;"")</f>
        <v/>
      </c>
      <c r="H849" s="39">
        <f>IF(B849="","",INDEX(Setup!$J$25:$J$84,B849)&amp;"")</f>
        <v/>
      </c>
      <c r="I849" s="39">
        <f>IF(B849="","",INDEX(Setup!$C$25:$C$84,B849))</f>
        <v/>
      </c>
      <c r="J849" s="39" t="n"/>
      <c r="K849" s="37" t="n"/>
      <c r="L849" s="38" t="n"/>
      <c r="M849" s="33" t="n"/>
      <c r="N849" s="33" t="n"/>
      <c r="O849" s="39" t="n"/>
      <c r="P849" s="40">
        <f>IF(A849="","",IF(K849&lt;&gt;"",K849,D849))</f>
        <v/>
      </c>
      <c r="Q849" s="42">
        <f>IF(A849="",0,IF(C849="✗",0,IF(OR(C849="✓",AND(Setup!$D$7="Yes",P849&lt;=TODAY())),IF(L849&lt;&gt;"",L849,F849),0)))</f>
        <v/>
      </c>
      <c r="R849" s="39">
        <f>IF(A849="","",IF(M849&lt;&gt;"",M849,G849))</f>
        <v/>
      </c>
      <c r="S849" s="39">
        <f>IF(A849="","",IF(N849&lt;&gt;"",N849,H849))</f>
        <v/>
      </c>
      <c r="T849" s="39">
        <f>IF(A849="","",IF(C849="✗","Skipped",IF(Q849&gt;0,"Paid","Upcoming")))</f>
        <v/>
      </c>
      <c r="U849" s="42">
        <f>IF(A849="",0,IF(C849="✗",0,IF(L849&lt;&gt;"",L849,F849)))</f>
        <v/>
      </c>
    </row>
    <row r="850">
      <c r="A850" s="32">
        <f>IFERROR(SMALL(Calc!$B$2:$BB$61,845),"")</f>
        <v/>
      </c>
      <c r="B850" s="32">
        <f>IF(A850="","",ROUND(MOD(A850,1)*1000,0))</f>
        <v/>
      </c>
      <c r="C850" s="33" t="n"/>
      <c r="D850" s="34">
        <f>IF(A850="","",INT(A850))</f>
        <v/>
      </c>
      <c r="E850" s="35">
        <f>IF(B850="","",INDEX(Setup!$D$25:$D$84,B850))</f>
        <v/>
      </c>
      <c r="F850" s="36">
        <f>IF(B850="","",INDEX(Setup!$E$25:$E$84,B850))</f>
        <v/>
      </c>
      <c r="G850" s="32">
        <f>IF(B850="","",INDEX(Setup!$I$25:$I$84,B850)&amp;"")</f>
        <v/>
      </c>
      <c r="H850" s="32">
        <f>IF(B850="","",INDEX(Setup!$J$25:$J$84,B850)&amp;"")</f>
        <v/>
      </c>
      <c r="I850" s="32">
        <f>IF(B850="","",INDEX(Setup!$C$25:$C$84,B850))</f>
        <v/>
      </c>
      <c r="J850" s="32" t="n"/>
      <c r="K850" s="37" t="n"/>
      <c r="L850" s="38" t="n"/>
      <c r="M850" s="33" t="n"/>
      <c r="N850" s="33" t="n"/>
      <c r="O850" s="32" t="n"/>
      <c r="P850" s="34">
        <f>IF(A850="","",IF(K850&lt;&gt;"",K850,D850))</f>
        <v/>
      </c>
      <c r="Q850" s="36">
        <f>IF(A850="",0,IF(C850="✗",0,IF(OR(C850="✓",AND(Setup!$D$7="Yes",P850&lt;=TODAY())),IF(L850&lt;&gt;"",L850,F850),0)))</f>
        <v/>
      </c>
      <c r="R850" s="32">
        <f>IF(A850="","",IF(M850&lt;&gt;"",M850,G850))</f>
        <v/>
      </c>
      <c r="S850" s="32">
        <f>IF(A850="","",IF(N850&lt;&gt;"",N850,H850))</f>
        <v/>
      </c>
      <c r="T850" s="32">
        <f>IF(A850="","",IF(C850="✗","Skipped",IF(Q850&gt;0,"Paid","Upcoming")))</f>
        <v/>
      </c>
      <c r="U850" s="36">
        <f>IF(A850="",0,IF(C850="✗",0,IF(L850&lt;&gt;"",L850,F850)))</f>
        <v/>
      </c>
    </row>
    <row r="851">
      <c r="A851" s="39">
        <f>IFERROR(SMALL(Calc!$B$2:$BB$61,846),"")</f>
        <v/>
      </c>
      <c r="B851" s="39">
        <f>IF(A851="","",ROUND(MOD(A851,1)*1000,0))</f>
        <v/>
      </c>
      <c r="C851" s="33" t="n"/>
      <c r="D851" s="40">
        <f>IF(A851="","",INT(A851))</f>
        <v/>
      </c>
      <c r="E851" s="41">
        <f>IF(B851="","",INDEX(Setup!$D$25:$D$84,B851))</f>
        <v/>
      </c>
      <c r="F851" s="42">
        <f>IF(B851="","",INDEX(Setup!$E$25:$E$84,B851))</f>
        <v/>
      </c>
      <c r="G851" s="39">
        <f>IF(B851="","",INDEX(Setup!$I$25:$I$84,B851)&amp;"")</f>
        <v/>
      </c>
      <c r="H851" s="39">
        <f>IF(B851="","",INDEX(Setup!$J$25:$J$84,B851)&amp;"")</f>
        <v/>
      </c>
      <c r="I851" s="39">
        <f>IF(B851="","",INDEX(Setup!$C$25:$C$84,B851))</f>
        <v/>
      </c>
      <c r="J851" s="39" t="n"/>
      <c r="K851" s="37" t="n"/>
      <c r="L851" s="38" t="n"/>
      <c r="M851" s="33" t="n"/>
      <c r="N851" s="33" t="n"/>
      <c r="O851" s="39" t="n"/>
      <c r="P851" s="40">
        <f>IF(A851="","",IF(K851&lt;&gt;"",K851,D851))</f>
        <v/>
      </c>
      <c r="Q851" s="42">
        <f>IF(A851="",0,IF(C851="✗",0,IF(OR(C851="✓",AND(Setup!$D$7="Yes",P851&lt;=TODAY())),IF(L851&lt;&gt;"",L851,F851),0)))</f>
        <v/>
      </c>
      <c r="R851" s="39">
        <f>IF(A851="","",IF(M851&lt;&gt;"",M851,G851))</f>
        <v/>
      </c>
      <c r="S851" s="39">
        <f>IF(A851="","",IF(N851&lt;&gt;"",N851,H851))</f>
        <v/>
      </c>
      <c r="T851" s="39">
        <f>IF(A851="","",IF(C851="✗","Skipped",IF(Q851&gt;0,"Paid","Upcoming")))</f>
        <v/>
      </c>
      <c r="U851" s="42">
        <f>IF(A851="",0,IF(C851="✗",0,IF(L851&lt;&gt;"",L851,F851)))</f>
        <v/>
      </c>
    </row>
    <row r="852">
      <c r="A852" s="32">
        <f>IFERROR(SMALL(Calc!$B$2:$BB$61,847),"")</f>
        <v/>
      </c>
      <c r="B852" s="32">
        <f>IF(A852="","",ROUND(MOD(A852,1)*1000,0))</f>
        <v/>
      </c>
      <c r="C852" s="33" t="n"/>
      <c r="D852" s="34">
        <f>IF(A852="","",INT(A852))</f>
        <v/>
      </c>
      <c r="E852" s="35">
        <f>IF(B852="","",INDEX(Setup!$D$25:$D$84,B852))</f>
        <v/>
      </c>
      <c r="F852" s="36">
        <f>IF(B852="","",INDEX(Setup!$E$25:$E$84,B852))</f>
        <v/>
      </c>
      <c r="G852" s="32">
        <f>IF(B852="","",INDEX(Setup!$I$25:$I$84,B852)&amp;"")</f>
        <v/>
      </c>
      <c r="H852" s="32">
        <f>IF(B852="","",INDEX(Setup!$J$25:$J$84,B852)&amp;"")</f>
        <v/>
      </c>
      <c r="I852" s="32">
        <f>IF(B852="","",INDEX(Setup!$C$25:$C$84,B852))</f>
        <v/>
      </c>
      <c r="J852" s="32" t="n"/>
      <c r="K852" s="37" t="n"/>
      <c r="L852" s="38" t="n"/>
      <c r="M852" s="33" t="n"/>
      <c r="N852" s="33" t="n"/>
      <c r="O852" s="32" t="n"/>
      <c r="P852" s="34">
        <f>IF(A852="","",IF(K852&lt;&gt;"",K852,D852))</f>
        <v/>
      </c>
      <c r="Q852" s="36">
        <f>IF(A852="",0,IF(C852="✗",0,IF(OR(C852="✓",AND(Setup!$D$7="Yes",P852&lt;=TODAY())),IF(L852&lt;&gt;"",L852,F852),0)))</f>
        <v/>
      </c>
      <c r="R852" s="32">
        <f>IF(A852="","",IF(M852&lt;&gt;"",M852,G852))</f>
        <v/>
      </c>
      <c r="S852" s="32">
        <f>IF(A852="","",IF(N852&lt;&gt;"",N852,H852))</f>
        <v/>
      </c>
      <c r="T852" s="32">
        <f>IF(A852="","",IF(C852="✗","Skipped",IF(Q852&gt;0,"Paid","Upcoming")))</f>
        <v/>
      </c>
      <c r="U852" s="36">
        <f>IF(A852="",0,IF(C852="✗",0,IF(L852&lt;&gt;"",L852,F852)))</f>
        <v/>
      </c>
    </row>
    <row r="853">
      <c r="A853" s="39">
        <f>IFERROR(SMALL(Calc!$B$2:$BB$61,848),"")</f>
        <v/>
      </c>
      <c r="B853" s="39">
        <f>IF(A853="","",ROUND(MOD(A853,1)*1000,0))</f>
        <v/>
      </c>
      <c r="C853" s="33" t="n"/>
      <c r="D853" s="40">
        <f>IF(A853="","",INT(A853))</f>
        <v/>
      </c>
      <c r="E853" s="41">
        <f>IF(B853="","",INDEX(Setup!$D$25:$D$84,B853))</f>
        <v/>
      </c>
      <c r="F853" s="42">
        <f>IF(B853="","",INDEX(Setup!$E$25:$E$84,B853))</f>
        <v/>
      </c>
      <c r="G853" s="39">
        <f>IF(B853="","",INDEX(Setup!$I$25:$I$84,B853)&amp;"")</f>
        <v/>
      </c>
      <c r="H853" s="39">
        <f>IF(B853="","",INDEX(Setup!$J$25:$J$84,B853)&amp;"")</f>
        <v/>
      </c>
      <c r="I853" s="39">
        <f>IF(B853="","",INDEX(Setup!$C$25:$C$84,B853))</f>
        <v/>
      </c>
      <c r="J853" s="39" t="n"/>
      <c r="K853" s="37" t="n"/>
      <c r="L853" s="38" t="n"/>
      <c r="M853" s="33" t="n"/>
      <c r="N853" s="33" t="n"/>
      <c r="O853" s="39" t="n"/>
      <c r="P853" s="40">
        <f>IF(A853="","",IF(K853&lt;&gt;"",K853,D853))</f>
        <v/>
      </c>
      <c r="Q853" s="42">
        <f>IF(A853="",0,IF(C853="✗",0,IF(OR(C853="✓",AND(Setup!$D$7="Yes",P853&lt;=TODAY())),IF(L853&lt;&gt;"",L853,F853),0)))</f>
        <v/>
      </c>
      <c r="R853" s="39">
        <f>IF(A853="","",IF(M853&lt;&gt;"",M853,G853))</f>
        <v/>
      </c>
      <c r="S853" s="39">
        <f>IF(A853="","",IF(N853&lt;&gt;"",N853,H853))</f>
        <v/>
      </c>
      <c r="T853" s="39">
        <f>IF(A853="","",IF(C853="✗","Skipped",IF(Q853&gt;0,"Paid","Upcoming")))</f>
        <v/>
      </c>
      <c r="U853" s="42">
        <f>IF(A853="",0,IF(C853="✗",0,IF(L853&lt;&gt;"",L853,F853)))</f>
        <v/>
      </c>
    </row>
    <row r="854">
      <c r="A854" s="32">
        <f>IFERROR(SMALL(Calc!$B$2:$BB$61,849),"")</f>
        <v/>
      </c>
      <c r="B854" s="32">
        <f>IF(A854="","",ROUND(MOD(A854,1)*1000,0))</f>
        <v/>
      </c>
      <c r="C854" s="33" t="n"/>
      <c r="D854" s="34">
        <f>IF(A854="","",INT(A854))</f>
        <v/>
      </c>
      <c r="E854" s="35">
        <f>IF(B854="","",INDEX(Setup!$D$25:$D$84,B854))</f>
        <v/>
      </c>
      <c r="F854" s="36">
        <f>IF(B854="","",INDEX(Setup!$E$25:$E$84,B854))</f>
        <v/>
      </c>
      <c r="G854" s="32">
        <f>IF(B854="","",INDEX(Setup!$I$25:$I$84,B854)&amp;"")</f>
        <v/>
      </c>
      <c r="H854" s="32">
        <f>IF(B854="","",INDEX(Setup!$J$25:$J$84,B854)&amp;"")</f>
        <v/>
      </c>
      <c r="I854" s="32">
        <f>IF(B854="","",INDEX(Setup!$C$25:$C$84,B854))</f>
        <v/>
      </c>
      <c r="J854" s="32" t="n"/>
      <c r="K854" s="37" t="n"/>
      <c r="L854" s="38" t="n"/>
      <c r="M854" s="33" t="n"/>
      <c r="N854" s="33" t="n"/>
      <c r="O854" s="32" t="n"/>
      <c r="P854" s="34">
        <f>IF(A854="","",IF(K854&lt;&gt;"",K854,D854))</f>
        <v/>
      </c>
      <c r="Q854" s="36">
        <f>IF(A854="",0,IF(C854="✗",0,IF(OR(C854="✓",AND(Setup!$D$7="Yes",P854&lt;=TODAY())),IF(L854&lt;&gt;"",L854,F854),0)))</f>
        <v/>
      </c>
      <c r="R854" s="32">
        <f>IF(A854="","",IF(M854&lt;&gt;"",M854,G854))</f>
        <v/>
      </c>
      <c r="S854" s="32">
        <f>IF(A854="","",IF(N854&lt;&gt;"",N854,H854))</f>
        <v/>
      </c>
      <c r="T854" s="32">
        <f>IF(A854="","",IF(C854="✗","Skipped",IF(Q854&gt;0,"Paid","Upcoming")))</f>
        <v/>
      </c>
      <c r="U854" s="36">
        <f>IF(A854="",0,IF(C854="✗",0,IF(L854&lt;&gt;"",L854,F854)))</f>
        <v/>
      </c>
    </row>
    <row r="855">
      <c r="A855" s="39">
        <f>IFERROR(SMALL(Calc!$B$2:$BB$61,850),"")</f>
        <v/>
      </c>
      <c r="B855" s="39">
        <f>IF(A855="","",ROUND(MOD(A855,1)*1000,0))</f>
        <v/>
      </c>
      <c r="C855" s="33" t="n"/>
      <c r="D855" s="40">
        <f>IF(A855="","",INT(A855))</f>
        <v/>
      </c>
      <c r="E855" s="41">
        <f>IF(B855="","",INDEX(Setup!$D$25:$D$84,B855))</f>
        <v/>
      </c>
      <c r="F855" s="42">
        <f>IF(B855="","",INDEX(Setup!$E$25:$E$84,B855))</f>
        <v/>
      </c>
      <c r="G855" s="39">
        <f>IF(B855="","",INDEX(Setup!$I$25:$I$84,B855)&amp;"")</f>
        <v/>
      </c>
      <c r="H855" s="39">
        <f>IF(B855="","",INDEX(Setup!$J$25:$J$84,B855)&amp;"")</f>
        <v/>
      </c>
      <c r="I855" s="39">
        <f>IF(B855="","",INDEX(Setup!$C$25:$C$84,B855))</f>
        <v/>
      </c>
      <c r="J855" s="39" t="n"/>
      <c r="K855" s="37" t="n"/>
      <c r="L855" s="38" t="n"/>
      <c r="M855" s="33" t="n"/>
      <c r="N855" s="33" t="n"/>
      <c r="O855" s="39" t="n"/>
      <c r="P855" s="40">
        <f>IF(A855="","",IF(K855&lt;&gt;"",K855,D855))</f>
        <v/>
      </c>
      <c r="Q855" s="42">
        <f>IF(A855="",0,IF(C855="✗",0,IF(OR(C855="✓",AND(Setup!$D$7="Yes",P855&lt;=TODAY())),IF(L855&lt;&gt;"",L855,F855),0)))</f>
        <v/>
      </c>
      <c r="R855" s="39">
        <f>IF(A855="","",IF(M855&lt;&gt;"",M855,G855))</f>
        <v/>
      </c>
      <c r="S855" s="39">
        <f>IF(A855="","",IF(N855&lt;&gt;"",N855,H855))</f>
        <v/>
      </c>
      <c r="T855" s="39">
        <f>IF(A855="","",IF(C855="✗","Skipped",IF(Q855&gt;0,"Paid","Upcoming")))</f>
        <v/>
      </c>
      <c r="U855" s="42">
        <f>IF(A855="",0,IF(C855="✗",0,IF(L855&lt;&gt;"",L855,F855)))</f>
        <v/>
      </c>
    </row>
    <row r="856">
      <c r="A856" s="32">
        <f>IFERROR(SMALL(Calc!$B$2:$BB$61,851),"")</f>
        <v/>
      </c>
      <c r="B856" s="32">
        <f>IF(A856="","",ROUND(MOD(A856,1)*1000,0))</f>
        <v/>
      </c>
      <c r="C856" s="33" t="n"/>
      <c r="D856" s="34">
        <f>IF(A856="","",INT(A856))</f>
        <v/>
      </c>
      <c r="E856" s="35">
        <f>IF(B856="","",INDEX(Setup!$D$25:$D$84,B856))</f>
        <v/>
      </c>
      <c r="F856" s="36">
        <f>IF(B856="","",INDEX(Setup!$E$25:$E$84,B856))</f>
        <v/>
      </c>
      <c r="G856" s="32">
        <f>IF(B856="","",INDEX(Setup!$I$25:$I$84,B856)&amp;"")</f>
        <v/>
      </c>
      <c r="H856" s="32">
        <f>IF(B856="","",INDEX(Setup!$J$25:$J$84,B856)&amp;"")</f>
        <v/>
      </c>
      <c r="I856" s="32">
        <f>IF(B856="","",INDEX(Setup!$C$25:$C$84,B856))</f>
        <v/>
      </c>
      <c r="J856" s="32" t="n"/>
      <c r="K856" s="37" t="n"/>
      <c r="L856" s="38" t="n"/>
      <c r="M856" s="33" t="n"/>
      <c r="N856" s="33" t="n"/>
      <c r="O856" s="32" t="n"/>
      <c r="P856" s="34">
        <f>IF(A856="","",IF(K856&lt;&gt;"",K856,D856))</f>
        <v/>
      </c>
      <c r="Q856" s="36">
        <f>IF(A856="",0,IF(C856="✗",0,IF(OR(C856="✓",AND(Setup!$D$7="Yes",P856&lt;=TODAY())),IF(L856&lt;&gt;"",L856,F856),0)))</f>
        <v/>
      </c>
      <c r="R856" s="32">
        <f>IF(A856="","",IF(M856&lt;&gt;"",M856,G856))</f>
        <v/>
      </c>
      <c r="S856" s="32">
        <f>IF(A856="","",IF(N856&lt;&gt;"",N856,H856))</f>
        <v/>
      </c>
      <c r="T856" s="32">
        <f>IF(A856="","",IF(C856="✗","Skipped",IF(Q856&gt;0,"Paid","Upcoming")))</f>
        <v/>
      </c>
      <c r="U856" s="36">
        <f>IF(A856="",0,IF(C856="✗",0,IF(L856&lt;&gt;"",L856,F856)))</f>
        <v/>
      </c>
    </row>
    <row r="857">
      <c r="A857" s="39">
        <f>IFERROR(SMALL(Calc!$B$2:$BB$61,852),"")</f>
        <v/>
      </c>
      <c r="B857" s="39">
        <f>IF(A857="","",ROUND(MOD(A857,1)*1000,0))</f>
        <v/>
      </c>
      <c r="C857" s="33" t="n"/>
      <c r="D857" s="40">
        <f>IF(A857="","",INT(A857))</f>
        <v/>
      </c>
      <c r="E857" s="41">
        <f>IF(B857="","",INDEX(Setup!$D$25:$D$84,B857))</f>
        <v/>
      </c>
      <c r="F857" s="42">
        <f>IF(B857="","",INDEX(Setup!$E$25:$E$84,B857))</f>
        <v/>
      </c>
      <c r="G857" s="39">
        <f>IF(B857="","",INDEX(Setup!$I$25:$I$84,B857)&amp;"")</f>
        <v/>
      </c>
      <c r="H857" s="39">
        <f>IF(B857="","",INDEX(Setup!$J$25:$J$84,B857)&amp;"")</f>
        <v/>
      </c>
      <c r="I857" s="39">
        <f>IF(B857="","",INDEX(Setup!$C$25:$C$84,B857))</f>
        <v/>
      </c>
      <c r="J857" s="39" t="n"/>
      <c r="K857" s="37" t="n"/>
      <c r="L857" s="38" t="n"/>
      <c r="M857" s="33" t="n"/>
      <c r="N857" s="33" t="n"/>
      <c r="O857" s="39" t="n"/>
      <c r="P857" s="40">
        <f>IF(A857="","",IF(K857&lt;&gt;"",K857,D857))</f>
        <v/>
      </c>
      <c r="Q857" s="42">
        <f>IF(A857="",0,IF(C857="✗",0,IF(OR(C857="✓",AND(Setup!$D$7="Yes",P857&lt;=TODAY())),IF(L857&lt;&gt;"",L857,F857),0)))</f>
        <v/>
      </c>
      <c r="R857" s="39">
        <f>IF(A857="","",IF(M857&lt;&gt;"",M857,G857))</f>
        <v/>
      </c>
      <c r="S857" s="39">
        <f>IF(A857="","",IF(N857&lt;&gt;"",N857,H857))</f>
        <v/>
      </c>
      <c r="T857" s="39">
        <f>IF(A857="","",IF(C857="✗","Skipped",IF(Q857&gt;0,"Paid","Upcoming")))</f>
        <v/>
      </c>
      <c r="U857" s="42">
        <f>IF(A857="",0,IF(C857="✗",0,IF(L857&lt;&gt;"",L857,F857)))</f>
        <v/>
      </c>
    </row>
    <row r="858">
      <c r="A858" s="32">
        <f>IFERROR(SMALL(Calc!$B$2:$BB$61,853),"")</f>
        <v/>
      </c>
      <c r="B858" s="32">
        <f>IF(A858="","",ROUND(MOD(A858,1)*1000,0))</f>
        <v/>
      </c>
      <c r="C858" s="33" t="n"/>
      <c r="D858" s="34">
        <f>IF(A858="","",INT(A858))</f>
        <v/>
      </c>
      <c r="E858" s="35">
        <f>IF(B858="","",INDEX(Setup!$D$25:$D$84,B858))</f>
        <v/>
      </c>
      <c r="F858" s="36">
        <f>IF(B858="","",INDEX(Setup!$E$25:$E$84,B858))</f>
        <v/>
      </c>
      <c r="G858" s="32">
        <f>IF(B858="","",INDEX(Setup!$I$25:$I$84,B858)&amp;"")</f>
        <v/>
      </c>
      <c r="H858" s="32">
        <f>IF(B858="","",INDEX(Setup!$J$25:$J$84,B858)&amp;"")</f>
        <v/>
      </c>
      <c r="I858" s="32">
        <f>IF(B858="","",INDEX(Setup!$C$25:$C$84,B858))</f>
        <v/>
      </c>
      <c r="J858" s="32" t="n"/>
      <c r="K858" s="37" t="n"/>
      <c r="L858" s="38" t="n"/>
      <c r="M858" s="33" t="n"/>
      <c r="N858" s="33" t="n"/>
      <c r="O858" s="32" t="n"/>
      <c r="P858" s="34">
        <f>IF(A858="","",IF(K858&lt;&gt;"",K858,D858))</f>
        <v/>
      </c>
      <c r="Q858" s="36">
        <f>IF(A858="",0,IF(C858="✗",0,IF(OR(C858="✓",AND(Setup!$D$7="Yes",P858&lt;=TODAY())),IF(L858&lt;&gt;"",L858,F858),0)))</f>
        <v/>
      </c>
      <c r="R858" s="32">
        <f>IF(A858="","",IF(M858&lt;&gt;"",M858,G858))</f>
        <v/>
      </c>
      <c r="S858" s="32">
        <f>IF(A858="","",IF(N858&lt;&gt;"",N858,H858))</f>
        <v/>
      </c>
      <c r="T858" s="32">
        <f>IF(A858="","",IF(C858="✗","Skipped",IF(Q858&gt;0,"Paid","Upcoming")))</f>
        <v/>
      </c>
      <c r="U858" s="36">
        <f>IF(A858="",0,IF(C858="✗",0,IF(L858&lt;&gt;"",L858,F858)))</f>
        <v/>
      </c>
    </row>
    <row r="859">
      <c r="A859" s="39">
        <f>IFERROR(SMALL(Calc!$B$2:$BB$61,854),"")</f>
        <v/>
      </c>
      <c r="B859" s="39">
        <f>IF(A859="","",ROUND(MOD(A859,1)*1000,0))</f>
        <v/>
      </c>
      <c r="C859" s="33" t="n"/>
      <c r="D859" s="40">
        <f>IF(A859="","",INT(A859))</f>
        <v/>
      </c>
      <c r="E859" s="41">
        <f>IF(B859="","",INDEX(Setup!$D$25:$D$84,B859))</f>
        <v/>
      </c>
      <c r="F859" s="42">
        <f>IF(B859="","",INDEX(Setup!$E$25:$E$84,B859))</f>
        <v/>
      </c>
      <c r="G859" s="39">
        <f>IF(B859="","",INDEX(Setup!$I$25:$I$84,B859)&amp;"")</f>
        <v/>
      </c>
      <c r="H859" s="39">
        <f>IF(B859="","",INDEX(Setup!$J$25:$J$84,B859)&amp;"")</f>
        <v/>
      </c>
      <c r="I859" s="39">
        <f>IF(B859="","",INDEX(Setup!$C$25:$C$84,B859))</f>
        <v/>
      </c>
      <c r="J859" s="39" t="n"/>
      <c r="K859" s="37" t="n"/>
      <c r="L859" s="38" t="n"/>
      <c r="M859" s="33" t="n"/>
      <c r="N859" s="33" t="n"/>
      <c r="O859" s="39" t="n"/>
      <c r="P859" s="40">
        <f>IF(A859="","",IF(K859&lt;&gt;"",K859,D859))</f>
        <v/>
      </c>
      <c r="Q859" s="42">
        <f>IF(A859="",0,IF(C859="✗",0,IF(OR(C859="✓",AND(Setup!$D$7="Yes",P859&lt;=TODAY())),IF(L859&lt;&gt;"",L859,F859),0)))</f>
        <v/>
      </c>
      <c r="R859" s="39">
        <f>IF(A859="","",IF(M859&lt;&gt;"",M859,G859))</f>
        <v/>
      </c>
      <c r="S859" s="39">
        <f>IF(A859="","",IF(N859&lt;&gt;"",N859,H859))</f>
        <v/>
      </c>
      <c r="T859" s="39">
        <f>IF(A859="","",IF(C859="✗","Skipped",IF(Q859&gt;0,"Paid","Upcoming")))</f>
        <v/>
      </c>
      <c r="U859" s="42">
        <f>IF(A859="",0,IF(C859="✗",0,IF(L859&lt;&gt;"",L859,F859)))</f>
        <v/>
      </c>
    </row>
    <row r="860">
      <c r="A860" s="32">
        <f>IFERROR(SMALL(Calc!$B$2:$BB$61,855),"")</f>
        <v/>
      </c>
      <c r="B860" s="32">
        <f>IF(A860="","",ROUND(MOD(A860,1)*1000,0))</f>
        <v/>
      </c>
      <c r="C860" s="33" t="n"/>
      <c r="D860" s="34">
        <f>IF(A860="","",INT(A860))</f>
        <v/>
      </c>
      <c r="E860" s="35">
        <f>IF(B860="","",INDEX(Setup!$D$25:$D$84,B860))</f>
        <v/>
      </c>
      <c r="F860" s="36">
        <f>IF(B860="","",INDEX(Setup!$E$25:$E$84,B860))</f>
        <v/>
      </c>
      <c r="G860" s="32">
        <f>IF(B860="","",INDEX(Setup!$I$25:$I$84,B860)&amp;"")</f>
        <v/>
      </c>
      <c r="H860" s="32">
        <f>IF(B860="","",INDEX(Setup!$J$25:$J$84,B860)&amp;"")</f>
        <v/>
      </c>
      <c r="I860" s="32">
        <f>IF(B860="","",INDEX(Setup!$C$25:$C$84,B860))</f>
        <v/>
      </c>
      <c r="J860" s="32" t="n"/>
      <c r="K860" s="37" t="n"/>
      <c r="L860" s="38" t="n"/>
      <c r="M860" s="33" t="n"/>
      <c r="N860" s="33" t="n"/>
      <c r="O860" s="32" t="n"/>
      <c r="P860" s="34">
        <f>IF(A860="","",IF(K860&lt;&gt;"",K860,D860))</f>
        <v/>
      </c>
      <c r="Q860" s="36">
        <f>IF(A860="",0,IF(C860="✗",0,IF(OR(C860="✓",AND(Setup!$D$7="Yes",P860&lt;=TODAY())),IF(L860&lt;&gt;"",L860,F860),0)))</f>
        <v/>
      </c>
      <c r="R860" s="32">
        <f>IF(A860="","",IF(M860&lt;&gt;"",M860,G860))</f>
        <v/>
      </c>
      <c r="S860" s="32">
        <f>IF(A860="","",IF(N860&lt;&gt;"",N860,H860))</f>
        <v/>
      </c>
      <c r="T860" s="32">
        <f>IF(A860="","",IF(C860="✗","Skipped",IF(Q860&gt;0,"Paid","Upcoming")))</f>
        <v/>
      </c>
      <c r="U860" s="36">
        <f>IF(A860="",0,IF(C860="✗",0,IF(L860&lt;&gt;"",L860,F860)))</f>
        <v/>
      </c>
    </row>
    <row r="861">
      <c r="A861" s="39">
        <f>IFERROR(SMALL(Calc!$B$2:$BB$61,856),"")</f>
        <v/>
      </c>
      <c r="B861" s="39">
        <f>IF(A861="","",ROUND(MOD(A861,1)*1000,0))</f>
        <v/>
      </c>
      <c r="C861" s="33" t="n"/>
      <c r="D861" s="40">
        <f>IF(A861="","",INT(A861))</f>
        <v/>
      </c>
      <c r="E861" s="41">
        <f>IF(B861="","",INDEX(Setup!$D$25:$D$84,B861))</f>
        <v/>
      </c>
      <c r="F861" s="42">
        <f>IF(B861="","",INDEX(Setup!$E$25:$E$84,B861))</f>
        <v/>
      </c>
      <c r="G861" s="39">
        <f>IF(B861="","",INDEX(Setup!$I$25:$I$84,B861)&amp;"")</f>
        <v/>
      </c>
      <c r="H861" s="39">
        <f>IF(B861="","",INDEX(Setup!$J$25:$J$84,B861)&amp;"")</f>
        <v/>
      </c>
      <c r="I861" s="39">
        <f>IF(B861="","",INDEX(Setup!$C$25:$C$84,B861))</f>
        <v/>
      </c>
      <c r="J861" s="39" t="n"/>
      <c r="K861" s="37" t="n"/>
      <c r="L861" s="38" t="n"/>
      <c r="M861" s="33" t="n"/>
      <c r="N861" s="33" t="n"/>
      <c r="O861" s="39" t="n"/>
      <c r="P861" s="40">
        <f>IF(A861="","",IF(K861&lt;&gt;"",K861,D861))</f>
        <v/>
      </c>
      <c r="Q861" s="42">
        <f>IF(A861="",0,IF(C861="✗",0,IF(OR(C861="✓",AND(Setup!$D$7="Yes",P861&lt;=TODAY())),IF(L861&lt;&gt;"",L861,F861),0)))</f>
        <v/>
      </c>
      <c r="R861" s="39">
        <f>IF(A861="","",IF(M861&lt;&gt;"",M861,G861))</f>
        <v/>
      </c>
      <c r="S861" s="39">
        <f>IF(A861="","",IF(N861&lt;&gt;"",N861,H861))</f>
        <v/>
      </c>
      <c r="T861" s="39">
        <f>IF(A861="","",IF(C861="✗","Skipped",IF(Q861&gt;0,"Paid","Upcoming")))</f>
        <v/>
      </c>
      <c r="U861" s="42">
        <f>IF(A861="",0,IF(C861="✗",0,IF(L861&lt;&gt;"",L861,F861)))</f>
        <v/>
      </c>
    </row>
    <row r="862">
      <c r="A862" s="32">
        <f>IFERROR(SMALL(Calc!$B$2:$BB$61,857),"")</f>
        <v/>
      </c>
      <c r="B862" s="32">
        <f>IF(A862="","",ROUND(MOD(A862,1)*1000,0))</f>
        <v/>
      </c>
      <c r="C862" s="33" t="n"/>
      <c r="D862" s="34">
        <f>IF(A862="","",INT(A862))</f>
        <v/>
      </c>
      <c r="E862" s="35">
        <f>IF(B862="","",INDEX(Setup!$D$25:$D$84,B862))</f>
        <v/>
      </c>
      <c r="F862" s="36">
        <f>IF(B862="","",INDEX(Setup!$E$25:$E$84,B862))</f>
        <v/>
      </c>
      <c r="G862" s="32">
        <f>IF(B862="","",INDEX(Setup!$I$25:$I$84,B862)&amp;"")</f>
        <v/>
      </c>
      <c r="H862" s="32">
        <f>IF(B862="","",INDEX(Setup!$J$25:$J$84,B862)&amp;"")</f>
        <v/>
      </c>
      <c r="I862" s="32">
        <f>IF(B862="","",INDEX(Setup!$C$25:$C$84,B862))</f>
        <v/>
      </c>
      <c r="J862" s="32" t="n"/>
      <c r="K862" s="37" t="n"/>
      <c r="L862" s="38" t="n"/>
      <c r="M862" s="33" t="n"/>
      <c r="N862" s="33" t="n"/>
      <c r="O862" s="32" t="n"/>
      <c r="P862" s="34">
        <f>IF(A862="","",IF(K862&lt;&gt;"",K862,D862))</f>
        <v/>
      </c>
      <c r="Q862" s="36">
        <f>IF(A862="",0,IF(C862="✗",0,IF(OR(C862="✓",AND(Setup!$D$7="Yes",P862&lt;=TODAY())),IF(L862&lt;&gt;"",L862,F862),0)))</f>
        <v/>
      </c>
      <c r="R862" s="32">
        <f>IF(A862="","",IF(M862&lt;&gt;"",M862,G862))</f>
        <v/>
      </c>
      <c r="S862" s="32">
        <f>IF(A862="","",IF(N862&lt;&gt;"",N862,H862))</f>
        <v/>
      </c>
      <c r="T862" s="32">
        <f>IF(A862="","",IF(C862="✗","Skipped",IF(Q862&gt;0,"Paid","Upcoming")))</f>
        <v/>
      </c>
      <c r="U862" s="36">
        <f>IF(A862="",0,IF(C862="✗",0,IF(L862&lt;&gt;"",L862,F862)))</f>
        <v/>
      </c>
    </row>
    <row r="863">
      <c r="A863" s="39">
        <f>IFERROR(SMALL(Calc!$B$2:$BB$61,858),"")</f>
        <v/>
      </c>
      <c r="B863" s="39">
        <f>IF(A863="","",ROUND(MOD(A863,1)*1000,0))</f>
        <v/>
      </c>
      <c r="C863" s="33" t="n"/>
      <c r="D863" s="40">
        <f>IF(A863="","",INT(A863))</f>
        <v/>
      </c>
      <c r="E863" s="41">
        <f>IF(B863="","",INDEX(Setup!$D$25:$D$84,B863))</f>
        <v/>
      </c>
      <c r="F863" s="42">
        <f>IF(B863="","",INDEX(Setup!$E$25:$E$84,B863))</f>
        <v/>
      </c>
      <c r="G863" s="39">
        <f>IF(B863="","",INDEX(Setup!$I$25:$I$84,B863)&amp;"")</f>
        <v/>
      </c>
      <c r="H863" s="39">
        <f>IF(B863="","",INDEX(Setup!$J$25:$J$84,B863)&amp;"")</f>
        <v/>
      </c>
      <c r="I863" s="39">
        <f>IF(B863="","",INDEX(Setup!$C$25:$C$84,B863))</f>
        <v/>
      </c>
      <c r="J863" s="39" t="n"/>
      <c r="K863" s="37" t="n"/>
      <c r="L863" s="38" t="n"/>
      <c r="M863" s="33" t="n"/>
      <c r="N863" s="33" t="n"/>
      <c r="O863" s="39" t="n"/>
      <c r="P863" s="40">
        <f>IF(A863="","",IF(K863&lt;&gt;"",K863,D863))</f>
        <v/>
      </c>
      <c r="Q863" s="42">
        <f>IF(A863="",0,IF(C863="✗",0,IF(OR(C863="✓",AND(Setup!$D$7="Yes",P863&lt;=TODAY())),IF(L863&lt;&gt;"",L863,F863),0)))</f>
        <v/>
      </c>
      <c r="R863" s="39">
        <f>IF(A863="","",IF(M863&lt;&gt;"",M863,G863))</f>
        <v/>
      </c>
      <c r="S863" s="39">
        <f>IF(A863="","",IF(N863&lt;&gt;"",N863,H863))</f>
        <v/>
      </c>
      <c r="T863" s="39">
        <f>IF(A863="","",IF(C863="✗","Skipped",IF(Q863&gt;0,"Paid","Upcoming")))</f>
        <v/>
      </c>
      <c r="U863" s="42">
        <f>IF(A863="",0,IF(C863="✗",0,IF(L863&lt;&gt;"",L863,F863)))</f>
        <v/>
      </c>
    </row>
    <row r="864">
      <c r="A864" s="32">
        <f>IFERROR(SMALL(Calc!$B$2:$BB$61,859),"")</f>
        <v/>
      </c>
      <c r="B864" s="32">
        <f>IF(A864="","",ROUND(MOD(A864,1)*1000,0))</f>
        <v/>
      </c>
      <c r="C864" s="33" t="n"/>
      <c r="D864" s="34">
        <f>IF(A864="","",INT(A864))</f>
        <v/>
      </c>
      <c r="E864" s="35">
        <f>IF(B864="","",INDEX(Setup!$D$25:$D$84,B864))</f>
        <v/>
      </c>
      <c r="F864" s="36">
        <f>IF(B864="","",INDEX(Setup!$E$25:$E$84,B864))</f>
        <v/>
      </c>
      <c r="G864" s="32">
        <f>IF(B864="","",INDEX(Setup!$I$25:$I$84,B864)&amp;"")</f>
        <v/>
      </c>
      <c r="H864" s="32">
        <f>IF(B864="","",INDEX(Setup!$J$25:$J$84,B864)&amp;"")</f>
        <v/>
      </c>
      <c r="I864" s="32">
        <f>IF(B864="","",INDEX(Setup!$C$25:$C$84,B864))</f>
        <v/>
      </c>
      <c r="J864" s="32" t="n"/>
      <c r="K864" s="37" t="n"/>
      <c r="L864" s="38" t="n"/>
      <c r="M864" s="33" t="n"/>
      <c r="N864" s="33" t="n"/>
      <c r="O864" s="32" t="n"/>
      <c r="P864" s="34">
        <f>IF(A864="","",IF(K864&lt;&gt;"",K864,D864))</f>
        <v/>
      </c>
      <c r="Q864" s="36">
        <f>IF(A864="",0,IF(C864="✗",0,IF(OR(C864="✓",AND(Setup!$D$7="Yes",P864&lt;=TODAY())),IF(L864&lt;&gt;"",L864,F864),0)))</f>
        <v/>
      </c>
      <c r="R864" s="32">
        <f>IF(A864="","",IF(M864&lt;&gt;"",M864,G864))</f>
        <v/>
      </c>
      <c r="S864" s="32">
        <f>IF(A864="","",IF(N864&lt;&gt;"",N864,H864))</f>
        <v/>
      </c>
      <c r="T864" s="32">
        <f>IF(A864="","",IF(C864="✗","Skipped",IF(Q864&gt;0,"Paid","Upcoming")))</f>
        <v/>
      </c>
      <c r="U864" s="36">
        <f>IF(A864="",0,IF(C864="✗",0,IF(L864&lt;&gt;"",L864,F864)))</f>
        <v/>
      </c>
    </row>
    <row r="865">
      <c r="A865" s="39">
        <f>IFERROR(SMALL(Calc!$B$2:$BB$61,860),"")</f>
        <v/>
      </c>
      <c r="B865" s="39">
        <f>IF(A865="","",ROUND(MOD(A865,1)*1000,0))</f>
        <v/>
      </c>
      <c r="C865" s="33" t="n"/>
      <c r="D865" s="40">
        <f>IF(A865="","",INT(A865))</f>
        <v/>
      </c>
      <c r="E865" s="41">
        <f>IF(B865="","",INDEX(Setup!$D$25:$D$84,B865))</f>
        <v/>
      </c>
      <c r="F865" s="42">
        <f>IF(B865="","",INDEX(Setup!$E$25:$E$84,B865))</f>
        <v/>
      </c>
      <c r="G865" s="39">
        <f>IF(B865="","",INDEX(Setup!$I$25:$I$84,B865)&amp;"")</f>
        <v/>
      </c>
      <c r="H865" s="39">
        <f>IF(B865="","",INDEX(Setup!$J$25:$J$84,B865)&amp;"")</f>
        <v/>
      </c>
      <c r="I865" s="39">
        <f>IF(B865="","",INDEX(Setup!$C$25:$C$84,B865))</f>
        <v/>
      </c>
      <c r="J865" s="39" t="n"/>
      <c r="K865" s="37" t="n"/>
      <c r="L865" s="38" t="n"/>
      <c r="M865" s="33" t="n"/>
      <c r="N865" s="33" t="n"/>
      <c r="O865" s="39" t="n"/>
      <c r="P865" s="40">
        <f>IF(A865="","",IF(K865&lt;&gt;"",K865,D865))</f>
        <v/>
      </c>
      <c r="Q865" s="42">
        <f>IF(A865="",0,IF(C865="✗",0,IF(OR(C865="✓",AND(Setup!$D$7="Yes",P865&lt;=TODAY())),IF(L865&lt;&gt;"",L865,F865),0)))</f>
        <v/>
      </c>
      <c r="R865" s="39">
        <f>IF(A865="","",IF(M865&lt;&gt;"",M865,G865))</f>
        <v/>
      </c>
      <c r="S865" s="39">
        <f>IF(A865="","",IF(N865&lt;&gt;"",N865,H865))</f>
        <v/>
      </c>
      <c r="T865" s="39">
        <f>IF(A865="","",IF(C865="✗","Skipped",IF(Q865&gt;0,"Paid","Upcoming")))</f>
        <v/>
      </c>
      <c r="U865" s="42">
        <f>IF(A865="",0,IF(C865="✗",0,IF(L865&lt;&gt;"",L865,F865)))</f>
        <v/>
      </c>
    </row>
    <row r="866">
      <c r="A866" s="32">
        <f>IFERROR(SMALL(Calc!$B$2:$BB$61,861),"")</f>
        <v/>
      </c>
      <c r="B866" s="32">
        <f>IF(A866="","",ROUND(MOD(A866,1)*1000,0))</f>
        <v/>
      </c>
      <c r="C866" s="33" t="n"/>
      <c r="D866" s="34">
        <f>IF(A866="","",INT(A866))</f>
        <v/>
      </c>
      <c r="E866" s="35">
        <f>IF(B866="","",INDEX(Setup!$D$25:$D$84,B866))</f>
        <v/>
      </c>
      <c r="F866" s="36">
        <f>IF(B866="","",INDEX(Setup!$E$25:$E$84,B866))</f>
        <v/>
      </c>
      <c r="G866" s="32">
        <f>IF(B866="","",INDEX(Setup!$I$25:$I$84,B866)&amp;"")</f>
        <v/>
      </c>
      <c r="H866" s="32">
        <f>IF(B866="","",INDEX(Setup!$J$25:$J$84,B866)&amp;"")</f>
        <v/>
      </c>
      <c r="I866" s="32">
        <f>IF(B866="","",INDEX(Setup!$C$25:$C$84,B866))</f>
        <v/>
      </c>
      <c r="J866" s="32" t="n"/>
      <c r="K866" s="37" t="n"/>
      <c r="L866" s="38" t="n"/>
      <c r="M866" s="33" t="n"/>
      <c r="N866" s="33" t="n"/>
      <c r="O866" s="32" t="n"/>
      <c r="P866" s="34">
        <f>IF(A866="","",IF(K866&lt;&gt;"",K866,D866))</f>
        <v/>
      </c>
      <c r="Q866" s="36">
        <f>IF(A866="",0,IF(C866="✗",0,IF(OR(C866="✓",AND(Setup!$D$7="Yes",P866&lt;=TODAY())),IF(L866&lt;&gt;"",L866,F866),0)))</f>
        <v/>
      </c>
      <c r="R866" s="32">
        <f>IF(A866="","",IF(M866&lt;&gt;"",M866,G866))</f>
        <v/>
      </c>
      <c r="S866" s="32">
        <f>IF(A866="","",IF(N866&lt;&gt;"",N866,H866))</f>
        <v/>
      </c>
      <c r="T866" s="32">
        <f>IF(A866="","",IF(C866="✗","Skipped",IF(Q866&gt;0,"Paid","Upcoming")))</f>
        <v/>
      </c>
      <c r="U866" s="36">
        <f>IF(A866="",0,IF(C866="✗",0,IF(L866&lt;&gt;"",L866,F866)))</f>
        <v/>
      </c>
    </row>
    <row r="867">
      <c r="A867" s="39">
        <f>IFERROR(SMALL(Calc!$B$2:$BB$61,862),"")</f>
        <v/>
      </c>
      <c r="B867" s="39">
        <f>IF(A867="","",ROUND(MOD(A867,1)*1000,0))</f>
        <v/>
      </c>
      <c r="C867" s="33" t="n"/>
      <c r="D867" s="40">
        <f>IF(A867="","",INT(A867))</f>
        <v/>
      </c>
      <c r="E867" s="41">
        <f>IF(B867="","",INDEX(Setup!$D$25:$D$84,B867))</f>
        <v/>
      </c>
      <c r="F867" s="42">
        <f>IF(B867="","",INDEX(Setup!$E$25:$E$84,B867))</f>
        <v/>
      </c>
      <c r="G867" s="39">
        <f>IF(B867="","",INDEX(Setup!$I$25:$I$84,B867)&amp;"")</f>
        <v/>
      </c>
      <c r="H867" s="39">
        <f>IF(B867="","",INDEX(Setup!$J$25:$J$84,B867)&amp;"")</f>
        <v/>
      </c>
      <c r="I867" s="39">
        <f>IF(B867="","",INDEX(Setup!$C$25:$C$84,B867))</f>
        <v/>
      </c>
      <c r="J867" s="39" t="n"/>
      <c r="K867" s="37" t="n"/>
      <c r="L867" s="38" t="n"/>
      <c r="M867" s="33" t="n"/>
      <c r="N867" s="33" t="n"/>
      <c r="O867" s="39" t="n"/>
      <c r="P867" s="40">
        <f>IF(A867="","",IF(K867&lt;&gt;"",K867,D867))</f>
        <v/>
      </c>
      <c r="Q867" s="42">
        <f>IF(A867="",0,IF(C867="✗",0,IF(OR(C867="✓",AND(Setup!$D$7="Yes",P867&lt;=TODAY())),IF(L867&lt;&gt;"",L867,F867),0)))</f>
        <v/>
      </c>
      <c r="R867" s="39">
        <f>IF(A867="","",IF(M867&lt;&gt;"",M867,G867))</f>
        <v/>
      </c>
      <c r="S867" s="39">
        <f>IF(A867="","",IF(N867&lt;&gt;"",N867,H867))</f>
        <v/>
      </c>
      <c r="T867" s="39">
        <f>IF(A867="","",IF(C867="✗","Skipped",IF(Q867&gt;0,"Paid","Upcoming")))</f>
        <v/>
      </c>
      <c r="U867" s="42">
        <f>IF(A867="",0,IF(C867="✗",0,IF(L867&lt;&gt;"",L867,F867)))</f>
        <v/>
      </c>
    </row>
    <row r="868">
      <c r="A868" s="32">
        <f>IFERROR(SMALL(Calc!$B$2:$BB$61,863),"")</f>
        <v/>
      </c>
      <c r="B868" s="32">
        <f>IF(A868="","",ROUND(MOD(A868,1)*1000,0))</f>
        <v/>
      </c>
      <c r="C868" s="33" t="n"/>
      <c r="D868" s="34">
        <f>IF(A868="","",INT(A868))</f>
        <v/>
      </c>
      <c r="E868" s="35">
        <f>IF(B868="","",INDEX(Setup!$D$25:$D$84,B868))</f>
        <v/>
      </c>
      <c r="F868" s="36">
        <f>IF(B868="","",INDEX(Setup!$E$25:$E$84,B868))</f>
        <v/>
      </c>
      <c r="G868" s="32">
        <f>IF(B868="","",INDEX(Setup!$I$25:$I$84,B868)&amp;"")</f>
        <v/>
      </c>
      <c r="H868" s="32">
        <f>IF(B868="","",INDEX(Setup!$J$25:$J$84,B868)&amp;"")</f>
        <v/>
      </c>
      <c r="I868" s="32">
        <f>IF(B868="","",INDEX(Setup!$C$25:$C$84,B868))</f>
        <v/>
      </c>
      <c r="J868" s="32" t="n"/>
      <c r="K868" s="37" t="n"/>
      <c r="L868" s="38" t="n"/>
      <c r="M868" s="33" t="n"/>
      <c r="N868" s="33" t="n"/>
      <c r="O868" s="32" t="n"/>
      <c r="P868" s="34">
        <f>IF(A868="","",IF(K868&lt;&gt;"",K868,D868))</f>
        <v/>
      </c>
      <c r="Q868" s="36">
        <f>IF(A868="",0,IF(C868="✗",0,IF(OR(C868="✓",AND(Setup!$D$7="Yes",P868&lt;=TODAY())),IF(L868&lt;&gt;"",L868,F868),0)))</f>
        <v/>
      </c>
      <c r="R868" s="32">
        <f>IF(A868="","",IF(M868&lt;&gt;"",M868,G868))</f>
        <v/>
      </c>
      <c r="S868" s="32">
        <f>IF(A868="","",IF(N868&lt;&gt;"",N868,H868))</f>
        <v/>
      </c>
      <c r="T868" s="32">
        <f>IF(A868="","",IF(C868="✗","Skipped",IF(Q868&gt;0,"Paid","Upcoming")))</f>
        <v/>
      </c>
      <c r="U868" s="36">
        <f>IF(A868="",0,IF(C868="✗",0,IF(L868&lt;&gt;"",L868,F868)))</f>
        <v/>
      </c>
    </row>
    <row r="869">
      <c r="A869" s="39">
        <f>IFERROR(SMALL(Calc!$B$2:$BB$61,864),"")</f>
        <v/>
      </c>
      <c r="B869" s="39">
        <f>IF(A869="","",ROUND(MOD(A869,1)*1000,0))</f>
        <v/>
      </c>
      <c r="C869" s="33" t="n"/>
      <c r="D869" s="40">
        <f>IF(A869="","",INT(A869))</f>
        <v/>
      </c>
      <c r="E869" s="41">
        <f>IF(B869="","",INDEX(Setup!$D$25:$D$84,B869))</f>
        <v/>
      </c>
      <c r="F869" s="42">
        <f>IF(B869="","",INDEX(Setup!$E$25:$E$84,B869))</f>
        <v/>
      </c>
      <c r="G869" s="39">
        <f>IF(B869="","",INDEX(Setup!$I$25:$I$84,B869)&amp;"")</f>
        <v/>
      </c>
      <c r="H869" s="39">
        <f>IF(B869="","",INDEX(Setup!$J$25:$J$84,B869)&amp;"")</f>
        <v/>
      </c>
      <c r="I869" s="39">
        <f>IF(B869="","",INDEX(Setup!$C$25:$C$84,B869))</f>
        <v/>
      </c>
      <c r="J869" s="39" t="n"/>
      <c r="K869" s="37" t="n"/>
      <c r="L869" s="38" t="n"/>
      <c r="M869" s="33" t="n"/>
      <c r="N869" s="33" t="n"/>
      <c r="O869" s="39" t="n"/>
      <c r="P869" s="40">
        <f>IF(A869="","",IF(K869&lt;&gt;"",K869,D869))</f>
        <v/>
      </c>
      <c r="Q869" s="42">
        <f>IF(A869="",0,IF(C869="✗",0,IF(OR(C869="✓",AND(Setup!$D$7="Yes",P869&lt;=TODAY())),IF(L869&lt;&gt;"",L869,F869),0)))</f>
        <v/>
      </c>
      <c r="R869" s="39">
        <f>IF(A869="","",IF(M869&lt;&gt;"",M869,G869))</f>
        <v/>
      </c>
      <c r="S869" s="39">
        <f>IF(A869="","",IF(N869&lt;&gt;"",N869,H869))</f>
        <v/>
      </c>
      <c r="T869" s="39">
        <f>IF(A869="","",IF(C869="✗","Skipped",IF(Q869&gt;0,"Paid","Upcoming")))</f>
        <v/>
      </c>
      <c r="U869" s="42">
        <f>IF(A869="",0,IF(C869="✗",0,IF(L869&lt;&gt;"",L869,F869)))</f>
        <v/>
      </c>
    </row>
    <row r="870">
      <c r="A870" s="32">
        <f>IFERROR(SMALL(Calc!$B$2:$BB$61,865),"")</f>
        <v/>
      </c>
      <c r="B870" s="32">
        <f>IF(A870="","",ROUND(MOD(A870,1)*1000,0))</f>
        <v/>
      </c>
      <c r="C870" s="33" t="n"/>
      <c r="D870" s="34">
        <f>IF(A870="","",INT(A870))</f>
        <v/>
      </c>
      <c r="E870" s="35">
        <f>IF(B870="","",INDEX(Setup!$D$25:$D$84,B870))</f>
        <v/>
      </c>
      <c r="F870" s="36">
        <f>IF(B870="","",INDEX(Setup!$E$25:$E$84,B870))</f>
        <v/>
      </c>
      <c r="G870" s="32">
        <f>IF(B870="","",INDEX(Setup!$I$25:$I$84,B870)&amp;"")</f>
        <v/>
      </c>
      <c r="H870" s="32">
        <f>IF(B870="","",INDEX(Setup!$J$25:$J$84,B870)&amp;"")</f>
        <v/>
      </c>
      <c r="I870" s="32">
        <f>IF(B870="","",INDEX(Setup!$C$25:$C$84,B870))</f>
        <v/>
      </c>
      <c r="J870" s="32" t="n"/>
      <c r="K870" s="37" t="n"/>
      <c r="L870" s="38" t="n"/>
      <c r="M870" s="33" t="n"/>
      <c r="N870" s="33" t="n"/>
      <c r="O870" s="32" t="n"/>
      <c r="P870" s="34">
        <f>IF(A870="","",IF(K870&lt;&gt;"",K870,D870))</f>
        <v/>
      </c>
      <c r="Q870" s="36">
        <f>IF(A870="",0,IF(C870="✗",0,IF(OR(C870="✓",AND(Setup!$D$7="Yes",P870&lt;=TODAY())),IF(L870&lt;&gt;"",L870,F870),0)))</f>
        <v/>
      </c>
      <c r="R870" s="32">
        <f>IF(A870="","",IF(M870&lt;&gt;"",M870,G870))</f>
        <v/>
      </c>
      <c r="S870" s="32">
        <f>IF(A870="","",IF(N870&lt;&gt;"",N870,H870))</f>
        <v/>
      </c>
      <c r="T870" s="32">
        <f>IF(A870="","",IF(C870="✗","Skipped",IF(Q870&gt;0,"Paid","Upcoming")))</f>
        <v/>
      </c>
      <c r="U870" s="36">
        <f>IF(A870="",0,IF(C870="✗",0,IF(L870&lt;&gt;"",L870,F870)))</f>
        <v/>
      </c>
    </row>
    <row r="871">
      <c r="A871" s="39">
        <f>IFERROR(SMALL(Calc!$B$2:$BB$61,866),"")</f>
        <v/>
      </c>
      <c r="B871" s="39">
        <f>IF(A871="","",ROUND(MOD(A871,1)*1000,0))</f>
        <v/>
      </c>
      <c r="C871" s="33" t="n"/>
      <c r="D871" s="40">
        <f>IF(A871="","",INT(A871))</f>
        <v/>
      </c>
      <c r="E871" s="41">
        <f>IF(B871="","",INDEX(Setup!$D$25:$D$84,B871))</f>
        <v/>
      </c>
      <c r="F871" s="42">
        <f>IF(B871="","",INDEX(Setup!$E$25:$E$84,B871))</f>
        <v/>
      </c>
      <c r="G871" s="39">
        <f>IF(B871="","",INDEX(Setup!$I$25:$I$84,B871)&amp;"")</f>
        <v/>
      </c>
      <c r="H871" s="39">
        <f>IF(B871="","",INDEX(Setup!$J$25:$J$84,B871)&amp;"")</f>
        <v/>
      </c>
      <c r="I871" s="39">
        <f>IF(B871="","",INDEX(Setup!$C$25:$C$84,B871))</f>
        <v/>
      </c>
      <c r="J871" s="39" t="n"/>
      <c r="K871" s="37" t="n"/>
      <c r="L871" s="38" t="n"/>
      <c r="M871" s="33" t="n"/>
      <c r="N871" s="33" t="n"/>
      <c r="O871" s="39" t="n"/>
      <c r="P871" s="40">
        <f>IF(A871="","",IF(K871&lt;&gt;"",K871,D871))</f>
        <v/>
      </c>
      <c r="Q871" s="42">
        <f>IF(A871="",0,IF(C871="✗",0,IF(OR(C871="✓",AND(Setup!$D$7="Yes",P871&lt;=TODAY())),IF(L871&lt;&gt;"",L871,F871),0)))</f>
        <v/>
      </c>
      <c r="R871" s="39">
        <f>IF(A871="","",IF(M871&lt;&gt;"",M871,G871))</f>
        <v/>
      </c>
      <c r="S871" s="39">
        <f>IF(A871="","",IF(N871&lt;&gt;"",N871,H871))</f>
        <v/>
      </c>
      <c r="T871" s="39">
        <f>IF(A871="","",IF(C871="✗","Skipped",IF(Q871&gt;0,"Paid","Upcoming")))</f>
        <v/>
      </c>
      <c r="U871" s="42">
        <f>IF(A871="",0,IF(C871="✗",0,IF(L871&lt;&gt;"",L871,F871)))</f>
        <v/>
      </c>
    </row>
    <row r="872">
      <c r="A872" s="32">
        <f>IFERROR(SMALL(Calc!$B$2:$BB$61,867),"")</f>
        <v/>
      </c>
      <c r="B872" s="32">
        <f>IF(A872="","",ROUND(MOD(A872,1)*1000,0))</f>
        <v/>
      </c>
      <c r="C872" s="33" t="n"/>
      <c r="D872" s="34">
        <f>IF(A872="","",INT(A872))</f>
        <v/>
      </c>
      <c r="E872" s="35">
        <f>IF(B872="","",INDEX(Setup!$D$25:$D$84,B872))</f>
        <v/>
      </c>
      <c r="F872" s="36">
        <f>IF(B872="","",INDEX(Setup!$E$25:$E$84,B872))</f>
        <v/>
      </c>
      <c r="G872" s="32">
        <f>IF(B872="","",INDEX(Setup!$I$25:$I$84,B872)&amp;"")</f>
        <v/>
      </c>
      <c r="H872" s="32">
        <f>IF(B872="","",INDEX(Setup!$J$25:$J$84,B872)&amp;"")</f>
        <v/>
      </c>
      <c r="I872" s="32">
        <f>IF(B872="","",INDEX(Setup!$C$25:$C$84,B872))</f>
        <v/>
      </c>
      <c r="J872" s="32" t="n"/>
      <c r="K872" s="37" t="n"/>
      <c r="L872" s="38" t="n"/>
      <c r="M872" s="33" t="n"/>
      <c r="N872" s="33" t="n"/>
      <c r="O872" s="32" t="n"/>
      <c r="P872" s="34">
        <f>IF(A872="","",IF(K872&lt;&gt;"",K872,D872))</f>
        <v/>
      </c>
      <c r="Q872" s="36">
        <f>IF(A872="",0,IF(C872="✗",0,IF(OR(C872="✓",AND(Setup!$D$7="Yes",P872&lt;=TODAY())),IF(L872&lt;&gt;"",L872,F872),0)))</f>
        <v/>
      </c>
      <c r="R872" s="32">
        <f>IF(A872="","",IF(M872&lt;&gt;"",M872,G872))</f>
        <v/>
      </c>
      <c r="S872" s="32">
        <f>IF(A872="","",IF(N872&lt;&gt;"",N872,H872))</f>
        <v/>
      </c>
      <c r="T872" s="32">
        <f>IF(A872="","",IF(C872="✗","Skipped",IF(Q872&gt;0,"Paid","Upcoming")))</f>
        <v/>
      </c>
      <c r="U872" s="36">
        <f>IF(A872="",0,IF(C872="✗",0,IF(L872&lt;&gt;"",L872,F872)))</f>
        <v/>
      </c>
    </row>
    <row r="873">
      <c r="A873" s="39">
        <f>IFERROR(SMALL(Calc!$B$2:$BB$61,868),"")</f>
        <v/>
      </c>
      <c r="B873" s="39">
        <f>IF(A873="","",ROUND(MOD(A873,1)*1000,0))</f>
        <v/>
      </c>
      <c r="C873" s="33" t="n"/>
      <c r="D873" s="40">
        <f>IF(A873="","",INT(A873))</f>
        <v/>
      </c>
      <c r="E873" s="41">
        <f>IF(B873="","",INDEX(Setup!$D$25:$D$84,B873))</f>
        <v/>
      </c>
      <c r="F873" s="42">
        <f>IF(B873="","",INDEX(Setup!$E$25:$E$84,B873))</f>
        <v/>
      </c>
      <c r="G873" s="39">
        <f>IF(B873="","",INDEX(Setup!$I$25:$I$84,B873)&amp;"")</f>
        <v/>
      </c>
      <c r="H873" s="39">
        <f>IF(B873="","",INDEX(Setup!$J$25:$J$84,B873)&amp;"")</f>
        <v/>
      </c>
      <c r="I873" s="39">
        <f>IF(B873="","",INDEX(Setup!$C$25:$C$84,B873))</f>
        <v/>
      </c>
      <c r="J873" s="39" t="n"/>
      <c r="K873" s="37" t="n"/>
      <c r="L873" s="38" t="n"/>
      <c r="M873" s="33" t="n"/>
      <c r="N873" s="33" t="n"/>
      <c r="O873" s="39" t="n"/>
      <c r="P873" s="40">
        <f>IF(A873="","",IF(K873&lt;&gt;"",K873,D873))</f>
        <v/>
      </c>
      <c r="Q873" s="42">
        <f>IF(A873="",0,IF(C873="✗",0,IF(OR(C873="✓",AND(Setup!$D$7="Yes",P873&lt;=TODAY())),IF(L873&lt;&gt;"",L873,F873),0)))</f>
        <v/>
      </c>
      <c r="R873" s="39">
        <f>IF(A873="","",IF(M873&lt;&gt;"",M873,G873))</f>
        <v/>
      </c>
      <c r="S873" s="39">
        <f>IF(A873="","",IF(N873&lt;&gt;"",N873,H873))</f>
        <v/>
      </c>
      <c r="T873" s="39">
        <f>IF(A873="","",IF(C873="✗","Skipped",IF(Q873&gt;0,"Paid","Upcoming")))</f>
        <v/>
      </c>
      <c r="U873" s="42">
        <f>IF(A873="",0,IF(C873="✗",0,IF(L873&lt;&gt;"",L873,F873)))</f>
        <v/>
      </c>
    </row>
    <row r="874">
      <c r="A874" s="32">
        <f>IFERROR(SMALL(Calc!$B$2:$BB$61,869),"")</f>
        <v/>
      </c>
      <c r="B874" s="32">
        <f>IF(A874="","",ROUND(MOD(A874,1)*1000,0))</f>
        <v/>
      </c>
      <c r="C874" s="33" t="n"/>
      <c r="D874" s="34">
        <f>IF(A874="","",INT(A874))</f>
        <v/>
      </c>
      <c r="E874" s="35">
        <f>IF(B874="","",INDEX(Setup!$D$25:$D$84,B874))</f>
        <v/>
      </c>
      <c r="F874" s="36">
        <f>IF(B874="","",INDEX(Setup!$E$25:$E$84,B874))</f>
        <v/>
      </c>
      <c r="G874" s="32">
        <f>IF(B874="","",INDEX(Setup!$I$25:$I$84,B874)&amp;"")</f>
        <v/>
      </c>
      <c r="H874" s="32">
        <f>IF(B874="","",INDEX(Setup!$J$25:$J$84,B874)&amp;"")</f>
        <v/>
      </c>
      <c r="I874" s="32">
        <f>IF(B874="","",INDEX(Setup!$C$25:$C$84,B874))</f>
        <v/>
      </c>
      <c r="J874" s="32" t="n"/>
      <c r="K874" s="37" t="n"/>
      <c r="L874" s="38" t="n"/>
      <c r="M874" s="33" t="n"/>
      <c r="N874" s="33" t="n"/>
      <c r="O874" s="32" t="n"/>
      <c r="P874" s="34">
        <f>IF(A874="","",IF(K874&lt;&gt;"",K874,D874))</f>
        <v/>
      </c>
      <c r="Q874" s="36">
        <f>IF(A874="",0,IF(C874="✗",0,IF(OR(C874="✓",AND(Setup!$D$7="Yes",P874&lt;=TODAY())),IF(L874&lt;&gt;"",L874,F874),0)))</f>
        <v/>
      </c>
      <c r="R874" s="32">
        <f>IF(A874="","",IF(M874&lt;&gt;"",M874,G874))</f>
        <v/>
      </c>
      <c r="S874" s="32">
        <f>IF(A874="","",IF(N874&lt;&gt;"",N874,H874))</f>
        <v/>
      </c>
      <c r="T874" s="32">
        <f>IF(A874="","",IF(C874="✗","Skipped",IF(Q874&gt;0,"Paid","Upcoming")))</f>
        <v/>
      </c>
      <c r="U874" s="36">
        <f>IF(A874="",0,IF(C874="✗",0,IF(L874&lt;&gt;"",L874,F874)))</f>
        <v/>
      </c>
    </row>
    <row r="875">
      <c r="A875" s="39">
        <f>IFERROR(SMALL(Calc!$B$2:$BB$61,870),"")</f>
        <v/>
      </c>
      <c r="B875" s="39">
        <f>IF(A875="","",ROUND(MOD(A875,1)*1000,0))</f>
        <v/>
      </c>
      <c r="C875" s="33" t="n"/>
      <c r="D875" s="40">
        <f>IF(A875="","",INT(A875))</f>
        <v/>
      </c>
      <c r="E875" s="41">
        <f>IF(B875="","",INDEX(Setup!$D$25:$D$84,B875))</f>
        <v/>
      </c>
      <c r="F875" s="42">
        <f>IF(B875="","",INDEX(Setup!$E$25:$E$84,B875))</f>
        <v/>
      </c>
      <c r="G875" s="39">
        <f>IF(B875="","",INDEX(Setup!$I$25:$I$84,B875)&amp;"")</f>
        <v/>
      </c>
      <c r="H875" s="39">
        <f>IF(B875="","",INDEX(Setup!$J$25:$J$84,B875)&amp;"")</f>
        <v/>
      </c>
      <c r="I875" s="39">
        <f>IF(B875="","",INDEX(Setup!$C$25:$C$84,B875))</f>
        <v/>
      </c>
      <c r="J875" s="39" t="n"/>
      <c r="K875" s="37" t="n"/>
      <c r="L875" s="38" t="n"/>
      <c r="M875" s="33" t="n"/>
      <c r="N875" s="33" t="n"/>
      <c r="O875" s="39" t="n"/>
      <c r="P875" s="40">
        <f>IF(A875="","",IF(K875&lt;&gt;"",K875,D875))</f>
        <v/>
      </c>
      <c r="Q875" s="42">
        <f>IF(A875="",0,IF(C875="✗",0,IF(OR(C875="✓",AND(Setup!$D$7="Yes",P875&lt;=TODAY())),IF(L875&lt;&gt;"",L875,F875),0)))</f>
        <v/>
      </c>
      <c r="R875" s="39">
        <f>IF(A875="","",IF(M875&lt;&gt;"",M875,G875))</f>
        <v/>
      </c>
      <c r="S875" s="39">
        <f>IF(A875="","",IF(N875&lt;&gt;"",N875,H875))</f>
        <v/>
      </c>
      <c r="T875" s="39">
        <f>IF(A875="","",IF(C875="✗","Skipped",IF(Q875&gt;0,"Paid","Upcoming")))</f>
        <v/>
      </c>
      <c r="U875" s="42">
        <f>IF(A875="",0,IF(C875="✗",0,IF(L875&lt;&gt;"",L875,F875)))</f>
        <v/>
      </c>
    </row>
    <row r="876">
      <c r="A876" s="32">
        <f>IFERROR(SMALL(Calc!$B$2:$BB$61,871),"")</f>
        <v/>
      </c>
      <c r="B876" s="32">
        <f>IF(A876="","",ROUND(MOD(A876,1)*1000,0))</f>
        <v/>
      </c>
      <c r="C876" s="33" t="n"/>
      <c r="D876" s="34">
        <f>IF(A876="","",INT(A876))</f>
        <v/>
      </c>
      <c r="E876" s="35">
        <f>IF(B876="","",INDEX(Setup!$D$25:$D$84,B876))</f>
        <v/>
      </c>
      <c r="F876" s="36">
        <f>IF(B876="","",INDEX(Setup!$E$25:$E$84,B876))</f>
        <v/>
      </c>
      <c r="G876" s="32">
        <f>IF(B876="","",INDEX(Setup!$I$25:$I$84,B876)&amp;"")</f>
        <v/>
      </c>
      <c r="H876" s="32">
        <f>IF(B876="","",INDEX(Setup!$J$25:$J$84,B876)&amp;"")</f>
        <v/>
      </c>
      <c r="I876" s="32">
        <f>IF(B876="","",INDEX(Setup!$C$25:$C$84,B876))</f>
        <v/>
      </c>
      <c r="J876" s="32" t="n"/>
      <c r="K876" s="37" t="n"/>
      <c r="L876" s="38" t="n"/>
      <c r="M876" s="33" t="n"/>
      <c r="N876" s="33" t="n"/>
      <c r="O876" s="32" t="n"/>
      <c r="P876" s="34">
        <f>IF(A876="","",IF(K876&lt;&gt;"",K876,D876))</f>
        <v/>
      </c>
      <c r="Q876" s="36">
        <f>IF(A876="",0,IF(C876="✗",0,IF(OR(C876="✓",AND(Setup!$D$7="Yes",P876&lt;=TODAY())),IF(L876&lt;&gt;"",L876,F876),0)))</f>
        <v/>
      </c>
      <c r="R876" s="32">
        <f>IF(A876="","",IF(M876&lt;&gt;"",M876,G876))</f>
        <v/>
      </c>
      <c r="S876" s="32">
        <f>IF(A876="","",IF(N876&lt;&gt;"",N876,H876))</f>
        <v/>
      </c>
      <c r="T876" s="32">
        <f>IF(A876="","",IF(C876="✗","Skipped",IF(Q876&gt;0,"Paid","Upcoming")))</f>
        <v/>
      </c>
      <c r="U876" s="36">
        <f>IF(A876="",0,IF(C876="✗",0,IF(L876&lt;&gt;"",L876,F876)))</f>
        <v/>
      </c>
    </row>
    <row r="877">
      <c r="A877" s="39">
        <f>IFERROR(SMALL(Calc!$B$2:$BB$61,872),"")</f>
        <v/>
      </c>
      <c r="B877" s="39">
        <f>IF(A877="","",ROUND(MOD(A877,1)*1000,0))</f>
        <v/>
      </c>
      <c r="C877" s="33" t="n"/>
      <c r="D877" s="40">
        <f>IF(A877="","",INT(A877))</f>
        <v/>
      </c>
      <c r="E877" s="41">
        <f>IF(B877="","",INDEX(Setup!$D$25:$D$84,B877))</f>
        <v/>
      </c>
      <c r="F877" s="42">
        <f>IF(B877="","",INDEX(Setup!$E$25:$E$84,B877))</f>
        <v/>
      </c>
      <c r="G877" s="39">
        <f>IF(B877="","",INDEX(Setup!$I$25:$I$84,B877)&amp;"")</f>
        <v/>
      </c>
      <c r="H877" s="39">
        <f>IF(B877="","",INDEX(Setup!$J$25:$J$84,B877)&amp;"")</f>
        <v/>
      </c>
      <c r="I877" s="39">
        <f>IF(B877="","",INDEX(Setup!$C$25:$C$84,B877))</f>
        <v/>
      </c>
      <c r="J877" s="39" t="n"/>
      <c r="K877" s="37" t="n"/>
      <c r="L877" s="38" t="n"/>
      <c r="M877" s="33" t="n"/>
      <c r="N877" s="33" t="n"/>
      <c r="O877" s="39" t="n"/>
      <c r="P877" s="40">
        <f>IF(A877="","",IF(K877&lt;&gt;"",K877,D877))</f>
        <v/>
      </c>
      <c r="Q877" s="42">
        <f>IF(A877="",0,IF(C877="✗",0,IF(OR(C877="✓",AND(Setup!$D$7="Yes",P877&lt;=TODAY())),IF(L877&lt;&gt;"",L877,F877),0)))</f>
        <v/>
      </c>
      <c r="R877" s="39">
        <f>IF(A877="","",IF(M877&lt;&gt;"",M877,G877))</f>
        <v/>
      </c>
      <c r="S877" s="39">
        <f>IF(A877="","",IF(N877&lt;&gt;"",N877,H877))</f>
        <v/>
      </c>
      <c r="T877" s="39">
        <f>IF(A877="","",IF(C877="✗","Skipped",IF(Q877&gt;0,"Paid","Upcoming")))</f>
        <v/>
      </c>
      <c r="U877" s="42">
        <f>IF(A877="",0,IF(C877="✗",0,IF(L877&lt;&gt;"",L877,F877)))</f>
        <v/>
      </c>
    </row>
    <row r="878">
      <c r="A878" s="32">
        <f>IFERROR(SMALL(Calc!$B$2:$BB$61,873),"")</f>
        <v/>
      </c>
      <c r="B878" s="32">
        <f>IF(A878="","",ROUND(MOD(A878,1)*1000,0))</f>
        <v/>
      </c>
      <c r="C878" s="33" t="n"/>
      <c r="D878" s="34">
        <f>IF(A878="","",INT(A878))</f>
        <v/>
      </c>
      <c r="E878" s="35">
        <f>IF(B878="","",INDEX(Setup!$D$25:$D$84,B878))</f>
        <v/>
      </c>
      <c r="F878" s="36">
        <f>IF(B878="","",INDEX(Setup!$E$25:$E$84,B878))</f>
        <v/>
      </c>
      <c r="G878" s="32">
        <f>IF(B878="","",INDEX(Setup!$I$25:$I$84,B878)&amp;"")</f>
        <v/>
      </c>
      <c r="H878" s="32">
        <f>IF(B878="","",INDEX(Setup!$J$25:$J$84,B878)&amp;"")</f>
        <v/>
      </c>
      <c r="I878" s="32">
        <f>IF(B878="","",INDEX(Setup!$C$25:$C$84,B878))</f>
        <v/>
      </c>
      <c r="J878" s="32" t="n"/>
      <c r="K878" s="37" t="n"/>
      <c r="L878" s="38" t="n"/>
      <c r="M878" s="33" t="n"/>
      <c r="N878" s="33" t="n"/>
      <c r="O878" s="32" t="n"/>
      <c r="P878" s="34">
        <f>IF(A878="","",IF(K878&lt;&gt;"",K878,D878))</f>
        <v/>
      </c>
      <c r="Q878" s="36">
        <f>IF(A878="",0,IF(C878="✗",0,IF(OR(C878="✓",AND(Setup!$D$7="Yes",P878&lt;=TODAY())),IF(L878&lt;&gt;"",L878,F878),0)))</f>
        <v/>
      </c>
      <c r="R878" s="32">
        <f>IF(A878="","",IF(M878&lt;&gt;"",M878,G878))</f>
        <v/>
      </c>
      <c r="S878" s="32">
        <f>IF(A878="","",IF(N878&lt;&gt;"",N878,H878))</f>
        <v/>
      </c>
      <c r="T878" s="32">
        <f>IF(A878="","",IF(C878="✗","Skipped",IF(Q878&gt;0,"Paid","Upcoming")))</f>
        <v/>
      </c>
      <c r="U878" s="36">
        <f>IF(A878="",0,IF(C878="✗",0,IF(L878&lt;&gt;"",L878,F878)))</f>
        <v/>
      </c>
    </row>
    <row r="879">
      <c r="A879" s="39">
        <f>IFERROR(SMALL(Calc!$B$2:$BB$61,874),"")</f>
        <v/>
      </c>
      <c r="B879" s="39">
        <f>IF(A879="","",ROUND(MOD(A879,1)*1000,0))</f>
        <v/>
      </c>
      <c r="C879" s="33" t="n"/>
      <c r="D879" s="40">
        <f>IF(A879="","",INT(A879))</f>
        <v/>
      </c>
      <c r="E879" s="41">
        <f>IF(B879="","",INDEX(Setup!$D$25:$D$84,B879))</f>
        <v/>
      </c>
      <c r="F879" s="42">
        <f>IF(B879="","",INDEX(Setup!$E$25:$E$84,B879))</f>
        <v/>
      </c>
      <c r="G879" s="39">
        <f>IF(B879="","",INDEX(Setup!$I$25:$I$84,B879)&amp;"")</f>
        <v/>
      </c>
      <c r="H879" s="39">
        <f>IF(B879="","",INDEX(Setup!$J$25:$J$84,B879)&amp;"")</f>
        <v/>
      </c>
      <c r="I879" s="39">
        <f>IF(B879="","",INDEX(Setup!$C$25:$C$84,B879))</f>
        <v/>
      </c>
      <c r="J879" s="39" t="n"/>
      <c r="K879" s="37" t="n"/>
      <c r="L879" s="38" t="n"/>
      <c r="M879" s="33" t="n"/>
      <c r="N879" s="33" t="n"/>
      <c r="O879" s="39" t="n"/>
      <c r="P879" s="40">
        <f>IF(A879="","",IF(K879&lt;&gt;"",K879,D879))</f>
        <v/>
      </c>
      <c r="Q879" s="42">
        <f>IF(A879="",0,IF(C879="✗",0,IF(OR(C879="✓",AND(Setup!$D$7="Yes",P879&lt;=TODAY())),IF(L879&lt;&gt;"",L879,F879),0)))</f>
        <v/>
      </c>
      <c r="R879" s="39">
        <f>IF(A879="","",IF(M879&lt;&gt;"",M879,G879))</f>
        <v/>
      </c>
      <c r="S879" s="39">
        <f>IF(A879="","",IF(N879&lt;&gt;"",N879,H879))</f>
        <v/>
      </c>
      <c r="T879" s="39">
        <f>IF(A879="","",IF(C879="✗","Skipped",IF(Q879&gt;0,"Paid","Upcoming")))</f>
        <v/>
      </c>
      <c r="U879" s="42">
        <f>IF(A879="",0,IF(C879="✗",0,IF(L879&lt;&gt;"",L879,F879)))</f>
        <v/>
      </c>
    </row>
    <row r="880">
      <c r="A880" s="32">
        <f>IFERROR(SMALL(Calc!$B$2:$BB$61,875),"")</f>
        <v/>
      </c>
      <c r="B880" s="32">
        <f>IF(A880="","",ROUND(MOD(A880,1)*1000,0))</f>
        <v/>
      </c>
      <c r="C880" s="33" t="n"/>
      <c r="D880" s="34">
        <f>IF(A880="","",INT(A880))</f>
        <v/>
      </c>
      <c r="E880" s="35">
        <f>IF(B880="","",INDEX(Setup!$D$25:$D$84,B880))</f>
        <v/>
      </c>
      <c r="F880" s="36">
        <f>IF(B880="","",INDEX(Setup!$E$25:$E$84,B880))</f>
        <v/>
      </c>
      <c r="G880" s="32">
        <f>IF(B880="","",INDEX(Setup!$I$25:$I$84,B880)&amp;"")</f>
        <v/>
      </c>
      <c r="H880" s="32">
        <f>IF(B880="","",INDEX(Setup!$J$25:$J$84,B880)&amp;"")</f>
        <v/>
      </c>
      <c r="I880" s="32">
        <f>IF(B880="","",INDEX(Setup!$C$25:$C$84,B880))</f>
        <v/>
      </c>
      <c r="J880" s="32" t="n"/>
      <c r="K880" s="37" t="n"/>
      <c r="L880" s="38" t="n"/>
      <c r="M880" s="33" t="n"/>
      <c r="N880" s="33" t="n"/>
      <c r="O880" s="32" t="n"/>
      <c r="P880" s="34">
        <f>IF(A880="","",IF(K880&lt;&gt;"",K880,D880))</f>
        <v/>
      </c>
      <c r="Q880" s="36">
        <f>IF(A880="",0,IF(C880="✗",0,IF(OR(C880="✓",AND(Setup!$D$7="Yes",P880&lt;=TODAY())),IF(L880&lt;&gt;"",L880,F880),0)))</f>
        <v/>
      </c>
      <c r="R880" s="32">
        <f>IF(A880="","",IF(M880&lt;&gt;"",M880,G880))</f>
        <v/>
      </c>
      <c r="S880" s="32">
        <f>IF(A880="","",IF(N880&lt;&gt;"",N880,H880))</f>
        <v/>
      </c>
      <c r="T880" s="32">
        <f>IF(A880="","",IF(C880="✗","Skipped",IF(Q880&gt;0,"Paid","Upcoming")))</f>
        <v/>
      </c>
      <c r="U880" s="36">
        <f>IF(A880="",0,IF(C880="✗",0,IF(L880&lt;&gt;"",L880,F880)))</f>
        <v/>
      </c>
    </row>
    <row r="881">
      <c r="A881" s="39">
        <f>IFERROR(SMALL(Calc!$B$2:$BB$61,876),"")</f>
        <v/>
      </c>
      <c r="B881" s="39">
        <f>IF(A881="","",ROUND(MOD(A881,1)*1000,0))</f>
        <v/>
      </c>
      <c r="C881" s="33" t="n"/>
      <c r="D881" s="40">
        <f>IF(A881="","",INT(A881))</f>
        <v/>
      </c>
      <c r="E881" s="41">
        <f>IF(B881="","",INDEX(Setup!$D$25:$D$84,B881))</f>
        <v/>
      </c>
      <c r="F881" s="42">
        <f>IF(B881="","",INDEX(Setup!$E$25:$E$84,B881))</f>
        <v/>
      </c>
      <c r="G881" s="39">
        <f>IF(B881="","",INDEX(Setup!$I$25:$I$84,B881)&amp;"")</f>
        <v/>
      </c>
      <c r="H881" s="39">
        <f>IF(B881="","",INDEX(Setup!$J$25:$J$84,B881)&amp;"")</f>
        <v/>
      </c>
      <c r="I881" s="39">
        <f>IF(B881="","",INDEX(Setup!$C$25:$C$84,B881))</f>
        <v/>
      </c>
      <c r="J881" s="39" t="n"/>
      <c r="K881" s="37" t="n"/>
      <c r="L881" s="38" t="n"/>
      <c r="M881" s="33" t="n"/>
      <c r="N881" s="33" t="n"/>
      <c r="O881" s="39" t="n"/>
      <c r="P881" s="40">
        <f>IF(A881="","",IF(K881&lt;&gt;"",K881,D881))</f>
        <v/>
      </c>
      <c r="Q881" s="42">
        <f>IF(A881="",0,IF(C881="✗",0,IF(OR(C881="✓",AND(Setup!$D$7="Yes",P881&lt;=TODAY())),IF(L881&lt;&gt;"",L881,F881),0)))</f>
        <v/>
      </c>
      <c r="R881" s="39">
        <f>IF(A881="","",IF(M881&lt;&gt;"",M881,G881))</f>
        <v/>
      </c>
      <c r="S881" s="39">
        <f>IF(A881="","",IF(N881&lt;&gt;"",N881,H881))</f>
        <v/>
      </c>
      <c r="T881" s="39">
        <f>IF(A881="","",IF(C881="✗","Skipped",IF(Q881&gt;0,"Paid","Upcoming")))</f>
        <v/>
      </c>
      <c r="U881" s="42">
        <f>IF(A881="",0,IF(C881="✗",0,IF(L881&lt;&gt;"",L881,F881)))</f>
        <v/>
      </c>
    </row>
    <row r="882">
      <c r="A882" s="32">
        <f>IFERROR(SMALL(Calc!$B$2:$BB$61,877),"")</f>
        <v/>
      </c>
      <c r="B882" s="32">
        <f>IF(A882="","",ROUND(MOD(A882,1)*1000,0))</f>
        <v/>
      </c>
      <c r="C882" s="33" t="n"/>
      <c r="D882" s="34">
        <f>IF(A882="","",INT(A882))</f>
        <v/>
      </c>
      <c r="E882" s="35">
        <f>IF(B882="","",INDEX(Setup!$D$25:$D$84,B882))</f>
        <v/>
      </c>
      <c r="F882" s="36">
        <f>IF(B882="","",INDEX(Setup!$E$25:$E$84,B882))</f>
        <v/>
      </c>
      <c r="G882" s="32">
        <f>IF(B882="","",INDEX(Setup!$I$25:$I$84,B882)&amp;"")</f>
        <v/>
      </c>
      <c r="H882" s="32">
        <f>IF(B882="","",INDEX(Setup!$J$25:$J$84,B882)&amp;"")</f>
        <v/>
      </c>
      <c r="I882" s="32">
        <f>IF(B882="","",INDEX(Setup!$C$25:$C$84,B882))</f>
        <v/>
      </c>
      <c r="J882" s="32" t="n"/>
      <c r="K882" s="37" t="n"/>
      <c r="L882" s="38" t="n"/>
      <c r="M882" s="33" t="n"/>
      <c r="N882" s="33" t="n"/>
      <c r="O882" s="32" t="n"/>
      <c r="P882" s="34">
        <f>IF(A882="","",IF(K882&lt;&gt;"",K882,D882))</f>
        <v/>
      </c>
      <c r="Q882" s="36">
        <f>IF(A882="",0,IF(C882="✗",0,IF(OR(C882="✓",AND(Setup!$D$7="Yes",P882&lt;=TODAY())),IF(L882&lt;&gt;"",L882,F882),0)))</f>
        <v/>
      </c>
      <c r="R882" s="32">
        <f>IF(A882="","",IF(M882&lt;&gt;"",M882,G882))</f>
        <v/>
      </c>
      <c r="S882" s="32">
        <f>IF(A882="","",IF(N882&lt;&gt;"",N882,H882))</f>
        <v/>
      </c>
      <c r="T882" s="32">
        <f>IF(A882="","",IF(C882="✗","Skipped",IF(Q882&gt;0,"Paid","Upcoming")))</f>
        <v/>
      </c>
      <c r="U882" s="36">
        <f>IF(A882="",0,IF(C882="✗",0,IF(L882&lt;&gt;"",L882,F882)))</f>
        <v/>
      </c>
    </row>
    <row r="883">
      <c r="A883" s="39">
        <f>IFERROR(SMALL(Calc!$B$2:$BB$61,878),"")</f>
        <v/>
      </c>
      <c r="B883" s="39">
        <f>IF(A883="","",ROUND(MOD(A883,1)*1000,0))</f>
        <v/>
      </c>
      <c r="C883" s="33" t="n"/>
      <c r="D883" s="40">
        <f>IF(A883="","",INT(A883))</f>
        <v/>
      </c>
      <c r="E883" s="41">
        <f>IF(B883="","",INDEX(Setup!$D$25:$D$84,B883))</f>
        <v/>
      </c>
      <c r="F883" s="42">
        <f>IF(B883="","",INDEX(Setup!$E$25:$E$84,B883))</f>
        <v/>
      </c>
      <c r="G883" s="39">
        <f>IF(B883="","",INDEX(Setup!$I$25:$I$84,B883)&amp;"")</f>
        <v/>
      </c>
      <c r="H883" s="39">
        <f>IF(B883="","",INDEX(Setup!$J$25:$J$84,B883)&amp;"")</f>
        <v/>
      </c>
      <c r="I883" s="39">
        <f>IF(B883="","",INDEX(Setup!$C$25:$C$84,B883))</f>
        <v/>
      </c>
      <c r="J883" s="39" t="n"/>
      <c r="K883" s="37" t="n"/>
      <c r="L883" s="38" t="n"/>
      <c r="M883" s="33" t="n"/>
      <c r="N883" s="33" t="n"/>
      <c r="O883" s="39" t="n"/>
      <c r="P883" s="40">
        <f>IF(A883="","",IF(K883&lt;&gt;"",K883,D883))</f>
        <v/>
      </c>
      <c r="Q883" s="42">
        <f>IF(A883="",0,IF(C883="✗",0,IF(OR(C883="✓",AND(Setup!$D$7="Yes",P883&lt;=TODAY())),IF(L883&lt;&gt;"",L883,F883),0)))</f>
        <v/>
      </c>
      <c r="R883" s="39">
        <f>IF(A883="","",IF(M883&lt;&gt;"",M883,G883))</f>
        <v/>
      </c>
      <c r="S883" s="39">
        <f>IF(A883="","",IF(N883&lt;&gt;"",N883,H883))</f>
        <v/>
      </c>
      <c r="T883" s="39">
        <f>IF(A883="","",IF(C883="✗","Skipped",IF(Q883&gt;0,"Paid","Upcoming")))</f>
        <v/>
      </c>
      <c r="U883" s="42">
        <f>IF(A883="",0,IF(C883="✗",0,IF(L883&lt;&gt;"",L883,F883)))</f>
        <v/>
      </c>
    </row>
    <row r="884">
      <c r="A884" s="32">
        <f>IFERROR(SMALL(Calc!$B$2:$BB$61,879),"")</f>
        <v/>
      </c>
      <c r="B884" s="32">
        <f>IF(A884="","",ROUND(MOD(A884,1)*1000,0))</f>
        <v/>
      </c>
      <c r="C884" s="33" t="n"/>
      <c r="D884" s="34">
        <f>IF(A884="","",INT(A884))</f>
        <v/>
      </c>
      <c r="E884" s="35">
        <f>IF(B884="","",INDEX(Setup!$D$25:$D$84,B884))</f>
        <v/>
      </c>
      <c r="F884" s="36">
        <f>IF(B884="","",INDEX(Setup!$E$25:$E$84,B884))</f>
        <v/>
      </c>
      <c r="G884" s="32">
        <f>IF(B884="","",INDEX(Setup!$I$25:$I$84,B884)&amp;"")</f>
        <v/>
      </c>
      <c r="H884" s="32">
        <f>IF(B884="","",INDEX(Setup!$J$25:$J$84,B884)&amp;"")</f>
        <v/>
      </c>
      <c r="I884" s="32">
        <f>IF(B884="","",INDEX(Setup!$C$25:$C$84,B884))</f>
        <v/>
      </c>
      <c r="J884" s="32" t="n"/>
      <c r="K884" s="37" t="n"/>
      <c r="L884" s="38" t="n"/>
      <c r="M884" s="33" t="n"/>
      <c r="N884" s="33" t="n"/>
      <c r="O884" s="32" t="n"/>
      <c r="P884" s="34">
        <f>IF(A884="","",IF(K884&lt;&gt;"",K884,D884))</f>
        <v/>
      </c>
      <c r="Q884" s="36">
        <f>IF(A884="",0,IF(C884="✗",0,IF(OR(C884="✓",AND(Setup!$D$7="Yes",P884&lt;=TODAY())),IF(L884&lt;&gt;"",L884,F884),0)))</f>
        <v/>
      </c>
      <c r="R884" s="32">
        <f>IF(A884="","",IF(M884&lt;&gt;"",M884,G884))</f>
        <v/>
      </c>
      <c r="S884" s="32">
        <f>IF(A884="","",IF(N884&lt;&gt;"",N884,H884))</f>
        <v/>
      </c>
      <c r="T884" s="32">
        <f>IF(A884="","",IF(C884="✗","Skipped",IF(Q884&gt;0,"Paid","Upcoming")))</f>
        <v/>
      </c>
      <c r="U884" s="36">
        <f>IF(A884="",0,IF(C884="✗",0,IF(L884&lt;&gt;"",L884,F884)))</f>
        <v/>
      </c>
    </row>
    <row r="885">
      <c r="A885" s="39">
        <f>IFERROR(SMALL(Calc!$B$2:$BB$61,880),"")</f>
        <v/>
      </c>
      <c r="B885" s="39">
        <f>IF(A885="","",ROUND(MOD(A885,1)*1000,0))</f>
        <v/>
      </c>
      <c r="C885" s="33" t="n"/>
      <c r="D885" s="40">
        <f>IF(A885="","",INT(A885))</f>
        <v/>
      </c>
      <c r="E885" s="41">
        <f>IF(B885="","",INDEX(Setup!$D$25:$D$84,B885))</f>
        <v/>
      </c>
      <c r="F885" s="42">
        <f>IF(B885="","",INDEX(Setup!$E$25:$E$84,B885))</f>
        <v/>
      </c>
      <c r="G885" s="39">
        <f>IF(B885="","",INDEX(Setup!$I$25:$I$84,B885)&amp;"")</f>
        <v/>
      </c>
      <c r="H885" s="39">
        <f>IF(B885="","",INDEX(Setup!$J$25:$J$84,B885)&amp;"")</f>
        <v/>
      </c>
      <c r="I885" s="39">
        <f>IF(B885="","",INDEX(Setup!$C$25:$C$84,B885))</f>
        <v/>
      </c>
      <c r="J885" s="39" t="n"/>
      <c r="K885" s="37" t="n"/>
      <c r="L885" s="38" t="n"/>
      <c r="M885" s="33" t="n"/>
      <c r="N885" s="33" t="n"/>
      <c r="O885" s="39" t="n"/>
      <c r="P885" s="40">
        <f>IF(A885="","",IF(K885&lt;&gt;"",K885,D885))</f>
        <v/>
      </c>
      <c r="Q885" s="42">
        <f>IF(A885="",0,IF(C885="✗",0,IF(OR(C885="✓",AND(Setup!$D$7="Yes",P885&lt;=TODAY())),IF(L885&lt;&gt;"",L885,F885),0)))</f>
        <v/>
      </c>
      <c r="R885" s="39">
        <f>IF(A885="","",IF(M885&lt;&gt;"",M885,G885))</f>
        <v/>
      </c>
      <c r="S885" s="39">
        <f>IF(A885="","",IF(N885&lt;&gt;"",N885,H885))</f>
        <v/>
      </c>
      <c r="T885" s="39">
        <f>IF(A885="","",IF(C885="✗","Skipped",IF(Q885&gt;0,"Paid","Upcoming")))</f>
        <v/>
      </c>
      <c r="U885" s="42">
        <f>IF(A885="",0,IF(C885="✗",0,IF(L885&lt;&gt;"",L885,F885)))</f>
        <v/>
      </c>
    </row>
    <row r="886">
      <c r="A886" s="32">
        <f>IFERROR(SMALL(Calc!$B$2:$BB$61,881),"")</f>
        <v/>
      </c>
      <c r="B886" s="32">
        <f>IF(A886="","",ROUND(MOD(A886,1)*1000,0))</f>
        <v/>
      </c>
      <c r="C886" s="33" t="n"/>
      <c r="D886" s="34">
        <f>IF(A886="","",INT(A886))</f>
        <v/>
      </c>
      <c r="E886" s="35">
        <f>IF(B886="","",INDEX(Setup!$D$25:$D$84,B886))</f>
        <v/>
      </c>
      <c r="F886" s="36">
        <f>IF(B886="","",INDEX(Setup!$E$25:$E$84,B886))</f>
        <v/>
      </c>
      <c r="G886" s="32">
        <f>IF(B886="","",INDEX(Setup!$I$25:$I$84,B886)&amp;"")</f>
        <v/>
      </c>
      <c r="H886" s="32">
        <f>IF(B886="","",INDEX(Setup!$J$25:$J$84,B886)&amp;"")</f>
        <v/>
      </c>
      <c r="I886" s="32">
        <f>IF(B886="","",INDEX(Setup!$C$25:$C$84,B886))</f>
        <v/>
      </c>
      <c r="J886" s="32" t="n"/>
      <c r="K886" s="37" t="n"/>
      <c r="L886" s="38" t="n"/>
      <c r="M886" s="33" t="n"/>
      <c r="N886" s="33" t="n"/>
      <c r="O886" s="32" t="n"/>
      <c r="P886" s="34">
        <f>IF(A886="","",IF(K886&lt;&gt;"",K886,D886))</f>
        <v/>
      </c>
      <c r="Q886" s="36">
        <f>IF(A886="",0,IF(C886="✗",0,IF(OR(C886="✓",AND(Setup!$D$7="Yes",P886&lt;=TODAY())),IF(L886&lt;&gt;"",L886,F886),0)))</f>
        <v/>
      </c>
      <c r="R886" s="32">
        <f>IF(A886="","",IF(M886&lt;&gt;"",M886,G886))</f>
        <v/>
      </c>
      <c r="S886" s="32">
        <f>IF(A886="","",IF(N886&lt;&gt;"",N886,H886))</f>
        <v/>
      </c>
      <c r="T886" s="32">
        <f>IF(A886="","",IF(C886="✗","Skipped",IF(Q886&gt;0,"Paid","Upcoming")))</f>
        <v/>
      </c>
      <c r="U886" s="36">
        <f>IF(A886="",0,IF(C886="✗",0,IF(L886&lt;&gt;"",L886,F886)))</f>
        <v/>
      </c>
    </row>
    <row r="887">
      <c r="A887" s="39">
        <f>IFERROR(SMALL(Calc!$B$2:$BB$61,882),"")</f>
        <v/>
      </c>
      <c r="B887" s="39">
        <f>IF(A887="","",ROUND(MOD(A887,1)*1000,0))</f>
        <v/>
      </c>
      <c r="C887" s="33" t="n"/>
      <c r="D887" s="40">
        <f>IF(A887="","",INT(A887))</f>
        <v/>
      </c>
      <c r="E887" s="41">
        <f>IF(B887="","",INDEX(Setup!$D$25:$D$84,B887))</f>
        <v/>
      </c>
      <c r="F887" s="42">
        <f>IF(B887="","",INDEX(Setup!$E$25:$E$84,B887))</f>
        <v/>
      </c>
      <c r="G887" s="39">
        <f>IF(B887="","",INDEX(Setup!$I$25:$I$84,B887)&amp;"")</f>
        <v/>
      </c>
      <c r="H887" s="39">
        <f>IF(B887="","",INDEX(Setup!$J$25:$J$84,B887)&amp;"")</f>
        <v/>
      </c>
      <c r="I887" s="39">
        <f>IF(B887="","",INDEX(Setup!$C$25:$C$84,B887))</f>
        <v/>
      </c>
      <c r="J887" s="39" t="n"/>
      <c r="K887" s="37" t="n"/>
      <c r="L887" s="38" t="n"/>
      <c r="M887" s="33" t="n"/>
      <c r="N887" s="33" t="n"/>
      <c r="O887" s="39" t="n"/>
      <c r="P887" s="40">
        <f>IF(A887="","",IF(K887&lt;&gt;"",K887,D887))</f>
        <v/>
      </c>
      <c r="Q887" s="42">
        <f>IF(A887="",0,IF(C887="✗",0,IF(OR(C887="✓",AND(Setup!$D$7="Yes",P887&lt;=TODAY())),IF(L887&lt;&gt;"",L887,F887),0)))</f>
        <v/>
      </c>
      <c r="R887" s="39">
        <f>IF(A887="","",IF(M887&lt;&gt;"",M887,G887))</f>
        <v/>
      </c>
      <c r="S887" s="39">
        <f>IF(A887="","",IF(N887&lt;&gt;"",N887,H887))</f>
        <v/>
      </c>
      <c r="T887" s="39">
        <f>IF(A887="","",IF(C887="✗","Skipped",IF(Q887&gt;0,"Paid","Upcoming")))</f>
        <v/>
      </c>
      <c r="U887" s="42">
        <f>IF(A887="",0,IF(C887="✗",0,IF(L887&lt;&gt;"",L887,F887)))</f>
        <v/>
      </c>
    </row>
    <row r="888">
      <c r="A888" s="32">
        <f>IFERROR(SMALL(Calc!$B$2:$BB$61,883),"")</f>
        <v/>
      </c>
      <c r="B888" s="32">
        <f>IF(A888="","",ROUND(MOD(A888,1)*1000,0))</f>
        <v/>
      </c>
      <c r="C888" s="33" t="n"/>
      <c r="D888" s="34">
        <f>IF(A888="","",INT(A888))</f>
        <v/>
      </c>
      <c r="E888" s="35">
        <f>IF(B888="","",INDEX(Setup!$D$25:$D$84,B888))</f>
        <v/>
      </c>
      <c r="F888" s="36">
        <f>IF(B888="","",INDEX(Setup!$E$25:$E$84,B888))</f>
        <v/>
      </c>
      <c r="G888" s="32">
        <f>IF(B888="","",INDEX(Setup!$I$25:$I$84,B888)&amp;"")</f>
        <v/>
      </c>
      <c r="H888" s="32">
        <f>IF(B888="","",INDEX(Setup!$J$25:$J$84,B888)&amp;"")</f>
        <v/>
      </c>
      <c r="I888" s="32">
        <f>IF(B888="","",INDEX(Setup!$C$25:$C$84,B888))</f>
        <v/>
      </c>
      <c r="J888" s="32" t="n"/>
      <c r="K888" s="37" t="n"/>
      <c r="L888" s="38" t="n"/>
      <c r="M888" s="33" t="n"/>
      <c r="N888" s="33" t="n"/>
      <c r="O888" s="32" t="n"/>
      <c r="P888" s="34">
        <f>IF(A888="","",IF(K888&lt;&gt;"",K888,D888))</f>
        <v/>
      </c>
      <c r="Q888" s="36">
        <f>IF(A888="",0,IF(C888="✗",0,IF(OR(C888="✓",AND(Setup!$D$7="Yes",P888&lt;=TODAY())),IF(L888&lt;&gt;"",L888,F888),0)))</f>
        <v/>
      </c>
      <c r="R888" s="32">
        <f>IF(A888="","",IF(M888&lt;&gt;"",M888,G888))</f>
        <v/>
      </c>
      <c r="S888" s="32">
        <f>IF(A888="","",IF(N888&lt;&gt;"",N888,H888))</f>
        <v/>
      </c>
      <c r="T888" s="32">
        <f>IF(A888="","",IF(C888="✗","Skipped",IF(Q888&gt;0,"Paid","Upcoming")))</f>
        <v/>
      </c>
      <c r="U888" s="36">
        <f>IF(A888="",0,IF(C888="✗",0,IF(L888&lt;&gt;"",L888,F888)))</f>
        <v/>
      </c>
    </row>
    <row r="889">
      <c r="A889" s="39">
        <f>IFERROR(SMALL(Calc!$B$2:$BB$61,884),"")</f>
        <v/>
      </c>
      <c r="B889" s="39">
        <f>IF(A889="","",ROUND(MOD(A889,1)*1000,0))</f>
        <v/>
      </c>
      <c r="C889" s="33" t="n"/>
      <c r="D889" s="40">
        <f>IF(A889="","",INT(A889))</f>
        <v/>
      </c>
      <c r="E889" s="41">
        <f>IF(B889="","",INDEX(Setup!$D$25:$D$84,B889))</f>
        <v/>
      </c>
      <c r="F889" s="42">
        <f>IF(B889="","",INDEX(Setup!$E$25:$E$84,B889))</f>
        <v/>
      </c>
      <c r="G889" s="39">
        <f>IF(B889="","",INDEX(Setup!$I$25:$I$84,B889)&amp;"")</f>
        <v/>
      </c>
      <c r="H889" s="39">
        <f>IF(B889="","",INDEX(Setup!$J$25:$J$84,B889)&amp;"")</f>
        <v/>
      </c>
      <c r="I889" s="39">
        <f>IF(B889="","",INDEX(Setup!$C$25:$C$84,B889))</f>
        <v/>
      </c>
      <c r="J889" s="39" t="n"/>
      <c r="K889" s="37" t="n"/>
      <c r="L889" s="38" t="n"/>
      <c r="M889" s="33" t="n"/>
      <c r="N889" s="33" t="n"/>
      <c r="O889" s="39" t="n"/>
      <c r="P889" s="40">
        <f>IF(A889="","",IF(K889&lt;&gt;"",K889,D889))</f>
        <v/>
      </c>
      <c r="Q889" s="42">
        <f>IF(A889="",0,IF(C889="✗",0,IF(OR(C889="✓",AND(Setup!$D$7="Yes",P889&lt;=TODAY())),IF(L889&lt;&gt;"",L889,F889),0)))</f>
        <v/>
      </c>
      <c r="R889" s="39">
        <f>IF(A889="","",IF(M889&lt;&gt;"",M889,G889))</f>
        <v/>
      </c>
      <c r="S889" s="39">
        <f>IF(A889="","",IF(N889&lt;&gt;"",N889,H889))</f>
        <v/>
      </c>
      <c r="T889" s="39">
        <f>IF(A889="","",IF(C889="✗","Skipped",IF(Q889&gt;0,"Paid","Upcoming")))</f>
        <v/>
      </c>
      <c r="U889" s="42">
        <f>IF(A889="",0,IF(C889="✗",0,IF(L889&lt;&gt;"",L889,F889)))</f>
        <v/>
      </c>
    </row>
    <row r="890">
      <c r="A890" s="32">
        <f>IFERROR(SMALL(Calc!$B$2:$BB$61,885),"")</f>
        <v/>
      </c>
      <c r="B890" s="32">
        <f>IF(A890="","",ROUND(MOD(A890,1)*1000,0))</f>
        <v/>
      </c>
      <c r="C890" s="33" t="n"/>
      <c r="D890" s="34">
        <f>IF(A890="","",INT(A890))</f>
        <v/>
      </c>
      <c r="E890" s="35">
        <f>IF(B890="","",INDEX(Setup!$D$25:$D$84,B890))</f>
        <v/>
      </c>
      <c r="F890" s="36">
        <f>IF(B890="","",INDEX(Setup!$E$25:$E$84,B890))</f>
        <v/>
      </c>
      <c r="G890" s="32">
        <f>IF(B890="","",INDEX(Setup!$I$25:$I$84,B890)&amp;"")</f>
        <v/>
      </c>
      <c r="H890" s="32">
        <f>IF(B890="","",INDEX(Setup!$J$25:$J$84,B890)&amp;"")</f>
        <v/>
      </c>
      <c r="I890" s="32">
        <f>IF(B890="","",INDEX(Setup!$C$25:$C$84,B890))</f>
        <v/>
      </c>
      <c r="J890" s="32" t="n"/>
      <c r="K890" s="37" t="n"/>
      <c r="L890" s="38" t="n"/>
      <c r="M890" s="33" t="n"/>
      <c r="N890" s="33" t="n"/>
      <c r="O890" s="32" t="n"/>
      <c r="P890" s="34">
        <f>IF(A890="","",IF(K890&lt;&gt;"",K890,D890))</f>
        <v/>
      </c>
      <c r="Q890" s="36">
        <f>IF(A890="",0,IF(C890="✗",0,IF(OR(C890="✓",AND(Setup!$D$7="Yes",P890&lt;=TODAY())),IF(L890&lt;&gt;"",L890,F890),0)))</f>
        <v/>
      </c>
      <c r="R890" s="32">
        <f>IF(A890="","",IF(M890&lt;&gt;"",M890,G890))</f>
        <v/>
      </c>
      <c r="S890" s="32">
        <f>IF(A890="","",IF(N890&lt;&gt;"",N890,H890))</f>
        <v/>
      </c>
      <c r="T890" s="32">
        <f>IF(A890="","",IF(C890="✗","Skipped",IF(Q890&gt;0,"Paid","Upcoming")))</f>
        <v/>
      </c>
      <c r="U890" s="36">
        <f>IF(A890="",0,IF(C890="✗",0,IF(L890&lt;&gt;"",L890,F890)))</f>
        <v/>
      </c>
    </row>
    <row r="891">
      <c r="A891" s="39">
        <f>IFERROR(SMALL(Calc!$B$2:$BB$61,886),"")</f>
        <v/>
      </c>
      <c r="B891" s="39">
        <f>IF(A891="","",ROUND(MOD(A891,1)*1000,0))</f>
        <v/>
      </c>
      <c r="C891" s="33" t="n"/>
      <c r="D891" s="40">
        <f>IF(A891="","",INT(A891))</f>
        <v/>
      </c>
      <c r="E891" s="41">
        <f>IF(B891="","",INDEX(Setup!$D$25:$D$84,B891))</f>
        <v/>
      </c>
      <c r="F891" s="42">
        <f>IF(B891="","",INDEX(Setup!$E$25:$E$84,B891))</f>
        <v/>
      </c>
      <c r="G891" s="39">
        <f>IF(B891="","",INDEX(Setup!$I$25:$I$84,B891)&amp;"")</f>
        <v/>
      </c>
      <c r="H891" s="39">
        <f>IF(B891="","",INDEX(Setup!$J$25:$J$84,B891)&amp;"")</f>
        <v/>
      </c>
      <c r="I891" s="39">
        <f>IF(B891="","",INDEX(Setup!$C$25:$C$84,B891))</f>
        <v/>
      </c>
      <c r="J891" s="39" t="n"/>
      <c r="K891" s="37" t="n"/>
      <c r="L891" s="38" t="n"/>
      <c r="M891" s="33" t="n"/>
      <c r="N891" s="33" t="n"/>
      <c r="O891" s="39" t="n"/>
      <c r="P891" s="40">
        <f>IF(A891="","",IF(K891&lt;&gt;"",K891,D891))</f>
        <v/>
      </c>
      <c r="Q891" s="42">
        <f>IF(A891="",0,IF(C891="✗",0,IF(OR(C891="✓",AND(Setup!$D$7="Yes",P891&lt;=TODAY())),IF(L891&lt;&gt;"",L891,F891),0)))</f>
        <v/>
      </c>
      <c r="R891" s="39">
        <f>IF(A891="","",IF(M891&lt;&gt;"",M891,G891))</f>
        <v/>
      </c>
      <c r="S891" s="39">
        <f>IF(A891="","",IF(N891&lt;&gt;"",N891,H891))</f>
        <v/>
      </c>
      <c r="T891" s="39">
        <f>IF(A891="","",IF(C891="✗","Skipped",IF(Q891&gt;0,"Paid","Upcoming")))</f>
        <v/>
      </c>
      <c r="U891" s="42">
        <f>IF(A891="",0,IF(C891="✗",0,IF(L891&lt;&gt;"",L891,F891)))</f>
        <v/>
      </c>
    </row>
    <row r="892">
      <c r="A892" s="32">
        <f>IFERROR(SMALL(Calc!$B$2:$BB$61,887),"")</f>
        <v/>
      </c>
      <c r="B892" s="32">
        <f>IF(A892="","",ROUND(MOD(A892,1)*1000,0))</f>
        <v/>
      </c>
      <c r="C892" s="33" t="n"/>
      <c r="D892" s="34">
        <f>IF(A892="","",INT(A892))</f>
        <v/>
      </c>
      <c r="E892" s="35">
        <f>IF(B892="","",INDEX(Setup!$D$25:$D$84,B892))</f>
        <v/>
      </c>
      <c r="F892" s="36">
        <f>IF(B892="","",INDEX(Setup!$E$25:$E$84,B892))</f>
        <v/>
      </c>
      <c r="G892" s="32">
        <f>IF(B892="","",INDEX(Setup!$I$25:$I$84,B892)&amp;"")</f>
        <v/>
      </c>
      <c r="H892" s="32">
        <f>IF(B892="","",INDEX(Setup!$J$25:$J$84,B892)&amp;"")</f>
        <v/>
      </c>
      <c r="I892" s="32">
        <f>IF(B892="","",INDEX(Setup!$C$25:$C$84,B892))</f>
        <v/>
      </c>
      <c r="J892" s="32" t="n"/>
      <c r="K892" s="37" t="n"/>
      <c r="L892" s="38" t="n"/>
      <c r="M892" s="33" t="n"/>
      <c r="N892" s="33" t="n"/>
      <c r="O892" s="32" t="n"/>
      <c r="P892" s="34">
        <f>IF(A892="","",IF(K892&lt;&gt;"",K892,D892))</f>
        <v/>
      </c>
      <c r="Q892" s="36">
        <f>IF(A892="",0,IF(C892="✗",0,IF(OR(C892="✓",AND(Setup!$D$7="Yes",P892&lt;=TODAY())),IF(L892&lt;&gt;"",L892,F892),0)))</f>
        <v/>
      </c>
      <c r="R892" s="32">
        <f>IF(A892="","",IF(M892&lt;&gt;"",M892,G892))</f>
        <v/>
      </c>
      <c r="S892" s="32">
        <f>IF(A892="","",IF(N892&lt;&gt;"",N892,H892))</f>
        <v/>
      </c>
      <c r="T892" s="32">
        <f>IF(A892="","",IF(C892="✗","Skipped",IF(Q892&gt;0,"Paid","Upcoming")))</f>
        <v/>
      </c>
      <c r="U892" s="36">
        <f>IF(A892="",0,IF(C892="✗",0,IF(L892&lt;&gt;"",L892,F892)))</f>
        <v/>
      </c>
    </row>
    <row r="893">
      <c r="A893" s="39">
        <f>IFERROR(SMALL(Calc!$B$2:$BB$61,888),"")</f>
        <v/>
      </c>
      <c r="B893" s="39">
        <f>IF(A893="","",ROUND(MOD(A893,1)*1000,0))</f>
        <v/>
      </c>
      <c r="C893" s="33" t="n"/>
      <c r="D893" s="40">
        <f>IF(A893="","",INT(A893))</f>
        <v/>
      </c>
      <c r="E893" s="41">
        <f>IF(B893="","",INDEX(Setup!$D$25:$D$84,B893))</f>
        <v/>
      </c>
      <c r="F893" s="42">
        <f>IF(B893="","",INDEX(Setup!$E$25:$E$84,B893))</f>
        <v/>
      </c>
      <c r="G893" s="39">
        <f>IF(B893="","",INDEX(Setup!$I$25:$I$84,B893)&amp;"")</f>
        <v/>
      </c>
      <c r="H893" s="39">
        <f>IF(B893="","",INDEX(Setup!$J$25:$J$84,B893)&amp;"")</f>
        <v/>
      </c>
      <c r="I893" s="39">
        <f>IF(B893="","",INDEX(Setup!$C$25:$C$84,B893))</f>
        <v/>
      </c>
      <c r="J893" s="39" t="n"/>
      <c r="K893" s="37" t="n"/>
      <c r="L893" s="38" t="n"/>
      <c r="M893" s="33" t="n"/>
      <c r="N893" s="33" t="n"/>
      <c r="O893" s="39" t="n"/>
      <c r="P893" s="40">
        <f>IF(A893="","",IF(K893&lt;&gt;"",K893,D893))</f>
        <v/>
      </c>
      <c r="Q893" s="42">
        <f>IF(A893="",0,IF(C893="✗",0,IF(OR(C893="✓",AND(Setup!$D$7="Yes",P893&lt;=TODAY())),IF(L893&lt;&gt;"",L893,F893),0)))</f>
        <v/>
      </c>
      <c r="R893" s="39">
        <f>IF(A893="","",IF(M893&lt;&gt;"",M893,G893))</f>
        <v/>
      </c>
      <c r="S893" s="39">
        <f>IF(A893="","",IF(N893&lt;&gt;"",N893,H893))</f>
        <v/>
      </c>
      <c r="T893" s="39">
        <f>IF(A893="","",IF(C893="✗","Skipped",IF(Q893&gt;0,"Paid","Upcoming")))</f>
        <v/>
      </c>
      <c r="U893" s="42">
        <f>IF(A893="",0,IF(C893="✗",0,IF(L893&lt;&gt;"",L893,F893)))</f>
        <v/>
      </c>
    </row>
    <row r="894">
      <c r="A894" s="32">
        <f>IFERROR(SMALL(Calc!$B$2:$BB$61,889),"")</f>
        <v/>
      </c>
      <c r="B894" s="32">
        <f>IF(A894="","",ROUND(MOD(A894,1)*1000,0))</f>
        <v/>
      </c>
      <c r="C894" s="33" t="n"/>
      <c r="D894" s="34">
        <f>IF(A894="","",INT(A894))</f>
        <v/>
      </c>
      <c r="E894" s="35">
        <f>IF(B894="","",INDEX(Setup!$D$25:$D$84,B894))</f>
        <v/>
      </c>
      <c r="F894" s="36">
        <f>IF(B894="","",INDEX(Setup!$E$25:$E$84,B894))</f>
        <v/>
      </c>
      <c r="G894" s="32">
        <f>IF(B894="","",INDEX(Setup!$I$25:$I$84,B894)&amp;"")</f>
        <v/>
      </c>
      <c r="H894" s="32">
        <f>IF(B894="","",INDEX(Setup!$J$25:$J$84,B894)&amp;"")</f>
        <v/>
      </c>
      <c r="I894" s="32">
        <f>IF(B894="","",INDEX(Setup!$C$25:$C$84,B894))</f>
        <v/>
      </c>
      <c r="J894" s="32" t="n"/>
      <c r="K894" s="37" t="n"/>
      <c r="L894" s="38" t="n"/>
      <c r="M894" s="33" t="n"/>
      <c r="N894" s="33" t="n"/>
      <c r="O894" s="32" t="n"/>
      <c r="P894" s="34">
        <f>IF(A894="","",IF(K894&lt;&gt;"",K894,D894))</f>
        <v/>
      </c>
      <c r="Q894" s="36">
        <f>IF(A894="",0,IF(C894="✗",0,IF(OR(C894="✓",AND(Setup!$D$7="Yes",P894&lt;=TODAY())),IF(L894&lt;&gt;"",L894,F894),0)))</f>
        <v/>
      </c>
      <c r="R894" s="32">
        <f>IF(A894="","",IF(M894&lt;&gt;"",M894,G894))</f>
        <v/>
      </c>
      <c r="S894" s="32">
        <f>IF(A894="","",IF(N894&lt;&gt;"",N894,H894))</f>
        <v/>
      </c>
      <c r="T894" s="32">
        <f>IF(A894="","",IF(C894="✗","Skipped",IF(Q894&gt;0,"Paid","Upcoming")))</f>
        <v/>
      </c>
      <c r="U894" s="36">
        <f>IF(A894="",0,IF(C894="✗",0,IF(L894&lt;&gt;"",L894,F894)))</f>
        <v/>
      </c>
    </row>
    <row r="895">
      <c r="A895" s="39">
        <f>IFERROR(SMALL(Calc!$B$2:$BB$61,890),"")</f>
        <v/>
      </c>
      <c r="B895" s="39">
        <f>IF(A895="","",ROUND(MOD(A895,1)*1000,0))</f>
        <v/>
      </c>
      <c r="C895" s="33" t="n"/>
      <c r="D895" s="40">
        <f>IF(A895="","",INT(A895))</f>
        <v/>
      </c>
      <c r="E895" s="41">
        <f>IF(B895="","",INDEX(Setup!$D$25:$D$84,B895))</f>
        <v/>
      </c>
      <c r="F895" s="42">
        <f>IF(B895="","",INDEX(Setup!$E$25:$E$84,B895))</f>
        <v/>
      </c>
      <c r="G895" s="39">
        <f>IF(B895="","",INDEX(Setup!$I$25:$I$84,B895)&amp;"")</f>
        <v/>
      </c>
      <c r="H895" s="39">
        <f>IF(B895="","",INDEX(Setup!$J$25:$J$84,B895)&amp;"")</f>
        <v/>
      </c>
      <c r="I895" s="39">
        <f>IF(B895="","",INDEX(Setup!$C$25:$C$84,B895))</f>
        <v/>
      </c>
      <c r="J895" s="39" t="n"/>
      <c r="K895" s="37" t="n"/>
      <c r="L895" s="38" t="n"/>
      <c r="M895" s="33" t="n"/>
      <c r="N895" s="33" t="n"/>
      <c r="O895" s="39" t="n"/>
      <c r="P895" s="40">
        <f>IF(A895="","",IF(K895&lt;&gt;"",K895,D895))</f>
        <v/>
      </c>
      <c r="Q895" s="42">
        <f>IF(A895="",0,IF(C895="✗",0,IF(OR(C895="✓",AND(Setup!$D$7="Yes",P895&lt;=TODAY())),IF(L895&lt;&gt;"",L895,F895),0)))</f>
        <v/>
      </c>
      <c r="R895" s="39">
        <f>IF(A895="","",IF(M895&lt;&gt;"",M895,G895))</f>
        <v/>
      </c>
      <c r="S895" s="39">
        <f>IF(A895="","",IF(N895&lt;&gt;"",N895,H895))</f>
        <v/>
      </c>
      <c r="T895" s="39">
        <f>IF(A895="","",IF(C895="✗","Skipped",IF(Q895&gt;0,"Paid","Upcoming")))</f>
        <v/>
      </c>
      <c r="U895" s="42">
        <f>IF(A895="",0,IF(C895="✗",0,IF(L895&lt;&gt;"",L895,F895)))</f>
        <v/>
      </c>
    </row>
    <row r="896">
      <c r="A896" s="32">
        <f>IFERROR(SMALL(Calc!$B$2:$BB$61,891),"")</f>
        <v/>
      </c>
      <c r="B896" s="32">
        <f>IF(A896="","",ROUND(MOD(A896,1)*1000,0))</f>
        <v/>
      </c>
      <c r="C896" s="33" t="n"/>
      <c r="D896" s="34">
        <f>IF(A896="","",INT(A896))</f>
        <v/>
      </c>
      <c r="E896" s="35">
        <f>IF(B896="","",INDEX(Setup!$D$25:$D$84,B896))</f>
        <v/>
      </c>
      <c r="F896" s="36">
        <f>IF(B896="","",INDEX(Setup!$E$25:$E$84,B896))</f>
        <v/>
      </c>
      <c r="G896" s="32">
        <f>IF(B896="","",INDEX(Setup!$I$25:$I$84,B896)&amp;"")</f>
        <v/>
      </c>
      <c r="H896" s="32">
        <f>IF(B896="","",INDEX(Setup!$J$25:$J$84,B896)&amp;"")</f>
        <v/>
      </c>
      <c r="I896" s="32">
        <f>IF(B896="","",INDEX(Setup!$C$25:$C$84,B896))</f>
        <v/>
      </c>
      <c r="J896" s="32" t="n"/>
      <c r="K896" s="37" t="n"/>
      <c r="L896" s="38" t="n"/>
      <c r="M896" s="33" t="n"/>
      <c r="N896" s="33" t="n"/>
      <c r="O896" s="32" t="n"/>
      <c r="P896" s="34">
        <f>IF(A896="","",IF(K896&lt;&gt;"",K896,D896))</f>
        <v/>
      </c>
      <c r="Q896" s="36">
        <f>IF(A896="",0,IF(C896="✗",0,IF(OR(C896="✓",AND(Setup!$D$7="Yes",P896&lt;=TODAY())),IF(L896&lt;&gt;"",L896,F896),0)))</f>
        <v/>
      </c>
      <c r="R896" s="32">
        <f>IF(A896="","",IF(M896&lt;&gt;"",M896,G896))</f>
        <v/>
      </c>
      <c r="S896" s="32">
        <f>IF(A896="","",IF(N896&lt;&gt;"",N896,H896))</f>
        <v/>
      </c>
      <c r="T896" s="32">
        <f>IF(A896="","",IF(C896="✗","Skipped",IF(Q896&gt;0,"Paid","Upcoming")))</f>
        <v/>
      </c>
      <c r="U896" s="36">
        <f>IF(A896="",0,IF(C896="✗",0,IF(L896&lt;&gt;"",L896,F896)))</f>
        <v/>
      </c>
    </row>
    <row r="897">
      <c r="A897" s="39">
        <f>IFERROR(SMALL(Calc!$B$2:$BB$61,892),"")</f>
        <v/>
      </c>
      <c r="B897" s="39">
        <f>IF(A897="","",ROUND(MOD(A897,1)*1000,0))</f>
        <v/>
      </c>
      <c r="C897" s="33" t="n"/>
      <c r="D897" s="40">
        <f>IF(A897="","",INT(A897))</f>
        <v/>
      </c>
      <c r="E897" s="41">
        <f>IF(B897="","",INDEX(Setup!$D$25:$D$84,B897))</f>
        <v/>
      </c>
      <c r="F897" s="42">
        <f>IF(B897="","",INDEX(Setup!$E$25:$E$84,B897))</f>
        <v/>
      </c>
      <c r="G897" s="39">
        <f>IF(B897="","",INDEX(Setup!$I$25:$I$84,B897)&amp;"")</f>
        <v/>
      </c>
      <c r="H897" s="39">
        <f>IF(B897="","",INDEX(Setup!$J$25:$J$84,B897)&amp;"")</f>
        <v/>
      </c>
      <c r="I897" s="39">
        <f>IF(B897="","",INDEX(Setup!$C$25:$C$84,B897))</f>
        <v/>
      </c>
      <c r="J897" s="39" t="n"/>
      <c r="K897" s="37" t="n"/>
      <c r="L897" s="38" t="n"/>
      <c r="M897" s="33" t="n"/>
      <c r="N897" s="33" t="n"/>
      <c r="O897" s="39" t="n"/>
      <c r="P897" s="40">
        <f>IF(A897="","",IF(K897&lt;&gt;"",K897,D897))</f>
        <v/>
      </c>
      <c r="Q897" s="42">
        <f>IF(A897="",0,IF(C897="✗",0,IF(OR(C897="✓",AND(Setup!$D$7="Yes",P897&lt;=TODAY())),IF(L897&lt;&gt;"",L897,F897),0)))</f>
        <v/>
      </c>
      <c r="R897" s="39">
        <f>IF(A897="","",IF(M897&lt;&gt;"",M897,G897))</f>
        <v/>
      </c>
      <c r="S897" s="39">
        <f>IF(A897="","",IF(N897&lt;&gt;"",N897,H897))</f>
        <v/>
      </c>
      <c r="T897" s="39">
        <f>IF(A897="","",IF(C897="✗","Skipped",IF(Q897&gt;0,"Paid","Upcoming")))</f>
        <v/>
      </c>
      <c r="U897" s="42">
        <f>IF(A897="",0,IF(C897="✗",0,IF(L897&lt;&gt;"",L897,F897)))</f>
        <v/>
      </c>
    </row>
    <row r="898">
      <c r="A898" s="32">
        <f>IFERROR(SMALL(Calc!$B$2:$BB$61,893),"")</f>
        <v/>
      </c>
      <c r="B898" s="32">
        <f>IF(A898="","",ROUND(MOD(A898,1)*1000,0))</f>
        <v/>
      </c>
      <c r="C898" s="33" t="n"/>
      <c r="D898" s="34">
        <f>IF(A898="","",INT(A898))</f>
        <v/>
      </c>
      <c r="E898" s="35">
        <f>IF(B898="","",INDEX(Setup!$D$25:$D$84,B898))</f>
        <v/>
      </c>
      <c r="F898" s="36">
        <f>IF(B898="","",INDEX(Setup!$E$25:$E$84,B898))</f>
        <v/>
      </c>
      <c r="G898" s="32">
        <f>IF(B898="","",INDEX(Setup!$I$25:$I$84,B898)&amp;"")</f>
        <v/>
      </c>
      <c r="H898" s="32">
        <f>IF(B898="","",INDEX(Setup!$J$25:$J$84,B898)&amp;"")</f>
        <v/>
      </c>
      <c r="I898" s="32">
        <f>IF(B898="","",INDEX(Setup!$C$25:$C$84,B898))</f>
        <v/>
      </c>
      <c r="J898" s="32" t="n"/>
      <c r="K898" s="37" t="n"/>
      <c r="L898" s="38" t="n"/>
      <c r="M898" s="33" t="n"/>
      <c r="N898" s="33" t="n"/>
      <c r="O898" s="32" t="n"/>
      <c r="P898" s="34">
        <f>IF(A898="","",IF(K898&lt;&gt;"",K898,D898))</f>
        <v/>
      </c>
      <c r="Q898" s="36">
        <f>IF(A898="",0,IF(C898="✗",0,IF(OR(C898="✓",AND(Setup!$D$7="Yes",P898&lt;=TODAY())),IF(L898&lt;&gt;"",L898,F898),0)))</f>
        <v/>
      </c>
      <c r="R898" s="32">
        <f>IF(A898="","",IF(M898&lt;&gt;"",M898,G898))</f>
        <v/>
      </c>
      <c r="S898" s="32">
        <f>IF(A898="","",IF(N898&lt;&gt;"",N898,H898))</f>
        <v/>
      </c>
      <c r="T898" s="32">
        <f>IF(A898="","",IF(C898="✗","Skipped",IF(Q898&gt;0,"Paid","Upcoming")))</f>
        <v/>
      </c>
      <c r="U898" s="36">
        <f>IF(A898="",0,IF(C898="✗",0,IF(L898&lt;&gt;"",L898,F898)))</f>
        <v/>
      </c>
    </row>
    <row r="899">
      <c r="A899" s="39">
        <f>IFERROR(SMALL(Calc!$B$2:$BB$61,894),"")</f>
        <v/>
      </c>
      <c r="B899" s="39">
        <f>IF(A899="","",ROUND(MOD(A899,1)*1000,0))</f>
        <v/>
      </c>
      <c r="C899" s="33" t="n"/>
      <c r="D899" s="40">
        <f>IF(A899="","",INT(A899))</f>
        <v/>
      </c>
      <c r="E899" s="41">
        <f>IF(B899="","",INDEX(Setup!$D$25:$D$84,B899))</f>
        <v/>
      </c>
      <c r="F899" s="42">
        <f>IF(B899="","",INDEX(Setup!$E$25:$E$84,B899))</f>
        <v/>
      </c>
      <c r="G899" s="39">
        <f>IF(B899="","",INDEX(Setup!$I$25:$I$84,B899)&amp;"")</f>
        <v/>
      </c>
      <c r="H899" s="39">
        <f>IF(B899="","",INDEX(Setup!$J$25:$J$84,B899)&amp;"")</f>
        <v/>
      </c>
      <c r="I899" s="39">
        <f>IF(B899="","",INDEX(Setup!$C$25:$C$84,B899))</f>
        <v/>
      </c>
      <c r="J899" s="39" t="n"/>
      <c r="K899" s="37" t="n"/>
      <c r="L899" s="38" t="n"/>
      <c r="M899" s="33" t="n"/>
      <c r="N899" s="33" t="n"/>
      <c r="O899" s="39" t="n"/>
      <c r="P899" s="40">
        <f>IF(A899="","",IF(K899&lt;&gt;"",K899,D899))</f>
        <v/>
      </c>
      <c r="Q899" s="42">
        <f>IF(A899="",0,IF(C899="✗",0,IF(OR(C899="✓",AND(Setup!$D$7="Yes",P899&lt;=TODAY())),IF(L899&lt;&gt;"",L899,F899),0)))</f>
        <v/>
      </c>
      <c r="R899" s="39">
        <f>IF(A899="","",IF(M899&lt;&gt;"",M899,G899))</f>
        <v/>
      </c>
      <c r="S899" s="39">
        <f>IF(A899="","",IF(N899&lt;&gt;"",N899,H899))</f>
        <v/>
      </c>
      <c r="T899" s="39">
        <f>IF(A899="","",IF(C899="✗","Skipped",IF(Q899&gt;0,"Paid","Upcoming")))</f>
        <v/>
      </c>
      <c r="U899" s="42">
        <f>IF(A899="",0,IF(C899="✗",0,IF(L899&lt;&gt;"",L899,F899)))</f>
        <v/>
      </c>
    </row>
    <row r="900">
      <c r="A900" s="32">
        <f>IFERROR(SMALL(Calc!$B$2:$BB$61,895),"")</f>
        <v/>
      </c>
      <c r="B900" s="32">
        <f>IF(A900="","",ROUND(MOD(A900,1)*1000,0))</f>
        <v/>
      </c>
      <c r="C900" s="33" t="n"/>
      <c r="D900" s="34">
        <f>IF(A900="","",INT(A900))</f>
        <v/>
      </c>
      <c r="E900" s="35">
        <f>IF(B900="","",INDEX(Setup!$D$25:$D$84,B900))</f>
        <v/>
      </c>
      <c r="F900" s="36">
        <f>IF(B900="","",INDEX(Setup!$E$25:$E$84,B900))</f>
        <v/>
      </c>
      <c r="G900" s="32">
        <f>IF(B900="","",INDEX(Setup!$I$25:$I$84,B900)&amp;"")</f>
        <v/>
      </c>
      <c r="H900" s="32">
        <f>IF(B900="","",INDEX(Setup!$J$25:$J$84,B900)&amp;"")</f>
        <v/>
      </c>
      <c r="I900" s="32">
        <f>IF(B900="","",INDEX(Setup!$C$25:$C$84,B900))</f>
        <v/>
      </c>
      <c r="J900" s="32" t="n"/>
      <c r="K900" s="37" t="n"/>
      <c r="L900" s="38" t="n"/>
      <c r="M900" s="33" t="n"/>
      <c r="N900" s="33" t="n"/>
      <c r="O900" s="32" t="n"/>
      <c r="P900" s="34">
        <f>IF(A900="","",IF(K900&lt;&gt;"",K900,D900))</f>
        <v/>
      </c>
      <c r="Q900" s="36">
        <f>IF(A900="",0,IF(C900="✗",0,IF(OR(C900="✓",AND(Setup!$D$7="Yes",P900&lt;=TODAY())),IF(L900&lt;&gt;"",L900,F900),0)))</f>
        <v/>
      </c>
      <c r="R900" s="32">
        <f>IF(A900="","",IF(M900&lt;&gt;"",M900,G900))</f>
        <v/>
      </c>
      <c r="S900" s="32">
        <f>IF(A900="","",IF(N900&lt;&gt;"",N900,H900))</f>
        <v/>
      </c>
      <c r="T900" s="32">
        <f>IF(A900="","",IF(C900="✗","Skipped",IF(Q900&gt;0,"Paid","Upcoming")))</f>
        <v/>
      </c>
      <c r="U900" s="36">
        <f>IF(A900="",0,IF(C900="✗",0,IF(L900&lt;&gt;"",L900,F900)))</f>
        <v/>
      </c>
    </row>
    <row r="901">
      <c r="A901" s="39">
        <f>IFERROR(SMALL(Calc!$B$2:$BB$61,896),"")</f>
        <v/>
      </c>
      <c r="B901" s="39">
        <f>IF(A901="","",ROUND(MOD(A901,1)*1000,0))</f>
        <v/>
      </c>
      <c r="C901" s="33" t="n"/>
      <c r="D901" s="40">
        <f>IF(A901="","",INT(A901))</f>
        <v/>
      </c>
      <c r="E901" s="41">
        <f>IF(B901="","",INDEX(Setup!$D$25:$D$84,B901))</f>
        <v/>
      </c>
      <c r="F901" s="42">
        <f>IF(B901="","",INDEX(Setup!$E$25:$E$84,B901))</f>
        <v/>
      </c>
      <c r="G901" s="39">
        <f>IF(B901="","",INDEX(Setup!$I$25:$I$84,B901)&amp;"")</f>
        <v/>
      </c>
      <c r="H901" s="39">
        <f>IF(B901="","",INDEX(Setup!$J$25:$J$84,B901)&amp;"")</f>
        <v/>
      </c>
      <c r="I901" s="39">
        <f>IF(B901="","",INDEX(Setup!$C$25:$C$84,B901))</f>
        <v/>
      </c>
      <c r="J901" s="39" t="n"/>
      <c r="K901" s="37" t="n"/>
      <c r="L901" s="38" t="n"/>
      <c r="M901" s="33" t="n"/>
      <c r="N901" s="33" t="n"/>
      <c r="O901" s="39" t="n"/>
      <c r="P901" s="40">
        <f>IF(A901="","",IF(K901&lt;&gt;"",K901,D901))</f>
        <v/>
      </c>
      <c r="Q901" s="42">
        <f>IF(A901="",0,IF(C901="✗",0,IF(OR(C901="✓",AND(Setup!$D$7="Yes",P901&lt;=TODAY())),IF(L901&lt;&gt;"",L901,F901),0)))</f>
        <v/>
      </c>
      <c r="R901" s="39">
        <f>IF(A901="","",IF(M901&lt;&gt;"",M901,G901))</f>
        <v/>
      </c>
      <c r="S901" s="39">
        <f>IF(A901="","",IF(N901&lt;&gt;"",N901,H901))</f>
        <v/>
      </c>
      <c r="T901" s="39">
        <f>IF(A901="","",IF(C901="✗","Skipped",IF(Q901&gt;0,"Paid","Upcoming")))</f>
        <v/>
      </c>
      <c r="U901" s="42">
        <f>IF(A901="",0,IF(C901="✗",0,IF(L901&lt;&gt;"",L901,F901)))</f>
        <v/>
      </c>
    </row>
    <row r="902">
      <c r="A902" s="32">
        <f>IFERROR(SMALL(Calc!$B$2:$BB$61,897),"")</f>
        <v/>
      </c>
      <c r="B902" s="32">
        <f>IF(A902="","",ROUND(MOD(A902,1)*1000,0))</f>
        <v/>
      </c>
      <c r="C902" s="33" t="n"/>
      <c r="D902" s="34">
        <f>IF(A902="","",INT(A902))</f>
        <v/>
      </c>
      <c r="E902" s="35">
        <f>IF(B902="","",INDEX(Setup!$D$25:$D$84,B902))</f>
        <v/>
      </c>
      <c r="F902" s="36">
        <f>IF(B902="","",INDEX(Setup!$E$25:$E$84,B902))</f>
        <v/>
      </c>
      <c r="G902" s="32">
        <f>IF(B902="","",INDEX(Setup!$I$25:$I$84,B902)&amp;"")</f>
        <v/>
      </c>
      <c r="H902" s="32">
        <f>IF(B902="","",INDEX(Setup!$J$25:$J$84,B902)&amp;"")</f>
        <v/>
      </c>
      <c r="I902" s="32">
        <f>IF(B902="","",INDEX(Setup!$C$25:$C$84,B902))</f>
        <v/>
      </c>
      <c r="J902" s="32" t="n"/>
      <c r="K902" s="37" t="n"/>
      <c r="L902" s="38" t="n"/>
      <c r="M902" s="33" t="n"/>
      <c r="N902" s="33" t="n"/>
      <c r="O902" s="32" t="n"/>
      <c r="P902" s="34">
        <f>IF(A902="","",IF(K902&lt;&gt;"",K902,D902))</f>
        <v/>
      </c>
      <c r="Q902" s="36">
        <f>IF(A902="",0,IF(C902="✗",0,IF(OR(C902="✓",AND(Setup!$D$7="Yes",P902&lt;=TODAY())),IF(L902&lt;&gt;"",L902,F902),0)))</f>
        <v/>
      </c>
      <c r="R902" s="32">
        <f>IF(A902="","",IF(M902&lt;&gt;"",M902,G902))</f>
        <v/>
      </c>
      <c r="S902" s="32">
        <f>IF(A902="","",IF(N902&lt;&gt;"",N902,H902))</f>
        <v/>
      </c>
      <c r="T902" s="32">
        <f>IF(A902="","",IF(C902="✗","Skipped",IF(Q902&gt;0,"Paid","Upcoming")))</f>
        <v/>
      </c>
      <c r="U902" s="36">
        <f>IF(A902="",0,IF(C902="✗",0,IF(L902&lt;&gt;"",L902,F902)))</f>
        <v/>
      </c>
    </row>
    <row r="903">
      <c r="A903" s="39">
        <f>IFERROR(SMALL(Calc!$B$2:$BB$61,898),"")</f>
        <v/>
      </c>
      <c r="B903" s="39">
        <f>IF(A903="","",ROUND(MOD(A903,1)*1000,0))</f>
        <v/>
      </c>
      <c r="C903" s="33" t="n"/>
      <c r="D903" s="40">
        <f>IF(A903="","",INT(A903))</f>
        <v/>
      </c>
      <c r="E903" s="41">
        <f>IF(B903="","",INDEX(Setup!$D$25:$D$84,B903))</f>
        <v/>
      </c>
      <c r="F903" s="42">
        <f>IF(B903="","",INDEX(Setup!$E$25:$E$84,B903))</f>
        <v/>
      </c>
      <c r="G903" s="39">
        <f>IF(B903="","",INDEX(Setup!$I$25:$I$84,B903)&amp;"")</f>
        <v/>
      </c>
      <c r="H903" s="39">
        <f>IF(B903="","",INDEX(Setup!$J$25:$J$84,B903)&amp;"")</f>
        <v/>
      </c>
      <c r="I903" s="39">
        <f>IF(B903="","",INDEX(Setup!$C$25:$C$84,B903))</f>
        <v/>
      </c>
      <c r="J903" s="39" t="n"/>
      <c r="K903" s="37" t="n"/>
      <c r="L903" s="38" t="n"/>
      <c r="M903" s="33" t="n"/>
      <c r="N903" s="33" t="n"/>
      <c r="O903" s="39" t="n"/>
      <c r="P903" s="40">
        <f>IF(A903="","",IF(K903&lt;&gt;"",K903,D903))</f>
        <v/>
      </c>
      <c r="Q903" s="42">
        <f>IF(A903="",0,IF(C903="✗",0,IF(OR(C903="✓",AND(Setup!$D$7="Yes",P903&lt;=TODAY())),IF(L903&lt;&gt;"",L903,F903),0)))</f>
        <v/>
      </c>
      <c r="R903" s="39">
        <f>IF(A903="","",IF(M903&lt;&gt;"",M903,G903))</f>
        <v/>
      </c>
      <c r="S903" s="39">
        <f>IF(A903="","",IF(N903&lt;&gt;"",N903,H903))</f>
        <v/>
      </c>
      <c r="T903" s="39">
        <f>IF(A903="","",IF(C903="✗","Skipped",IF(Q903&gt;0,"Paid","Upcoming")))</f>
        <v/>
      </c>
      <c r="U903" s="42">
        <f>IF(A903="",0,IF(C903="✗",0,IF(L903&lt;&gt;"",L903,F903)))</f>
        <v/>
      </c>
    </row>
    <row r="904">
      <c r="A904" s="32">
        <f>IFERROR(SMALL(Calc!$B$2:$BB$61,899),"")</f>
        <v/>
      </c>
      <c r="B904" s="32">
        <f>IF(A904="","",ROUND(MOD(A904,1)*1000,0))</f>
        <v/>
      </c>
      <c r="C904" s="33" t="n"/>
      <c r="D904" s="34">
        <f>IF(A904="","",INT(A904))</f>
        <v/>
      </c>
      <c r="E904" s="35">
        <f>IF(B904="","",INDEX(Setup!$D$25:$D$84,B904))</f>
        <v/>
      </c>
      <c r="F904" s="36">
        <f>IF(B904="","",INDEX(Setup!$E$25:$E$84,B904))</f>
        <v/>
      </c>
      <c r="G904" s="32">
        <f>IF(B904="","",INDEX(Setup!$I$25:$I$84,B904)&amp;"")</f>
        <v/>
      </c>
      <c r="H904" s="32">
        <f>IF(B904="","",INDEX(Setup!$J$25:$J$84,B904)&amp;"")</f>
        <v/>
      </c>
      <c r="I904" s="32">
        <f>IF(B904="","",INDEX(Setup!$C$25:$C$84,B904))</f>
        <v/>
      </c>
      <c r="J904" s="32" t="n"/>
      <c r="K904" s="37" t="n"/>
      <c r="L904" s="38" t="n"/>
      <c r="M904" s="33" t="n"/>
      <c r="N904" s="33" t="n"/>
      <c r="O904" s="32" t="n"/>
      <c r="P904" s="34">
        <f>IF(A904="","",IF(K904&lt;&gt;"",K904,D904))</f>
        <v/>
      </c>
      <c r="Q904" s="36">
        <f>IF(A904="",0,IF(C904="✗",0,IF(OR(C904="✓",AND(Setup!$D$7="Yes",P904&lt;=TODAY())),IF(L904&lt;&gt;"",L904,F904),0)))</f>
        <v/>
      </c>
      <c r="R904" s="32">
        <f>IF(A904="","",IF(M904&lt;&gt;"",M904,G904))</f>
        <v/>
      </c>
      <c r="S904" s="32">
        <f>IF(A904="","",IF(N904&lt;&gt;"",N904,H904))</f>
        <v/>
      </c>
      <c r="T904" s="32">
        <f>IF(A904="","",IF(C904="✗","Skipped",IF(Q904&gt;0,"Paid","Upcoming")))</f>
        <v/>
      </c>
      <c r="U904" s="36">
        <f>IF(A904="",0,IF(C904="✗",0,IF(L904&lt;&gt;"",L904,F904)))</f>
        <v/>
      </c>
    </row>
    <row r="905">
      <c r="A905" s="39">
        <f>IFERROR(SMALL(Calc!$B$2:$BB$61,900),"")</f>
        <v/>
      </c>
      <c r="B905" s="39">
        <f>IF(A905="","",ROUND(MOD(A905,1)*1000,0))</f>
        <v/>
      </c>
      <c r="C905" s="33" t="n"/>
      <c r="D905" s="40">
        <f>IF(A905="","",INT(A905))</f>
        <v/>
      </c>
      <c r="E905" s="41">
        <f>IF(B905="","",INDEX(Setup!$D$25:$D$84,B905))</f>
        <v/>
      </c>
      <c r="F905" s="42">
        <f>IF(B905="","",INDEX(Setup!$E$25:$E$84,B905))</f>
        <v/>
      </c>
      <c r="G905" s="39">
        <f>IF(B905="","",INDEX(Setup!$I$25:$I$84,B905)&amp;"")</f>
        <v/>
      </c>
      <c r="H905" s="39">
        <f>IF(B905="","",INDEX(Setup!$J$25:$J$84,B905)&amp;"")</f>
        <v/>
      </c>
      <c r="I905" s="39">
        <f>IF(B905="","",INDEX(Setup!$C$25:$C$84,B905))</f>
        <v/>
      </c>
      <c r="J905" s="39" t="n"/>
      <c r="K905" s="37" t="n"/>
      <c r="L905" s="38" t="n"/>
      <c r="M905" s="33" t="n"/>
      <c r="N905" s="33" t="n"/>
      <c r="O905" s="39" t="n"/>
      <c r="P905" s="40">
        <f>IF(A905="","",IF(K905&lt;&gt;"",K905,D905))</f>
        <v/>
      </c>
      <c r="Q905" s="42">
        <f>IF(A905="",0,IF(C905="✗",0,IF(OR(C905="✓",AND(Setup!$D$7="Yes",P905&lt;=TODAY())),IF(L905&lt;&gt;"",L905,F905),0)))</f>
        <v/>
      </c>
      <c r="R905" s="39">
        <f>IF(A905="","",IF(M905&lt;&gt;"",M905,G905))</f>
        <v/>
      </c>
      <c r="S905" s="39">
        <f>IF(A905="","",IF(N905&lt;&gt;"",N905,H905))</f>
        <v/>
      </c>
      <c r="T905" s="39">
        <f>IF(A905="","",IF(C905="✗","Skipped",IF(Q905&gt;0,"Paid","Upcoming")))</f>
        <v/>
      </c>
      <c r="U905" s="42">
        <f>IF(A905="",0,IF(C905="✗",0,IF(L905&lt;&gt;"",L905,F905)))</f>
        <v/>
      </c>
    </row>
    <row r="906">
      <c r="A906" s="32">
        <f>IFERROR(SMALL(Calc!$B$2:$BB$61,901),"")</f>
        <v/>
      </c>
      <c r="B906" s="32">
        <f>IF(A906="","",ROUND(MOD(A906,1)*1000,0))</f>
        <v/>
      </c>
      <c r="C906" s="33" t="n"/>
      <c r="D906" s="34">
        <f>IF(A906="","",INT(A906))</f>
        <v/>
      </c>
      <c r="E906" s="35">
        <f>IF(B906="","",INDEX(Setup!$D$25:$D$84,B906))</f>
        <v/>
      </c>
      <c r="F906" s="36">
        <f>IF(B906="","",INDEX(Setup!$E$25:$E$84,B906))</f>
        <v/>
      </c>
      <c r="G906" s="32">
        <f>IF(B906="","",INDEX(Setup!$I$25:$I$84,B906)&amp;"")</f>
        <v/>
      </c>
      <c r="H906" s="32">
        <f>IF(B906="","",INDEX(Setup!$J$25:$J$84,B906)&amp;"")</f>
        <v/>
      </c>
      <c r="I906" s="32">
        <f>IF(B906="","",INDEX(Setup!$C$25:$C$84,B906))</f>
        <v/>
      </c>
      <c r="J906" s="32" t="n"/>
      <c r="K906" s="37" t="n"/>
      <c r="L906" s="38" t="n"/>
      <c r="M906" s="33" t="n"/>
      <c r="N906" s="33" t="n"/>
      <c r="O906" s="32" t="n"/>
      <c r="P906" s="34">
        <f>IF(A906="","",IF(K906&lt;&gt;"",K906,D906))</f>
        <v/>
      </c>
      <c r="Q906" s="36">
        <f>IF(A906="",0,IF(C906="✗",0,IF(OR(C906="✓",AND(Setup!$D$7="Yes",P906&lt;=TODAY())),IF(L906&lt;&gt;"",L906,F906),0)))</f>
        <v/>
      </c>
      <c r="R906" s="32">
        <f>IF(A906="","",IF(M906&lt;&gt;"",M906,G906))</f>
        <v/>
      </c>
      <c r="S906" s="32">
        <f>IF(A906="","",IF(N906&lt;&gt;"",N906,H906))</f>
        <v/>
      </c>
      <c r="T906" s="32">
        <f>IF(A906="","",IF(C906="✗","Skipped",IF(Q906&gt;0,"Paid","Upcoming")))</f>
        <v/>
      </c>
      <c r="U906" s="36">
        <f>IF(A906="",0,IF(C906="✗",0,IF(L906&lt;&gt;"",L906,F906)))</f>
        <v/>
      </c>
    </row>
    <row r="907">
      <c r="A907" s="39">
        <f>IFERROR(SMALL(Calc!$B$2:$BB$61,902),"")</f>
        <v/>
      </c>
      <c r="B907" s="39">
        <f>IF(A907="","",ROUND(MOD(A907,1)*1000,0))</f>
        <v/>
      </c>
      <c r="C907" s="33" t="n"/>
      <c r="D907" s="40">
        <f>IF(A907="","",INT(A907))</f>
        <v/>
      </c>
      <c r="E907" s="41">
        <f>IF(B907="","",INDEX(Setup!$D$25:$D$84,B907))</f>
        <v/>
      </c>
      <c r="F907" s="42">
        <f>IF(B907="","",INDEX(Setup!$E$25:$E$84,B907))</f>
        <v/>
      </c>
      <c r="G907" s="39">
        <f>IF(B907="","",INDEX(Setup!$I$25:$I$84,B907)&amp;"")</f>
        <v/>
      </c>
      <c r="H907" s="39">
        <f>IF(B907="","",INDEX(Setup!$J$25:$J$84,B907)&amp;"")</f>
        <v/>
      </c>
      <c r="I907" s="39">
        <f>IF(B907="","",INDEX(Setup!$C$25:$C$84,B907))</f>
        <v/>
      </c>
      <c r="J907" s="39" t="n"/>
      <c r="K907" s="37" t="n"/>
      <c r="L907" s="38" t="n"/>
      <c r="M907" s="33" t="n"/>
      <c r="N907" s="33" t="n"/>
      <c r="O907" s="39" t="n"/>
      <c r="P907" s="40">
        <f>IF(A907="","",IF(K907&lt;&gt;"",K907,D907))</f>
        <v/>
      </c>
      <c r="Q907" s="42">
        <f>IF(A907="",0,IF(C907="✗",0,IF(OR(C907="✓",AND(Setup!$D$7="Yes",P907&lt;=TODAY())),IF(L907&lt;&gt;"",L907,F907),0)))</f>
        <v/>
      </c>
      <c r="R907" s="39">
        <f>IF(A907="","",IF(M907&lt;&gt;"",M907,G907))</f>
        <v/>
      </c>
      <c r="S907" s="39">
        <f>IF(A907="","",IF(N907&lt;&gt;"",N907,H907))</f>
        <v/>
      </c>
      <c r="T907" s="39">
        <f>IF(A907="","",IF(C907="✗","Skipped",IF(Q907&gt;0,"Paid","Upcoming")))</f>
        <v/>
      </c>
      <c r="U907" s="42">
        <f>IF(A907="",0,IF(C907="✗",0,IF(L907&lt;&gt;"",L907,F907)))</f>
        <v/>
      </c>
    </row>
    <row r="908">
      <c r="A908" s="32">
        <f>IFERROR(SMALL(Calc!$B$2:$BB$61,903),"")</f>
        <v/>
      </c>
      <c r="B908" s="32">
        <f>IF(A908="","",ROUND(MOD(A908,1)*1000,0))</f>
        <v/>
      </c>
      <c r="C908" s="33" t="n"/>
      <c r="D908" s="34">
        <f>IF(A908="","",INT(A908))</f>
        <v/>
      </c>
      <c r="E908" s="35">
        <f>IF(B908="","",INDEX(Setup!$D$25:$D$84,B908))</f>
        <v/>
      </c>
      <c r="F908" s="36">
        <f>IF(B908="","",INDEX(Setup!$E$25:$E$84,B908))</f>
        <v/>
      </c>
      <c r="G908" s="32">
        <f>IF(B908="","",INDEX(Setup!$I$25:$I$84,B908)&amp;"")</f>
        <v/>
      </c>
      <c r="H908" s="32">
        <f>IF(B908="","",INDEX(Setup!$J$25:$J$84,B908)&amp;"")</f>
        <v/>
      </c>
      <c r="I908" s="32">
        <f>IF(B908="","",INDEX(Setup!$C$25:$C$84,B908))</f>
        <v/>
      </c>
      <c r="J908" s="32" t="n"/>
      <c r="K908" s="37" t="n"/>
      <c r="L908" s="38" t="n"/>
      <c r="M908" s="33" t="n"/>
      <c r="N908" s="33" t="n"/>
      <c r="O908" s="32" t="n"/>
      <c r="P908" s="34">
        <f>IF(A908="","",IF(K908&lt;&gt;"",K908,D908))</f>
        <v/>
      </c>
      <c r="Q908" s="36">
        <f>IF(A908="",0,IF(C908="✗",0,IF(OR(C908="✓",AND(Setup!$D$7="Yes",P908&lt;=TODAY())),IF(L908&lt;&gt;"",L908,F908),0)))</f>
        <v/>
      </c>
      <c r="R908" s="32">
        <f>IF(A908="","",IF(M908&lt;&gt;"",M908,G908))</f>
        <v/>
      </c>
      <c r="S908" s="32">
        <f>IF(A908="","",IF(N908&lt;&gt;"",N908,H908))</f>
        <v/>
      </c>
      <c r="T908" s="32">
        <f>IF(A908="","",IF(C908="✗","Skipped",IF(Q908&gt;0,"Paid","Upcoming")))</f>
        <v/>
      </c>
      <c r="U908" s="36">
        <f>IF(A908="",0,IF(C908="✗",0,IF(L908&lt;&gt;"",L908,F908)))</f>
        <v/>
      </c>
    </row>
    <row r="909">
      <c r="A909" s="39">
        <f>IFERROR(SMALL(Calc!$B$2:$BB$61,904),"")</f>
        <v/>
      </c>
      <c r="B909" s="39">
        <f>IF(A909="","",ROUND(MOD(A909,1)*1000,0))</f>
        <v/>
      </c>
      <c r="C909" s="33" t="n"/>
      <c r="D909" s="40">
        <f>IF(A909="","",INT(A909))</f>
        <v/>
      </c>
      <c r="E909" s="41">
        <f>IF(B909="","",INDEX(Setup!$D$25:$D$84,B909))</f>
        <v/>
      </c>
      <c r="F909" s="42">
        <f>IF(B909="","",INDEX(Setup!$E$25:$E$84,B909))</f>
        <v/>
      </c>
      <c r="G909" s="39">
        <f>IF(B909="","",INDEX(Setup!$I$25:$I$84,B909)&amp;"")</f>
        <v/>
      </c>
      <c r="H909" s="39">
        <f>IF(B909="","",INDEX(Setup!$J$25:$J$84,B909)&amp;"")</f>
        <v/>
      </c>
      <c r="I909" s="39">
        <f>IF(B909="","",INDEX(Setup!$C$25:$C$84,B909))</f>
        <v/>
      </c>
      <c r="J909" s="39" t="n"/>
      <c r="K909" s="37" t="n"/>
      <c r="L909" s="38" t="n"/>
      <c r="M909" s="33" t="n"/>
      <c r="N909" s="33" t="n"/>
      <c r="O909" s="39" t="n"/>
      <c r="P909" s="40">
        <f>IF(A909="","",IF(K909&lt;&gt;"",K909,D909))</f>
        <v/>
      </c>
      <c r="Q909" s="42">
        <f>IF(A909="",0,IF(C909="✗",0,IF(OR(C909="✓",AND(Setup!$D$7="Yes",P909&lt;=TODAY())),IF(L909&lt;&gt;"",L909,F909),0)))</f>
        <v/>
      </c>
      <c r="R909" s="39">
        <f>IF(A909="","",IF(M909&lt;&gt;"",M909,G909))</f>
        <v/>
      </c>
      <c r="S909" s="39">
        <f>IF(A909="","",IF(N909&lt;&gt;"",N909,H909))</f>
        <v/>
      </c>
      <c r="T909" s="39">
        <f>IF(A909="","",IF(C909="✗","Skipped",IF(Q909&gt;0,"Paid","Upcoming")))</f>
        <v/>
      </c>
      <c r="U909" s="42">
        <f>IF(A909="",0,IF(C909="✗",0,IF(L909&lt;&gt;"",L909,F909)))</f>
        <v/>
      </c>
    </row>
    <row r="910">
      <c r="A910" s="32">
        <f>IFERROR(SMALL(Calc!$B$2:$BB$61,905),"")</f>
        <v/>
      </c>
      <c r="B910" s="32">
        <f>IF(A910="","",ROUND(MOD(A910,1)*1000,0))</f>
        <v/>
      </c>
      <c r="C910" s="33" t="n"/>
      <c r="D910" s="34">
        <f>IF(A910="","",INT(A910))</f>
        <v/>
      </c>
      <c r="E910" s="35">
        <f>IF(B910="","",INDEX(Setup!$D$25:$D$84,B910))</f>
        <v/>
      </c>
      <c r="F910" s="36">
        <f>IF(B910="","",INDEX(Setup!$E$25:$E$84,B910))</f>
        <v/>
      </c>
      <c r="G910" s="32">
        <f>IF(B910="","",INDEX(Setup!$I$25:$I$84,B910)&amp;"")</f>
        <v/>
      </c>
      <c r="H910" s="32">
        <f>IF(B910="","",INDEX(Setup!$J$25:$J$84,B910)&amp;"")</f>
        <v/>
      </c>
      <c r="I910" s="32">
        <f>IF(B910="","",INDEX(Setup!$C$25:$C$84,B910))</f>
        <v/>
      </c>
      <c r="J910" s="32" t="n"/>
      <c r="K910" s="37" t="n"/>
      <c r="L910" s="38" t="n"/>
      <c r="M910" s="33" t="n"/>
      <c r="N910" s="33" t="n"/>
      <c r="O910" s="32" t="n"/>
      <c r="P910" s="34">
        <f>IF(A910="","",IF(K910&lt;&gt;"",K910,D910))</f>
        <v/>
      </c>
      <c r="Q910" s="36">
        <f>IF(A910="",0,IF(C910="✗",0,IF(OR(C910="✓",AND(Setup!$D$7="Yes",P910&lt;=TODAY())),IF(L910&lt;&gt;"",L910,F910),0)))</f>
        <v/>
      </c>
      <c r="R910" s="32">
        <f>IF(A910="","",IF(M910&lt;&gt;"",M910,G910))</f>
        <v/>
      </c>
      <c r="S910" s="32">
        <f>IF(A910="","",IF(N910&lt;&gt;"",N910,H910))</f>
        <v/>
      </c>
      <c r="T910" s="32">
        <f>IF(A910="","",IF(C910="✗","Skipped",IF(Q910&gt;0,"Paid","Upcoming")))</f>
        <v/>
      </c>
      <c r="U910" s="36">
        <f>IF(A910="",0,IF(C910="✗",0,IF(L910&lt;&gt;"",L910,F910)))</f>
        <v/>
      </c>
    </row>
    <row r="911">
      <c r="A911" s="39">
        <f>IFERROR(SMALL(Calc!$B$2:$BB$61,906),"")</f>
        <v/>
      </c>
      <c r="B911" s="39">
        <f>IF(A911="","",ROUND(MOD(A911,1)*1000,0))</f>
        <v/>
      </c>
      <c r="C911" s="33" t="n"/>
      <c r="D911" s="40">
        <f>IF(A911="","",INT(A911))</f>
        <v/>
      </c>
      <c r="E911" s="41">
        <f>IF(B911="","",INDEX(Setup!$D$25:$D$84,B911))</f>
        <v/>
      </c>
      <c r="F911" s="42">
        <f>IF(B911="","",INDEX(Setup!$E$25:$E$84,B911))</f>
        <v/>
      </c>
      <c r="G911" s="39">
        <f>IF(B911="","",INDEX(Setup!$I$25:$I$84,B911)&amp;"")</f>
        <v/>
      </c>
      <c r="H911" s="39">
        <f>IF(B911="","",INDEX(Setup!$J$25:$J$84,B911)&amp;"")</f>
        <v/>
      </c>
      <c r="I911" s="39">
        <f>IF(B911="","",INDEX(Setup!$C$25:$C$84,B911))</f>
        <v/>
      </c>
      <c r="J911" s="39" t="n"/>
      <c r="K911" s="37" t="n"/>
      <c r="L911" s="38" t="n"/>
      <c r="M911" s="33" t="n"/>
      <c r="N911" s="33" t="n"/>
      <c r="O911" s="39" t="n"/>
      <c r="P911" s="40">
        <f>IF(A911="","",IF(K911&lt;&gt;"",K911,D911))</f>
        <v/>
      </c>
      <c r="Q911" s="42">
        <f>IF(A911="",0,IF(C911="✗",0,IF(OR(C911="✓",AND(Setup!$D$7="Yes",P911&lt;=TODAY())),IF(L911&lt;&gt;"",L911,F911),0)))</f>
        <v/>
      </c>
      <c r="R911" s="39">
        <f>IF(A911="","",IF(M911&lt;&gt;"",M911,G911))</f>
        <v/>
      </c>
      <c r="S911" s="39">
        <f>IF(A911="","",IF(N911&lt;&gt;"",N911,H911))</f>
        <v/>
      </c>
      <c r="T911" s="39">
        <f>IF(A911="","",IF(C911="✗","Skipped",IF(Q911&gt;0,"Paid","Upcoming")))</f>
        <v/>
      </c>
      <c r="U911" s="42">
        <f>IF(A911="",0,IF(C911="✗",0,IF(L911&lt;&gt;"",L911,F911)))</f>
        <v/>
      </c>
    </row>
    <row r="912">
      <c r="A912" s="32">
        <f>IFERROR(SMALL(Calc!$B$2:$BB$61,907),"")</f>
        <v/>
      </c>
      <c r="B912" s="32">
        <f>IF(A912="","",ROUND(MOD(A912,1)*1000,0))</f>
        <v/>
      </c>
      <c r="C912" s="33" t="n"/>
      <c r="D912" s="34">
        <f>IF(A912="","",INT(A912))</f>
        <v/>
      </c>
      <c r="E912" s="35">
        <f>IF(B912="","",INDEX(Setup!$D$25:$D$84,B912))</f>
        <v/>
      </c>
      <c r="F912" s="36">
        <f>IF(B912="","",INDEX(Setup!$E$25:$E$84,B912))</f>
        <v/>
      </c>
      <c r="G912" s="32">
        <f>IF(B912="","",INDEX(Setup!$I$25:$I$84,B912)&amp;"")</f>
        <v/>
      </c>
      <c r="H912" s="32">
        <f>IF(B912="","",INDEX(Setup!$J$25:$J$84,B912)&amp;"")</f>
        <v/>
      </c>
      <c r="I912" s="32">
        <f>IF(B912="","",INDEX(Setup!$C$25:$C$84,B912))</f>
        <v/>
      </c>
      <c r="J912" s="32" t="n"/>
      <c r="K912" s="37" t="n"/>
      <c r="L912" s="38" t="n"/>
      <c r="M912" s="33" t="n"/>
      <c r="N912" s="33" t="n"/>
      <c r="O912" s="32" t="n"/>
      <c r="P912" s="34">
        <f>IF(A912="","",IF(K912&lt;&gt;"",K912,D912))</f>
        <v/>
      </c>
      <c r="Q912" s="36">
        <f>IF(A912="",0,IF(C912="✗",0,IF(OR(C912="✓",AND(Setup!$D$7="Yes",P912&lt;=TODAY())),IF(L912&lt;&gt;"",L912,F912),0)))</f>
        <v/>
      </c>
      <c r="R912" s="32">
        <f>IF(A912="","",IF(M912&lt;&gt;"",M912,G912))</f>
        <v/>
      </c>
      <c r="S912" s="32">
        <f>IF(A912="","",IF(N912&lt;&gt;"",N912,H912))</f>
        <v/>
      </c>
      <c r="T912" s="32">
        <f>IF(A912="","",IF(C912="✗","Skipped",IF(Q912&gt;0,"Paid","Upcoming")))</f>
        <v/>
      </c>
      <c r="U912" s="36">
        <f>IF(A912="",0,IF(C912="✗",0,IF(L912&lt;&gt;"",L912,F912)))</f>
        <v/>
      </c>
    </row>
    <row r="913">
      <c r="A913" s="39">
        <f>IFERROR(SMALL(Calc!$B$2:$BB$61,908),"")</f>
        <v/>
      </c>
      <c r="B913" s="39">
        <f>IF(A913="","",ROUND(MOD(A913,1)*1000,0))</f>
        <v/>
      </c>
      <c r="C913" s="33" t="n"/>
      <c r="D913" s="40">
        <f>IF(A913="","",INT(A913))</f>
        <v/>
      </c>
      <c r="E913" s="41">
        <f>IF(B913="","",INDEX(Setup!$D$25:$D$84,B913))</f>
        <v/>
      </c>
      <c r="F913" s="42">
        <f>IF(B913="","",INDEX(Setup!$E$25:$E$84,B913))</f>
        <v/>
      </c>
      <c r="G913" s="39">
        <f>IF(B913="","",INDEX(Setup!$I$25:$I$84,B913)&amp;"")</f>
        <v/>
      </c>
      <c r="H913" s="39">
        <f>IF(B913="","",INDEX(Setup!$J$25:$J$84,B913)&amp;"")</f>
        <v/>
      </c>
      <c r="I913" s="39">
        <f>IF(B913="","",INDEX(Setup!$C$25:$C$84,B913))</f>
        <v/>
      </c>
      <c r="J913" s="39" t="n"/>
      <c r="K913" s="37" t="n"/>
      <c r="L913" s="38" t="n"/>
      <c r="M913" s="33" t="n"/>
      <c r="N913" s="33" t="n"/>
      <c r="O913" s="39" t="n"/>
      <c r="P913" s="40">
        <f>IF(A913="","",IF(K913&lt;&gt;"",K913,D913))</f>
        <v/>
      </c>
      <c r="Q913" s="42">
        <f>IF(A913="",0,IF(C913="✗",0,IF(OR(C913="✓",AND(Setup!$D$7="Yes",P913&lt;=TODAY())),IF(L913&lt;&gt;"",L913,F913),0)))</f>
        <v/>
      </c>
      <c r="R913" s="39">
        <f>IF(A913="","",IF(M913&lt;&gt;"",M913,G913))</f>
        <v/>
      </c>
      <c r="S913" s="39">
        <f>IF(A913="","",IF(N913&lt;&gt;"",N913,H913))</f>
        <v/>
      </c>
      <c r="T913" s="39">
        <f>IF(A913="","",IF(C913="✗","Skipped",IF(Q913&gt;0,"Paid","Upcoming")))</f>
        <v/>
      </c>
      <c r="U913" s="42">
        <f>IF(A913="",0,IF(C913="✗",0,IF(L913&lt;&gt;"",L913,F913)))</f>
        <v/>
      </c>
    </row>
    <row r="914">
      <c r="A914" s="32">
        <f>IFERROR(SMALL(Calc!$B$2:$BB$61,909),"")</f>
        <v/>
      </c>
      <c r="B914" s="32">
        <f>IF(A914="","",ROUND(MOD(A914,1)*1000,0))</f>
        <v/>
      </c>
      <c r="C914" s="33" t="n"/>
      <c r="D914" s="34">
        <f>IF(A914="","",INT(A914))</f>
        <v/>
      </c>
      <c r="E914" s="35">
        <f>IF(B914="","",INDEX(Setup!$D$25:$D$84,B914))</f>
        <v/>
      </c>
      <c r="F914" s="36">
        <f>IF(B914="","",INDEX(Setup!$E$25:$E$84,B914))</f>
        <v/>
      </c>
      <c r="G914" s="32">
        <f>IF(B914="","",INDEX(Setup!$I$25:$I$84,B914)&amp;"")</f>
        <v/>
      </c>
      <c r="H914" s="32">
        <f>IF(B914="","",INDEX(Setup!$J$25:$J$84,B914)&amp;"")</f>
        <v/>
      </c>
      <c r="I914" s="32">
        <f>IF(B914="","",INDEX(Setup!$C$25:$C$84,B914))</f>
        <v/>
      </c>
      <c r="J914" s="32" t="n"/>
      <c r="K914" s="37" t="n"/>
      <c r="L914" s="38" t="n"/>
      <c r="M914" s="33" t="n"/>
      <c r="N914" s="33" t="n"/>
      <c r="O914" s="32" t="n"/>
      <c r="P914" s="34">
        <f>IF(A914="","",IF(K914&lt;&gt;"",K914,D914))</f>
        <v/>
      </c>
      <c r="Q914" s="36">
        <f>IF(A914="",0,IF(C914="✗",0,IF(OR(C914="✓",AND(Setup!$D$7="Yes",P914&lt;=TODAY())),IF(L914&lt;&gt;"",L914,F914),0)))</f>
        <v/>
      </c>
      <c r="R914" s="32">
        <f>IF(A914="","",IF(M914&lt;&gt;"",M914,G914))</f>
        <v/>
      </c>
      <c r="S914" s="32">
        <f>IF(A914="","",IF(N914&lt;&gt;"",N914,H914))</f>
        <v/>
      </c>
      <c r="T914" s="32">
        <f>IF(A914="","",IF(C914="✗","Skipped",IF(Q914&gt;0,"Paid","Upcoming")))</f>
        <v/>
      </c>
      <c r="U914" s="36">
        <f>IF(A914="",0,IF(C914="✗",0,IF(L914&lt;&gt;"",L914,F914)))</f>
        <v/>
      </c>
    </row>
    <row r="915">
      <c r="A915" s="39">
        <f>IFERROR(SMALL(Calc!$B$2:$BB$61,910),"")</f>
        <v/>
      </c>
      <c r="B915" s="39">
        <f>IF(A915="","",ROUND(MOD(A915,1)*1000,0))</f>
        <v/>
      </c>
      <c r="C915" s="33" t="n"/>
      <c r="D915" s="40">
        <f>IF(A915="","",INT(A915))</f>
        <v/>
      </c>
      <c r="E915" s="41">
        <f>IF(B915="","",INDEX(Setup!$D$25:$D$84,B915))</f>
        <v/>
      </c>
      <c r="F915" s="42">
        <f>IF(B915="","",INDEX(Setup!$E$25:$E$84,B915))</f>
        <v/>
      </c>
      <c r="G915" s="39">
        <f>IF(B915="","",INDEX(Setup!$I$25:$I$84,B915)&amp;"")</f>
        <v/>
      </c>
      <c r="H915" s="39">
        <f>IF(B915="","",INDEX(Setup!$J$25:$J$84,B915)&amp;"")</f>
        <v/>
      </c>
      <c r="I915" s="39">
        <f>IF(B915="","",INDEX(Setup!$C$25:$C$84,B915))</f>
        <v/>
      </c>
      <c r="J915" s="39" t="n"/>
      <c r="K915" s="37" t="n"/>
      <c r="L915" s="38" t="n"/>
      <c r="M915" s="33" t="n"/>
      <c r="N915" s="33" t="n"/>
      <c r="O915" s="39" t="n"/>
      <c r="P915" s="40">
        <f>IF(A915="","",IF(K915&lt;&gt;"",K915,D915))</f>
        <v/>
      </c>
      <c r="Q915" s="42">
        <f>IF(A915="",0,IF(C915="✗",0,IF(OR(C915="✓",AND(Setup!$D$7="Yes",P915&lt;=TODAY())),IF(L915&lt;&gt;"",L915,F915),0)))</f>
        <v/>
      </c>
      <c r="R915" s="39">
        <f>IF(A915="","",IF(M915&lt;&gt;"",M915,G915))</f>
        <v/>
      </c>
      <c r="S915" s="39">
        <f>IF(A915="","",IF(N915&lt;&gt;"",N915,H915))</f>
        <v/>
      </c>
      <c r="T915" s="39">
        <f>IF(A915="","",IF(C915="✗","Skipped",IF(Q915&gt;0,"Paid","Upcoming")))</f>
        <v/>
      </c>
      <c r="U915" s="42">
        <f>IF(A915="",0,IF(C915="✗",0,IF(L915&lt;&gt;"",L915,F915)))</f>
        <v/>
      </c>
    </row>
    <row r="916">
      <c r="A916" s="32">
        <f>IFERROR(SMALL(Calc!$B$2:$BB$61,911),"")</f>
        <v/>
      </c>
      <c r="B916" s="32">
        <f>IF(A916="","",ROUND(MOD(A916,1)*1000,0))</f>
        <v/>
      </c>
      <c r="C916" s="33" t="n"/>
      <c r="D916" s="34">
        <f>IF(A916="","",INT(A916))</f>
        <v/>
      </c>
      <c r="E916" s="35">
        <f>IF(B916="","",INDEX(Setup!$D$25:$D$84,B916))</f>
        <v/>
      </c>
      <c r="F916" s="36">
        <f>IF(B916="","",INDEX(Setup!$E$25:$E$84,B916))</f>
        <v/>
      </c>
      <c r="G916" s="32">
        <f>IF(B916="","",INDEX(Setup!$I$25:$I$84,B916)&amp;"")</f>
        <v/>
      </c>
      <c r="H916" s="32">
        <f>IF(B916="","",INDEX(Setup!$J$25:$J$84,B916)&amp;"")</f>
        <v/>
      </c>
      <c r="I916" s="32">
        <f>IF(B916="","",INDEX(Setup!$C$25:$C$84,B916))</f>
        <v/>
      </c>
      <c r="J916" s="32" t="n"/>
      <c r="K916" s="37" t="n"/>
      <c r="L916" s="38" t="n"/>
      <c r="M916" s="33" t="n"/>
      <c r="N916" s="33" t="n"/>
      <c r="O916" s="32" t="n"/>
      <c r="P916" s="34">
        <f>IF(A916="","",IF(K916&lt;&gt;"",K916,D916))</f>
        <v/>
      </c>
      <c r="Q916" s="36">
        <f>IF(A916="",0,IF(C916="✗",0,IF(OR(C916="✓",AND(Setup!$D$7="Yes",P916&lt;=TODAY())),IF(L916&lt;&gt;"",L916,F916),0)))</f>
        <v/>
      </c>
      <c r="R916" s="32">
        <f>IF(A916="","",IF(M916&lt;&gt;"",M916,G916))</f>
        <v/>
      </c>
      <c r="S916" s="32">
        <f>IF(A916="","",IF(N916&lt;&gt;"",N916,H916))</f>
        <v/>
      </c>
      <c r="T916" s="32">
        <f>IF(A916="","",IF(C916="✗","Skipped",IF(Q916&gt;0,"Paid","Upcoming")))</f>
        <v/>
      </c>
      <c r="U916" s="36">
        <f>IF(A916="",0,IF(C916="✗",0,IF(L916&lt;&gt;"",L916,F916)))</f>
        <v/>
      </c>
    </row>
    <row r="917">
      <c r="A917" s="39">
        <f>IFERROR(SMALL(Calc!$B$2:$BB$61,912),"")</f>
        <v/>
      </c>
      <c r="B917" s="39">
        <f>IF(A917="","",ROUND(MOD(A917,1)*1000,0))</f>
        <v/>
      </c>
      <c r="C917" s="33" t="n"/>
      <c r="D917" s="40">
        <f>IF(A917="","",INT(A917))</f>
        <v/>
      </c>
      <c r="E917" s="41">
        <f>IF(B917="","",INDEX(Setup!$D$25:$D$84,B917))</f>
        <v/>
      </c>
      <c r="F917" s="42">
        <f>IF(B917="","",INDEX(Setup!$E$25:$E$84,B917))</f>
        <v/>
      </c>
      <c r="G917" s="39">
        <f>IF(B917="","",INDEX(Setup!$I$25:$I$84,B917)&amp;"")</f>
        <v/>
      </c>
      <c r="H917" s="39">
        <f>IF(B917="","",INDEX(Setup!$J$25:$J$84,B917)&amp;"")</f>
        <v/>
      </c>
      <c r="I917" s="39">
        <f>IF(B917="","",INDEX(Setup!$C$25:$C$84,B917))</f>
        <v/>
      </c>
      <c r="J917" s="39" t="n"/>
      <c r="K917" s="37" t="n"/>
      <c r="L917" s="38" t="n"/>
      <c r="M917" s="33" t="n"/>
      <c r="N917" s="33" t="n"/>
      <c r="O917" s="39" t="n"/>
      <c r="P917" s="40">
        <f>IF(A917="","",IF(K917&lt;&gt;"",K917,D917))</f>
        <v/>
      </c>
      <c r="Q917" s="42">
        <f>IF(A917="",0,IF(C917="✗",0,IF(OR(C917="✓",AND(Setup!$D$7="Yes",P917&lt;=TODAY())),IF(L917&lt;&gt;"",L917,F917),0)))</f>
        <v/>
      </c>
      <c r="R917" s="39">
        <f>IF(A917="","",IF(M917&lt;&gt;"",M917,G917))</f>
        <v/>
      </c>
      <c r="S917" s="39">
        <f>IF(A917="","",IF(N917&lt;&gt;"",N917,H917))</f>
        <v/>
      </c>
      <c r="T917" s="39">
        <f>IF(A917="","",IF(C917="✗","Skipped",IF(Q917&gt;0,"Paid","Upcoming")))</f>
        <v/>
      </c>
      <c r="U917" s="42">
        <f>IF(A917="",0,IF(C917="✗",0,IF(L917&lt;&gt;"",L917,F917)))</f>
        <v/>
      </c>
    </row>
    <row r="918">
      <c r="A918" s="32">
        <f>IFERROR(SMALL(Calc!$B$2:$BB$61,913),"")</f>
        <v/>
      </c>
      <c r="B918" s="32">
        <f>IF(A918="","",ROUND(MOD(A918,1)*1000,0))</f>
        <v/>
      </c>
      <c r="C918" s="33" t="n"/>
      <c r="D918" s="34">
        <f>IF(A918="","",INT(A918))</f>
        <v/>
      </c>
      <c r="E918" s="35">
        <f>IF(B918="","",INDEX(Setup!$D$25:$D$84,B918))</f>
        <v/>
      </c>
      <c r="F918" s="36">
        <f>IF(B918="","",INDEX(Setup!$E$25:$E$84,B918))</f>
        <v/>
      </c>
      <c r="G918" s="32">
        <f>IF(B918="","",INDEX(Setup!$I$25:$I$84,B918)&amp;"")</f>
        <v/>
      </c>
      <c r="H918" s="32">
        <f>IF(B918="","",INDEX(Setup!$J$25:$J$84,B918)&amp;"")</f>
        <v/>
      </c>
      <c r="I918" s="32">
        <f>IF(B918="","",INDEX(Setup!$C$25:$C$84,B918))</f>
        <v/>
      </c>
      <c r="J918" s="32" t="n"/>
      <c r="K918" s="37" t="n"/>
      <c r="L918" s="38" t="n"/>
      <c r="M918" s="33" t="n"/>
      <c r="N918" s="33" t="n"/>
      <c r="O918" s="32" t="n"/>
      <c r="P918" s="34">
        <f>IF(A918="","",IF(K918&lt;&gt;"",K918,D918))</f>
        <v/>
      </c>
      <c r="Q918" s="36">
        <f>IF(A918="",0,IF(C918="✗",0,IF(OR(C918="✓",AND(Setup!$D$7="Yes",P918&lt;=TODAY())),IF(L918&lt;&gt;"",L918,F918),0)))</f>
        <v/>
      </c>
      <c r="R918" s="32">
        <f>IF(A918="","",IF(M918&lt;&gt;"",M918,G918))</f>
        <v/>
      </c>
      <c r="S918" s="32">
        <f>IF(A918="","",IF(N918&lt;&gt;"",N918,H918))</f>
        <v/>
      </c>
      <c r="T918" s="32">
        <f>IF(A918="","",IF(C918="✗","Skipped",IF(Q918&gt;0,"Paid","Upcoming")))</f>
        <v/>
      </c>
      <c r="U918" s="36">
        <f>IF(A918="",0,IF(C918="✗",0,IF(L918&lt;&gt;"",L918,F918)))</f>
        <v/>
      </c>
    </row>
    <row r="919">
      <c r="A919" s="39">
        <f>IFERROR(SMALL(Calc!$B$2:$BB$61,914),"")</f>
        <v/>
      </c>
      <c r="B919" s="39">
        <f>IF(A919="","",ROUND(MOD(A919,1)*1000,0))</f>
        <v/>
      </c>
      <c r="C919" s="33" t="n"/>
      <c r="D919" s="40">
        <f>IF(A919="","",INT(A919))</f>
        <v/>
      </c>
      <c r="E919" s="41">
        <f>IF(B919="","",INDEX(Setup!$D$25:$D$84,B919))</f>
        <v/>
      </c>
      <c r="F919" s="42">
        <f>IF(B919="","",INDEX(Setup!$E$25:$E$84,B919))</f>
        <v/>
      </c>
      <c r="G919" s="39">
        <f>IF(B919="","",INDEX(Setup!$I$25:$I$84,B919)&amp;"")</f>
        <v/>
      </c>
      <c r="H919" s="39">
        <f>IF(B919="","",INDEX(Setup!$J$25:$J$84,B919)&amp;"")</f>
        <v/>
      </c>
      <c r="I919" s="39">
        <f>IF(B919="","",INDEX(Setup!$C$25:$C$84,B919))</f>
        <v/>
      </c>
      <c r="J919" s="39" t="n"/>
      <c r="K919" s="37" t="n"/>
      <c r="L919" s="38" t="n"/>
      <c r="M919" s="33" t="n"/>
      <c r="N919" s="33" t="n"/>
      <c r="O919" s="39" t="n"/>
      <c r="P919" s="40">
        <f>IF(A919="","",IF(K919&lt;&gt;"",K919,D919))</f>
        <v/>
      </c>
      <c r="Q919" s="42">
        <f>IF(A919="",0,IF(C919="✗",0,IF(OR(C919="✓",AND(Setup!$D$7="Yes",P919&lt;=TODAY())),IF(L919&lt;&gt;"",L919,F919),0)))</f>
        <v/>
      </c>
      <c r="R919" s="39">
        <f>IF(A919="","",IF(M919&lt;&gt;"",M919,G919))</f>
        <v/>
      </c>
      <c r="S919" s="39">
        <f>IF(A919="","",IF(N919&lt;&gt;"",N919,H919))</f>
        <v/>
      </c>
      <c r="T919" s="39">
        <f>IF(A919="","",IF(C919="✗","Skipped",IF(Q919&gt;0,"Paid","Upcoming")))</f>
        <v/>
      </c>
      <c r="U919" s="42">
        <f>IF(A919="",0,IF(C919="✗",0,IF(L919&lt;&gt;"",L919,F919)))</f>
        <v/>
      </c>
    </row>
    <row r="920">
      <c r="A920" s="32">
        <f>IFERROR(SMALL(Calc!$B$2:$BB$61,915),"")</f>
        <v/>
      </c>
      <c r="B920" s="32">
        <f>IF(A920="","",ROUND(MOD(A920,1)*1000,0))</f>
        <v/>
      </c>
      <c r="C920" s="33" t="n"/>
      <c r="D920" s="34">
        <f>IF(A920="","",INT(A920))</f>
        <v/>
      </c>
      <c r="E920" s="35">
        <f>IF(B920="","",INDEX(Setup!$D$25:$D$84,B920))</f>
        <v/>
      </c>
      <c r="F920" s="36">
        <f>IF(B920="","",INDEX(Setup!$E$25:$E$84,B920))</f>
        <v/>
      </c>
      <c r="G920" s="32">
        <f>IF(B920="","",INDEX(Setup!$I$25:$I$84,B920)&amp;"")</f>
        <v/>
      </c>
      <c r="H920" s="32">
        <f>IF(B920="","",INDEX(Setup!$J$25:$J$84,B920)&amp;"")</f>
        <v/>
      </c>
      <c r="I920" s="32">
        <f>IF(B920="","",INDEX(Setup!$C$25:$C$84,B920))</f>
        <v/>
      </c>
      <c r="J920" s="32" t="n"/>
      <c r="K920" s="37" t="n"/>
      <c r="L920" s="38" t="n"/>
      <c r="M920" s="33" t="n"/>
      <c r="N920" s="33" t="n"/>
      <c r="O920" s="32" t="n"/>
      <c r="P920" s="34">
        <f>IF(A920="","",IF(K920&lt;&gt;"",K920,D920))</f>
        <v/>
      </c>
      <c r="Q920" s="36">
        <f>IF(A920="",0,IF(C920="✗",0,IF(OR(C920="✓",AND(Setup!$D$7="Yes",P920&lt;=TODAY())),IF(L920&lt;&gt;"",L920,F920),0)))</f>
        <v/>
      </c>
      <c r="R920" s="32">
        <f>IF(A920="","",IF(M920&lt;&gt;"",M920,G920))</f>
        <v/>
      </c>
      <c r="S920" s="32">
        <f>IF(A920="","",IF(N920&lt;&gt;"",N920,H920))</f>
        <v/>
      </c>
      <c r="T920" s="32">
        <f>IF(A920="","",IF(C920="✗","Skipped",IF(Q920&gt;0,"Paid","Upcoming")))</f>
        <v/>
      </c>
      <c r="U920" s="36">
        <f>IF(A920="",0,IF(C920="✗",0,IF(L920&lt;&gt;"",L920,F920)))</f>
        <v/>
      </c>
    </row>
    <row r="921">
      <c r="A921" s="39">
        <f>IFERROR(SMALL(Calc!$B$2:$BB$61,916),"")</f>
        <v/>
      </c>
      <c r="B921" s="39">
        <f>IF(A921="","",ROUND(MOD(A921,1)*1000,0))</f>
        <v/>
      </c>
      <c r="C921" s="33" t="n"/>
      <c r="D921" s="40">
        <f>IF(A921="","",INT(A921))</f>
        <v/>
      </c>
      <c r="E921" s="41">
        <f>IF(B921="","",INDEX(Setup!$D$25:$D$84,B921))</f>
        <v/>
      </c>
      <c r="F921" s="42">
        <f>IF(B921="","",INDEX(Setup!$E$25:$E$84,B921))</f>
        <v/>
      </c>
      <c r="G921" s="39">
        <f>IF(B921="","",INDEX(Setup!$I$25:$I$84,B921)&amp;"")</f>
        <v/>
      </c>
      <c r="H921" s="39">
        <f>IF(B921="","",INDEX(Setup!$J$25:$J$84,B921)&amp;"")</f>
        <v/>
      </c>
      <c r="I921" s="39">
        <f>IF(B921="","",INDEX(Setup!$C$25:$C$84,B921))</f>
        <v/>
      </c>
      <c r="J921" s="39" t="n"/>
      <c r="K921" s="37" t="n"/>
      <c r="L921" s="38" t="n"/>
      <c r="M921" s="33" t="n"/>
      <c r="N921" s="33" t="n"/>
      <c r="O921" s="39" t="n"/>
      <c r="P921" s="40">
        <f>IF(A921="","",IF(K921&lt;&gt;"",K921,D921))</f>
        <v/>
      </c>
      <c r="Q921" s="42">
        <f>IF(A921="",0,IF(C921="✗",0,IF(OR(C921="✓",AND(Setup!$D$7="Yes",P921&lt;=TODAY())),IF(L921&lt;&gt;"",L921,F921),0)))</f>
        <v/>
      </c>
      <c r="R921" s="39">
        <f>IF(A921="","",IF(M921&lt;&gt;"",M921,G921))</f>
        <v/>
      </c>
      <c r="S921" s="39">
        <f>IF(A921="","",IF(N921&lt;&gt;"",N921,H921))</f>
        <v/>
      </c>
      <c r="T921" s="39">
        <f>IF(A921="","",IF(C921="✗","Skipped",IF(Q921&gt;0,"Paid","Upcoming")))</f>
        <v/>
      </c>
      <c r="U921" s="42">
        <f>IF(A921="",0,IF(C921="✗",0,IF(L921&lt;&gt;"",L921,F921)))</f>
        <v/>
      </c>
    </row>
    <row r="922">
      <c r="A922" s="32">
        <f>IFERROR(SMALL(Calc!$B$2:$BB$61,917),"")</f>
        <v/>
      </c>
      <c r="B922" s="32">
        <f>IF(A922="","",ROUND(MOD(A922,1)*1000,0))</f>
        <v/>
      </c>
      <c r="C922" s="33" t="n"/>
      <c r="D922" s="34">
        <f>IF(A922="","",INT(A922))</f>
        <v/>
      </c>
      <c r="E922" s="35">
        <f>IF(B922="","",INDEX(Setup!$D$25:$D$84,B922))</f>
        <v/>
      </c>
      <c r="F922" s="36">
        <f>IF(B922="","",INDEX(Setup!$E$25:$E$84,B922))</f>
        <v/>
      </c>
      <c r="G922" s="32">
        <f>IF(B922="","",INDEX(Setup!$I$25:$I$84,B922)&amp;"")</f>
        <v/>
      </c>
      <c r="H922" s="32">
        <f>IF(B922="","",INDEX(Setup!$J$25:$J$84,B922)&amp;"")</f>
        <v/>
      </c>
      <c r="I922" s="32">
        <f>IF(B922="","",INDEX(Setup!$C$25:$C$84,B922))</f>
        <v/>
      </c>
      <c r="J922" s="32" t="n"/>
      <c r="K922" s="37" t="n"/>
      <c r="L922" s="38" t="n"/>
      <c r="M922" s="33" t="n"/>
      <c r="N922" s="33" t="n"/>
      <c r="O922" s="32" t="n"/>
      <c r="P922" s="34">
        <f>IF(A922="","",IF(K922&lt;&gt;"",K922,D922))</f>
        <v/>
      </c>
      <c r="Q922" s="36">
        <f>IF(A922="",0,IF(C922="✗",0,IF(OR(C922="✓",AND(Setup!$D$7="Yes",P922&lt;=TODAY())),IF(L922&lt;&gt;"",L922,F922),0)))</f>
        <v/>
      </c>
      <c r="R922" s="32">
        <f>IF(A922="","",IF(M922&lt;&gt;"",M922,G922))</f>
        <v/>
      </c>
      <c r="S922" s="32">
        <f>IF(A922="","",IF(N922&lt;&gt;"",N922,H922))</f>
        <v/>
      </c>
      <c r="T922" s="32">
        <f>IF(A922="","",IF(C922="✗","Skipped",IF(Q922&gt;0,"Paid","Upcoming")))</f>
        <v/>
      </c>
      <c r="U922" s="36">
        <f>IF(A922="",0,IF(C922="✗",0,IF(L922&lt;&gt;"",L922,F922)))</f>
        <v/>
      </c>
    </row>
    <row r="923">
      <c r="A923" s="39">
        <f>IFERROR(SMALL(Calc!$B$2:$BB$61,918),"")</f>
        <v/>
      </c>
      <c r="B923" s="39">
        <f>IF(A923="","",ROUND(MOD(A923,1)*1000,0))</f>
        <v/>
      </c>
      <c r="C923" s="33" t="n"/>
      <c r="D923" s="40">
        <f>IF(A923="","",INT(A923))</f>
        <v/>
      </c>
      <c r="E923" s="41">
        <f>IF(B923="","",INDEX(Setup!$D$25:$D$84,B923))</f>
        <v/>
      </c>
      <c r="F923" s="42">
        <f>IF(B923="","",INDEX(Setup!$E$25:$E$84,B923))</f>
        <v/>
      </c>
      <c r="G923" s="39">
        <f>IF(B923="","",INDEX(Setup!$I$25:$I$84,B923)&amp;"")</f>
        <v/>
      </c>
      <c r="H923" s="39">
        <f>IF(B923="","",INDEX(Setup!$J$25:$J$84,B923)&amp;"")</f>
        <v/>
      </c>
      <c r="I923" s="39">
        <f>IF(B923="","",INDEX(Setup!$C$25:$C$84,B923))</f>
        <v/>
      </c>
      <c r="J923" s="39" t="n"/>
      <c r="K923" s="37" t="n"/>
      <c r="L923" s="38" t="n"/>
      <c r="M923" s="33" t="n"/>
      <c r="N923" s="33" t="n"/>
      <c r="O923" s="39" t="n"/>
      <c r="P923" s="40">
        <f>IF(A923="","",IF(K923&lt;&gt;"",K923,D923))</f>
        <v/>
      </c>
      <c r="Q923" s="42">
        <f>IF(A923="",0,IF(C923="✗",0,IF(OR(C923="✓",AND(Setup!$D$7="Yes",P923&lt;=TODAY())),IF(L923&lt;&gt;"",L923,F923),0)))</f>
        <v/>
      </c>
      <c r="R923" s="39">
        <f>IF(A923="","",IF(M923&lt;&gt;"",M923,G923))</f>
        <v/>
      </c>
      <c r="S923" s="39">
        <f>IF(A923="","",IF(N923&lt;&gt;"",N923,H923))</f>
        <v/>
      </c>
      <c r="T923" s="39">
        <f>IF(A923="","",IF(C923="✗","Skipped",IF(Q923&gt;0,"Paid","Upcoming")))</f>
        <v/>
      </c>
      <c r="U923" s="42">
        <f>IF(A923="",0,IF(C923="✗",0,IF(L923&lt;&gt;"",L923,F923)))</f>
        <v/>
      </c>
    </row>
    <row r="924">
      <c r="A924" s="32">
        <f>IFERROR(SMALL(Calc!$B$2:$BB$61,919),"")</f>
        <v/>
      </c>
      <c r="B924" s="32">
        <f>IF(A924="","",ROUND(MOD(A924,1)*1000,0))</f>
        <v/>
      </c>
      <c r="C924" s="33" t="n"/>
      <c r="D924" s="34">
        <f>IF(A924="","",INT(A924))</f>
        <v/>
      </c>
      <c r="E924" s="35">
        <f>IF(B924="","",INDEX(Setup!$D$25:$D$84,B924))</f>
        <v/>
      </c>
      <c r="F924" s="36">
        <f>IF(B924="","",INDEX(Setup!$E$25:$E$84,B924))</f>
        <v/>
      </c>
      <c r="G924" s="32">
        <f>IF(B924="","",INDEX(Setup!$I$25:$I$84,B924)&amp;"")</f>
        <v/>
      </c>
      <c r="H924" s="32">
        <f>IF(B924="","",INDEX(Setup!$J$25:$J$84,B924)&amp;"")</f>
        <v/>
      </c>
      <c r="I924" s="32">
        <f>IF(B924="","",INDEX(Setup!$C$25:$C$84,B924))</f>
        <v/>
      </c>
      <c r="J924" s="32" t="n"/>
      <c r="K924" s="37" t="n"/>
      <c r="L924" s="38" t="n"/>
      <c r="M924" s="33" t="n"/>
      <c r="N924" s="33" t="n"/>
      <c r="O924" s="32" t="n"/>
      <c r="P924" s="34">
        <f>IF(A924="","",IF(K924&lt;&gt;"",K924,D924))</f>
        <v/>
      </c>
      <c r="Q924" s="36">
        <f>IF(A924="",0,IF(C924="✗",0,IF(OR(C924="✓",AND(Setup!$D$7="Yes",P924&lt;=TODAY())),IF(L924&lt;&gt;"",L924,F924),0)))</f>
        <v/>
      </c>
      <c r="R924" s="32">
        <f>IF(A924="","",IF(M924&lt;&gt;"",M924,G924))</f>
        <v/>
      </c>
      <c r="S924" s="32">
        <f>IF(A924="","",IF(N924&lt;&gt;"",N924,H924))</f>
        <v/>
      </c>
      <c r="T924" s="32">
        <f>IF(A924="","",IF(C924="✗","Skipped",IF(Q924&gt;0,"Paid","Upcoming")))</f>
        <v/>
      </c>
      <c r="U924" s="36">
        <f>IF(A924="",0,IF(C924="✗",0,IF(L924&lt;&gt;"",L924,F924)))</f>
        <v/>
      </c>
    </row>
    <row r="925">
      <c r="A925" s="39">
        <f>IFERROR(SMALL(Calc!$B$2:$BB$61,920),"")</f>
        <v/>
      </c>
      <c r="B925" s="39">
        <f>IF(A925="","",ROUND(MOD(A925,1)*1000,0))</f>
        <v/>
      </c>
      <c r="C925" s="33" t="n"/>
      <c r="D925" s="40">
        <f>IF(A925="","",INT(A925))</f>
        <v/>
      </c>
      <c r="E925" s="41">
        <f>IF(B925="","",INDEX(Setup!$D$25:$D$84,B925))</f>
        <v/>
      </c>
      <c r="F925" s="42">
        <f>IF(B925="","",INDEX(Setup!$E$25:$E$84,B925))</f>
        <v/>
      </c>
      <c r="G925" s="39">
        <f>IF(B925="","",INDEX(Setup!$I$25:$I$84,B925)&amp;"")</f>
        <v/>
      </c>
      <c r="H925" s="39">
        <f>IF(B925="","",INDEX(Setup!$J$25:$J$84,B925)&amp;"")</f>
        <v/>
      </c>
      <c r="I925" s="39">
        <f>IF(B925="","",INDEX(Setup!$C$25:$C$84,B925))</f>
        <v/>
      </c>
      <c r="J925" s="39" t="n"/>
      <c r="K925" s="37" t="n"/>
      <c r="L925" s="38" t="n"/>
      <c r="M925" s="33" t="n"/>
      <c r="N925" s="33" t="n"/>
      <c r="O925" s="39" t="n"/>
      <c r="P925" s="40">
        <f>IF(A925="","",IF(K925&lt;&gt;"",K925,D925))</f>
        <v/>
      </c>
      <c r="Q925" s="42">
        <f>IF(A925="",0,IF(C925="✗",0,IF(OR(C925="✓",AND(Setup!$D$7="Yes",P925&lt;=TODAY())),IF(L925&lt;&gt;"",L925,F925),0)))</f>
        <v/>
      </c>
      <c r="R925" s="39">
        <f>IF(A925="","",IF(M925&lt;&gt;"",M925,G925))</f>
        <v/>
      </c>
      <c r="S925" s="39">
        <f>IF(A925="","",IF(N925&lt;&gt;"",N925,H925))</f>
        <v/>
      </c>
      <c r="T925" s="39">
        <f>IF(A925="","",IF(C925="✗","Skipped",IF(Q925&gt;0,"Paid","Upcoming")))</f>
        <v/>
      </c>
      <c r="U925" s="42">
        <f>IF(A925="",0,IF(C925="✗",0,IF(L925&lt;&gt;"",L925,F925)))</f>
        <v/>
      </c>
    </row>
    <row r="926">
      <c r="A926" s="32">
        <f>IFERROR(SMALL(Calc!$B$2:$BB$61,921),"")</f>
        <v/>
      </c>
      <c r="B926" s="32">
        <f>IF(A926="","",ROUND(MOD(A926,1)*1000,0))</f>
        <v/>
      </c>
      <c r="C926" s="33" t="n"/>
      <c r="D926" s="34">
        <f>IF(A926="","",INT(A926))</f>
        <v/>
      </c>
      <c r="E926" s="35">
        <f>IF(B926="","",INDEX(Setup!$D$25:$D$84,B926))</f>
        <v/>
      </c>
      <c r="F926" s="36">
        <f>IF(B926="","",INDEX(Setup!$E$25:$E$84,B926))</f>
        <v/>
      </c>
      <c r="G926" s="32">
        <f>IF(B926="","",INDEX(Setup!$I$25:$I$84,B926)&amp;"")</f>
        <v/>
      </c>
      <c r="H926" s="32">
        <f>IF(B926="","",INDEX(Setup!$J$25:$J$84,B926)&amp;"")</f>
        <v/>
      </c>
      <c r="I926" s="32">
        <f>IF(B926="","",INDEX(Setup!$C$25:$C$84,B926))</f>
        <v/>
      </c>
      <c r="J926" s="32" t="n"/>
      <c r="K926" s="37" t="n"/>
      <c r="L926" s="38" t="n"/>
      <c r="M926" s="33" t="n"/>
      <c r="N926" s="33" t="n"/>
      <c r="O926" s="32" t="n"/>
      <c r="P926" s="34">
        <f>IF(A926="","",IF(K926&lt;&gt;"",K926,D926))</f>
        <v/>
      </c>
      <c r="Q926" s="36">
        <f>IF(A926="",0,IF(C926="✗",0,IF(OR(C926="✓",AND(Setup!$D$7="Yes",P926&lt;=TODAY())),IF(L926&lt;&gt;"",L926,F926),0)))</f>
        <v/>
      </c>
      <c r="R926" s="32">
        <f>IF(A926="","",IF(M926&lt;&gt;"",M926,G926))</f>
        <v/>
      </c>
      <c r="S926" s="32">
        <f>IF(A926="","",IF(N926&lt;&gt;"",N926,H926))</f>
        <v/>
      </c>
      <c r="T926" s="32">
        <f>IF(A926="","",IF(C926="✗","Skipped",IF(Q926&gt;0,"Paid","Upcoming")))</f>
        <v/>
      </c>
      <c r="U926" s="36">
        <f>IF(A926="",0,IF(C926="✗",0,IF(L926&lt;&gt;"",L926,F926)))</f>
        <v/>
      </c>
    </row>
    <row r="927">
      <c r="A927" s="39">
        <f>IFERROR(SMALL(Calc!$B$2:$BB$61,922),"")</f>
        <v/>
      </c>
      <c r="B927" s="39">
        <f>IF(A927="","",ROUND(MOD(A927,1)*1000,0))</f>
        <v/>
      </c>
      <c r="C927" s="33" t="n"/>
      <c r="D927" s="40">
        <f>IF(A927="","",INT(A927))</f>
        <v/>
      </c>
      <c r="E927" s="41">
        <f>IF(B927="","",INDEX(Setup!$D$25:$D$84,B927))</f>
        <v/>
      </c>
      <c r="F927" s="42">
        <f>IF(B927="","",INDEX(Setup!$E$25:$E$84,B927))</f>
        <v/>
      </c>
      <c r="G927" s="39">
        <f>IF(B927="","",INDEX(Setup!$I$25:$I$84,B927)&amp;"")</f>
        <v/>
      </c>
      <c r="H927" s="39">
        <f>IF(B927="","",INDEX(Setup!$J$25:$J$84,B927)&amp;"")</f>
        <v/>
      </c>
      <c r="I927" s="39">
        <f>IF(B927="","",INDEX(Setup!$C$25:$C$84,B927))</f>
        <v/>
      </c>
      <c r="J927" s="39" t="n"/>
      <c r="K927" s="37" t="n"/>
      <c r="L927" s="38" t="n"/>
      <c r="M927" s="33" t="n"/>
      <c r="N927" s="33" t="n"/>
      <c r="O927" s="39" t="n"/>
      <c r="P927" s="40">
        <f>IF(A927="","",IF(K927&lt;&gt;"",K927,D927))</f>
        <v/>
      </c>
      <c r="Q927" s="42">
        <f>IF(A927="",0,IF(C927="✗",0,IF(OR(C927="✓",AND(Setup!$D$7="Yes",P927&lt;=TODAY())),IF(L927&lt;&gt;"",L927,F927),0)))</f>
        <v/>
      </c>
      <c r="R927" s="39">
        <f>IF(A927="","",IF(M927&lt;&gt;"",M927,G927))</f>
        <v/>
      </c>
      <c r="S927" s="39">
        <f>IF(A927="","",IF(N927&lt;&gt;"",N927,H927))</f>
        <v/>
      </c>
      <c r="T927" s="39">
        <f>IF(A927="","",IF(C927="✗","Skipped",IF(Q927&gt;0,"Paid","Upcoming")))</f>
        <v/>
      </c>
      <c r="U927" s="42">
        <f>IF(A927="",0,IF(C927="✗",0,IF(L927&lt;&gt;"",L927,F927)))</f>
        <v/>
      </c>
    </row>
    <row r="928">
      <c r="A928" s="32">
        <f>IFERROR(SMALL(Calc!$B$2:$BB$61,923),"")</f>
        <v/>
      </c>
      <c r="B928" s="32">
        <f>IF(A928="","",ROUND(MOD(A928,1)*1000,0))</f>
        <v/>
      </c>
      <c r="C928" s="33" t="n"/>
      <c r="D928" s="34">
        <f>IF(A928="","",INT(A928))</f>
        <v/>
      </c>
      <c r="E928" s="35">
        <f>IF(B928="","",INDEX(Setup!$D$25:$D$84,B928))</f>
        <v/>
      </c>
      <c r="F928" s="36">
        <f>IF(B928="","",INDEX(Setup!$E$25:$E$84,B928))</f>
        <v/>
      </c>
      <c r="G928" s="32">
        <f>IF(B928="","",INDEX(Setup!$I$25:$I$84,B928)&amp;"")</f>
        <v/>
      </c>
      <c r="H928" s="32">
        <f>IF(B928="","",INDEX(Setup!$J$25:$J$84,B928)&amp;"")</f>
        <v/>
      </c>
      <c r="I928" s="32">
        <f>IF(B928="","",INDEX(Setup!$C$25:$C$84,B928))</f>
        <v/>
      </c>
      <c r="J928" s="32" t="n"/>
      <c r="K928" s="37" t="n"/>
      <c r="L928" s="38" t="n"/>
      <c r="M928" s="33" t="n"/>
      <c r="N928" s="33" t="n"/>
      <c r="O928" s="32" t="n"/>
      <c r="P928" s="34">
        <f>IF(A928="","",IF(K928&lt;&gt;"",K928,D928))</f>
        <v/>
      </c>
      <c r="Q928" s="36">
        <f>IF(A928="",0,IF(C928="✗",0,IF(OR(C928="✓",AND(Setup!$D$7="Yes",P928&lt;=TODAY())),IF(L928&lt;&gt;"",L928,F928),0)))</f>
        <v/>
      </c>
      <c r="R928" s="32">
        <f>IF(A928="","",IF(M928&lt;&gt;"",M928,G928))</f>
        <v/>
      </c>
      <c r="S928" s="32">
        <f>IF(A928="","",IF(N928&lt;&gt;"",N928,H928))</f>
        <v/>
      </c>
      <c r="T928" s="32">
        <f>IF(A928="","",IF(C928="✗","Skipped",IF(Q928&gt;0,"Paid","Upcoming")))</f>
        <v/>
      </c>
      <c r="U928" s="36">
        <f>IF(A928="",0,IF(C928="✗",0,IF(L928&lt;&gt;"",L928,F928)))</f>
        <v/>
      </c>
    </row>
    <row r="929">
      <c r="A929" s="39">
        <f>IFERROR(SMALL(Calc!$B$2:$BB$61,924),"")</f>
        <v/>
      </c>
      <c r="B929" s="39">
        <f>IF(A929="","",ROUND(MOD(A929,1)*1000,0))</f>
        <v/>
      </c>
      <c r="C929" s="33" t="n"/>
      <c r="D929" s="40">
        <f>IF(A929="","",INT(A929))</f>
        <v/>
      </c>
      <c r="E929" s="41">
        <f>IF(B929="","",INDEX(Setup!$D$25:$D$84,B929))</f>
        <v/>
      </c>
      <c r="F929" s="42">
        <f>IF(B929="","",INDEX(Setup!$E$25:$E$84,B929))</f>
        <v/>
      </c>
      <c r="G929" s="39">
        <f>IF(B929="","",INDEX(Setup!$I$25:$I$84,B929)&amp;"")</f>
        <v/>
      </c>
      <c r="H929" s="39">
        <f>IF(B929="","",INDEX(Setup!$J$25:$J$84,B929)&amp;"")</f>
        <v/>
      </c>
      <c r="I929" s="39">
        <f>IF(B929="","",INDEX(Setup!$C$25:$C$84,B929))</f>
        <v/>
      </c>
      <c r="J929" s="39" t="n"/>
      <c r="K929" s="37" t="n"/>
      <c r="L929" s="38" t="n"/>
      <c r="M929" s="33" t="n"/>
      <c r="N929" s="33" t="n"/>
      <c r="O929" s="39" t="n"/>
      <c r="P929" s="40">
        <f>IF(A929="","",IF(K929&lt;&gt;"",K929,D929))</f>
        <v/>
      </c>
      <c r="Q929" s="42">
        <f>IF(A929="",0,IF(C929="✗",0,IF(OR(C929="✓",AND(Setup!$D$7="Yes",P929&lt;=TODAY())),IF(L929&lt;&gt;"",L929,F929),0)))</f>
        <v/>
      </c>
      <c r="R929" s="39">
        <f>IF(A929="","",IF(M929&lt;&gt;"",M929,G929))</f>
        <v/>
      </c>
      <c r="S929" s="39">
        <f>IF(A929="","",IF(N929&lt;&gt;"",N929,H929))</f>
        <v/>
      </c>
      <c r="T929" s="39">
        <f>IF(A929="","",IF(C929="✗","Skipped",IF(Q929&gt;0,"Paid","Upcoming")))</f>
        <v/>
      </c>
      <c r="U929" s="42">
        <f>IF(A929="",0,IF(C929="✗",0,IF(L929&lt;&gt;"",L929,F929)))</f>
        <v/>
      </c>
    </row>
    <row r="930">
      <c r="A930" s="32">
        <f>IFERROR(SMALL(Calc!$B$2:$BB$61,925),"")</f>
        <v/>
      </c>
      <c r="B930" s="32">
        <f>IF(A930="","",ROUND(MOD(A930,1)*1000,0))</f>
        <v/>
      </c>
      <c r="C930" s="33" t="n"/>
      <c r="D930" s="34">
        <f>IF(A930="","",INT(A930))</f>
        <v/>
      </c>
      <c r="E930" s="35">
        <f>IF(B930="","",INDEX(Setup!$D$25:$D$84,B930))</f>
        <v/>
      </c>
      <c r="F930" s="36">
        <f>IF(B930="","",INDEX(Setup!$E$25:$E$84,B930))</f>
        <v/>
      </c>
      <c r="G930" s="32">
        <f>IF(B930="","",INDEX(Setup!$I$25:$I$84,B930)&amp;"")</f>
        <v/>
      </c>
      <c r="H930" s="32">
        <f>IF(B930="","",INDEX(Setup!$J$25:$J$84,B930)&amp;"")</f>
        <v/>
      </c>
      <c r="I930" s="32">
        <f>IF(B930="","",INDEX(Setup!$C$25:$C$84,B930))</f>
        <v/>
      </c>
      <c r="J930" s="32" t="n"/>
      <c r="K930" s="37" t="n"/>
      <c r="L930" s="38" t="n"/>
      <c r="M930" s="33" t="n"/>
      <c r="N930" s="33" t="n"/>
      <c r="O930" s="32" t="n"/>
      <c r="P930" s="34">
        <f>IF(A930="","",IF(K930&lt;&gt;"",K930,D930))</f>
        <v/>
      </c>
      <c r="Q930" s="36">
        <f>IF(A930="",0,IF(C930="✗",0,IF(OR(C930="✓",AND(Setup!$D$7="Yes",P930&lt;=TODAY())),IF(L930&lt;&gt;"",L930,F930),0)))</f>
        <v/>
      </c>
      <c r="R930" s="32">
        <f>IF(A930="","",IF(M930&lt;&gt;"",M930,G930))</f>
        <v/>
      </c>
      <c r="S930" s="32">
        <f>IF(A930="","",IF(N930&lt;&gt;"",N930,H930))</f>
        <v/>
      </c>
      <c r="T930" s="32">
        <f>IF(A930="","",IF(C930="✗","Skipped",IF(Q930&gt;0,"Paid","Upcoming")))</f>
        <v/>
      </c>
      <c r="U930" s="36">
        <f>IF(A930="",0,IF(C930="✗",0,IF(L930&lt;&gt;"",L930,F930)))</f>
        <v/>
      </c>
    </row>
    <row r="931">
      <c r="A931" s="39">
        <f>IFERROR(SMALL(Calc!$B$2:$BB$61,926),"")</f>
        <v/>
      </c>
      <c r="B931" s="39">
        <f>IF(A931="","",ROUND(MOD(A931,1)*1000,0))</f>
        <v/>
      </c>
      <c r="C931" s="33" t="n"/>
      <c r="D931" s="40">
        <f>IF(A931="","",INT(A931))</f>
        <v/>
      </c>
      <c r="E931" s="41">
        <f>IF(B931="","",INDEX(Setup!$D$25:$D$84,B931))</f>
        <v/>
      </c>
      <c r="F931" s="42">
        <f>IF(B931="","",INDEX(Setup!$E$25:$E$84,B931))</f>
        <v/>
      </c>
      <c r="G931" s="39">
        <f>IF(B931="","",INDEX(Setup!$I$25:$I$84,B931)&amp;"")</f>
        <v/>
      </c>
      <c r="H931" s="39">
        <f>IF(B931="","",INDEX(Setup!$J$25:$J$84,B931)&amp;"")</f>
        <v/>
      </c>
      <c r="I931" s="39">
        <f>IF(B931="","",INDEX(Setup!$C$25:$C$84,B931))</f>
        <v/>
      </c>
      <c r="J931" s="39" t="n"/>
      <c r="K931" s="37" t="n"/>
      <c r="L931" s="38" t="n"/>
      <c r="M931" s="33" t="n"/>
      <c r="N931" s="33" t="n"/>
      <c r="O931" s="39" t="n"/>
      <c r="P931" s="40">
        <f>IF(A931="","",IF(K931&lt;&gt;"",K931,D931))</f>
        <v/>
      </c>
      <c r="Q931" s="42">
        <f>IF(A931="",0,IF(C931="✗",0,IF(OR(C931="✓",AND(Setup!$D$7="Yes",P931&lt;=TODAY())),IF(L931&lt;&gt;"",L931,F931),0)))</f>
        <v/>
      </c>
      <c r="R931" s="39">
        <f>IF(A931="","",IF(M931&lt;&gt;"",M931,G931))</f>
        <v/>
      </c>
      <c r="S931" s="39">
        <f>IF(A931="","",IF(N931&lt;&gt;"",N931,H931))</f>
        <v/>
      </c>
      <c r="T931" s="39">
        <f>IF(A931="","",IF(C931="✗","Skipped",IF(Q931&gt;0,"Paid","Upcoming")))</f>
        <v/>
      </c>
      <c r="U931" s="42">
        <f>IF(A931="",0,IF(C931="✗",0,IF(L931&lt;&gt;"",L931,F931)))</f>
        <v/>
      </c>
    </row>
    <row r="932">
      <c r="A932" s="32">
        <f>IFERROR(SMALL(Calc!$B$2:$BB$61,927),"")</f>
        <v/>
      </c>
      <c r="B932" s="32">
        <f>IF(A932="","",ROUND(MOD(A932,1)*1000,0))</f>
        <v/>
      </c>
      <c r="C932" s="33" t="n"/>
      <c r="D932" s="34">
        <f>IF(A932="","",INT(A932))</f>
        <v/>
      </c>
      <c r="E932" s="35">
        <f>IF(B932="","",INDEX(Setup!$D$25:$D$84,B932))</f>
        <v/>
      </c>
      <c r="F932" s="36">
        <f>IF(B932="","",INDEX(Setup!$E$25:$E$84,B932))</f>
        <v/>
      </c>
      <c r="G932" s="32">
        <f>IF(B932="","",INDEX(Setup!$I$25:$I$84,B932)&amp;"")</f>
        <v/>
      </c>
      <c r="H932" s="32">
        <f>IF(B932="","",INDEX(Setup!$J$25:$J$84,B932)&amp;"")</f>
        <v/>
      </c>
      <c r="I932" s="32">
        <f>IF(B932="","",INDEX(Setup!$C$25:$C$84,B932))</f>
        <v/>
      </c>
      <c r="J932" s="32" t="n"/>
      <c r="K932" s="37" t="n"/>
      <c r="L932" s="38" t="n"/>
      <c r="M932" s="33" t="n"/>
      <c r="N932" s="33" t="n"/>
      <c r="O932" s="32" t="n"/>
      <c r="P932" s="34">
        <f>IF(A932="","",IF(K932&lt;&gt;"",K932,D932))</f>
        <v/>
      </c>
      <c r="Q932" s="36">
        <f>IF(A932="",0,IF(C932="✗",0,IF(OR(C932="✓",AND(Setup!$D$7="Yes",P932&lt;=TODAY())),IF(L932&lt;&gt;"",L932,F932),0)))</f>
        <v/>
      </c>
      <c r="R932" s="32">
        <f>IF(A932="","",IF(M932&lt;&gt;"",M932,G932))</f>
        <v/>
      </c>
      <c r="S932" s="32">
        <f>IF(A932="","",IF(N932&lt;&gt;"",N932,H932))</f>
        <v/>
      </c>
      <c r="T932" s="32">
        <f>IF(A932="","",IF(C932="✗","Skipped",IF(Q932&gt;0,"Paid","Upcoming")))</f>
        <v/>
      </c>
      <c r="U932" s="36">
        <f>IF(A932="",0,IF(C932="✗",0,IF(L932&lt;&gt;"",L932,F932)))</f>
        <v/>
      </c>
    </row>
    <row r="933">
      <c r="A933" s="39">
        <f>IFERROR(SMALL(Calc!$B$2:$BB$61,928),"")</f>
        <v/>
      </c>
      <c r="B933" s="39">
        <f>IF(A933="","",ROUND(MOD(A933,1)*1000,0))</f>
        <v/>
      </c>
      <c r="C933" s="33" t="n"/>
      <c r="D933" s="40">
        <f>IF(A933="","",INT(A933))</f>
        <v/>
      </c>
      <c r="E933" s="41">
        <f>IF(B933="","",INDEX(Setup!$D$25:$D$84,B933))</f>
        <v/>
      </c>
      <c r="F933" s="42">
        <f>IF(B933="","",INDEX(Setup!$E$25:$E$84,B933))</f>
        <v/>
      </c>
      <c r="G933" s="39">
        <f>IF(B933="","",INDEX(Setup!$I$25:$I$84,B933)&amp;"")</f>
        <v/>
      </c>
      <c r="H933" s="39">
        <f>IF(B933="","",INDEX(Setup!$J$25:$J$84,B933)&amp;"")</f>
        <v/>
      </c>
      <c r="I933" s="39">
        <f>IF(B933="","",INDEX(Setup!$C$25:$C$84,B933))</f>
        <v/>
      </c>
      <c r="J933" s="39" t="n"/>
      <c r="K933" s="37" t="n"/>
      <c r="L933" s="38" t="n"/>
      <c r="M933" s="33" t="n"/>
      <c r="N933" s="33" t="n"/>
      <c r="O933" s="39" t="n"/>
      <c r="P933" s="40">
        <f>IF(A933="","",IF(K933&lt;&gt;"",K933,D933))</f>
        <v/>
      </c>
      <c r="Q933" s="42">
        <f>IF(A933="",0,IF(C933="✗",0,IF(OR(C933="✓",AND(Setup!$D$7="Yes",P933&lt;=TODAY())),IF(L933&lt;&gt;"",L933,F933),0)))</f>
        <v/>
      </c>
      <c r="R933" s="39">
        <f>IF(A933="","",IF(M933&lt;&gt;"",M933,G933))</f>
        <v/>
      </c>
      <c r="S933" s="39">
        <f>IF(A933="","",IF(N933&lt;&gt;"",N933,H933))</f>
        <v/>
      </c>
      <c r="T933" s="39">
        <f>IF(A933="","",IF(C933="✗","Skipped",IF(Q933&gt;0,"Paid","Upcoming")))</f>
        <v/>
      </c>
      <c r="U933" s="42">
        <f>IF(A933="",0,IF(C933="✗",0,IF(L933&lt;&gt;"",L933,F933)))</f>
        <v/>
      </c>
    </row>
    <row r="934">
      <c r="A934" s="32">
        <f>IFERROR(SMALL(Calc!$B$2:$BB$61,929),"")</f>
        <v/>
      </c>
      <c r="B934" s="32">
        <f>IF(A934="","",ROUND(MOD(A934,1)*1000,0))</f>
        <v/>
      </c>
      <c r="C934" s="33" t="n"/>
      <c r="D934" s="34">
        <f>IF(A934="","",INT(A934))</f>
        <v/>
      </c>
      <c r="E934" s="35">
        <f>IF(B934="","",INDEX(Setup!$D$25:$D$84,B934))</f>
        <v/>
      </c>
      <c r="F934" s="36">
        <f>IF(B934="","",INDEX(Setup!$E$25:$E$84,B934))</f>
        <v/>
      </c>
      <c r="G934" s="32">
        <f>IF(B934="","",INDEX(Setup!$I$25:$I$84,B934)&amp;"")</f>
        <v/>
      </c>
      <c r="H934" s="32">
        <f>IF(B934="","",INDEX(Setup!$J$25:$J$84,B934)&amp;"")</f>
        <v/>
      </c>
      <c r="I934" s="32">
        <f>IF(B934="","",INDEX(Setup!$C$25:$C$84,B934))</f>
        <v/>
      </c>
      <c r="J934" s="32" t="n"/>
      <c r="K934" s="37" t="n"/>
      <c r="L934" s="38" t="n"/>
      <c r="M934" s="33" t="n"/>
      <c r="N934" s="33" t="n"/>
      <c r="O934" s="32" t="n"/>
      <c r="P934" s="34">
        <f>IF(A934="","",IF(K934&lt;&gt;"",K934,D934))</f>
        <v/>
      </c>
      <c r="Q934" s="36">
        <f>IF(A934="",0,IF(C934="✗",0,IF(OR(C934="✓",AND(Setup!$D$7="Yes",P934&lt;=TODAY())),IF(L934&lt;&gt;"",L934,F934),0)))</f>
        <v/>
      </c>
      <c r="R934" s="32">
        <f>IF(A934="","",IF(M934&lt;&gt;"",M934,G934))</f>
        <v/>
      </c>
      <c r="S934" s="32">
        <f>IF(A934="","",IF(N934&lt;&gt;"",N934,H934))</f>
        <v/>
      </c>
      <c r="T934" s="32">
        <f>IF(A934="","",IF(C934="✗","Skipped",IF(Q934&gt;0,"Paid","Upcoming")))</f>
        <v/>
      </c>
      <c r="U934" s="36">
        <f>IF(A934="",0,IF(C934="✗",0,IF(L934&lt;&gt;"",L934,F934)))</f>
        <v/>
      </c>
    </row>
    <row r="935">
      <c r="A935" s="39">
        <f>IFERROR(SMALL(Calc!$B$2:$BB$61,930),"")</f>
        <v/>
      </c>
      <c r="B935" s="39">
        <f>IF(A935="","",ROUND(MOD(A935,1)*1000,0))</f>
        <v/>
      </c>
      <c r="C935" s="33" t="n"/>
      <c r="D935" s="40">
        <f>IF(A935="","",INT(A935))</f>
        <v/>
      </c>
      <c r="E935" s="41">
        <f>IF(B935="","",INDEX(Setup!$D$25:$D$84,B935))</f>
        <v/>
      </c>
      <c r="F935" s="42">
        <f>IF(B935="","",INDEX(Setup!$E$25:$E$84,B935))</f>
        <v/>
      </c>
      <c r="G935" s="39">
        <f>IF(B935="","",INDEX(Setup!$I$25:$I$84,B935)&amp;"")</f>
        <v/>
      </c>
      <c r="H935" s="39">
        <f>IF(B935="","",INDEX(Setup!$J$25:$J$84,B935)&amp;"")</f>
        <v/>
      </c>
      <c r="I935" s="39">
        <f>IF(B935="","",INDEX(Setup!$C$25:$C$84,B935))</f>
        <v/>
      </c>
      <c r="J935" s="39" t="n"/>
      <c r="K935" s="37" t="n"/>
      <c r="L935" s="38" t="n"/>
      <c r="M935" s="33" t="n"/>
      <c r="N935" s="33" t="n"/>
      <c r="O935" s="39" t="n"/>
      <c r="P935" s="40">
        <f>IF(A935="","",IF(K935&lt;&gt;"",K935,D935))</f>
        <v/>
      </c>
      <c r="Q935" s="42">
        <f>IF(A935="",0,IF(C935="✗",0,IF(OR(C935="✓",AND(Setup!$D$7="Yes",P935&lt;=TODAY())),IF(L935&lt;&gt;"",L935,F935),0)))</f>
        <v/>
      </c>
      <c r="R935" s="39">
        <f>IF(A935="","",IF(M935&lt;&gt;"",M935,G935))</f>
        <v/>
      </c>
      <c r="S935" s="39">
        <f>IF(A935="","",IF(N935&lt;&gt;"",N935,H935))</f>
        <v/>
      </c>
      <c r="T935" s="39">
        <f>IF(A935="","",IF(C935="✗","Skipped",IF(Q935&gt;0,"Paid","Upcoming")))</f>
        <v/>
      </c>
      <c r="U935" s="42">
        <f>IF(A935="",0,IF(C935="✗",0,IF(L935&lt;&gt;"",L935,F935)))</f>
        <v/>
      </c>
    </row>
    <row r="936">
      <c r="A936" s="32">
        <f>IFERROR(SMALL(Calc!$B$2:$BB$61,931),"")</f>
        <v/>
      </c>
      <c r="B936" s="32">
        <f>IF(A936="","",ROUND(MOD(A936,1)*1000,0))</f>
        <v/>
      </c>
      <c r="C936" s="33" t="n"/>
      <c r="D936" s="34">
        <f>IF(A936="","",INT(A936))</f>
        <v/>
      </c>
      <c r="E936" s="35">
        <f>IF(B936="","",INDEX(Setup!$D$25:$D$84,B936))</f>
        <v/>
      </c>
      <c r="F936" s="36">
        <f>IF(B936="","",INDEX(Setup!$E$25:$E$84,B936))</f>
        <v/>
      </c>
      <c r="G936" s="32">
        <f>IF(B936="","",INDEX(Setup!$I$25:$I$84,B936)&amp;"")</f>
        <v/>
      </c>
      <c r="H936" s="32">
        <f>IF(B936="","",INDEX(Setup!$J$25:$J$84,B936)&amp;"")</f>
        <v/>
      </c>
      <c r="I936" s="32">
        <f>IF(B936="","",INDEX(Setup!$C$25:$C$84,B936))</f>
        <v/>
      </c>
      <c r="J936" s="32" t="n"/>
      <c r="K936" s="37" t="n"/>
      <c r="L936" s="38" t="n"/>
      <c r="M936" s="33" t="n"/>
      <c r="N936" s="33" t="n"/>
      <c r="O936" s="32" t="n"/>
      <c r="P936" s="34">
        <f>IF(A936="","",IF(K936&lt;&gt;"",K936,D936))</f>
        <v/>
      </c>
      <c r="Q936" s="36">
        <f>IF(A936="",0,IF(C936="✗",0,IF(OR(C936="✓",AND(Setup!$D$7="Yes",P936&lt;=TODAY())),IF(L936&lt;&gt;"",L936,F936),0)))</f>
        <v/>
      </c>
      <c r="R936" s="32">
        <f>IF(A936="","",IF(M936&lt;&gt;"",M936,G936))</f>
        <v/>
      </c>
      <c r="S936" s="32">
        <f>IF(A936="","",IF(N936&lt;&gt;"",N936,H936))</f>
        <v/>
      </c>
      <c r="T936" s="32">
        <f>IF(A936="","",IF(C936="✗","Skipped",IF(Q936&gt;0,"Paid","Upcoming")))</f>
        <v/>
      </c>
      <c r="U936" s="36">
        <f>IF(A936="",0,IF(C936="✗",0,IF(L936&lt;&gt;"",L936,F936)))</f>
        <v/>
      </c>
    </row>
    <row r="937">
      <c r="A937" s="39">
        <f>IFERROR(SMALL(Calc!$B$2:$BB$61,932),"")</f>
        <v/>
      </c>
      <c r="B937" s="39">
        <f>IF(A937="","",ROUND(MOD(A937,1)*1000,0))</f>
        <v/>
      </c>
      <c r="C937" s="33" t="n"/>
      <c r="D937" s="40">
        <f>IF(A937="","",INT(A937))</f>
        <v/>
      </c>
      <c r="E937" s="41">
        <f>IF(B937="","",INDEX(Setup!$D$25:$D$84,B937))</f>
        <v/>
      </c>
      <c r="F937" s="42">
        <f>IF(B937="","",INDEX(Setup!$E$25:$E$84,B937))</f>
        <v/>
      </c>
      <c r="G937" s="39">
        <f>IF(B937="","",INDEX(Setup!$I$25:$I$84,B937)&amp;"")</f>
        <v/>
      </c>
      <c r="H937" s="39">
        <f>IF(B937="","",INDEX(Setup!$J$25:$J$84,B937)&amp;"")</f>
        <v/>
      </c>
      <c r="I937" s="39">
        <f>IF(B937="","",INDEX(Setup!$C$25:$C$84,B937))</f>
        <v/>
      </c>
      <c r="J937" s="39" t="n"/>
      <c r="K937" s="37" t="n"/>
      <c r="L937" s="38" t="n"/>
      <c r="M937" s="33" t="n"/>
      <c r="N937" s="33" t="n"/>
      <c r="O937" s="39" t="n"/>
      <c r="P937" s="40">
        <f>IF(A937="","",IF(K937&lt;&gt;"",K937,D937))</f>
        <v/>
      </c>
      <c r="Q937" s="42">
        <f>IF(A937="",0,IF(C937="✗",0,IF(OR(C937="✓",AND(Setup!$D$7="Yes",P937&lt;=TODAY())),IF(L937&lt;&gt;"",L937,F937),0)))</f>
        <v/>
      </c>
      <c r="R937" s="39">
        <f>IF(A937="","",IF(M937&lt;&gt;"",M937,G937))</f>
        <v/>
      </c>
      <c r="S937" s="39">
        <f>IF(A937="","",IF(N937&lt;&gt;"",N937,H937))</f>
        <v/>
      </c>
      <c r="T937" s="39">
        <f>IF(A937="","",IF(C937="✗","Skipped",IF(Q937&gt;0,"Paid","Upcoming")))</f>
        <v/>
      </c>
      <c r="U937" s="42">
        <f>IF(A937="",0,IF(C937="✗",0,IF(L937&lt;&gt;"",L937,F937)))</f>
        <v/>
      </c>
    </row>
    <row r="938">
      <c r="A938" s="32">
        <f>IFERROR(SMALL(Calc!$B$2:$BB$61,933),"")</f>
        <v/>
      </c>
      <c r="B938" s="32">
        <f>IF(A938="","",ROUND(MOD(A938,1)*1000,0))</f>
        <v/>
      </c>
      <c r="C938" s="33" t="n"/>
      <c r="D938" s="34">
        <f>IF(A938="","",INT(A938))</f>
        <v/>
      </c>
      <c r="E938" s="35">
        <f>IF(B938="","",INDEX(Setup!$D$25:$D$84,B938))</f>
        <v/>
      </c>
      <c r="F938" s="36">
        <f>IF(B938="","",INDEX(Setup!$E$25:$E$84,B938))</f>
        <v/>
      </c>
      <c r="G938" s="32">
        <f>IF(B938="","",INDEX(Setup!$I$25:$I$84,B938)&amp;"")</f>
        <v/>
      </c>
      <c r="H938" s="32">
        <f>IF(B938="","",INDEX(Setup!$J$25:$J$84,B938)&amp;"")</f>
        <v/>
      </c>
      <c r="I938" s="32">
        <f>IF(B938="","",INDEX(Setup!$C$25:$C$84,B938))</f>
        <v/>
      </c>
      <c r="J938" s="32" t="n"/>
      <c r="K938" s="37" t="n"/>
      <c r="L938" s="38" t="n"/>
      <c r="M938" s="33" t="n"/>
      <c r="N938" s="33" t="n"/>
      <c r="O938" s="32" t="n"/>
      <c r="P938" s="34">
        <f>IF(A938="","",IF(K938&lt;&gt;"",K938,D938))</f>
        <v/>
      </c>
      <c r="Q938" s="36">
        <f>IF(A938="",0,IF(C938="✗",0,IF(OR(C938="✓",AND(Setup!$D$7="Yes",P938&lt;=TODAY())),IF(L938&lt;&gt;"",L938,F938),0)))</f>
        <v/>
      </c>
      <c r="R938" s="32">
        <f>IF(A938="","",IF(M938&lt;&gt;"",M938,G938))</f>
        <v/>
      </c>
      <c r="S938" s="32">
        <f>IF(A938="","",IF(N938&lt;&gt;"",N938,H938))</f>
        <v/>
      </c>
      <c r="T938" s="32">
        <f>IF(A938="","",IF(C938="✗","Skipped",IF(Q938&gt;0,"Paid","Upcoming")))</f>
        <v/>
      </c>
      <c r="U938" s="36">
        <f>IF(A938="",0,IF(C938="✗",0,IF(L938&lt;&gt;"",L938,F938)))</f>
        <v/>
      </c>
    </row>
    <row r="939">
      <c r="A939" s="39">
        <f>IFERROR(SMALL(Calc!$B$2:$BB$61,934),"")</f>
        <v/>
      </c>
      <c r="B939" s="39">
        <f>IF(A939="","",ROUND(MOD(A939,1)*1000,0))</f>
        <v/>
      </c>
      <c r="C939" s="33" t="n"/>
      <c r="D939" s="40">
        <f>IF(A939="","",INT(A939))</f>
        <v/>
      </c>
      <c r="E939" s="41">
        <f>IF(B939="","",INDEX(Setup!$D$25:$D$84,B939))</f>
        <v/>
      </c>
      <c r="F939" s="42">
        <f>IF(B939="","",INDEX(Setup!$E$25:$E$84,B939))</f>
        <v/>
      </c>
      <c r="G939" s="39">
        <f>IF(B939="","",INDEX(Setup!$I$25:$I$84,B939)&amp;"")</f>
        <v/>
      </c>
      <c r="H939" s="39">
        <f>IF(B939="","",INDEX(Setup!$J$25:$J$84,B939)&amp;"")</f>
        <v/>
      </c>
      <c r="I939" s="39">
        <f>IF(B939="","",INDEX(Setup!$C$25:$C$84,B939))</f>
        <v/>
      </c>
      <c r="J939" s="39" t="n"/>
      <c r="K939" s="37" t="n"/>
      <c r="L939" s="38" t="n"/>
      <c r="M939" s="33" t="n"/>
      <c r="N939" s="33" t="n"/>
      <c r="O939" s="39" t="n"/>
      <c r="P939" s="40">
        <f>IF(A939="","",IF(K939&lt;&gt;"",K939,D939))</f>
        <v/>
      </c>
      <c r="Q939" s="42">
        <f>IF(A939="",0,IF(C939="✗",0,IF(OR(C939="✓",AND(Setup!$D$7="Yes",P939&lt;=TODAY())),IF(L939&lt;&gt;"",L939,F939),0)))</f>
        <v/>
      </c>
      <c r="R939" s="39">
        <f>IF(A939="","",IF(M939&lt;&gt;"",M939,G939))</f>
        <v/>
      </c>
      <c r="S939" s="39">
        <f>IF(A939="","",IF(N939&lt;&gt;"",N939,H939))</f>
        <v/>
      </c>
      <c r="T939" s="39">
        <f>IF(A939="","",IF(C939="✗","Skipped",IF(Q939&gt;0,"Paid","Upcoming")))</f>
        <v/>
      </c>
      <c r="U939" s="42">
        <f>IF(A939="",0,IF(C939="✗",0,IF(L939&lt;&gt;"",L939,F939)))</f>
        <v/>
      </c>
    </row>
    <row r="940">
      <c r="A940" s="32">
        <f>IFERROR(SMALL(Calc!$B$2:$BB$61,935),"")</f>
        <v/>
      </c>
      <c r="B940" s="32">
        <f>IF(A940="","",ROUND(MOD(A940,1)*1000,0))</f>
        <v/>
      </c>
      <c r="C940" s="33" t="n"/>
      <c r="D940" s="34">
        <f>IF(A940="","",INT(A940))</f>
        <v/>
      </c>
      <c r="E940" s="35">
        <f>IF(B940="","",INDEX(Setup!$D$25:$D$84,B940))</f>
        <v/>
      </c>
      <c r="F940" s="36">
        <f>IF(B940="","",INDEX(Setup!$E$25:$E$84,B940))</f>
        <v/>
      </c>
      <c r="G940" s="32">
        <f>IF(B940="","",INDEX(Setup!$I$25:$I$84,B940)&amp;"")</f>
        <v/>
      </c>
      <c r="H940" s="32">
        <f>IF(B940="","",INDEX(Setup!$J$25:$J$84,B940)&amp;"")</f>
        <v/>
      </c>
      <c r="I940" s="32">
        <f>IF(B940="","",INDEX(Setup!$C$25:$C$84,B940))</f>
        <v/>
      </c>
      <c r="J940" s="32" t="n"/>
      <c r="K940" s="37" t="n"/>
      <c r="L940" s="38" t="n"/>
      <c r="M940" s="33" t="n"/>
      <c r="N940" s="33" t="n"/>
      <c r="O940" s="32" t="n"/>
      <c r="P940" s="34">
        <f>IF(A940="","",IF(K940&lt;&gt;"",K940,D940))</f>
        <v/>
      </c>
      <c r="Q940" s="36">
        <f>IF(A940="",0,IF(C940="✗",0,IF(OR(C940="✓",AND(Setup!$D$7="Yes",P940&lt;=TODAY())),IF(L940&lt;&gt;"",L940,F940),0)))</f>
        <v/>
      </c>
      <c r="R940" s="32">
        <f>IF(A940="","",IF(M940&lt;&gt;"",M940,G940))</f>
        <v/>
      </c>
      <c r="S940" s="32">
        <f>IF(A940="","",IF(N940&lt;&gt;"",N940,H940))</f>
        <v/>
      </c>
      <c r="T940" s="32">
        <f>IF(A940="","",IF(C940="✗","Skipped",IF(Q940&gt;0,"Paid","Upcoming")))</f>
        <v/>
      </c>
      <c r="U940" s="36">
        <f>IF(A940="",0,IF(C940="✗",0,IF(L940&lt;&gt;"",L940,F940)))</f>
        <v/>
      </c>
    </row>
    <row r="941">
      <c r="A941" s="39">
        <f>IFERROR(SMALL(Calc!$B$2:$BB$61,936),"")</f>
        <v/>
      </c>
      <c r="B941" s="39">
        <f>IF(A941="","",ROUND(MOD(A941,1)*1000,0))</f>
        <v/>
      </c>
      <c r="C941" s="33" t="n"/>
      <c r="D941" s="40">
        <f>IF(A941="","",INT(A941))</f>
        <v/>
      </c>
      <c r="E941" s="41">
        <f>IF(B941="","",INDEX(Setup!$D$25:$D$84,B941))</f>
        <v/>
      </c>
      <c r="F941" s="42">
        <f>IF(B941="","",INDEX(Setup!$E$25:$E$84,B941))</f>
        <v/>
      </c>
      <c r="G941" s="39">
        <f>IF(B941="","",INDEX(Setup!$I$25:$I$84,B941)&amp;"")</f>
        <v/>
      </c>
      <c r="H941" s="39">
        <f>IF(B941="","",INDEX(Setup!$J$25:$J$84,B941)&amp;"")</f>
        <v/>
      </c>
      <c r="I941" s="39">
        <f>IF(B941="","",INDEX(Setup!$C$25:$C$84,B941))</f>
        <v/>
      </c>
      <c r="J941" s="39" t="n"/>
      <c r="K941" s="37" t="n"/>
      <c r="L941" s="38" t="n"/>
      <c r="M941" s="33" t="n"/>
      <c r="N941" s="33" t="n"/>
      <c r="O941" s="39" t="n"/>
      <c r="P941" s="40">
        <f>IF(A941="","",IF(K941&lt;&gt;"",K941,D941))</f>
        <v/>
      </c>
      <c r="Q941" s="42">
        <f>IF(A941="",0,IF(C941="✗",0,IF(OR(C941="✓",AND(Setup!$D$7="Yes",P941&lt;=TODAY())),IF(L941&lt;&gt;"",L941,F941),0)))</f>
        <v/>
      </c>
      <c r="R941" s="39">
        <f>IF(A941="","",IF(M941&lt;&gt;"",M941,G941))</f>
        <v/>
      </c>
      <c r="S941" s="39">
        <f>IF(A941="","",IF(N941&lt;&gt;"",N941,H941))</f>
        <v/>
      </c>
      <c r="T941" s="39">
        <f>IF(A941="","",IF(C941="✗","Skipped",IF(Q941&gt;0,"Paid","Upcoming")))</f>
        <v/>
      </c>
      <c r="U941" s="42">
        <f>IF(A941="",0,IF(C941="✗",0,IF(L941&lt;&gt;"",L941,F941)))</f>
        <v/>
      </c>
    </row>
    <row r="942">
      <c r="A942" s="32">
        <f>IFERROR(SMALL(Calc!$B$2:$BB$61,937),"")</f>
        <v/>
      </c>
      <c r="B942" s="32">
        <f>IF(A942="","",ROUND(MOD(A942,1)*1000,0))</f>
        <v/>
      </c>
      <c r="C942" s="33" t="n"/>
      <c r="D942" s="34">
        <f>IF(A942="","",INT(A942))</f>
        <v/>
      </c>
      <c r="E942" s="35">
        <f>IF(B942="","",INDEX(Setup!$D$25:$D$84,B942))</f>
        <v/>
      </c>
      <c r="F942" s="36">
        <f>IF(B942="","",INDEX(Setup!$E$25:$E$84,B942))</f>
        <v/>
      </c>
      <c r="G942" s="32">
        <f>IF(B942="","",INDEX(Setup!$I$25:$I$84,B942)&amp;"")</f>
        <v/>
      </c>
      <c r="H942" s="32">
        <f>IF(B942="","",INDEX(Setup!$J$25:$J$84,B942)&amp;"")</f>
        <v/>
      </c>
      <c r="I942" s="32">
        <f>IF(B942="","",INDEX(Setup!$C$25:$C$84,B942))</f>
        <v/>
      </c>
      <c r="J942" s="32" t="n"/>
      <c r="K942" s="37" t="n"/>
      <c r="L942" s="38" t="n"/>
      <c r="M942" s="33" t="n"/>
      <c r="N942" s="33" t="n"/>
      <c r="O942" s="32" t="n"/>
      <c r="P942" s="34">
        <f>IF(A942="","",IF(K942&lt;&gt;"",K942,D942))</f>
        <v/>
      </c>
      <c r="Q942" s="36">
        <f>IF(A942="",0,IF(C942="✗",0,IF(OR(C942="✓",AND(Setup!$D$7="Yes",P942&lt;=TODAY())),IF(L942&lt;&gt;"",L942,F942),0)))</f>
        <v/>
      </c>
      <c r="R942" s="32">
        <f>IF(A942="","",IF(M942&lt;&gt;"",M942,G942))</f>
        <v/>
      </c>
      <c r="S942" s="32">
        <f>IF(A942="","",IF(N942&lt;&gt;"",N942,H942))</f>
        <v/>
      </c>
      <c r="T942" s="32">
        <f>IF(A942="","",IF(C942="✗","Skipped",IF(Q942&gt;0,"Paid","Upcoming")))</f>
        <v/>
      </c>
      <c r="U942" s="36">
        <f>IF(A942="",0,IF(C942="✗",0,IF(L942&lt;&gt;"",L942,F942)))</f>
        <v/>
      </c>
    </row>
    <row r="943">
      <c r="A943" s="39">
        <f>IFERROR(SMALL(Calc!$B$2:$BB$61,938),"")</f>
        <v/>
      </c>
      <c r="B943" s="39">
        <f>IF(A943="","",ROUND(MOD(A943,1)*1000,0))</f>
        <v/>
      </c>
      <c r="C943" s="33" t="n"/>
      <c r="D943" s="40">
        <f>IF(A943="","",INT(A943))</f>
        <v/>
      </c>
      <c r="E943" s="41">
        <f>IF(B943="","",INDEX(Setup!$D$25:$D$84,B943))</f>
        <v/>
      </c>
      <c r="F943" s="42">
        <f>IF(B943="","",INDEX(Setup!$E$25:$E$84,B943))</f>
        <v/>
      </c>
      <c r="G943" s="39">
        <f>IF(B943="","",INDEX(Setup!$I$25:$I$84,B943)&amp;"")</f>
        <v/>
      </c>
      <c r="H943" s="39">
        <f>IF(B943="","",INDEX(Setup!$J$25:$J$84,B943)&amp;"")</f>
        <v/>
      </c>
      <c r="I943" s="39">
        <f>IF(B943="","",INDEX(Setup!$C$25:$C$84,B943))</f>
        <v/>
      </c>
      <c r="J943" s="39" t="n"/>
      <c r="K943" s="37" t="n"/>
      <c r="L943" s="38" t="n"/>
      <c r="M943" s="33" t="n"/>
      <c r="N943" s="33" t="n"/>
      <c r="O943" s="39" t="n"/>
      <c r="P943" s="40">
        <f>IF(A943="","",IF(K943&lt;&gt;"",K943,D943))</f>
        <v/>
      </c>
      <c r="Q943" s="42">
        <f>IF(A943="",0,IF(C943="✗",0,IF(OR(C943="✓",AND(Setup!$D$7="Yes",P943&lt;=TODAY())),IF(L943&lt;&gt;"",L943,F943),0)))</f>
        <v/>
      </c>
      <c r="R943" s="39">
        <f>IF(A943="","",IF(M943&lt;&gt;"",M943,G943))</f>
        <v/>
      </c>
      <c r="S943" s="39">
        <f>IF(A943="","",IF(N943&lt;&gt;"",N943,H943))</f>
        <v/>
      </c>
      <c r="T943" s="39">
        <f>IF(A943="","",IF(C943="✗","Skipped",IF(Q943&gt;0,"Paid","Upcoming")))</f>
        <v/>
      </c>
      <c r="U943" s="42">
        <f>IF(A943="",0,IF(C943="✗",0,IF(L943&lt;&gt;"",L943,F943)))</f>
        <v/>
      </c>
    </row>
    <row r="944">
      <c r="A944" s="32">
        <f>IFERROR(SMALL(Calc!$B$2:$BB$61,939),"")</f>
        <v/>
      </c>
      <c r="B944" s="32">
        <f>IF(A944="","",ROUND(MOD(A944,1)*1000,0))</f>
        <v/>
      </c>
      <c r="C944" s="33" t="n"/>
      <c r="D944" s="34">
        <f>IF(A944="","",INT(A944))</f>
        <v/>
      </c>
      <c r="E944" s="35">
        <f>IF(B944="","",INDEX(Setup!$D$25:$D$84,B944))</f>
        <v/>
      </c>
      <c r="F944" s="36">
        <f>IF(B944="","",INDEX(Setup!$E$25:$E$84,B944))</f>
        <v/>
      </c>
      <c r="G944" s="32">
        <f>IF(B944="","",INDEX(Setup!$I$25:$I$84,B944)&amp;"")</f>
        <v/>
      </c>
      <c r="H944" s="32">
        <f>IF(B944="","",INDEX(Setup!$J$25:$J$84,B944)&amp;"")</f>
        <v/>
      </c>
      <c r="I944" s="32">
        <f>IF(B944="","",INDEX(Setup!$C$25:$C$84,B944))</f>
        <v/>
      </c>
      <c r="J944" s="32" t="n"/>
      <c r="K944" s="37" t="n"/>
      <c r="L944" s="38" t="n"/>
      <c r="M944" s="33" t="n"/>
      <c r="N944" s="33" t="n"/>
      <c r="O944" s="32" t="n"/>
      <c r="P944" s="34">
        <f>IF(A944="","",IF(K944&lt;&gt;"",K944,D944))</f>
        <v/>
      </c>
      <c r="Q944" s="36">
        <f>IF(A944="",0,IF(C944="✗",0,IF(OR(C944="✓",AND(Setup!$D$7="Yes",P944&lt;=TODAY())),IF(L944&lt;&gt;"",L944,F944),0)))</f>
        <v/>
      </c>
      <c r="R944" s="32">
        <f>IF(A944="","",IF(M944&lt;&gt;"",M944,G944))</f>
        <v/>
      </c>
      <c r="S944" s="32">
        <f>IF(A944="","",IF(N944&lt;&gt;"",N944,H944))</f>
        <v/>
      </c>
      <c r="T944" s="32">
        <f>IF(A944="","",IF(C944="✗","Skipped",IF(Q944&gt;0,"Paid","Upcoming")))</f>
        <v/>
      </c>
      <c r="U944" s="36">
        <f>IF(A944="",0,IF(C944="✗",0,IF(L944&lt;&gt;"",L944,F944)))</f>
        <v/>
      </c>
    </row>
    <row r="945">
      <c r="A945" s="39">
        <f>IFERROR(SMALL(Calc!$B$2:$BB$61,940),"")</f>
        <v/>
      </c>
      <c r="B945" s="39">
        <f>IF(A945="","",ROUND(MOD(A945,1)*1000,0))</f>
        <v/>
      </c>
      <c r="C945" s="33" t="n"/>
      <c r="D945" s="40">
        <f>IF(A945="","",INT(A945))</f>
        <v/>
      </c>
      <c r="E945" s="41">
        <f>IF(B945="","",INDEX(Setup!$D$25:$D$84,B945))</f>
        <v/>
      </c>
      <c r="F945" s="42">
        <f>IF(B945="","",INDEX(Setup!$E$25:$E$84,B945))</f>
        <v/>
      </c>
      <c r="G945" s="39">
        <f>IF(B945="","",INDEX(Setup!$I$25:$I$84,B945)&amp;"")</f>
        <v/>
      </c>
      <c r="H945" s="39">
        <f>IF(B945="","",INDEX(Setup!$J$25:$J$84,B945)&amp;"")</f>
        <v/>
      </c>
      <c r="I945" s="39">
        <f>IF(B945="","",INDEX(Setup!$C$25:$C$84,B945))</f>
        <v/>
      </c>
      <c r="J945" s="39" t="n"/>
      <c r="K945" s="37" t="n"/>
      <c r="L945" s="38" t="n"/>
      <c r="M945" s="33" t="n"/>
      <c r="N945" s="33" t="n"/>
      <c r="O945" s="39" t="n"/>
      <c r="P945" s="40">
        <f>IF(A945="","",IF(K945&lt;&gt;"",K945,D945))</f>
        <v/>
      </c>
      <c r="Q945" s="42">
        <f>IF(A945="",0,IF(C945="✗",0,IF(OR(C945="✓",AND(Setup!$D$7="Yes",P945&lt;=TODAY())),IF(L945&lt;&gt;"",L945,F945),0)))</f>
        <v/>
      </c>
      <c r="R945" s="39">
        <f>IF(A945="","",IF(M945&lt;&gt;"",M945,G945))</f>
        <v/>
      </c>
      <c r="S945" s="39">
        <f>IF(A945="","",IF(N945&lt;&gt;"",N945,H945))</f>
        <v/>
      </c>
      <c r="T945" s="39">
        <f>IF(A945="","",IF(C945="✗","Skipped",IF(Q945&gt;0,"Paid","Upcoming")))</f>
        <v/>
      </c>
      <c r="U945" s="42">
        <f>IF(A945="",0,IF(C945="✗",0,IF(L945&lt;&gt;"",L945,F945)))</f>
        <v/>
      </c>
    </row>
    <row r="946">
      <c r="A946" s="32">
        <f>IFERROR(SMALL(Calc!$B$2:$BB$61,941),"")</f>
        <v/>
      </c>
      <c r="B946" s="32">
        <f>IF(A946="","",ROUND(MOD(A946,1)*1000,0))</f>
        <v/>
      </c>
      <c r="C946" s="33" t="n"/>
      <c r="D946" s="34">
        <f>IF(A946="","",INT(A946))</f>
        <v/>
      </c>
      <c r="E946" s="35">
        <f>IF(B946="","",INDEX(Setup!$D$25:$D$84,B946))</f>
        <v/>
      </c>
      <c r="F946" s="36">
        <f>IF(B946="","",INDEX(Setup!$E$25:$E$84,B946))</f>
        <v/>
      </c>
      <c r="G946" s="32">
        <f>IF(B946="","",INDEX(Setup!$I$25:$I$84,B946)&amp;"")</f>
        <v/>
      </c>
      <c r="H946" s="32">
        <f>IF(B946="","",INDEX(Setup!$J$25:$J$84,B946)&amp;"")</f>
        <v/>
      </c>
      <c r="I946" s="32">
        <f>IF(B946="","",INDEX(Setup!$C$25:$C$84,B946))</f>
        <v/>
      </c>
      <c r="J946" s="32" t="n"/>
      <c r="K946" s="37" t="n"/>
      <c r="L946" s="38" t="n"/>
      <c r="M946" s="33" t="n"/>
      <c r="N946" s="33" t="n"/>
      <c r="O946" s="32" t="n"/>
      <c r="P946" s="34">
        <f>IF(A946="","",IF(K946&lt;&gt;"",K946,D946))</f>
        <v/>
      </c>
      <c r="Q946" s="36">
        <f>IF(A946="",0,IF(C946="✗",0,IF(OR(C946="✓",AND(Setup!$D$7="Yes",P946&lt;=TODAY())),IF(L946&lt;&gt;"",L946,F946),0)))</f>
        <v/>
      </c>
      <c r="R946" s="32">
        <f>IF(A946="","",IF(M946&lt;&gt;"",M946,G946))</f>
        <v/>
      </c>
      <c r="S946" s="32">
        <f>IF(A946="","",IF(N946&lt;&gt;"",N946,H946))</f>
        <v/>
      </c>
      <c r="T946" s="32">
        <f>IF(A946="","",IF(C946="✗","Skipped",IF(Q946&gt;0,"Paid","Upcoming")))</f>
        <v/>
      </c>
      <c r="U946" s="36">
        <f>IF(A946="",0,IF(C946="✗",0,IF(L946&lt;&gt;"",L946,F946)))</f>
        <v/>
      </c>
    </row>
    <row r="947">
      <c r="A947" s="39">
        <f>IFERROR(SMALL(Calc!$B$2:$BB$61,942),"")</f>
        <v/>
      </c>
      <c r="B947" s="39">
        <f>IF(A947="","",ROUND(MOD(A947,1)*1000,0))</f>
        <v/>
      </c>
      <c r="C947" s="33" t="n"/>
      <c r="D947" s="40">
        <f>IF(A947="","",INT(A947))</f>
        <v/>
      </c>
      <c r="E947" s="41">
        <f>IF(B947="","",INDEX(Setup!$D$25:$D$84,B947))</f>
        <v/>
      </c>
      <c r="F947" s="42">
        <f>IF(B947="","",INDEX(Setup!$E$25:$E$84,B947))</f>
        <v/>
      </c>
      <c r="G947" s="39">
        <f>IF(B947="","",INDEX(Setup!$I$25:$I$84,B947)&amp;"")</f>
        <v/>
      </c>
      <c r="H947" s="39">
        <f>IF(B947="","",INDEX(Setup!$J$25:$J$84,B947)&amp;"")</f>
        <v/>
      </c>
      <c r="I947" s="39">
        <f>IF(B947="","",INDEX(Setup!$C$25:$C$84,B947))</f>
        <v/>
      </c>
      <c r="J947" s="39" t="n"/>
      <c r="K947" s="37" t="n"/>
      <c r="L947" s="38" t="n"/>
      <c r="M947" s="33" t="n"/>
      <c r="N947" s="33" t="n"/>
      <c r="O947" s="39" t="n"/>
      <c r="P947" s="40">
        <f>IF(A947="","",IF(K947&lt;&gt;"",K947,D947))</f>
        <v/>
      </c>
      <c r="Q947" s="42">
        <f>IF(A947="",0,IF(C947="✗",0,IF(OR(C947="✓",AND(Setup!$D$7="Yes",P947&lt;=TODAY())),IF(L947&lt;&gt;"",L947,F947),0)))</f>
        <v/>
      </c>
      <c r="R947" s="39">
        <f>IF(A947="","",IF(M947&lt;&gt;"",M947,G947))</f>
        <v/>
      </c>
      <c r="S947" s="39">
        <f>IF(A947="","",IF(N947&lt;&gt;"",N947,H947))</f>
        <v/>
      </c>
      <c r="T947" s="39">
        <f>IF(A947="","",IF(C947="✗","Skipped",IF(Q947&gt;0,"Paid","Upcoming")))</f>
        <v/>
      </c>
      <c r="U947" s="42">
        <f>IF(A947="",0,IF(C947="✗",0,IF(L947&lt;&gt;"",L947,F947)))</f>
        <v/>
      </c>
    </row>
    <row r="948">
      <c r="A948" s="32">
        <f>IFERROR(SMALL(Calc!$B$2:$BB$61,943),"")</f>
        <v/>
      </c>
      <c r="B948" s="32">
        <f>IF(A948="","",ROUND(MOD(A948,1)*1000,0))</f>
        <v/>
      </c>
      <c r="C948" s="33" t="n"/>
      <c r="D948" s="34">
        <f>IF(A948="","",INT(A948))</f>
        <v/>
      </c>
      <c r="E948" s="35">
        <f>IF(B948="","",INDEX(Setup!$D$25:$D$84,B948))</f>
        <v/>
      </c>
      <c r="F948" s="36">
        <f>IF(B948="","",INDEX(Setup!$E$25:$E$84,B948))</f>
        <v/>
      </c>
      <c r="G948" s="32">
        <f>IF(B948="","",INDEX(Setup!$I$25:$I$84,B948)&amp;"")</f>
        <v/>
      </c>
      <c r="H948" s="32">
        <f>IF(B948="","",INDEX(Setup!$J$25:$J$84,B948)&amp;"")</f>
        <v/>
      </c>
      <c r="I948" s="32">
        <f>IF(B948="","",INDEX(Setup!$C$25:$C$84,B948))</f>
        <v/>
      </c>
      <c r="J948" s="32" t="n"/>
      <c r="K948" s="37" t="n"/>
      <c r="L948" s="38" t="n"/>
      <c r="M948" s="33" t="n"/>
      <c r="N948" s="33" t="n"/>
      <c r="O948" s="32" t="n"/>
      <c r="P948" s="34">
        <f>IF(A948="","",IF(K948&lt;&gt;"",K948,D948))</f>
        <v/>
      </c>
      <c r="Q948" s="36">
        <f>IF(A948="",0,IF(C948="✗",0,IF(OR(C948="✓",AND(Setup!$D$7="Yes",P948&lt;=TODAY())),IF(L948&lt;&gt;"",L948,F948),0)))</f>
        <v/>
      </c>
      <c r="R948" s="32">
        <f>IF(A948="","",IF(M948&lt;&gt;"",M948,G948))</f>
        <v/>
      </c>
      <c r="S948" s="32">
        <f>IF(A948="","",IF(N948&lt;&gt;"",N948,H948))</f>
        <v/>
      </c>
      <c r="T948" s="32">
        <f>IF(A948="","",IF(C948="✗","Skipped",IF(Q948&gt;0,"Paid","Upcoming")))</f>
        <v/>
      </c>
      <c r="U948" s="36">
        <f>IF(A948="",0,IF(C948="✗",0,IF(L948&lt;&gt;"",L948,F948)))</f>
        <v/>
      </c>
    </row>
    <row r="949">
      <c r="A949" s="39">
        <f>IFERROR(SMALL(Calc!$B$2:$BB$61,944),"")</f>
        <v/>
      </c>
      <c r="B949" s="39">
        <f>IF(A949="","",ROUND(MOD(A949,1)*1000,0))</f>
        <v/>
      </c>
      <c r="C949" s="33" t="n"/>
      <c r="D949" s="40">
        <f>IF(A949="","",INT(A949))</f>
        <v/>
      </c>
      <c r="E949" s="41">
        <f>IF(B949="","",INDEX(Setup!$D$25:$D$84,B949))</f>
        <v/>
      </c>
      <c r="F949" s="42">
        <f>IF(B949="","",INDEX(Setup!$E$25:$E$84,B949))</f>
        <v/>
      </c>
      <c r="G949" s="39">
        <f>IF(B949="","",INDEX(Setup!$I$25:$I$84,B949)&amp;"")</f>
        <v/>
      </c>
      <c r="H949" s="39">
        <f>IF(B949="","",INDEX(Setup!$J$25:$J$84,B949)&amp;"")</f>
        <v/>
      </c>
      <c r="I949" s="39">
        <f>IF(B949="","",INDEX(Setup!$C$25:$C$84,B949))</f>
        <v/>
      </c>
      <c r="J949" s="39" t="n"/>
      <c r="K949" s="37" t="n"/>
      <c r="L949" s="38" t="n"/>
      <c r="M949" s="33" t="n"/>
      <c r="N949" s="33" t="n"/>
      <c r="O949" s="39" t="n"/>
      <c r="P949" s="40">
        <f>IF(A949="","",IF(K949&lt;&gt;"",K949,D949))</f>
        <v/>
      </c>
      <c r="Q949" s="42">
        <f>IF(A949="",0,IF(C949="✗",0,IF(OR(C949="✓",AND(Setup!$D$7="Yes",P949&lt;=TODAY())),IF(L949&lt;&gt;"",L949,F949),0)))</f>
        <v/>
      </c>
      <c r="R949" s="39">
        <f>IF(A949="","",IF(M949&lt;&gt;"",M949,G949))</f>
        <v/>
      </c>
      <c r="S949" s="39">
        <f>IF(A949="","",IF(N949&lt;&gt;"",N949,H949))</f>
        <v/>
      </c>
      <c r="T949" s="39">
        <f>IF(A949="","",IF(C949="✗","Skipped",IF(Q949&gt;0,"Paid","Upcoming")))</f>
        <v/>
      </c>
      <c r="U949" s="42">
        <f>IF(A949="",0,IF(C949="✗",0,IF(L949&lt;&gt;"",L949,F949)))</f>
        <v/>
      </c>
    </row>
    <row r="950">
      <c r="A950" s="32">
        <f>IFERROR(SMALL(Calc!$B$2:$BB$61,945),"")</f>
        <v/>
      </c>
      <c r="B950" s="32">
        <f>IF(A950="","",ROUND(MOD(A950,1)*1000,0))</f>
        <v/>
      </c>
      <c r="C950" s="33" t="n"/>
      <c r="D950" s="34">
        <f>IF(A950="","",INT(A950))</f>
        <v/>
      </c>
      <c r="E950" s="35">
        <f>IF(B950="","",INDEX(Setup!$D$25:$D$84,B950))</f>
        <v/>
      </c>
      <c r="F950" s="36">
        <f>IF(B950="","",INDEX(Setup!$E$25:$E$84,B950))</f>
        <v/>
      </c>
      <c r="G950" s="32">
        <f>IF(B950="","",INDEX(Setup!$I$25:$I$84,B950)&amp;"")</f>
        <v/>
      </c>
      <c r="H950" s="32">
        <f>IF(B950="","",INDEX(Setup!$J$25:$J$84,B950)&amp;"")</f>
        <v/>
      </c>
      <c r="I950" s="32">
        <f>IF(B950="","",INDEX(Setup!$C$25:$C$84,B950))</f>
        <v/>
      </c>
      <c r="J950" s="32" t="n"/>
      <c r="K950" s="37" t="n"/>
      <c r="L950" s="38" t="n"/>
      <c r="M950" s="33" t="n"/>
      <c r="N950" s="33" t="n"/>
      <c r="O950" s="32" t="n"/>
      <c r="P950" s="34">
        <f>IF(A950="","",IF(K950&lt;&gt;"",K950,D950))</f>
        <v/>
      </c>
      <c r="Q950" s="36">
        <f>IF(A950="",0,IF(C950="✗",0,IF(OR(C950="✓",AND(Setup!$D$7="Yes",P950&lt;=TODAY())),IF(L950&lt;&gt;"",L950,F950),0)))</f>
        <v/>
      </c>
      <c r="R950" s="32">
        <f>IF(A950="","",IF(M950&lt;&gt;"",M950,G950))</f>
        <v/>
      </c>
      <c r="S950" s="32">
        <f>IF(A950="","",IF(N950&lt;&gt;"",N950,H950))</f>
        <v/>
      </c>
      <c r="T950" s="32">
        <f>IF(A950="","",IF(C950="✗","Skipped",IF(Q950&gt;0,"Paid","Upcoming")))</f>
        <v/>
      </c>
      <c r="U950" s="36">
        <f>IF(A950="",0,IF(C950="✗",0,IF(L950&lt;&gt;"",L950,F950)))</f>
        <v/>
      </c>
    </row>
    <row r="951">
      <c r="A951" s="39">
        <f>IFERROR(SMALL(Calc!$B$2:$BB$61,946),"")</f>
        <v/>
      </c>
      <c r="B951" s="39">
        <f>IF(A951="","",ROUND(MOD(A951,1)*1000,0))</f>
        <v/>
      </c>
      <c r="C951" s="33" t="n"/>
      <c r="D951" s="40">
        <f>IF(A951="","",INT(A951))</f>
        <v/>
      </c>
      <c r="E951" s="41">
        <f>IF(B951="","",INDEX(Setup!$D$25:$D$84,B951))</f>
        <v/>
      </c>
      <c r="F951" s="42">
        <f>IF(B951="","",INDEX(Setup!$E$25:$E$84,B951))</f>
        <v/>
      </c>
      <c r="G951" s="39">
        <f>IF(B951="","",INDEX(Setup!$I$25:$I$84,B951)&amp;"")</f>
        <v/>
      </c>
      <c r="H951" s="39">
        <f>IF(B951="","",INDEX(Setup!$J$25:$J$84,B951)&amp;"")</f>
        <v/>
      </c>
      <c r="I951" s="39">
        <f>IF(B951="","",INDEX(Setup!$C$25:$C$84,B951))</f>
        <v/>
      </c>
      <c r="J951" s="39" t="n"/>
      <c r="K951" s="37" t="n"/>
      <c r="L951" s="38" t="n"/>
      <c r="M951" s="33" t="n"/>
      <c r="N951" s="33" t="n"/>
      <c r="O951" s="39" t="n"/>
      <c r="P951" s="40">
        <f>IF(A951="","",IF(K951&lt;&gt;"",K951,D951))</f>
        <v/>
      </c>
      <c r="Q951" s="42">
        <f>IF(A951="",0,IF(C951="✗",0,IF(OR(C951="✓",AND(Setup!$D$7="Yes",P951&lt;=TODAY())),IF(L951&lt;&gt;"",L951,F951),0)))</f>
        <v/>
      </c>
      <c r="R951" s="39">
        <f>IF(A951="","",IF(M951&lt;&gt;"",M951,G951))</f>
        <v/>
      </c>
      <c r="S951" s="39">
        <f>IF(A951="","",IF(N951&lt;&gt;"",N951,H951))</f>
        <v/>
      </c>
      <c r="T951" s="39">
        <f>IF(A951="","",IF(C951="✗","Skipped",IF(Q951&gt;0,"Paid","Upcoming")))</f>
        <v/>
      </c>
      <c r="U951" s="42">
        <f>IF(A951="",0,IF(C951="✗",0,IF(L951&lt;&gt;"",L951,F951)))</f>
        <v/>
      </c>
    </row>
    <row r="952">
      <c r="A952" s="32">
        <f>IFERROR(SMALL(Calc!$B$2:$BB$61,947),"")</f>
        <v/>
      </c>
      <c r="B952" s="32">
        <f>IF(A952="","",ROUND(MOD(A952,1)*1000,0))</f>
        <v/>
      </c>
      <c r="C952" s="33" t="n"/>
      <c r="D952" s="34">
        <f>IF(A952="","",INT(A952))</f>
        <v/>
      </c>
      <c r="E952" s="35">
        <f>IF(B952="","",INDEX(Setup!$D$25:$D$84,B952))</f>
        <v/>
      </c>
      <c r="F952" s="36">
        <f>IF(B952="","",INDEX(Setup!$E$25:$E$84,B952))</f>
        <v/>
      </c>
      <c r="G952" s="32">
        <f>IF(B952="","",INDEX(Setup!$I$25:$I$84,B952)&amp;"")</f>
        <v/>
      </c>
      <c r="H952" s="32">
        <f>IF(B952="","",INDEX(Setup!$J$25:$J$84,B952)&amp;"")</f>
        <v/>
      </c>
      <c r="I952" s="32">
        <f>IF(B952="","",INDEX(Setup!$C$25:$C$84,B952))</f>
        <v/>
      </c>
      <c r="J952" s="32" t="n"/>
      <c r="K952" s="37" t="n"/>
      <c r="L952" s="38" t="n"/>
      <c r="M952" s="33" t="n"/>
      <c r="N952" s="33" t="n"/>
      <c r="O952" s="32" t="n"/>
      <c r="P952" s="34">
        <f>IF(A952="","",IF(K952&lt;&gt;"",K952,D952))</f>
        <v/>
      </c>
      <c r="Q952" s="36">
        <f>IF(A952="",0,IF(C952="✗",0,IF(OR(C952="✓",AND(Setup!$D$7="Yes",P952&lt;=TODAY())),IF(L952&lt;&gt;"",L952,F952),0)))</f>
        <v/>
      </c>
      <c r="R952" s="32">
        <f>IF(A952="","",IF(M952&lt;&gt;"",M952,G952))</f>
        <v/>
      </c>
      <c r="S952" s="32">
        <f>IF(A952="","",IF(N952&lt;&gt;"",N952,H952))</f>
        <v/>
      </c>
      <c r="T952" s="32">
        <f>IF(A952="","",IF(C952="✗","Skipped",IF(Q952&gt;0,"Paid","Upcoming")))</f>
        <v/>
      </c>
      <c r="U952" s="36">
        <f>IF(A952="",0,IF(C952="✗",0,IF(L952&lt;&gt;"",L952,F952)))</f>
        <v/>
      </c>
    </row>
    <row r="953">
      <c r="A953" s="39">
        <f>IFERROR(SMALL(Calc!$B$2:$BB$61,948),"")</f>
        <v/>
      </c>
      <c r="B953" s="39">
        <f>IF(A953="","",ROUND(MOD(A953,1)*1000,0))</f>
        <v/>
      </c>
      <c r="C953" s="33" t="n"/>
      <c r="D953" s="40">
        <f>IF(A953="","",INT(A953))</f>
        <v/>
      </c>
      <c r="E953" s="41">
        <f>IF(B953="","",INDEX(Setup!$D$25:$D$84,B953))</f>
        <v/>
      </c>
      <c r="F953" s="42">
        <f>IF(B953="","",INDEX(Setup!$E$25:$E$84,B953))</f>
        <v/>
      </c>
      <c r="G953" s="39">
        <f>IF(B953="","",INDEX(Setup!$I$25:$I$84,B953)&amp;"")</f>
        <v/>
      </c>
      <c r="H953" s="39">
        <f>IF(B953="","",INDEX(Setup!$J$25:$J$84,B953)&amp;"")</f>
        <v/>
      </c>
      <c r="I953" s="39">
        <f>IF(B953="","",INDEX(Setup!$C$25:$C$84,B953))</f>
        <v/>
      </c>
      <c r="J953" s="39" t="n"/>
      <c r="K953" s="37" t="n"/>
      <c r="L953" s="38" t="n"/>
      <c r="M953" s="33" t="n"/>
      <c r="N953" s="33" t="n"/>
      <c r="O953" s="39" t="n"/>
      <c r="P953" s="40">
        <f>IF(A953="","",IF(K953&lt;&gt;"",K953,D953))</f>
        <v/>
      </c>
      <c r="Q953" s="42">
        <f>IF(A953="",0,IF(C953="✗",0,IF(OR(C953="✓",AND(Setup!$D$7="Yes",P953&lt;=TODAY())),IF(L953&lt;&gt;"",L953,F953),0)))</f>
        <v/>
      </c>
      <c r="R953" s="39">
        <f>IF(A953="","",IF(M953&lt;&gt;"",M953,G953))</f>
        <v/>
      </c>
      <c r="S953" s="39">
        <f>IF(A953="","",IF(N953&lt;&gt;"",N953,H953))</f>
        <v/>
      </c>
      <c r="T953" s="39">
        <f>IF(A953="","",IF(C953="✗","Skipped",IF(Q953&gt;0,"Paid","Upcoming")))</f>
        <v/>
      </c>
      <c r="U953" s="42">
        <f>IF(A953="",0,IF(C953="✗",0,IF(L953&lt;&gt;"",L953,F953)))</f>
        <v/>
      </c>
    </row>
    <row r="954">
      <c r="A954" s="32">
        <f>IFERROR(SMALL(Calc!$B$2:$BB$61,949),"")</f>
        <v/>
      </c>
      <c r="B954" s="32">
        <f>IF(A954="","",ROUND(MOD(A954,1)*1000,0))</f>
        <v/>
      </c>
      <c r="C954" s="33" t="n"/>
      <c r="D954" s="34">
        <f>IF(A954="","",INT(A954))</f>
        <v/>
      </c>
      <c r="E954" s="35">
        <f>IF(B954="","",INDEX(Setup!$D$25:$D$84,B954))</f>
        <v/>
      </c>
      <c r="F954" s="36">
        <f>IF(B954="","",INDEX(Setup!$E$25:$E$84,B954))</f>
        <v/>
      </c>
      <c r="G954" s="32">
        <f>IF(B954="","",INDEX(Setup!$I$25:$I$84,B954)&amp;"")</f>
        <v/>
      </c>
      <c r="H954" s="32">
        <f>IF(B954="","",INDEX(Setup!$J$25:$J$84,B954)&amp;"")</f>
        <v/>
      </c>
      <c r="I954" s="32">
        <f>IF(B954="","",INDEX(Setup!$C$25:$C$84,B954))</f>
        <v/>
      </c>
      <c r="J954" s="32" t="n"/>
      <c r="K954" s="37" t="n"/>
      <c r="L954" s="38" t="n"/>
      <c r="M954" s="33" t="n"/>
      <c r="N954" s="33" t="n"/>
      <c r="O954" s="32" t="n"/>
      <c r="P954" s="34">
        <f>IF(A954="","",IF(K954&lt;&gt;"",K954,D954))</f>
        <v/>
      </c>
      <c r="Q954" s="36">
        <f>IF(A954="",0,IF(C954="✗",0,IF(OR(C954="✓",AND(Setup!$D$7="Yes",P954&lt;=TODAY())),IF(L954&lt;&gt;"",L954,F954),0)))</f>
        <v/>
      </c>
      <c r="R954" s="32">
        <f>IF(A954="","",IF(M954&lt;&gt;"",M954,G954))</f>
        <v/>
      </c>
      <c r="S954" s="32">
        <f>IF(A954="","",IF(N954&lt;&gt;"",N954,H954))</f>
        <v/>
      </c>
      <c r="T954" s="32">
        <f>IF(A954="","",IF(C954="✗","Skipped",IF(Q954&gt;0,"Paid","Upcoming")))</f>
        <v/>
      </c>
      <c r="U954" s="36">
        <f>IF(A954="",0,IF(C954="✗",0,IF(L954&lt;&gt;"",L954,F954)))</f>
        <v/>
      </c>
    </row>
    <row r="955">
      <c r="A955" s="39">
        <f>IFERROR(SMALL(Calc!$B$2:$BB$61,950),"")</f>
        <v/>
      </c>
      <c r="B955" s="39">
        <f>IF(A955="","",ROUND(MOD(A955,1)*1000,0))</f>
        <v/>
      </c>
      <c r="C955" s="33" t="n"/>
      <c r="D955" s="40">
        <f>IF(A955="","",INT(A955))</f>
        <v/>
      </c>
      <c r="E955" s="41">
        <f>IF(B955="","",INDEX(Setup!$D$25:$D$84,B955))</f>
        <v/>
      </c>
      <c r="F955" s="42">
        <f>IF(B955="","",INDEX(Setup!$E$25:$E$84,B955))</f>
        <v/>
      </c>
      <c r="G955" s="39">
        <f>IF(B955="","",INDEX(Setup!$I$25:$I$84,B955)&amp;"")</f>
        <v/>
      </c>
      <c r="H955" s="39">
        <f>IF(B955="","",INDEX(Setup!$J$25:$J$84,B955)&amp;"")</f>
        <v/>
      </c>
      <c r="I955" s="39">
        <f>IF(B955="","",INDEX(Setup!$C$25:$C$84,B955))</f>
        <v/>
      </c>
      <c r="J955" s="39" t="n"/>
      <c r="K955" s="37" t="n"/>
      <c r="L955" s="38" t="n"/>
      <c r="M955" s="33" t="n"/>
      <c r="N955" s="33" t="n"/>
      <c r="O955" s="39" t="n"/>
      <c r="P955" s="40">
        <f>IF(A955="","",IF(K955&lt;&gt;"",K955,D955))</f>
        <v/>
      </c>
      <c r="Q955" s="42">
        <f>IF(A955="",0,IF(C955="✗",0,IF(OR(C955="✓",AND(Setup!$D$7="Yes",P955&lt;=TODAY())),IF(L955&lt;&gt;"",L955,F955),0)))</f>
        <v/>
      </c>
      <c r="R955" s="39">
        <f>IF(A955="","",IF(M955&lt;&gt;"",M955,G955))</f>
        <v/>
      </c>
      <c r="S955" s="39">
        <f>IF(A955="","",IF(N955&lt;&gt;"",N955,H955))</f>
        <v/>
      </c>
      <c r="T955" s="39">
        <f>IF(A955="","",IF(C955="✗","Skipped",IF(Q955&gt;0,"Paid","Upcoming")))</f>
        <v/>
      </c>
      <c r="U955" s="42">
        <f>IF(A955="",0,IF(C955="✗",0,IF(L955&lt;&gt;"",L955,F955)))</f>
        <v/>
      </c>
    </row>
    <row r="956">
      <c r="A956" s="32">
        <f>IFERROR(SMALL(Calc!$B$2:$BB$61,951),"")</f>
        <v/>
      </c>
      <c r="B956" s="32">
        <f>IF(A956="","",ROUND(MOD(A956,1)*1000,0))</f>
        <v/>
      </c>
      <c r="C956" s="33" t="n"/>
      <c r="D956" s="34">
        <f>IF(A956="","",INT(A956))</f>
        <v/>
      </c>
      <c r="E956" s="35">
        <f>IF(B956="","",INDEX(Setup!$D$25:$D$84,B956))</f>
        <v/>
      </c>
      <c r="F956" s="36">
        <f>IF(B956="","",INDEX(Setup!$E$25:$E$84,B956))</f>
        <v/>
      </c>
      <c r="G956" s="32">
        <f>IF(B956="","",INDEX(Setup!$I$25:$I$84,B956)&amp;"")</f>
        <v/>
      </c>
      <c r="H956" s="32">
        <f>IF(B956="","",INDEX(Setup!$J$25:$J$84,B956)&amp;"")</f>
        <v/>
      </c>
      <c r="I956" s="32">
        <f>IF(B956="","",INDEX(Setup!$C$25:$C$84,B956))</f>
        <v/>
      </c>
      <c r="J956" s="32" t="n"/>
      <c r="K956" s="37" t="n"/>
      <c r="L956" s="38" t="n"/>
      <c r="M956" s="33" t="n"/>
      <c r="N956" s="33" t="n"/>
      <c r="O956" s="32" t="n"/>
      <c r="P956" s="34">
        <f>IF(A956="","",IF(K956&lt;&gt;"",K956,D956))</f>
        <v/>
      </c>
      <c r="Q956" s="36">
        <f>IF(A956="",0,IF(C956="✗",0,IF(OR(C956="✓",AND(Setup!$D$7="Yes",P956&lt;=TODAY())),IF(L956&lt;&gt;"",L956,F956),0)))</f>
        <v/>
      </c>
      <c r="R956" s="32">
        <f>IF(A956="","",IF(M956&lt;&gt;"",M956,G956))</f>
        <v/>
      </c>
      <c r="S956" s="32">
        <f>IF(A956="","",IF(N956&lt;&gt;"",N956,H956))</f>
        <v/>
      </c>
      <c r="T956" s="32">
        <f>IF(A956="","",IF(C956="✗","Skipped",IF(Q956&gt;0,"Paid","Upcoming")))</f>
        <v/>
      </c>
      <c r="U956" s="36">
        <f>IF(A956="",0,IF(C956="✗",0,IF(L956&lt;&gt;"",L956,F956)))</f>
        <v/>
      </c>
    </row>
    <row r="957">
      <c r="A957" s="39">
        <f>IFERROR(SMALL(Calc!$B$2:$BB$61,952),"")</f>
        <v/>
      </c>
      <c r="B957" s="39">
        <f>IF(A957="","",ROUND(MOD(A957,1)*1000,0))</f>
        <v/>
      </c>
      <c r="C957" s="33" t="n"/>
      <c r="D957" s="40">
        <f>IF(A957="","",INT(A957))</f>
        <v/>
      </c>
      <c r="E957" s="41">
        <f>IF(B957="","",INDEX(Setup!$D$25:$D$84,B957))</f>
        <v/>
      </c>
      <c r="F957" s="42">
        <f>IF(B957="","",INDEX(Setup!$E$25:$E$84,B957))</f>
        <v/>
      </c>
      <c r="G957" s="39">
        <f>IF(B957="","",INDEX(Setup!$I$25:$I$84,B957)&amp;"")</f>
        <v/>
      </c>
      <c r="H957" s="39">
        <f>IF(B957="","",INDEX(Setup!$J$25:$J$84,B957)&amp;"")</f>
        <v/>
      </c>
      <c r="I957" s="39">
        <f>IF(B957="","",INDEX(Setup!$C$25:$C$84,B957))</f>
        <v/>
      </c>
      <c r="J957" s="39" t="n"/>
      <c r="K957" s="37" t="n"/>
      <c r="L957" s="38" t="n"/>
      <c r="M957" s="33" t="n"/>
      <c r="N957" s="33" t="n"/>
      <c r="O957" s="39" t="n"/>
      <c r="P957" s="40">
        <f>IF(A957="","",IF(K957&lt;&gt;"",K957,D957))</f>
        <v/>
      </c>
      <c r="Q957" s="42">
        <f>IF(A957="",0,IF(C957="✗",0,IF(OR(C957="✓",AND(Setup!$D$7="Yes",P957&lt;=TODAY())),IF(L957&lt;&gt;"",L957,F957),0)))</f>
        <v/>
      </c>
      <c r="R957" s="39">
        <f>IF(A957="","",IF(M957&lt;&gt;"",M957,G957))</f>
        <v/>
      </c>
      <c r="S957" s="39">
        <f>IF(A957="","",IF(N957&lt;&gt;"",N957,H957))</f>
        <v/>
      </c>
      <c r="T957" s="39">
        <f>IF(A957="","",IF(C957="✗","Skipped",IF(Q957&gt;0,"Paid","Upcoming")))</f>
        <v/>
      </c>
      <c r="U957" s="42">
        <f>IF(A957="",0,IF(C957="✗",0,IF(L957&lt;&gt;"",L957,F957)))</f>
        <v/>
      </c>
    </row>
    <row r="958">
      <c r="A958" s="32">
        <f>IFERROR(SMALL(Calc!$B$2:$BB$61,953),"")</f>
        <v/>
      </c>
      <c r="B958" s="32">
        <f>IF(A958="","",ROUND(MOD(A958,1)*1000,0))</f>
        <v/>
      </c>
      <c r="C958" s="33" t="n"/>
      <c r="D958" s="34">
        <f>IF(A958="","",INT(A958))</f>
        <v/>
      </c>
      <c r="E958" s="35">
        <f>IF(B958="","",INDEX(Setup!$D$25:$D$84,B958))</f>
        <v/>
      </c>
      <c r="F958" s="36">
        <f>IF(B958="","",INDEX(Setup!$E$25:$E$84,B958))</f>
        <v/>
      </c>
      <c r="G958" s="32">
        <f>IF(B958="","",INDEX(Setup!$I$25:$I$84,B958)&amp;"")</f>
        <v/>
      </c>
      <c r="H958" s="32">
        <f>IF(B958="","",INDEX(Setup!$J$25:$J$84,B958)&amp;"")</f>
        <v/>
      </c>
      <c r="I958" s="32">
        <f>IF(B958="","",INDEX(Setup!$C$25:$C$84,B958))</f>
        <v/>
      </c>
      <c r="J958" s="32" t="n"/>
      <c r="K958" s="37" t="n"/>
      <c r="L958" s="38" t="n"/>
      <c r="M958" s="33" t="n"/>
      <c r="N958" s="33" t="n"/>
      <c r="O958" s="32" t="n"/>
      <c r="P958" s="34">
        <f>IF(A958="","",IF(K958&lt;&gt;"",K958,D958))</f>
        <v/>
      </c>
      <c r="Q958" s="36">
        <f>IF(A958="",0,IF(C958="✗",0,IF(OR(C958="✓",AND(Setup!$D$7="Yes",P958&lt;=TODAY())),IF(L958&lt;&gt;"",L958,F958),0)))</f>
        <v/>
      </c>
      <c r="R958" s="32">
        <f>IF(A958="","",IF(M958&lt;&gt;"",M958,G958))</f>
        <v/>
      </c>
      <c r="S958" s="32">
        <f>IF(A958="","",IF(N958&lt;&gt;"",N958,H958))</f>
        <v/>
      </c>
      <c r="T958" s="32">
        <f>IF(A958="","",IF(C958="✗","Skipped",IF(Q958&gt;0,"Paid","Upcoming")))</f>
        <v/>
      </c>
      <c r="U958" s="36">
        <f>IF(A958="",0,IF(C958="✗",0,IF(L958&lt;&gt;"",L958,F958)))</f>
        <v/>
      </c>
    </row>
    <row r="959">
      <c r="A959" s="39">
        <f>IFERROR(SMALL(Calc!$B$2:$BB$61,954),"")</f>
        <v/>
      </c>
      <c r="B959" s="39">
        <f>IF(A959="","",ROUND(MOD(A959,1)*1000,0))</f>
        <v/>
      </c>
      <c r="C959" s="33" t="n"/>
      <c r="D959" s="40">
        <f>IF(A959="","",INT(A959))</f>
        <v/>
      </c>
      <c r="E959" s="41">
        <f>IF(B959="","",INDEX(Setup!$D$25:$D$84,B959))</f>
        <v/>
      </c>
      <c r="F959" s="42">
        <f>IF(B959="","",INDEX(Setup!$E$25:$E$84,B959))</f>
        <v/>
      </c>
      <c r="G959" s="39">
        <f>IF(B959="","",INDEX(Setup!$I$25:$I$84,B959)&amp;"")</f>
        <v/>
      </c>
      <c r="H959" s="39">
        <f>IF(B959="","",INDEX(Setup!$J$25:$J$84,B959)&amp;"")</f>
        <v/>
      </c>
      <c r="I959" s="39">
        <f>IF(B959="","",INDEX(Setup!$C$25:$C$84,B959))</f>
        <v/>
      </c>
      <c r="J959" s="39" t="n"/>
      <c r="K959" s="37" t="n"/>
      <c r="L959" s="38" t="n"/>
      <c r="M959" s="33" t="n"/>
      <c r="N959" s="33" t="n"/>
      <c r="O959" s="39" t="n"/>
      <c r="P959" s="40">
        <f>IF(A959="","",IF(K959&lt;&gt;"",K959,D959))</f>
        <v/>
      </c>
      <c r="Q959" s="42">
        <f>IF(A959="",0,IF(C959="✗",0,IF(OR(C959="✓",AND(Setup!$D$7="Yes",P959&lt;=TODAY())),IF(L959&lt;&gt;"",L959,F959),0)))</f>
        <v/>
      </c>
      <c r="R959" s="39">
        <f>IF(A959="","",IF(M959&lt;&gt;"",M959,G959))</f>
        <v/>
      </c>
      <c r="S959" s="39">
        <f>IF(A959="","",IF(N959&lt;&gt;"",N959,H959))</f>
        <v/>
      </c>
      <c r="T959" s="39">
        <f>IF(A959="","",IF(C959="✗","Skipped",IF(Q959&gt;0,"Paid","Upcoming")))</f>
        <v/>
      </c>
      <c r="U959" s="42">
        <f>IF(A959="",0,IF(C959="✗",0,IF(L959&lt;&gt;"",L959,F959)))</f>
        <v/>
      </c>
    </row>
    <row r="960">
      <c r="A960" s="32">
        <f>IFERROR(SMALL(Calc!$B$2:$BB$61,955),"")</f>
        <v/>
      </c>
      <c r="B960" s="32">
        <f>IF(A960="","",ROUND(MOD(A960,1)*1000,0))</f>
        <v/>
      </c>
      <c r="C960" s="33" t="n"/>
      <c r="D960" s="34">
        <f>IF(A960="","",INT(A960))</f>
        <v/>
      </c>
      <c r="E960" s="35">
        <f>IF(B960="","",INDEX(Setup!$D$25:$D$84,B960))</f>
        <v/>
      </c>
      <c r="F960" s="36">
        <f>IF(B960="","",INDEX(Setup!$E$25:$E$84,B960))</f>
        <v/>
      </c>
      <c r="G960" s="32">
        <f>IF(B960="","",INDEX(Setup!$I$25:$I$84,B960)&amp;"")</f>
        <v/>
      </c>
      <c r="H960" s="32">
        <f>IF(B960="","",INDEX(Setup!$J$25:$J$84,B960)&amp;"")</f>
        <v/>
      </c>
      <c r="I960" s="32">
        <f>IF(B960="","",INDEX(Setup!$C$25:$C$84,B960))</f>
        <v/>
      </c>
      <c r="J960" s="32" t="n"/>
      <c r="K960" s="37" t="n"/>
      <c r="L960" s="38" t="n"/>
      <c r="M960" s="33" t="n"/>
      <c r="N960" s="33" t="n"/>
      <c r="O960" s="32" t="n"/>
      <c r="P960" s="34">
        <f>IF(A960="","",IF(K960&lt;&gt;"",K960,D960))</f>
        <v/>
      </c>
      <c r="Q960" s="36">
        <f>IF(A960="",0,IF(C960="✗",0,IF(OR(C960="✓",AND(Setup!$D$7="Yes",P960&lt;=TODAY())),IF(L960&lt;&gt;"",L960,F960),0)))</f>
        <v/>
      </c>
      <c r="R960" s="32">
        <f>IF(A960="","",IF(M960&lt;&gt;"",M960,G960))</f>
        <v/>
      </c>
      <c r="S960" s="32">
        <f>IF(A960="","",IF(N960&lt;&gt;"",N960,H960))</f>
        <v/>
      </c>
      <c r="T960" s="32">
        <f>IF(A960="","",IF(C960="✗","Skipped",IF(Q960&gt;0,"Paid","Upcoming")))</f>
        <v/>
      </c>
      <c r="U960" s="36">
        <f>IF(A960="",0,IF(C960="✗",0,IF(L960&lt;&gt;"",L960,F960)))</f>
        <v/>
      </c>
    </row>
    <row r="961">
      <c r="A961" s="39">
        <f>IFERROR(SMALL(Calc!$B$2:$BB$61,956),"")</f>
        <v/>
      </c>
      <c r="B961" s="39">
        <f>IF(A961="","",ROUND(MOD(A961,1)*1000,0))</f>
        <v/>
      </c>
      <c r="C961" s="33" t="n"/>
      <c r="D961" s="40">
        <f>IF(A961="","",INT(A961))</f>
        <v/>
      </c>
      <c r="E961" s="41">
        <f>IF(B961="","",INDEX(Setup!$D$25:$D$84,B961))</f>
        <v/>
      </c>
      <c r="F961" s="42">
        <f>IF(B961="","",INDEX(Setup!$E$25:$E$84,B961))</f>
        <v/>
      </c>
      <c r="G961" s="39">
        <f>IF(B961="","",INDEX(Setup!$I$25:$I$84,B961)&amp;"")</f>
        <v/>
      </c>
      <c r="H961" s="39">
        <f>IF(B961="","",INDEX(Setup!$J$25:$J$84,B961)&amp;"")</f>
        <v/>
      </c>
      <c r="I961" s="39">
        <f>IF(B961="","",INDEX(Setup!$C$25:$C$84,B961))</f>
        <v/>
      </c>
      <c r="J961" s="39" t="n"/>
      <c r="K961" s="37" t="n"/>
      <c r="L961" s="38" t="n"/>
      <c r="M961" s="33" t="n"/>
      <c r="N961" s="33" t="n"/>
      <c r="O961" s="39" t="n"/>
      <c r="P961" s="40">
        <f>IF(A961="","",IF(K961&lt;&gt;"",K961,D961))</f>
        <v/>
      </c>
      <c r="Q961" s="42">
        <f>IF(A961="",0,IF(C961="✗",0,IF(OR(C961="✓",AND(Setup!$D$7="Yes",P961&lt;=TODAY())),IF(L961&lt;&gt;"",L961,F961),0)))</f>
        <v/>
      </c>
      <c r="R961" s="39">
        <f>IF(A961="","",IF(M961&lt;&gt;"",M961,G961))</f>
        <v/>
      </c>
      <c r="S961" s="39">
        <f>IF(A961="","",IF(N961&lt;&gt;"",N961,H961))</f>
        <v/>
      </c>
      <c r="T961" s="39">
        <f>IF(A961="","",IF(C961="✗","Skipped",IF(Q961&gt;0,"Paid","Upcoming")))</f>
        <v/>
      </c>
      <c r="U961" s="42">
        <f>IF(A961="",0,IF(C961="✗",0,IF(L961&lt;&gt;"",L961,F961)))</f>
        <v/>
      </c>
    </row>
    <row r="962">
      <c r="A962" s="32">
        <f>IFERROR(SMALL(Calc!$B$2:$BB$61,957),"")</f>
        <v/>
      </c>
      <c r="B962" s="32">
        <f>IF(A962="","",ROUND(MOD(A962,1)*1000,0))</f>
        <v/>
      </c>
      <c r="C962" s="33" t="n"/>
      <c r="D962" s="34">
        <f>IF(A962="","",INT(A962))</f>
        <v/>
      </c>
      <c r="E962" s="35">
        <f>IF(B962="","",INDEX(Setup!$D$25:$D$84,B962))</f>
        <v/>
      </c>
      <c r="F962" s="36">
        <f>IF(B962="","",INDEX(Setup!$E$25:$E$84,B962))</f>
        <v/>
      </c>
      <c r="G962" s="32">
        <f>IF(B962="","",INDEX(Setup!$I$25:$I$84,B962)&amp;"")</f>
        <v/>
      </c>
      <c r="H962" s="32">
        <f>IF(B962="","",INDEX(Setup!$J$25:$J$84,B962)&amp;"")</f>
        <v/>
      </c>
      <c r="I962" s="32">
        <f>IF(B962="","",INDEX(Setup!$C$25:$C$84,B962))</f>
        <v/>
      </c>
      <c r="J962" s="32" t="n"/>
      <c r="K962" s="37" t="n"/>
      <c r="L962" s="38" t="n"/>
      <c r="M962" s="33" t="n"/>
      <c r="N962" s="33" t="n"/>
      <c r="O962" s="32" t="n"/>
      <c r="P962" s="34">
        <f>IF(A962="","",IF(K962&lt;&gt;"",K962,D962))</f>
        <v/>
      </c>
      <c r="Q962" s="36">
        <f>IF(A962="",0,IF(C962="✗",0,IF(OR(C962="✓",AND(Setup!$D$7="Yes",P962&lt;=TODAY())),IF(L962&lt;&gt;"",L962,F962),0)))</f>
        <v/>
      </c>
      <c r="R962" s="32">
        <f>IF(A962="","",IF(M962&lt;&gt;"",M962,G962))</f>
        <v/>
      </c>
      <c r="S962" s="32">
        <f>IF(A962="","",IF(N962&lt;&gt;"",N962,H962))</f>
        <v/>
      </c>
      <c r="T962" s="32">
        <f>IF(A962="","",IF(C962="✗","Skipped",IF(Q962&gt;0,"Paid","Upcoming")))</f>
        <v/>
      </c>
      <c r="U962" s="36">
        <f>IF(A962="",0,IF(C962="✗",0,IF(L962&lt;&gt;"",L962,F962)))</f>
        <v/>
      </c>
    </row>
    <row r="963">
      <c r="A963" s="39">
        <f>IFERROR(SMALL(Calc!$B$2:$BB$61,958),"")</f>
        <v/>
      </c>
      <c r="B963" s="39">
        <f>IF(A963="","",ROUND(MOD(A963,1)*1000,0))</f>
        <v/>
      </c>
      <c r="C963" s="33" t="n"/>
      <c r="D963" s="40">
        <f>IF(A963="","",INT(A963))</f>
        <v/>
      </c>
      <c r="E963" s="41">
        <f>IF(B963="","",INDEX(Setup!$D$25:$D$84,B963))</f>
        <v/>
      </c>
      <c r="F963" s="42">
        <f>IF(B963="","",INDEX(Setup!$E$25:$E$84,B963))</f>
        <v/>
      </c>
      <c r="G963" s="39">
        <f>IF(B963="","",INDEX(Setup!$I$25:$I$84,B963)&amp;"")</f>
        <v/>
      </c>
      <c r="H963" s="39">
        <f>IF(B963="","",INDEX(Setup!$J$25:$J$84,B963)&amp;"")</f>
        <v/>
      </c>
      <c r="I963" s="39">
        <f>IF(B963="","",INDEX(Setup!$C$25:$C$84,B963))</f>
        <v/>
      </c>
      <c r="J963" s="39" t="n"/>
      <c r="K963" s="37" t="n"/>
      <c r="L963" s="38" t="n"/>
      <c r="M963" s="33" t="n"/>
      <c r="N963" s="33" t="n"/>
      <c r="O963" s="39" t="n"/>
      <c r="P963" s="40">
        <f>IF(A963="","",IF(K963&lt;&gt;"",K963,D963))</f>
        <v/>
      </c>
      <c r="Q963" s="42">
        <f>IF(A963="",0,IF(C963="✗",0,IF(OR(C963="✓",AND(Setup!$D$7="Yes",P963&lt;=TODAY())),IF(L963&lt;&gt;"",L963,F963),0)))</f>
        <v/>
      </c>
      <c r="R963" s="39">
        <f>IF(A963="","",IF(M963&lt;&gt;"",M963,G963))</f>
        <v/>
      </c>
      <c r="S963" s="39">
        <f>IF(A963="","",IF(N963&lt;&gt;"",N963,H963))</f>
        <v/>
      </c>
      <c r="T963" s="39">
        <f>IF(A963="","",IF(C963="✗","Skipped",IF(Q963&gt;0,"Paid","Upcoming")))</f>
        <v/>
      </c>
      <c r="U963" s="42">
        <f>IF(A963="",0,IF(C963="✗",0,IF(L963&lt;&gt;"",L963,F963)))</f>
        <v/>
      </c>
    </row>
    <row r="964">
      <c r="A964" s="32">
        <f>IFERROR(SMALL(Calc!$B$2:$BB$61,959),"")</f>
        <v/>
      </c>
      <c r="B964" s="32">
        <f>IF(A964="","",ROUND(MOD(A964,1)*1000,0))</f>
        <v/>
      </c>
      <c r="C964" s="33" t="n"/>
      <c r="D964" s="34">
        <f>IF(A964="","",INT(A964))</f>
        <v/>
      </c>
      <c r="E964" s="35">
        <f>IF(B964="","",INDEX(Setup!$D$25:$D$84,B964))</f>
        <v/>
      </c>
      <c r="F964" s="36">
        <f>IF(B964="","",INDEX(Setup!$E$25:$E$84,B964))</f>
        <v/>
      </c>
      <c r="G964" s="32">
        <f>IF(B964="","",INDEX(Setup!$I$25:$I$84,B964)&amp;"")</f>
        <v/>
      </c>
      <c r="H964" s="32">
        <f>IF(B964="","",INDEX(Setup!$J$25:$J$84,B964)&amp;"")</f>
        <v/>
      </c>
      <c r="I964" s="32">
        <f>IF(B964="","",INDEX(Setup!$C$25:$C$84,B964))</f>
        <v/>
      </c>
      <c r="J964" s="32" t="n"/>
      <c r="K964" s="37" t="n"/>
      <c r="L964" s="38" t="n"/>
      <c r="M964" s="33" t="n"/>
      <c r="N964" s="33" t="n"/>
      <c r="O964" s="32" t="n"/>
      <c r="P964" s="34">
        <f>IF(A964="","",IF(K964&lt;&gt;"",K964,D964))</f>
        <v/>
      </c>
      <c r="Q964" s="36">
        <f>IF(A964="",0,IF(C964="✗",0,IF(OR(C964="✓",AND(Setup!$D$7="Yes",P964&lt;=TODAY())),IF(L964&lt;&gt;"",L964,F964),0)))</f>
        <v/>
      </c>
      <c r="R964" s="32">
        <f>IF(A964="","",IF(M964&lt;&gt;"",M964,G964))</f>
        <v/>
      </c>
      <c r="S964" s="32">
        <f>IF(A964="","",IF(N964&lt;&gt;"",N964,H964))</f>
        <v/>
      </c>
      <c r="T964" s="32">
        <f>IF(A964="","",IF(C964="✗","Skipped",IF(Q964&gt;0,"Paid","Upcoming")))</f>
        <v/>
      </c>
      <c r="U964" s="36">
        <f>IF(A964="",0,IF(C964="✗",0,IF(L964&lt;&gt;"",L964,F964)))</f>
        <v/>
      </c>
    </row>
    <row r="965">
      <c r="A965" s="39">
        <f>IFERROR(SMALL(Calc!$B$2:$BB$61,960),"")</f>
        <v/>
      </c>
      <c r="B965" s="39">
        <f>IF(A965="","",ROUND(MOD(A965,1)*1000,0))</f>
        <v/>
      </c>
      <c r="C965" s="33" t="n"/>
      <c r="D965" s="40">
        <f>IF(A965="","",INT(A965))</f>
        <v/>
      </c>
      <c r="E965" s="41">
        <f>IF(B965="","",INDEX(Setup!$D$25:$D$84,B965))</f>
        <v/>
      </c>
      <c r="F965" s="42">
        <f>IF(B965="","",INDEX(Setup!$E$25:$E$84,B965))</f>
        <v/>
      </c>
      <c r="G965" s="39">
        <f>IF(B965="","",INDEX(Setup!$I$25:$I$84,B965)&amp;"")</f>
        <v/>
      </c>
      <c r="H965" s="39">
        <f>IF(B965="","",INDEX(Setup!$J$25:$J$84,B965)&amp;"")</f>
        <v/>
      </c>
      <c r="I965" s="39">
        <f>IF(B965="","",INDEX(Setup!$C$25:$C$84,B965))</f>
        <v/>
      </c>
      <c r="J965" s="39" t="n"/>
      <c r="K965" s="37" t="n"/>
      <c r="L965" s="38" t="n"/>
      <c r="M965" s="33" t="n"/>
      <c r="N965" s="33" t="n"/>
      <c r="O965" s="39" t="n"/>
      <c r="P965" s="40">
        <f>IF(A965="","",IF(K965&lt;&gt;"",K965,D965))</f>
        <v/>
      </c>
      <c r="Q965" s="42">
        <f>IF(A965="",0,IF(C965="✗",0,IF(OR(C965="✓",AND(Setup!$D$7="Yes",P965&lt;=TODAY())),IF(L965&lt;&gt;"",L965,F965),0)))</f>
        <v/>
      </c>
      <c r="R965" s="39">
        <f>IF(A965="","",IF(M965&lt;&gt;"",M965,G965))</f>
        <v/>
      </c>
      <c r="S965" s="39">
        <f>IF(A965="","",IF(N965&lt;&gt;"",N965,H965))</f>
        <v/>
      </c>
      <c r="T965" s="39">
        <f>IF(A965="","",IF(C965="✗","Skipped",IF(Q965&gt;0,"Paid","Upcoming")))</f>
        <v/>
      </c>
      <c r="U965" s="42">
        <f>IF(A965="",0,IF(C965="✗",0,IF(L965&lt;&gt;"",L965,F965)))</f>
        <v/>
      </c>
    </row>
    <row r="966">
      <c r="A966" s="32">
        <f>IFERROR(SMALL(Calc!$B$2:$BB$61,961),"")</f>
        <v/>
      </c>
      <c r="B966" s="32">
        <f>IF(A966="","",ROUND(MOD(A966,1)*1000,0))</f>
        <v/>
      </c>
      <c r="C966" s="33" t="n"/>
      <c r="D966" s="34">
        <f>IF(A966="","",INT(A966))</f>
        <v/>
      </c>
      <c r="E966" s="35">
        <f>IF(B966="","",INDEX(Setup!$D$25:$D$84,B966))</f>
        <v/>
      </c>
      <c r="F966" s="36">
        <f>IF(B966="","",INDEX(Setup!$E$25:$E$84,B966))</f>
        <v/>
      </c>
      <c r="G966" s="32">
        <f>IF(B966="","",INDEX(Setup!$I$25:$I$84,B966)&amp;"")</f>
        <v/>
      </c>
      <c r="H966" s="32">
        <f>IF(B966="","",INDEX(Setup!$J$25:$J$84,B966)&amp;"")</f>
        <v/>
      </c>
      <c r="I966" s="32">
        <f>IF(B966="","",INDEX(Setup!$C$25:$C$84,B966))</f>
        <v/>
      </c>
      <c r="J966" s="32" t="n"/>
      <c r="K966" s="37" t="n"/>
      <c r="L966" s="38" t="n"/>
      <c r="M966" s="33" t="n"/>
      <c r="N966" s="33" t="n"/>
      <c r="O966" s="32" t="n"/>
      <c r="P966" s="34">
        <f>IF(A966="","",IF(K966&lt;&gt;"",K966,D966))</f>
        <v/>
      </c>
      <c r="Q966" s="36">
        <f>IF(A966="",0,IF(C966="✗",0,IF(OR(C966="✓",AND(Setup!$D$7="Yes",P966&lt;=TODAY())),IF(L966&lt;&gt;"",L966,F966),0)))</f>
        <v/>
      </c>
      <c r="R966" s="32">
        <f>IF(A966="","",IF(M966&lt;&gt;"",M966,G966))</f>
        <v/>
      </c>
      <c r="S966" s="32">
        <f>IF(A966="","",IF(N966&lt;&gt;"",N966,H966))</f>
        <v/>
      </c>
      <c r="T966" s="32">
        <f>IF(A966="","",IF(C966="✗","Skipped",IF(Q966&gt;0,"Paid","Upcoming")))</f>
        <v/>
      </c>
      <c r="U966" s="36">
        <f>IF(A966="",0,IF(C966="✗",0,IF(L966&lt;&gt;"",L966,F966)))</f>
        <v/>
      </c>
    </row>
    <row r="967">
      <c r="A967" s="39">
        <f>IFERROR(SMALL(Calc!$B$2:$BB$61,962),"")</f>
        <v/>
      </c>
      <c r="B967" s="39">
        <f>IF(A967="","",ROUND(MOD(A967,1)*1000,0))</f>
        <v/>
      </c>
      <c r="C967" s="33" t="n"/>
      <c r="D967" s="40">
        <f>IF(A967="","",INT(A967))</f>
        <v/>
      </c>
      <c r="E967" s="41">
        <f>IF(B967="","",INDEX(Setup!$D$25:$D$84,B967))</f>
        <v/>
      </c>
      <c r="F967" s="42">
        <f>IF(B967="","",INDEX(Setup!$E$25:$E$84,B967))</f>
        <v/>
      </c>
      <c r="G967" s="39">
        <f>IF(B967="","",INDEX(Setup!$I$25:$I$84,B967)&amp;"")</f>
        <v/>
      </c>
      <c r="H967" s="39">
        <f>IF(B967="","",INDEX(Setup!$J$25:$J$84,B967)&amp;"")</f>
        <v/>
      </c>
      <c r="I967" s="39">
        <f>IF(B967="","",INDEX(Setup!$C$25:$C$84,B967))</f>
        <v/>
      </c>
      <c r="J967" s="39" t="n"/>
      <c r="K967" s="37" t="n"/>
      <c r="L967" s="38" t="n"/>
      <c r="M967" s="33" t="n"/>
      <c r="N967" s="33" t="n"/>
      <c r="O967" s="39" t="n"/>
      <c r="P967" s="40">
        <f>IF(A967="","",IF(K967&lt;&gt;"",K967,D967))</f>
        <v/>
      </c>
      <c r="Q967" s="42">
        <f>IF(A967="",0,IF(C967="✗",0,IF(OR(C967="✓",AND(Setup!$D$7="Yes",P967&lt;=TODAY())),IF(L967&lt;&gt;"",L967,F967),0)))</f>
        <v/>
      </c>
      <c r="R967" s="39">
        <f>IF(A967="","",IF(M967&lt;&gt;"",M967,G967))</f>
        <v/>
      </c>
      <c r="S967" s="39">
        <f>IF(A967="","",IF(N967&lt;&gt;"",N967,H967))</f>
        <v/>
      </c>
      <c r="T967" s="39">
        <f>IF(A967="","",IF(C967="✗","Skipped",IF(Q967&gt;0,"Paid","Upcoming")))</f>
        <v/>
      </c>
      <c r="U967" s="42">
        <f>IF(A967="",0,IF(C967="✗",0,IF(L967&lt;&gt;"",L967,F967)))</f>
        <v/>
      </c>
    </row>
    <row r="968">
      <c r="A968" s="32">
        <f>IFERROR(SMALL(Calc!$B$2:$BB$61,963),"")</f>
        <v/>
      </c>
      <c r="B968" s="32">
        <f>IF(A968="","",ROUND(MOD(A968,1)*1000,0))</f>
        <v/>
      </c>
      <c r="C968" s="33" t="n"/>
      <c r="D968" s="34">
        <f>IF(A968="","",INT(A968))</f>
        <v/>
      </c>
      <c r="E968" s="35">
        <f>IF(B968="","",INDEX(Setup!$D$25:$D$84,B968))</f>
        <v/>
      </c>
      <c r="F968" s="36">
        <f>IF(B968="","",INDEX(Setup!$E$25:$E$84,B968))</f>
        <v/>
      </c>
      <c r="G968" s="32">
        <f>IF(B968="","",INDEX(Setup!$I$25:$I$84,B968)&amp;"")</f>
        <v/>
      </c>
      <c r="H968" s="32">
        <f>IF(B968="","",INDEX(Setup!$J$25:$J$84,B968)&amp;"")</f>
        <v/>
      </c>
      <c r="I968" s="32">
        <f>IF(B968="","",INDEX(Setup!$C$25:$C$84,B968))</f>
        <v/>
      </c>
      <c r="J968" s="32" t="n"/>
      <c r="K968" s="37" t="n"/>
      <c r="L968" s="38" t="n"/>
      <c r="M968" s="33" t="n"/>
      <c r="N968" s="33" t="n"/>
      <c r="O968" s="32" t="n"/>
      <c r="P968" s="34">
        <f>IF(A968="","",IF(K968&lt;&gt;"",K968,D968))</f>
        <v/>
      </c>
      <c r="Q968" s="36">
        <f>IF(A968="",0,IF(C968="✗",0,IF(OR(C968="✓",AND(Setup!$D$7="Yes",P968&lt;=TODAY())),IF(L968&lt;&gt;"",L968,F968),0)))</f>
        <v/>
      </c>
      <c r="R968" s="32">
        <f>IF(A968="","",IF(M968&lt;&gt;"",M968,G968))</f>
        <v/>
      </c>
      <c r="S968" s="32">
        <f>IF(A968="","",IF(N968&lt;&gt;"",N968,H968))</f>
        <v/>
      </c>
      <c r="T968" s="32">
        <f>IF(A968="","",IF(C968="✗","Skipped",IF(Q968&gt;0,"Paid","Upcoming")))</f>
        <v/>
      </c>
      <c r="U968" s="36">
        <f>IF(A968="",0,IF(C968="✗",0,IF(L968&lt;&gt;"",L968,F968)))</f>
        <v/>
      </c>
    </row>
    <row r="969">
      <c r="A969" s="39">
        <f>IFERROR(SMALL(Calc!$B$2:$BB$61,964),"")</f>
        <v/>
      </c>
      <c r="B969" s="39">
        <f>IF(A969="","",ROUND(MOD(A969,1)*1000,0))</f>
        <v/>
      </c>
      <c r="C969" s="33" t="n"/>
      <c r="D969" s="40">
        <f>IF(A969="","",INT(A969))</f>
        <v/>
      </c>
      <c r="E969" s="41">
        <f>IF(B969="","",INDEX(Setup!$D$25:$D$84,B969))</f>
        <v/>
      </c>
      <c r="F969" s="42">
        <f>IF(B969="","",INDEX(Setup!$E$25:$E$84,B969))</f>
        <v/>
      </c>
      <c r="G969" s="39">
        <f>IF(B969="","",INDEX(Setup!$I$25:$I$84,B969)&amp;"")</f>
        <v/>
      </c>
      <c r="H969" s="39">
        <f>IF(B969="","",INDEX(Setup!$J$25:$J$84,B969)&amp;"")</f>
        <v/>
      </c>
      <c r="I969" s="39">
        <f>IF(B969="","",INDEX(Setup!$C$25:$C$84,B969))</f>
        <v/>
      </c>
      <c r="J969" s="39" t="n"/>
      <c r="K969" s="37" t="n"/>
      <c r="L969" s="38" t="n"/>
      <c r="M969" s="33" t="n"/>
      <c r="N969" s="33" t="n"/>
      <c r="O969" s="39" t="n"/>
      <c r="P969" s="40">
        <f>IF(A969="","",IF(K969&lt;&gt;"",K969,D969))</f>
        <v/>
      </c>
      <c r="Q969" s="42">
        <f>IF(A969="",0,IF(C969="✗",0,IF(OR(C969="✓",AND(Setup!$D$7="Yes",P969&lt;=TODAY())),IF(L969&lt;&gt;"",L969,F969),0)))</f>
        <v/>
      </c>
      <c r="R969" s="39">
        <f>IF(A969="","",IF(M969&lt;&gt;"",M969,G969))</f>
        <v/>
      </c>
      <c r="S969" s="39">
        <f>IF(A969="","",IF(N969&lt;&gt;"",N969,H969))</f>
        <v/>
      </c>
      <c r="T969" s="39">
        <f>IF(A969="","",IF(C969="✗","Skipped",IF(Q969&gt;0,"Paid","Upcoming")))</f>
        <v/>
      </c>
      <c r="U969" s="42">
        <f>IF(A969="",0,IF(C969="✗",0,IF(L969&lt;&gt;"",L969,F969)))</f>
        <v/>
      </c>
    </row>
    <row r="970">
      <c r="A970" s="32">
        <f>IFERROR(SMALL(Calc!$B$2:$BB$61,965),"")</f>
        <v/>
      </c>
      <c r="B970" s="32">
        <f>IF(A970="","",ROUND(MOD(A970,1)*1000,0))</f>
        <v/>
      </c>
      <c r="C970" s="33" t="n"/>
      <c r="D970" s="34">
        <f>IF(A970="","",INT(A970))</f>
        <v/>
      </c>
      <c r="E970" s="35">
        <f>IF(B970="","",INDEX(Setup!$D$25:$D$84,B970))</f>
        <v/>
      </c>
      <c r="F970" s="36">
        <f>IF(B970="","",INDEX(Setup!$E$25:$E$84,B970))</f>
        <v/>
      </c>
      <c r="G970" s="32">
        <f>IF(B970="","",INDEX(Setup!$I$25:$I$84,B970)&amp;"")</f>
        <v/>
      </c>
      <c r="H970" s="32">
        <f>IF(B970="","",INDEX(Setup!$J$25:$J$84,B970)&amp;"")</f>
        <v/>
      </c>
      <c r="I970" s="32">
        <f>IF(B970="","",INDEX(Setup!$C$25:$C$84,B970))</f>
        <v/>
      </c>
      <c r="J970" s="32" t="n"/>
      <c r="K970" s="37" t="n"/>
      <c r="L970" s="38" t="n"/>
      <c r="M970" s="33" t="n"/>
      <c r="N970" s="33" t="n"/>
      <c r="O970" s="32" t="n"/>
      <c r="P970" s="34">
        <f>IF(A970="","",IF(K970&lt;&gt;"",K970,D970))</f>
        <v/>
      </c>
      <c r="Q970" s="36">
        <f>IF(A970="",0,IF(C970="✗",0,IF(OR(C970="✓",AND(Setup!$D$7="Yes",P970&lt;=TODAY())),IF(L970&lt;&gt;"",L970,F970),0)))</f>
        <v/>
      </c>
      <c r="R970" s="32">
        <f>IF(A970="","",IF(M970&lt;&gt;"",M970,G970))</f>
        <v/>
      </c>
      <c r="S970" s="32">
        <f>IF(A970="","",IF(N970&lt;&gt;"",N970,H970))</f>
        <v/>
      </c>
      <c r="T970" s="32">
        <f>IF(A970="","",IF(C970="✗","Skipped",IF(Q970&gt;0,"Paid","Upcoming")))</f>
        <v/>
      </c>
      <c r="U970" s="36">
        <f>IF(A970="",0,IF(C970="✗",0,IF(L970&lt;&gt;"",L970,F970)))</f>
        <v/>
      </c>
    </row>
    <row r="971">
      <c r="A971" s="39">
        <f>IFERROR(SMALL(Calc!$B$2:$BB$61,966),"")</f>
        <v/>
      </c>
      <c r="B971" s="39">
        <f>IF(A971="","",ROUND(MOD(A971,1)*1000,0))</f>
        <v/>
      </c>
      <c r="C971" s="33" t="n"/>
      <c r="D971" s="40">
        <f>IF(A971="","",INT(A971))</f>
        <v/>
      </c>
      <c r="E971" s="41">
        <f>IF(B971="","",INDEX(Setup!$D$25:$D$84,B971))</f>
        <v/>
      </c>
      <c r="F971" s="42">
        <f>IF(B971="","",INDEX(Setup!$E$25:$E$84,B971))</f>
        <v/>
      </c>
      <c r="G971" s="39">
        <f>IF(B971="","",INDEX(Setup!$I$25:$I$84,B971)&amp;"")</f>
        <v/>
      </c>
      <c r="H971" s="39">
        <f>IF(B971="","",INDEX(Setup!$J$25:$J$84,B971)&amp;"")</f>
        <v/>
      </c>
      <c r="I971" s="39">
        <f>IF(B971="","",INDEX(Setup!$C$25:$C$84,B971))</f>
        <v/>
      </c>
      <c r="J971" s="39" t="n"/>
      <c r="K971" s="37" t="n"/>
      <c r="L971" s="38" t="n"/>
      <c r="M971" s="33" t="n"/>
      <c r="N971" s="33" t="n"/>
      <c r="O971" s="39" t="n"/>
      <c r="P971" s="40">
        <f>IF(A971="","",IF(K971&lt;&gt;"",K971,D971))</f>
        <v/>
      </c>
      <c r="Q971" s="42">
        <f>IF(A971="",0,IF(C971="✗",0,IF(OR(C971="✓",AND(Setup!$D$7="Yes",P971&lt;=TODAY())),IF(L971&lt;&gt;"",L971,F971),0)))</f>
        <v/>
      </c>
      <c r="R971" s="39">
        <f>IF(A971="","",IF(M971&lt;&gt;"",M971,G971))</f>
        <v/>
      </c>
      <c r="S971" s="39">
        <f>IF(A971="","",IF(N971&lt;&gt;"",N971,H971))</f>
        <v/>
      </c>
      <c r="T971" s="39">
        <f>IF(A971="","",IF(C971="✗","Skipped",IF(Q971&gt;0,"Paid","Upcoming")))</f>
        <v/>
      </c>
      <c r="U971" s="42">
        <f>IF(A971="",0,IF(C971="✗",0,IF(L971&lt;&gt;"",L971,F971)))</f>
        <v/>
      </c>
    </row>
    <row r="972">
      <c r="A972" s="32">
        <f>IFERROR(SMALL(Calc!$B$2:$BB$61,967),"")</f>
        <v/>
      </c>
      <c r="B972" s="32">
        <f>IF(A972="","",ROUND(MOD(A972,1)*1000,0))</f>
        <v/>
      </c>
      <c r="C972" s="33" t="n"/>
      <c r="D972" s="34">
        <f>IF(A972="","",INT(A972))</f>
        <v/>
      </c>
      <c r="E972" s="35">
        <f>IF(B972="","",INDEX(Setup!$D$25:$D$84,B972))</f>
        <v/>
      </c>
      <c r="F972" s="36">
        <f>IF(B972="","",INDEX(Setup!$E$25:$E$84,B972))</f>
        <v/>
      </c>
      <c r="G972" s="32">
        <f>IF(B972="","",INDEX(Setup!$I$25:$I$84,B972)&amp;"")</f>
        <v/>
      </c>
      <c r="H972" s="32">
        <f>IF(B972="","",INDEX(Setup!$J$25:$J$84,B972)&amp;"")</f>
        <v/>
      </c>
      <c r="I972" s="32">
        <f>IF(B972="","",INDEX(Setup!$C$25:$C$84,B972))</f>
        <v/>
      </c>
      <c r="J972" s="32" t="n"/>
      <c r="K972" s="37" t="n"/>
      <c r="L972" s="38" t="n"/>
      <c r="M972" s="33" t="n"/>
      <c r="N972" s="33" t="n"/>
      <c r="O972" s="32" t="n"/>
      <c r="P972" s="34">
        <f>IF(A972="","",IF(K972&lt;&gt;"",K972,D972))</f>
        <v/>
      </c>
      <c r="Q972" s="36">
        <f>IF(A972="",0,IF(C972="✗",0,IF(OR(C972="✓",AND(Setup!$D$7="Yes",P972&lt;=TODAY())),IF(L972&lt;&gt;"",L972,F972),0)))</f>
        <v/>
      </c>
      <c r="R972" s="32">
        <f>IF(A972="","",IF(M972&lt;&gt;"",M972,G972))</f>
        <v/>
      </c>
      <c r="S972" s="32">
        <f>IF(A972="","",IF(N972&lt;&gt;"",N972,H972))</f>
        <v/>
      </c>
      <c r="T972" s="32">
        <f>IF(A972="","",IF(C972="✗","Skipped",IF(Q972&gt;0,"Paid","Upcoming")))</f>
        <v/>
      </c>
      <c r="U972" s="36">
        <f>IF(A972="",0,IF(C972="✗",0,IF(L972&lt;&gt;"",L972,F972)))</f>
        <v/>
      </c>
    </row>
    <row r="973">
      <c r="A973" s="39">
        <f>IFERROR(SMALL(Calc!$B$2:$BB$61,968),"")</f>
        <v/>
      </c>
      <c r="B973" s="39">
        <f>IF(A973="","",ROUND(MOD(A973,1)*1000,0))</f>
        <v/>
      </c>
      <c r="C973" s="33" t="n"/>
      <c r="D973" s="40">
        <f>IF(A973="","",INT(A973))</f>
        <v/>
      </c>
      <c r="E973" s="41">
        <f>IF(B973="","",INDEX(Setup!$D$25:$D$84,B973))</f>
        <v/>
      </c>
      <c r="F973" s="42">
        <f>IF(B973="","",INDEX(Setup!$E$25:$E$84,B973))</f>
        <v/>
      </c>
      <c r="G973" s="39">
        <f>IF(B973="","",INDEX(Setup!$I$25:$I$84,B973)&amp;"")</f>
        <v/>
      </c>
      <c r="H973" s="39">
        <f>IF(B973="","",INDEX(Setup!$J$25:$J$84,B973)&amp;"")</f>
        <v/>
      </c>
      <c r="I973" s="39">
        <f>IF(B973="","",INDEX(Setup!$C$25:$C$84,B973))</f>
        <v/>
      </c>
      <c r="J973" s="39" t="n"/>
      <c r="K973" s="37" t="n"/>
      <c r="L973" s="38" t="n"/>
      <c r="M973" s="33" t="n"/>
      <c r="N973" s="33" t="n"/>
      <c r="O973" s="39" t="n"/>
      <c r="P973" s="40">
        <f>IF(A973="","",IF(K973&lt;&gt;"",K973,D973))</f>
        <v/>
      </c>
      <c r="Q973" s="42">
        <f>IF(A973="",0,IF(C973="✗",0,IF(OR(C973="✓",AND(Setup!$D$7="Yes",P973&lt;=TODAY())),IF(L973&lt;&gt;"",L973,F973),0)))</f>
        <v/>
      </c>
      <c r="R973" s="39">
        <f>IF(A973="","",IF(M973&lt;&gt;"",M973,G973))</f>
        <v/>
      </c>
      <c r="S973" s="39">
        <f>IF(A973="","",IF(N973&lt;&gt;"",N973,H973))</f>
        <v/>
      </c>
      <c r="T973" s="39">
        <f>IF(A973="","",IF(C973="✗","Skipped",IF(Q973&gt;0,"Paid","Upcoming")))</f>
        <v/>
      </c>
      <c r="U973" s="42">
        <f>IF(A973="",0,IF(C973="✗",0,IF(L973&lt;&gt;"",L973,F973)))</f>
        <v/>
      </c>
    </row>
    <row r="974">
      <c r="A974" s="32">
        <f>IFERROR(SMALL(Calc!$B$2:$BB$61,969),"")</f>
        <v/>
      </c>
      <c r="B974" s="32">
        <f>IF(A974="","",ROUND(MOD(A974,1)*1000,0))</f>
        <v/>
      </c>
      <c r="C974" s="33" t="n"/>
      <c r="D974" s="34">
        <f>IF(A974="","",INT(A974))</f>
        <v/>
      </c>
      <c r="E974" s="35">
        <f>IF(B974="","",INDEX(Setup!$D$25:$D$84,B974))</f>
        <v/>
      </c>
      <c r="F974" s="36">
        <f>IF(B974="","",INDEX(Setup!$E$25:$E$84,B974))</f>
        <v/>
      </c>
      <c r="G974" s="32">
        <f>IF(B974="","",INDEX(Setup!$I$25:$I$84,B974)&amp;"")</f>
        <v/>
      </c>
      <c r="H974" s="32">
        <f>IF(B974="","",INDEX(Setup!$J$25:$J$84,B974)&amp;"")</f>
        <v/>
      </c>
      <c r="I974" s="32">
        <f>IF(B974="","",INDEX(Setup!$C$25:$C$84,B974))</f>
        <v/>
      </c>
      <c r="J974" s="32" t="n"/>
      <c r="K974" s="37" t="n"/>
      <c r="L974" s="38" t="n"/>
      <c r="M974" s="33" t="n"/>
      <c r="N974" s="33" t="n"/>
      <c r="O974" s="32" t="n"/>
      <c r="P974" s="34">
        <f>IF(A974="","",IF(K974&lt;&gt;"",K974,D974))</f>
        <v/>
      </c>
      <c r="Q974" s="36">
        <f>IF(A974="",0,IF(C974="✗",0,IF(OR(C974="✓",AND(Setup!$D$7="Yes",P974&lt;=TODAY())),IF(L974&lt;&gt;"",L974,F974),0)))</f>
        <v/>
      </c>
      <c r="R974" s="32">
        <f>IF(A974="","",IF(M974&lt;&gt;"",M974,G974))</f>
        <v/>
      </c>
      <c r="S974" s="32">
        <f>IF(A974="","",IF(N974&lt;&gt;"",N974,H974))</f>
        <v/>
      </c>
      <c r="T974" s="32">
        <f>IF(A974="","",IF(C974="✗","Skipped",IF(Q974&gt;0,"Paid","Upcoming")))</f>
        <v/>
      </c>
      <c r="U974" s="36">
        <f>IF(A974="",0,IF(C974="✗",0,IF(L974&lt;&gt;"",L974,F974)))</f>
        <v/>
      </c>
    </row>
    <row r="975">
      <c r="A975" s="39">
        <f>IFERROR(SMALL(Calc!$B$2:$BB$61,970),"")</f>
        <v/>
      </c>
      <c r="B975" s="39">
        <f>IF(A975="","",ROUND(MOD(A975,1)*1000,0))</f>
        <v/>
      </c>
      <c r="C975" s="33" t="n"/>
      <c r="D975" s="40">
        <f>IF(A975="","",INT(A975))</f>
        <v/>
      </c>
      <c r="E975" s="41">
        <f>IF(B975="","",INDEX(Setup!$D$25:$D$84,B975))</f>
        <v/>
      </c>
      <c r="F975" s="42">
        <f>IF(B975="","",INDEX(Setup!$E$25:$E$84,B975))</f>
        <v/>
      </c>
      <c r="G975" s="39">
        <f>IF(B975="","",INDEX(Setup!$I$25:$I$84,B975)&amp;"")</f>
        <v/>
      </c>
      <c r="H975" s="39">
        <f>IF(B975="","",INDEX(Setup!$J$25:$J$84,B975)&amp;"")</f>
        <v/>
      </c>
      <c r="I975" s="39">
        <f>IF(B975="","",INDEX(Setup!$C$25:$C$84,B975))</f>
        <v/>
      </c>
      <c r="J975" s="39" t="n"/>
      <c r="K975" s="37" t="n"/>
      <c r="L975" s="38" t="n"/>
      <c r="M975" s="33" t="n"/>
      <c r="N975" s="33" t="n"/>
      <c r="O975" s="39" t="n"/>
      <c r="P975" s="40">
        <f>IF(A975="","",IF(K975&lt;&gt;"",K975,D975))</f>
        <v/>
      </c>
      <c r="Q975" s="42">
        <f>IF(A975="",0,IF(C975="✗",0,IF(OR(C975="✓",AND(Setup!$D$7="Yes",P975&lt;=TODAY())),IF(L975&lt;&gt;"",L975,F975),0)))</f>
        <v/>
      </c>
      <c r="R975" s="39">
        <f>IF(A975="","",IF(M975&lt;&gt;"",M975,G975))</f>
        <v/>
      </c>
      <c r="S975" s="39">
        <f>IF(A975="","",IF(N975&lt;&gt;"",N975,H975))</f>
        <v/>
      </c>
      <c r="T975" s="39">
        <f>IF(A975="","",IF(C975="✗","Skipped",IF(Q975&gt;0,"Paid","Upcoming")))</f>
        <v/>
      </c>
      <c r="U975" s="42">
        <f>IF(A975="",0,IF(C975="✗",0,IF(L975&lt;&gt;"",L975,F975)))</f>
        <v/>
      </c>
    </row>
    <row r="976">
      <c r="A976" s="32">
        <f>IFERROR(SMALL(Calc!$B$2:$BB$61,971),"")</f>
        <v/>
      </c>
      <c r="B976" s="32">
        <f>IF(A976="","",ROUND(MOD(A976,1)*1000,0))</f>
        <v/>
      </c>
      <c r="C976" s="33" t="n"/>
      <c r="D976" s="34">
        <f>IF(A976="","",INT(A976))</f>
        <v/>
      </c>
      <c r="E976" s="35">
        <f>IF(B976="","",INDEX(Setup!$D$25:$D$84,B976))</f>
        <v/>
      </c>
      <c r="F976" s="36">
        <f>IF(B976="","",INDEX(Setup!$E$25:$E$84,B976))</f>
        <v/>
      </c>
      <c r="G976" s="32">
        <f>IF(B976="","",INDEX(Setup!$I$25:$I$84,B976)&amp;"")</f>
        <v/>
      </c>
      <c r="H976" s="32">
        <f>IF(B976="","",INDEX(Setup!$J$25:$J$84,B976)&amp;"")</f>
        <v/>
      </c>
      <c r="I976" s="32">
        <f>IF(B976="","",INDEX(Setup!$C$25:$C$84,B976))</f>
        <v/>
      </c>
      <c r="J976" s="32" t="n"/>
      <c r="K976" s="37" t="n"/>
      <c r="L976" s="38" t="n"/>
      <c r="M976" s="33" t="n"/>
      <c r="N976" s="33" t="n"/>
      <c r="O976" s="32" t="n"/>
      <c r="P976" s="34">
        <f>IF(A976="","",IF(K976&lt;&gt;"",K976,D976))</f>
        <v/>
      </c>
      <c r="Q976" s="36">
        <f>IF(A976="",0,IF(C976="✗",0,IF(OR(C976="✓",AND(Setup!$D$7="Yes",P976&lt;=TODAY())),IF(L976&lt;&gt;"",L976,F976),0)))</f>
        <v/>
      </c>
      <c r="R976" s="32">
        <f>IF(A976="","",IF(M976&lt;&gt;"",M976,G976))</f>
        <v/>
      </c>
      <c r="S976" s="32">
        <f>IF(A976="","",IF(N976&lt;&gt;"",N976,H976))</f>
        <v/>
      </c>
      <c r="T976" s="32">
        <f>IF(A976="","",IF(C976="✗","Skipped",IF(Q976&gt;0,"Paid","Upcoming")))</f>
        <v/>
      </c>
      <c r="U976" s="36">
        <f>IF(A976="",0,IF(C976="✗",0,IF(L976&lt;&gt;"",L976,F976)))</f>
        <v/>
      </c>
    </row>
    <row r="977">
      <c r="A977" s="39">
        <f>IFERROR(SMALL(Calc!$B$2:$BB$61,972),"")</f>
        <v/>
      </c>
      <c r="B977" s="39">
        <f>IF(A977="","",ROUND(MOD(A977,1)*1000,0))</f>
        <v/>
      </c>
      <c r="C977" s="33" t="n"/>
      <c r="D977" s="40">
        <f>IF(A977="","",INT(A977))</f>
        <v/>
      </c>
      <c r="E977" s="41">
        <f>IF(B977="","",INDEX(Setup!$D$25:$D$84,B977))</f>
        <v/>
      </c>
      <c r="F977" s="42">
        <f>IF(B977="","",INDEX(Setup!$E$25:$E$84,B977))</f>
        <v/>
      </c>
      <c r="G977" s="39">
        <f>IF(B977="","",INDEX(Setup!$I$25:$I$84,B977)&amp;"")</f>
        <v/>
      </c>
      <c r="H977" s="39">
        <f>IF(B977="","",INDEX(Setup!$J$25:$J$84,B977)&amp;"")</f>
        <v/>
      </c>
      <c r="I977" s="39">
        <f>IF(B977="","",INDEX(Setup!$C$25:$C$84,B977))</f>
        <v/>
      </c>
      <c r="J977" s="39" t="n"/>
      <c r="K977" s="37" t="n"/>
      <c r="L977" s="38" t="n"/>
      <c r="M977" s="33" t="n"/>
      <c r="N977" s="33" t="n"/>
      <c r="O977" s="39" t="n"/>
      <c r="P977" s="40">
        <f>IF(A977="","",IF(K977&lt;&gt;"",K977,D977))</f>
        <v/>
      </c>
      <c r="Q977" s="42">
        <f>IF(A977="",0,IF(C977="✗",0,IF(OR(C977="✓",AND(Setup!$D$7="Yes",P977&lt;=TODAY())),IF(L977&lt;&gt;"",L977,F977),0)))</f>
        <v/>
      </c>
      <c r="R977" s="39">
        <f>IF(A977="","",IF(M977&lt;&gt;"",M977,G977))</f>
        <v/>
      </c>
      <c r="S977" s="39">
        <f>IF(A977="","",IF(N977&lt;&gt;"",N977,H977))</f>
        <v/>
      </c>
      <c r="T977" s="39">
        <f>IF(A977="","",IF(C977="✗","Skipped",IF(Q977&gt;0,"Paid","Upcoming")))</f>
        <v/>
      </c>
      <c r="U977" s="42">
        <f>IF(A977="",0,IF(C977="✗",0,IF(L977&lt;&gt;"",L977,F977)))</f>
        <v/>
      </c>
    </row>
    <row r="978">
      <c r="A978" s="32">
        <f>IFERROR(SMALL(Calc!$B$2:$BB$61,973),"")</f>
        <v/>
      </c>
      <c r="B978" s="32">
        <f>IF(A978="","",ROUND(MOD(A978,1)*1000,0))</f>
        <v/>
      </c>
      <c r="C978" s="33" t="n"/>
      <c r="D978" s="34">
        <f>IF(A978="","",INT(A978))</f>
        <v/>
      </c>
      <c r="E978" s="35">
        <f>IF(B978="","",INDEX(Setup!$D$25:$D$84,B978))</f>
        <v/>
      </c>
      <c r="F978" s="36">
        <f>IF(B978="","",INDEX(Setup!$E$25:$E$84,B978))</f>
        <v/>
      </c>
      <c r="G978" s="32">
        <f>IF(B978="","",INDEX(Setup!$I$25:$I$84,B978)&amp;"")</f>
        <v/>
      </c>
      <c r="H978" s="32">
        <f>IF(B978="","",INDEX(Setup!$J$25:$J$84,B978)&amp;"")</f>
        <v/>
      </c>
      <c r="I978" s="32">
        <f>IF(B978="","",INDEX(Setup!$C$25:$C$84,B978))</f>
        <v/>
      </c>
      <c r="J978" s="32" t="n"/>
      <c r="K978" s="37" t="n"/>
      <c r="L978" s="38" t="n"/>
      <c r="M978" s="33" t="n"/>
      <c r="N978" s="33" t="n"/>
      <c r="O978" s="32" t="n"/>
      <c r="P978" s="34">
        <f>IF(A978="","",IF(K978&lt;&gt;"",K978,D978))</f>
        <v/>
      </c>
      <c r="Q978" s="36">
        <f>IF(A978="",0,IF(C978="✗",0,IF(OR(C978="✓",AND(Setup!$D$7="Yes",P978&lt;=TODAY())),IF(L978&lt;&gt;"",L978,F978),0)))</f>
        <v/>
      </c>
      <c r="R978" s="32">
        <f>IF(A978="","",IF(M978&lt;&gt;"",M978,G978))</f>
        <v/>
      </c>
      <c r="S978" s="32">
        <f>IF(A978="","",IF(N978&lt;&gt;"",N978,H978))</f>
        <v/>
      </c>
      <c r="T978" s="32">
        <f>IF(A978="","",IF(C978="✗","Skipped",IF(Q978&gt;0,"Paid","Upcoming")))</f>
        <v/>
      </c>
      <c r="U978" s="36">
        <f>IF(A978="",0,IF(C978="✗",0,IF(L978&lt;&gt;"",L978,F978)))</f>
        <v/>
      </c>
    </row>
    <row r="979">
      <c r="A979" s="39">
        <f>IFERROR(SMALL(Calc!$B$2:$BB$61,974),"")</f>
        <v/>
      </c>
      <c r="B979" s="39">
        <f>IF(A979="","",ROUND(MOD(A979,1)*1000,0))</f>
        <v/>
      </c>
      <c r="C979" s="33" t="n"/>
      <c r="D979" s="40">
        <f>IF(A979="","",INT(A979))</f>
        <v/>
      </c>
      <c r="E979" s="41">
        <f>IF(B979="","",INDEX(Setup!$D$25:$D$84,B979))</f>
        <v/>
      </c>
      <c r="F979" s="42">
        <f>IF(B979="","",INDEX(Setup!$E$25:$E$84,B979))</f>
        <v/>
      </c>
      <c r="G979" s="39">
        <f>IF(B979="","",INDEX(Setup!$I$25:$I$84,B979)&amp;"")</f>
        <v/>
      </c>
      <c r="H979" s="39">
        <f>IF(B979="","",INDEX(Setup!$J$25:$J$84,B979)&amp;"")</f>
        <v/>
      </c>
      <c r="I979" s="39">
        <f>IF(B979="","",INDEX(Setup!$C$25:$C$84,B979))</f>
        <v/>
      </c>
      <c r="J979" s="39" t="n"/>
      <c r="K979" s="37" t="n"/>
      <c r="L979" s="38" t="n"/>
      <c r="M979" s="33" t="n"/>
      <c r="N979" s="33" t="n"/>
      <c r="O979" s="39" t="n"/>
      <c r="P979" s="40">
        <f>IF(A979="","",IF(K979&lt;&gt;"",K979,D979))</f>
        <v/>
      </c>
      <c r="Q979" s="42">
        <f>IF(A979="",0,IF(C979="✗",0,IF(OR(C979="✓",AND(Setup!$D$7="Yes",P979&lt;=TODAY())),IF(L979&lt;&gt;"",L979,F979),0)))</f>
        <v/>
      </c>
      <c r="R979" s="39">
        <f>IF(A979="","",IF(M979&lt;&gt;"",M979,G979))</f>
        <v/>
      </c>
      <c r="S979" s="39">
        <f>IF(A979="","",IF(N979&lt;&gt;"",N979,H979))</f>
        <v/>
      </c>
      <c r="T979" s="39">
        <f>IF(A979="","",IF(C979="✗","Skipped",IF(Q979&gt;0,"Paid","Upcoming")))</f>
        <v/>
      </c>
      <c r="U979" s="42">
        <f>IF(A979="",0,IF(C979="✗",0,IF(L979&lt;&gt;"",L979,F979)))</f>
        <v/>
      </c>
    </row>
    <row r="980">
      <c r="A980" s="32">
        <f>IFERROR(SMALL(Calc!$B$2:$BB$61,975),"")</f>
        <v/>
      </c>
      <c r="B980" s="32">
        <f>IF(A980="","",ROUND(MOD(A980,1)*1000,0))</f>
        <v/>
      </c>
      <c r="C980" s="33" t="n"/>
      <c r="D980" s="34">
        <f>IF(A980="","",INT(A980))</f>
        <v/>
      </c>
      <c r="E980" s="35">
        <f>IF(B980="","",INDEX(Setup!$D$25:$D$84,B980))</f>
        <v/>
      </c>
      <c r="F980" s="36">
        <f>IF(B980="","",INDEX(Setup!$E$25:$E$84,B980))</f>
        <v/>
      </c>
      <c r="G980" s="32">
        <f>IF(B980="","",INDEX(Setup!$I$25:$I$84,B980)&amp;"")</f>
        <v/>
      </c>
      <c r="H980" s="32">
        <f>IF(B980="","",INDEX(Setup!$J$25:$J$84,B980)&amp;"")</f>
        <v/>
      </c>
      <c r="I980" s="32">
        <f>IF(B980="","",INDEX(Setup!$C$25:$C$84,B980))</f>
        <v/>
      </c>
      <c r="J980" s="32" t="n"/>
      <c r="K980" s="37" t="n"/>
      <c r="L980" s="38" t="n"/>
      <c r="M980" s="33" t="n"/>
      <c r="N980" s="33" t="n"/>
      <c r="O980" s="32" t="n"/>
      <c r="P980" s="34">
        <f>IF(A980="","",IF(K980&lt;&gt;"",K980,D980))</f>
        <v/>
      </c>
      <c r="Q980" s="36">
        <f>IF(A980="",0,IF(C980="✗",0,IF(OR(C980="✓",AND(Setup!$D$7="Yes",P980&lt;=TODAY())),IF(L980&lt;&gt;"",L980,F980),0)))</f>
        <v/>
      </c>
      <c r="R980" s="32">
        <f>IF(A980="","",IF(M980&lt;&gt;"",M980,G980))</f>
        <v/>
      </c>
      <c r="S980" s="32">
        <f>IF(A980="","",IF(N980&lt;&gt;"",N980,H980))</f>
        <v/>
      </c>
      <c r="T980" s="32">
        <f>IF(A980="","",IF(C980="✗","Skipped",IF(Q980&gt;0,"Paid","Upcoming")))</f>
        <v/>
      </c>
      <c r="U980" s="36">
        <f>IF(A980="",0,IF(C980="✗",0,IF(L980&lt;&gt;"",L980,F980)))</f>
        <v/>
      </c>
    </row>
    <row r="981">
      <c r="A981" s="39">
        <f>IFERROR(SMALL(Calc!$B$2:$BB$61,976),"")</f>
        <v/>
      </c>
      <c r="B981" s="39">
        <f>IF(A981="","",ROUND(MOD(A981,1)*1000,0))</f>
        <v/>
      </c>
      <c r="C981" s="33" t="n"/>
      <c r="D981" s="40">
        <f>IF(A981="","",INT(A981))</f>
        <v/>
      </c>
      <c r="E981" s="41">
        <f>IF(B981="","",INDEX(Setup!$D$25:$D$84,B981))</f>
        <v/>
      </c>
      <c r="F981" s="42">
        <f>IF(B981="","",INDEX(Setup!$E$25:$E$84,B981))</f>
        <v/>
      </c>
      <c r="G981" s="39">
        <f>IF(B981="","",INDEX(Setup!$I$25:$I$84,B981)&amp;"")</f>
        <v/>
      </c>
      <c r="H981" s="39">
        <f>IF(B981="","",INDEX(Setup!$J$25:$J$84,B981)&amp;"")</f>
        <v/>
      </c>
      <c r="I981" s="39">
        <f>IF(B981="","",INDEX(Setup!$C$25:$C$84,B981))</f>
        <v/>
      </c>
      <c r="J981" s="39" t="n"/>
      <c r="K981" s="37" t="n"/>
      <c r="L981" s="38" t="n"/>
      <c r="M981" s="33" t="n"/>
      <c r="N981" s="33" t="n"/>
      <c r="O981" s="39" t="n"/>
      <c r="P981" s="40">
        <f>IF(A981="","",IF(K981&lt;&gt;"",K981,D981))</f>
        <v/>
      </c>
      <c r="Q981" s="42">
        <f>IF(A981="",0,IF(C981="✗",0,IF(OR(C981="✓",AND(Setup!$D$7="Yes",P981&lt;=TODAY())),IF(L981&lt;&gt;"",L981,F981),0)))</f>
        <v/>
      </c>
      <c r="R981" s="39">
        <f>IF(A981="","",IF(M981&lt;&gt;"",M981,G981))</f>
        <v/>
      </c>
      <c r="S981" s="39">
        <f>IF(A981="","",IF(N981&lt;&gt;"",N981,H981))</f>
        <v/>
      </c>
      <c r="T981" s="39">
        <f>IF(A981="","",IF(C981="✗","Skipped",IF(Q981&gt;0,"Paid","Upcoming")))</f>
        <v/>
      </c>
      <c r="U981" s="42">
        <f>IF(A981="",0,IF(C981="✗",0,IF(L981&lt;&gt;"",L981,F981)))</f>
        <v/>
      </c>
    </row>
    <row r="982">
      <c r="A982" s="32">
        <f>IFERROR(SMALL(Calc!$B$2:$BB$61,977),"")</f>
        <v/>
      </c>
      <c r="B982" s="32">
        <f>IF(A982="","",ROUND(MOD(A982,1)*1000,0))</f>
        <v/>
      </c>
      <c r="C982" s="33" t="n"/>
      <c r="D982" s="34">
        <f>IF(A982="","",INT(A982))</f>
        <v/>
      </c>
      <c r="E982" s="35">
        <f>IF(B982="","",INDEX(Setup!$D$25:$D$84,B982))</f>
        <v/>
      </c>
      <c r="F982" s="36">
        <f>IF(B982="","",INDEX(Setup!$E$25:$E$84,B982))</f>
        <v/>
      </c>
      <c r="G982" s="32">
        <f>IF(B982="","",INDEX(Setup!$I$25:$I$84,B982)&amp;"")</f>
        <v/>
      </c>
      <c r="H982" s="32">
        <f>IF(B982="","",INDEX(Setup!$J$25:$J$84,B982)&amp;"")</f>
        <v/>
      </c>
      <c r="I982" s="32">
        <f>IF(B982="","",INDEX(Setup!$C$25:$C$84,B982))</f>
        <v/>
      </c>
      <c r="J982" s="32" t="n"/>
      <c r="K982" s="37" t="n"/>
      <c r="L982" s="38" t="n"/>
      <c r="M982" s="33" t="n"/>
      <c r="N982" s="33" t="n"/>
      <c r="O982" s="32" t="n"/>
      <c r="P982" s="34">
        <f>IF(A982="","",IF(K982&lt;&gt;"",K982,D982))</f>
        <v/>
      </c>
      <c r="Q982" s="36">
        <f>IF(A982="",0,IF(C982="✗",0,IF(OR(C982="✓",AND(Setup!$D$7="Yes",P982&lt;=TODAY())),IF(L982&lt;&gt;"",L982,F982),0)))</f>
        <v/>
      </c>
      <c r="R982" s="32">
        <f>IF(A982="","",IF(M982&lt;&gt;"",M982,G982))</f>
        <v/>
      </c>
      <c r="S982" s="32">
        <f>IF(A982="","",IF(N982&lt;&gt;"",N982,H982))</f>
        <v/>
      </c>
      <c r="T982" s="32">
        <f>IF(A982="","",IF(C982="✗","Skipped",IF(Q982&gt;0,"Paid","Upcoming")))</f>
        <v/>
      </c>
      <c r="U982" s="36">
        <f>IF(A982="",0,IF(C982="✗",0,IF(L982&lt;&gt;"",L982,F982)))</f>
        <v/>
      </c>
    </row>
    <row r="983">
      <c r="A983" s="39">
        <f>IFERROR(SMALL(Calc!$B$2:$BB$61,978),"")</f>
        <v/>
      </c>
      <c r="B983" s="39">
        <f>IF(A983="","",ROUND(MOD(A983,1)*1000,0))</f>
        <v/>
      </c>
      <c r="C983" s="33" t="n"/>
      <c r="D983" s="40">
        <f>IF(A983="","",INT(A983))</f>
        <v/>
      </c>
      <c r="E983" s="41">
        <f>IF(B983="","",INDEX(Setup!$D$25:$D$84,B983))</f>
        <v/>
      </c>
      <c r="F983" s="42">
        <f>IF(B983="","",INDEX(Setup!$E$25:$E$84,B983))</f>
        <v/>
      </c>
      <c r="G983" s="39">
        <f>IF(B983="","",INDEX(Setup!$I$25:$I$84,B983)&amp;"")</f>
        <v/>
      </c>
      <c r="H983" s="39">
        <f>IF(B983="","",INDEX(Setup!$J$25:$J$84,B983)&amp;"")</f>
        <v/>
      </c>
      <c r="I983" s="39">
        <f>IF(B983="","",INDEX(Setup!$C$25:$C$84,B983))</f>
        <v/>
      </c>
      <c r="J983" s="39" t="n"/>
      <c r="K983" s="37" t="n"/>
      <c r="L983" s="38" t="n"/>
      <c r="M983" s="33" t="n"/>
      <c r="N983" s="33" t="n"/>
      <c r="O983" s="39" t="n"/>
      <c r="P983" s="40">
        <f>IF(A983="","",IF(K983&lt;&gt;"",K983,D983))</f>
        <v/>
      </c>
      <c r="Q983" s="42">
        <f>IF(A983="",0,IF(C983="✗",0,IF(OR(C983="✓",AND(Setup!$D$7="Yes",P983&lt;=TODAY())),IF(L983&lt;&gt;"",L983,F983),0)))</f>
        <v/>
      </c>
      <c r="R983" s="39">
        <f>IF(A983="","",IF(M983&lt;&gt;"",M983,G983))</f>
        <v/>
      </c>
      <c r="S983" s="39">
        <f>IF(A983="","",IF(N983&lt;&gt;"",N983,H983))</f>
        <v/>
      </c>
      <c r="T983" s="39">
        <f>IF(A983="","",IF(C983="✗","Skipped",IF(Q983&gt;0,"Paid","Upcoming")))</f>
        <v/>
      </c>
      <c r="U983" s="42">
        <f>IF(A983="",0,IF(C983="✗",0,IF(L983&lt;&gt;"",L983,F983)))</f>
        <v/>
      </c>
    </row>
    <row r="984">
      <c r="A984" s="32">
        <f>IFERROR(SMALL(Calc!$B$2:$BB$61,979),"")</f>
        <v/>
      </c>
      <c r="B984" s="32">
        <f>IF(A984="","",ROUND(MOD(A984,1)*1000,0))</f>
        <v/>
      </c>
      <c r="C984" s="33" t="n"/>
      <c r="D984" s="34">
        <f>IF(A984="","",INT(A984))</f>
        <v/>
      </c>
      <c r="E984" s="35">
        <f>IF(B984="","",INDEX(Setup!$D$25:$D$84,B984))</f>
        <v/>
      </c>
      <c r="F984" s="36">
        <f>IF(B984="","",INDEX(Setup!$E$25:$E$84,B984))</f>
        <v/>
      </c>
      <c r="G984" s="32">
        <f>IF(B984="","",INDEX(Setup!$I$25:$I$84,B984)&amp;"")</f>
        <v/>
      </c>
      <c r="H984" s="32">
        <f>IF(B984="","",INDEX(Setup!$J$25:$J$84,B984)&amp;"")</f>
        <v/>
      </c>
      <c r="I984" s="32">
        <f>IF(B984="","",INDEX(Setup!$C$25:$C$84,B984))</f>
        <v/>
      </c>
      <c r="J984" s="32" t="n"/>
      <c r="K984" s="37" t="n"/>
      <c r="L984" s="38" t="n"/>
      <c r="M984" s="33" t="n"/>
      <c r="N984" s="33" t="n"/>
      <c r="O984" s="32" t="n"/>
      <c r="P984" s="34">
        <f>IF(A984="","",IF(K984&lt;&gt;"",K984,D984))</f>
        <v/>
      </c>
      <c r="Q984" s="36">
        <f>IF(A984="",0,IF(C984="✗",0,IF(OR(C984="✓",AND(Setup!$D$7="Yes",P984&lt;=TODAY())),IF(L984&lt;&gt;"",L984,F984),0)))</f>
        <v/>
      </c>
      <c r="R984" s="32">
        <f>IF(A984="","",IF(M984&lt;&gt;"",M984,G984))</f>
        <v/>
      </c>
      <c r="S984" s="32">
        <f>IF(A984="","",IF(N984&lt;&gt;"",N984,H984))</f>
        <v/>
      </c>
      <c r="T984" s="32">
        <f>IF(A984="","",IF(C984="✗","Skipped",IF(Q984&gt;0,"Paid","Upcoming")))</f>
        <v/>
      </c>
      <c r="U984" s="36">
        <f>IF(A984="",0,IF(C984="✗",0,IF(L984&lt;&gt;"",L984,F984)))</f>
        <v/>
      </c>
    </row>
    <row r="985">
      <c r="A985" s="39">
        <f>IFERROR(SMALL(Calc!$B$2:$BB$61,980),"")</f>
        <v/>
      </c>
      <c r="B985" s="39">
        <f>IF(A985="","",ROUND(MOD(A985,1)*1000,0))</f>
        <v/>
      </c>
      <c r="C985" s="33" t="n"/>
      <c r="D985" s="40">
        <f>IF(A985="","",INT(A985))</f>
        <v/>
      </c>
      <c r="E985" s="41">
        <f>IF(B985="","",INDEX(Setup!$D$25:$D$84,B985))</f>
        <v/>
      </c>
      <c r="F985" s="42">
        <f>IF(B985="","",INDEX(Setup!$E$25:$E$84,B985))</f>
        <v/>
      </c>
      <c r="G985" s="39">
        <f>IF(B985="","",INDEX(Setup!$I$25:$I$84,B985)&amp;"")</f>
        <v/>
      </c>
      <c r="H985" s="39">
        <f>IF(B985="","",INDEX(Setup!$J$25:$J$84,B985)&amp;"")</f>
        <v/>
      </c>
      <c r="I985" s="39">
        <f>IF(B985="","",INDEX(Setup!$C$25:$C$84,B985))</f>
        <v/>
      </c>
      <c r="J985" s="39" t="n"/>
      <c r="K985" s="37" t="n"/>
      <c r="L985" s="38" t="n"/>
      <c r="M985" s="33" t="n"/>
      <c r="N985" s="33" t="n"/>
      <c r="O985" s="39" t="n"/>
      <c r="P985" s="40">
        <f>IF(A985="","",IF(K985&lt;&gt;"",K985,D985))</f>
        <v/>
      </c>
      <c r="Q985" s="42">
        <f>IF(A985="",0,IF(C985="✗",0,IF(OR(C985="✓",AND(Setup!$D$7="Yes",P985&lt;=TODAY())),IF(L985&lt;&gt;"",L985,F985),0)))</f>
        <v/>
      </c>
      <c r="R985" s="39">
        <f>IF(A985="","",IF(M985&lt;&gt;"",M985,G985))</f>
        <v/>
      </c>
      <c r="S985" s="39">
        <f>IF(A985="","",IF(N985&lt;&gt;"",N985,H985))</f>
        <v/>
      </c>
      <c r="T985" s="39">
        <f>IF(A985="","",IF(C985="✗","Skipped",IF(Q985&gt;0,"Paid","Upcoming")))</f>
        <v/>
      </c>
      <c r="U985" s="42">
        <f>IF(A985="",0,IF(C985="✗",0,IF(L985&lt;&gt;"",L985,F985)))</f>
        <v/>
      </c>
    </row>
    <row r="986">
      <c r="A986" s="32">
        <f>IFERROR(SMALL(Calc!$B$2:$BB$61,981),"")</f>
        <v/>
      </c>
      <c r="B986" s="32">
        <f>IF(A986="","",ROUND(MOD(A986,1)*1000,0))</f>
        <v/>
      </c>
      <c r="C986" s="33" t="n"/>
      <c r="D986" s="34">
        <f>IF(A986="","",INT(A986))</f>
        <v/>
      </c>
      <c r="E986" s="35">
        <f>IF(B986="","",INDEX(Setup!$D$25:$D$84,B986))</f>
        <v/>
      </c>
      <c r="F986" s="36">
        <f>IF(B986="","",INDEX(Setup!$E$25:$E$84,B986))</f>
        <v/>
      </c>
      <c r="G986" s="32">
        <f>IF(B986="","",INDEX(Setup!$I$25:$I$84,B986)&amp;"")</f>
        <v/>
      </c>
      <c r="H986" s="32">
        <f>IF(B986="","",INDEX(Setup!$J$25:$J$84,B986)&amp;"")</f>
        <v/>
      </c>
      <c r="I986" s="32">
        <f>IF(B986="","",INDEX(Setup!$C$25:$C$84,B986))</f>
        <v/>
      </c>
      <c r="J986" s="32" t="n"/>
      <c r="K986" s="37" t="n"/>
      <c r="L986" s="38" t="n"/>
      <c r="M986" s="33" t="n"/>
      <c r="N986" s="33" t="n"/>
      <c r="O986" s="32" t="n"/>
      <c r="P986" s="34">
        <f>IF(A986="","",IF(K986&lt;&gt;"",K986,D986))</f>
        <v/>
      </c>
      <c r="Q986" s="36">
        <f>IF(A986="",0,IF(C986="✗",0,IF(OR(C986="✓",AND(Setup!$D$7="Yes",P986&lt;=TODAY())),IF(L986&lt;&gt;"",L986,F986),0)))</f>
        <v/>
      </c>
      <c r="R986" s="32">
        <f>IF(A986="","",IF(M986&lt;&gt;"",M986,G986))</f>
        <v/>
      </c>
      <c r="S986" s="32">
        <f>IF(A986="","",IF(N986&lt;&gt;"",N986,H986))</f>
        <v/>
      </c>
      <c r="T986" s="32">
        <f>IF(A986="","",IF(C986="✗","Skipped",IF(Q986&gt;0,"Paid","Upcoming")))</f>
        <v/>
      </c>
      <c r="U986" s="36">
        <f>IF(A986="",0,IF(C986="✗",0,IF(L986&lt;&gt;"",L986,F986)))</f>
        <v/>
      </c>
    </row>
    <row r="987">
      <c r="A987" s="39">
        <f>IFERROR(SMALL(Calc!$B$2:$BB$61,982),"")</f>
        <v/>
      </c>
      <c r="B987" s="39">
        <f>IF(A987="","",ROUND(MOD(A987,1)*1000,0))</f>
        <v/>
      </c>
      <c r="C987" s="33" t="n"/>
      <c r="D987" s="40">
        <f>IF(A987="","",INT(A987))</f>
        <v/>
      </c>
      <c r="E987" s="41">
        <f>IF(B987="","",INDEX(Setup!$D$25:$D$84,B987))</f>
        <v/>
      </c>
      <c r="F987" s="42">
        <f>IF(B987="","",INDEX(Setup!$E$25:$E$84,B987))</f>
        <v/>
      </c>
      <c r="G987" s="39">
        <f>IF(B987="","",INDEX(Setup!$I$25:$I$84,B987)&amp;"")</f>
        <v/>
      </c>
      <c r="H987" s="39">
        <f>IF(B987="","",INDEX(Setup!$J$25:$J$84,B987)&amp;"")</f>
        <v/>
      </c>
      <c r="I987" s="39">
        <f>IF(B987="","",INDEX(Setup!$C$25:$C$84,B987))</f>
        <v/>
      </c>
      <c r="J987" s="39" t="n"/>
      <c r="K987" s="37" t="n"/>
      <c r="L987" s="38" t="n"/>
      <c r="M987" s="33" t="n"/>
      <c r="N987" s="33" t="n"/>
      <c r="O987" s="39" t="n"/>
      <c r="P987" s="40">
        <f>IF(A987="","",IF(K987&lt;&gt;"",K987,D987))</f>
        <v/>
      </c>
      <c r="Q987" s="42">
        <f>IF(A987="",0,IF(C987="✗",0,IF(OR(C987="✓",AND(Setup!$D$7="Yes",P987&lt;=TODAY())),IF(L987&lt;&gt;"",L987,F987),0)))</f>
        <v/>
      </c>
      <c r="R987" s="39">
        <f>IF(A987="","",IF(M987&lt;&gt;"",M987,G987))</f>
        <v/>
      </c>
      <c r="S987" s="39">
        <f>IF(A987="","",IF(N987&lt;&gt;"",N987,H987))</f>
        <v/>
      </c>
      <c r="T987" s="39">
        <f>IF(A987="","",IF(C987="✗","Skipped",IF(Q987&gt;0,"Paid","Upcoming")))</f>
        <v/>
      </c>
      <c r="U987" s="42">
        <f>IF(A987="",0,IF(C987="✗",0,IF(L987&lt;&gt;"",L987,F987)))</f>
        <v/>
      </c>
    </row>
    <row r="988">
      <c r="A988" s="32">
        <f>IFERROR(SMALL(Calc!$B$2:$BB$61,983),"")</f>
        <v/>
      </c>
      <c r="B988" s="32">
        <f>IF(A988="","",ROUND(MOD(A988,1)*1000,0))</f>
        <v/>
      </c>
      <c r="C988" s="33" t="n"/>
      <c r="D988" s="34">
        <f>IF(A988="","",INT(A988))</f>
        <v/>
      </c>
      <c r="E988" s="35">
        <f>IF(B988="","",INDEX(Setup!$D$25:$D$84,B988))</f>
        <v/>
      </c>
      <c r="F988" s="36">
        <f>IF(B988="","",INDEX(Setup!$E$25:$E$84,B988))</f>
        <v/>
      </c>
      <c r="G988" s="32">
        <f>IF(B988="","",INDEX(Setup!$I$25:$I$84,B988)&amp;"")</f>
        <v/>
      </c>
      <c r="H988" s="32">
        <f>IF(B988="","",INDEX(Setup!$J$25:$J$84,B988)&amp;"")</f>
        <v/>
      </c>
      <c r="I988" s="32">
        <f>IF(B988="","",INDEX(Setup!$C$25:$C$84,B988))</f>
        <v/>
      </c>
      <c r="J988" s="32" t="n"/>
      <c r="K988" s="37" t="n"/>
      <c r="L988" s="38" t="n"/>
      <c r="M988" s="33" t="n"/>
      <c r="N988" s="33" t="n"/>
      <c r="O988" s="32" t="n"/>
      <c r="P988" s="34">
        <f>IF(A988="","",IF(K988&lt;&gt;"",K988,D988))</f>
        <v/>
      </c>
      <c r="Q988" s="36">
        <f>IF(A988="",0,IF(C988="✗",0,IF(OR(C988="✓",AND(Setup!$D$7="Yes",P988&lt;=TODAY())),IF(L988&lt;&gt;"",L988,F988),0)))</f>
        <v/>
      </c>
      <c r="R988" s="32">
        <f>IF(A988="","",IF(M988&lt;&gt;"",M988,G988))</f>
        <v/>
      </c>
      <c r="S988" s="32">
        <f>IF(A988="","",IF(N988&lt;&gt;"",N988,H988))</f>
        <v/>
      </c>
      <c r="T988" s="32">
        <f>IF(A988="","",IF(C988="✗","Skipped",IF(Q988&gt;0,"Paid","Upcoming")))</f>
        <v/>
      </c>
      <c r="U988" s="36">
        <f>IF(A988="",0,IF(C988="✗",0,IF(L988&lt;&gt;"",L988,F988)))</f>
        <v/>
      </c>
    </row>
    <row r="989">
      <c r="A989" s="39">
        <f>IFERROR(SMALL(Calc!$B$2:$BB$61,984),"")</f>
        <v/>
      </c>
      <c r="B989" s="39">
        <f>IF(A989="","",ROUND(MOD(A989,1)*1000,0))</f>
        <v/>
      </c>
      <c r="C989" s="33" t="n"/>
      <c r="D989" s="40">
        <f>IF(A989="","",INT(A989))</f>
        <v/>
      </c>
      <c r="E989" s="41">
        <f>IF(B989="","",INDEX(Setup!$D$25:$D$84,B989))</f>
        <v/>
      </c>
      <c r="F989" s="42">
        <f>IF(B989="","",INDEX(Setup!$E$25:$E$84,B989))</f>
        <v/>
      </c>
      <c r="G989" s="39">
        <f>IF(B989="","",INDEX(Setup!$I$25:$I$84,B989)&amp;"")</f>
        <v/>
      </c>
      <c r="H989" s="39">
        <f>IF(B989="","",INDEX(Setup!$J$25:$J$84,B989)&amp;"")</f>
        <v/>
      </c>
      <c r="I989" s="39">
        <f>IF(B989="","",INDEX(Setup!$C$25:$C$84,B989))</f>
        <v/>
      </c>
      <c r="J989" s="39" t="n"/>
      <c r="K989" s="37" t="n"/>
      <c r="L989" s="38" t="n"/>
      <c r="M989" s="33" t="n"/>
      <c r="N989" s="33" t="n"/>
      <c r="O989" s="39" t="n"/>
      <c r="P989" s="40">
        <f>IF(A989="","",IF(K989&lt;&gt;"",K989,D989))</f>
        <v/>
      </c>
      <c r="Q989" s="42">
        <f>IF(A989="",0,IF(C989="✗",0,IF(OR(C989="✓",AND(Setup!$D$7="Yes",P989&lt;=TODAY())),IF(L989&lt;&gt;"",L989,F989),0)))</f>
        <v/>
      </c>
      <c r="R989" s="39">
        <f>IF(A989="","",IF(M989&lt;&gt;"",M989,G989))</f>
        <v/>
      </c>
      <c r="S989" s="39">
        <f>IF(A989="","",IF(N989&lt;&gt;"",N989,H989))</f>
        <v/>
      </c>
      <c r="T989" s="39">
        <f>IF(A989="","",IF(C989="✗","Skipped",IF(Q989&gt;0,"Paid","Upcoming")))</f>
        <v/>
      </c>
      <c r="U989" s="42">
        <f>IF(A989="",0,IF(C989="✗",0,IF(L989&lt;&gt;"",L989,F989)))</f>
        <v/>
      </c>
    </row>
    <row r="990">
      <c r="A990" s="32">
        <f>IFERROR(SMALL(Calc!$B$2:$BB$61,985),"")</f>
        <v/>
      </c>
      <c r="B990" s="32">
        <f>IF(A990="","",ROUND(MOD(A990,1)*1000,0))</f>
        <v/>
      </c>
      <c r="C990" s="33" t="n"/>
      <c r="D990" s="34">
        <f>IF(A990="","",INT(A990))</f>
        <v/>
      </c>
      <c r="E990" s="35">
        <f>IF(B990="","",INDEX(Setup!$D$25:$D$84,B990))</f>
        <v/>
      </c>
      <c r="F990" s="36">
        <f>IF(B990="","",INDEX(Setup!$E$25:$E$84,B990))</f>
        <v/>
      </c>
      <c r="G990" s="32">
        <f>IF(B990="","",INDEX(Setup!$I$25:$I$84,B990)&amp;"")</f>
        <v/>
      </c>
      <c r="H990" s="32">
        <f>IF(B990="","",INDEX(Setup!$J$25:$J$84,B990)&amp;"")</f>
        <v/>
      </c>
      <c r="I990" s="32">
        <f>IF(B990="","",INDEX(Setup!$C$25:$C$84,B990))</f>
        <v/>
      </c>
      <c r="J990" s="32" t="n"/>
      <c r="K990" s="37" t="n"/>
      <c r="L990" s="38" t="n"/>
      <c r="M990" s="33" t="n"/>
      <c r="N990" s="33" t="n"/>
      <c r="O990" s="32" t="n"/>
      <c r="P990" s="34">
        <f>IF(A990="","",IF(K990&lt;&gt;"",K990,D990))</f>
        <v/>
      </c>
      <c r="Q990" s="36">
        <f>IF(A990="",0,IF(C990="✗",0,IF(OR(C990="✓",AND(Setup!$D$7="Yes",P990&lt;=TODAY())),IF(L990&lt;&gt;"",L990,F990),0)))</f>
        <v/>
      </c>
      <c r="R990" s="32">
        <f>IF(A990="","",IF(M990&lt;&gt;"",M990,G990))</f>
        <v/>
      </c>
      <c r="S990" s="32">
        <f>IF(A990="","",IF(N990&lt;&gt;"",N990,H990))</f>
        <v/>
      </c>
      <c r="T990" s="32">
        <f>IF(A990="","",IF(C990="✗","Skipped",IF(Q990&gt;0,"Paid","Upcoming")))</f>
        <v/>
      </c>
      <c r="U990" s="36">
        <f>IF(A990="",0,IF(C990="✗",0,IF(L990&lt;&gt;"",L990,F990)))</f>
        <v/>
      </c>
    </row>
    <row r="991">
      <c r="A991" s="39">
        <f>IFERROR(SMALL(Calc!$B$2:$BB$61,986),"")</f>
        <v/>
      </c>
      <c r="B991" s="39">
        <f>IF(A991="","",ROUND(MOD(A991,1)*1000,0))</f>
        <v/>
      </c>
      <c r="C991" s="33" t="n"/>
      <c r="D991" s="40">
        <f>IF(A991="","",INT(A991))</f>
        <v/>
      </c>
      <c r="E991" s="41">
        <f>IF(B991="","",INDEX(Setup!$D$25:$D$84,B991))</f>
        <v/>
      </c>
      <c r="F991" s="42">
        <f>IF(B991="","",INDEX(Setup!$E$25:$E$84,B991))</f>
        <v/>
      </c>
      <c r="G991" s="39">
        <f>IF(B991="","",INDEX(Setup!$I$25:$I$84,B991)&amp;"")</f>
        <v/>
      </c>
      <c r="H991" s="39">
        <f>IF(B991="","",INDEX(Setup!$J$25:$J$84,B991)&amp;"")</f>
        <v/>
      </c>
      <c r="I991" s="39">
        <f>IF(B991="","",INDEX(Setup!$C$25:$C$84,B991))</f>
        <v/>
      </c>
      <c r="J991" s="39" t="n"/>
      <c r="K991" s="37" t="n"/>
      <c r="L991" s="38" t="n"/>
      <c r="M991" s="33" t="n"/>
      <c r="N991" s="33" t="n"/>
      <c r="O991" s="39" t="n"/>
      <c r="P991" s="40">
        <f>IF(A991="","",IF(K991&lt;&gt;"",K991,D991))</f>
        <v/>
      </c>
      <c r="Q991" s="42">
        <f>IF(A991="",0,IF(C991="✗",0,IF(OR(C991="✓",AND(Setup!$D$7="Yes",P991&lt;=TODAY())),IF(L991&lt;&gt;"",L991,F991),0)))</f>
        <v/>
      </c>
      <c r="R991" s="39">
        <f>IF(A991="","",IF(M991&lt;&gt;"",M991,G991))</f>
        <v/>
      </c>
      <c r="S991" s="39">
        <f>IF(A991="","",IF(N991&lt;&gt;"",N991,H991))</f>
        <v/>
      </c>
      <c r="T991" s="39">
        <f>IF(A991="","",IF(C991="✗","Skipped",IF(Q991&gt;0,"Paid","Upcoming")))</f>
        <v/>
      </c>
      <c r="U991" s="42">
        <f>IF(A991="",0,IF(C991="✗",0,IF(L991&lt;&gt;"",L991,F991)))</f>
        <v/>
      </c>
    </row>
    <row r="992">
      <c r="A992" s="32">
        <f>IFERROR(SMALL(Calc!$B$2:$BB$61,987),"")</f>
        <v/>
      </c>
      <c r="B992" s="32">
        <f>IF(A992="","",ROUND(MOD(A992,1)*1000,0))</f>
        <v/>
      </c>
      <c r="C992" s="33" t="n"/>
      <c r="D992" s="34">
        <f>IF(A992="","",INT(A992))</f>
        <v/>
      </c>
      <c r="E992" s="35">
        <f>IF(B992="","",INDEX(Setup!$D$25:$D$84,B992))</f>
        <v/>
      </c>
      <c r="F992" s="36">
        <f>IF(B992="","",INDEX(Setup!$E$25:$E$84,B992))</f>
        <v/>
      </c>
      <c r="G992" s="32">
        <f>IF(B992="","",INDEX(Setup!$I$25:$I$84,B992)&amp;"")</f>
        <v/>
      </c>
      <c r="H992" s="32">
        <f>IF(B992="","",INDEX(Setup!$J$25:$J$84,B992)&amp;"")</f>
        <v/>
      </c>
      <c r="I992" s="32">
        <f>IF(B992="","",INDEX(Setup!$C$25:$C$84,B992))</f>
        <v/>
      </c>
      <c r="J992" s="32" t="n"/>
      <c r="K992" s="37" t="n"/>
      <c r="L992" s="38" t="n"/>
      <c r="M992" s="33" t="n"/>
      <c r="N992" s="33" t="n"/>
      <c r="O992" s="32" t="n"/>
      <c r="P992" s="34">
        <f>IF(A992="","",IF(K992&lt;&gt;"",K992,D992))</f>
        <v/>
      </c>
      <c r="Q992" s="36">
        <f>IF(A992="",0,IF(C992="✗",0,IF(OR(C992="✓",AND(Setup!$D$7="Yes",P992&lt;=TODAY())),IF(L992&lt;&gt;"",L992,F992),0)))</f>
        <v/>
      </c>
      <c r="R992" s="32">
        <f>IF(A992="","",IF(M992&lt;&gt;"",M992,G992))</f>
        <v/>
      </c>
      <c r="S992" s="32">
        <f>IF(A992="","",IF(N992&lt;&gt;"",N992,H992))</f>
        <v/>
      </c>
      <c r="T992" s="32">
        <f>IF(A992="","",IF(C992="✗","Skipped",IF(Q992&gt;0,"Paid","Upcoming")))</f>
        <v/>
      </c>
      <c r="U992" s="36">
        <f>IF(A992="",0,IF(C992="✗",0,IF(L992&lt;&gt;"",L992,F992)))</f>
        <v/>
      </c>
    </row>
    <row r="993">
      <c r="A993" s="39">
        <f>IFERROR(SMALL(Calc!$B$2:$BB$61,988),"")</f>
        <v/>
      </c>
      <c r="B993" s="39">
        <f>IF(A993="","",ROUND(MOD(A993,1)*1000,0))</f>
        <v/>
      </c>
      <c r="C993" s="33" t="n"/>
      <c r="D993" s="40">
        <f>IF(A993="","",INT(A993))</f>
        <v/>
      </c>
      <c r="E993" s="41">
        <f>IF(B993="","",INDEX(Setup!$D$25:$D$84,B993))</f>
        <v/>
      </c>
      <c r="F993" s="42">
        <f>IF(B993="","",INDEX(Setup!$E$25:$E$84,B993))</f>
        <v/>
      </c>
      <c r="G993" s="39">
        <f>IF(B993="","",INDEX(Setup!$I$25:$I$84,B993)&amp;"")</f>
        <v/>
      </c>
      <c r="H993" s="39">
        <f>IF(B993="","",INDEX(Setup!$J$25:$J$84,B993)&amp;"")</f>
        <v/>
      </c>
      <c r="I993" s="39">
        <f>IF(B993="","",INDEX(Setup!$C$25:$C$84,B993))</f>
        <v/>
      </c>
      <c r="J993" s="39" t="n"/>
      <c r="K993" s="37" t="n"/>
      <c r="L993" s="38" t="n"/>
      <c r="M993" s="33" t="n"/>
      <c r="N993" s="33" t="n"/>
      <c r="O993" s="39" t="n"/>
      <c r="P993" s="40">
        <f>IF(A993="","",IF(K993&lt;&gt;"",K993,D993))</f>
        <v/>
      </c>
      <c r="Q993" s="42">
        <f>IF(A993="",0,IF(C993="✗",0,IF(OR(C993="✓",AND(Setup!$D$7="Yes",P993&lt;=TODAY())),IF(L993&lt;&gt;"",L993,F993),0)))</f>
        <v/>
      </c>
      <c r="R993" s="39">
        <f>IF(A993="","",IF(M993&lt;&gt;"",M993,G993))</f>
        <v/>
      </c>
      <c r="S993" s="39">
        <f>IF(A993="","",IF(N993&lt;&gt;"",N993,H993))</f>
        <v/>
      </c>
      <c r="T993" s="39">
        <f>IF(A993="","",IF(C993="✗","Skipped",IF(Q993&gt;0,"Paid","Upcoming")))</f>
        <v/>
      </c>
      <c r="U993" s="42">
        <f>IF(A993="",0,IF(C993="✗",0,IF(L993&lt;&gt;"",L993,F993)))</f>
        <v/>
      </c>
    </row>
    <row r="994">
      <c r="A994" s="32">
        <f>IFERROR(SMALL(Calc!$B$2:$BB$61,989),"")</f>
        <v/>
      </c>
      <c r="B994" s="32">
        <f>IF(A994="","",ROUND(MOD(A994,1)*1000,0))</f>
        <v/>
      </c>
      <c r="C994" s="33" t="n"/>
      <c r="D994" s="34">
        <f>IF(A994="","",INT(A994))</f>
        <v/>
      </c>
      <c r="E994" s="35">
        <f>IF(B994="","",INDEX(Setup!$D$25:$D$84,B994))</f>
        <v/>
      </c>
      <c r="F994" s="36">
        <f>IF(B994="","",INDEX(Setup!$E$25:$E$84,B994))</f>
        <v/>
      </c>
      <c r="G994" s="32">
        <f>IF(B994="","",INDEX(Setup!$I$25:$I$84,B994)&amp;"")</f>
        <v/>
      </c>
      <c r="H994" s="32">
        <f>IF(B994="","",INDEX(Setup!$J$25:$J$84,B994)&amp;"")</f>
        <v/>
      </c>
      <c r="I994" s="32">
        <f>IF(B994="","",INDEX(Setup!$C$25:$C$84,B994))</f>
        <v/>
      </c>
      <c r="J994" s="32" t="n"/>
      <c r="K994" s="37" t="n"/>
      <c r="L994" s="38" t="n"/>
      <c r="M994" s="33" t="n"/>
      <c r="N994" s="33" t="n"/>
      <c r="O994" s="32" t="n"/>
      <c r="P994" s="34">
        <f>IF(A994="","",IF(K994&lt;&gt;"",K994,D994))</f>
        <v/>
      </c>
      <c r="Q994" s="36">
        <f>IF(A994="",0,IF(C994="✗",0,IF(OR(C994="✓",AND(Setup!$D$7="Yes",P994&lt;=TODAY())),IF(L994&lt;&gt;"",L994,F994),0)))</f>
        <v/>
      </c>
      <c r="R994" s="32">
        <f>IF(A994="","",IF(M994&lt;&gt;"",M994,G994))</f>
        <v/>
      </c>
      <c r="S994" s="32">
        <f>IF(A994="","",IF(N994&lt;&gt;"",N994,H994))</f>
        <v/>
      </c>
      <c r="T994" s="32">
        <f>IF(A994="","",IF(C994="✗","Skipped",IF(Q994&gt;0,"Paid","Upcoming")))</f>
        <v/>
      </c>
      <c r="U994" s="36">
        <f>IF(A994="",0,IF(C994="✗",0,IF(L994&lt;&gt;"",L994,F994)))</f>
        <v/>
      </c>
    </row>
    <row r="995">
      <c r="A995" s="39">
        <f>IFERROR(SMALL(Calc!$B$2:$BB$61,990),"")</f>
        <v/>
      </c>
      <c r="B995" s="39">
        <f>IF(A995="","",ROUND(MOD(A995,1)*1000,0))</f>
        <v/>
      </c>
      <c r="C995" s="33" t="n"/>
      <c r="D995" s="40">
        <f>IF(A995="","",INT(A995))</f>
        <v/>
      </c>
      <c r="E995" s="41">
        <f>IF(B995="","",INDEX(Setup!$D$25:$D$84,B995))</f>
        <v/>
      </c>
      <c r="F995" s="42">
        <f>IF(B995="","",INDEX(Setup!$E$25:$E$84,B995))</f>
        <v/>
      </c>
      <c r="G995" s="39">
        <f>IF(B995="","",INDEX(Setup!$I$25:$I$84,B995)&amp;"")</f>
        <v/>
      </c>
      <c r="H995" s="39">
        <f>IF(B995="","",INDEX(Setup!$J$25:$J$84,B995)&amp;"")</f>
        <v/>
      </c>
      <c r="I995" s="39">
        <f>IF(B995="","",INDEX(Setup!$C$25:$C$84,B995))</f>
        <v/>
      </c>
      <c r="J995" s="39" t="n"/>
      <c r="K995" s="37" t="n"/>
      <c r="L995" s="38" t="n"/>
      <c r="M995" s="33" t="n"/>
      <c r="N995" s="33" t="n"/>
      <c r="O995" s="39" t="n"/>
      <c r="P995" s="40">
        <f>IF(A995="","",IF(K995&lt;&gt;"",K995,D995))</f>
        <v/>
      </c>
      <c r="Q995" s="42">
        <f>IF(A995="",0,IF(C995="✗",0,IF(OR(C995="✓",AND(Setup!$D$7="Yes",P995&lt;=TODAY())),IF(L995&lt;&gt;"",L995,F995),0)))</f>
        <v/>
      </c>
      <c r="R995" s="39">
        <f>IF(A995="","",IF(M995&lt;&gt;"",M995,G995))</f>
        <v/>
      </c>
      <c r="S995" s="39">
        <f>IF(A995="","",IF(N995&lt;&gt;"",N995,H995))</f>
        <v/>
      </c>
      <c r="T995" s="39">
        <f>IF(A995="","",IF(C995="✗","Skipped",IF(Q995&gt;0,"Paid","Upcoming")))</f>
        <v/>
      </c>
      <c r="U995" s="42">
        <f>IF(A995="",0,IF(C995="✗",0,IF(L995&lt;&gt;"",L995,F995)))</f>
        <v/>
      </c>
    </row>
    <row r="996">
      <c r="A996" s="32">
        <f>IFERROR(SMALL(Calc!$B$2:$BB$61,991),"")</f>
        <v/>
      </c>
      <c r="B996" s="32">
        <f>IF(A996="","",ROUND(MOD(A996,1)*1000,0))</f>
        <v/>
      </c>
      <c r="C996" s="33" t="n"/>
      <c r="D996" s="34">
        <f>IF(A996="","",INT(A996))</f>
        <v/>
      </c>
      <c r="E996" s="35">
        <f>IF(B996="","",INDEX(Setup!$D$25:$D$84,B996))</f>
        <v/>
      </c>
      <c r="F996" s="36">
        <f>IF(B996="","",INDEX(Setup!$E$25:$E$84,B996))</f>
        <v/>
      </c>
      <c r="G996" s="32">
        <f>IF(B996="","",INDEX(Setup!$I$25:$I$84,B996)&amp;"")</f>
        <v/>
      </c>
      <c r="H996" s="32">
        <f>IF(B996="","",INDEX(Setup!$J$25:$J$84,B996)&amp;"")</f>
        <v/>
      </c>
      <c r="I996" s="32">
        <f>IF(B996="","",INDEX(Setup!$C$25:$C$84,B996))</f>
        <v/>
      </c>
      <c r="J996" s="32" t="n"/>
      <c r="K996" s="37" t="n"/>
      <c r="L996" s="38" t="n"/>
      <c r="M996" s="33" t="n"/>
      <c r="N996" s="33" t="n"/>
      <c r="O996" s="32" t="n"/>
      <c r="P996" s="34">
        <f>IF(A996="","",IF(K996&lt;&gt;"",K996,D996))</f>
        <v/>
      </c>
      <c r="Q996" s="36">
        <f>IF(A996="",0,IF(C996="✗",0,IF(OR(C996="✓",AND(Setup!$D$7="Yes",P996&lt;=TODAY())),IF(L996&lt;&gt;"",L996,F996),0)))</f>
        <v/>
      </c>
      <c r="R996" s="32">
        <f>IF(A996="","",IF(M996&lt;&gt;"",M996,G996))</f>
        <v/>
      </c>
      <c r="S996" s="32">
        <f>IF(A996="","",IF(N996&lt;&gt;"",N996,H996))</f>
        <v/>
      </c>
      <c r="T996" s="32">
        <f>IF(A996="","",IF(C996="✗","Skipped",IF(Q996&gt;0,"Paid","Upcoming")))</f>
        <v/>
      </c>
      <c r="U996" s="36">
        <f>IF(A996="",0,IF(C996="✗",0,IF(L996&lt;&gt;"",L996,F996)))</f>
        <v/>
      </c>
    </row>
    <row r="997">
      <c r="A997" s="39">
        <f>IFERROR(SMALL(Calc!$B$2:$BB$61,992),"")</f>
        <v/>
      </c>
      <c r="B997" s="39">
        <f>IF(A997="","",ROUND(MOD(A997,1)*1000,0))</f>
        <v/>
      </c>
      <c r="C997" s="33" t="n"/>
      <c r="D997" s="40">
        <f>IF(A997="","",INT(A997))</f>
        <v/>
      </c>
      <c r="E997" s="41">
        <f>IF(B997="","",INDEX(Setup!$D$25:$D$84,B997))</f>
        <v/>
      </c>
      <c r="F997" s="42">
        <f>IF(B997="","",INDEX(Setup!$E$25:$E$84,B997))</f>
        <v/>
      </c>
      <c r="G997" s="39">
        <f>IF(B997="","",INDEX(Setup!$I$25:$I$84,B997)&amp;"")</f>
        <v/>
      </c>
      <c r="H997" s="39">
        <f>IF(B997="","",INDEX(Setup!$J$25:$J$84,B997)&amp;"")</f>
        <v/>
      </c>
      <c r="I997" s="39">
        <f>IF(B997="","",INDEX(Setup!$C$25:$C$84,B997))</f>
        <v/>
      </c>
      <c r="J997" s="39" t="n"/>
      <c r="K997" s="37" t="n"/>
      <c r="L997" s="38" t="n"/>
      <c r="M997" s="33" t="n"/>
      <c r="N997" s="33" t="n"/>
      <c r="O997" s="39" t="n"/>
      <c r="P997" s="40">
        <f>IF(A997="","",IF(K997&lt;&gt;"",K997,D997))</f>
        <v/>
      </c>
      <c r="Q997" s="42">
        <f>IF(A997="",0,IF(C997="✗",0,IF(OR(C997="✓",AND(Setup!$D$7="Yes",P997&lt;=TODAY())),IF(L997&lt;&gt;"",L997,F997),0)))</f>
        <v/>
      </c>
      <c r="R997" s="39">
        <f>IF(A997="","",IF(M997&lt;&gt;"",M997,G997))</f>
        <v/>
      </c>
      <c r="S997" s="39">
        <f>IF(A997="","",IF(N997&lt;&gt;"",N997,H997))</f>
        <v/>
      </c>
      <c r="T997" s="39">
        <f>IF(A997="","",IF(C997="✗","Skipped",IF(Q997&gt;0,"Paid","Upcoming")))</f>
        <v/>
      </c>
      <c r="U997" s="42">
        <f>IF(A997="",0,IF(C997="✗",0,IF(L997&lt;&gt;"",L997,F997)))</f>
        <v/>
      </c>
    </row>
    <row r="998">
      <c r="A998" s="32">
        <f>IFERROR(SMALL(Calc!$B$2:$BB$61,993),"")</f>
        <v/>
      </c>
      <c r="B998" s="32">
        <f>IF(A998="","",ROUND(MOD(A998,1)*1000,0))</f>
        <v/>
      </c>
      <c r="C998" s="33" t="n"/>
      <c r="D998" s="34">
        <f>IF(A998="","",INT(A998))</f>
        <v/>
      </c>
      <c r="E998" s="35">
        <f>IF(B998="","",INDEX(Setup!$D$25:$D$84,B998))</f>
        <v/>
      </c>
      <c r="F998" s="36">
        <f>IF(B998="","",INDEX(Setup!$E$25:$E$84,B998))</f>
        <v/>
      </c>
      <c r="G998" s="32">
        <f>IF(B998="","",INDEX(Setup!$I$25:$I$84,B998)&amp;"")</f>
        <v/>
      </c>
      <c r="H998" s="32">
        <f>IF(B998="","",INDEX(Setup!$J$25:$J$84,B998)&amp;"")</f>
        <v/>
      </c>
      <c r="I998" s="32">
        <f>IF(B998="","",INDEX(Setup!$C$25:$C$84,B998))</f>
        <v/>
      </c>
      <c r="J998" s="32" t="n"/>
      <c r="K998" s="37" t="n"/>
      <c r="L998" s="38" t="n"/>
      <c r="M998" s="33" t="n"/>
      <c r="N998" s="33" t="n"/>
      <c r="O998" s="32" t="n"/>
      <c r="P998" s="34">
        <f>IF(A998="","",IF(K998&lt;&gt;"",K998,D998))</f>
        <v/>
      </c>
      <c r="Q998" s="36">
        <f>IF(A998="",0,IF(C998="✗",0,IF(OR(C998="✓",AND(Setup!$D$7="Yes",P998&lt;=TODAY())),IF(L998&lt;&gt;"",L998,F998),0)))</f>
        <v/>
      </c>
      <c r="R998" s="32">
        <f>IF(A998="","",IF(M998&lt;&gt;"",M998,G998))</f>
        <v/>
      </c>
      <c r="S998" s="32">
        <f>IF(A998="","",IF(N998&lt;&gt;"",N998,H998))</f>
        <v/>
      </c>
      <c r="T998" s="32">
        <f>IF(A998="","",IF(C998="✗","Skipped",IF(Q998&gt;0,"Paid","Upcoming")))</f>
        <v/>
      </c>
      <c r="U998" s="36">
        <f>IF(A998="",0,IF(C998="✗",0,IF(L998&lt;&gt;"",L998,F998)))</f>
        <v/>
      </c>
    </row>
    <row r="999">
      <c r="A999" s="39">
        <f>IFERROR(SMALL(Calc!$B$2:$BB$61,994),"")</f>
        <v/>
      </c>
      <c r="B999" s="39">
        <f>IF(A999="","",ROUND(MOD(A999,1)*1000,0))</f>
        <v/>
      </c>
      <c r="C999" s="33" t="n"/>
      <c r="D999" s="40">
        <f>IF(A999="","",INT(A999))</f>
        <v/>
      </c>
      <c r="E999" s="41">
        <f>IF(B999="","",INDEX(Setup!$D$25:$D$84,B999))</f>
        <v/>
      </c>
      <c r="F999" s="42">
        <f>IF(B999="","",INDEX(Setup!$E$25:$E$84,B999))</f>
        <v/>
      </c>
      <c r="G999" s="39">
        <f>IF(B999="","",INDEX(Setup!$I$25:$I$84,B999)&amp;"")</f>
        <v/>
      </c>
      <c r="H999" s="39">
        <f>IF(B999="","",INDEX(Setup!$J$25:$J$84,B999)&amp;"")</f>
        <v/>
      </c>
      <c r="I999" s="39">
        <f>IF(B999="","",INDEX(Setup!$C$25:$C$84,B999))</f>
        <v/>
      </c>
      <c r="J999" s="39" t="n"/>
      <c r="K999" s="37" t="n"/>
      <c r="L999" s="38" t="n"/>
      <c r="M999" s="33" t="n"/>
      <c r="N999" s="33" t="n"/>
      <c r="O999" s="39" t="n"/>
      <c r="P999" s="40">
        <f>IF(A999="","",IF(K999&lt;&gt;"",K999,D999))</f>
        <v/>
      </c>
      <c r="Q999" s="42">
        <f>IF(A999="",0,IF(C999="✗",0,IF(OR(C999="✓",AND(Setup!$D$7="Yes",P999&lt;=TODAY())),IF(L999&lt;&gt;"",L999,F999),0)))</f>
        <v/>
      </c>
      <c r="R999" s="39">
        <f>IF(A999="","",IF(M999&lt;&gt;"",M999,G999))</f>
        <v/>
      </c>
      <c r="S999" s="39">
        <f>IF(A999="","",IF(N999&lt;&gt;"",N999,H999))</f>
        <v/>
      </c>
      <c r="T999" s="39">
        <f>IF(A999="","",IF(C999="✗","Skipped",IF(Q999&gt;0,"Paid","Upcoming")))</f>
        <v/>
      </c>
      <c r="U999" s="42">
        <f>IF(A999="",0,IF(C999="✗",0,IF(L999&lt;&gt;"",L999,F999)))</f>
        <v/>
      </c>
    </row>
    <row r="1000">
      <c r="A1000" s="32">
        <f>IFERROR(SMALL(Calc!$B$2:$BB$61,995),"")</f>
        <v/>
      </c>
      <c r="B1000" s="32">
        <f>IF(A1000="","",ROUND(MOD(A1000,1)*1000,0))</f>
        <v/>
      </c>
      <c r="C1000" s="33" t="n"/>
      <c r="D1000" s="34">
        <f>IF(A1000="","",INT(A1000))</f>
        <v/>
      </c>
      <c r="E1000" s="35">
        <f>IF(B1000="","",INDEX(Setup!$D$25:$D$84,B1000))</f>
        <v/>
      </c>
      <c r="F1000" s="36">
        <f>IF(B1000="","",INDEX(Setup!$E$25:$E$84,B1000))</f>
        <v/>
      </c>
      <c r="G1000" s="32">
        <f>IF(B1000="","",INDEX(Setup!$I$25:$I$84,B1000)&amp;"")</f>
        <v/>
      </c>
      <c r="H1000" s="32">
        <f>IF(B1000="","",INDEX(Setup!$J$25:$J$84,B1000)&amp;"")</f>
        <v/>
      </c>
      <c r="I1000" s="32">
        <f>IF(B1000="","",INDEX(Setup!$C$25:$C$84,B1000))</f>
        <v/>
      </c>
      <c r="J1000" s="32" t="n"/>
      <c r="K1000" s="37" t="n"/>
      <c r="L1000" s="38" t="n"/>
      <c r="M1000" s="33" t="n"/>
      <c r="N1000" s="33" t="n"/>
      <c r="O1000" s="32" t="n"/>
      <c r="P1000" s="34">
        <f>IF(A1000="","",IF(K1000&lt;&gt;"",K1000,D1000))</f>
        <v/>
      </c>
      <c r="Q1000" s="36">
        <f>IF(A1000="",0,IF(C1000="✗",0,IF(OR(C1000="✓",AND(Setup!$D$7="Yes",P1000&lt;=TODAY())),IF(L1000&lt;&gt;"",L1000,F1000),0)))</f>
        <v/>
      </c>
      <c r="R1000" s="32">
        <f>IF(A1000="","",IF(M1000&lt;&gt;"",M1000,G1000))</f>
        <v/>
      </c>
      <c r="S1000" s="32">
        <f>IF(A1000="","",IF(N1000&lt;&gt;"",N1000,H1000))</f>
        <v/>
      </c>
      <c r="T1000" s="32">
        <f>IF(A1000="","",IF(C1000="✗","Skipped",IF(Q1000&gt;0,"Paid","Upcoming")))</f>
        <v/>
      </c>
      <c r="U1000" s="36">
        <f>IF(A1000="",0,IF(C1000="✗",0,IF(L1000&lt;&gt;"",L1000,F1000)))</f>
        <v/>
      </c>
    </row>
    <row r="1001">
      <c r="A1001" s="39">
        <f>IFERROR(SMALL(Calc!$B$2:$BB$61,996),"")</f>
        <v/>
      </c>
      <c r="B1001" s="39">
        <f>IF(A1001="","",ROUND(MOD(A1001,1)*1000,0))</f>
        <v/>
      </c>
      <c r="C1001" s="33" t="n"/>
      <c r="D1001" s="40">
        <f>IF(A1001="","",INT(A1001))</f>
        <v/>
      </c>
      <c r="E1001" s="41">
        <f>IF(B1001="","",INDEX(Setup!$D$25:$D$84,B1001))</f>
        <v/>
      </c>
      <c r="F1001" s="42">
        <f>IF(B1001="","",INDEX(Setup!$E$25:$E$84,B1001))</f>
        <v/>
      </c>
      <c r="G1001" s="39">
        <f>IF(B1001="","",INDEX(Setup!$I$25:$I$84,B1001)&amp;"")</f>
        <v/>
      </c>
      <c r="H1001" s="39">
        <f>IF(B1001="","",INDEX(Setup!$J$25:$J$84,B1001)&amp;"")</f>
        <v/>
      </c>
      <c r="I1001" s="39">
        <f>IF(B1001="","",INDEX(Setup!$C$25:$C$84,B1001))</f>
        <v/>
      </c>
      <c r="J1001" s="39" t="n"/>
      <c r="K1001" s="37" t="n"/>
      <c r="L1001" s="38" t="n"/>
      <c r="M1001" s="33" t="n"/>
      <c r="N1001" s="33" t="n"/>
      <c r="O1001" s="39" t="n"/>
      <c r="P1001" s="40">
        <f>IF(A1001="","",IF(K1001&lt;&gt;"",K1001,D1001))</f>
        <v/>
      </c>
      <c r="Q1001" s="42">
        <f>IF(A1001="",0,IF(C1001="✗",0,IF(OR(C1001="✓",AND(Setup!$D$7="Yes",P1001&lt;=TODAY())),IF(L1001&lt;&gt;"",L1001,F1001),0)))</f>
        <v/>
      </c>
      <c r="R1001" s="39">
        <f>IF(A1001="","",IF(M1001&lt;&gt;"",M1001,G1001))</f>
        <v/>
      </c>
      <c r="S1001" s="39">
        <f>IF(A1001="","",IF(N1001&lt;&gt;"",N1001,H1001))</f>
        <v/>
      </c>
      <c r="T1001" s="39">
        <f>IF(A1001="","",IF(C1001="✗","Skipped",IF(Q1001&gt;0,"Paid","Upcoming")))</f>
        <v/>
      </c>
      <c r="U1001" s="42">
        <f>IF(A1001="",0,IF(C1001="✗",0,IF(L1001&lt;&gt;"",L1001,F1001)))</f>
        <v/>
      </c>
    </row>
    <row r="1002">
      <c r="A1002" s="32">
        <f>IFERROR(SMALL(Calc!$B$2:$BB$61,997),"")</f>
        <v/>
      </c>
      <c r="B1002" s="32">
        <f>IF(A1002="","",ROUND(MOD(A1002,1)*1000,0))</f>
        <v/>
      </c>
      <c r="C1002" s="33" t="n"/>
      <c r="D1002" s="34">
        <f>IF(A1002="","",INT(A1002))</f>
        <v/>
      </c>
      <c r="E1002" s="35">
        <f>IF(B1002="","",INDEX(Setup!$D$25:$D$84,B1002))</f>
        <v/>
      </c>
      <c r="F1002" s="36">
        <f>IF(B1002="","",INDEX(Setup!$E$25:$E$84,B1002))</f>
        <v/>
      </c>
      <c r="G1002" s="32">
        <f>IF(B1002="","",INDEX(Setup!$I$25:$I$84,B1002)&amp;"")</f>
        <v/>
      </c>
      <c r="H1002" s="32">
        <f>IF(B1002="","",INDEX(Setup!$J$25:$J$84,B1002)&amp;"")</f>
        <v/>
      </c>
      <c r="I1002" s="32">
        <f>IF(B1002="","",INDEX(Setup!$C$25:$C$84,B1002))</f>
        <v/>
      </c>
      <c r="J1002" s="32" t="n"/>
      <c r="K1002" s="37" t="n"/>
      <c r="L1002" s="38" t="n"/>
      <c r="M1002" s="33" t="n"/>
      <c r="N1002" s="33" t="n"/>
      <c r="O1002" s="32" t="n"/>
      <c r="P1002" s="34">
        <f>IF(A1002="","",IF(K1002&lt;&gt;"",K1002,D1002))</f>
        <v/>
      </c>
      <c r="Q1002" s="36">
        <f>IF(A1002="",0,IF(C1002="✗",0,IF(OR(C1002="✓",AND(Setup!$D$7="Yes",P1002&lt;=TODAY())),IF(L1002&lt;&gt;"",L1002,F1002),0)))</f>
        <v/>
      </c>
      <c r="R1002" s="32">
        <f>IF(A1002="","",IF(M1002&lt;&gt;"",M1002,G1002))</f>
        <v/>
      </c>
      <c r="S1002" s="32">
        <f>IF(A1002="","",IF(N1002&lt;&gt;"",N1002,H1002))</f>
        <v/>
      </c>
      <c r="T1002" s="32">
        <f>IF(A1002="","",IF(C1002="✗","Skipped",IF(Q1002&gt;0,"Paid","Upcoming")))</f>
        <v/>
      </c>
      <c r="U1002" s="36">
        <f>IF(A1002="",0,IF(C1002="✗",0,IF(L1002&lt;&gt;"",L1002,F1002)))</f>
        <v/>
      </c>
    </row>
    <row r="1003">
      <c r="A1003" s="39">
        <f>IFERROR(SMALL(Calc!$B$2:$BB$61,998),"")</f>
        <v/>
      </c>
      <c r="B1003" s="39">
        <f>IF(A1003="","",ROUND(MOD(A1003,1)*1000,0))</f>
        <v/>
      </c>
      <c r="C1003" s="33" t="n"/>
      <c r="D1003" s="40">
        <f>IF(A1003="","",INT(A1003))</f>
        <v/>
      </c>
      <c r="E1003" s="41">
        <f>IF(B1003="","",INDEX(Setup!$D$25:$D$84,B1003))</f>
        <v/>
      </c>
      <c r="F1003" s="42">
        <f>IF(B1003="","",INDEX(Setup!$E$25:$E$84,B1003))</f>
        <v/>
      </c>
      <c r="G1003" s="39">
        <f>IF(B1003="","",INDEX(Setup!$I$25:$I$84,B1003)&amp;"")</f>
        <v/>
      </c>
      <c r="H1003" s="39">
        <f>IF(B1003="","",INDEX(Setup!$J$25:$J$84,B1003)&amp;"")</f>
        <v/>
      </c>
      <c r="I1003" s="39">
        <f>IF(B1003="","",INDEX(Setup!$C$25:$C$84,B1003))</f>
        <v/>
      </c>
      <c r="J1003" s="39" t="n"/>
      <c r="K1003" s="37" t="n"/>
      <c r="L1003" s="38" t="n"/>
      <c r="M1003" s="33" t="n"/>
      <c r="N1003" s="33" t="n"/>
      <c r="O1003" s="39" t="n"/>
      <c r="P1003" s="40">
        <f>IF(A1003="","",IF(K1003&lt;&gt;"",K1003,D1003))</f>
        <v/>
      </c>
      <c r="Q1003" s="42">
        <f>IF(A1003="",0,IF(C1003="✗",0,IF(OR(C1003="✓",AND(Setup!$D$7="Yes",P1003&lt;=TODAY())),IF(L1003&lt;&gt;"",L1003,F1003),0)))</f>
        <v/>
      </c>
      <c r="R1003" s="39">
        <f>IF(A1003="","",IF(M1003&lt;&gt;"",M1003,G1003))</f>
        <v/>
      </c>
      <c r="S1003" s="39">
        <f>IF(A1003="","",IF(N1003&lt;&gt;"",N1003,H1003))</f>
        <v/>
      </c>
      <c r="T1003" s="39">
        <f>IF(A1003="","",IF(C1003="✗","Skipped",IF(Q1003&gt;0,"Paid","Upcoming")))</f>
        <v/>
      </c>
      <c r="U1003" s="42">
        <f>IF(A1003="",0,IF(C1003="✗",0,IF(L1003&lt;&gt;"",L1003,F1003)))</f>
        <v/>
      </c>
    </row>
    <row r="1004">
      <c r="A1004" s="32">
        <f>IFERROR(SMALL(Calc!$B$2:$BB$61,999),"")</f>
        <v/>
      </c>
      <c r="B1004" s="32">
        <f>IF(A1004="","",ROUND(MOD(A1004,1)*1000,0))</f>
        <v/>
      </c>
      <c r="C1004" s="33" t="n"/>
      <c r="D1004" s="34">
        <f>IF(A1004="","",INT(A1004))</f>
        <v/>
      </c>
      <c r="E1004" s="35">
        <f>IF(B1004="","",INDEX(Setup!$D$25:$D$84,B1004))</f>
        <v/>
      </c>
      <c r="F1004" s="36">
        <f>IF(B1004="","",INDEX(Setup!$E$25:$E$84,B1004))</f>
        <v/>
      </c>
      <c r="G1004" s="32">
        <f>IF(B1004="","",INDEX(Setup!$I$25:$I$84,B1004)&amp;"")</f>
        <v/>
      </c>
      <c r="H1004" s="32">
        <f>IF(B1004="","",INDEX(Setup!$J$25:$J$84,B1004)&amp;"")</f>
        <v/>
      </c>
      <c r="I1004" s="32">
        <f>IF(B1004="","",INDEX(Setup!$C$25:$C$84,B1004))</f>
        <v/>
      </c>
      <c r="J1004" s="32" t="n"/>
      <c r="K1004" s="37" t="n"/>
      <c r="L1004" s="38" t="n"/>
      <c r="M1004" s="33" t="n"/>
      <c r="N1004" s="33" t="n"/>
      <c r="O1004" s="32" t="n"/>
      <c r="P1004" s="34">
        <f>IF(A1004="","",IF(K1004&lt;&gt;"",K1004,D1004))</f>
        <v/>
      </c>
      <c r="Q1004" s="36">
        <f>IF(A1004="",0,IF(C1004="✗",0,IF(OR(C1004="✓",AND(Setup!$D$7="Yes",P1004&lt;=TODAY())),IF(L1004&lt;&gt;"",L1004,F1004),0)))</f>
        <v/>
      </c>
      <c r="R1004" s="32">
        <f>IF(A1004="","",IF(M1004&lt;&gt;"",M1004,G1004))</f>
        <v/>
      </c>
      <c r="S1004" s="32">
        <f>IF(A1004="","",IF(N1004&lt;&gt;"",N1004,H1004))</f>
        <v/>
      </c>
      <c r="T1004" s="32">
        <f>IF(A1004="","",IF(C1004="✗","Skipped",IF(Q1004&gt;0,"Paid","Upcoming")))</f>
        <v/>
      </c>
      <c r="U1004" s="36">
        <f>IF(A1004="",0,IF(C1004="✗",0,IF(L1004&lt;&gt;"",L1004,F1004)))</f>
        <v/>
      </c>
    </row>
    <row r="1005">
      <c r="A1005" s="39">
        <f>IFERROR(SMALL(Calc!$B$2:$BB$61,1000),"")</f>
        <v/>
      </c>
      <c r="B1005" s="39">
        <f>IF(A1005="","",ROUND(MOD(A1005,1)*1000,0))</f>
        <v/>
      </c>
      <c r="C1005" s="33" t="n"/>
      <c r="D1005" s="40">
        <f>IF(A1005="","",INT(A1005))</f>
        <v/>
      </c>
      <c r="E1005" s="41">
        <f>IF(B1005="","",INDEX(Setup!$D$25:$D$84,B1005))</f>
        <v/>
      </c>
      <c r="F1005" s="42">
        <f>IF(B1005="","",INDEX(Setup!$E$25:$E$84,B1005))</f>
        <v/>
      </c>
      <c r="G1005" s="39">
        <f>IF(B1005="","",INDEX(Setup!$I$25:$I$84,B1005)&amp;"")</f>
        <v/>
      </c>
      <c r="H1005" s="39">
        <f>IF(B1005="","",INDEX(Setup!$J$25:$J$84,B1005)&amp;"")</f>
        <v/>
      </c>
      <c r="I1005" s="39">
        <f>IF(B1005="","",INDEX(Setup!$C$25:$C$84,B1005))</f>
        <v/>
      </c>
      <c r="J1005" s="39" t="n"/>
      <c r="K1005" s="37" t="n"/>
      <c r="L1005" s="38" t="n"/>
      <c r="M1005" s="33" t="n"/>
      <c r="N1005" s="33" t="n"/>
      <c r="O1005" s="39" t="n"/>
      <c r="P1005" s="40">
        <f>IF(A1005="","",IF(K1005&lt;&gt;"",K1005,D1005))</f>
        <v/>
      </c>
      <c r="Q1005" s="42">
        <f>IF(A1005="",0,IF(C1005="✗",0,IF(OR(C1005="✓",AND(Setup!$D$7="Yes",P1005&lt;=TODAY())),IF(L1005&lt;&gt;"",L1005,F1005),0)))</f>
        <v/>
      </c>
      <c r="R1005" s="39">
        <f>IF(A1005="","",IF(M1005&lt;&gt;"",M1005,G1005))</f>
        <v/>
      </c>
      <c r="S1005" s="39">
        <f>IF(A1005="","",IF(N1005&lt;&gt;"",N1005,H1005))</f>
        <v/>
      </c>
      <c r="T1005" s="39">
        <f>IF(A1005="","",IF(C1005="✗","Skipped",IF(Q1005&gt;0,"Paid","Upcoming")))</f>
        <v/>
      </c>
      <c r="U1005" s="42">
        <f>IF(A1005="",0,IF(C1005="✗",0,IF(L1005&lt;&gt;"",L1005,F1005)))</f>
        <v/>
      </c>
    </row>
    <row r="1006">
      <c r="A1006" s="32">
        <f>IFERROR(SMALL(Calc!$B$2:$BB$61,1001),"")</f>
        <v/>
      </c>
      <c r="B1006" s="32">
        <f>IF(A1006="","",ROUND(MOD(A1006,1)*1000,0))</f>
        <v/>
      </c>
      <c r="C1006" s="33" t="n"/>
      <c r="D1006" s="34">
        <f>IF(A1006="","",INT(A1006))</f>
        <v/>
      </c>
      <c r="E1006" s="35">
        <f>IF(B1006="","",INDEX(Setup!$D$25:$D$84,B1006))</f>
        <v/>
      </c>
      <c r="F1006" s="36">
        <f>IF(B1006="","",INDEX(Setup!$E$25:$E$84,B1006))</f>
        <v/>
      </c>
      <c r="G1006" s="32">
        <f>IF(B1006="","",INDEX(Setup!$I$25:$I$84,B1006)&amp;"")</f>
        <v/>
      </c>
      <c r="H1006" s="32">
        <f>IF(B1006="","",INDEX(Setup!$J$25:$J$84,B1006)&amp;"")</f>
        <v/>
      </c>
      <c r="I1006" s="32">
        <f>IF(B1006="","",INDEX(Setup!$C$25:$C$84,B1006))</f>
        <v/>
      </c>
      <c r="J1006" s="32" t="n"/>
      <c r="K1006" s="37" t="n"/>
      <c r="L1006" s="38" t="n"/>
      <c r="M1006" s="33" t="n"/>
      <c r="N1006" s="33" t="n"/>
      <c r="O1006" s="32" t="n"/>
      <c r="P1006" s="34">
        <f>IF(A1006="","",IF(K1006&lt;&gt;"",K1006,D1006))</f>
        <v/>
      </c>
      <c r="Q1006" s="36">
        <f>IF(A1006="",0,IF(C1006="✗",0,IF(OR(C1006="✓",AND(Setup!$D$7="Yes",P1006&lt;=TODAY())),IF(L1006&lt;&gt;"",L1006,F1006),0)))</f>
        <v/>
      </c>
      <c r="R1006" s="32">
        <f>IF(A1006="","",IF(M1006&lt;&gt;"",M1006,G1006))</f>
        <v/>
      </c>
      <c r="S1006" s="32">
        <f>IF(A1006="","",IF(N1006&lt;&gt;"",N1006,H1006))</f>
        <v/>
      </c>
      <c r="T1006" s="32">
        <f>IF(A1006="","",IF(C1006="✗","Skipped",IF(Q1006&gt;0,"Paid","Upcoming")))</f>
        <v/>
      </c>
      <c r="U1006" s="36">
        <f>IF(A1006="",0,IF(C1006="✗",0,IF(L1006&lt;&gt;"",L1006,F1006)))</f>
        <v/>
      </c>
    </row>
    <row r="1007">
      <c r="A1007" s="39">
        <f>IFERROR(SMALL(Calc!$B$2:$BB$61,1002),"")</f>
        <v/>
      </c>
      <c r="B1007" s="39">
        <f>IF(A1007="","",ROUND(MOD(A1007,1)*1000,0))</f>
        <v/>
      </c>
      <c r="C1007" s="33" t="n"/>
      <c r="D1007" s="40">
        <f>IF(A1007="","",INT(A1007))</f>
        <v/>
      </c>
      <c r="E1007" s="41">
        <f>IF(B1007="","",INDEX(Setup!$D$25:$D$84,B1007))</f>
        <v/>
      </c>
      <c r="F1007" s="42">
        <f>IF(B1007="","",INDEX(Setup!$E$25:$E$84,B1007))</f>
        <v/>
      </c>
      <c r="G1007" s="39">
        <f>IF(B1007="","",INDEX(Setup!$I$25:$I$84,B1007)&amp;"")</f>
        <v/>
      </c>
      <c r="H1007" s="39">
        <f>IF(B1007="","",INDEX(Setup!$J$25:$J$84,B1007)&amp;"")</f>
        <v/>
      </c>
      <c r="I1007" s="39">
        <f>IF(B1007="","",INDEX(Setup!$C$25:$C$84,B1007))</f>
        <v/>
      </c>
      <c r="J1007" s="39" t="n"/>
      <c r="K1007" s="37" t="n"/>
      <c r="L1007" s="38" t="n"/>
      <c r="M1007" s="33" t="n"/>
      <c r="N1007" s="33" t="n"/>
      <c r="O1007" s="39" t="n"/>
      <c r="P1007" s="40">
        <f>IF(A1007="","",IF(K1007&lt;&gt;"",K1007,D1007))</f>
        <v/>
      </c>
      <c r="Q1007" s="42">
        <f>IF(A1007="",0,IF(C1007="✗",0,IF(OR(C1007="✓",AND(Setup!$D$7="Yes",P1007&lt;=TODAY())),IF(L1007&lt;&gt;"",L1007,F1007),0)))</f>
        <v/>
      </c>
      <c r="R1007" s="39">
        <f>IF(A1007="","",IF(M1007&lt;&gt;"",M1007,G1007))</f>
        <v/>
      </c>
      <c r="S1007" s="39">
        <f>IF(A1007="","",IF(N1007&lt;&gt;"",N1007,H1007))</f>
        <v/>
      </c>
      <c r="T1007" s="39">
        <f>IF(A1007="","",IF(C1007="✗","Skipped",IF(Q1007&gt;0,"Paid","Upcoming")))</f>
        <v/>
      </c>
      <c r="U1007" s="42">
        <f>IF(A1007="",0,IF(C1007="✗",0,IF(L1007&lt;&gt;"",L1007,F1007)))</f>
        <v/>
      </c>
    </row>
    <row r="1008">
      <c r="A1008" s="32">
        <f>IFERROR(SMALL(Calc!$B$2:$BB$61,1003),"")</f>
        <v/>
      </c>
      <c r="B1008" s="32">
        <f>IF(A1008="","",ROUND(MOD(A1008,1)*1000,0))</f>
        <v/>
      </c>
      <c r="C1008" s="33" t="n"/>
      <c r="D1008" s="34">
        <f>IF(A1008="","",INT(A1008))</f>
        <v/>
      </c>
      <c r="E1008" s="35">
        <f>IF(B1008="","",INDEX(Setup!$D$25:$D$84,B1008))</f>
        <v/>
      </c>
      <c r="F1008" s="36">
        <f>IF(B1008="","",INDEX(Setup!$E$25:$E$84,B1008))</f>
        <v/>
      </c>
      <c r="G1008" s="32">
        <f>IF(B1008="","",INDEX(Setup!$I$25:$I$84,B1008)&amp;"")</f>
        <v/>
      </c>
      <c r="H1008" s="32">
        <f>IF(B1008="","",INDEX(Setup!$J$25:$J$84,B1008)&amp;"")</f>
        <v/>
      </c>
      <c r="I1008" s="32">
        <f>IF(B1008="","",INDEX(Setup!$C$25:$C$84,B1008))</f>
        <v/>
      </c>
      <c r="J1008" s="32" t="n"/>
      <c r="K1008" s="37" t="n"/>
      <c r="L1008" s="38" t="n"/>
      <c r="M1008" s="33" t="n"/>
      <c r="N1008" s="33" t="n"/>
      <c r="O1008" s="32" t="n"/>
      <c r="P1008" s="34">
        <f>IF(A1008="","",IF(K1008&lt;&gt;"",K1008,D1008))</f>
        <v/>
      </c>
      <c r="Q1008" s="36">
        <f>IF(A1008="",0,IF(C1008="✗",0,IF(OR(C1008="✓",AND(Setup!$D$7="Yes",P1008&lt;=TODAY())),IF(L1008&lt;&gt;"",L1008,F1008),0)))</f>
        <v/>
      </c>
      <c r="R1008" s="32">
        <f>IF(A1008="","",IF(M1008&lt;&gt;"",M1008,G1008))</f>
        <v/>
      </c>
      <c r="S1008" s="32">
        <f>IF(A1008="","",IF(N1008&lt;&gt;"",N1008,H1008))</f>
        <v/>
      </c>
      <c r="T1008" s="32">
        <f>IF(A1008="","",IF(C1008="✗","Skipped",IF(Q1008&gt;0,"Paid","Upcoming")))</f>
        <v/>
      </c>
      <c r="U1008" s="36">
        <f>IF(A1008="",0,IF(C1008="✗",0,IF(L1008&lt;&gt;"",L1008,F1008)))</f>
        <v/>
      </c>
    </row>
    <row r="1009">
      <c r="A1009" s="39">
        <f>IFERROR(SMALL(Calc!$B$2:$BB$61,1004),"")</f>
        <v/>
      </c>
      <c r="B1009" s="39">
        <f>IF(A1009="","",ROUND(MOD(A1009,1)*1000,0))</f>
        <v/>
      </c>
      <c r="C1009" s="33" t="n"/>
      <c r="D1009" s="40">
        <f>IF(A1009="","",INT(A1009))</f>
        <v/>
      </c>
      <c r="E1009" s="41">
        <f>IF(B1009="","",INDEX(Setup!$D$25:$D$84,B1009))</f>
        <v/>
      </c>
      <c r="F1009" s="42">
        <f>IF(B1009="","",INDEX(Setup!$E$25:$E$84,B1009))</f>
        <v/>
      </c>
      <c r="G1009" s="39">
        <f>IF(B1009="","",INDEX(Setup!$I$25:$I$84,B1009)&amp;"")</f>
        <v/>
      </c>
      <c r="H1009" s="39">
        <f>IF(B1009="","",INDEX(Setup!$J$25:$J$84,B1009)&amp;"")</f>
        <v/>
      </c>
      <c r="I1009" s="39">
        <f>IF(B1009="","",INDEX(Setup!$C$25:$C$84,B1009))</f>
        <v/>
      </c>
      <c r="J1009" s="39" t="n"/>
      <c r="K1009" s="37" t="n"/>
      <c r="L1009" s="38" t="n"/>
      <c r="M1009" s="33" t="n"/>
      <c r="N1009" s="33" t="n"/>
      <c r="O1009" s="39" t="n"/>
      <c r="P1009" s="40">
        <f>IF(A1009="","",IF(K1009&lt;&gt;"",K1009,D1009))</f>
        <v/>
      </c>
      <c r="Q1009" s="42">
        <f>IF(A1009="",0,IF(C1009="✗",0,IF(OR(C1009="✓",AND(Setup!$D$7="Yes",P1009&lt;=TODAY())),IF(L1009&lt;&gt;"",L1009,F1009),0)))</f>
        <v/>
      </c>
      <c r="R1009" s="39">
        <f>IF(A1009="","",IF(M1009&lt;&gt;"",M1009,G1009))</f>
        <v/>
      </c>
      <c r="S1009" s="39">
        <f>IF(A1009="","",IF(N1009&lt;&gt;"",N1009,H1009))</f>
        <v/>
      </c>
      <c r="T1009" s="39">
        <f>IF(A1009="","",IF(C1009="✗","Skipped",IF(Q1009&gt;0,"Paid","Upcoming")))</f>
        <v/>
      </c>
      <c r="U1009" s="42">
        <f>IF(A1009="",0,IF(C1009="✗",0,IF(L1009&lt;&gt;"",L1009,F1009)))</f>
        <v/>
      </c>
    </row>
    <row r="1010">
      <c r="A1010" s="32">
        <f>IFERROR(SMALL(Calc!$B$2:$BB$61,1005),"")</f>
        <v/>
      </c>
      <c r="B1010" s="32">
        <f>IF(A1010="","",ROUND(MOD(A1010,1)*1000,0))</f>
        <v/>
      </c>
      <c r="C1010" s="33" t="n"/>
      <c r="D1010" s="34">
        <f>IF(A1010="","",INT(A1010))</f>
        <v/>
      </c>
      <c r="E1010" s="35">
        <f>IF(B1010="","",INDEX(Setup!$D$25:$D$84,B1010))</f>
        <v/>
      </c>
      <c r="F1010" s="36">
        <f>IF(B1010="","",INDEX(Setup!$E$25:$E$84,B1010))</f>
        <v/>
      </c>
      <c r="G1010" s="32">
        <f>IF(B1010="","",INDEX(Setup!$I$25:$I$84,B1010)&amp;"")</f>
        <v/>
      </c>
      <c r="H1010" s="32">
        <f>IF(B1010="","",INDEX(Setup!$J$25:$J$84,B1010)&amp;"")</f>
        <v/>
      </c>
      <c r="I1010" s="32">
        <f>IF(B1010="","",INDEX(Setup!$C$25:$C$84,B1010))</f>
        <v/>
      </c>
      <c r="J1010" s="32" t="n"/>
      <c r="K1010" s="37" t="n"/>
      <c r="L1010" s="38" t="n"/>
      <c r="M1010" s="33" t="n"/>
      <c r="N1010" s="33" t="n"/>
      <c r="O1010" s="32" t="n"/>
      <c r="P1010" s="34">
        <f>IF(A1010="","",IF(K1010&lt;&gt;"",K1010,D1010))</f>
        <v/>
      </c>
      <c r="Q1010" s="36">
        <f>IF(A1010="",0,IF(C1010="✗",0,IF(OR(C1010="✓",AND(Setup!$D$7="Yes",P1010&lt;=TODAY())),IF(L1010&lt;&gt;"",L1010,F1010),0)))</f>
        <v/>
      </c>
      <c r="R1010" s="32">
        <f>IF(A1010="","",IF(M1010&lt;&gt;"",M1010,G1010))</f>
        <v/>
      </c>
      <c r="S1010" s="32">
        <f>IF(A1010="","",IF(N1010&lt;&gt;"",N1010,H1010))</f>
        <v/>
      </c>
      <c r="T1010" s="32">
        <f>IF(A1010="","",IF(C1010="✗","Skipped",IF(Q1010&gt;0,"Paid","Upcoming")))</f>
        <v/>
      </c>
      <c r="U1010" s="36">
        <f>IF(A1010="",0,IF(C1010="✗",0,IF(L1010&lt;&gt;"",L1010,F1010)))</f>
        <v/>
      </c>
    </row>
    <row r="1011">
      <c r="A1011" s="39">
        <f>IFERROR(SMALL(Calc!$B$2:$BB$61,1006),"")</f>
        <v/>
      </c>
      <c r="B1011" s="39">
        <f>IF(A1011="","",ROUND(MOD(A1011,1)*1000,0))</f>
        <v/>
      </c>
      <c r="C1011" s="33" t="n"/>
      <c r="D1011" s="40">
        <f>IF(A1011="","",INT(A1011))</f>
        <v/>
      </c>
      <c r="E1011" s="41">
        <f>IF(B1011="","",INDEX(Setup!$D$25:$D$84,B1011))</f>
        <v/>
      </c>
      <c r="F1011" s="42">
        <f>IF(B1011="","",INDEX(Setup!$E$25:$E$84,B1011))</f>
        <v/>
      </c>
      <c r="G1011" s="39">
        <f>IF(B1011="","",INDEX(Setup!$I$25:$I$84,B1011)&amp;"")</f>
        <v/>
      </c>
      <c r="H1011" s="39">
        <f>IF(B1011="","",INDEX(Setup!$J$25:$J$84,B1011)&amp;"")</f>
        <v/>
      </c>
      <c r="I1011" s="39">
        <f>IF(B1011="","",INDEX(Setup!$C$25:$C$84,B1011))</f>
        <v/>
      </c>
      <c r="J1011" s="39" t="n"/>
      <c r="K1011" s="37" t="n"/>
      <c r="L1011" s="38" t="n"/>
      <c r="M1011" s="33" t="n"/>
      <c r="N1011" s="33" t="n"/>
      <c r="O1011" s="39" t="n"/>
      <c r="P1011" s="40">
        <f>IF(A1011="","",IF(K1011&lt;&gt;"",K1011,D1011))</f>
        <v/>
      </c>
      <c r="Q1011" s="42">
        <f>IF(A1011="",0,IF(C1011="✗",0,IF(OR(C1011="✓",AND(Setup!$D$7="Yes",P1011&lt;=TODAY())),IF(L1011&lt;&gt;"",L1011,F1011),0)))</f>
        <v/>
      </c>
      <c r="R1011" s="39">
        <f>IF(A1011="","",IF(M1011&lt;&gt;"",M1011,G1011))</f>
        <v/>
      </c>
      <c r="S1011" s="39">
        <f>IF(A1011="","",IF(N1011&lt;&gt;"",N1011,H1011))</f>
        <v/>
      </c>
      <c r="T1011" s="39">
        <f>IF(A1011="","",IF(C1011="✗","Skipped",IF(Q1011&gt;0,"Paid","Upcoming")))</f>
        <v/>
      </c>
      <c r="U1011" s="42">
        <f>IF(A1011="",0,IF(C1011="✗",0,IF(L1011&lt;&gt;"",L1011,F1011)))</f>
        <v/>
      </c>
    </row>
    <row r="1012">
      <c r="A1012" s="32">
        <f>IFERROR(SMALL(Calc!$B$2:$BB$61,1007),"")</f>
        <v/>
      </c>
      <c r="B1012" s="32">
        <f>IF(A1012="","",ROUND(MOD(A1012,1)*1000,0))</f>
        <v/>
      </c>
      <c r="C1012" s="33" t="n"/>
      <c r="D1012" s="34">
        <f>IF(A1012="","",INT(A1012))</f>
        <v/>
      </c>
      <c r="E1012" s="35">
        <f>IF(B1012="","",INDEX(Setup!$D$25:$D$84,B1012))</f>
        <v/>
      </c>
      <c r="F1012" s="36">
        <f>IF(B1012="","",INDEX(Setup!$E$25:$E$84,B1012))</f>
        <v/>
      </c>
      <c r="G1012" s="32">
        <f>IF(B1012="","",INDEX(Setup!$I$25:$I$84,B1012)&amp;"")</f>
        <v/>
      </c>
      <c r="H1012" s="32">
        <f>IF(B1012="","",INDEX(Setup!$J$25:$J$84,B1012)&amp;"")</f>
        <v/>
      </c>
      <c r="I1012" s="32">
        <f>IF(B1012="","",INDEX(Setup!$C$25:$C$84,B1012))</f>
        <v/>
      </c>
      <c r="J1012" s="32" t="n"/>
      <c r="K1012" s="37" t="n"/>
      <c r="L1012" s="38" t="n"/>
      <c r="M1012" s="33" t="n"/>
      <c r="N1012" s="33" t="n"/>
      <c r="O1012" s="32" t="n"/>
      <c r="P1012" s="34">
        <f>IF(A1012="","",IF(K1012&lt;&gt;"",K1012,D1012))</f>
        <v/>
      </c>
      <c r="Q1012" s="36">
        <f>IF(A1012="",0,IF(C1012="✗",0,IF(OR(C1012="✓",AND(Setup!$D$7="Yes",P1012&lt;=TODAY())),IF(L1012&lt;&gt;"",L1012,F1012),0)))</f>
        <v/>
      </c>
      <c r="R1012" s="32">
        <f>IF(A1012="","",IF(M1012&lt;&gt;"",M1012,G1012))</f>
        <v/>
      </c>
      <c r="S1012" s="32">
        <f>IF(A1012="","",IF(N1012&lt;&gt;"",N1012,H1012))</f>
        <v/>
      </c>
      <c r="T1012" s="32">
        <f>IF(A1012="","",IF(C1012="✗","Skipped",IF(Q1012&gt;0,"Paid","Upcoming")))</f>
        <v/>
      </c>
      <c r="U1012" s="36">
        <f>IF(A1012="",0,IF(C1012="✗",0,IF(L1012&lt;&gt;"",L1012,F1012)))</f>
        <v/>
      </c>
    </row>
    <row r="1013">
      <c r="A1013" s="39">
        <f>IFERROR(SMALL(Calc!$B$2:$BB$61,1008),"")</f>
        <v/>
      </c>
      <c r="B1013" s="39">
        <f>IF(A1013="","",ROUND(MOD(A1013,1)*1000,0))</f>
        <v/>
      </c>
      <c r="C1013" s="33" t="n"/>
      <c r="D1013" s="40">
        <f>IF(A1013="","",INT(A1013))</f>
        <v/>
      </c>
      <c r="E1013" s="41">
        <f>IF(B1013="","",INDEX(Setup!$D$25:$D$84,B1013))</f>
        <v/>
      </c>
      <c r="F1013" s="42">
        <f>IF(B1013="","",INDEX(Setup!$E$25:$E$84,B1013))</f>
        <v/>
      </c>
      <c r="G1013" s="39">
        <f>IF(B1013="","",INDEX(Setup!$I$25:$I$84,B1013)&amp;"")</f>
        <v/>
      </c>
      <c r="H1013" s="39">
        <f>IF(B1013="","",INDEX(Setup!$J$25:$J$84,B1013)&amp;"")</f>
        <v/>
      </c>
      <c r="I1013" s="39">
        <f>IF(B1013="","",INDEX(Setup!$C$25:$C$84,B1013))</f>
        <v/>
      </c>
      <c r="J1013" s="39" t="n"/>
      <c r="K1013" s="37" t="n"/>
      <c r="L1013" s="38" t="n"/>
      <c r="M1013" s="33" t="n"/>
      <c r="N1013" s="33" t="n"/>
      <c r="O1013" s="39" t="n"/>
      <c r="P1013" s="40">
        <f>IF(A1013="","",IF(K1013&lt;&gt;"",K1013,D1013))</f>
        <v/>
      </c>
      <c r="Q1013" s="42">
        <f>IF(A1013="",0,IF(C1013="✗",0,IF(OR(C1013="✓",AND(Setup!$D$7="Yes",P1013&lt;=TODAY())),IF(L1013&lt;&gt;"",L1013,F1013),0)))</f>
        <v/>
      </c>
      <c r="R1013" s="39">
        <f>IF(A1013="","",IF(M1013&lt;&gt;"",M1013,G1013))</f>
        <v/>
      </c>
      <c r="S1013" s="39">
        <f>IF(A1013="","",IF(N1013&lt;&gt;"",N1013,H1013))</f>
        <v/>
      </c>
      <c r="T1013" s="39">
        <f>IF(A1013="","",IF(C1013="✗","Skipped",IF(Q1013&gt;0,"Paid","Upcoming")))</f>
        <v/>
      </c>
      <c r="U1013" s="42">
        <f>IF(A1013="",0,IF(C1013="✗",0,IF(L1013&lt;&gt;"",L1013,F1013)))</f>
        <v/>
      </c>
    </row>
    <row r="1014">
      <c r="A1014" s="32">
        <f>IFERROR(SMALL(Calc!$B$2:$BB$61,1009),"")</f>
        <v/>
      </c>
      <c r="B1014" s="32">
        <f>IF(A1014="","",ROUND(MOD(A1014,1)*1000,0))</f>
        <v/>
      </c>
      <c r="C1014" s="33" t="n"/>
      <c r="D1014" s="34">
        <f>IF(A1014="","",INT(A1014))</f>
        <v/>
      </c>
      <c r="E1014" s="35">
        <f>IF(B1014="","",INDEX(Setup!$D$25:$D$84,B1014))</f>
        <v/>
      </c>
      <c r="F1014" s="36">
        <f>IF(B1014="","",INDEX(Setup!$E$25:$E$84,B1014))</f>
        <v/>
      </c>
      <c r="G1014" s="32">
        <f>IF(B1014="","",INDEX(Setup!$I$25:$I$84,B1014)&amp;"")</f>
        <v/>
      </c>
      <c r="H1014" s="32">
        <f>IF(B1014="","",INDEX(Setup!$J$25:$J$84,B1014)&amp;"")</f>
        <v/>
      </c>
      <c r="I1014" s="32">
        <f>IF(B1014="","",INDEX(Setup!$C$25:$C$84,B1014))</f>
        <v/>
      </c>
      <c r="J1014" s="32" t="n"/>
      <c r="K1014" s="37" t="n"/>
      <c r="L1014" s="38" t="n"/>
      <c r="M1014" s="33" t="n"/>
      <c r="N1014" s="33" t="n"/>
      <c r="O1014" s="32" t="n"/>
      <c r="P1014" s="34">
        <f>IF(A1014="","",IF(K1014&lt;&gt;"",K1014,D1014))</f>
        <v/>
      </c>
      <c r="Q1014" s="36">
        <f>IF(A1014="",0,IF(C1014="✗",0,IF(OR(C1014="✓",AND(Setup!$D$7="Yes",P1014&lt;=TODAY())),IF(L1014&lt;&gt;"",L1014,F1014),0)))</f>
        <v/>
      </c>
      <c r="R1014" s="32">
        <f>IF(A1014="","",IF(M1014&lt;&gt;"",M1014,G1014))</f>
        <v/>
      </c>
      <c r="S1014" s="32">
        <f>IF(A1014="","",IF(N1014&lt;&gt;"",N1014,H1014))</f>
        <v/>
      </c>
      <c r="T1014" s="32">
        <f>IF(A1014="","",IF(C1014="✗","Skipped",IF(Q1014&gt;0,"Paid","Upcoming")))</f>
        <v/>
      </c>
      <c r="U1014" s="36">
        <f>IF(A1014="",0,IF(C1014="✗",0,IF(L1014&lt;&gt;"",L1014,F1014)))</f>
        <v/>
      </c>
    </row>
    <row r="1015">
      <c r="A1015" s="39">
        <f>IFERROR(SMALL(Calc!$B$2:$BB$61,1010),"")</f>
        <v/>
      </c>
      <c r="B1015" s="39">
        <f>IF(A1015="","",ROUND(MOD(A1015,1)*1000,0))</f>
        <v/>
      </c>
      <c r="C1015" s="33" t="n"/>
      <c r="D1015" s="40">
        <f>IF(A1015="","",INT(A1015))</f>
        <v/>
      </c>
      <c r="E1015" s="41">
        <f>IF(B1015="","",INDEX(Setup!$D$25:$D$84,B1015))</f>
        <v/>
      </c>
      <c r="F1015" s="42">
        <f>IF(B1015="","",INDEX(Setup!$E$25:$E$84,B1015))</f>
        <v/>
      </c>
      <c r="G1015" s="39">
        <f>IF(B1015="","",INDEX(Setup!$I$25:$I$84,B1015)&amp;"")</f>
        <v/>
      </c>
      <c r="H1015" s="39">
        <f>IF(B1015="","",INDEX(Setup!$J$25:$J$84,B1015)&amp;"")</f>
        <v/>
      </c>
      <c r="I1015" s="39">
        <f>IF(B1015="","",INDEX(Setup!$C$25:$C$84,B1015))</f>
        <v/>
      </c>
      <c r="J1015" s="39" t="n"/>
      <c r="K1015" s="37" t="n"/>
      <c r="L1015" s="38" t="n"/>
      <c r="M1015" s="33" t="n"/>
      <c r="N1015" s="33" t="n"/>
      <c r="O1015" s="39" t="n"/>
      <c r="P1015" s="40">
        <f>IF(A1015="","",IF(K1015&lt;&gt;"",K1015,D1015))</f>
        <v/>
      </c>
      <c r="Q1015" s="42">
        <f>IF(A1015="",0,IF(C1015="✗",0,IF(OR(C1015="✓",AND(Setup!$D$7="Yes",P1015&lt;=TODAY())),IF(L1015&lt;&gt;"",L1015,F1015),0)))</f>
        <v/>
      </c>
      <c r="R1015" s="39">
        <f>IF(A1015="","",IF(M1015&lt;&gt;"",M1015,G1015))</f>
        <v/>
      </c>
      <c r="S1015" s="39">
        <f>IF(A1015="","",IF(N1015&lt;&gt;"",N1015,H1015))</f>
        <v/>
      </c>
      <c r="T1015" s="39">
        <f>IF(A1015="","",IF(C1015="✗","Skipped",IF(Q1015&gt;0,"Paid","Upcoming")))</f>
        <v/>
      </c>
      <c r="U1015" s="42">
        <f>IF(A1015="",0,IF(C1015="✗",0,IF(L1015&lt;&gt;"",L1015,F1015)))</f>
        <v/>
      </c>
    </row>
    <row r="1016">
      <c r="A1016" s="32">
        <f>IFERROR(SMALL(Calc!$B$2:$BB$61,1011),"")</f>
        <v/>
      </c>
      <c r="B1016" s="32">
        <f>IF(A1016="","",ROUND(MOD(A1016,1)*1000,0))</f>
        <v/>
      </c>
      <c r="C1016" s="33" t="n"/>
      <c r="D1016" s="34">
        <f>IF(A1016="","",INT(A1016))</f>
        <v/>
      </c>
      <c r="E1016" s="35">
        <f>IF(B1016="","",INDEX(Setup!$D$25:$D$84,B1016))</f>
        <v/>
      </c>
      <c r="F1016" s="36">
        <f>IF(B1016="","",INDEX(Setup!$E$25:$E$84,B1016))</f>
        <v/>
      </c>
      <c r="G1016" s="32">
        <f>IF(B1016="","",INDEX(Setup!$I$25:$I$84,B1016)&amp;"")</f>
        <v/>
      </c>
      <c r="H1016" s="32">
        <f>IF(B1016="","",INDEX(Setup!$J$25:$J$84,B1016)&amp;"")</f>
        <v/>
      </c>
      <c r="I1016" s="32">
        <f>IF(B1016="","",INDEX(Setup!$C$25:$C$84,B1016))</f>
        <v/>
      </c>
      <c r="J1016" s="32" t="n"/>
      <c r="K1016" s="37" t="n"/>
      <c r="L1016" s="38" t="n"/>
      <c r="M1016" s="33" t="n"/>
      <c r="N1016" s="33" t="n"/>
      <c r="O1016" s="32" t="n"/>
      <c r="P1016" s="34">
        <f>IF(A1016="","",IF(K1016&lt;&gt;"",K1016,D1016))</f>
        <v/>
      </c>
      <c r="Q1016" s="36">
        <f>IF(A1016="",0,IF(C1016="✗",0,IF(OR(C1016="✓",AND(Setup!$D$7="Yes",P1016&lt;=TODAY())),IF(L1016&lt;&gt;"",L1016,F1016),0)))</f>
        <v/>
      </c>
      <c r="R1016" s="32">
        <f>IF(A1016="","",IF(M1016&lt;&gt;"",M1016,G1016))</f>
        <v/>
      </c>
      <c r="S1016" s="32">
        <f>IF(A1016="","",IF(N1016&lt;&gt;"",N1016,H1016))</f>
        <v/>
      </c>
      <c r="T1016" s="32">
        <f>IF(A1016="","",IF(C1016="✗","Skipped",IF(Q1016&gt;0,"Paid","Upcoming")))</f>
        <v/>
      </c>
      <c r="U1016" s="36">
        <f>IF(A1016="",0,IF(C1016="✗",0,IF(L1016&lt;&gt;"",L1016,F1016)))</f>
        <v/>
      </c>
    </row>
    <row r="1017">
      <c r="A1017" s="39">
        <f>IFERROR(SMALL(Calc!$B$2:$BB$61,1012),"")</f>
        <v/>
      </c>
      <c r="B1017" s="39">
        <f>IF(A1017="","",ROUND(MOD(A1017,1)*1000,0))</f>
        <v/>
      </c>
      <c r="C1017" s="33" t="n"/>
      <c r="D1017" s="40">
        <f>IF(A1017="","",INT(A1017))</f>
        <v/>
      </c>
      <c r="E1017" s="41">
        <f>IF(B1017="","",INDEX(Setup!$D$25:$D$84,B1017))</f>
        <v/>
      </c>
      <c r="F1017" s="42">
        <f>IF(B1017="","",INDEX(Setup!$E$25:$E$84,B1017))</f>
        <v/>
      </c>
      <c r="G1017" s="39">
        <f>IF(B1017="","",INDEX(Setup!$I$25:$I$84,B1017)&amp;"")</f>
        <v/>
      </c>
      <c r="H1017" s="39">
        <f>IF(B1017="","",INDEX(Setup!$J$25:$J$84,B1017)&amp;"")</f>
        <v/>
      </c>
      <c r="I1017" s="39">
        <f>IF(B1017="","",INDEX(Setup!$C$25:$C$84,B1017))</f>
        <v/>
      </c>
      <c r="J1017" s="39" t="n"/>
      <c r="K1017" s="37" t="n"/>
      <c r="L1017" s="38" t="n"/>
      <c r="M1017" s="33" t="n"/>
      <c r="N1017" s="33" t="n"/>
      <c r="O1017" s="39" t="n"/>
      <c r="P1017" s="40">
        <f>IF(A1017="","",IF(K1017&lt;&gt;"",K1017,D1017))</f>
        <v/>
      </c>
      <c r="Q1017" s="42">
        <f>IF(A1017="",0,IF(C1017="✗",0,IF(OR(C1017="✓",AND(Setup!$D$7="Yes",P1017&lt;=TODAY())),IF(L1017&lt;&gt;"",L1017,F1017),0)))</f>
        <v/>
      </c>
      <c r="R1017" s="39">
        <f>IF(A1017="","",IF(M1017&lt;&gt;"",M1017,G1017))</f>
        <v/>
      </c>
      <c r="S1017" s="39">
        <f>IF(A1017="","",IF(N1017&lt;&gt;"",N1017,H1017))</f>
        <v/>
      </c>
      <c r="T1017" s="39">
        <f>IF(A1017="","",IF(C1017="✗","Skipped",IF(Q1017&gt;0,"Paid","Upcoming")))</f>
        <v/>
      </c>
      <c r="U1017" s="42">
        <f>IF(A1017="",0,IF(C1017="✗",0,IF(L1017&lt;&gt;"",L1017,F1017)))</f>
        <v/>
      </c>
    </row>
    <row r="1018">
      <c r="A1018" s="32">
        <f>IFERROR(SMALL(Calc!$B$2:$BB$61,1013),"")</f>
        <v/>
      </c>
      <c r="B1018" s="32">
        <f>IF(A1018="","",ROUND(MOD(A1018,1)*1000,0))</f>
        <v/>
      </c>
      <c r="C1018" s="33" t="n"/>
      <c r="D1018" s="34">
        <f>IF(A1018="","",INT(A1018))</f>
        <v/>
      </c>
      <c r="E1018" s="35">
        <f>IF(B1018="","",INDEX(Setup!$D$25:$D$84,B1018))</f>
        <v/>
      </c>
      <c r="F1018" s="36">
        <f>IF(B1018="","",INDEX(Setup!$E$25:$E$84,B1018))</f>
        <v/>
      </c>
      <c r="G1018" s="32">
        <f>IF(B1018="","",INDEX(Setup!$I$25:$I$84,B1018)&amp;"")</f>
        <v/>
      </c>
      <c r="H1018" s="32">
        <f>IF(B1018="","",INDEX(Setup!$J$25:$J$84,B1018)&amp;"")</f>
        <v/>
      </c>
      <c r="I1018" s="32">
        <f>IF(B1018="","",INDEX(Setup!$C$25:$C$84,B1018))</f>
        <v/>
      </c>
      <c r="J1018" s="32" t="n"/>
      <c r="K1018" s="37" t="n"/>
      <c r="L1018" s="38" t="n"/>
      <c r="M1018" s="33" t="n"/>
      <c r="N1018" s="33" t="n"/>
      <c r="O1018" s="32" t="n"/>
      <c r="P1018" s="34">
        <f>IF(A1018="","",IF(K1018&lt;&gt;"",K1018,D1018))</f>
        <v/>
      </c>
      <c r="Q1018" s="36">
        <f>IF(A1018="",0,IF(C1018="✗",0,IF(OR(C1018="✓",AND(Setup!$D$7="Yes",P1018&lt;=TODAY())),IF(L1018&lt;&gt;"",L1018,F1018),0)))</f>
        <v/>
      </c>
      <c r="R1018" s="32">
        <f>IF(A1018="","",IF(M1018&lt;&gt;"",M1018,G1018))</f>
        <v/>
      </c>
      <c r="S1018" s="32">
        <f>IF(A1018="","",IF(N1018&lt;&gt;"",N1018,H1018))</f>
        <v/>
      </c>
      <c r="T1018" s="32">
        <f>IF(A1018="","",IF(C1018="✗","Skipped",IF(Q1018&gt;0,"Paid","Upcoming")))</f>
        <v/>
      </c>
      <c r="U1018" s="36">
        <f>IF(A1018="",0,IF(C1018="✗",0,IF(L1018&lt;&gt;"",L1018,F1018)))</f>
        <v/>
      </c>
    </row>
    <row r="1019">
      <c r="A1019" s="39">
        <f>IFERROR(SMALL(Calc!$B$2:$BB$61,1014),"")</f>
        <v/>
      </c>
      <c r="B1019" s="39">
        <f>IF(A1019="","",ROUND(MOD(A1019,1)*1000,0))</f>
        <v/>
      </c>
      <c r="C1019" s="33" t="n"/>
      <c r="D1019" s="40">
        <f>IF(A1019="","",INT(A1019))</f>
        <v/>
      </c>
      <c r="E1019" s="41">
        <f>IF(B1019="","",INDEX(Setup!$D$25:$D$84,B1019))</f>
        <v/>
      </c>
      <c r="F1019" s="42">
        <f>IF(B1019="","",INDEX(Setup!$E$25:$E$84,B1019))</f>
        <v/>
      </c>
      <c r="G1019" s="39">
        <f>IF(B1019="","",INDEX(Setup!$I$25:$I$84,B1019)&amp;"")</f>
        <v/>
      </c>
      <c r="H1019" s="39">
        <f>IF(B1019="","",INDEX(Setup!$J$25:$J$84,B1019)&amp;"")</f>
        <v/>
      </c>
      <c r="I1019" s="39">
        <f>IF(B1019="","",INDEX(Setup!$C$25:$C$84,B1019))</f>
        <v/>
      </c>
      <c r="J1019" s="39" t="n"/>
      <c r="K1019" s="37" t="n"/>
      <c r="L1019" s="38" t="n"/>
      <c r="M1019" s="33" t="n"/>
      <c r="N1019" s="33" t="n"/>
      <c r="O1019" s="39" t="n"/>
      <c r="P1019" s="40">
        <f>IF(A1019="","",IF(K1019&lt;&gt;"",K1019,D1019))</f>
        <v/>
      </c>
      <c r="Q1019" s="42">
        <f>IF(A1019="",0,IF(C1019="✗",0,IF(OR(C1019="✓",AND(Setup!$D$7="Yes",P1019&lt;=TODAY())),IF(L1019&lt;&gt;"",L1019,F1019),0)))</f>
        <v/>
      </c>
      <c r="R1019" s="39">
        <f>IF(A1019="","",IF(M1019&lt;&gt;"",M1019,G1019))</f>
        <v/>
      </c>
      <c r="S1019" s="39">
        <f>IF(A1019="","",IF(N1019&lt;&gt;"",N1019,H1019))</f>
        <v/>
      </c>
      <c r="T1019" s="39">
        <f>IF(A1019="","",IF(C1019="✗","Skipped",IF(Q1019&gt;0,"Paid","Upcoming")))</f>
        <v/>
      </c>
      <c r="U1019" s="42">
        <f>IF(A1019="",0,IF(C1019="✗",0,IF(L1019&lt;&gt;"",L1019,F1019)))</f>
        <v/>
      </c>
    </row>
    <row r="1020">
      <c r="A1020" s="32">
        <f>IFERROR(SMALL(Calc!$B$2:$BB$61,1015),"")</f>
        <v/>
      </c>
      <c r="B1020" s="32">
        <f>IF(A1020="","",ROUND(MOD(A1020,1)*1000,0))</f>
        <v/>
      </c>
      <c r="C1020" s="33" t="n"/>
      <c r="D1020" s="34">
        <f>IF(A1020="","",INT(A1020))</f>
        <v/>
      </c>
      <c r="E1020" s="35">
        <f>IF(B1020="","",INDEX(Setup!$D$25:$D$84,B1020))</f>
        <v/>
      </c>
      <c r="F1020" s="36">
        <f>IF(B1020="","",INDEX(Setup!$E$25:$E$84,B1020))</f>
        <v/>
      </c>
      <c r="G1020" s="32">
        <f>IF(B1020="","",INDEX(Setup!$I$25:$I$84,B1020)&amp;"")</f>
        <v/>
      </c>
      <c r="H1020" s="32">
        <f>IF(B1020="","",INDEX(Setup!$J$25:$J$84,B1020)&amp;"")</f>
        <v/>
      </c>
      <c r="I1020" s="32">
        <f>IF(B1020="","",INDEX(Setup!$C$25:$C$84,B1020))</f>
        <v/>
      </c>
      <c r="J1020" s="32" t="n"/>
      <c r="K1020" s="37" t="n"/>
      <c r="L1020" s="38" t="n"/>
      <c r="M1020" s="33" t="n"/>
      <c r="N1020" s="33" t="n"/>
      <c r="O1020" s="32" t="n"/>
      <c r="P1020" s="34">
        <f>IF(A1020="","",IF(K1020&lt;&gt;"",K1020,D1020))</f>
        <v/>
      </c>
      <c r="Q1020" s="36">
        <f>IF(A1020="",0,IF(C1020="✗",0,IF(OR(C1020="✓",AND(Setup!$D$7="Yes",P1020&lt;=TODAY())),IF(L1020&lt;&gt;"",L1020,F1020),0)))</f>
        <v/>
      </c>
      <c r="R1020" s="32">
        <f>IF(A1020="","",IF(M1020&lt;&gt;"",M1020,G1020))</f>
        <v/>
      </c>
      <c r="S1020" s="32">
        <f>IF(A1020="","",IF(N1020&lt;&gt;"",N1020,H1020))</f>
        <v/>
      </c>
      <c r="T1020" s="32">
        <f>IF(A1020="","",IF(C1020="✗","Skipped",IF(Q1020&gt;0,"Paid","Upcoming")))</f>
        <v/>
      </c>
      <c r="U1020" s="36">
        <f>IF(A1020="",0,IF(C1020="✗",0,IF(L1020&lt;&gt;"",L1020,F1020)))</f>
        <v/>
      </c>
    </row>
    <row r="1021">
      <c r="A1021" s="39">
        <f>IFERROR(SMALL(Calc!$B$2:$BB$61,1016),"")</f>
        <v/>
      </c>
      <c r="B1021" s="39">
        <f>IF(A1021="","",ROUND(MOD(A1021,1)*1000,0))</f>
        <v/>
      </c>
      <c r="C1021" s="33" t="n"/>
      <c r="D1021" s="40">
        <f>IF(A1021="","",INT(A1021))</f>
        <v/>
      </c>
      <c r="E1021" s="41">
        <f>IF(B1021="","",INDEX(Setup!$D$25:$D$84,B1021))</f>
        <v/>
      </c>
      <c r="F1021" s="42">
        <f>IF(B1021="","",INDEX(Setup!$E$25:$E$84,B1021))</f>
        <v/>
      </c>
      <c r="G1021" s="39">
        <f>IF(B1021="","",INDEX(Setup!$I$25:$I$84,B1021)&amp;"")</f>
        <v/>
      </c>
      <c r="H1021" s="39">
        <f>IF(B1021="","",INDEX(Setup!$J$25:$J$84,B1021)&amp;"")</f>
        <v/>
      </c>
      <c r="I1021" s="39">
        <f>IF(B1021="","",INDEX(Setup!$C$25:$C$84,B1021))</f>
        <v/>
      </c>
      <c r="J1021" s="39" t="n"/>
      <c r="K1021" s="37" t="n"/>
      <c r="L1021" s="38" t="n"/>
      <c r="M1021" s="33" t="n"/>
      <c r="N1021" s="33" t="n"/>
      <c r="O1021" s="39" t="n"/>
      <c r="P1021" s="40">
        <f>IF(A1021="","",IF(K1021&lt;&gt;"",K1021,D1021))</f>
        <v/>
      </c>
      <c r="Q1021" s="42">
        <f>IF(A1021="",0,IF(C1021="✗",0,IF(OR(C1021="✓",AND(Setup!$D$7="Yes",P1021&lt;=TODAY())),IF(L1021&lt;&gt;"",L1021,F1021),0)))</f>
        <v/>
      </c>
      <c r="R1021" s="39">
        <f>IF(A1021="","",IF(M1021&lt;&gt;"",M1021,G1021))</f>
        <v/>
      </c>
      <c r="S1021" s="39">
        <f>IF(A1021="","",IF(N1021&lt;&gt;"",N1021,H1021))</f>
        <v/>
      </c>
      <c r="T1021" s="39">
        <f>IF(A1021="","",IF(C1021="✗","Skipped",IF(Q1021&gt;0,"Paid","Upcoming")))</f>
        <v/>
      </c>
      <c r="U1021" s="42">
        <f>IF(A1021="",0,IF(C1021="✗",0,IF(L1021&lt;&gt;"",L1021,F1021)))</f>
        <v/>
      </c>
    </row>
    <row r="1022">
      <c r="A1022" s="32">
        <f>IFERROR(SMALL(Calc!$B$2:$BB$61,1017),"")</f>
        <v/>
      </c>
      <c r="B1022" s="32">
        <f>IF(A1022="","",ROUND(MOD(A1022,1)*1000,0))</f>
        <v/>
      </c>
      <c r="C1022" s="33" t="n"/>
      <c r="D1022" s="34">
        <f>IF(A1022="","",INT(A1022))</f>
        <v/>
      </c>
      <c r="E1022" s="35">
        <f>IF(B1022="","",INDEX(Setup!$D$25:$D$84,B1022))</f>
        <v/>
      </c>
      <c r="F1022" s="36">
        <f>IF(B1022="","",INDEX(Setup!$E$25:$E$84,B1022))</f>
        <v/>
      </c>
      <c r="G1022" s="32">
        <f>IF(B1022="","",INDEX(Setup!$I$25:$I$84,B1022)&amp;"")</f>
        <v/>
      </c>
      <c r="H1022" s="32">
        <f>IF(B1022="","",INDEX(Setup!$J$25:$J$84,B1022)&amp;"")</f>
        <v/>
      </c>
      <c r="I1022" s="32">
        <f>IF(B1022="","",INDEX(Setup!$C$25:$C$84,B1022))</f>
        <v/>
      </c>
      <c r="J1022" s="32" t="n"/>
      <c r="K1022" s="37" t="n"/>
      <c r="L1022" s="38" t="n"/>
      <c r="M1022" s="33" t="n"/>
      <c r="N1022" s="33" t="n"/>
      <c r="O1022" s="32" t="n"/>
      <c r="P1022" s="34">
        <f>IF(A1022="","",IF(K1022&lt;&gt;"",K1022,D1022))</f>
        <v/>
      </c>
      <c r="Q1022" s="36">
        <f>IF(A1022="",0,IF(C1022="✗",0,IF(OR(C1022="✓",AND(Setup!$D$7="Yes",P1022&lt;=TODAY())),IF(L1022&lt;&gt;"",L1022,F1022),0)))</f>
        <v/>
      </c>
      <c r="R1022" s="32">
        <f>IF(A1022="","",IF(M1022&lt;&gt;"",M1022,G1022))</f>
        <v/>
      </c>
      <c r="S1022" s="32">
        <f>IF(A1022="","",IF(N1022&lt;&gt;"",N1022,H1022))</f>
        <v/>
      </c>
      <c r="T1022" s="32">
        <f>IF(A1022="","",IF(C1022="✗","Skipped",IF(Q1022&gt;0,"Paid","Upcoming")))</f>
        <v/>
      </c>
      <c r="U1022" s="36">
        <f>IF(A1022="",0,IF(C1022="✗",0,IF(L1022&lt;&gt;"",L1022,F1022)))</f>
        <v/>
      </c>
    </row>
    <row r="1023">
      <c r="A1023" s="39">
        <f>IFERROR(SMALL(Calc!$B$2:$BB$61,1018),"")</f>
        <v/>
      </c>
      <c r="B1023" s="39">
        <f>IF(A1023="","",ROUND(MOD(A1023,1)*1000,0))</f>
        <v/>
      </c>
      <c r="C1023" s="33" t="n"/>
      <c r="D1023" s="40">
        <f>IF(A1023="","",INT(A1023))</f>
        <v/>
      </c>
      <c r="E1023" s="41">
        <f>IF(B1023="","",INDEX(Setup!$D$25:$D$84,B1023))</f>
        <v/>
      </c>
      <c r="F1023" s="42">
        <f>IF(B1023="","",INDEX(Setup!$E$25:$E$84,B1023))</f>
        <v/>
      </c>
      <c r="G1023" s="39">
        <f>IF(B1023="","",INDEX(Setup!$I$25:$I$84,B1023)&amp;"")</f>
        <v/>
      </c>
      <c r="H1023" s="39">
        <f>IF(B1023="","",INDEX(Setup!$J$25:$J$84,B1023)&amp;"")</f>
        <v/>
      </c>
      <c r="I1023" s="39">
        <f>IF(B1023="","",INDEX(Setup!$C$25:$C$84,B1023))</f>
        <v/>
      </c>
      <c r="J1023" s="39" t="n"/>
      <c r="K1023" s="37" t="n"/>
      <c r="L1023" s="38" t="n"/>
      <c r="M1023" s="33" t="n"/>
      <c r="N1023" s="33" t="n"/>
      <c r="O1023" s="39" t="n"/>
      <c r="P1023" s="40">
        <f>IF(A1023="","",IF(K1023&lt;&gt;"",K1023,D1023))</f>
        <v/>
      </c>
      <c r="Q1023" s="42">
        <f>IF(A1023="",0,IF(C1023="✗",0,IF(OR(C1023="✓",AND(Setup!$D$7="Yes",P1023&lt;=TODAY())),IF(L1023&lt;&gt;"",L1023,F1023),0)))</f>
        <v/>
      </c>
      <c r="R1023" s="39">
        <f>IF(A1023="","",IF(M1023&lt;&gt;"",M1023,G1023))</f>
        <v/>
      </c>
      <c r="S1023" s="39">
        <f>IF(A1023="","",IF(N1023&lt;&gt;"",N1023,H1023))</f>
        <v/>
      </c>
      <c r="T1023" s="39">
        <f>IF(A1023="","",IF(C1023="✗","Skipped",IF(Q1023&gt;0,"Paid","Upcoming")))</f>
        <v/>
      </c>
      <c r="U1023" s="42">
        <f>IF(A1023="",0,IF(C1023="✗",0,IF(L1023&lt;&gt;"",L1023,F1023)))</f>
        <v/>
      </c>
    </row>
    <row r="1024">
      <c r="A1024" s="32">
        <f>IFERROR(SMALL(Calc!$B$2:$BB$61,1019),"")</f>
        <v/>
      </c>
      <c r="B1024" s="32">
        <f>IF(A1024="","",ROUND(MOD(A1024,1)*1000,0))</f>
        <v/>
      </c>
      <c r="C1024" s="33" t="n"/>
      <c r="D1024" s="34">
        <f>IF(A1024="","",INT(A1024))</f>
        <v/>
      </c>
      <c r="E1024" s="35">
        <f>IF(B1024="","",INDEX(Setup!$D$25:$D$84,B1024))</f>
        <v/>
      </c>
      <c r="F1024" s="36">
        <f>IF(B1024="","",INDEX(Setup!$E$25:$E$84,B1024))</f>
        <v/>
      </c>
      <c r="G1024" s="32">
        <f>IF(B1024="","",INDEX(Setup!$I$25:$I$84,B1024)&amp;"")</f>
        <v/>
      </c>
      <c r="H1024" s="32">
        <f>IF(B1024="","",INDEX(Setup!$J$25:$J$84,B1024)&amp;"")</f>
        <v/>
      </c>
      <c r="I1024" s="32">
        <f>IF(B1024="","",INDEX(Setup!$C$25:$C$84,B1024))</f>
        <v/>
      </c>
      <c r="J1024" s="32" t="n"/>
      <c r="K1024" s="37" t="n"/>
      <c r="L1024" s="38" t="n"/>
      <c r="M1024" s="33" t="n"/>
      <c r="N1024" s="33" t="n"/>
      <c r="O1024" s="32" t="n"/>
      <c r="P1024" s="34">
        <f>IF(A1024="","",IF(K1024&lt;&gt;"",K1024,D1024))</f>
        <v/>
      </c>
      <c r="Q1024" s="36">
        <f>IF(A1024="",0,IF(C1024="✗",0,IF(OR(C1024="✓",AND(Setup!$D$7="Yes",P1024&lt;=TODAY())),IF(L1024&lt;&gt;"",L1024,F1024),0)))</f>
        <v/>
      </c>
      <c r="R1024" s="32">
        <f>IF(A1024="","",IF(M1024&lt;&gt;"",M1024,G1024))</f>
        <v/>
      </c>
      <c r="S1024" s="32">
        <f>IF(A1024="","",IF(N1024&lt;&gt;"",N1024,H1024))</f>
        <v/>
      </c>
      <c r="T1024" s="32">
        <f>IF(A1024="","",IF(C1024="✗","Skipped",IF(Q1024&gt;0,"Paid","Upcoming")))</f>
        <v/>
      </c>
      <c r="U1024" s="36">
        <f>IF(A1024="",0,IF(C1024="✗",0,IF(L1024&lt;&gt;"",L1024,F1024)))</f>
        <v/>
      </c>
    </row>
    <row r="1025">
      <c r="A1025" s="39">
        <f>IFERROR(SMALL(Calc!$B$2:$BB$61,1020),"")</f>
        <v/>
      </c>
      <c r="B1025" s="39">
        <f>IF(A1025="","",ROUND(MOD(A1025,1)*1000,0))</f>
        <v/>
      </c>
      <c r="C1025" s="33" t="n"/>
      <c r="D1025" s="40">
        <f>IF(A1025="","",INT(A1025))</f>
        <v/>
      </c>
      <c r="E1025" s="41">
        <f>IF(B1025="","",INDEX(Setup!$D$25:$D$84,B1025))</f>
        <v/>
      </c>
      <c r="F1025" s="42">
        <f>IF(B1025="","",INDEX(Setup!$E$25:$E$84,B1025))</f>
        <v/>
      </c>
      <c r="G1025" s="39">
        <f>IF(B1025="","",INDEX(Setup!$I$25:$I$84,B1025)&amp;"")</f>
        <v/>
      </c>
      <c r="H1025" s="39">
        <f>IF(B1025="","",INDEX(Setup!$J$25:$J$84,B1025)&amp;"")</f>
        <v/>
      </c>
      <c r="I1025" s="39">
        <f>IF(B1025="","",INDEX(Setup!$C$25:$C$84,B1025))</f>
        <v/>
      </c>
      <c r="J1025" s="39" t="n"/>
      <c r="K1025" s="37" t="n"/>
      <c r="L1025" s="38" t="n"/>
      <c r="M1025" s="33" t="n"/>
      <c r="N1025" s="33" t="n"/>
      <c r="O1025" s="39" t="n"/>
      <c r="P1025" s="40">
        <f>IF(A1025="","",IF(K1025&lt;&gt;"",K1025,D1025))</f>
        <v/>
      </c>
      <c r="Q1025" s="42">
        <f>IF(A1025="",0,IF(C1025="✗",0,IF(OR(C1025="✓",AND(Setup!$D$7="Yes",P1025&lt;=TODAY())),IF(L1025&lt;&gt;"",L1025,F1025),0)))</f>
        <v/>
      </c>
      <c r="R1025" s="39">
        <f>IF(A1025="","",IF(M1025&lt;&gt;"",M1025,G1025))</f>
        <v/>
      </c>
      <c r="S1025" s="39">
        <f>IF(A1025="","",IF(N1025&lt;&gt;"",N1025,H1025))</f>
        <v/>
      </c>
      <c r="T1025" s="39">
        <f>IF(A1025="","",IF(C1025="✗","Skipped",IF(Q1025&gt;0,"Paid","Upcoming")))</f>
        <v/>
      </c>
      <c r="U1025" s="42">
        <f>IF(A1025="",0,IF(C1025="✗",0,IF(L1025&lt;&gt;"",L1025,F1025)))</f>
        <v/>
      </c>
    </row>
    <row r="1026">
      <c r="A1026" s="32">
        <f>IFERROR(SMALL(Calc!$B$2:$BB$61,1021),"")</f>
        <v/>
      </c>
      <c r="B1026" s="32">
        <f>IF(A1026="","",ROUND(MOD(A1026,1)*1000,0))</f>
        <v/>
      </c>
      <c r="C1026" s="33" t="n"/>
      <c r="D1026" s="34">
        <f>IF(A1026="","",INT(A1026))</f>
        <v/>
      </c>
      <c r="E1026" s="35">
        <f>IF(B1026="","",INDEX(Setup!$D$25:$D$84,B1026))</f>
        <v/>
      </c>
      <c r="F1026" s="36">
        <f>IF(B1026="","",INDEX(Setup!$E$25:$E$84,B1026))</f>
        <v/>
      </c>
      <c r="G1026" s="32">
        <f>IF(B1026="","",INDEX(Setup!$I$25:$I$84,B1026)&amp;"")</f>
        <v/>
      </c>
      <c r="H1026" s="32">
        <f>IF(B1026="","",INDEX(Setup!$J$25:$J$84,B1026)&amp;"")</f>
        <v/>
      </c>
      <c r="I1026" s="32">
        <f>IF(B1026="","",INDEX(Setup!$C$25:$C$84,B1026))</f>
        <v/>
      </c>
      <c r="J1026" s="32" t="n"/>
      <c r="K1026" s="37" t="n"/>
      <c r="L1026" s="38" t="n"/>
      <c r="M1026" s="33" t="n"/>
      <c r="N1026" s="33" t="n"/>
      <c r="O1026" s="32" t="n"/>
      <c r="P1026" s="34">
        <f>IF(A1026="","",IF(K1026&lt;&gt;"",K1026,D1026))</f>
        <v/>
      </c>
      <c r="Q1026" s="36">
        <f>IF(A1026="",0,IF(C1026="✗",0,IF(OR(C1026="✓",AND(Setup!$D$7="Yes",P1026&lt;=TODAY())),IF(L1026&lt;&gt;"",L1026,F1026),0)))</f>
        <v/>
      </c>
      <c r="R1026" s="32">
        <f>IF(A1026="","",IF(M1026&lt;&gt;"",M1026,G1026))</f>
        <v/>
      </c>
      <c r="S1026" s="32">
        <f>IF(A1026="","",IF(N1026&lt;&gt;"",N1026,H1026))</f>
        <v/>
      </c>
      <c r="T1026" s="32">
        <f>IF(A1026="","",IF(C1026="✗","Skipped",IF(Q1026&gt;0,"Paid","Upcoming")))</f>
        <v/>
      </c>
      <c r="U1026" s="36">
        <f>IF(A1026="",0,IF(C1026="✗",0,IF(L1026&lt;&gt;"",L1026,F1026)))</f>
        <v/>
      </c>
    </row>
    <row r="1027">
      <c r="A1027" s="39">
        <f>IFERROR(SMALL(Calc!$B$2:$BB$61,1022),"")</f>
        <v/>
      </c>
      <c r="B1027" s="39">
        <f>IF(A1027="","",ROUND(MOD(A1027,1)*1000,0))</f>
        <v/>
      </c>
      <c r="C1027" s="33" t="n"/>
      <c r="D1027" s="40">
        <f>IF(A1027="","",INT(A1027))</f>
        <v/>
      </c>
      <c r="E1027" s="41">
        <f>IF(B1027="","",INDEX(Setup!$D$25:$D$84,B1027))</f>
        <v/>
      </c>
      <c r="F1027" s="42">
        <f>IF(B1027="","",INDEX(Setup!$E$25:$E$84,B1027))</f>
        <v/>
      </c>
      <c r="G1027" s="39">
        <f>IF(B1027="","",INDEX(Setup!$I$25:$I$84,B1027)&amp;"")</f>
        <v/>
      </c>
      <c r="H1027" s="39">
        <f>IF(B1027="","",INDEX(Setup!$J$25:$J$84,B1027)&amp;"")</f>
        <v/>
      </c>
      <c r="I1027" s="39">
        <f>IF(B1027="","",INDEX(Setup!$C$25:$C$84,B1027))</f>
        <v/>
      </c>
      <c r="J1027" s="39" t="n"/>
      <c r="K1027" s="37" t="n"/>
      <c r="L1027" s="38" t="n"/>
      <c r="M1027" s="33" t="n"/>
      <c r="N1027" s="33" t="n"/>
      <c r="O1027" s="39" t="n"/>
      <c r="P1027" s="40">
        <f>IF(A1027="","",IF(K1027&lt;&gt;"",K1027,D1027))</f>
        <v/>
      </c>
      <c r="Q1027" s="42">
        <f>IF(A1027="",0,IF(C1027="✗",0,IF(OR(C1027="✓",AND(Setup!$D$7="Yes",P1027&lt;=TODAY())),IF(L1027&lt;&gt;"",L1027,F1027),0)))</f>
        <v/>
      </c>
      <c r="R1027" s="39">
        <f>IF(A1027="","",IF(M1027&lt;&gt;"",M1027,G1027))</f>
        <v/>
      </c>
      <c r="S1027" s="39">
        <f>IF(A1027="","",IF(N1027&lt;&gt;"",N1027,H1027))</f>
        <v/>
      </c>
      <c r="T1027" s="39">
        <f>IF(A1027="","",IF(C1027="✗","Skipped",IF(Q1027&gt;0,"Paid","Upcoming")))</f>
        <v/>
      </c>
      <c r="U1027" s="42">
        <f>IF(A1027="",0,IF(C1027="✗",0,IF(L1027&lt;&gt;"",L1027,F1027)))</f>
        <v/>
      </c>
    </row>
    <row r="1028">
      <c r="A1028" s="32">
        <f>IFERROR(SMALL(Calc!$B$2:$BB$61,1023),"")</f>
        <v/>
      </c>
      <c r="B1028" s="32">
        <f>IF(A1028="","",ROUND(MOD(A1028,1)*1000,0))</f>
        <v/>
      </c>
      <c r="C1028" s="33" t="n"/>
      <c r="D1028" s="34">
        <f>IF(A1028="","",INT(A1028))</f>
        <v/>
      </c>
      <c r="E1028" s="35">
        <f>IF(B1028="","",INDEX(Setup!$D$25:$D$84,B1028))</f>
        <v/>
      </c>
      <c r="F1028" s="36">
        <f>IF(B1028="","",INDEX(Setup!$E$25:$E$84,B1028))</f>
        <v/>
      </c>
      <c r="G1028" s="32">
        <f>IF(B1028="","",INDEX(Setup!$I$25:$I$84,B1028)&amp;"")</f>
        <v/>
      </c>
      <c r="H1028" s="32">
        <f>IF(B1028="","",INDEX(Setup!$J$25:$J$84,B1028)&amp;"")</f>
        <v/>
      </c>
      <c r="I1028" s="32">
        <f>IF(B1028="","",INDEX(Setup!$C$25:$C$84,B1028))</f>
        <v/>
      </c>
      <c r="J1028" s="32" t="n"/>
      <c r="K1028" s="37" t="n"/>
      <c r="L1028" s="38" t="n"/>
      <c r="M1028" s="33" t="n"/>
      <c r="N1028" s="33" t="n"/>
      <c r="O1028" s="32" t="n"/>
      <c r="P1028" s="34">
        <f>IF(A1028="","",IF(K1028&lt;&gt;"",K1028,D1028))</f>
        <v/>
      </c>
      <c r="Q1028" s="36">
        <f>IF(A1028="",0,IF(C1028="✗",0,IF(OR(C1028="✓",AND(Setup!$D$7="Yes",P1028&lt;=TODAY())),IF(L1028&lt;&gt;"",L1028,F1028),0)))</f>
        <v/>
      </c>
      <c r="R1028" s="32">
        <f>IF(A1028="","",IF(M1028&lt;&gt;"",M1028,G1028))</f>
        <v/>
      </c>
      <c r="S1028" s="32">
        <f>IF(A1028="","",IF(N1028&lt;&gt;"",N1028,H1028))</f>
        <v/>
      </c>
      <c r="T1028" s="32">
        <f>IF(A1028="","",IF(C1028="✗","Skipped",IF(Q1028&gt;0,"Paid","Upcoming")))</f>
        <v/>
      </c>
      <c r="U1028" s="36">
        <f>IF(A1028="",0,IF(C1028="✗",0,IF(L1028&lt;&gt;"",L1028,F1028)))</f>
        <v/>
      </c>
    </row>
    <row r="1029">
      <c r="A1029" s="39">
        <f>IFERROR(SMALL(Calc!$B$2:$BB$61,1024),"")</f>
        <v/>
      </c>
      <c r="B1029" s="39">
        <f>IF(A1029="","",ROUND(MOD(A1029,1)*1000,0))</f>
        <v/>
      </c>
      <c r="C1029" s="33" t="n"/>
      <c r="D1029" s="40">
        <f>IF(A1029="","",INT(A1029))</f>
        <v/>
      </c>
      <c r="E1029" s="41">
        <f>IF(B1029="","",INDEX(Setup!$D$25:$D$84,B1029))</f>
        <v/>
      </c>
      <c r="F1029" s="42">
        <f>IF(B1029="","",INDEX(Setup!$E$25:$E$84,B1029))</f>
        <v/>
      </c>
      <c r="G1029" s="39">
        <f>IF(B1029="","",INDEX(Setup!$I$25:$I$84,B1029)&amp;"")</f>
        <v/>
      </c>
      <c r="H1029" s="39">
        <f>IF(B1029="","",INDEX(Setup!$J$25:$J$84,B1029)&amp;"")</f>
        <v/>
      </c>
      <c r="I1029" s="39">
        <f>IF(B1029="","",INDEX(Setup!$C$25:$C$84,B1029))</f>
        <v/>
      </c>
      <c r="J1029" s="39" t="n"/>
      <c r="K1029" s="37" t="n"/>
      <c r="L1029" s="38" t="n"/>
      <c r="M1029" s="33" t="n"/>
      <c r="N1029" s="33" t="n"/>
      <c r="O1029" s="39" t="n"/>
      <c r="P1029" s="40">
        <f>IF(A1029="","",IF(K1029&lt;&gt;"",K1029,D1029))</f>
        <v/>
      </c>
      <c r="Q1029" s="42">
        <f>IF(A1029="",0,IF(C1029="✗",0,IF(OR(C1029="✓",AND(Setup!$D$7="Yes",P1029&lt;=TODAY())),IF(L1029&lt;&gt;"",L1029,F1029),0)))</f>
        <v/>
      </c>
      <c r="R1029" s="39">
        <f>IF(A1029="","",IF(M1029&lt;&gt;"",M1029,G1029))</f>
        <v/>
      </c>
      <c r="S1029" s="39">
        <f>IF(A1029="","",IF(N1029&lt;&gt;"",N1029,H1029))</f>
        <v/>
      </c>
      <c r="T1029" s="39">
        <f>IF(A1029="","",IF(C1029="✗","Skipped",IF(Q1029&gt;0,"Paid","Upcoming")))</f>
        <v/>
      </c>
      <c r="U1029" s="42">
        <f>IF(A1029="",0,IF(C1029="✗",0,IF(L1029&lt;&gt;"",L1029,F1029)))</f>
        <v/>
      </c>
    </row>
    <row r="1030">
      <c r="A1030" s="32">
        <f>IFERROR(SMALL(Calc!$B$2:$BB$61,1025),"")</f>
        <v/>
      </c>
      <c r="B1030" s="32">
        <f>IF(A1030="","",ROUND(MOD(A1030,1)*1000,0))</f>
        <v/>
      </c>
      <c r="C1030" s="33" t="n"/>
      <c r="D1030" s="34">
        <f>IF(A1030="","",INT(A1030))</f>
        <v/>
      </c>
      <c r="E1030" s="35">
        <f>IF(B1030="","",INDEX(Setup!$D$25:$D$84,B1030))</f>
        <v/>
      </c>
      <c r="F1030" s="36">
        <f>IF(B1030="","",INDEX(Setup!$E$25:$E$84,B1030))</f>
        <v/>
      </c>
      <c r="G1030" s="32">
        <f>IF(B1030="","",INDEX(Setup!$I$25:$I$84,B1030)&amp;"")</f>
        <v/>
      </c>
      <c r="H1030" s="32">
        <f>IF(B1030="","",INDEX(Setup!$J$25:$J$84,B1030)&amp;"")</f>
        <v/>
      </c>
      <c r="I1030" s="32">
        <f>IF(B1030="","",INDEX(Setup!$C$25:$C$84,B1030))</f>
        <v/>
      </c>
      <c r="J1030" s="32" t="n"/>
      <c r="K1030" s="37" t="n"/>
      <c r="L1030" s="38" t="n"/>
      <c r="M1030" s="33" t="n"/>
      <c r="N1030" s="33" t="n"/>
      <c r="O1030" s="32" t="n"/>
      <c r="P1030" s="34">
        <f>IF(A1030="","",IF(K1030&lt;&gt;"",K1030,D1030))</f>
        <v/>
      </c>
      <c r="Q1030" s="36">
        <f>IF(A1030="",0,IF(C1030="✗",0,IF(OR(C1030="✓",AND(Setup!$D$7="Yes",P1030&lt;=TODAY())),IF(L1030&lt;&gt;"",L1030,F1030),0)))</f>
        <v/>
      </c>
      <c r="R1030" s="32">
        <f>IF(A1030="","",IF(M1030&lt;&gt;"",M1030,G1030))</f>
        <v/>
      </c>
      <c r="S1030" s="32">
        <f>IF(A1030="","",IF(N1030&lt;&gt;"",N1030,H1030))</f>
        <v/>
      </c>
      <c r="T1030" s="32">
        <f>IF(A1030="","",IF(C1030="✗","Skipped",IF(Q1030&gt;0,"Paid","Upcoming")))</f>
        <v/>
      </c>
      <c r="U1030" s="36">
        <f>IF(A1030="",0,IF(C1030="✗",0,IF(L1030&lt;&gt;"",L1030,F1030)))</f>
        <v/>
      </c>
    </row>
    <row r="1031">
      <c r="A1031" s="39">
        <f>IFERROR(SMALL(Calc!$B$2:$BB$61,1026),"")</f>
        <v/>
      </c>
      <c r="B1031" s="39">
        <f>IF(A1031="","",ROUND(MOD(A1031,1)*1000,0))</f>
        <v/>
      </c>
      <c r="C1031" s="33" t="n"/>
      <c r="D1031" s="40">
        <f>IF(A1031="","",INT(A1031))</f>
        <v/>
      </c>
      <c r="E1031" s="41">
        <f>IF(B1031="","",INDEX(Setup!$D$25:$D$84,B1031))</f>
        <v/>
      </c>
      <c r="F1031" s="42">
        <f>IF(B1031="","",INDEX(Setup!$E$25:$E$84,B1031))</f>
        <v/>
      </c>
      <c r="G1031" s="39">
        <f>IF(B1031="","",INDEX(Setup!$I$25:$I$84,B1031)&amp;"")</f>
        <v/>
      </c>
      <c r="H1031" s="39">
        <f>IF(B1031="","",INDEX(Setup!$J$25:$J$84,B1031)&amp;"")</f>
        <v/>
      </c>
      <c r="I1031" s="39">
        <f>IF(B1031="","",INDEX(Setup!$C$25:$C$84,B1031))</f>
        <v/>
      </c>
      <c r="J1031" s="39" t="n"/>
      <c r="K1031" s="37" t="n"/>
      <c r="L1031" s="38" t="n"/>
      <c r="M1031" s="33" t="n"/>
      <c r="N1031" s="33" t="n"/>
      <c r="O1031" s="39" t="n"/>
      <c r="P1031" s="40">
        <f>IF(A1031="","",IF(K1031&lt;&gt;"",K1031,D1031))</f>
        <v/>
      </c>
      <c r="Q1031" s="42">
        <f>IF(A1031="",0,IF(C1031="✗",0,IF(OR(C1031="✓",AND(Setup!$D$7="Yes",P1031&lt;=TODAY())),IF(L1031&lt;&gt;"",L1031,F1031),0)))</f>
        <v/>
      </c>
      <c r="R1031" s="39">
        <f>IF(A1031="","",IF(M1031&lt;&gt;"",M1031,G1031))</f>
        <v/>
      </c>
      <c r="S1031" s="39">
        <f>IF(A1031="","",IF(N1031&lt;&gt;"",N1031,H1031))</f>
        <v/>
      </c>
      <c r="T1031" s="39">
        <f>IF(A1031="","",IF(C1031="✗","Skipped",IF(Q1031&gt;0,"Paid","Upcoming")))</f>
        <v/>
      </c>
      <c r="U1031" s="42">
        <f>IF(A1031="",0,IF(C1031="✗",0,IF(L1031&lt;&gt;"",L1031,F1031)))</f>
        <v/>
      </c>
    </row>
    <row r="1032">
      <c r="A1032" s="32">
        <f>IFERROR(SMALL(Calc!$B$2:$BB$61,1027),"")</f>
        <v/>
      </c>
      <c r="B1032" s="32">
        <f>IF(A1032="","",ROUND(MOD(A1032,1)*1000,0))</f>
        <v/>
      </c>
      <c r="C1032" s="33" t="n"/>
      <c r="D1032" s="34">
        <f>IF(A1032="","",INT(A1032))</f>
        <v/>
      </c>
      <c r="E1032" s="35">
        <f>IF(B1032="","",INDEX(Setup!$D$25:$D$84,B1032))</f>
        <v/>
      </c>
      <c r="F1032" s="36">
        <f>IF(B1032="","",INDEX(Setup!$E$25:$E$84,B1032))</f>
        <v/>
      </c>
      <c r="G1032" s="32">
        <f>IF(B1032="","",INDEX(Setup!$I$25:$I$84,B1032)&amp;"")</f>
        <v/>
      </c>
      <c r="H1032" s="32">
        <f>IF(B1032="","",INDEX(Setup!$J$25:$J$84,B1032)&amp;"")</f>
        <v/>
      </c>
      <c r="I1032" s="32">
        <f>IF(B1032="","",INDEX(Setup!$C$25:$C$84,B1032))</f>
        <v/>
      </c>
      <c r="J1032" s="32" t="n"/>
      <c r="K1032" s="37" t="n"/>
      <c r="L1032" s="38" t="n"/>
      <c r="M1032" s="33" t="n"/>
      <c r="N1032" s="33" t="n"/>
      <c r="O1032" s="32" t="n"/>
      <c r="P1032" s="34">
        <f>IF(A1032="","",IF(K1032&lt;&gt;"",K1032,D1032))</f>
        <v/>
      </c>
      <c r="Q1032" s="36">
        <f>IF(A1032="",0,IF(C1032="✗",0,IF(OR(C1032="✓",AND(Setup!$D$7="Yes",P1032&lt;=TODAY())),IF(L1032&lt;&gt;"",L1032,F1032),0)))</f>
        <v/>
      </c>
      <c r="R1032" s="32">
        <f>IF(A1032="","",IF(M1032&lt;&gt;"",M1032,G1032))</f>
        <v/>
      </c>
      <c r="S1032" s="32">
        <f>IF(A1032="","",IF(N1032&lt;&gt;"",N1032,H1032))</f>
        <v/>
      </c>
      <c r="T1032" s="32">
        <f>IF(A1032="","",IF(C1032="✗","Skipped",IF(Q1032&gt;0,"Paid","Upcoming")))</f>
        <v/>
      </c>
      <c r="U1032" s="36">
        <f>IF(A1032="",0,IF(C1032="✗",0,IF(L1032&lt;&gt;"",L1032,F1032)))</f>
        <v/>
      </c>
    </row>
    <row r="1033">
      <c r="A1033" s="39">
        <f>IFERROR(SMALL(Calc!$B$2:$BB$61,1028),"")</f>
        <v/>
      </c>
      <c r="B1033" s="39">
        <f>IF(A1033="","",ROUND(MOD(A1033,1)*1000,0))</f>
        <v/>
      </c>
      <c r="C1033" s="33" t="n"/>
      <c r="D1033" s="40">
        <f>IF(A1033="","",INT(A1033))</f>
        <v/>
      </c>
      <c r="E1033" s="41">
        <f>IF(B1033="","",INDEX(Setup!$D$25:$D$84,B1033))</f>
        <v/>
      </c>
      <c r="F1033" s="42">
        <f>IF(B1033="","",INDEX(Setup!$E$25:$E$84,B1033))</f>
        <v/>
      </c>
      <c r="G1033" s="39">
        <f>IF(B1033="","",INDEX(Setup!$I$25:$I$84,B1033)&amp;"")</f>
        <v/>
      </c>
      <c r="H1033" s="39">
        <f>IF(B1033="","",INDEX(Setup!$J$25:$J$84,B1033)&amp;"")</f>
        <v/>
      </c>
      <c r="I1033" s="39">
        <f>IF(B1033="","",INDEX(Setup!$C$25:$C$84,B1033))</f>
        <v/>
      </c>
      <c r="J1033" s="39" t="n"/>
      <c r="K1033" s="37" t="n"/>
      <c r="L1033" s="38" t="n"/>
      <c r="M1033" s="33" t="n"/>
      <c r="N1033" s="33" t="n"/>
      <c r="O1033" s="39" t="n"/>
      <c r="P1033" s="40">
        <f>IF(A1033="","",IF(K1033&lt;&gt;"",K1033,D1033))</f>
        <v/>
      </c>
      <c r="Q1033" s="42">
        <f>IF(A1033="",0,IF(C1033="✗",0,IF(OR(C1033="✓",AND(Setup!$D$7="Yes",P1033&lt;=TODAY())),IF(L1033&lt;&gt;"",L1033,F1033),0)))</f>
        <v/>
      </c>
      <c r="R1033" s="39">
        <f>IF(A1033="","",IF(M1033&lt;&gt;"",M1033,G1033))</f>
        <v/>
      </c>
      <c r="S1033" s="39">
        <f>IF(A1033="","",IF(N1033&lt;&gt;"",N1033,H1033))</f>
        <v/>
      </c>
      <c r="T1033" s="39">
        <f>IF(A1033="","",IF(C1033="✗","Skipped",IF(Q1033&gt;0,"Paid","Upcoming")))</f>
        <v/>
      </c>
      <c r="U1033" s="42">
        <f>IF(A1033="",0,IF(C1033="✗",0,IF(L1033&lt;&gt;"",L1033,F1033)))</f>
        <v/>
      </c>
    </row>
    <row r="1034">
      <c r="A1034" s="32">
        <f>IFERROR(SMALL(Calc!$B$2:$BB$61,1029),"")</f>
        <v/>
      </c>
      <c r="B1034" s="32">
        <f>IF(A1034="","",ROUND(MOD(A1034,1)*1000,0))</f>
        <v/>
      </c>
      <c r="C1034" s="33" t="n"/>
      <c r="D1034" s="34">
        <f>IF(A1034="","",INT(A1034))</f>
        <v/>
      </c>
      <c r="E1034" s="35">
        <f>IF(B1034="","",INDEX(Setup!$D$25:$D$84,B1034))</f>
        <v/>
      </c>
      <c r="F1034" s="36">
        <f>IF(B1034="","",INDEX(Setup!$E$25:$E$84,B1034))</f>
        <v/>
      </c>
      <c r="G1034" s="32">
        <f>IF(B1034="","",INDEX(Setup!$I$25:$I$84,B1034)&amp;"")</f>
        <v/>
      </c>
      <c r="H1034" s="32">
        <f>IF(B1034="","",INDEX(Setup!$J$25:$J$84,B1034)&amp;"")</f>
        <v/>
      </c>
      <c r="I1034" s="32">
        <f>IF(B1034="","",INDEX(Setup!$C$25:$C$84,B1034))</f>
        <v/>
      </c>
      <c r="J1034" s="32" t="n"/>
      <c r="K1034" s="37" t="n"/>
      <c r="L1034" s="38" t="n"/>
      <c r="M1034" s="33" t="n"/>
      <c r="N1034" s="33" t="n"/>
      <c r="O1034" s="32" t="n"/>
      <c r="P1034" s="34">
        <f>IF(A1034="","",IF(K1034&lt;&gt;"",K1034,D1034))</f>
        <v/>
      </c>
      <c r="Q1034" s="36">
        <f>IF(A1034="",0,IF(C1034="✗",0,IF(OR(C1034="✓",AND(Setup!$D$7="Yes",P1034&lt;=TODAY())),IF(L1034&lt;&gt;"",L1034,F1034),0)))</f>
        <v/>
      </c>
      <c r="R1034" s="32">
        <f>IF(A1034="","",IF(M1034&lt;&gt;"",M1034,G1034))</f>
        <v/>
      </c>
      <c r="S1034" s="32">
        <f>IF(A1034="","",IF(N1034&lt;&gt;"",N1034,H1034))</f>
        <v/>
      </c>
      <c r="T1034" s="32">
        <f>IF(A1034="","",IF(C1034="✗","Skipped",IF(Q1034&gt;0,"Paid","Upcoming")))</f>
        <v/>
      </c>
      <c r="U1034" s="36">
        <f>IF(A1034="",0,IF(C1034="✗",0,IF(L1034&lt;&gt;"",L1034,F1034)))</f>
        <v/>
      </c>
    </row>
    <row r="1035">
      <c r="A1035" s="39">
        <f>IFERROR(SMALL(Calc!$B$2:$BB$61,1030),"")</f>
        <v/>
      </c>
      <c r="B1035" s="39">
        <f>IF(A1035="","",ROUND(MOD(A1035,1)*1000,0))</f>
        <v/>
      </c>
      <c r="C1035" s="33" t="n"/>
      <c r="D1035" s="40">
        <f>IF(A1035="","",INT(A1035))</f>
        <v/>
      </c>
      <c r="E1035" s="41">
        <f>IF(B1035="","",INDEX(Setup!$D$25:$D$84,B1035))</f>
        <v/>
      </c>
      <c r="F1035" s="42">
        <f>IF(B1035="","",INDEX(Setup!$E$25:$E$84,B1035))</f>
        <v/>
      </c>
      <c r="G1035" s="39">
        <f>IF(B1035="","",INDEX(Setup!$I$25:$I$84,B1035)&amp;"")</f>
        <v/>
      </c>
      <c r="H1035" s="39">
        <f>IF(B1035="","",INDEX(Setup!$J$25:$J$84,B1035)&amp;"")</f>
        <v/>
      </c>
      <c r="I1035" s="39">
        <f>IF(B1035="","",INDEX(Setup!$C$25:$C$84,B1035))</f>
        <v/>
      </c>
      <c r="J1035" s="39" t="n"/>
      <c r="K1035" s="37" t="n"/>
      <c r="L1035" s="38" t="n"/>
      <c r="M1035" s="33" t="n"/>
      <c r="N1035" s="33" t="n"/>
      <c r="O1035" s="39" t="n"/>
      <c r="P1035" s="40">
        <f>IF(A1035="","",IF(K1035&lt;&gt;"",K1035,D1035))</f>
        <v/>
      </c>
      <c r="Q1035" s="42">
        <f>IF(A1035="",0,IF(C1035="✗",0,IF(OR(C1035="✓",AND(Setup!$D$7="Yes",P1035&lt;=TODAY())),IF(L1035&lt;&gt;"",L1035,F1035),0)))</f>
        <v/>
      </c>
      <c r="R1035" s="39">
        <f>IF(A1035="","",IF(M1035&lt;&gt;"",M1035,G1035))</f>
        <v/>
      </c>
      <c r="S1035" s="39">
        <f>IF(A1035="","",IF(N1035&lt;&gt;"",N1035,H1035))</f>
        <v/>
      </c>
      <c r="T1035" s="39">
        <f>IF(A1035="","",IF(C1035="✗","Skipped",IF(Q1035&gt;0,"Paid","Upcoming")))</f>
        <v/>
      </c>
      <c r="U1035" s="42">
        <f>IF(A1035="",0,IF(C1035="✗",0,IF(L1035&lt;&gt;"",L1035,F1035)))</f>
        <v/>
      </c>
    </row>
    <row r="1036">
      <c r="A1036" s="32">
        <f>IFERROR(SMALL(Calc!$B$2:$BB$61,1031),"")</f>
        <v/>
      </c>
      <c r="B1036" s="32">
        <f>IF(A1036="","",ROUND(MOD(A1036,1)*1000,0))</f>
        <v/>
      </c>
      <c r="C1036" s="33" t="n"/>
      <c r="D1036" s="34">
        <f>IF(A1036="","",INT(A1036))</f>
        <v/>
      </c>
      <c r="E1036" s="35">
        <f>IF(B1036="","",INDEX(Setup!$D$25:$D$84,B1036))</f>
        <v/>
      </c>
      <c r="F1036" s="36">
        <f>IF(B1036="","",INDEX(Setup!$E$25:$E$84,B1036))</f>
        <v/>
      </c>
      <c r="G1036" s="32">
        <f>IF(B1036="","",INDEX(Setup!$I$25:$I$84,B1036)&amp;"")</f>
        <v/>
      </c>
      <c r="H1036" s="32">
        <f>IF(B1036="","",INDEX(Setup!$J$25:$J$84,B1036)&amp;"")</f>
        <v/>
      </c>
      <c r="I1036" s="32">
        <f>IF(B1036="","",INDEX(Setup!$C$25:$C$84,B1036))</f>
        <v/>
      </c>
      <c r="J1036" s="32" t="n"/>
      <c r="K1036" s="37" t="n"/>
      <c r="L1036" s="38" t="n"/>
      <c r="M1036" s="33" t="n"/>
      <c r="N1036" s="33" t="n"/>
      <c r="O1036" s="32" t="n"/>
      <c r="P1036" s="34">
        <f>IF(A1036="","",IF(K1036&lt;&gt;"",K1036,D1036))</f>
        <v/>
      </c>
      <c r="Q1036" s="36">
        <f>IF(A1036="",0,IF(C1036="✗",0,IF(OR(C1036="✓",AND(Setup!$D$7="Yes",P1036&lt;=TODAY())),IF(L1036&lt;&gt;"",L1036,F1036),0)))</f>
        <v/>
      </c>
      <c r="R1036" s="32">
        <f>IF(A1036="","",IF(M1036&lt;&gt;"",M1036,G1036))</f>
        <v/>
      </c>
      <c r="S1036" s="32">
        <f>IF(A1036="","",IF(N1036&lt;&gt;"",N1036,H1036))</f>
        <v/>
      </c>
      <c r="T1036" s="32">
        <f>IF(A1036="","",IF(C1036="✗","Skipped",IF(Q1036&gt;0,"Paid","Upcoming")))</f>
        <v/>
      </c>
      <c r="U1036" s="36">
        <f>IF(A1036="",0,IF(C1036="✗",0,IF(L1036&lt;&gt;"",L1036,F1036)))</f>
        <v/>
      </c>
    </row>
    <row r="1037">
      <c r="A1037" s="39">
        <f>IFERROR(SMALL(Calc!$B$2:$BB$61,1032),"")</f>
        <v/>
      </c>
      <c r="B1037" s="39">
        <f>IF(A1037="","",ROUND(MOD(A1037,1)*1000,0))</f>
        <v/>
      </c>
      <c r="C1037" s="33" t="n"/>
      <c r="D1037" s="40">
        <f>IF(A1037="","",INT(A1037))</f>
        <v/>
      </c>
      <c r="E1037" s="41">
        <f>IF(B1037="","",INDEX(Setup!$D$25:$D$84,B1037))</f>
        <v/>
      </c>
      <c r="F1037" s="42">
        <f>IF(B1037="","",INDEX(Setup!$E$25:$E$84,B1037))</f>
        <v/>
      </c>
      <c r="G1037" s="39">
        <f>IF(B1037="","",INDEX(Setup!$I$25:$I$84,B1037)&amp;"")</f>
        <v/>
      </c>
      <c r="H1037" s="39">
        <f>IF(B1037="","",INDEX(Setup!$J$25:$J$84,B1037)&amp;"")</f>
        <v/>
      </c>
      <c r="I1037" s="39">
        <f>IF(B1037="","",INDEX(Setup!$C$25:$C$84,B1037))</f>
        <v/>
      </c>
      <c r="J1037" s="39" t="n"/>
      <c r="K1037" s="37" t="n"/>
      <c r="L1037" s="38" t="n"/>
      <c r="M1037" s="33" t="n"/>
      <c r="N1037" s="33" t="n"/>
      <c r="O1037" s="39" t="n"/>
      <c r="P1037" s="40">
        <f>IF(A1037="","",IF(K1037&lt;&gt;"",K1037,D1037))</f>
        <v/>
      </c>
      <c r="Q1037" s="42">
        <f>IF(A1037="",0,IF(C1037="✗",0,IF(OR(C1037="✓",AND(Setup!$D$7="Yes",P1037&lt;=TODAY())),IF(L1037&lt;&gt;"",L1037,F1037),0)))</f>
        <v/>
      </c>
      <c r="R1037" s="39">
        <f>IF(A1037="","",IF(M1037&lt;&gt;"",M1037,G1037))</f>
        <v/>
      </c>
      <c r="S1037" s="39">
        <f>IF(A1037="","",IF(N1037&lt;&gt;"",N1037,H1037))</f>
        <v/>
      </c>
      <c r="T1037" s="39">
        <f>IF(A1037="","",IF(C1037="✗","Skipped",IF(Q1037&gt;0,"Paid","Upcoming")))</f>
        <v/>
      </c>
      <c r="U1037" s="42">
        <f>IF(A1037="",0,IF(C1037="✗",0,IF(L1037&lt;&gt;"",L1037,F1037)))</f>
        <v/>
      </c>
    </row>
    <row r="1038">
      <c r="A1038" s="32">
        <f>IFERROR(SMALL(Calc!$B$2:$BB$61,1033),"")</f>
        <v/>
      </c>
      <c r="B1038" s="32">
        <f>IF(A1038="","",ROUND(MOD(A1038,1)*1000,0))</f>
        <v/>
      </c>
      <c r="C1038" s="33" t="n"/>
      <c r="D1038" s="34">
        <f>IF(A1038="","",INT(A1038))</f>
        <v/>
      </c>
      <c r="E1038" s="35">
        <f>IF(B1038="","",INDEX(Setup!$D$25:$D$84,B1038))</f>
        <v/>
      </c>
      <c r="F1038" s="36">
        <f>IF(B1038="","",INDEX(Setup!$E$25:$E$84,B1038))</f>
        <v/>
      </c>
      <c r="G1038" s="32">
        <f>IF(B1038="","",INDEX(Setup!$I$25:$I$84,B1038)&amp;"")</f>
        <v/>
      </c>
      <c r="H1038" s="32">
        <f>IF(B1038="","",INDEX(Setup!$J$25:$J$84,B1038)&amp;"")</f>
        <v/>
      </c>
      <c r="I1038" s="32">
        <f>IF(B1038="","",INDEX(Setup!$C$25:$C$84,B1038))</f>
        <v/>
      </c>
      <c r="J1038" s="32" t="n"/>
      <c r="K1038" s="37" t="n"/>
      <c r="L1038" s="38" t="n"/>
      <c r="M1038" s="33" t="n"/>
      <c r="N1038" s="33" t="n"/>
      <c r="O1038" s="32" t="n"/>
      <c r="P1038" s="34">
        <f>IF(A1038="","",IF(K1038&lt;&gt;"",K1038,D1038))</f>
        <v/>
      </c>
      <c r="Q1038" s="36">
        <f>IF(A1038="",0,IF(C1038="✗",0,IF(OR(C1038="✓",AND(Setup!$D$7="Yes",P1038&lt;=TODAY())),IF(L1038&lt;&gt;"",L1038,F1038),0)))</f>
        <v/>
      </c>
      <c r="R1038" s="32">
        <f>IF(A1038="","",IF(M1038&lt;&gt;"",M1038,G1038))</f>
        <v/>
      </c>
      <c r="S1038" s="32">
        <f>IF(A1038="","",IF(N1038&lt;&gt;"",N1038,H1038))</f>
        <v/>
      </c>
      <c r="T1038" s="32">
        <f>IF(A1038="","",IF(C1038="✗","Skipped",IF(Q1038&gt;0,"Paid","Upcoming")))</f>
        <v/>
      </c>
      <c r="U1038" s="36">
        <f>IF(A1038="",0,IF(C1038="✗",0,IF(L1038&lt;&gt;"",L1038,F1038)))</f>
        <v/>
      </c>
    </row>
    <row r="1039">
      <c r="A1039" s="39">
        <f>IFERROR(SMALL(Calc!$B$2:$BB$61,1034),"")</f>
        <v/>
      </c>
      <c r="B1039" s="39">
        <f>IF(A1039="","",ROUND(MOD(A1039,1)*1000,0))</f>
        <v/>
      </c>
      <c r="C1039" s="33" t="n"/>
      <c r="D1039" s="40">
        <f>IF(A1039="","",INT(A1039))</f>
        <v/>
      </c>
      <c r="E1039" s="41">
        <f>IF(B1039="","",INDEX(Setup!$D$25:$D$84,B1039))</f>
        <v/>
      </c>
      <c r="F1039" s="42">
        <f>IF(B1039="","",INDEX(Setup!$E$25:$E$84,B1039))</f>
        <v/>
      </c>
      <c r="G1039" s="39">
        <f>IF(B1039="","",INDEX(Setup!$I$25:$I$84,B1039)&amp;"")</f>
        <v/>
      </c>
      <c r="H1039" s="39">
        <f>IF(B1039="","",INDEX(Setup!$J$25:$J$84,B1039)&amp;"")</f>
        <v/>
      </c>
      <c r="I1039" s="39">
        <f>IF(B1039="","",INDEX(Setup!$C$25:$C$84,B1039))</f>
        <v/>
      </c>
      <c r="J1039" s="39" t="n"/>
      <c r="K1039" s="37" t="n"/>
      <c r="L1039" s="38" t="n"/>
      <c r="M1039" s="33" t="n"/>
      <c r="N1039" s="33" t="n"/>
      <c r="O1039" s="39" t="n"/>
      <c r="P1039" s="40">
        <f>IF(A1039="","",IF(K1039&lt;&gt;"",K1039,D1039))</f>
        <v/>
      </c>
      <c r="Q1039" s="42">
        <f>IF(A1039="",0,IF(C1039="✗",0,IF(OR(C1039="✓",AND(Setup!$D$7="Yes",P1039&lt;=TODAY())),IF(L1039&lt;&gt;"",L1039,F1039),0)))</f>
        <v/>
      </c>
      <c r="R1039" s="39">
        <f>IF(A1039="","",IF(M1039&lt;&gt;"",M1039,G1039))</f>
        <v/>
      </c>
      <c r="S1039" s="39">
        <f>IF(A1039="","",IF(N1039&lt;&gt;"",N1039,H1039))</f>
        <v/>
      </c>
      <c r="T1039" s="39">
        <f>IF(A1039="","",IF(C1039="✗","Skipped",IF(Q1039&gt;0,"Paid","Upcoming")))</f>
        <v/>
      </c>
      <c r="U1039" s="42">
        <f>IF(A1039="",0,IF(C1039="✗",0,IF(L1039&lt;&gt;"",L1039,F1039)))</f>
        <v/>
      </c>
    </row>
    <row r="1040">
      <c r="A1040" s="32">
        <f>IFERROR(SMALL(Calc!$B$2:$BB$61,1035),"")</f>
        <v/>
      </c>
      <c r="B1040" s="32">
        <f>IF(A1040="","",ROUND(MOD(A1040,1)*1000,0))</f>
        <v/>
      </c>
      <c r="C1040" s="33" t="n"/>
      <c r="D1040" s="34">
        <f>IF(A1040="","",INT(A1040))</f>
        <v/>
      </c>
      <c r="E1040" s="35">
        <f>IF(B1040="","",INDEX(Setup!$D$25:$D$84,B1040))</f>
        <v/>
      </c>
      <c r="F1040" s="36">
        <f>IF(B1040="","",INDEX(Setup!$E$25:$E$84,B1040))</f>
        <v/>
      </c>
      <c r="G1040" s="32">
        <f>IF(B1040="","",INDEX(Setup!$I$25:$I$84,B1040)&amp;"")</f>
        <v/>
      </c>
      <c r="H1040" s="32">
        <f>IF(B1040="","",INDEX(Setup!$J$25:$J$84,B1040)&amp;"")</f>
        <v/>
      </c>
      <c r="I1040" s="32">
        <f>IF(B1040="","",INDEX(Setup!$C$25:$C$84,B1040))</f>
        <v/>
      </c>
      <c r="J1040" s="32" t="n"/>
      <c r="K1040" s="37" t="n"/>
      <c r="L1040" s="38" t="n"/>
      <c r="M1040" s="33" t="n"/>
      <c r="N1040" s="33" t="n"/>
      <c r="O1040" s="32" t="n"/>
      <c r="P1040" s="34">
        <f>IF(A1040="","",IF(K1040&lt;&gt;"",K1040,D1040))</f>
        <v/>
      </c>
      <c r="Q1040" s="36">
        <f>IF(A1040="",0,IF(C1040="✗",0,IF(OR(C1040="✓",AND(Setup!$D$7="Yes",P1040&lt;=TODAY())),IF(L1040&lt;&gt;"",L1040,F1040),0)))</f>
        <v/>
      </c>
      <c r="R1040" s="32">
        <f>IF(A1040="","",IF(M1040&lt;&gt;"",M1040,G1040))</f>
        <v/>
      </c>
      <c r="S1040" s="32">
        <f>IF(A1040="","",IF(N1040&lt;&gt;"",N1040,H1040))</f>
        <v/>
      </c>
      <c r="T1040" s="32">
        <f>IF(A1040="","",IF(C1040="✗","Skipped",IF(Q1040&gt;0,"Paid","Upcoming")))</f>
        <v/>
      </c>
      <c r="U1040" s="36">
        <f>IF(A1040="",0,IF(C1040="✗",0,IF(L1040&lt;&gt;"",L1040,F1040)))</f>
        <v/>
      </c>
    </row>
    <row r="1041">
      <c r="A1041" s="39">
        <f>IFERROR(SMALL(Calc!$B$2:$BB$61,1036),"")</f>
        <v/>
      </c>
      <c r="B1041" s="39">
        <f>IF(A1041="","",ROUND(MOD(A1041,1)*1000,0))</f>
        <v/>
      </c>
      <c r="C1041" s="33" t="n"/>
      <c r="D1041" s="40">
        <f>IF(A1041="","",INT(A1041))</f>
        <v/>
      </c>
      <c r="E1041" s="41">
        <f>IF(B1041="","",INDEX(Setup!$D$25:$D$84,B1041))</f>
        <v/>
      </c>
      <c r="F1041" s="42">
        <f>IF(B1041="","",INDEX(Setup!$E$25:$E$84,B1041))</f>
        <v/>
      </c>
      <c r="G1041" s="39">
        <f>IF(B1041="","",INDEX(Setup!$I$25:$I$84,B1041)&amp;"")</f>
        <v/>
      </c>
      <c r="H1041" s="39">
        <f>IF(B1041="","",INDEX(Setup!$J$25:$J$84,B1041)&amp;"")</f>
        <v/>
      </c>
      <c r="I1041" s="39">
        <f>IF(B1041="","",INDEX(Setup!$C$25:$C$84,B1041))</f>
        <v/>
      </c>
      <c r="J1041" s="39" t="n"/>
      <c r="K1041" s="37" t="n"/>
      <c r="L1041" s="38" t="n"/>
      <c r="M1041" s="33" t="n"/>
      <c r="N1041" s="33" t="n"/>
      <c r="O1041" s="39" t="n"/>
      <c r="P1041" s="40">
        <f>IF(A1041="","",IF(K1041&lt;&gt;"",K1041,D1041))</f>
        <v/>
      </c>
      <c r="Q1041" s="42">
        <f>IF(A1041="",0,IF(C1041="✗",0,IF(OR(C1041="✓",AND(Setup!$D$7="Yes",P1041&lt;=TODAY())),IF(L1041&lt;&gt;"",L1041,F1041),0)))</f>
        <v/>
      </c>
      <c r="R1041" s="39">
        <f>IF(A1041="","",IF(M1041&lt;&gt;"",M1041,G1041))</f>
        <v/>
      </c>
      <c r="S1041" s="39">
        <f>IF(A1041="","",IF(N1041&lt;&gt;"",N1041,H1041))</f>
        <v/>
      </c>
      <c r="T1041" s="39">
        <f>IF(A1041="","",IF(C1041="✗","Skipped",IF(Q1041&gt;0,"Paid","Upcoming")))</f>
        <v/>
      </c>
      <c r="U1041" s="42">
        <f>IF(A1041="",0,IF(C1041="✗",0,IF(L1041&lt;&gt;"",L1041,F1041)))</f>
        <v/>
      </c>
    </row>
    <row r="1042">
      <c r="A1042" s="32">
        <f>IFERROR(SMALL(Calc!$B$2:$BB$61,1037),"")</f>
        <v/>
      </c>
      <c r="B1042" s="32">
        <f>IF(A1042="","",ROUND(MOD(A1042,1)*1000,0))</f>
        <v/>
      </c>
      <c r="C1042" s="33" t="n"/>
      <c r="D1042" s="34">
        <f>IF(A1042="","",INT(A1042))</f>
        <v/>
      </c>
      <c r="E1042" s="35">
        <f>IF(B1042="","",INDEX(Setup!$D$25:$D$84,B1042))</f>
        <v/>
      </c>
      <c r="F1042" s="36">
        <f>IF(B1042="","",INDEX(Setup!$E$25:$E$84,B1042))</f>
        <v/>
      </c>
      <c r="G1042" s="32">
        <f>IF(B1042="","",INDEX(Setup!$I$25:$I$84,B1042)&amp;"")</f>
        <v/>
      </c>
      <c r="H1042" s="32">
        <f>IF(B1042="","",INDEX(Setup!$J$25:$J$84,B1042)&amp;"")</f>
        <v/>
      </c>
      <c r="I1042" s="32">
        <f>IF(B1042="","",INDEX(Setup!$C$25:$C$84,B1042))</f>
        <v/>
      </c>
      <c r="J1042" s="32" t="n"/>
      <c r="K1042" s="37" t="n"/>
      <c r="L1042" s="38" t="n"/>
      <c r="M1042" s="33" t="n"/>
      <c r="N1042" s="33" t="n"/>
      <c r="O1042" s="32" t="n"/>
      <c r="P1042" s="34">
        <f>IF(A1042="","",IF(K1042&lt;&gt;"",K1042,D1042))</f>
        <v/>
      </c>
      <c r="Q1042" s="36">
        <f>IF(A1042="",0,IF(C1042="✗",0,IF(OR(C1042="✓",AND(Setup!$D$7="Yes",P1042&lt;=TODAY())),IF(L1042&lt;&gt;"",L1042,F1042),0)))</f>
        <v/>
      </c>
      <c r="R1042" s="32">
        <f>IF(A1042="","",IF(M1042&lt;&gt;"",M1042,G1042))</f>
        <v/>
      </c>
      <c r="S1042" s="32">
        <f>IF(A1042="","",IF(N1042&lt;&gt;"",N1042,H1042))</f>
        <v/>
      </c>
      <c r="T1042" s="32">
        <f>IF(A1042="","",IF(C1042="✗","Skipped",IF(Q1042&gt;0,"Paid","Upcoming")))</f>
        <v/>
      </c>
      <c r="U1042" s="36">
        <f>IF(A1042="",0,IF(C1042="✗",0,IF(L1042&lt;&gt;"",L1042,F1042)))</f>
        <v/>
      </c>
    </row>
    <row r="1043">
      <c r="A1043" s="39">
        <f>IFERROR(SMALL(Calc!$B$2:$BB$61,1038),"")</f>
        <v/>
      </c>
      <c r="B1043" s="39">
        <f>IF(A1043="","",ROUND(MOD(A1043,1)*1000,0))</f>
        <v/>
      </c>
      <c r="C1043" s="33" t="n"/>
      <c r="D1043" s="40">
        <f>IF(A1043="","",INT(A1043))</f>
        <v/>
      </c>
      <c r="E1043" s="41">
        <f>IF(B1043="","",INDEX(Setup!$D$25:$D$84,B1043))</f>
        <v/>
      </c>
      <c r="F1043" s="42">
        <f>IF(B1043="","",INDEX(Setup!$E$25:$E$84,B1043))</f>
        <v/>
      </c>
      <c r="G1043" s="39">
        <f>IF(B1043="","",INDEX(Setup!$I$25:$I$84,B1043)&amp;"")</f>
        <v/>
      </c>
      <c r="H1043" s="39">
        <f>IF(B1043="","",INDEX(Setup!$J$25:$J$84,B1043)&amp;"")</f>
        <v/>
      </c>
      <c r="I1043" s="39">
        <f>IF(B1043="","",INDEX(Setup!$C$25:$C$84,B1043))</f>
        <v/>
      </c>
      <c r="J1043" s="39" t="n"/>
      <c r="K1043" s="37" t="n"/>
      <c r="L1043" s="38" t="n"/>
      <c r="M1043" s="33" t="n"/>
      <c r="N1043" s="33" t="n"/>
      <c r="O1043" s="39" t="n"/>
      <c r="P1043" s="40">
        <f>IF(A1043="","",IF(K1043&lt;&gt;"",K1043,D1043))</f>
        <v/>
      </c>
      <c r="Q1043" s="42">
        <f>IF(A1043="",0,IF(C1043="✗",0,IF(OR(C1043="✓",AND(Setup!$D$7="Yes",P1043&lt;=TODAY())),IF(L1043&lt;&gt;"",L1043,F1043),0)))</f>
        <v/>
      </c>
      <c r="R1043" s="39">
        <f>IF(A1043="","",IF(M1043&lt;&gt;"",M1043,G1043))</f>
        <v/>
      </c>
      <c r="S1043" s="39">
        <f>IF(A1043="","",IF(N1043&lt;&gt;"",N1043,H1043))</f>
        <v/>
      </c>
      <c r="T1043" s="39">
        <f>IF(A1043="","",IF(C1043="✗","Skipped",IF(Q1043&gt;0,"Paid","Upcoming")))</f>
        <v/>
      </c>
      <c r="U1043" s="42">
        <f>IF(A1043="",0,IF(C1043="✗",0,IF(L1043&lt;&gt;"",L1043,F1043)))</f>
        <v/>
      </c>
    </row>
    <row r="1044">
      <c r="A1044" s="32">
        <f>IFERROR(SMALL(Calc!$B$2:$BB$61,1039),"")</f>
        <v/>
      </c>
      <c r="B1044" s="32">
        <f>IF(A1044="","",ROUND(MOD(A1044,1)*1000,0))</f>
        <v/>
      </c>
      <c r="C1044" s="33" t="n"/>
      <c r="D1044" s="34">
        <f>IF(A1044="","",INT(A1044))</f>
        <v/>
      </c>
      <c r="E1044" s="35">
        <f>IF(B1044="","",INDEX(Setup!$D$25:$D$84,B1044))</f>
        <v/>
      </c>
      <c r="F1044" s="36">
        <f>IF(B1044="","",INDEX(Setup!$E$25:$E$84,B1044))</f>
        <v/>
      </c>
      <c r="G1044" s="32">
        <f>IF(B1044="","",INDEX(Setup!$I$25:$I$84,B1044)&amp;"")</f>
        <v/>
      </c>
      <c r="H1044" s="32">
        <f>IF(B1044="","",INDEX(Setup!$J$25:$J$84,B1044)&amp;"")</f>
        <v/>
      </c>
      <c r="I1044" s="32">
        <f>IF(B1044="","",INDEX(Setup!$C$25:$C$84,B1044))</f>
        <v/>
      </c>
      <c r="J1044" s="32" t="n"/>
      <c r="K1044" s="37" t="n"/>
      <c r="L1044" s="38" t="n"/>
      <c r="M1044" s="33" t="n"/>
      <c r="N1044" s="33" t="n"/>
      <c r="O1044" s="32" t="n"/>
      <c r="P1044" s="34">
        <f>IF(A1044="","",IF(K1044&lt;&gt;"",K1044,D1044))</f>
        <v/>
      </c>
      <c r="Q1044" s="36">
        <f>IF(A1044="",0,IF(C1044="✗",0,IF(OR(C1044="✓",AND(Setup!$D$7="Yes",P1044&lt;=TODAY())),IF(L1044&lt;&gt;"",L1044,F1044),0)))</f>
        <v/>
      </c>
      <c r="R1044" s="32">
        <f>IF(A1044="","",IF(M1044&lt;&gt;"",M1044,G1044))</f>
        <v/>
      </c>
      <c r="S1044" s="32">
        <f>IF(A1044="","",IF(N1044&lt;&gt;"",N1044,H1044))</f>
        <v/>
      </c>
      <c r="T1044" s="32">
        <f>IF(A1044="","",IF(C1044="✗","Skipped",IF(Q1044&gt;0,"Paid","Upcoming")))</f>
        <v/>
      </c>
      <c r="U1044" s="36">
        <f>IF(A1044="",0,IF(C1044="✗",0,IF(L1044&lt;&gt;"",L1044,F1044)))</f>
        <v/>
      </c>
    </row>
    <row r="1045">
      <c r="A1045" s="39">
        <f>IFERROR(SMALL(Calc!$B$2:$BB$61,1040),"")</f>
        <v/>
      </c>
      <c r="B1045" s="39">
        <f>IF(A1045="","",ROUND(MOD(A1045,1)*1000,0))</f>
        <v/>
      </c>
      <c r="C1045" s="33" t="n"/>
      <c r="D1045" s="40">
        <f>IF(A1045="","",INT(A1045))</f>
        <v/>
      </c>
      <c r="E1045" s="41">
        <f>IF(B1045="","",INDEX(Setup!$D$25:$D$84,B1045))</f>
        <v/>
      </c>
      <c r="F1045" s="42">
        <f>IF(B1045="","",INDEX(Setup!$E$25:$E$84,B1045))</f>
        <v/>
      </c>
      <c r="G1045" s="39">
        <f>IF(B1045="","",INDEX(Setup!$I$25:$I$84,B1045)&amp;"")</f>
        <v/>
      </c>
      <c r="H1045" s="39">
        <f>IF(B1045="","",INDEX(Setup!$J$25:$J$84,B1045)&amp;"")</f>
        <v/>
      </c>
      <c r="I1045" s="39">
        <f>IF(B1045="","",INDEX(Setup!$C$25:$C$84,B1045))</f>
        <v/>
      </c>
      <c r="J1045" s="39" t="n"/>
      <c r="K1045" s="37" t="n"/>
      <c r="L1045" s="38" t="n"/>
      <c r="M1045" s="33" t="n"/>
      <c r="N1045" s="33" t="n"/>
      <c r="O1045" s="39" t="n"/>
      <c r="P1045" s="40">
        <f>IF(A1045="","",IF(K1045&lt;&gt;"",K1045,D1045))</f>
        <v/>
      </c>
      <c r="Q1045" s="42">
        <f>IF(A1045="",0,IF(C1045="✗",0,IF(OR(C1045="✓",AND(Setup!$D$7="Yes",P1045&lt;=TODAY())),IF(L1045&lt;&gt;"",L1045,F1045),0)))</f>
        <v/>
      </c>
      <c r="R1045" s="39">
        <f>IF(A1045="","",IF(M1045&lt;&gt;"",M1045,G1045))</f>
        <v/>
      </c>
      <c r="S1045" s="39">
        <f>IF(A1045="","",IF(N1045&lt;&gt;"",N1045,H1045))</f>
        <v/>
      </c>
      <c r="T1045" s="39">
        <f>IF(A1045="","",IF(C1045="✗","Skipped",IF(Q1045&gt;0,"Paid","Upcoming")))</f>
        <v/>
      </c>
      <c r="U1045" s="42">
        <f>IF(A1045="",0,IF(C1045="✗",0,IF(L1045&lt;&gt;"",L1045,F1045)))</f>
        <v/>
      </c>
    </row>
    <row r="1046">
      <c r="A1046" s="32">
        <f>IFERROR(SMALL(Calc!$B$2:$BB$61,1041),"")</f>
        <v/>
      </c>
      <c r="B1046" s="32">
        <f>IF(A1046="","",ROUND(MOD(A1046,1)*1000,0))</f>
        <v/>
      </c>
      <c r="C1046" s="33" t="n"/>
      <c r="D1046" s="34">
        <f>IF(A1046="","",INT(A1046))</f>
        <v/>
      </c>
      <c r="E1046" s="35">
        <f>IF(B1046="","",INDEX(Setup!$D$25:$D$84,B1046))</f>
        <v/>
      </c>
      <c r="F1046" s="36">
        <f>IF(B1046="","",INDEX(Setup!$E$25:$E$84,B1046))</f>
        <v/>
      </c>
      <c r="G1046" s="32">
        <f>IF(B1046="","",INDEX(Setup!$I$25:$I$84,B1046)&amp;"")</f>
        <v/>
      </c>
      <c r="H1046" s="32">
        <f>IF(B1046="","",INDEX(Setup!$J$25:$J$84,B1046)&amp;"")</f>
        <v/>
      </c>
      <c r="I1046" s="32">
        <f>IF(B1046="","",INDEX(Setup!$C$25:$C$84,B1046))</f>
        <v/>
      </c>
      <c r="J1046" s="32" t="n"/>
      <c r="K1046" s="37" t="n"/>
      <c r="L1046" s="38" t="n"/>
      <c r="M1046" s="33" t="n"/>
      <c r="N1046" s="33" t="n"/>
      <c r="O1046" s="32" t="n"/>
      <c r="P1046" s="34">
        <f>IF(A1046="","",IF(K1046&lt;&gt;"",K1046,D1046))</f>
        <v/>
      </c>
      <c r="Q1046" s="36">
        <f>IF(A1046="",0,IF(C1046="✗",0,IF(OR(C1046="✓",AND(Setup!$D$7="Yes",P1046&lt;=TODAY())),IF(L1046&lt;&gt;"",L1046,F1046),0)))</f>
        <v/>
      </c>
      <c r="R1046" s="32">
        <f>IF(A1046="","",IF(M1046&lt;&gt;"",M1046,G1046))</f>
        <v/>
      </c>
      <c r="S1046" s="32">
        <f>IF(A1046="","",IF(N1046&lt;&gt;"",N1046,H1046))</f>
        <v/>
      </c>
      <c r="T1046" s="32">
        <f>IF(A1046="","",IF(C1046="✗","Skipped",IF(Q1046&gt;0,"Paid","Upcoming")))</f>
        <v/>
      </c>
      <c r="U1046" s="36">
        <f>IF(A1046="",0,IF(C1046="✗",0,IF(L1046&lt;&gt;"",L1046,F1046)))</f>
        <v/>
      </c>
    </row>
    <row r="1047">
      <c r="A1047" s="39">
        <f>IFERROR(SMALL(Calc!$B$2:$BB$61,1042),"")</f>
        <v/>
      </c>
      <c r="B1047" s="39">
        <f>IF(A1047="","",ROUND(MOD(A1047,1)*1000,0))</f>
        <v/>
      </c>
      <c r="C1047" s="33" t="n"/>
      <c r="D1047" s="40">
        <f>IF(A1047="","",INT(A1047))</f>
        <v/>
      </c>
      <c r="E1047" s="41">
        <f>IF(B1047="","",INDEX(Setup!$D$25:$D$84,B1047))</f>
        <v/>
      </c>
      <c r="F1047" s="42">
        <f>IF(B1047="","",INDEX(Setup!$E$25:$E$84,B1047))</f>
        <v/>
      </c>
      <c r="G1047" s="39">
        <f>IF(B1047="","",INDEX(Setup!$I$25:$I$84,B1047)&amp;"")</f>
        <v/>
      </c>
      <c r="H1047" s="39">
        <f>IF(B1047="","",INDEX(Setup!$J$25:$J$84,B1047)&amp;"")</f>
        <v/>
      </c>
      <c r="I1047" s="39">
        <f>IF(B1047="","",INDEX(Setup!$C$25:$C$84,B1047))</f>
        <v/>
      </c>
      <c r="J1047" s="39" t="n"/>
      <c r="K1047" s="37" t="n"/>
      <c r="L1047" s="38" t="n"/>
      <c r="M1047" s="33" t="n"/>
      <c r="N1047" s="33" t="n"/>
      <c r="O1047" s="39" t="n"/>
      <c r="P1047" s="40">
        <f>IF(A1047="","",IF(K1047&lt;&gt;"",K1047,D1047))</f>
        <v/>
      </c>
      <c r="Q1047" s="42">
        <f>IF(A1047="",0,IF(C1047="✗",0,IF(OR(C1047="✓",AND(Setup!$D$7="Yes",P1047&lt;=TODAY())),IF(L1047&lt;&gt;"",L1047,F1047),0)))</f>
        <v/>
      </c>
      <c r="R1047" s="39">
        <f>IF(A1047="","",IF(M1047&lt;&gt;"",M1047,G1047))</f>
        <v/>
      </c>
      <c r="S1047" s="39">
        <f>IF(A1047="","",IF(N1047&lt;&gt;"",N1047,H1047))</f>
        <v/>
      </c>
      <c r="T1047" s="39">
        <f>IF(A1047="","",IF(C1047="✗","Skipped",IF(Q1047&gt;0,"Paid","Upcoming")))</f>
        <v/>
      </c>
      <c r="U1047" s="42">
        <f>IF(A1047="",0,IF(C1047="✗",0,IF(L1047&lt;&gt;"",L1047,F1047)))</f>
        <v/>
      </c>
    </row>
    <row r="1048">
      <c r="A1048" s="32">
        <f>IFERROR(SMALL(Calc!$B$2:$BB$61,1043),"")</f>
        <v/>
      </c>
      <c r="B1048" s="32">
        <f>IF(A1048="","",ROUND(MOD(A1048,1)*1000,0))</f>
        <v/>
      </c>
      <c r="C1048" s="33" t="n"/>
      <c r="D1048" s="34">
        <f>IF(A1048="","",INT(A1048))</f>
        <v/>
      </c>
      <c r="E1048" s="35">
        <f>IF(B1048="","",INDEX(Setup!$D$25:$D$84,B1048))</f>
        <v/>
      </c>
      <c r="F1048" s="36">
        <f>IF(B1048="","",INDEX(Setup!$E$25:$E$84,B1048))</f>
        <v/>
      </c>
      <c r="G1048" s="32">
        <f>IF(B1048="","",INDEX(Setup!$I$25:$I$84,B1048)&amp;"")</f>
        <v/>
      </c>
      <c r="H1048" s="32">
        <f>IF(B1048="","",INDEX(Setup!$J$25:$J$84,B1048)&amp;"")</f>
        <v/>
      </c>
      <c r="I1048" s="32">
        <f>IF(B1048="","",INDEX(Setup!$C$25:$C$84,B1048))</f>
        <v/>
      </c>
      <c r="J1048" s="32" t="n"/>
      <c r="K1048" s="37" t="n"/>
      <c r="L1048" s="38" t="n"/>
      <c r="M1048" s="33" t="n"/>
      <c r="N1048" s="33" t="n"/>
      <c r="O1048" s="32" t="n"/>
      <c r="P1048" s="34">
        <f>IF(A1048="","",IF(K1048&lt;&gt;"",K1048,D1048))</f>
        <v/>
      </c>
      <c r="Q1048" s="36">
        <f>IF(A1048="",0,IF(C1048="✗",0,IF(OR(C1048="✓",AND(Setup!$D$7="Yes",P1048&lt;=TODAY())),IF(L1048&lt;&gt;"",L1048,F1048),0)))</f>
        <v/>
      </c>
      <c r="R1048" s="32">
        <f>IF(A1048="","",IF(M1048&lt;&gt;"",M1048,G1048))</f>
        <v/>
      </c>
      <c r="S1048" s="32">
        <f>IF(A1048="","",IF(N1048&lt;&gt;"",N1048,H1048))</f>
        <v/>
      </c>
      <c r="T1048" s="32">
        <f>IF(A1048="","",IF(C1048="✗","Skipped",IF(Q1048&gt;0,"Paid","Upcoming")))</f>
        <v/>
      </c>
      <c r="U1048" s="36">
        <f>IF(A1048="",0,IF(C1048="✗",0,IF(L1048&lt;&gt;"",L1048,F1048)))</f>
        <v/>
      </c>
    </row>
    <row r="1049">
      <c r="A1049" s="39">
        <f>IFERROR(SMALL(Calc!$B$2:$BB$61,1044),"")</f>
        <v/>
      </c>
      <c r="B1049" s="39">
        <f>IF(A1049="","",ROUND(MOD(A1049,1)*1000,0))</f>
        <v/>
      </c>
      <c r="C1049" s="33" t="n"/>
      <c r="D1049" s="40">
        <f>IF(A1049="","",INT(A1049))</f>
        <v/>
      </c>
      <c r="E1049" s="41">
        <f>IF(B1049="","",INDEX(Setup!$D$25:$D$84,B1049))</f>
        <v/>
      </c>
      <c r="F1049" s="42">
        <f>IF(B1049="","",INDEX(Setup!$E$25:$E$84,B1049))</f>
        <v/>
      </c>
      <c r="G1049" s="39">
        <f>IF(B1049="","",INDEX(Setup!$I$25:$I$84,B1049)&amp;"")</f>
        <v/>
      </c>
      <c r="H1049" s="39">
        <f>IF(B1049="","",INDEX(Setup!$J$25:$J$84,B1049)&amp;"")</f>
        <v/>
      </c>
      <c r="I1049" s="39">
        <f>IF(B1049="","",INDEX(Setup!$C$25:$C$84,B1049))</f>
        <v/>
      </c>
      <c r="J1049" s="39" t="n"/>
      <c r="K1049" s="37" t="n"/>
      <c r="L1049" s="38" t="n"/>
      <c r="M1049" s="33" t="n"/>
      <c r="N1049" s="33" t="n"/>
      <c r="O1049" s="39" t="n"/>
      <c r="P1049" s="40">
        <f>IF(A1049="","",IF(K1049&lt;&gt;"",K1049,D1049))</f>
        <v/>
      </c>
      <c r="Q1049" s="42">
        <f>IF(A1049="",0,IF(C1049="✗",0,IF(OR(C1049="✓",AND(Setup!$D$7="Yes",P1049&lt;=TODAY())),IF(L1049&lt;&gt;"",L1049,F1049),0)))</f>
        <v/>
      </c>
      <c r="R1049" s="39">
        <f>IF(A1049="","",IF(M1049&lt;&gt;"",M1049,G1049))</f>
        <v/>
      </c>
      <c r="S1049" s="39">
        <f>IF(A1049="","",IF(N1049&lt;&gt;"",N1049,H1049))</f>
        <v/>
      </c>
      <c r="T1049" s="39">
        <f>IF(A1049="","",IF(C1049="✗","Skipped",IF(Q1049&gt;0,"Paid","Upcoming")))</f>
        <v/>
      </c>
      <c r="U1049" s="42">
        <f>IF(A1049="",0,IF(C1049="✗",0,IF(L1049&lt;&gt;"",L1049,F1049)))</f>
        <v/>
      </c>
    </row>
    <row r="1050">
      <c r="A1050" s="32">
        <f>IFERROR(SMALL(Calc!$B$2:$BB$61,1045),"")</f>
        <v/>
      </c>
      <c r="B1050" s="32">
        <f>IF(A1050="","",ROUND(MOD(A1050,1)*1000,0))</f>
        <v/>
      </c>
      <c r="C1050" s="33" t="n"/>
      <c r="D1050" s="34">
        <f>IF(A1050="","",INT(A1050))</f>
        <v/>
      </c>
      <c r="E1050" s="35">
        <f>IF(B1050="","",INDEX(Setup!$D$25:$D$84,B1050))</f>
        <v/>
      </c>
      <c r="F1050" s="36">
        <f>IF(B1050="","",INDEX(Setup!$E$25:$E$84,B1050))</f>
        <v/>
      </c>
      <c r="G1050" s="32">
        <f>IF(B1050="","",INDEX(Setup!$I$25:$I$84,B1050)&amp;"")</f>
        <v/>
      </c>
      <c r="H1050" s="32">
        <f>IF(B1050="","",INDEX(Setup!$J$25:$J$84,B1050)&amp;"")</f>
        <v/>
      </c>
      <c r="I1050" s="32">
        <f>IF(B1050="","",INDEX(Setup!$C$25:$C$84,B1050))</f>
        <v/>
      </c>
      <c r="J1050" s="32" t="n"/>
      <c r="K1050" s="37" t="n"/>
      <c r="L1050" s="38" t="n"/>
      <c r="M1050" s="33" t="n"/>
      <c r="N1050" s="33" t="n"/>
      <c r="O1050" s="32" t="n"/>
      <c r="P1050" s="34">
        <f>IF(A1050="","",IF(K1050&lt;&gt;"",K1050,D1050))</f>
        <v/>
      </c>
      <c r="Q1050" s="36">
        <f>IF(A1050="",0,IF(C1050="✗",0,IF(OR(C1050="✓",AND(Setup!$D$7="Yes",P1050&lt;=TODAY())),IF(L1050&lt;&gt;"",L1050,F1050),0)))</f>
        <v/>
      </c>
      <c r="R1050" s="32">
        <f>IF(A1050="","",IF(M1050&lt;&gt;"",M1050,G1050))</f>
        <v/>
      </c>
      <c r="S1050" s="32">
        <f>IF(A1050="","",IF(N1050&lt;&gt;"",N1050,H1050))</f>
        <v/>
      </c>
      <c r="T1050" s="32">
        <f>IF(A1050="","",IF(C1050="✗","Skipped",IF(Q1050&gt;0,"Paid","Upcoming")))</f>
        <v/>
      </c>
      <c r="U1050" s="36">
        <f>IF(A1050="",0,IF(C1050="✗",0,IF(L1050&lt;&gt;"",L1050,F1050)))</f>
        <v/>
      </c>
    </row>
    <row r="1051">
      <c r="A1051" s="39">
        <f>IFERROR(SMALL(Calc!$B$2:$BB$61,1046),"")</f>
        <v/>
      </c>
      <c r="B1051" s="39">
        <f>IF(A1051="","",ROUND(MOD(A1051,1)*1000,0))</f>
        <v/>
      </c>
      <c r="C1051" s="33" t="n"/>
      <c r="D1051" s="40">
        <f>IF(A1051="","",INT(A1051))</f>
        <v/>
      </c>
      <c r="E1051" s="41">
        <f>IF(B1051="","",INDEX(Setup!$D$25:$D$84,B1051))</f>
        <v/>
      </c>
      <c r="F1051" s="42">
        <f>IF(B1051="","",INDEX(Setup!$E$25:$E$84,B1051))</f>
        <v/>
      </c>
      <c r="G1051" s="39">
        <f>IF(B1051="","",INDEX(Setup!$I$25:$I$84,B1051)&amp;"")</f>
        <v/>
      </c>
      <c r="H1051" s="39">
        <f>IF(B1051="","",INDEX(Setup!$J$25:$J$84,B1051)&amp;"")</f>
        <v/>
      </c>
      <c r="I1051" s="39">
        <f>IF(B1051="","",INDEX(Setup!$C$25:$C$84,B1051))</f>
        <v/>
      </c>
      <c r="J1051" s="39" t="n"/>
      <c r="K1051" s="37" t="n"/>
      <c r="L1051" s="38" t="n"/>
      <c r="M1051" s="33" t="n"/>
      <c r="N1051" s="33" t="n"/>
      <c r="O1051" s="39" t="n"/>
      <c r="P1051" s="40">
        <f>IF(A1051="","",IF(K1051&lt;&gt;"",K1051,D1051))</f>
        <v/>
      </c>
      <c r="Q1051" s="42">
        <f>IF(A1051="",0,IF(C1051="✗",0,IF(OR(C1051="✓",AND(Setup!$D$7="Yes",P1051&lt;=TODAY())),IF(L1051&lt;&gt;"",L1051,F1051),0)))</f>
        <v/>
      </c>
      <c r="R1051" s="39">
        <f>IF(A1051="","",IF(M1051&lt;&gt;"",M1051,G1051))</f>
        <v/>
      </c>
      <c r="S1051" s="39">
        <f>IF(A1051="","",IF(N1051&lt;&gt;"",N1051,H1051))</f>
        <v/>
      </c>
      <c r="T1051" s="39">
        <f>IF(A1051="","",IF(C1051="✗","Skipped",IF(Q1051&gt;0,"Paid","Upcoming")))</f>
        <v/>
      </c>
      <c r="U1051" s="42">
        <f>IF(A1051="",0,IF(C1051="✗",0,IF(L1051&lt;&gt;"",L1051,F1051)))</f>
        <v/>
      </c>
    </row>
    <row r="1052">
      <c r="A1052" s="32">
        <f>IFERROR(SMALL(Calc!$B$2:$BB$61,1047),"")</f>
        <v/>
      </c>
      <c r="B1052" s="32">
        <f>IF(A1052="","",ROUND(MOD(A1052,1)*1000,0))</f>
        <v/>
      </c>
      <c r="C1052" s="33" t="n"/>
      <c r="D1052" s="34">
        <f>IF(A1052="","",INT(A1052))</f>
        <v/>
      </c>
      <c r="E1052" s="35">
        <f>IF(B1052="","",INDEX(Setup!$D$25:$D$84,B1052))</f>
        <v/>
      </c>
      <c r="F1052" s="36">
        <f>IF(B1052="","",INDEX(Setup!$E$25:$E$84,B1052))</f>
        <v/>
      </c>
      <c r="G1052" s="32">
        <f>IF(B1052="","",INDEX(Setup!$I$25:$I$84,B1052)&amp;"")</f>
        <v/>
      </c>
      <c r="H1052" s="32">
        <f>IF(B1052="","",INDEX(Setup!$J$25:$J$84,B1052)&amp;"")</f>
        <v/>
      </c>
      <c r="I1052" s="32">
        <f>IF(B1052="","",INDEX(Setup!$C$25:$C$84,B1052))</f>
        <v/>
      </c>
      <c r="J1052" s="32" t="n"/>
      <c r="K1052" s="37" t="n"/>
      <c r="L1052" s="38" t="n"/>
      <c r="M1052" s="33" t="n"/>
      <c r="N1052" s="33" t="n"/>
      <c r="O1052" s="32" t="n"/>
      <c r="P1052" s="34">
        <f>IF(A1052="","",IF(K1052&lt;&gt;"",K1052,D1052))</f>
        <v/>
      </c>
      <c r="Q1052" s="36">
        <f>IF(A1052="",0,IF(C1052="✗",0,IF(OR(C1052="✓",AND(Setup!$D$7="Yes",P1052&lt;=TODAY())),IF(L1052&lt;&gt;"",L1052,F1052),0)))</f>
        <v/>
      </c>
      <c r="R1052" s="32">
        <f>IF(A1052="","",IF(M1052&lt;&gt;"",M1052,G1052))</f>
        <v/>
      </c>
      <c r="S1052" s="32">
        <f>IF(A1052="","",IF(N1052&lt;&gt;"",N1052,H1052))</f>
        <v/>
      </c>
      <c r="T1052" s="32">
        <f>IF(A1052="","",IF(C1052="✗","Skipped",IF(Q1052&gt;0,"Paid","Upcoming")))</f>
        <v/>
      </c>
      <c r="U1052" s="36">
        <f>IF(A1052="",0,IF(C1052="✗",0,IF(L1052&lt;&gt;"",L1052,F1052)))</f>
        <v/>
      </c>
    </row>
    <row r="1053">
      <c r="A1053" s="39">
        <f>IFERROR(SMALL(Calc!$B$2:$BB$61,1048),"")</f>
        <v/>
      </c>
      <c r="B1053" s="39">
        <f>IF(A1053="","",ROUND(MOD(A1053,1)*1000,0))</f>
        <v/>
      </c>
      <c r="C1053" s="33" t="n"/>
      <c r="D1053" s="40">
        <f>IF(A1053="","",INT(A1053))</f>
        <v/>
      </c>
      <c r="E1053" s="41">
        <f>IF(B1053="","",INDEX(Setup!$D$25:$D$84,B1053))</f>
        <v/>
      </c>
      <c r="F1053" s="42">
        <f>IF(B1053="","",INDEX(Setup!$E$25:$E$84,B1053))</f>
        <v/>
      </c>
      <c r="G1053" s="39">
        <f>IF(B1053="","",INDEX(Setup!$I$25:$I$84,B1053)&amp;"")</f>
        <v/>
      </c>
      <c r="H1053" s="39">
        <f>IF(B1053="","",INDEX(Setup!$J$25:$J$84,B1053)&amp;"")</f>
        <v/>
      </c>
      <c r="I1053" s="39">
        <f>IF(B1053="","",INDEX(Setup!$C$25:$C$84,B1053))</f>
        <v/>
      </c>
      <c r="J1053" s="39" t="n"/>
      <c r="K1053" s="37" t="n"/>
      <c r="L1053" s="38" t="n"/>
      <c r="M1053" s="33" t="n"/>
      <c r="N1053" s="33" t="n"/>
      <c r="O1053" s="39" t="n"/>
      <c r="P1053" s="40">
        <f>IF(A1053="","",IF(K1053&lt;&gt;"",K1053,D1053))</f>
        <v/>
      </c>
      <c r="Q1053" s="42">
        <f>IF(A1053="",0,IF(C1053="✗",0,IF(OR(C1053="✓",AND(Setup!$D$7="Yes",P1053&lt;=TODAY())),IF(L1053&lt;&gt;"",L1053,F1053),0)))</f>
        <v/>
      </c>
      <c r="R1053" s="39">
        <f>IF(A1053="","",IF(M1053&lt;&gt;"",M1053,G1053))</f>
        <v/>
      </c>
      <c r="S1053" s="39">
        <f>IF(A1053="","",IF(N1053&lt;&gt;"",N1053,H1053))</f>
        <v/>
      </c>
      <c r="T1053" s="39">
        <f>IF(A1053="","",IF(C1053="✗","Skipped",IF(Q1053&gt;0,"Paid","Upcoming")))</f>
        <v/>
      </c>
      <c r="U1053" s="42">
        <f>IF(A1053="",0,IF(C1053="✗",0,IF(L1053&lt;&gt;"",L1053,F1053)))</f>
        <v/>
      </c>
    </row>
    <row r="1054">
      <c r="A1054" s="32">
        <f>IFERROR(SMALL(Calc!$B$2:$BB$61,1049),"")</f>
        <v/>
      </c>
      <c r="B1054" s="32">
        <f>IF(A1054="","",ROUND(MOD(A1054,1)*1000,0))</f>
        <v/>
      </c>
      <c r="C1054" s="33" t="n"/>
      <c r="D1054" s="34">
        <f>IF(A1054="","",INT(A1054))</f>
        <v/>
      </c>
      <c r="E1054" s="35">
        <f>IF(B1054="","",INDEX(Setup!$D$25:$D$84,B1054))</f>
        <v/>
      </c>
      <c r="F1054" s="36">
        <f>IF(B1054="","",INDEX(Setup!$E$25:$E$84,B1054))</f>
        <v/>
      </c>
      <c r="G1054" s="32">
        <f>IF(B1054="","",INDEX(Setup!$I$25:$I$84,B1054)&amp;"")</f>
        <v/>
      </c>
      <c r="H1054" s="32">
        <f>IF(B1054="","",INDEX(Setup!$J$25:$J$84,B1054)&amp;"")</f>
        <v/>
      </c>
      <c r="I1054" s="32">
        <f>IF(B1054="","",INDEX(Setup!$C$25:$C$84,B1054))</f>
        <v/>
      </c>
      <c r="J1054" s="32" t="n"/>
      <c r="K1054" s="37" t="n"/>
      <c r="L1054" s="38" t="n"/>
      <c r="M1054" s="33" t="n"/>
      <c r="N1054" s="33" t="n"/>
      <c r="O1054" s="32" t="n"/>
      <c r="P1054" s="34">
        <f>IF(A1054="","",IF(K1054&lt;&gt;"",K1054,D1054))</f>
        <v/>
      </c>
      <c r="Q1054" s="36">
        <f>IF(A1054="",0,IF(C1054="✗",0,IF(OR(C1054="✓",AND(Setup!$D$7="Yes",P1054&lt;=TODAY())),IF(L1054&lt;&gt;"",L1054,F1054),0)))</f>
        <v/>
      </c>
      <c r="R1054" s="32">
        <f>IF(A1054="","",IF(M1054&lt;&gt;"",M1054,G1054))</f>
        <v/>
      </c>
      <c r="S1054" s="32">
        <f>IF(A1054="","",IF(N1054&lt;&gt;"",N1054,H1054))</f>
        <v/>
      </c>
      <c r="T1054" s="32">
        <f>IF(A1054="","",IF(C1054="✗","Skipped",IF(Q1054&gt;0,"Paid","Upcoming")))</f>
        <v/>
      </c>
      <c r="U1054" s="36">
        <f>IF(A1054="",0,IF(C1054="✗",0,IF(L1054&lt;&gt;"",L1054,F1054)))</f>
        <v/>
      </c>
    </row>
    <row r="1055">
      <c r="A1055" s="39">
        <f>IFERROR(SMALL(Calc!$B$2:$BB$61,1050),"")</f>
        <v/>
      </c>
      <c r="B1055" s="39">
        <f>IF(A1055="","",ROUND(MOD(A1055,1)*1000,0))</f>
        <v/>
      </c>
      <c r="C1055" s="33" t="n"/>
      <c r="D1055" s="40">
        <f>IF(A1055="","",INT(A1055))</f>
        <v/>
      </c>
      <c r="E1055" s="41">
        <f>IF(B1055="","",INDEX(Setup!$D$25:$D$84,B1055))</f>
        <v/>
      </c>
      <c r="F1055" s="42">
        <f>IF(B1055="","",INDEX(Setup!$E$25:$E$84,B1055))</f>
        <v/>
      </c>
      <c r="G1055" s="39">
        <f>IF(B1055="","",INDEX(Setup!$I$25:$I$84,B1055)&amp;"")</f>
        <v/>
      </c>
      <c r="H1055" s="39">
        <f>IF(B1055="","",INDEX(Setup!$J$25:$J$84,B1055)&amp;"")</f>
        <v/>
      </c>
      <c r="I1055" s="39">
        <f>IF(B1055="","",INDEX(Setup!$C$25:$C$84,B1055))</f>
        <v/>
      </c>
      <c r="J1055" s="39" t="n"/>
      <c r="K1055" s="37" t="n"/>
      <c r="L1055" s="38" t="n"/>
      <c r="M1055" s="33" t="n"/>
      <c r="N1055" s="33" t="n"/>
      <c r="O1055" s="39" t="n"/>
      <c r="P1055" s="40">
        <f>IF(A1055="","",IF(K1055&lt;&gt;"",K1055,D1055))</f>
        <v/>
      </c>
      <c r="Q1055" s="42">
        <f>IF(A1055="",0,IF(C1055="✗",0,IF(OR(C1055="✓",AND(Setup!$D$7="Yes",P1055&lt;=TODAY())),IF(L1055&lt;&gt;"",L1055,F1055),0)))</f>
        <v/>
      </c>
      <c r="R1055" s="39">
        <f>IF(A1055="","",IF(M1055&lt;&gt;"",M1055,G1055))</f>
        <v/>
      </c>
      <c r="S1055" s="39">
        <f>IF(A1055="","",IF(N1055&lt;&gt;"",N1055,H1055))</f>
        <v/>
      </c>
      <c r="T1055" s="39">
        <f>IF(A1055="","",IF(C1055="✗","Skipped",IF(Q1055&gt;0,"Paid","Upcoming")))</f>
        <v/>
      </c>
      <c r="U1055" s="42">
        <f>IF(A1055="",0,IF(C1055="✗",0,IF(L1055&lt;&gt;"",L1055,F1055)))</f>
        <v/>
      </c>
    </row>
    <row r="1056">
      <c r="A1056" s="32">
        <f>IFERROR(SMALL(Calc!$B$2:$BB$61,1051),"")</f>
        <v/>
      </c>
      <c r="B1056" s="32">
        <f>IF(A1056="","",ROUND(MOD(A1056,1)*1000,0))</f>
        <v/>
      </c>
      <c r="C1056" s="33" t="n"/>
      <c r="D1056" s="34">
        <f>IF(A1056="","",INT(A1056))</f>
        <v/>
      </c>
      <c r="E1056" s="35">
        <f>IF(B1056="","",INDEX(Setup!$D$25:$D$84,B1056))</f>
        <v/>
      </c>
      <c r="F1056" s="36">
        <f>IF(B1056="","",INDEX(Setup!$E$25:$E$84,B1056))</f>
        <v/>
      </c>
      <c r="G1056" s="32">
        <f>IF(B1056="","",INDEX(Setup!$I$25:$I$84,B1056)&amp;"")</f>
        <v/>
      </c>
      <c r="H1056" s="32">
        <f>IF(B1056="","",INDEX(Setup!$J$25:$J$84,B1056)&amp;"")</f>
        <v/>
      </c>
      <c r="I1056" s="32">
        <f>IF(B1056="","",INDEX(Setup!$C$25:$C$84,B1056))</f>
        <v/>
      </c>
      <c r="J1056" s="32" t="n"/>
      <c r="K1056" s="37" t="n"/>
      <c r="L1056" s="38" t="n"/>
      <c r="M1056" s="33" t="n"/>
      <c r="N1056" s="33" t="n"/>
      <c r="O1056" s="32" t="n"/>
      <c r="P1056" s="34">
        <f>IF(A1056="","",IF(K1056&lt;&gt;"",K1056,D1056))</f>
        <v/>
      </c>
      <c r="Q1056" s="36">
        <f>IF(A1056="",0,IF(C1056="✗",0,IF(OR(C1056="✓",AND(Setup!$D$7="Yes",P1056&lt;=TODAY())),IF(L1056&lt;&gt;"",L1056,F1056),0)))</f>
        <v/>
      </c>
      <c r="R1056" s="32">
        <f>IF(A1056="","",IF(M1056&lt;&gt;"",M1056,G1056))</f>
        <v/>
      </c>
      <c r="S1056" s="32">
        <f>IF(A1056="","",IF(N1056&lt;&gt;"",N1056,H1056))</f>
        <v/>
      </c>
      <c r="T1056" s="32">
        <f>IF(A1056="","",IF(C1056="✗","Skipped",IF(Q1056&gt;0,"Paid","Upcoming")))</f>
        <v/>
      </c>
      <c r="U1056" s="36">
        <f>IF(A1056="",0,IF(C1056="✗",0,IF(L1056&lt;&gt;"",L1056,F1056)))</f>
        <v/>
      </c>
    </row>
    <row r="1057">
      <c r="A1057" s="39">
        <f>IFERROR(SMALL(Calc!$B$2:$BB$61,1052),"")</f>
        <v/>
      </c>
      <c r="B1057" s="39">
        <f>IF(A1057="","",ROUND(MOD(A1057,1)*1000,0))</f>
        <v/>
      </c>
      <c r="C1057" s="33" t="n"/>
      <c r="D1057" s="40">
        <f>IF(A1057="","",INT(A1057))</f>
        <v/>
      </c>
      <c r="E1057" s="41">
        <f>IF(B1057="","",INDEX(Setup!$D$25:$D$84,B1057))</f>
        <v/>
      </c>
      <c r="F1057" s="42">
        <f>IF(B1057="","",INDEX(Setup!$E$25:$E$84,B1057))</f>
        <v/>
      </c>
      <c r="G1057" s="39">
        <f>IF(B1057="","",INDEX(Setup!$I$25:$I$84,B1057)&amp;"")</f>
        <v/>
      </c>
      <c r="H1057" s="39">
        <f>IF(B1057="","",INDEX(Setup!$J$25:$J$84,B1057)&amp;"")</f>
        <v/>
      </c>
      <c r="I1057" s="39">
        <f>IF(B1057="","",INDEX(Setup!$C$25:$C$84,B1057))</f>
        <v/>
      </c>
      <c r="J1057" s="39" t="n"/>
      <c r="K1057" s="37" t="n"/>
      <c r="L1057" s="38" t="n"/>
      <c r="M1057" s="33" t="n"/>
      <c r="N1057" s="33" t="n"/>
      <c r="O1057" s="39" t="n"/>
      <c r="P1057" s="40">
        <f>IF(A1057="","",IF(K1057&lt;&gt;"",K1057,D1057))</f>
        <v/>
      </c>
      <c r="Q1057" s="42">
        <f>IF(A1057="",0,IF(C1057="✗",0,IF(OR(C1057="✓",AND(Setup!$D$7="Yes",P1057&lt;=TODAY())),IF(L1057&lt;&gt;"",L1057,F1057),0)))</f>
        <v/>
      </c>
      <c r="R1057" s="39">
        <f>IF(A1057="","",IF(M1057&lt;&gt;"",M1057,G1057))</f>
        <v/>
      </c>
      <c r="S1057" s="39">
        <f>IF(A1057="","",IF(N1057&lt;&gt;"",N1057,H1057))</f>
        <v/>
      </c>
      <c r="T1057" s="39">
        <f>IF(A1057="","",IF(C1057="✗","Skipped",IF(Q1057&gt;0,"Paid","Upcoming")))</f>
        <v/>
      </c>
      <c r="U1057" s="42">
        <f>IF(A1057="",0,IF(C1057="✗",0,IF(L1057&lt;&gt;"",L1057,F1057)))</f>
        <v/>
      </c>
    </row>
    <row r="1058">
      <c r="A1058" s="32">
        <f>IFERROR(SMALL(Calc!$B$2:$BB$61,1053),"")</f>
        <v/>
      </c>
      <c r="B1058" s="32">
        <f>IF(A1058="","",ROUND(MOD(A1058,1)*1000,0))</f>
        <v/>
      </c>
      <c r="C1058" s="33" t="n"/>
      <c r="D1058" s="34">
        <f>IF(A1058="","",INT(A1058))</f>
        <v/>
      </c>
      <c r="E1058" s="35">
        <f>IF(B1058="","",INDEX(Setup!$D$25:$D$84,B1058))</f>
        <v/>
      </c>
      <c r="F1058" s="36">
        <f>IF(B1058="","",INDEX(Setup!$E$25:$E$84,B1058))</f>
        <v/>
      </c>
      <c r="G1058" s="32">
        <f>IF(B1058="","",INDEX(Setup!$I$25:$I$84,B1058)&amp;"")</f>
        <v/>
      </c>
      <c r="H1058" s="32">
        <f>IF(B1058="","",INDEX(Setup!$J$25:$J$84,B1058)&amp;"")</f>
        <v/>
      </c>
      <c r="I1058" s="32">
        <f>IF(B1058="","",INDEX(Setup!$C$25:$C$84,B1058))</f>
        <v/>
      </c>
      <c r="J1058" s="32" t="n"/>
      <c r="K1058" s="37" t="n"/>
      <c r="L1058" s="38" t="n"/>
      <c r="M1058" s="33" t="n"/>
      <c r="N1058" s="33" t="n"/>
      <c r="O1058" s="32" t="n"/>
      <c r="P1058" s="34">
        <f>IF(A1058="","",IF(K1058&lt;&gt;"",K1058,D1058))</f>
        <v/>
      </c>
      <c r="Q1058" s="36">
        <f>IF(A1058="",0,IF(C1058="✗",0,IF(OR(C1058="✓",AND(Setup!$D$7="Yes",P1058&lt;=TODAY())),IF(L1058&lt;&gt;"",L1058,F1058),0)))</f>
        <v/>
      </c>
      <c r="R1058" s="32">
        <f>IF(A1058="","",IF(M1058&lt;&gt;"",M1058,G1058))</f>
        <v/>
      </c>
      <c r="S1058" s="32">
        <f>IF(A1058="","",IF(N1058&lt;&gt;"",N1058,H1058))</f>
        <v/>
      </c>
      <c r="T1058" s="32">
        <f>IF(A1058="","",IF(C1058="✗","Skipped",IF(Q1058&gt;0,"Paid","Upcoming")))</f>
        <v/>
      </c>
      <c r="U1058" s="36">
        <f>IF(A1058="",0,IF(C1058="✗",0,IF(L1058&lt;&gt;"",L1058,F1058)))</f>
        <v/>
      </c>
    </row>
    <row r="1059">
      <c r="A1059" s="39">
        <f>IFERROR(SMALL(Calc!$B$2:$BB$61,1054),"")</f>
        <v/>
      </c>
      <c r="B1059" s="39">
        <f>IF(A1059="","",ROUND(MOD(A1059,1)*1000,0))</f>
        <v/>
      </c>
      <c r="C1059" s="33" t="n"/>
      <c r="D1059" s="40">
        <f>IF(A1059="","",INT(A1059))</f>
        <v/>
      </c>
      <c r="E1059" s="41">
        <f>IF(B1059="","",INDEX(Setup!$D$25:$D$84,B1059))</f>
        <v/>
      </c>
      <c r="F1059" s="42">
        <f>IF(B1059="","",INDEX(Setup!$E$25:$E$84,B1059))</f>
        <v/>
      </c>
      <c r="G1059" s="39">
        <f>IF(B1059="","",INDEX(Setup!$I$25:$I$84,B1059)&amp;"")</f>
        <v/>
      </c>
      <c r="H1059" s="39">
        <f>IF(B1059="","",INDEX(Setup!$J$25:$J$84,B1059)&amp;"")</f>
        <v/>
      </c>
      <c r="I1059" s="39">
        <f>IF(B1059="","",INDEX(Setup!$C$25:$C$84,B1059))</f>
        <v/>
      </c>
      <c r="J1059" s="39" t="n"/>
      <c r="K1059" s="37" t="n"/>
      <c r="L1059" s="38" t="n"/>
      <c r="M1059" s="33" t="n"/>
      <c r="N1059" s="33" t="n"/>
      <c r="O1059" s="39" t="n"/>
      <c r="P1059" s="40">
        <f>IF(A1059="","",IF(K1059&lt;&gt;"",K1059,D1059))</f>
        <v/>
      </c>
      <c r="Q1059" s="42">
        <f>IF(A1059="",0,IF(C1059="✗",0,IF(OR(C1059="✓",AND(Setup!$D$7="Yes",P1059&lt;=TODAY())),IF(L1059&lt;&gt;"",L1059,F1059),0)))</f>
        <v/>
      </c>
      <c r="R1059" s="39">
        <f>IF(A1059="","",IF(M1059&lt;&gt;"",M1059,G1059))</f>
        <v/>
      </c>
      <c r="S1059" s="39">
        <f>IF(A1059="","",IF(N1059&lt;&gt;"",N1059,H1059))</f>
        <v/>
      </c>
      <c r="T1059" s="39">
        <f>IF(A1059="","",IF(C1059="✗","Skipped",IF(Q1059&gt;0,"Paid","Upcoming")))</f>
        <v/>
      </c>
      <c r="U1059" s="42">
        <f>IF(A1059="",0,IF(C1059="✗",0,IF(L1059&lt;&gt;"",L1059,F1059)))</f>
        <v/>
      </c>
    </row>
    <row r="1060">
      <c r="A1060" s="32">
        <f>IFERROR(SMALL(Calc!$B$2:$BB$61,1055),"")</f>
        <v/>
      </c>
      <c r="B1060" s="32">
        <f>IF(A1060="","",ROUND(MOD(A1060,1)*1000,0))</f>
        <v/>
      </c>
      <c r="C1060" s="33" t="n"/>
      <c r="D1060" s="34">
        <f>IF(A1060="","",INT(A1060))</f>
        <v/>
      </c>
      <c r="E1060" s="35">
        <f>IF(B1060="","",INDEX(Setup!$D$25:$D$84,B1060))</f>
        <v/>
      </c>
      <c r="F1060" s="36">
        <f>IF(B1060="","",INDEX(Setup!$E$25:$E$84,B1060))</f>
        <v/>
      </c>
      <c r="G1060" s="32">
        <f>IF(B1060="","",INDEX(Setup!$I$25:$I$84,B1060)&amp;"")</f>
        <v/>
      </c>
      <c r="H1060" s="32">
        <f>IF(B1060="","",INDEX(Setup!$J$25:$J$84,B1060)&amp;"")</f>
        <v/>
      </c>
      <c r="I1060" s="32">
        <f>IF(B1060="","",INDEX(Setup!$C$25:$C$84,B1060))</f>
        <v/>
      </c>
      <c r="J1060" s="32" t="n"/>
      <c r="K1060" s="37" t="n"/>
      <c r="L1060" s="38" t="n"/>
      <c r="M1060" s="33" t="n"/>
      <c r="N1060" s="33" t="n"/>
      <c r="O1060" s="32" t="n"/>
      <c r="P1060" s="34">
        <f>IF(A1060="","",IF(K1060&lt;&gt;"",K1060,D1060))</f>
        <v/>
      </c>
      <c r="Q1060" s="36">
        <f>IF(A1060="",0,IF(C1060="✗",0,IF(OR(C1060="✓",AND(Setup!$D$7="Yes",P1060&lt;=TODAY())),IF(L1060&lt;&gt;"",L1060,F1060),0)))</f>
        <v/>
      </c>
      <c r="R1060" s="32">
        <f>IF(A1060="","",IF(M1060&lt;&gt;"",M1060,G1060))</f>
        <v/>
      </c>
      <c r="S1060" s="32">
        <f>IF(A1060="","",IF(N1060&lt;&gt;"",N1060,H1060))</f>
        <v/>
      </c>
      <c r="T1060" s="32">
        <f>IF(A1060="","",IF(C1060="✗","Skipped",IF(Q1060&gt;0,"Paid","Upcoming")))</f>
        <v/>
      </c>
      <c r="U1060" s="36">
        <f>IF(A1060="",0,IF(C1060="✗",0,IF(L1060&lt;&gt;"",L1060,F1060)))</f>
        <v/>
      </c>
    </row>
    <row r="1061">
      <c r="A1061" s="39">
        <f>IFERROR(SMALL(Calc!$B$2:$BB$61,1056),"")</f>
        <v/>
      </c>
      <c r="B1061" s="39">
        <f>IF(A1061="","",ROUND(MOD(A1061,1)*1000,0))</f>
        <v/>
      </c>
      <c r="C1061" s="33" t="n"/>
      <c r="D1061" s="40">
        <f>IF(A1061="","",INT(A1061))</f>
        <v/>
      </c>
      <c r="E1061" s="41">
        <f>IF(B1061="","",INDEX(Setup!$D$25:$D$84,B1061))</f>
        <v/>
      </c>
      <c r="F1061" s="42">
        <f>IF(B1061="","",INDEX(Setup!$E$25:$E$84,B1061))</f>
        <v/>
      </c>
      <c r="G1061" s="39">
        <f>IF(B1061="","",INDEX(Setup!$I$25:$I$84,B1061)&amp;"")</f>
        <v/>
      </c>
      <c r="H1061" s="39">
        <f>IF(B1061="","",INDEX(Setup!$J$25:$J$84,B1061)&amp;"")</f>
        <v/>
      </c>
      <c r="I1061" s="39">
        <f>IF(B1061="","",INDEX(Setup!$C$25:$C$84,B1061))</f>
        <v/>
      </c>
      <c r="J1061" s="39" t="n"/>
      <c r="K1061" s="37" t="n"/>
      <c r="L1061" s="38" t="n"/>
      <c r="M1061" s="33" t="n"/>
      <c r="N1061" s="33" t="n"/>
      <c r="O1061" s="39" t="n"/>
      <c r="P1061" s="40">
        <f>IF(A1061="","",IF(K1061&lt;&gt;"",K1061,D1061))</f>
        <v/>
      </c>
      <c r="Q1061" s="42">
        <f>IF(A1061="",0,IF(C1061="✗",0,IF(OR(C1061="✓",AND(Setup!$D$7="Yes",P1061&lt;=TODAY())),IF(L1061&lt;&gt;"",L1061,F1061),0)))</f>
        <v/>
      </c>
      <c r="R1061" s="39">
        <f>IF(A1061="","",IF(M1061&lt;&gt;"",M1061,G1061))</f>
        <v/>
      </c>
      <c r="S1061" s="39">
        <f>IF(A1061="","",IF(N1061&lt;&gt;"",N1061,H1061))</f>
        <v/>
      </c>
      <c r="T1061" s="39">
        <f>IF(A1061="","",IF(C1061="✗","Skipped",IF(Q1061&gt;0,"Paid","Upcoming")))</f>
        <v/>
      </c>
      <c r="U1061" s="42">
        <f>IF(A1061="",0,IF(C1061="✗",0,IF(L1061&lt;&gt;"",L1061,F1061)))</f>
        <v/>
      </c>
    </row>
    <row r="1062">
      <c r="A1062" s="32">
        <f>IFERROR(SMALL(Calc!$B$2:$BB$61,1057),"")</f>
        <v/>
      </c>
      <c r="B1062" s="32">
        <f>IF(A1062="","",ROUND(MOD(A1062,1)*1000,0))</f>
        <v/>
      </c>
      <c r="C1062" s="33" t="n"/>
      <c r="D1062" s="34">
        <f>IF(A1062="","",INT(A1062))</f>
        <v/>
      </c>
      <c r="E1062" s="35">
        <f>IF(B1062="","",INDEX(Setup!$D$25:$D$84,B1062))</f>
        <v/>
      </c>
      <c r="F1062" s="36">
        <f>IF(B1062="","",INDEX(Setup!$E$25:$E$84,B1062))</f>
        <v/>
      </c>
      <c r="G1062" s="32">
        <f>IF(B1062="","",INDEX(Setup!$I$25:$I$84,B1062)&amp;"")</f>
        <v/>
      </c>
      <c r="H1062" s="32">
        <f>IF(B1062="","",INDEX(Setup!$J$25:$J$84,B1062)&amp;"")</f>
        <v/>
      </c>
      <c r="I1062" s="32">
        <f>IF(B1062="","",INDEX(Setup!$C$25:$C$84,B1062))</f>
        <v/>
      </c>
      <c r="J1062" s="32" t="n"/>
      <c r="K1062" s="37" t="n"/>
      <c r="L1062" s="38" t="n"/>
      <c r="M1062" s="33" t="n"/>
      <c r="N1062" s="33" t="n"/>
      <c r="O1062" s="32" t="n"/>
      <c r="P1062" s="34">
        <f>IF(A1062="","",IF(K1062&lt;&gt;"",K1062,D1062))</f>
        <v/>
      </c>
      <c r="Q1062" s="36">
        <f>IF(A1062="",0,IF(C1062="✗",0,IF(OR(C1062="✓",AND(Setup!$D$7="Yes",P1062&lt;=TODAY())),IF(L1062&lt;&gt;"",L1062,F1062),0)))</f>
        <v/>
      </c>
      <c r="R1062" s="32">
        <f>IF(A1062="","",IF(M1062&lt;&gt;"",M1062,G1062))</f>
        <v/>
      </c>
      <c r="S1062" s="32">
        <f>IF(A1062="","",IF(N1062&lt;&gt;"",N1062,H1062))</f>
        <v/>
      </c>
      <c r="T1062" s="32">
        <f>IF(A1062="","",IF(C1062="✗","Skipped",IF(Q1062&gt;0,"Paid","Upcoming")))</f>
        <v/>
      </c>
      <c r="U1062" s="36">
        <f>IF(A1062="",0,IF(C1062="✗",0,IF(L1062&lt;&gt;"",L1062,F1062)))</f>
        <v/>
      </c>
    </row>
    <row r="1063">
      <c r="A1063" s="39">
        <f>IFERROR(SMALL(Calc!$B$2:$BB$61,1058),"")</f>
        <v/>
      </c>
      <c r="B1063" s="39">
        <f>IF(A1063="","",ROUND(MOD(A1063,1)*1000,0))</f>
        <v/>
      </c>
      <c r="C1063" s="33" t="n"/>
      <c r="D1063" s="40">
        <f>IF(A1063="","",INT(A1063))</f>
        <v/>
      </c>
      <c r="E1063" s="41">
        <f>IF(B1063="","",INDEX(Setup!$D$25:$D$84,B1063))</f>
        <v/>
      </c>
      <c r="F1063" s="42">
        <f>IF(B1063="","",INDEX(Setup!$E$25:$E$84,B1063))</f>
        <v/>
      </c>
      <c r="G1063" s="39">
        <f>IF(B1063="","",INDEX(Setup!$I$25:$I$84,B1063)&amp;"")</f>
        <v/>
      </c>
      <c r="H1063" s="39">
        <f>IF(B1063="","",INDEX(Setup!$J$25:$J$84,B1063)&amp;"")</f>
        <v/>
      </c>
      <c r="I1063" s="39">
        <f>IF(B1063="","",INDEX(Setup!$C$25:$C$84,B1063))</f>
        <v/>
      </c>
      <c r="J1063" s="39" t="n"/>
      <c r="K1063" s="37" t="n"/>
      <c r="L1063" s="38" t="n"/>
      <c r="M1063" s="33" t="n"/>
      <c r="N1063" s="33" t="n"/>
      <c r="O1063" s="39" t="n"/>
      <c r="P1063" s="40">
        <f>IF(A1063="","",IF(K1063&lt;&gt;"",K1063,D1063))</f>
        <v/>
      </c>
      <c r="Q1063" s="42">
        <f>IF(A1063="",0,IF(C1063="✗",0,IF(OR(C1063="✓",AND(Setup!$D$7="Yes",P1063&lt;=TODAY())),IF(L1063&lt;&gt;"",L1063,F1063),0)))</f>
        <v/>
      </c>
      <c r="R1063" s="39">
        <f>IF(A1063="","",IF(M1063&lt;&gt;"",M1063,G1063))</f>
        <v/>
      </c>
      <c r="S1063" s="39">
        <f>IF(A1063="","",IF(N1063&lt;&gt;"",N1063,H1063))</f>
        <v/>
      </c>
      <c r="T1063" s="39">
        <f>IF(A1063="","",IF(C1063="✗","Skipped",IF(Q1063&gt;0,"Paid","Upcoming")))</f>
        <v/>
      </c>
      <c r="U1063" s="42">
        <f>IF(A1063="",0,IF(C1063="✗",0,IF(L1063&lt;&gt;"",L1063,F1063)))</f>
        <v/>
      </c>
    </row>
    <row r="1064">
      <c r="A1064" s="32">
        <f>IFERROR(SMALL(Calc!$B$2:$BB$61,1059),"")</f>
        <v/>
      </c>
      <c r="B1064" s="32">
        <f>IF(A1064="","",ROUND(MOD(A1064,1)*1000,0))</f>
        <v/>
      </c>
      <c r="C1064" s="33" t="n"/>
      <c r="D1064" s="34">
        <f>IF(A1064="","",INT(A1064))</f>
        <v/>
      </c>
      <c r="E1064" s="35">
        <f>IF(B1064="","",INDEX(Setup!$D$25:$D$84,B1064))</f>
        <v/>
      </c>
      <c r="F1064" s="36">
        <f>IF(B1064="","",INDEX(Setup!$E$25:$E$84,B1064))</f>
        <v/>
      </c>
      <c r="G1064" s="32">
        <f>IF(B1064="","",INDEX(Setup!$I$25:$I$84,B1064)&amp;"")</f>
        <v/>
      </c>
      <c r="H1064" s="32">
        <f>IF(B1064="","",INDEX(Setup!$J$25:$J$84,B1064)&amp;"")</f>
        <v/>
      </c>
      <c r="I1064" s="32">
        <f>IF(B1064="","",INDEX(Setup!$C$25:$C$84,B1064))</f>
        <v/>
      </c>
      <c r="J1064" s="32" t="n"/>
      <c r="K1064" s="37" t="n"/>
      <c r="L1064" s="38" t="n"/>
      <c r="M1064" s="33" t="n"/>
      <c r="N1064" s="33" t="n"/>
      <c r="O1064" s="32" t="n"/>
      <c r="P1064" s="34">
        <f>IF(A1064="","",IF(K1064&lt;&gt;"",K1064,D1064))</f>
        <v/>
      </c>
      <c r="Q1064" s="36">
        <f>IF(A1064="",0,IF(C1064="✗",0,IF(OR(C1064="✓",AND(Setup!$D$7="Yes",P1064&lt;=TODAY())),IF(L1064&lt;&gt;"",L1064,F1064),0)))</f>
        <v/>
      </c>
      <c r="R1064" s="32">
        <f>IF(A1064="","",IF(M1064&lt;&gt;"",M1064,G1064))</f>
        <v/>
      </c>
      <c r="S1064" s="32">
        <f>IF(A1064="","",IF(N1064&lt;&gt;"",N1064,H1064))</f>
        <v/>
      </c>
      <c r="T1064" s="32">
        <f>IF(A1064="","",IF(C1064="✗","Skipped",IF(Q1064&gt;0,"Paid","Upcoming")))</f>
        <v/>
      </c>
      <c r="U1064" s="36">
        <f>IF(A1064="",0,IF(C1064="✗",0,IF(L1064&lt;&gt;"",L1064,F1064)))</f>
        <v/>
      </c>
    </row>
    <row r="1065">
      <c r="A1065" s="39">
        <f>IFERROR(SMALL(Calc!$B$2:$BB$61,1060),"")</f>
        <v/>
      </c>
      <c r="B1065" s="39">
        <f>IF(A1065="","",ROUND(MOD(A1065,1)*1000,0))</f>
        <v/>
      </c>
      <c r="C1065" s="33" t="n"/>
      <c r="D1065" s="40">
        <f>IF(A1065="","",INT(A1065))</f>
        <v/>
      </c>
      <c r="E1065" s="41">
        <f>IF(B1065="","",INDEX(Setup!$D$25:$D$84,B1065))</f>
        <v/>
      </c>
      <c r="F1065" s="42">
        <f>IF(B1065="","",INDEX(Setup!$E$25:$E$84,B1065))</f>
        <v/>
      </c>
      <c r="G1065" s="39">
        <f>IF(B1065="","",INDEX(Setup!$I$25:$I$84,B1065)&amp;"")</f>
        <v/>
      </c>
      <c r="H1065" s="39">
        <f>IF(B1065="","",INDEX(Setup!$J$25:$J$84,B1065)&amp;"")</f>
        <v/>
      </c>
      <c r="I1065" s="39">
        <f>IF(B1065="","",INDEX(Setup!$C$25:$C$84,B1065))</f>
        <v/>
      </c>
      <c r="J1065" s="39" t="n"/>
      <c r="K1065" s="37" t="n"/>
      <c r="L1065" s="38" t="n"/>
      <c r="M1065" s="33" t="n"/>
      <c r="N1065" s="33" t="n"/>
      <c r="O1065" s="39" t="n"/>
      <c r="P1065" s="40">
        <f>IF(A1065="","",IF(K1065&lt;&gt;"",K1065,D1065))</f>
        <v/>
      </c>
      <c r="Q1065" s="42">
        <f>IF(A1065="",0,IF(C1065="✗",0,IF(OR(C1065="✓",AND(Setup!$D$7="Yes",P1065&lt;=TODAY())),IF(L1065&lt;&gt;"",L1065,F1065),0)))</f>
        <v/>
      </c>
      <c r="R1065" s="39">
        <f>IF(A1065="","",IF(M1065&lt;&gt;"",M1065,G1065))</f>
        <v/>
      </c>
      <c r="S1065" s="39">
        <f>IF(A1065="","",IF(N1065&lt;&gt;"",N1065,H1065))</f>
        <v/>
      </c>
      <c r="T1065" s="39">
        <f>IF(A1065="","",IF(C1065="✗","Skipped",IF(Q1065&gt;0,"Paid","Upcoming")))</f>
        <v/>
      </c>
      <c r="U1065" s="42">
        <f>IF(A1065="",0,IF(C1065="✗",0,IF(L1065&lt;&gt;"",L1065,F1065)))</f>
        <v/>
      </c>
    </row>
    <row r="1066">
      <c r="A1066" s="32">
        <f>IFERROR(SMALL(Calc!$B$2:$BB$61,1061),"")</f>
        <v/>
      </c>
      <c r="B1066" s="32">
        <f>IF(A1066="","",ROUND(MOD(A1066,1)*1000,0))</f>
        <v/>
      </c>
      <c r="C1066" s="33" t="n"/>
      <c r="D1066" s="34">
        <f>IF(A1066="","",INT(A1066))</f>
        <v/>
      </c>
      <c r="E1066" s="35">
        <f>IF(B1066="","",INDEX(Setup!$D$25:$D$84,B1066))</f>
        <v/>
      </c>
      <c r="F1066" s="36">
        <f>IF(B1066="","",INDEX(Setup!$E$25:$E$84,B1066))</f>
        <v/>
      </c>
      <c r="G1066" s="32">
        <f>IF(B1066="","",INDEX(Setup!$I$25:$I$84,B1066)&amp;"")</f>
        <v/>
      </c>
      <c r="H1066" s="32">
        <f>IF(B1066="","",INDEX(Setup!$J$25:$J$84,B1066)&amp;"")</f>
        <v/>
      </c>
      <c r="I1066" s="32">
        <f>IF(B1066="","",INDEX(Setup!$C$25:$C$84,B1066))</f>
        <v/>
      </c>
      <c r="J1066" s="32" t="n"/>
      <c r="K1066" s="37" t="n"/>
      <c r="L1066" s="38" t="n"/>
      <c r="M1066" s="33" t="n"/>
      <c r="N1066" s="33" t="n"/>
      <c r="O1066" s="32" t="n"/>
      <c r="P1066" s="34">
        <f>IF(A1066="","",IF(K1066&lt;&gt;"",K1066,D1066))</f>
        <v/>
      </c>
      <c r="Q1066" s="36">
        <f>IF(A1066="",0,IF(C1066="✗",0,IF(OR(C1066="✓",AND(Setup!$D$7="Yes",P1066&lt;=TODAY())),IF(L1066&lt;&gt;"",L1066,F1066),0)))</f>
        <v/>
      </c>
      <c r="R1066" s="32">
        <f>IF(A1066="","",IF(M1066&lt;&gt;"",M1066,G1066))</f>
        <v/>
      </c>
      <c r="S1066" s="32">
        <f>IF(A1066="","",IF(N1066&lt;&gt;"",N1066,H1066))</f>
        <v/>
      </c>
      <c r="T1066" s="32">
        <f>IF(A1066="","",IF(C1066="✗","Skipped",IF(Q1066&gt;0,"Paid","Upcoming")))</f>
        <v/>
      </c>
      <c r="U1066" s="36">
        <f>IF(A1066="",0,IF(C1066="✗",0,IF(L1066&lt;&gt;"",L1066,F1066)))</f>
        <v/>
      </c>
    </row>
    <row r="1067">
      <c r="A1067" s="39">
        <f>IFERROR(SMALL(Calc!$B$2:$BB$61,1062),"")</f>
        <v/>
      </c>
      <c r="B1067" s="39">
        <f>IF(A1067="","",ROUND(MOD(A1067,1)*1000,0))</f>
        <v/>
      </c>
      <c r="C1067" s="33" t="n"/>
      <c r="D1067" s="40">
        <f>IF(A1067="","",INT(A1067))</f>
        <v/>
      </c>
      <c r="E1067" s="41">
        <f>IF(B1067="","",INDEX(Setup!$D$25:$D$84,B1067))</f>
        <v/>
      </c>
      <c r="F1067" s="42">
        <f>IF(B1067="","",INDEX(Setup!$E$25:$E$84,B1067))</f>
        <v/>
      </c>
      <c r="G1067" s="39">
        <f>IF(B1067="","",INDEX(Setup!$I$25:$I$84,B1067)&amp;"")</f>
        <v/>
      </c>
      <c r="H1067" s="39">
        <f>IF(B1067="","",INDEX(Setup!$J$25:$J$84,B1067)&amp;"")</f>
        <v/>
      </c>
      <c r="I1067" s="39">
        <f>IF(B1067="","",INDEX(Setup!$C$25:$C$84,B1067))</f>
        <v/>
      </c>
      <c r="J1067" s="39" t="n"/>
      <c r="K1067" s="37" t="n"/>
      <c r="L1067" s="38" t="n"/>
      <c r="M1067" s="33" t="n"/>
      <c r="N1067" s="33" t="n"/>
      <c r="O1067" s="39" t="n"/>
      <c r="P1067" s="40">
        <f>IF(A1067="","",IF(K1067&lt;&gt;"",K1067,D1067))</f>
        <v/>
      </c>
      <c r="Q1067" s="42">
        <f>IF(A1067="",0,IF(C1067="✗",0,IF(OR(C1067="✓",AND(Setup!$D$7="Yes",P1067&lt;=TODAY())),IF(L1067&lt;&gt;"",L1067,F1067),0)))</f>
        <v/>
      </c>
      <c r="R1067" s="39">
        <f>IF(A1067="","",IF(M1067&lt;&gt;"",M1067,G1067))</f>
        <v/>
      </c>
      <c r="S1067" s="39">
        <f>IF(A1067="","",IF(N1067&lt;&gt;"",N1067,H1067))</f>
        <v/>
      </c>
      <c r="T1067" s="39">
        <f>IF(A1067="","",IF(C1067="✗","Skipped",IF(Q1067&gt;0,"Paid","Upcoming")))</f>
        <v/>
      </c>
      <c r="U1067" s="42">
        <f>IF(A1067="",0,IF(C1067="✗",0,IF(L1067&lt;&gt;"",L1067,F1067)))</f>
        <v/>
      </c>
    </row>
    <row r="1068">
      <c r="A1068" s="32">
        <f>IFERROR(SMALL(Calc!$B$2:$BB$61,1063),"")</f>
        <v/>
      </c>
      <c r="B1068" s="32">
        <f>IF(A1068="","",ROUND(MOD(A1068,1)*1000,0))</f>
        <v/>
      </c>
      <c r="C1068" s="33" t="n"/>
      <c r="D1068" s="34">
        <f>IF(A1068="","",INT(A1068))</f>
        <v/>
      </c>
      <c r="E1068" s="35">
        <f>IF(B1068="","",INDEX(Setup!$D$25:$D$84,B1068))</f>
        <v/>
      </c>
      <c r="F1068" s="36">
        <f>IF(B1068="","",INDEX(Setup!$E$25:$E$84,B1068))</f>
        <v/>
      </c>
      <c r="G1068" s="32">
        <f>IF(B1068="","",INDEX(Setup!$I$25:$I$84,B1068)&amp;"")</f>
        <v/>
      </c>
      <c r="H1068" s="32">
        <f>IF(B1068="","",INDEX(Setup!$J$25:$J$84,B1068)&amp;"")</f>
        <v/>
      </c>
      <c r="I1068" s="32">
        <f>IF(B1068="","",INDEX(Setup!$C$25:$C$84,B1068))</f>
        <v/>
      </c>
      <c r="J1068" s="32" t="n"/>
      <c r="K1068" s="37" t="n"/>
      <c r="L1068" s="38" t="n"/>
      <c r="M1068" s="33" t="n"/>
      <c r="N1068" s="33" t="n"/>
      <c r="O1068" s="32" t="n"/>
      <c r="P1068" s="34">
        <f>IF(A1068="","",IF(K1068&lt;&gt;"",K1068,D1068))</f>
        <v/>
      </c>
      <c r="Q1068" s="36">
        <f>IF(A1068="",0,IF(C1068="✗",0,IF(OR(C1068="✓",AND(Setup!$D$7="Yes",P1068&lt;=TODAY())),IF(L1068&lt;&gt;"",L1068,F1068),0)))</f>
        <v/>
      </c>
      <c r="R1068" s="32">
        <f>IF(A1068="","",IF(M1068&lt;&gt;"",M1068,G1068))</f>
        <v/>
      </c>
      <c r="S1068" s="32">
        <f>IF(A1068="","",IF(N1068&lt;&gt;"",N1068,H1068))</f>
        <v/>
      </c>
      <c r="T1068" s="32">
        <f>IF(A1068="","",IF(C1068="✗","Skipped",IF(Q1068&gt;0,"Paid","Upcoming")))</f>
        <v/>
      </c>
      <c r="U1068" s="36">
        <f>IF(A1068="",0,IF(C1068="✗",0,IF(L1068&lt;&gt;"",L1068,F1068)))</f>
        <v/>
      </c>
    </row>
    <row r="1069">
      <c r="A1069" s="39">
        <f>IFERROR(SMALL(Calc!$B$2:$BB$61,1064),"")</f>
        <v/>
      </c>
      <c r="B1069" s="39">
        <f>IF(A1069="","",ROUND(MOD(A1069,1)*1000,0))</f>
        <v/>
      </c>
      <c r="C1069" s="33" t="n"/>
      <c r="D1069" s="40">
        <f>IF(A1069="","",INT(A1069))</f>
        <v/>
      </c>
      <c r="E1069" s="41">
        <f>IF(B1069="","",INDEX(Setup!$D$25:$D$84,B1069))</f>
        <v/>
      </c>
      <c r="F1069" s="42">
        <f>IF(B1069="","",INDEX(Setup!$E$25:$E$84,B1069))</f>
        <v/>
      </c>
      <c r="G1069" s="39">
        <f>IF(B1069="","",INDEX(Setup!$I$25:$I$84,B1069)&amp;"")</f>
        <v/>
      </c>
      <c r="H1069" s="39">
        <f>IF(B1069="","",INDEX(Setup!$J$25:$J$84,B1069)&amp;"")</f>
        <v/>
      </c>
      <c r="I1069" s="39">
        <f>IF(B1069="","",INDEX(Setup!$C$25:$C$84,B1069))</f>
        <v/>
      </c>
      <c r="J1069" s="39" t="n"/>
      <c r="K1069" s="37" t="n"/>
      <c r="L1069" s="38" t="n"/>
      <c r="M1069" s="33" t="n"/>
      <c r="N1069" s="33" t="n"/>
      <c r="O1069" s="39" t="n"/>
      <c r="P1069" s="40">
        <f>IF(A1069="","",IF(K1069&lt;&gt;"",K1069,D1069))</f>
        <v/>
      </c>
      <c r="Q1069" s="42">
        <f>IF(A1069="",0,IF(C1069="✗",0,IF(OR(C1069="✓",AND(Setup!$D$7="Yes",P1069&lt;=TODAY())),IF(L1069&lt;&gt;"",L1069,F1069),0)))</f>
        <v/>
      </c>
      <c r="R1069" s="39">
        <f>IF(A1069="","",IF(M1069&lt;&gt;"",M1069,G1069))</f>
        <v/>
      </c>
      <c r="S1069" s="39">
        <f>IF(A1069="","",IF(N1069&lt;&gt;"",N1069,H1069))</f>
        <v/>
      </c>
      <c r="T1069" s="39">
        <f>IF(A1069="","",IF(C1069="✗","Skipped",IF(Q1069&gt;0,"Paid","Upcoming")))</f>
        <v/>
      </c>
      <c r="U1069" s="42">
        <f>IF(A1069="",0,IF(C1069="✗",0,IF(L1069&lt;&gt;"",L1069,F1069)))</f>
        <v/>
      </c>
    </row>
    <row r="1070">
      <c r="A1070" s="32">
        <f>IFERROR(SMALL(Calc!$B$2:$BB$61,1065),"")</f>
        <v/>
      </c>
      <c r="B1070" s="32">
        <f>IF(A1070="","",ROUND(MOD(A1070,1)*1000,0))</f>
        <v/>
      </c>
      <c r="C1070" s="33" t="n"/>
      <c r="D1070" s="34">
        <f>IF(A1070="","",INT(A1070))</f>
        <v/>
      </c>
      <c r="E1070" s="35">
        <f>IF(B1070="","",INDEX(Setup!$D$25:$D$84,B1070))</f>
        <v/>
      </c>
      <c r="F1070" s="36">
        <f>IF(B1070="","",INDEX(Setup!$E$25:$E$84,B1070))</f>
        <v/>
      </c>
      <c r="G1070" s="32">
        <f>IF(B1070="","",INDEX(Setup!$I$25:$I$84,B1070)&amp;"")</f>
        <v/>
      </c>
      <c r="H1070" s="32">
        <f>IF(B1070="","",INDEX(Setup!$J$25:$J$84,B1070)&amp;"")</f>
        <v/>
      </c>
      <c r="I1070" s="32">
        <f>IF(B1070="","",INDEX(Setup!$C$25:$C$84,B1070))</f>
        <v/>
      </c>
      <c r="J1070" s="32" t="n"/>
      <c r="K1070" s="37" t="n"/>
      <c r="L1070" s="38" t="n"/>
      <c r="M1070" s="33" t="n"/>
      <c r="N1070" s="33" t="n"/>
      <c r="O1070" s="32" t="n"/>
      <c r="P1070" s="34">
        <f>IF(A1070="","",IF(K1070&lt;&gt;"",K1070,D1070))</f>
        <v/>
      </c>
      <c r="Q1070" s="36">
        <f>IF(A1070="",0,IF(C1070="✗",0,IF(OR(C1070="✓",AND(Setup!$D$7="Yes",P1070&lt;=TODAY())),IF(L1070&lt;&gt;"",L1070,F1070),0)))</f>
        <v/>
      </c>
      <c r="R1070" s="32">
        <f>IF(A1070="","",IF(M1070&lt;&gt;"",M1070,G1070))</f>
        <v/>
      </c>
      <c r="S1070" s="32">
        <f>IF(A1070="","",IF(N1070&lt;&gt;"",N1070,H1070))</f>
        <v/>
      </c>
      <c r="T1070" s="32">
        <f>IF(A1070="","",IF(C1070="✗","Skipped",IF(Q1070&gt;0,"Paid","Upcoming")))</f>
        <v/>
      </c>
      <c r="U1070" s="36">
        <f>IF(A1070="",0,IF(C1070="✗",0,IF(L1070&lt;&gt;"",L1070,F1070)))</f>
        <v/>
      </c>
    </row>
    <row r="1071">
      <c r="A1071" s="39">
        <f>IFERROR(SMALL(Calc!$B$2:$BB$61,1066),"")</f>
        <v/>
      </c>
      <c r="B1071" s="39">
        <f>IF(A1071="","",ROUND(MOD(A1071,1)*1000,0))</f>
        <v/>
      </c>
      <c r="C1071" s="33" t="n"/>
      <c r="D1071" s="40">
        <f>IF(A1071="","",INT(A1071))</f>
        <v/>
      </c>
      <c r="E1071" s="41">
        <f>IF(B1071="","",INDEX(Setup!$D$25:$D$84,B1071))</f>
        <v/>
      </c>
      <c r="F1071" s="42">
        <f>IF(B1071="","",INDEX(Setup!$E$25:$E$84,B1071))</f>
        <v/>
      </c>
      <c r="G1071" s="39">
        <f>IF(B1071="","",INDEX(Setup!$I$25:$I$84,B1071)&amp;"")</f>
        <v/>
      </c>
      <c r="H1071" s="39">
        <f>IF(B1071="","",INDEX(Setup!$J$25:$J$84,B1071)&amp;"")</f>
        <v/>
      </c>
      <c r="I1071" s="39">
        <f>IF(B1071="","",INDEX(Setup!$C$25:$C$84,B1071))</f>
        <v/>
      </c>
      <c r="J1071" s="39" t="n"/>
      <c r="K1071" s="37" t="n"/>
      <c r="L1071" s="38" t="n"/>
      <c r="M1071" s="33" t="n"/>
      <c r="N1071" s="33" t="n"/>
      <c r="O1071" s="39" t="n"/>
      <c r="P1071" s="40">
        <f>IF(A1071="","",IF(K1071&lt;&gt;"",K1071,D1071))</f>
        <v/>
      </c>
      <c r="Q1071" s="42">
        <f>IF(A1071="",0,IF(C1071="✗",0,IF(OR(C1071="✓",AND(Setup!$D$7="Yes",P1071&lt;=TODAY())),IF(L1071&lt;&gt;"",L1071,F1071),0)))</f>
        <v/>
      </c>
      <c r="R1071" s="39">
        <f>IF(A1071="","",IF(M1071&lt;&gt;"",M1071,G1071))</f>
        <v/>
      </c>
      <c r="S1071" s="39">
        <f>IF(A1071="","",IF(N1071&lt;&gt;"",N1071,H1071))</f>
        <v/>
      </c>
      <c r="T1071" s="39">
        <f>IF(A1071="","",IF(C1071="✗","Skipped",IF(Q1071&gt;0,"Paid","Upcoming")))</f>
        <v/>
      </c>
      <c r="U1071" s="42">
        <f>IF(A1071="",0,IF(C1071="✗",0,IF(L1071&lt;&gt;"",L1071,F1071)))</f>
        <v/>
      </c>
    </row>
    <row r="1072">
      <c r="A1072" s="32">
        <f>IFERROR(SMALL(Calc!$B$2:$BB$61,1067),"")</f>
        <v/>
      </c>
      <c r="B1072" s="32">
        <f>IF(A1072="","",ROUND(MOD(A1072,1)*1000,0))</f>
        <v/>
      </c>
      <c r="C1072" s="33" t="n"/>
      <c r="D1072" s="34">
        <f>IF(A1072="","",INT(A1072))</f>
        <v/>
      </c>
      <c r="E1072" s="35">
        <f>IF(B1072="","",INDEX(Setup!$D$25:$D$84,B1072))</f>
        <v/>
      </c>
      <c r="F1072" s="36">
        <f>IF(B1072="","",INDEX(Setup!$E$25:$E$84,B1072))</f>
        <v/>
      </c>
      <c r="G1072" s="32">
        <f>IF(B1072="","",INDEX(Setup!$I$25:$I$84,B1072)&amp;"")</f>
        <v/>
      </c>
      <c r="H1072" s="32">
        <f>IF(B1072="","",INDEX(Setup!$J$25:$J$84,B1072)&amp;"")</f>
        <v/>
      </c>
      <c r="I1072" s="32">
        <f>IF(B1072="","",INDEX(Setup!$C$25:$C$84,B1072))</f>
        <v/>
      </c>
      <c r="J1072" s="32" t="n"/>
      <c r="K1072" s="37" t="n"/>
      <c r="L1072" s="38" t="n"/>
      <c r="M1072" s="33" t="n"/>
      <c r="N1072" s="33" t="n"/>
      <c r="O1072" s="32" t="n"/>
      <c r="P1072" s="34">
        <f>IF(A1072="","",IF(K1072&lt;&gt;"",K1072,D1072))</f>
        <v/>
      </c>
      <c r="Q1072" s="36">
        <f>IF(A1072="",0,IF(C1072="✗",0,IF(OR(C1072="✓",AND(Setup!$D$7="Yes",P1072&lt;=TODAY())),IF(L1072&lt;&gt;"",L1072,F1072),0)))</f>
        <v/>
      </c>
      <c r="R1072" s="32">
        <f>IF(A1072="","",IF(M1072&lt;&gt;"",M1072,G1072))</f>
        <v/>
      </c>
      <c r="S1072" s="32">
        <f>IF(A1072="","",IF(N1072&lt;&gt;"",N1072,H1072))</f>
        <v/>
      </c>
      <c r="T1072" s="32">
        <f>IF(A1072="","",IF(C1072="✗","Skipped",IF(Q1072&gt;0,"Paid","Upcoming")))</f>
        <v/>
      </c>
      <c r="U1072" s="36">
        <f>IF(A1072="",0,IF(C1072="✗",0,IF(L1072&lt;&gt;"",L1072,F1072)))</f>
        <v/>
      </c>
    </row>
    <row r="1073">
      <c r="A1073" s="39">
        <f>IFERROR(SMALL(Calc!$B$2:$BB$61,1068),"")</f>
        <v/>
      </c>
      <c r="B1073" s="39">
        <f>IF(A1073="","",ROUND(MOD(A1073,1)*1000,0))</f>
        <v/>
      </c>
      <c r="C1073" s="33" t="n"/>
      <c r="D1073" s="40">
        <f>IF(A1073="","",INT(A1073))</f>
        <v/>
      </c>
      <c r="E1073" s="41">
        <f>IF(B1073="","",INDEX(Setup!$D$25:$D$84,B1073))</f>
        <v/>
      </c>
      <c r="F1073" s="42">
        <f>IF(B1073="","",INDEX(Setup!$E$25:$E$84,B1073))</f>
        <v/>
      </c>
      <c r="G1073" s="39">
        <f>IF(B1073="","",INDEX(Setup!$I$25:$I$84,B1073)&amp;"")</f>
        <v/>
      </c>
      <c r="H1073" s="39">
        <f>IF(B1073="","",INDEX(Setup!$J$25:$J$84,B1073)&amp;"")</f>
        <v/>
      </c>
      <c r="I1073" s="39">
        <f>IF(B1073="","",INDEX(Setup!$C$25:$C$84,B1073))</f>
        <v/>
      </c>
      <c r="J1073" s="39" t="n"/>
      <c r="K1073" s="37" t="n"/>
      <c r="L1073" s="38" t="n"/>
      <c r="M1073" s="33" t="n"/>
      <c r="N1073" s="33" t="n"/>
      <c r="O1073" s="39" t="n"/>
      <c r="P1073" s="40">
        <f>IF(A1073="","",IF(K1073&lt;&gt;"",K1073,D1073))</f>
        <v/>
      </c>
      <c r="Q1073" s="42">
        <f>IF(A1073="",0,IF(C1073="✗",0,IF(OR(C1073="✓",AND(Setup!$D$7="Yes",P1073&lt;=TODAY())),IF(L1073&lt;&gt;"",L1073,F1073),0)))</f>
        <v/>
      </c>
      <c r="R1073" s="39">
        <f>IF(A1073="","",IF(M1073&lt;&gt;"",M1073,G1073))</f>
        <v/>
      </c>
      <c r="S1073" s="39">
        <f>IF(A1073="","",IF(N1073&lt;&gt;"",N1073,H1073))</f>
        <v/>
      </c>
      <c r="T1073" s="39">
        <f>IF(A1073="","",IF(C1073="✗","Skipped",IF(Q1073&gt;0,"Paid","Upcoming")))</f>
        <v/>
      </c>
      <c r="U1073" s="42">
        <f>IF(A1073="",0,IF(C1073="✗",0,IF(L1073&lt;&gt;"",L1073,F1073)))</f>
        <v/>
      </c>
    </row>
    <row r="1074">
      <c r="A1074" s="32">
        <f>IFERROR(SMALL(Calc!$B$2:$BB$61,1069),"")</f>
        <v/>
      </c>
      <c r="B1074" s="32">
        <f>IF(A1074="","",ROUND(MOD(A1074,1)*1000,0))</f>
        <v/>
      </c>
      <c r="C1074" s="33" t="n"/>
      <c r="D1074" s="34">
        <f>IF(A1074="","",INT(A1074))</f>
        <v/>
      </c>
      <c r="E1074" s="35">
        <f>IF(B1074="","",INDEX(Setup!$D$25:$D$84,B1074))</f>
        <v/>
      </c>
      <c r="F1074" s="36">
        <f>IF(B1074="","",INDEX(Setup!$E$25:$E$84,B1074))</f>
        <v/>
      </c>
      <c r="G1074" s="32">
        <f>IF(B1074="","",INDEX(Setup!$I$25:$I$84,B1074)&amp;"")</f>
        <v/>
      </c>
      <c r="H1074" s="32">
        <f>IF(B1074="","",INDEX(Setup!$J$25:$J$84,B1074)&amp;"")</f>
        <v/>
      </c>
      <c r="I1074" s="32">
        <f>IF(B1074="","",INDEX(Setup!$C$25:$C$84,B1074))</f>
        <v/>
      </c>
      <c r="J1074" s="32" t="n"/>
      <c r="K1074" s="37" t="n"/>
      <c r="L1074" s="38" t="n"/>
      <c r="M1074" s="33" t="n"/>
      <c r="N1074" s="33" t="n"/>
      <c r="O1074" s="32" t="n"/>
      <c r="P1074" s="34">
        <f>IF(A1074="","",IF(K1074&lt;&gt;"",K1074,D1074))</f>
        <v/>
      </c>
      <c r="Q1074" s="36">
        <f>IF(A1074="",0,IF(C1074="✗",0,IF(OR(C1074="✓",AND(Setup!$D$7="Yes",P1074&lt;=TODAY())),IF(L1074&lt;&gt;"",L1074,F1074),0)))</f>
        <v/>
      </c>
      <c r="R1074" s="32">
        <f>IF(A1074="","",IF(M1074&lt;&gt;"",M1074,G1074))</f>
        <v/>
      </c>
      <c r="S1074" s="32">
        <f>IF(A1074="","",IF(N1074&lt;&gt;"",N1074,H1074))</f>
        <v/>
      </c>
      <c r="T1074" s="32">
        <f>IF(A1074="","",IF(C1074="✗","Skipped",IF(Q1074&gt;0,"Paid","Upcoming")))</f>
        <v/>
      </c>
      <c r="U1074" s="36">
        <f>IF(A1074="",0,IF(C1074="✗",0,IF(L1074&lt;&gt;"",L1074,F1074)))</f>
        <v/>
      </c>
    </row>
    <row r="1075">
      <c r="A1075" s="39">
        <f>IFERROR(SMALL(Calc!$B$2:$BB$61,1070),"")</f>
        <v/>
      </c>
      <c r="B1075" s="39">
        <f>IF(A1075="","",ROUND(MOD(A1075,1)*1000,0))</f>
        <v/>
      </c>
      <c r="C1075" s="33" t="n"/>
      <c r="D1075" s="40">
        <f>IF(A1075="","",INT(A1075))</f>
        <v/>
      </c>
      <c r="E1075" s="41">
        <f>IF(B1075="","",INDEX(Setup!$D$25:$D$84,B1075))</f>
        <v/>
      </c>
      <c r="F1075" s="42">
        <f>IF(B1075="","",INDEX(Setup!$E$25:$E$84,B1075))</f>
        <v/>
      </c>
      <c r="G1075" s="39">
        <f>IF(B1075="","",INDEX(Setup!$I$25:$I$84,B1075)&amp;"")</f>
        <v/>
      </c>
      <c r="H1075" s="39">
        <f>IF(B1075="","",INDEX(Setup!$J$25:$J$84,B1075)&amp;"")</f>
        <v/>
      </c>
      <c r="I1075" s="39">
        <f>IF(B1075="","",INDEX(Setup!$C$25:$C$84,B1075))</f>
        <v/>
      </c>
      <c r="J1075" s="39" t="n"/>
      <c r="K1075" s="37" t="n"/>
      <c r="L1075" s="38" t="n"/>
      <c r="M1075" s="33" t="n"/>
      <c r="N1075" s="33" t="n"/>
      <c r="O1075" s="39" t="n"/>
      <c r="P1075" s="40">
        <f>IF(A1075="","",IF(K1075&lt;&gt;"",K1075,D1075))</f>
        <v/>
      </c>
      <c r="Q1075" s="42">
        <f>IF(A1075="",0,IF(C1075="✗",0,IF(OR(C1075="✓",AND(Setup!$D$7="Yes",P1075&lt;=TODAY())),IF(L1075&lt;&gt;"",L1075,F1075),0)))</f>
        <v/>
      </c>
      <c r="R1075" s="39">
        <f>IF(A1075="","",IF(M1075&lt;&gt;"",M1075,G1075))</f>
        <v/>
      </c>
      <c r="S1075" s="39">
        <f>IF(A1075="","",IF(N1075&lt;&gt;"",N1075,H1075))</f>
        <v/>
      </c>
      <c r="T1075" s="39">
        <f>IF(A1075="","",IF(C1075="✗","Skipped",IF(Q1075&gt;0,"Paid","Upcoming")))</f>
        <v/>
      </c>
      <c r="U1075" s="42">
        <f>IF(A1075="",0,IF(C1075="✗",0,IF(L1075&lt;&gt;"",L1075,F1075)))</f>
        <v/>
      </c>
    </row>
    <row r="1076">
      <c r="A1076" s="32">
        <f>IFERROR(SMALL(Calc!$B$2:$BB$61,1071),"")</f>
        <v/>
      </c>
      <c r="B1076" s="32">
        <f>IF(A1076="","",ROUND(MOD(A1076,1)*1000,0))</f>
        <v/>
      </c>
      <c r="C1076" s="33" t="n"/>
      <c r="D1076" s="34">
        <f>IF(A1076="","",INT(A1076))</f>
        <v/>
      </c>
      <c r="E1076" s="35">
        <f>IF(B1076="","",INDEX(Setup!$D$25:$D$84,B1076))</f>
        <v/>
      </c>
      <c r="F1076" s="36">
        <f>IF(B1076="","",INDEX(Setup!$E$25:$E$84,B1076))</f>
        <v/>
      </c>
      <c r="G1076" s="32">
        <f>IF(B1076="","",INDEX(Setup!$I$25:$I$84,B1076)&amp;"")</f>
        <v/>
      </c>
      <c r="H1076" s="32">
        <f>IF(B1076="","",INDEX(Setup!$J$25:$J$84,B1076)&amp;"")</f>
        <v/>
      </c>
      <c r="I1076" s="32">
        <f>IF(B1076="","",INDEX(Setup!$C$25:$C$84,B1076))</f>
        <v/>
      </c>
      <c r="J1076" s="32" t="n"/>
      <c r="K1076" s="37" t="n"/>
      <c r="L1076" s="38" t="n"/>
      <c r="M1076" s="33" t="n"/>
      <c r="N1076" s="33" t="n"/>
      <c r="O1076" s="32" t="n"/>
      <c r="P1076" s="34">
        <f>IF(A1076="","",IF(K1076&lt;&gt;"",K1076,D1076))</f>
        <v/>
      </c>
      <c r="Q1076" s="36">
        <f>IF(A1076="",0,IF(C1076="✗",0,IF(OR(C1076="✓",AND(Setup!$D$7="Yes",P1076&lt;=TODAY())),IF(L1076&lt;&gt;"",L1076,F1076),0)))</f>
        <v/>
      </c>
      <c r="R1076" s="32">
        <f>IF(A1076="","",IF(M1076&lt;&gt;"",M1076,G1076))</f>
        <v/>
      </c>
      <c r="S1076" s="32">
        <f>IF(A1076="","",IF(N1076&lt;&gt;"",N1076,H1076))</f>
        <v/>
      </c>
      <c r="T1076" s="32">
        <f>IF(A1076="","",IF(C1076="✗","Skipped",IF(Q1076&gt;0,"Paid","Upcoming")))</f>
        <v/>
      </c>
      <c r="U1076" s="36">
        <f>IF(A1076="",0,IF(C1076="✗",0,IF(L1076&lt;&gt;"",L1076,F1076)))</f>
        <v/>
      </c>
    </row>
    <row r="1077">
      <c r="A1077" s="39">
        <f>IFERROR(SMALL(Calc!$B$2:$BB$61,1072),"")</f>
        <v/>
      </c>
      <c r="B1077" s="39">
        <f>IF(A1077="","",ROUND(MOD(A1077,1)*1000,0))</f>
        <v/>
      </c>
      <c r="C1077" s="33" t="n"/>
      <c r="D1077" s="40">
        <f>IF(A1077="","",INT(A1077))</f>
        <v/>
      </c>
      <c r="E1077" s="41">
        <f>IF(B1077="","",INDEX(Setup!$D$25:$D$84,B1077))</f>
        <v/>
      </c>
      <c r="F1077" s="42">
        <f>IF(B1077="","",INDEX(Setup!$E$25:$E$84,B1077))</f>
        <v/>
      </c>
      <c r="G1077" s="39">
        <f>IF(B1077="","",INDEX(Setup!$I$25:$I$84,B1077)&amp;"")</f>
        <v/>
      </c>
      <c r="H1077" s="39">
        <f>IF(B1077="","",INDEX(Setup!$J$25:$J$84,B1077)&amp;"")</f>
        <v/>
      </c>
      <c r="I1077" s="39">
        <f>IF(B1077="","",INDEX(Setup!$C$25:$C$84,B1077))</f>
        <v/>
      </c>
      <c r="J1077" s="39" t="n"/>
      <c r="K1077" s="37" t="n"/>
      <c r="L1077" s="38" t="n"/>
      <c r="M1077" s="33" t="n"/>
      <c r="N1077" s="33" t="n"/>
      <c r="O1077" s="39" t="n"/>
      <c r="P1077" s="40">
        <f>IF(A1077="","",IF(K1077&lt;&gt;"",K1077,D1077))</f>
        <v/>
      </c>
      <c r="Q1077" s="42">
        <f>IF(A1077="",0,IF(C1077="✗",0,IF(OR(C1077="✓",AND(Setup!$D$7="Yes",P1077&lt;=TODAY())),IF(L1077&lt;&gt;"",L1077,F1077),0)))</f>
        <v/>
      </c>
      <c r="R1077" s="39">
        <f>IF(A1077="","",IF(M1077&lt;&gt;"",M1077,G1077))</f>
        <v/>
      </c>
      <c r="S1077" s="39">
        <f>IF(A1077="","",IF(N1077&lt;&gt;"",N1077,H1077))</f>
        <v/>
      </c>
      <c r="T1077" s="39">
        <f>IF(A1077="","",IF(C1077="✗","Skipped",IF(Q1077&gt;0,"Paid","Upcoming")))</f>
        <v/>
      </c>
      <c r="U1077" s="42">
        <f>IF(A1077="",0,IF(C1077="✗",0,IF(L1077&lt;&gt;"",L1077,F1077)))</f>
        <v/>
      </c>
    </row>
    <row r="1078">
      <c r="A1078" s="32">
        <f>IFERROR(SMALL(Calc!$B$2:$BB$61,1073),"")</f>
        <v/>
      </c>
      <c r="B1078" s="32">
        <f>IF(A1078="","",ROUND(MOD(A1078,1)*1000,0))</f>
        <v/>
      </c>
      <c r="C1078" s="33" t="n"/>
      <c r="D1078" s="34">
        <f>IF(A1078="","",INT(A1078))</f>
        <v/>
      </c>
      <c r="E1078" s="35">
        <f>IF(B1078="","",INDEX(Setup!$D$25:$D$84,B1078))</f>
        <v/>
      </c>
      <c r="F1078" s="36">
        <f>IF(B1078="","",INDEX(Setup!$E$25:$E$84,B1078))</f>
        <v/>
      </c>
      <c r="G1078" s="32">
        <f>IF(B1078="","",INDEX(Setup!$I$25:$I$84,B1078)&amp;"")</f>
        <v/>
      </c>
      <c r="H1078" s="32">
        <f>IF(B1078="","",INDEX(Setup!$J$25:$J$84,B1078)&amp;"")</f>
        <v/>
      </c>
      <c r="I1078" s="32">
        <f>IF(B1078="","",INDEX(Setup!$C$25:$C$84,B1078))</f>
        <v/>
      </c>
      <c r="J1078" s="32" t="n"/>
      <c r="K1078" s="37" t="n"/>
      <c r="L1078" s="38" t="n"/>
      <c r="M1078" s="33" t="n"/>
      <c r="N1078" s="33" t="n"/>
      <c r="O1078" s="32" t="n"/>
      <c r="P1078" s="34">
        <f>IF(A1078="","",IF(K1078&lt;&gt;"",K1078,D1078))</f>
        <v/>
      </c>
      <c r="Q1078" s="36">
        <f>IF(A1078="",0,IF(C1078="✗",0,IF(OR(C1078="✓",AND(Setup!$D$7="Yes",P1078&lt;=TODAY())),IF(L1078&lt;&gt;"",L1078,F1078),0)))</f>
        <v/>
      </c>
      <c r="R1078" s="32">
        <f>IF(A1078="","",IF(M1078&lt;&gt;"",M1078,G1078))</f>
        <v/>
      </c>
      <c r="S1078" s="32">
        <f>IF(A1078="","",IF(N1078&lt;&gt;"",N1078,H1078))</f>
        <v/>
      </c>
      <c r="T1078" s="32">
        <f>IF(A1078="","",IF(C1078="✗","Skipped",IF(Q1078&gt;0,"Paid","Upcoming")))</f>
        <v/>
      </c>
      <c r="U1078" s="36">
        <f>IF(A1078="",0,IF(C1078="✗",0,IF(L1078&lt;&gt;"",L1078,F1078)))</f>
        <v/>
      </c>
    </row>
    <row r="1079">
      <c r="A1079" s="39">
        <f>IFERROR(SMALL(Calc!$B$2:$BB$61,1074),"")</f>
        <v/>
      </c>
      <c r="B1079" s="39">
        <f>IF(A1079="","",ROUND(MOD(A1079,1)*1000,0))</f>
        <v/>
      </c>
      <c r="C1079" s="33" t="n"/>
      <c r="D1079" s="40">
        <f>IF(A1079="","",INT(A1079))</f>
        <v/>
      </c>
      <c r="E1079" s="41">
        <f>IF(B1079="","",INDEX(Setup!$D$25:$D$84,B1079))</f>
        <v/>
      </c>
      <c r="F1079" s="42">
        <f>IF(B1079="","",INDEX(Setup!$E$25:$E$84,B1079))</f>
        <v/>
      </c>
      <c r="G1079" s="39">
        <f>IF(B1079="","",INDEX(Setup!$I$25:$I$84,B1079)&amp;"")</f>
        <v/>
      </c>
      <c r="H1079" s="39">
        <f>IF(B1079="","",INDEX(Setup!$J$25:$J$84,B1079)&amp;"")</f>
        <v/>
      </c>
      <c r="I1079" s="39">
        <f>IF(B1079="","",INDEX(Setup!$C$25:$C$84,B1079))</f>
        <v/>
      </c>
      <c r="J1079" s="39" t="n"/>
      <c r="K1079" s="37" t="n"/>
      <c r="L1079" s="38" t="n"/>
      <c r="M1079" s="33" t="n"/>
      <c r="N1079" s="33" t="n"/>
      <c r="O1079" s="39" t="n"/>
      <c r="P1079" s="40">
        <f>IF(A1079="","",IF(K1079&lt;&gt;"",K1079,D1079))</f>
        <v/>
      </c>
      <c r="Q1079" s="42">
        <f>IF(A1079="",0,IF(C1079="✗",0,IF(OR(C1079="✓",AND(Setup!$D$7="Yes",P1079&lt;=TODAY())),IF(L1079&lt;&gt;"",L1079,F1079),0)))</f>
        <v/>
      </c>
      <c r="R1079" s="39">
        <f>IF(A1079="","",IF(M1079&lt;&gt;"",M1079,G1079))</f>
        <v/>
      </c>
      <c r="S1079" s="39">
        <f>IF(A1079="","",IF(N1079&lt;&gt;"",N1079,H1079))</f>
        <v/>
      </c>
      <c r="T1079" s="39">
        <f>IF(A1079="","",IF(C1079="✗","Skipped",IF(Q1079&gt;0,"Paid","Upcoming")))</f>
        <v/>
      </c>
      <c r="U1079" s="42">
        <f>IF(A1079="",0,IF(C1079="✗",0,IF(L1079&lt;&gt;"",L1079,F1079)))</f>
        <v/>
      </c>
    </row>
    <row r="1080">
      <c r="A1080" s="32">
        <f>IFERROR(SMALL(Calc!$B$2:$BB$61,1075),"")</f>
        <v/>
      </c>
      <c r="B1080" s="32">
        <f>IF(A1080="","",ROUND(MOD(A1080,1)*1000,0))</f>
        <v/>
      </c>
      <c r="C1080" s="33" t="n"/>
      <c r="D1080" s="34">
        <f>IF(A1080="","",INT(A1080))</f>
        <v/>
      </c>
      <c r="E1080" s="35">
        <f>IF(B1080="","",INDEX(Setup!$D$25:$D$84,B1080))</f>
        <v/>
      </c>
      <c r="F1080" s="36">
        <f>IF(B1080="","",INDEX(Setup!$E$25:$E$84,B1080))</f>
        <v/>
      </c>
      <c r="G1080" s="32">
        <f>IF(B1080="","",INDEX(Setup!$I$25:$I$84,B1080)&amp;"")</f>
        <v/>
      </c>
      <c r="H1080" s="32">
        <f>IF(B1080="","",INDEX(Setup!$J$25:$J$84,B1080)&amp;"")</f>
        <v/>
      </c>
      <c r="I1080" s="32">
        <f>IF(B1080="","",INDEX(Setup!$C$25:$C$84,B1080))</f>
        <v/>
      </c>
      <c r="J1080" s="32" t="n"/>
      <c r="K1080" s="37" t="n"/>
      <c r="L1080" s="38" t="n"/>
      <c r="M1080" s="33" t="n"/>
      <c r="N1080" s="33" t="n"/>
      <c r="O1080" s="32" t="n"/>
      <c r="P1080" s="34">
        <f>IF(A1080="","",IF(K1080&lt;&gt;"",K1080,D1080))</f>
        <v/>
      </c>
      <c r="Q1080" s="36">
        <f>IF(A1080="",0,IF(C1080="✗",0,IF(OR(C1080="✓",AND(Setup!$D$7="Yes",P1080&lt;=TODAY())),IF(L1080&lt;&gt;"",L1080,F1080),0)))</f>
        <v/>
      </c>
      <c r="R1080" s="32">
        <f>IF(A1080="","",IF(M1080&lt;&gt;"",M1080,G1080))</f>
        <v/>
      </c>
      <c r="S1080" s="32">
        <f>IF(A1080="","",IF(N1080&lt;&gt;"",N1080,H1080))</f>
        <v/>
      </c>
      <c r="T1080" s="32">
        <f>IF(A1080="","",IF(C1080="✗","Skipped",IF(Q1080&gt;0,"Paid","Upcoming")))</f>
        <v/>
      </c>
      <c r="U1080" s="36">
        <f>IF(A1080="",0,IF(C1080="✗",0,IF(L1080&lt;&gt;"",L1080,F1080)))</f>
        <v/>
      </c>
    </row>
    <row r="1081">
      <c r="A1081" s="39">
        <f>IFERROR(SMALL(Calc!$B$2:$BB$61,1076),"")</f>
        <v/>
      </c>
      <c r="B1081" s="39">
        <f>IF(A1081="","",ROUND(MOD(A1081,1)*1000,0))</f>
        <v/>
      </c>
      <c r="C1081" s="33" t="n"/>
      <c r="D1081" s="40">
        <f>IF(A1081="","",INT(A1081))</f>
        <v/>
      </c>
      <c r="E1081" s="41">
        <f>IF(B1081="","",INDEX(Setup!$D$25:$D$84,B1081))</f>
        <v/>
      </c>
      <c r="F1081" s="42">
        <f>IF(B1081="","",INDEX(Setup!$E$25:$E$84,B1081))</f>
        <v/>
      </c>
      <c r="G1081" s="39">
        <f>IF(B1081="","",INDEX(Setup!$I$25:$I$84,B1081)&amp;"")</f>
        <v/>
      </c>
      <c r="H1081" s="39">
        <f>IF(B1081="","",INDEX(Setup!$J$25:$J$84,B1081)&amp;"")</f>
        <v/>
      </c>
      <c r="I1081" s="39">
        <f>IF(B1081="","",INDEX(Setup!$C$25:$C$84,B1081))</f>
        <v/>
      </c>
      <c r="J1081" s="39" t="n"/>
      <c r="K1081" s="37" t="n"/>
      <c r="L1081" s="38" t="n"/>
      <c r="M1081" s="33" t="n"/>
      <c r="N1081" s="33" t="n"/>
      <c r="O1081" s="39" t="n"/>
      <c r="P1081" s="40">
        <f>IF(A1081="","",IF(K1081&lt;&gt;"",K1081,D1081))</f>
        <v/>
      </c>
      <c r="Q1081" s="42">
        <f>IF(A1081="",0,IF(C1081="✗",0,IF(OR(C1081="✓",AND(Setup!$D$7="Yes",P1081&lt;=TODAY())),IF(L1081&lt;&gt;"",L1081,F1081),0)))</f>
        <v/>
      </c>
      <c r="R1081" s="39">
        <f>IF(A1081="","",IF(M1081&lt;&gt;"",M1081,G1081))</f>
        <v/>
      </c>
      <c r="S1081" s="39">
        <f>IF(A1081="","",IF(N1081&lt;&gt;"",N1081,H1081))</f>
        <v/>
      </c>
      <c r="T1081" s="39">
        <f>IF(A1081="","",IF(C1081="✗","Skipped",IF(Q1081&gt;0,"Paid","Upcoming")))</f>
        <v/>
      </c>
      <c r="U1081" s="42">
        <f>IF(A1081="",0,IF(C1081="✗",0,IF(L1081&lt;&gt;"",L1081,F1081)))</f>
        <v/>
      </c>
    </row>
    <row r="1082">
      <c r="A1082" s="32">
        <f>IFERROR(SMALL(Calc!$B$2:$BB$61,1077),"")</f>
        <v/>
      </c>
      <c r="B1082" s="32">
        <f>IF(A1082="","",ROUND(MOD(A1082,1)*1000,0))</f>
        <v/>
      </c>
      <c r="C1082" s="33" t="n"/>
      <c r="D1082" s="34">
        <f>IF(A1082="","",INT(A1082))</f>
        <v/>
      </c>
      <c r="E1082" s="35">
        <f>IF(B1082="","",INDEX(Setup!$D$25:$D$84,B1082))</f>
        <v/>
      </c>
      <c r="F1082" s="36">
        <f>IF(B1082="","",INDEX(Setup!$E$25:$E$84,B1082))</f>
        <v/>
      </c>
      <c r="G1082" s="32">
        <f>IF(B1082="","",INDEX(Setup!$I$25:$I$84,B1082)&amp;"")</f>
        <v/>
      </c>
      <c r="H1082" s="32">
        <f>IF(B1082="","",INDEX(Setup!$J$25:$J$84,B1082)&amp;"")</f>
        <v/>
      </c>
      <c r="I1082" s="32">
        <f>IF(B1082="","",INDEX(Setup!$C$25:$C$84,B1082))</f>
        <v/>
      </c>
      <c r="J1082" s="32" t="n"/>
      <c r="K1082" s="37" t="n"/>
      <c r="L1082" s="38" t="n"/>
      <c r="M1082" s="33" t="n"/>
      <c r="N1082" s="33" t="n"/>
      <c r="O1082" s="32" t="n"/>
      <c r="P1082" s="34">
        <f>IF(A1082="","",IF(K1082&lt;&gt;"",K1082,D1082))</f>
        <v/>
      </c>
      <c r="Q1082" s="36">
        <f>IF(A1082="",0,IF(C1082="✗",0,IF(OR(C1082="✓",AND(Setup!$D$7="Yes",P1082&lt;=TODAY())),IF(L1082&lt;&gt;"",L1082,F1082),0)))</f>
        <v/>
      </c>
      <c r="R1082" s="32">
        <f>IF(A1082="","",IF(M1082&lt;&gt;"",M1082,G1082))</f>
        <v/>
      </c>
      <c r="S1082" s="32">
        <f>IF(A1082="","",IF(N1082&lt;&gt;"",N1082,H1082))</f>
        <v/>
      </c>
      <c r="T1082" s="32">
        <f>IF(A1082="","",IF(C1082="✗","Skipped",IF(Q1082&gt;0,"Paid","Upcoming")))</f>
        <v/>
      </c>
      <c r="U1082" s="36">
        <f>IF(A1082="",0,IF(C1082="✗",0,IF(L1082&lt;&gt;"",L1082,F1082)))</f>
        <v/>
      </c>
    </row>
    <row r="1083">
      <c r="A1083" s="39">
        <f>IFERROR(SMALL(Calc!$B$2:$BB$61,1078),"")</f>
        <v/>
      </c>
      <c r="B1083" s="39">
        <f>IF(A1083="","",ROUND(MOD(A1083,1)*1000,0))</f>
        <v/>
      </c>
      <c r="C1083" s="33" t="n"/>
      <c r="D1083" s="40">
        <f>IF(A1083="","",INT(A1083))</f>
        <v/>
      </c>
      <c r="E1083" s="41">
        <f>IF(B1083="","",INDEX(Setup!$D$25:$D$84,B1083))</f>
        <v/>
      </c>
      <c r="F1083" s="42">
        <f>IF(B1083="","",INDEX(Setup!$E$25:$E$84,B1083))</f>
        <v/>
      </c>
      <c r="G1083" s="39">
        <f>IF(B1083="","",INDEX(Setup!$I$25:$I$84,B1083)&amp;"")</f>
        <v/>
      </c>
      <c r="H1083" s="39">
        <f>IF(B1083="","",INDEX(Setup!$J$25:$J$84,B1083)&amp;"")</f>
        <v/>
      </c>
      <c r="I1083" s="39">
        <f>IF(B1083="","",INDEX(Setup!$C$25:$C$84,B1083))</f>
        <v/>
      </c>
      <c r="J1083" s="39" t="n"/>
      <c r="K1083" s="37" t="n"/>
      <c r="L1083" s="38" t="n"/>
      <c r="M1083" s="33" t="n"/>
      <c r="N1083" s="33" t="n"/>
      <c r="O1083" s="39" t="n"/>
      <c r="P1083" s="40">
        <f>IF(A1083="","",IF(K1083&lt;&gt;"",K1083,D1083))</f>
        <v/>
      </c>
      <c r="Q1083" s="42">
        <f>IF(A1083="",0,IF(C1083="✗",0,IF(OR(C1083="✓",AND(Setup!$D$7="Yes",P1083&lt;=TODAY())),IF(L1083&lt;&gt;"",L1083,F1083),0)))</f>
        <v/>
      </c>
      <c r="R1083" s="39">
        <f>IF(A1083="","",IF(M1083&lt;&gt;"",M1083,G1083))</f>
        <v/>
      </c>
      <c r="S1083" s="39">
        <f>IF(A1083="","",IF(N1083&lt;&gt;"",N1083,H1083))</f>
        <v/>
      </c>
      <c r="T1083" s="39">
        <f>IF(A1083="","",IF(C1083="✗","Skipped",IF(Q1083&gt;0,"Paid","Upcoming")))</f>
        <v/>
      </c>
      <c r="U1083" s="42">
        <f>IF(A1083="",0,IF(C1083="✗",0,IF(L1083&lt;&gt;"",L1083,F1083)))</f>
        <v/>
      </c>
    </row>
    <row r="1084">
      <c r="A1084" s="32">
        <f>IFERROR(SMALL(Calc!$B$2:$BB$61,1079),"")</f>
        <v/>
      </c>
      <c r="B1084" s="32">
        <f>IF(A1084="","",ROUND(MOD(A1084,1)*1000,0))</f>
        <v/>
      </c>
      <c r="C1084" s="33" t="n"/>
      <c r="D1084" s="34">
        <f>IF(A1084="","",INT(A1084))</f>
        <v/>
      </c>
      <c r="E1084" s="35">
        <f>IF(B1084="","",INDEX(Setup!$D$25:$D$84,B1084))</f>
        <v/>
      </c>
      <c r="F1084" s="36">
        <f>IF(B1084="","",INDEX(Setup!$E$25:$E$84,B1084))</f>
        <v/>
      </c>
      <c r="G1084" s="32">
        <f>IF(B1084="","",INDEX(Setup!$I$25:$I$84,B1084)&amp;"")</f>
        <v/>
      </c>
      <c r="H1084" s="32">
        <f>IF(B1084="","",INDEX(Setup!$J$25:$J$84,B1084)&amp;"")</f>
        <v/>
      </c>
      <c r="I1084" s="32">
        <f>IF(B1084="","",INDEX(Setup!$C$25:$C$84,B1084))</f>
        <v/>
      </c>
      <c r="J1084" s="32" t="n"/>
      <c r="K1084" s="37" t="n"/>
      <c r="L1084" s="38" t="n"/>
      <c r="M1084" s="33" t="n"/>
      <c r="N1084" s="33" t="n"/>
      <c r="O1084" s="32" t="n"/>
      <c r="P1084" s="34">
        <f>IF(A1084="","",IF(K1084&lt;&gt;"",K1084,D1084))</f>
        <v/>
      </c>
      <c r="Q1084" s="36">
        <f>IF(A1084="",0,IF(C1084="✗",0,IF(OR(C1084="✓",AND(Setup!$D$7="Yes",P1084&lt;=TODAY())),IF(L1084&lt;&gt;"",L1084,F1084),0)))</f>
        <v/>
      </c>
      <c r="R1084" s="32">
        <f>IF(A1084="","",IF(M1084&lt;&gt;"",M1084,G1084))</f>
        <v/>
      </c>
      <c r="S1084" s="32">
        <f>IF(A1084="","",IF(N1084&lt;&gt;"",N1084,H1084))</f>
        <v/>
      </c>
      <c r="T1084" s="32">
        <f>IF(A1084="","",IF(C1084="✗","Skipped",IF(Q1084&gt;0,"Paid","Upcoming")))</f>
        <v/>
      </c>
      <c r="U1084" s="36">
        <f>IF(A1084="",0,IF(C1084="✗",0,IF(L1084&lt;&gt;"",L1084,F1084)))</f>
        <v/>
      </c>
    </row>
    <row r="1085">
      <c r="A1085" s="39">
        <f>IFERROR(SMALL(Calc!$B$2:$BB$61,1080),"")</f>
        <v/>
      </c>
      <c r="B1085" s="39">
        <f>IF(A1085="","",ROUND(MOD(A1085,1)*1000,0))</f>
        <v/>
      </c>
      <c r="C1085" s="33" t="n"/>
      <c r="D1085" s="40">
        <f>IF(A1085="","",INT(A1085))</f>
        <v/>
      </c>
      <c r="E1085" s="41">
        <f>IF(B1085="","",INDEX(Setup!$D$25:$D$84,B1085))</f>
        <v/>
      </c>
      <c r="F1085" s="42">
        <f>IF(B1085="","",INDEX(Setup!$E$25:$E$84,B1085))</f>
        <v/>
      </c>
      <c r="G1085" s="39">
        <f>IF(B1085="","",INDEX(Setup!$I$25:$I$84,B1085)&amp;"")</f>
        <v/>
      </c>
      <c r="H1085" s="39">
        <f>IF(B1085="","",INDEX(Setup!$J$25:$J$84,B1085)&amp;"")</f>
        <v/>
      </c>
      <c r="I1085" s="39">
        <f>IF(B1085="","",INDEX(Setup!$C$25:$C$84,B1085))</f>
        <v/>
      </c>
      <c r="J1085" s="39" t="n"/>
      <c r="K1085" s="37" t="n"/>
      <c r="L1085" s="38" t="n"/>
      <c r="M1085" s="33" t="n"/>
      <c r="N1085" s="33" t="n"/>
      <c r="O1085" s="39" t="n"/>
      <c r="P1085" s="40">
        <f>IF(A1085="","",IF(K1085&lt;&gt;"",K1085,D1085))</f>
        <v/>
      </c>
      <c r="Q1085" s="42">
        <f>IF(A1085="",0,IF(C1085="✗",0,IF(OR(C1085="✓",AND(Setup!$D$7="Yes",P1085&lt;=TODAY())),IF(L1085&lt;&gt;"",L1085,F1085),0)))</f>
        <v/>
      </c>
      <c r="R1085" s="39">
        <f>IF(A1085="","",IF(M1085&lt;&gt;"",M1085,G1085))</f>
        <v/>
      </c>
      <c r="S1085" s="39">
        <f>IF(A1085="","",IF(N1085&lt;&gt;"",N1085,H1085))</f>
        <v/>
      </c>
      <c r="T1085" s="39">
        <f>IF(A1085="","",IF(C1085="✗","Skipped",IF(Q1085&gt;0,"Paid","Upcoming")))</f>
        <v/>
      </c>
      <c r="U1085" s="42">
        <f>IF(A1085="",0,IF(C1085="✗",0,IF(L1085&lt;&gt;"",L1085,F1085)))</f>
        <v/>
      </c>
    </row>
    <row r="1086">
      <c r="A1086" s="32">
        <f>IFERROR(SMALL(Calc!$B$2:$BB$61,1081),"")</f>
        <v/>
      </c>
      <c r="B1086" s="32">
        <f>IF(A1086="","",ROUND(MOD(A1086,1)*1000,0))</f>
        <v/>
      </c>
      <c r="C1086" s="33" t="n"/>
      <c r="D1086" s="34">
        <f>IF(A1086="","",INT(A1086))</f>
        <v/>
      </c>
      <c r="E1086" s="35">
        <f>IF(B1086="","",INDEX(Setup!$D$25:$D$84,B1086))</f>
        <v/>
      </c>
      <c r="F1086" s="36">
        <f>IF(B1086="","",INDEX(Setup!$E$25:$E$84,B1086))</f>
        <v/>
      </c>
      <c r="G1086" s="32">
        <f>IF(B1086="","",INDEX(Setup!$I$25:$I$84,B1086)&amp;"")</f>
        <v/>
      </c>
      <c r="H1086" s="32">
        <f>IF(B1086="","",INDEX(Setup!$J$25:$J$84,B1086)&amp;"")</f>
        <v/>
      </c>
      <c r="I1086" s="32">
        <f>IF(B1086="","",INDEX(Setup!$C$25:$C$84,B1086))</f>
        <v/>
      </c>
      <c r="J1086" s="32" t="n"/>
      <c r="K1086" s="37" t="n"/>
      <c r="L1086" s="38" t="n"/>
      <c r="M1086" s="33" t="n"/>
      <c r="N1086" s="33" t="n"/>
      <c r="O1086" s="32" t="n"/>
      <c r="P1086" s="34">
        <f>IF(A1086="","",IF(K1086&lt;&gt;"",K1086,D1086))</f>
        <v/>
      </c>
      <c r="Q1086" s="36">
        <f>IF(A1086="",0,IF(C1086="✗",0,IF(OR(C1086="✓",AND(Setup!$D$7="Yes",P1086&lt;=TODAY())),IF(L1086&lt;&gt;"",L1086,F1086),0)))</f>
        <v/>
      </c>
      <c r="R1086" s="32">
        <f>IF(A1086="","",IF(M1086&lt;&gt;"",M1086,G1086))</f>
        <v/>
      </c>
      <c r="S1086" s="32">
        <f>IF(A1086="","",IF(N1086&lt;&gt;"",N1086,H1086))</f>
        <v/>
      </c>
      <c r="T1086" s="32">
        <f>IF(A1086="","",IF(C1086="✗","Skipped",IF(Q1086&gt;0,"Paid","Upcoming")))</f>
        <v/>
      </c>
      <c r="U1086" s="36">
        <f>IF(A1086="",0,IF(C1086="✗",0,IF(L1086&lt;&gt;"",L1086,F1086)))</f>
        <v/>
      </c>
    </row>
    <row r="1087">
      <c r="A1087" s="39">
        <f>IFERROR(SMALL(Calc!$B$2:$BB$61,1082),"")</f>
        <v/>
      </c>
      <c r="B1087" s="39">
        <f>IF(A1087="","",ROUND(MOD(A1087,1)*1000,0))</f>
        <v/>
      </c>
      <c r="C1087" s="33" t="n"/>
      <c r="D1087" s="40">
        <f>IF(A1087="","",INT(A1087))</f>
        <v/>
      </c>
      <c r="E1087" s="41">
        <f>IF(B1087="","",INDEX(Setup!$D$25:$D$84,B1087))</f>
        <v/>
      </c>
      <c r="F1087" s="42">
        <f>IF(B1087="","",INDEX(Setup!$E$25:$E$84,B1087))</f>
        <v/>
      </c>
      <c r="G1087" s="39">
        <f>IF(B1087="","",INDEX(Setup!$I$25:$I$84,B1087)&amp;"")</f>
        <v/>
      </c>
      <c r="H1087" s="39">
        <f>IF(B1087="","",INDEX(Setup!$J$25:$J$84,B1087)&amp;"")</f>
        <v/>
      </c>
      <c r="I1087" s="39">
        <f>IF(B1087="","",INDEX(Setup!$C$25:$C$84,B1087))</f>
        <v/>
      </c>
      <c r="J1087" s="39" t="n"/>
      <c r="K1087" s="37" t="n"/>
      <c r="L1087" s="38" t="n"/>
      <c r="M1087" s="33" t="n"/>
      <c r="N1087" s="33" t="n"/>
      <c r="O1087" s="39" t="n"/>
      <c r="P1087" s="40">
        <f>IF(A1087="","",IF(K1087&lt;&gt;"",K1087,D1087))</f>
        <v/>
      </c>
      <c r="Q1087" s="42">
        <f>IF(A1087="",0,IF(C1087="✗",0,IF(OR(C1087="✓",AND(Setup!$D$7="Yes",P1087&lt;=TODAY())),IF(L1087&lt;&gt;"",L1087,F1087),0)))</f>
        <v/>
      </c>
      <c r="R1087" s="39">
        <f>IF(A1087="","",IF(M1087&lt;&gt;"",M1087,G1087))</f>
        <v/>
      </c>
      <c r="S1087" s="39">
        <f>IF(A1087="","",IF(N1087&lt;&gt;"",N1087,H1087))</f>
        <v/>
      </c>
      <c r="T1087" s="39">
        <f>IF(A1087="","",IF(C1087="✗","Skipped",IF(Q1087&gt;0,"Paid","Upcoming")))</f>
        <v/>
      </c>
      <c r="U1087" s="42">
        <f>IF(A1087="",0,IF(C1087="✗",0,IF(L1087&lt;&gt;"",L1087,F1087)))</f>
        <v/>
      </c>
    </row>
    <row r="1088">
      <c r="A1088" s="32">
        <f>IFERROR(SMALL(Calc!$B$2:$BB$61,1083),"")</f>
        <v/>
      </c>
      <c r="B1088" s="32">
        <f>IF(A1088="","",ROUND(MOD(A1088,1)*1000,0))</f>
        <v/>
      </c>
      <c r="C1088" s="33" t="n"/>
      <c r="D1088" s="34">
        <f>IF(A1088="","",INT(A1088))</f>
        <v/>
      </c>
      <c r="E1088" s="35">
        <f>IF(B1088="","",INDEX(Setup!$D$25:$D$84,B1088))</f>
        <v/>
      </c>
      <c r="F1088" s="36">
        <f>IF(B1088="","",INDEX(Setup!$E$25:$E$84,B1088))</f>
        <v/>
      </c>
      <c r="G1088" s="32">
        <f>IF(B1088="","",INDEX(Setup!$I$25:$I$84,B1088)&amp;"")</f>
        <v/>
      </c>
      <c r="H1088" s="32">
        <f>IF(B1088="","",INDEX(Setup!$J$25:$J$84,B1088)&amp;"")</f>
        <v/>
      </c>
      <c r="I1088" s="32">
        <f>IF(B1088="","",INDEX(Setup!$C$25:$C$84,B1088))</f>
        <v/>
      </c>
      <c r="J1088" s="32" t="n"/>
      <c r="K1088" s="37" t="n"/>
      <c r="L1088" s="38" t="n"/>
      <c r="M1088" s="33" t="n"/>
      <c r="N1088" s="33" t="n"/>
      <c r="O1088" s="32" t="n"/>
      <c r="P1088" s="34">
        <f>IF(A1088="","",IF(K1088&lt;&gt;"",K1088,D1088))</f>
        <v/>
      </c>
      <c r="Q1088" s="36">
        <f>IF(A1088="",0,IF(C1088="✗",0,IF(OR(C1088="✓",AND(Setup!$D$7="Yes",P1088&lt;=TODAY())),IF(L1088&lt;&gt;"",L1088,F1088),0)))</f>
        <v/>
      </c>
      <c r="R1088" s="32">
        <f>IF(A1088="","",IF(M1088&lt;&gt;"",M1088,G1088))</f>
        <v/>
      </c>
      <c r="S1088" s="32">
        <f>IF(A1088="","",IF(N1088&lt;&gt;"",N1088,H1088))</f>
        <v/>
      </c>
      <c r="T1088" s="32">
        <f>IF(A1088="","",IF(C1088="✗","Skipped",IF(Q1088&gt;0,"Paid","Upcoming")))</f>
        <v/>
      </c>
      <c r="U1088" s="36">
        <f>IF(A1088="",0,IF(C1088="✗",0,IF(L1088&lt;&gt;"",L1088,F1088)))</f>
        <v/>
      </c>
    </row>
    <row r="1089">
      <c r="A1089" s="39">
        <f>IFERROR(SMALL(Calc!$B$2:$BB$61,1084),"")</f>
        <v/>
      </c>
      <c r="B1089" s="39">
        <f>IF(A1089="","",ROUND(MOD(A1089,1)*1000,0))</f>
        <v/>
      </c>
      <c r="C1089" s="33" t="n"/>
      <c r="D1089" s="40">
        <f>IF(A1089="","",INT(A1089))</f>
        <v/>
      </c>
      <c r="E1089" s="41">
        <f>IF(B1089="","",INDEX(Setup!$D$25:$D$84,B1089))</f>
        <v/>
      </c>
      <c r="F1089" s="42">
        <f>IF(B1089="","",INDEX(Setup!$E$25:$E$84,B1089))</f>
        <v/>
      </c>
      <c r="G1089" s="39">
        <f>IF(B1089="","",INDEX(Setup!$I$25:$I$84,B1089)&amp;"")</f>
        <v/>
      </c>
      <c r="H1089" s="39">
        <f>IF(B1089="","",INDEX(Setup!$J$25:$J$84,B1089)&amp;"")</f>
        <v/>
      </c>
      <c r="I1089" s="39">
        <f>IF(B1089="","",INDEX(Setup!$C$25:$C$84,B1089))</f>
        <v/>
      </c>
      <c r="J1089" s="39" t="n"/>
      <c r="K1089" s="37" t="n"/>
      <c r="L1089" s="38" t="n"/>
      <c r="M1089" s="33" t="n"/>
      <c r="N1089" s="33" t="n"/>
      <c r="O1089" s="39" t="n"/>
      <c r="P1089" s="40">
        <f>IF(A1089="","",IF(K1089&lt;&gt;"",K1089,D1089))</f>
        <v/>
      </c>
      <c r="Q1089" s="42">
        <f>IF(A1089="",0,IF(C1089="✗",0,IF(OR(C1089="✓",AND(Setup!$D$7="Yes",P1089&lt;=TODAY())),IF(L1089&lt;&gt;"",L1089,F1089),0)))</f>
        <v/>
      </c>
      <c r="R1089" s="39">
        <f>IF(A1089="","",IF(M1089&lt;&gt;"",M1089,G1089))</f>
        <v/>
      </c>
      <c r="S1089" s="39">
        <f>IF(A1089="","",IF(N1089&lt;&gt;"",N1089,H1089))</f>
        <v/>
      </c>
      <c r="T1089" s="39">
        <f>IF(A1089="","",IF(C1089="✗","Skipped",IF(Q1089&gt;0,"Paid","Upcoming")))</f>
        <v/>
      </c>
      <c r="U1089" s="42">
        <f>IF(A1089="",0,IF(C1089="✗",0,IF(L1089&lt;&gt;"",L1089,F1089)))</f>
        <v/>
      </c>
    </row>
    <row r="1090">
      <c r="A1090" s="32">
        <f>IFERROR(SMALL(Calc!$B$2:$BB$61,1085),"")</f>
        <v/>
      </c>
      <c r="B1090" s="32">
        <f>IF(A1090="","",ROUND(MOD(A1090,1)*1000,0))</f>
        <v/>
      </c>
      <c r="C1090" s="33" t="n"/>
      <c r="D1090" s="34">
        <f>IF(A1090="","",INT(A1090))</f>
        <v/>
      </c>
      <c r="E1090" s="35">
        <f>IF(B1090="","",INDEX(Setup!$D$25:$D$84,B1090))</f>
        <v/>
      </c>
      <c r="F1090" s="36">
        <f>IF(B1090="","",INDEX(Setup!$E$25:$E$84,B1090))</f>
        <v/>
      </c>
      <c r="G1090" s="32">
        <f>IF(B1090="","",INDEX(Setup!$I$25:$I$84,B1090)&amp;"")</f>
        <v/>
      </c>
      <c r="H1090" s="32">
        <f>IF(B1090="","",INDEX(Setup!$J$25:$J$84,B1090)&amp;"")</f>
        <v/>
      </c>
      <c r="I1090" s="32">
        <f>IF(B1090="","",INDEX(Setup!$C$25:$C$84,B1090))</f>
        <v/>
      </c>
      <c r="J1090" s="32" t="n"/>
      <c r="K1090" s="37" t="n"/>
      <c r="L1090" s="38" t="n"/>
      <c r="M1090" s="33" t="n"/>
      <c r="N1090" s="33" t="n"/>
      <c r="O1090" s="32" t="n"/>
      <c r="P1090" s="34">
        <f>IF(A1090="","",IF(K1090&lt;&gt;"",K1090,D1090))</f>
        <v/>
      </c>
      <c r="Q1090" s="36">
        <f>IF(A1090="",0,IF(C1090="✗",0,IF(OR(C1090="✓",AND(Setup!$D$7="Yes",P1090&lt;=TODAY())),IF(L1090&lt;&gt;"",L1090,F1090),0)))</f>
        <v/>
      </c>
      <c r="R1090" s="32">
        <f>IF(A1090="","",IF(M1090&lt;&gt;"",M1090,G1090))</f>
        <v/>
      </c>
      <c r="S1090" s="32">
        <f>IF(A1090="","",IF(N1090&lt;&gt;"",N1090,H1090))</f>
        <v/>
      </c>
      <c r="T1090" s="32">
        <f>IF(A1090="","",IF(C1090="✗","Skipped",IF(Q1090&gt;0,"Paid","Upcoming")))</f>
        <v/>
      </c>
      <c r="U1090" s="36">
        <f>IF(A1090="",0,IF(C1090="✗",0,IF(L1090&lt;&gt;"",L1090,F1090)))</f>
        <v/>
      </c>
    </row>
    <row r="1091">
      <c r="A1091" s="39">
        <f>IFERROR(SMALL(Calc!$B$2:$BB$61,1086),"")</f>
        <v/>
      </c>
      <c r="B1091" s="39">
        <f>IF(A1091="","",ROUND(MOD(A1091,1)*1000,0))</f>
        <v/>
      </c>
      <c r="C1091" s="33" t="n"/>
      <c r="D1091" s="40">
        <f>IF(A1091="","",INT(A1091))</f>
        <v/>
      </c>
      <c r="E1091" s="41">
        <f>IF(B1091="","",INDEX(Setup!$D$25:$D$84,B1091))</f>
        <v/>
      </c>
      <c r="F1091" s="42">
        <f>IF(B1091="","",INDEX(Setup!$E$25:$E$84,B1091))</f>
        <v/>
      </c>
      <c r="G1091" s="39">
        <f>IF(B1091="","",INDEX(Setup!$I$25:$I$84,B1091)&amp;"")</f>
        <v/>
      </c>
      <c r="H1091" s="39">
        <f>IF(B1091="","",INDEX(Setup!$J$25:$J$84,B1091)&amp;"")</f>
        <v/>
      </c>
      <c r="I1091" s="39">
        <f>IF(B1091="","",INDEX(Setup!$C$25:$C$84,B1091))</f>
        <v/>
      </c>
      <c r="J1091" s="39" t="n"/>
      <c r="K1091" s="37" t="n"/>
      <c r="L1091" s="38" t="n"/>
      <c r="M1091" s="33" t="n"/>
      <c r="N1091" s="33" t="n"/>
      <c r="O1091" s="39" t="n"/>
      <c r="P1091" s="40">
        <f>IF(A1091="","",IF(K1091&lt;&gt;"",K1091,D1091))</f>
        <v/>
      </c>
      <c r="Q1091" s="42">
        <f>IF(A1091="",0,IF(C1091="✗",0,IF(OR(C1091="✓",AND(Setup!$D$7="Yes",P1091&lt;=TODAY())),IF(L1091&lt;&gt;"",L1091,F1091),0)))</f>
        <v/>
      </c>
      <c r="R1091" s="39">
        <f>IF(A1091="","",IF(M1091&lt;&gt;"",M1091,G1091))</f>
        <v/>
      </c>
      <c r="S1091" s="39">
        <f>IF(A1091="","",IF(N1091&lt;&gt;"",N1091,H1091))</f>
        <v/>
      </c>
      <c r="T1091" s="39">
        <f>IF(A1091="","",IF(C1091="✗","Skipped",IF(Q1091&gt;0,"Paid","Upcoming")))</f>
        <v/>
      </c>
      <c r="U1091" s="42">
        <f>IF(A1091="",0,IF(C1091="✗",0,IF(L1091&lt;&gt;"",L1091,F1091)))</f>
        <v/>
      </c>
    </row>
    <row r="1092">
      <c r="A1092" s="32">
        <f>IFERROR(SMALL(Calc!$B$2:$BB$61,1087),"")</f>
        <v/>
      </c>
      <c r="B1092" s="32">
        <f>IF(A1092="","",ROUND(MOD(A1092,1)*1000,0))</f>
        <v/>
      </c>
      <c r="C1092" s="33" t="n"/>
      <c r="D1092" s="34">
        <f>IF(A1092="","",INT(A1092))</f>
        <v/>
      </c>
      <c r="E1092" s="35">
        <f>IF(B1092="","",INDEX(Setup!$D$25:$D$84,B1092))</f>
        <v/>
      </c>
      <c r="F1092" s="36">
        <f>IF(B1092="","",INDEX(Setup!$E$25:$E$84,B1092))</f>
        <v/>
      </c>
      <c r="G1092" s="32">
        <f>IF(B1092="","",INDEX(Setup!$I$25:$I$84,B1092)&amp;"")</f>
        <v/>
      </c>
      <c r="H1092" s="32">
        <f>IF(B1092="","",INDEX(Setup!$J$25:$J$84,B1092)&amp;"")</f>
        <v/>
      </c>
      <c r="I1092" s="32">
        <f>IF(B1092="","",INDEX(Setup!$C$25:$C$84,B1092))</f>
        <v/>
      </c>
      <c r="J1092" s="32" t="n"/>
      <c r="K1092" s="37" t="n"/>
      <c r="L1092" s="38" t="n"/>
      <c r="M1092" s="33" t="n"/>
      <c r="N1092" s="33" t="n"/>
      <c r="O1092" s="32" t="n"/>
      <c r="P1092" s="34">
        <f>IF(A1092="","",IF(K1092&lt;&gt;"",K1092,D1092))</f>
        <v/>
      </c>
      <c r="Q1092" s="36">
        <f>IF(A1092="",0,IF(C1092="✗",0,IF(OR(C1092="✓",AND(Setup!$D$7="Yes",P1092&lt;=TODAY())),IF(L1092&lt;&gt;"",L1092,F1092),0)))</f>
        <v/>
      </c>
      <c r="R1092" s="32">
        <f>IF(A1092="","",IF(M1092&lt;&gt;"",M1092,G1092))</f>
        <v/>
      </c>
      <c r="S1092" s="32">
        <f>IF(A1092="","",IF(N1092&lt;&gt;"",N1092,H1092))</f>
        <v/>
      </c>
      <c r="T1092" s="32">
        <f>IF(A1092="","",IF(C1092="✗","Skipped",IF(Q1092&gt;0,"Paid","Upcoming")))</f>
        <v/>
      </c>
      <c r="U1092" s="36">
        <f>IF(A1092="",0,IF(C1092="✗",0,IF(L1092&lt;&gt;"",L1092,F1092)))</f>
        <v/>
      </c>
    </row>
    <row r="1093">
      <c r="A1093" s="39">
        <f>IFERROR(SMALL(Calc!$B$2:$BB$61,1088),"")</f>
        <v/>
      </c>
      <c r="B1093" s="39">
        <f>IF(A1093="","",ROUND(MOD(A1093,1)*1000,0))</f>
        <v/>
      </c>
      <c r="C1093" s="33" t="n"/>
      <c r="D1093" s="40">
        <f>IF(A1093="","",INT(A1093))</f>
        <v/>
      </c>
      <c r="E1093" s="41">
        <f>IF(B1093="","",INDEX(Setup!$D$25:$D$84,B1093))</f>
        <v/>
      </c>
      <c r="F1093" s="42">
        <f>IF(B1093="","",INDEX(Setup!$E$25:$E$84,B1093))</f>
        <v/>
      </c>
      <c r="G1093" s="39">
        <f>IF(B1093="","",INDEX(Setup!$I$25:$I$84,B1093)&amp;"")</f>
        <v/>
      </c>
      <c r="H1093" s="39">
        <f>IF(B1093="","",INDEX(Setup!$J$25:$J$84,B1093)&amp;"")</f>
        <v/>
      </c>
      <c r="I1093" s="39">
        <f>IF(B1093="","",INDEX(Setup!$C$25:$C$84,B1093))</f>
        <v/>
      </c>
      <c r="J1093" s="39" t="n"/>
      <c r="K1093" s="37" t="n"/>
      <c r="L1093" s="38" t="n"/>
      <c r="M1093" s="33" t="n"/>
      <c r="N1093" s="33" t="n"/>
      <c r="O1093" s="39" t="n"/>
      <c r="P1093" s="40">
        <f>IF(A1093="","",IF(K1093&lt;&gt;"",K1093,D1093))</f>
        <v/>
      </c>
      <c r="Q1093" s="42">
        <f>IF(A1093="",0,IF(C1093="✗",0,IF(OR(C1093="✓",AND(Setup!$D$7="Yes",P1093&lt;=TODAY())),IF(L1093&lt;&gt;"",L1093,F1093),0)))</f>
        <v/>
      </c>
      <c r="R1093" s="39">
        <f>IF(A1093="","",IF(M1093&lt;&gt;"",M1093,G1093))</f>
        <v/>
      </c>
      <c r="S1093" s="39">
        <f>IF(A1093="","",IF(N1093&lt;&gt;"",N1093,H1093))</f>
        <v/>
      </c>
      <c r="T1093" s="39">
        <f>IF(A1093="","",IF(C1093="✗","Skipped",IF(Q1093&gt;0,"Paid","Upcoming")))</f>
        <v/>
      </c>
      <c r="U1093" s="42">
        <f>IF(A1093="",0,IF(C1093="✗",0,IF(L1093&lt;&gt;"",L1093,F1093)))</f>
        <v/>
      </c>
    </row>
    <row r="1094">
      <c r="A1094" s="32">
        <f>IFERROR(SMALL(Calc!$B$2:$BB$61,1089),"")</f>
        <v/>
      </c>
      <c r="B1094" s="32">
        <f>IF(A1094="","",ROUND(MOD(A1094,1)*1000,0))</f>
        <v/>
      </c>
      <c r="C1094" s="33" t="n"/>
      <c r="D1094" s="34">
        <f>IF(A1094="","",INT(A1094))</f>
        <v/>
      </c>
      <c r="E1094" s="35">
        <f>IF(B1094="","",INDEX(Setup!$D$25:$D$84,B1094))</f>
        <v/>
      </c>
      <c r="F1094" s="36">
        <f>IF(B1094="","",INDEX(Setup!$E$25:$E$84,B1094))</f>
        <v/>
      </c>
      <c r="G1094" s="32">
        <f>IF(B1094="","",INDEX(Setup!$I$25:$I$84,B1094)&amp;"")</f>
        <v/>
      </c>
      <c r="H1094" s="32">
        <f>IF(B1094="","",INDEX(Setup!$J$25:$J$84,B1094)&amp;"")</f>
        <v/>
      </c>
      <c r="I1094" s="32">
        <f>IF(B1094="","",INDEX(Setup!$C$25:$C$84,B1094))</f>
        <v/>
      </c>
      <c r="J1094" s="32" t="n"/>
      <c r="K1094" s="37" t="n"/>
      <c r="L1094" s="38" t="n"/>
      <c r="M1094" s="33" t="n"/>
      <c r="N1094" s="33" t="n"/>
      <c r="O1094" s="32" t="n"/>
      <c r="P1094" s="34">
        <f>IF(A1094="","",IF(K1094&lt;&gt;"",K1094,D1094))</f>
        <v/>
      </c>
      <c r="Q1094" s="36">
        <f>IF(A1094="",0,IF(C1094="✗",0,IF(OR(C1094="✓",AND(Setup!$D$7="Yes",P1094&lt;=TODAY())),IF(L1094&lt;&gt;"",L1094,F1094),0)))</f>
        <v/>
      </c>
      <c r="R1094" s="32">
        <f>IF(A1094="","",IF(M1094&lt;&gt;"",M1094,G1094))</f>
        <v/>
      </c>
      <c r="S1094" s="32">
        <f>IF(A1094="","",IF(N1094&lt;&gt;"",N1094,H1094))</f>
        <v/>
      </c>
      <c r="T1094" s="32">
        <f>IF(A1094="","",IF(C1094="✗","Skipped",IF(Q1094&gt;0,"Paid","Upcoming")))</f>
        <v/>
      </c>
      <c r="U1094" s="36">
        <f>IF(A1094="",0,IF(C1094="✗",0,IF(L1094&lt;&gt;"",L1094,F1094)))</f>
        <v/>
      </c>
    </row>
    <row r="1095">
      <c r="A1095" s="39">
        <f>IFERROR(SMALL(Calc!$B$2:$BB$61,1090),"")</f>
        <v/>
      </c>
      <c r="B1095" s="39">
        <f>IF(A1095="","",ROUND(MOD(A1095,1)*1000,0))</f>
        <v/>
      </c>
      <c r="C1095" s="33" t="n"/>
      <c r="D1095" s="40">
        <f>IF(A1095="","",INT(A1095))</f>
        <v/>
      </c>
      <c r="E1095" s="41">
        <f>IF(B1095="","",INDEX(Setup!$D$25:$D$84,B1095))</f>
        <v/>
      </c>
      <c r="F1095" s="42">
        <f>IF(B1095="","",INDEX(Setup!$E$25:$E$84,B1095))</f>
        <v/>
      </c>
      <c r="G1095" s="39">
        <f>IF(B1095="","",INDEX(Setup!$I$25:$I$84,B1095)&amp;"")</f>
        <v/>
      </c>
      <c r="H1095" s="39">
        <f>IF(B1095="","",INDEX(Setup!$J$25:$J$84,B1095)&amp;"")</f>
        <v/>
      </c>
      <c r="I1095" s="39">
        <f>IF(B1095="","",INDEX(Setup!$C$25:$C$84,B1095))</f>
        <v/>
      </c>
      <c r="J1095" s="39" t="n"/>
      <c r="K1095" s="37" t="n"/>
      <c r="L1095" s="38" t="n"/>
      <c r="M1095" s="33" t="n"/>
      <c r="N1095" s="33" t="n"/>
      <c r="O1095" s="39" t="n"/>
      <c r="P1095" s="40">
        <f>IF(A1095="","",IF(K1095&lt;&gt;"",K1095,D1095))</f>
        <v/>
      </c>
      <c r="Q1095" s="42">
        <f>IF(A1095="",0,IF(C1095="✗",0,IF(OR(C1095="✓",AND(Setup!$D$7="Yes",P1095&lt;=TODAY())),IF(L1095&lt;&gt;"",L1095,F1095),0)))</f>
        <v/>
      </c>
      <c r="R1095" s="39">
        <f>IF(A1095="","",IF(M1095&lt;&gt;"",M1095,G1095))</f>
        <v/>
      </c>
      <c r="S1095" s="39">
        <f>IF(A1095="","",IF(N1095&lt;&gt;"",N1095,H1095))</f>
        <v/>
      </c>
      <c r="T1095" s="39">
        <f>IF(A1095="","",IF(C1095="✗","Skipped",IF(Q1095&gt;0,"Paid","Upcoming")))</f>
        <v/>
      </c>
      <c r="U1095" s="42">
        <f>IF(A1095="",0,IF(C1095="✗",0,IF(L1095&lt;&gt;"",L1095,F1095)))</f>
        <v/>
      </c>
    </row>
    <row r="1096">
      <c r="A1096" s="32">
        <f>IFERROR(SMALL(Calc!$B$2:$BB$61,1091),"")</f>
        <v/>
      </c>
      <c r="B1096" s="32">
        <f>IF(A1096="","",ROUND(MOD(A1096,1)*1000,0))</f>
        <v/>
      </c>
      <c r="C1096" s="33" t="n"/>
      <c r="D1096" s="34">
        <f>IF(A1096="","",INT(A1096))</f>
        <v/>
      </c>
      <c r="E1096" s="35">
        <f>IF(B1096="","",INDEX(Setup!$D$25:$D$84,B1096))</f>
        <v/>
      </c>
      <c r="F1096" s="36">
        <f>IF(B1096="","",INDEX(Setup!$E$25:$E$84,B1096))</f>
        <v/>
      </c>
      <c r="G1096" s="32">
        <f>IF(B1096="","",INDEX(Setup!$I$25:$I$84,B1096)&amp;"")</f>
        <v/>
      </c>
      <c r="H1096" s="32">
        <f>IF(B1096="","",INDEX(Setup!$J$25:$J$84,B1096)&amp;"")</f>
        <v/>
      </c>
      <c r="I1096" s="32">
        <f>IF(B1096="","",INDEX(Setup!$C$25:$C$84,B1096))</f>
        <v/>
      </c>
      <c r="J1096" s="32" t="n"/>
      <c r="K1096" s="37" t="n"/>
      <c r="L1096" s="38" t="n"/>
      <c r="M1096" s="33" t="n"/>
      <c r="N1096" s="33" t="n"/>
      <c r="O1096" s="32" t="n"/>
      <c r="P1096" s="34">
        <f>IF(A1096="","",IF(K1096&lt;&gt;"",K1096,D1096))</f>
        <v/>
      </c>
      <c r="Q1096" s="36">
        <f>IF(A1096="",0,IF(C1096="✗",0,IF(OR(C1096="✓",AND(Setup!$D$7="Yes",P1096&lt;=TODAY())),IF(L1096&lt;&gt;"",L1096,F1096),0)))</f>
        <v/>
      </c>
      <c r="R1096" s="32">
        <f>IF(A1096="","",IF(M1096&lt;&gt;"",M1096,G1096))</f>
        <v/>
      </c>
      <c r="S1096" s="32">
        <f>IF(A1096="","",IF(N1096&lt;&gt;"",N1096,H1096))</f>
        <v/>
      </c>
      <c r="T1096" s="32">
        <f>IF(A1096="","",IF(C1096="✗","Skipped",IF(Q1096&gt;0,"Paid","Upcoming")))</f>
        <v/>
      </c>
      <c r="U1096" s="36">
        <f>IF(A1096="",0,IF(C1096="✗",0,IF(L1096&lt;&gt;"",L1096,F1096)))</f>
        <v/>
      </c>
    </row>
    <row r="1097">
      <c r="A1097" s="39">
        <f>IFERROR(SMALL(Calc!$B$2:$BB$61,1092),"")</f>
        <v/>
      </c>
      <c r="B1097" s="39">
        <f>IF(A1097="","",ROUND(MOD(A1097,1)*1000,0))</f>
        <v/>
      </c>
      <c r="C1097" s="33" t="n"/>
      <c r="D1097" s="40">
        <f>IF(A1097="","",INT(A1097))</f>
        <v/>
      </c>
      <c r="E1097" s="41">
        <f>IF(B1097="","",INDEX(Setup!$D$25:$D$84,B1097))</f>
        <v/>
      </c>
      <c r="F1097" s="42">
        <f>IF(B1097="","",INDEX(Setup!$E$25:$E$84,B1097))</f>
        <v/>
      </c>
      <c r="G1097" s="39">
        <f>IF(B1097="","",INDEX(Setup!$I$25:$I$84,B1097)&amp;"")</f>
        <v/>
      </c>
      <c r="H1097" s="39">
        <f>IF(B1097="","",INDEX(Setup!$J$25:$J$84,B1097)&amp;"")</f>
        <v/>
      </c>
      <c r="I1097" s="39">
        <f>IF(B1097="","",INDEX(Setup!$C$25:$C$84,B1097))</f>
        <v/>
      </c>
      <c r="J1097" s="39" t="n"/>
      <c r="K1097" s="37" t="n"/>
      <c r="L1097" s="38" t="n"/>
      <c r="M1097" s="33" t="n"/>
      <c r="N1097" s="33" t="n"/>
      <c r="O1097" s="39" t="n"/>
      <c r="P1097" s="40">
        <f>IF(A1097="","",IF(K1097&lt;&gt;"",K1097,D1097))</f>
        <v/>
      </c>
      <c r="Q1097" s="42">
        <f>IF(A1097="",0,IF(C1097="✗",0,IF(OR(C1097="✓",AND(Setup!$D$7="Yes",P1097&lt;=TODAY())),IF(L1097&lt;&gt;"",L1097,F1097),0)))</f>
        <v/>
      </c>
      <c r="R1097" s="39">
        <f>IF(A1097="","",IF(M1097&lt;&gt;"",M1097,G1097))</f>
        <v/>
      </c>
      <c r="S1097" s="39">
        <f>IF(A1097="","",IF(N1097&lt;&gt;"",N1097,H1097))</f>
        <v/>
      </c>
      <c r="T1097" s="39">
        <f>IF(A1097="","",IF(C1097="✗","Skipped",IF(Q1097&gt;0,"Paid","Upcoming")))</f>
        <v/>
      </c>
      <c r="U1097" s="42">
        <f>IF(A1097="",0,IF(C1097="✗",0,IF(L1097&lt;&gt;"",L1097,F1097)))</f>
        <v/>
      </c>
    </row>
    <row r="1098">
      <c r="A1098" s="32">
        <f>IFERROR(SMALL(Calc!$B$2:$BB$61,1093),"")</f>
        <v/>
      </c>
      <c r="B1098" s="32">
        <f>IF(A1098="","",ROUND(MOD(A1098,1)*1000,0))</f>
        <v/>
      </c>
      <c r="C1098" s="33" t="n"/>
      <c r="D1098" s="34">
        <f>IF(A1098="","",INT(A1098))</f>
        <v/>
      </c>
      <c r="E1098" s="35">
        <f>IF(B1098="","",INDEX(Setup!$D$25:$D$84,B1098))</f>
        <v/>
      </c>
      <c r="F1098" s="36">
        <f>IF(B1098="","",INDEX(Setup!$E$25:$E$84,B1098))</f>
        <v/>
      </c>
      <c r="G1098" s="32">
        <f>IF(B1098="","",INDEX(Setup!$I$25:$I$84,B1098)&amp;"")</f>
        <v/>
      </c>
      <c r="H1098" s="32">
        <f>IF(B1098="","",INDEX(Setup!$J$25:$J$84,B1098)&amp;"")</f>
        <v/>
      </c>
      <c r="I1098" s="32">
        <f>IF(B1098="","",INDEX(Setup!$C$25:$C$84,B1098))</f>
        <v/>
      </c>
      <c r="J1098" s="32" t="n"/>
      <c r="K1098" s="37" t="n"/>
      <c r="L1098" s="38" t="n"/>
      <c r="M1098" s="33" t="n"/>
      <c r="N1098" s="33" t="n"/>
      <c r="O1098" s="32" t="n"/>
      <c r="P1098" s="34">
        <f>IF(A1098="","",IF(K1098&lt;&gt;"",K1098,D1098))</f>
        <v/>
      </c>
      <c r="Q1098" s="36">
        <f>IF(A1098="",0,IF(C1098="✗",0,IF(OR(C1098="✓",AND(Setup!$D$7="Yes",P1098&lt;=TODAY())),IF(L1098&lt;&gt;"",L1098,F1098),0)))</f>
        <v/>
      </c>
      <c r="R1098" s="32">
        <f>IF(A1098="","",IF(M1098&lt;&gt;"",M1098,G1098))</f>
        <v/>
      </c>
      <c r="S1098" s="32">
        <f>IF(A1098="","",IF(N1098&lt;&gt;"",N1098,H1098))</f>
        <v/>
      </c>
      <c r="T1098" s="32">
        <f>IF(A1098="","",IF(C1098="✗","Skipped",IF(Q1098&gt;0,"Paid","Upcoming")))</f>
        <v/>
      </c>
      <c r="U1098" s="36">
        <f>IF(A1098="",0,IF(C1098="✗",0,IF(L1098&lt;&gt;"",L1098,F1098)))</f>
        <v/>
      </c>
    </row>
    <row r="1099">
      <c r="A1099" s="39">
        <f>IFERROR(SMALL(Calc!$B$2:$BB$61,1094),"")</f>
        <v/>
      </c>
      <c r="B1099" s="39">
        <f>IF(A1099="","",ROUND(MOD(A1099,1)*1000,0))</f>
        <v/>
      </c>
      <c r="C1099" s="33" t="n"/>
      <c r="D1099" s="40">
        <f>IF(A1099="","",INT(A1099))</f>
        <v/>
      </c>
      <c r="E1099" s="41">
        <f>IF(B1099="","",INDEX(Setup!$D$25:$D$84,B1099))</f>
        <v/>
      </c>
      <c r="F1099" s="42">
        <f>IF(B1099="","",INDEX(Setup!$E$25:$E$84,B1099))</f>
        <v/>
      </c>
      <c r="G1099" s="39">
        <f>IF(B1099="","",INDEX(Setup!$I$25:$I$84,B1099)&amp;"")</f>
        <v/>
      </c>
      <c r="H1099" s="39">
        <f>IF(B1099="","",INDEX(Setup!$J$25:$J$84,B1099)&amp;"")</f>
        <v/>
      </c>
      <c r="I1099" s="39">
        <f>IF(B1099="","",INDEX(Setup!$C$25:$C$84,B1099))</f>
        <v/>
      </c>
      <c r="J1099" s="39" t="n"/>
      <c r="K1099" s="37" t="n"/>
      <c r="L1099" s="38" t="n"/>
      <c r="M1099" s="33" t="n"/>
      <c r="N1099" s="33" t="n"/>
      <c r="O1099" s="39" t="n"/>
      <c r="P1099" s="40">
        <f>IF(A1099="","",IF(K1099&lt;&gt;"",K1099,D1099))</f>
        <v/>
      </c>
      <c r="Q1099" s="42">
        <f>IF(A1099="",0,IF(C1099="✗",0,IF(OR(C1099="✓",AND(Setup!$D$7="Yes",P1099&lt;=TODAY())),IF(L1099&lt;&gt;"",L1099,F1099),0)))</f>
        <v/>
      </c>
      <c r="R1099" s="39">
        <f>IF(A1099="","",IF(M1099&lt;&gt;"",M1099,G1099))</f>
        <v/>
      </c>
      <c r="S1099" s="39">
        <f>IF(A1099="","",IF(N1099&lt;&gt;"",N1099,H1099))</f>
        <v/>
      </c>
      <c r="T1099" s="39">
        <f>IF(A1099="","",IF(C1099="✗","Skipped",IF(Q1099&gt;0,"Paid","Upcoming")))</f>
        <v/>
      </c>
      <c r="U1099" s="42">
        <f>IF(A1099="",0,IF(C1099="✗",0,IF(L1099&lt;&gt;"",L1099,F1099)))</f>
        <v/>
      </c>
    </row>
    <row r="1100">
      <c r="A1100" s="32">
        <f>IFERROR(SMALL(Calc!$B$2:$BB$61,1095),"")</f>
        <v/>
      </c>
      <c r="B1100" s="32">
        <f>IF(A1100="","",ROUND(MOD(A1100,1)*1000,0))</f>
        <v/>
      </c>
      <c r="C1100" s="33" t="n"/>
      <c r="D1100" s="34">
        <f>IF(A1100="","",INT(A1100))</f>
        <v/>
      </c>
      <c r="E1100" s="35">
        <f>IF(B1100="","",INDEX(Setup!$D$25:$D$84,B1100))</f>
        <v/>
      </c>
      <c r="F1100" s="36">
        <f>IF(B1100="","",INDEX(Setup!$E$25:$E$84,B1100))</f>
        <v/>
      </c>
      <c r="G1100" s="32">
        <f>IF(B1100="","",INDEX(Setup!$I$25:$I$84,B1100)&amp;"")</f>
        <v/>
      </c>
      <c r="H1100" s="32">
        <f>IF(B1100="","",INDEX(Setup!$J$25:$J$84,B1100)&amp;"")</f>
        <v/>
      </c>
      <c r="I1100" s="32">
        <f>IF(B1100="","",INDEX(Setup!$C$25:$C$84,B1100))</f>
        <v/>
      </c>
      <c r="J1100" s="32" t="n"/>
      <c r="K1100" s="37" t="n"/>
      <c r="L1100" s="38" t="n"/>
      <c r="M1100" s="33" t="n"/>
      <c r="N1100" s="33" t="n"/>
      <c r="O1100" s="32" t="n"/>
      <c r="P1100" s="34">
        <f>IF(A1100="","",IF(K1100&lt;&gt;"",K1100,D1100))</f>
        <v/>
      </c>
      <c r="Q1100" s="36">
        <f>IF(A1100="",0,IF(C1100="✗",0,IF(OR(C1100="✓",AND(Setup!$D$7="Yes",P1100&lt;=TODAY())),IF(L1100&lt;&gt;"",L1100,F1100),0)))</f>
        <v/>
      </c>
      <c r="R1100" s="32">
        <f>IF(A1100="","",IF(M1100&lt;&gt;"",M1100,G1100))</f>
        <v/>
      </c>
      <c r="S1100" s="32">
        <f>IF(A1100="","",IF(N1100&lt;&gt;"",N1100,H1100))</f>
        <v/>
      </c>
      <c r="T1100" s="32">
        <f>IF(A1100="","",IF(C1100="✗","Skipped",IF(Q1100&gt;0,"Paid","Upcoming")))</f>
        <v/>
      </c>
      <c r="U1100" s="36">
        <f>IF(A1100="",0,IF(C1100="✗",0,IF(L1100&lt;&gt;"",L1100,F1100)))</f>
        <v/>
      </c>
    </row>
    <row r="1101">
      <c r="A1101" s="39">
        <f>IFERROR(SMALL(Calc!$B$2:$BB$61,1096),"")</f>
        <v/>
      </c>
      <c r="B1101" s="39">
        <f>IF(A1101="","",ROUND(MOD(A1101,1)*1000,0))</f>
        <v/>
      </c>
      <c r="C1101" s="33" t="n"/>
      <c r="D1101" s="40">
        <f>IF(A1101="","",INT(A1101))</f>
        <v/>
      </c>
      <c r="E1101" s="41">
        <f>IF(B1101="","",INDEX(Setup!$D$25:$D$84,B1101))</f>
        <v/>
      </c>
      <c r="F1101" s="42">
        <f>IF(B1101="","",INDEX(Setup!$E$25:$E$84,B1101))</f>
        <v/>
      </c>
      <c r="G1101" s="39">
        <f>IF(B1101="","",INDEX(Setup!$I$25:$I$84,B1101)&amp;"")</f>
        <v/>
      </c>
      <c r="H1101" s="39">
        <f>IF(B1101="","",INDEX(Setup!$J$25:$J$84,B1101)&amp;"")</f>
        <v/>
      </c>
      <c r="I1101" s="39">
        <f>IF(B1101="","",INDEX(Setup!$C$25:$C$84,B1101))</f>
        <v/>
      </c>
      <c r="J1101" s="39" t="n"/>
      <c r="K1101" s="37" t="n"/>
      <c r="L1101" s="38" t="n"/>
      <c r="M1101" s="33" t="n"/>
      <c r="N1101" s="33" t="n"/>
      <c r="O1101" s="39" t="n"/>
      <c r="P1101" s="40">
        <f>IF(A1101="","",IF(K1101&lt;&gt;"",K1101,D1101))</f>
        <v/>
      </c>
      <c r="Q1101" s="42">
        <f>IF(A1101="",0,IF(C1101="✗",0,IF(OR(C1101="✓",AND(Setup!$D$7="Yes",P1101&lt;=TODAY())),IF(L1101&lt;&gt;"",L1101,F1101),0)))</f>
        <v/>
      </c>
      <c r="R1101" s="39">
        <f>IF(A1101="","",IF(M1101&lt;&gt;"",M1101,G1101))</f>
        <v/>
      </c>
      <c r="S1101" s="39">
        <f>IF(A1101="","",IF(N1101&lt;&gt;"",N1101,H1101))</f>
        <v/>
      </c>
      <c r="T1101" s="39">
        <f>IF(A1101="","",IF(C1101="✗","Skipped",IF(Q1101&gt;0,"Paid","Upcoming")))</f>
        <v/>
      </c>
      <c r="U1101" s="42">
        <f>IF(A1101="",0,IF(C1101="✗",0,IF(L1101&lt;&gt;"",L1101,F1101)))</f>
        <v/>
      </c>
    </row>
    <row r="1102">
      <c r="A1102" s="32">
        <f>IFERROR(SMALL(Calc!$B$2:$BB$61,1097),"")</f>
        <v/>
      </c>
      <c r="B1102" s="32">
        <f>IF(A1102="","",ROUND(MOD(A1102,1)*1000,0))</f>
        <v/>
      </c>
      <c r="C1102" s="33" t="n"/>
      <c r="D1102" s="34">
        <f>IF(A1102="","",INT(A1102))</f>
        <v/>
      </c>
      <c r="E1102" s="35">
        <f>IF(B1102="","",INDEX(Setup!$D$25:$D$84,B1102))</f>
        <v/>
      </c>
      <c r="F1102" s="36">
        <f>IF(B1102="","",INDEX(Setup!$E$25:$E$84,B1102))</f>
        <v/>
      </c>
      <c r="G1102" s="32">
        <f>IF(B1102="","",INDEX(Setup!$I$25:$I$84,B1102)&amp;"")</f>
        <v/>
      </c>
      <c r="H1102" s="32">
        <f>IF(B1102="","",INDEX(Setup!$J$25:$J$84,B1102)&amp;"")</f>
        <v/>
      </c>
      <c r="I1102" s="32">
        <f>IF(B1102="","",INDEX(Setup!$C$25:$C$84,B1102))</f>
        <v/>
      </c>
      <c r="J1102" s="32" t="n"/>
      <c r="K1102" s="37" t="n"/>
      <c r="L1102" s="38" t="n"/>
      <c r="M1102" s="33" t="n"/>
      <c r="N1102" s="33" t="n"/>
      <c r="O1102" s="32" t="n"/>
      <c r="P1102" s="34">
        <f>IF(A1102="","",IF(K1102&lt;&gt;"",K1102,D1102))</f>
        <v/>
      </c>
      <c r="Q1102" s="36">
        <f>IF(A1102="",0,IF(C1102="✗",0,IF(OR(C1102="✓",AND(Setup!$D$7="Yes",P1102&lt;=TODAY())),IF(L1102&lt;&gt;"",L1102,F1102),0)))</f>
        <v/>
      </c>
      <c r="R1102" s="32">
        <f>IF(A1102="","",IF(M1102&lt;&gt;"",M1102,G1102))</f>
        <v/>
      </c>
      <c r="S1102" s="32">
        <f>IF(A1102="","",IF(N1102&lt;&gt;"",N1102,H1102))</f>
        <v/>
      </c>
      <c r="T1102" s="32">
        <f>IF(A1102="","",IF(C1102="✗","Skipped",IF(Q1102&gt;0,"Paid","Upcoming")))</f>
        <v/>
      </c>
      <c r="U1102" s="36">
        <f>IF(A1102="",0,IF(C1102="✗",0,IF(L1102&lt;&gt;"",L1102,F1102)))</f>
        <v/>
      </c>
    </row>
    <row r="1103">
      <c r="A1103" s="39">
        <f>IFERROR(SMALL(Calc!$B$2:$BB$61,1098),"")</f>
        <v/>
      </c>
      <c r="B1103" s="39">
        <f>IF(A1103="","",ROUND(MOD(A1103,1)*1000,0))</f>
        <v/>
      </c>
      <c r="C1103" s="33" t="n"/>
      <c r="D1103" s="40">
        <f>IF(A1103="","",INT(A1103))</f>
        <v/>
      </c>
      <c r="E1103" s="41">
        <f>IF(B1103="","",INDEX(Setup!$D$25:$D$84,B1103))</f>
        <v/>
      </c>
      <c r="F1103" s="42">
        <f>IF(B1103="","",INDEX(Setup!$E$25:$E$84,B1103))</f>
        <v/>
      </c>
      <c r="G1103" s="39">
        <f>IF(B1103="","",INDEX(Setup!$I$25:$I$84,B1103)&amp;"")</f>
        <v/>
      </c>
      <c r="H1103" s="39">
        <f>IF(B1103="","",INDEX(Setup!$J$25:$J$84,B1103)&amp;"")</f>
        <v/>
      </c>
      <c r="I1103" s="39">
        <f>IF(B1103="","",INDEX(Setup!$C$25:$C$84,B1103))</f>
        <v/>
      </c>
      <c r="J1103" s="39" t="n"/>
      <c r="K1103" s="37" t="n"/>
      <c r="L1103" s="38" t="n"/>
      <c r="M1103" s="33" t="n"/>
      <c r="N1103" s="33" t="n"/>
      <c r="O1103" s="39" t="n"/>
      <c r="P1103" s="40">
        <f>IF(A1103="","",IF(K1103&lt;&gt;"",K1103,D1103))</f>
        <v/>
      </c>
      <c r="Q1103" s="42">
        <f>IF(A1103="",0,IF(C1103="✗",0,IF(OR(C1103="✓",AND(Setup!$D$7="Yes",P1103&lt;=TODAY())),IF(L1103&lt;&gt;"",L1103,F1103),0)))</f>
        <v/>
      </c>
      <c r="R1103" s="39">
        <f>IF(A1103="","",IF(M1103&lt;&gt;"",M1103,G1103))</f>
        <v/>
      </c>
      <c r="S1103" s="39">
        <f>IF(A1103="","",IF(N1103&lt;&gt;"",N1103,H1103))</f>
        <v/>
      </c>
      <c r="T1103" s="39">
        <f>IF(A1103="","",IF(C1103="✗","Skipped",IF(Q1103&gt;0,"Paid","Upcoming")))</f>
        <v/>
      </c>
      <c r="U1103" s="42">
        <f>IF(A1103="",0,IF(C1103="✗",0,IF(L1103&lt;&gt;"",L1103,F1103)))</f>
        <v/>
      </c>
    </row>
    <row r="1104">
      <c r="A1104" s="32">
        <f>IFERROR(SMALL(Calc!$B$2:$BB$61,1099),"")</f>
        <v/>
      </c>
      <c r="B1104" s="32">
        <f>IF(A1104="","",ROUND(MOD(A1104,1)*1000,0))</f>
        <v/>
      </c>
      <c r="C1104" s="33" t="n"/>
      <c r="D1104" s="34">
        <f>IF(A1104="","",INT(A1104))</f>
        <v/>
      </c>
      <c r="E1104" s="35">
        <f>IF(B1104="","",INDEX(Setup!$D$25:$D$84,B1104))</f>
        <v/>
      </c>
      <c r="F1104" s="36">
        <f>IF(B1104="","",INDEX(Setup!$E$25:$E$84,B1104))</f>
        <v/>
      </c>
      <c r="G1104" s="32">
        <f>IF(B1104="","",INDEX(Setup!$I$25:$I$84,B1104)&amp;"")</f>
        <v/>
      </c>
      <c r="H1104" s="32">
        <f>IF(B1104="","",INDEX(Setup!$J$25:$J$84,B1104)&amp;"")</f>
        <v/>
      </c>
      <c r="I1104" s="32">
        <f>IF(B1104="","",INDEX(Setup!$C$25:$C$84,B1104))</f>
        <v/>
      </c>
      <c r="J1104" s="32" t="n"/>
      <c r="K1104" s="37" t="n"/>
      <c r="L1104" s="38" t="n"/>
      <c r="M1104" s="33" t="n"/>
      <c r="N1104" s="33" t="n"/>
      <c r="O1104" s="32" t="n"/>
      <c r="P1104" s="34">
        <f>IF(A1104="","",IF(K1104&lt;&gt;"",K1104,D1104))</f>
        <v/>
      </c>
      <c r="Q1104" s="36">
        <f>IF(A1104="",0,IF(C1104="✗",0,IF(OR(C1104="✓",AND(Setup!$D$7="Yes",P1104&lt;=TODAY())),IF(L1104&lt;&gt;"",L1104,F1104),0)))</f>
        <v/>
      </c>
      <c r="R1104" s="32">
        <f>IF(A1104="","",IF(M1104&lt;&gt;"",M1104,G1104))</f>
        <v/>
      </c>
      <c r="S1104" s="32">
        <f>IF(A1104="","",IF(N1104&lt;&gt;"",N1104,H1104))</f>
        <v/>
      </c>
      <c r="T1104" s="32">
        <f>IF(A1104="","",IF(C1104="✗","Skipped",IF(Q1104&gt;0,"Paid","Upcoming")))</f>
        <v/>
      </c>
      <c r="U1104" s="36">
        <f>IF(A1104="",0,IF(C1104="✗",0,IF(L1104&lt;&gt;"",L1104,F1104)))</f>
        <v/>
      </c>
    </row>
    <row r="1105">
      <c r="A1105" s="39">
        <f>IFERROR(SMALL(Calc!$B$2:$BB$61,1100),"")</f>
        <v/>
      </c>
      <c r="B1105" s="39">
        <f>IF(A1105="","",ROUND(MOD(A1105,1)*1000,0))</f>
        <v/>
      </c>
      <c r="C1105" s="33" t="n"/>
      <c r="D1105" s="40">
        <f>IF(A1105="","",INT(A1105))</f>
        <v/>
      </c>
      <c r="E1105" s="41">
        <f>IF(B1105="","",INDEX(Setup!$D$25:$D$84,B1105))</f>
        <v/>
      </c>
      <c r="F1105" s="42">
        <f>IF(B1105="","",INDEX(Setup!$E$25:$E$84,B1105))</f>
        <v/>
      </c>
      <c r="G1105" s="39">
        <f>IF(B1105="","",INDEX(Setup!$I$25:$I$84,B1105)&amp;"")</f>
        <v/>
      </c>
      <c r="H1105" s="39">
        <f>IF(B1105="","",INDEX(Setup!$J$25:$J$84,B1105)&amp;"")</f>
        <v/>
      </c>
      <c r="I1105" s="39">
        <f>IF(B1105="","",INDEX(Setup!$C$25:$C$84,B1105))</f>
        <v/>
      </c>
      <c r="J1105" s="39" t="n"/>
      <c r="K1105" s="37" t="n"/>
      <c r="L1105" s="38" t="n"/>
      <c r="M1105" s="33" t="n"/>
      <c r="N1105" s="33" t="n"/>
      <c r="O1105" s="39" t="n"/>
      <c r="P1105" s="40">
        <f>IF(A1105="","",IF(K1105&lt;&gt;"",K1105,D1105))</f>
        <v/>
      </c>
      <c r="Q1105" s="42">
        <f>IF(A1105="",0,IF(C1105="✗",0,IF(OR(C1105="✓",AND(Setup!$D$7="Yes",P1105&lt;=TODAY())),IF(L1105&lt;&gt;"",L1105,F1105),0)))</f>
        <v/>
      </c>
      <c r="R1105" s="39">
        <f>IF(A1105="","",IF(M1105&lt;&gt;"",M1105,G1105))</f>
        <v/>
      </c>
      <c r="S1105" s="39">
        <f>IF(A1105="","",IF(N1105&lt;&gt;"",N1105,H1105))</f>
        <v/>
      </c>
      <c r="T1105" s="39">
        <f>IF(A1105="","",IF(C1105="✗","Skipped",IF(Q1105&gt;0,"Paid","Upcoming")))</f>
        <v/>
      </c>
      <c r="U1105" s="42">
        <f>IF(A1105="",0,IF(C1105="✗",0,IF(L1105&lt;&gt;"",L1105,F1105)))</f>
        <v/>
      </c>
    </row>
    <row r="1106">
      <c r="A1106" s="32">
        <f>IFERROR(SMALL(Calc!$B$2:$BB$61,1101),"")</f>
        <v/>
      </c>
      <c r="B1106" s="32">
        <f>IF(A1106="","",ROUND(MOD(A1106,1)*1000,0))</f>
        <v/>
      </c>
      <c r="C1106" s="33" t="n"/>
      <c r="D1106" s="34">
        <f>IF(A1106="","",INT(A1106))</f>
        <v/>
      </c>
      <c r="E1106" s="35">
        <f>IF(B1106="","",INDEX(Setup!$D$25:$D$84,B1106))</f>
        <v/>
      </c>
      <c r="F1106" s="36">
        <f>IF(B1106="","",INDEX(Setup!$E$25:$E$84,B1106))</f>
        <v/>
      </c>
      <c r="G1106" s="32">
        <f>IF(B1106="","",INDEX(Setup!$I$25:$I$84,B1106)&amp;"")</f>
        <v/>
      </c>
      <c r="H1106" s="32">
        <f>IF(B1106="","",INDEX(Setup!$J$25:$J$84,B1106)&amp;"")</f>
        <v/>
      </c>
      <c r="I1106" s="32">
        <f>IF(B1106="","",INDEX(Setup!$C$25:$C$84,B1106))</f>
        <v/>
      </c>
      <c r="J1106" s="32" t="n"/>
      <c r="K1106" s="37" t="n"/>
      <c r="L1106" s="38" t="n"/>
      <c r="M1106" s="33" t="n"/>
      <c r="N1106" s="33" t="n"/>
      <c r="O1106" s="32" t="n"/>
      <c r="P1106" s="34">
        <f>IF(A1106="","",IF(K1106&lt;&gt;"",K1106,D1106))</f>
        <v/>
      </c>
      <c r="Q1106" s="36">
        <f>IF(A1106="",0,IF(C1106="✗",0,IF(OR(C1106="✓",AND(Setup!$D$7="Yes",P1106&lt;=TODAY())),IF(L1106&lt;&gt;"",L1106,F1106),0)))</f>
        <v/>
      </c>
      <c r="R1106" s="32">
        <f>IF(A1106="","",IF(M1106&lt;&gt;"",M1106,G1106))</f>
        <v/>
      </c>
      <c r="S1106" s="32">
        <f>IF(A1106="","",IF(N1106&lt;&gt;"",N1106,H1106))</f>
        <v/>
      </c>
      <c r="T1106" s="32">
        <f>IF(A1106="","",IF(C1106="✗","Skipped",IF(Q1106&gt;0,"Paid","Upcoming")))</f>
        <v/>
      </c>
      <c r="U1106" s="36">
        <f>IF(A1106="",0,IF(C1106="✗",0,IF(L1106&lt;&gt;"",L1106,F1106)))</f>
        <v/>
      </c>
    </row>
    <row r="1107">
      <c r="A1107" s="39">
        <f>IFERROR(SMALL(Calc!$B$2:$BB$61,1102),"")</f>
        <v/>
      </c>
      <c r="B1107" s="39">
        <f>IF(A1107="","",ROUND(MOD(A1107,1)*1000,0))</f>
        <v/>
      </c>
      <c r="C1107" s="33" t="n"/>
      <c r="D1107" s="40">
        <f>IF(A1107="","",INT(A1107))</f>
        <v/>
      </c>
      <c r="E1107" s="41">
        <f>IF(B1107="","",INDEX(Setup!$D$25:$D$84,B1107))</f>
        <v/>
      </c>
      <c r="F1107" s="42">
        <f>IF(B1107="","",INDEX(Setup!$E$25:$E$84,B1107))</f>
        <v/>
      </c>
      <c r="G1107" s="39">
        <f>IF(B1107="","",INDEX(Setup!$I$25:$I$84,B1107)&amp;"")</f>
        <v/>
      </c>
      <c r="H1107" s="39">
        <f>IF(B1107="","",INDEX(Setup!$J$25:$J$84,B1107)&amp;"")</f>
        <v/>
      </c>
      <c r="I1107" s="39">
        <f>IF(B1107="","",INDEX(Setup!$C$25:$C$84,B1107))</f>
        <v/>
      </c>
      <c r="J1107" s="39" t="n"/>
      <c r="K1107" s="37" t="n"/>
      <c r="L1107" s="38" t="n"/>
      <c r="M1107" s="33" t="n"/>
      <c r="N1107" s="33" t="n"/>
      <c r="O1107" s="39" t="n"/>
      <c r="P1107" s="40">
        <f>IF(A1107="","",IF(K1107&lt;&gt;"",K1107,D1107))</f>
        <v/>
      </c>
      <c r="Q1107" s="42">
        <f>IF(A1107="",0,IF(C1107="✗",0,IF(OR(C1107="✓",AND(Setup!$D$7="Yes",P1107&lt;=TODAY())),IF(L1107&lt;&gt;"",L1107,F1107),0)))</f>
        <v/>
      </c>
      <c r="R1107" s="39">
        <f>IF(A1107="","",IF(M1107&lt;&gt;"",M1107,G1107))</f>
        <v/>
      </c>
      <c r="S1107" s="39">
        <f>IF(A1107="","",IF(N1107&lt;&gt;"",N1107,H1107))</f>
        <v/>
      </c>
      <c r="T1107" s="39">
        <f>IF(A1107="","",IF(C1107="✗","Skipped",IF(Q1107&gt;0,"Paid","Upcoming")))</f>
        <v/>
      </c>
      <c r="U1107" s="42">
        <f>IF(A1107="",0,IF(C1107="✗",0,IF(L1107&lt;&gt;"",L1107,F1107)))</f>
        <v/>
      </c>
    </row>
    <row r="1108">
      <c r="A1108" s="32">
        <f>IFERROR(SMALL(Calc!$B$2:$BB$61,1103),"")</f>
        <v/>
      </c>
      <c r="B1108" s="32">
        <f>IF(A1108="","",ROUND(MOD(A1108,1)*1000,0))</f>
        <v/>
      </c>
      <c r="C1108" s="33" t="n"/>
      <c r="D1108" s="34">
        <f>IF(A1108="","",INT(A1108))</f>
        <v/>
      </c>
      <c r="E1108" s="35">
        <f>IF(B1108="","",INDEX(Setup!$D$25:$D$84,B1108))</f>
        <v/>
      </c>
      <c r="F1108" s="36">
        <f>IF(B1108="","",INDEX(Setup!$E$25:$E$84,B1108))</f>
        <v/>
      </c>
      <c r="G1108" s="32">
        <f>IF(B1108="","",INDEX(Setup!$I$25:$I$84,B1108)&amp;"")</f>
        <v/>
      </c>
      <c r="H1108" s="32">
        <f>IF(B1108="","",INDEX(Setup!$J$25:$J$84,B1108)&amp;"")</f>
        <v/>
      </c>
      <c r="I1108" s="32">
        <f>IF(B1108="","",INDEX(Setup!$C$25:$C$84,B1108))</f>
        <v/>
      </c>
      <c r="J1108" s="32" t="n"/>
      <c r="K1108" s="37" t="n"/>
      <c r="L1108" s="38" t="n"/>
      <c r="M1108" s="33" t="n"/>
      <c r="N1108" s="33" t="n"/>
      <c r="O1108" s="32" t="n"/>
      <c r="P1108" s="34">
        <f>IF(A1108="","",IF(K1108&lt;&gt;"",K1108,D1108))</f>
        <v/>
      </c>
      <c r="Q1108" s="36">
        <f>IF(A1108="",0,IF(C1108="✗",0,IF(OR(C1108="✓",AND(Setup!$D$7="Yes",P1108&lt;=TODAY())),IF(L1108&lt;&gt;"",L1108,F1108),0)))</f>
        <v/>
      </c>
      <c r="R1108" s="32">
        <f>IF(A1108="","",IF(M1108&lt;&gt;"",M1108,G1108))</f>
        <v/>
      </c>
      <c r="S1108" s="32">
        <f>IF(A1108="","",IF(N1108&lt;&gt;"",N1108,H1108))</f>
        <v/>
      </c>
      <c r="T1108" s="32">
        <f>IF(A1108="","",IF(C1108="✗","Skipped",IF(Q1108&gt;0,"Paid","Upcoming")))</f>
        <v/>
      </c>
      <c r="U1108" s="36">
        <f>IF(A1108="",0,IF(C1108="✗",0,IF(L1108&lt;&gt;"",L1108,F1108)))</f>
        <v/>
      </c>
    </row>
    <row r="1109">
      <c r="A1109" s="39">
        <f>IFERROR(SMALL(Calc!$B$2:$BB$61,1104),"")</f>
        <v/>
      </c>
      <c r="B1109" s="39">
        <f>IF(A1109="","",ROUND(MOD(A1109,1)*1000,0))</f>
        <v/>
      </c>
      <c r="C1109" s="33" t="n"/>
      <c r="D1109" s="40">
        <f>IF(A1109="","",INT(A1109))</f>
        <v/>
      </c>
      <c r="E1109" s="41">
        <f>IF(B1109="","",INDEX(Setup!$D$25:$D$84,B1109))</f>
        <v/>
      </c>
      <c r="F1109" s="42">
        <f>IF(B1109="","",INDEX(Setup!$E$25:$E$84,B1109))</f>
        <v/>
      </c>
      <c r="G1109" s="39">
        <f>IF(B1109="","",INDEX(Setup!$I$25:$I$84,B1109)&amp;"")</f>
        <v/>
      </c>
      <c r="H1109" s="39">
        <f>IF(B1109="","",INDEX(Setup!$J$25:$J$84,B1109)&amp;"")</f>
        <v/>
      </c>
      <c r="I1109" s="39">
        <f>IF(B1109="","",INDEX(Setup!$C$25:$C$84,B1109))</f>
        <v/>
      </c>
      <c r="J1109" s="39" t="n"/>
      <c r="K1109" s="37" t="n"/>
      <c r="L1109" s="38" t="n"/>
      <c r="M1109" s="33" t="n"/>
      <c r="N1109" s="33" t="n"/>
      <c r="O1109" s="39" t="n"/>
      <c r="P1109" s="40">
        <f>IF(A1109="","",IF(K1109&lt;&gt;"",K1109,D1109))</f>
        <v/>
      </c>
      <c r="Q1109" s="42">
        <f>IF(A1109="",0,IF(C1109="✗",0,IF(OR(C1109="✓",AND(Setup!$D$7="Yes",P1109&lt;=TODAY())),IF(L1109&lt;&gt;"",L1109,F1109),0)))</f>
        <v/>
      </c>
      <c r="R1109" s="39">
        <f>IF(A1109="","",IF(M1109&lt;&gt;"",M1109,G1109))</f>
        <v/>
      </c>
      <c r="S1109" s="39">
        <f>IF(A1109="","",IF(N1109&lt;&gt;"",N1109,H1109))</f>
        <v/>
      </c>
      <c r="T1109" s="39">
        <f>IF(A1109="","",IF(C1109="✗","Skipped",IF(Q1109&gt;0,"Paid","Upcoming")))</f>
        <v/>
      </c>
      <c r="U1109" s="42">
        <f>IF(A1109="",0,IF(C1109="✗",0,IF(L1109&lt;&gt;"",L1109,F1109)))</f>
        <v/>
      </c>
    </row>
    <row r="1110">
      <c r="A1110" s="32">
        <f>IFERROR(SMALL(Calc!$B$2:$BB$61,1105),"")</f>
        <v/>
      </c>
      <c r="B1110" s="32">
        <f>IF(A1110="","",ROUND(MOD(A1110,1)*1000,0))</f>
        <v/>
      </c>
      <c r="C1110" s="33" t="n"/>
      <c r="D1110" s="34">
        <f>IF(A1110="","",INT(A1110))</f>
        <v/>
      </c>
      <c r="E1110" s="35">
        <f>IF(B1110="","",INDEX(Setup!$D$25:$D$84,B1110))</f>
        <v/>
      </c>
      <c r="F1110" s="36">
        <f>IF(B1110="","",INDEX(Setup!$E$25:$E$84,B1110))</f>
        <v/>
      </c>
      <c r="G1110" s="32">
        <f>IF(B1110="","",INDEX(Setup!$I$25:$I$84,B1110)&amp;"")</f>
        <v/>
      </c>
      <c r="H1110" s="32">
        <f>IF(B1110="","",INDEX(Setup!$J$25:$J$84,B1110)&amp;"")</f>
        <v/>
      </c>
      <c r="I1110" s="32">
        <f>IF(B1110="","",INDEX(Setup!$C$25:$C$84,B1110))</f>
        <v/>
      </c>
      <c r="J1110" s="32" t="n"/>
      <c r="K1110" s="37" t="n"/>
      <c r="L1110" s="38" t="n"/>
      <c r="M1110" s="33" t="n"/>
      <c r="N1110" s="33" t="n"/>
      <c r="O1110" s="32" t="n"/>
      <c r="P1110" s="34">
        <f>IF(A1110="","",IF(K1110&lt;&gt;"",K1110,D1110))</f>
        <v/>
      </c>
      <c r="Q1110" s="36">
        <f>IF(A1110="",0,IF(C1110="✗",0,IF(OR(C1110="✓",AND(Setup!$D$7="Yes",P1110&lt;=TODAY())),IF(L1110&lt;&gt;"",L1110,F1110),0)))</f>
        <v/>
      </c>
      <c r="R1110" s="32">
        <f>IF(A1110="","",IF(M1110&lt;&gt;"",M1110,G1110))</f>
        <v/>
      </c>
      <c r="S1110" s="32">
        <f>IF(A1110="","",IF(N1110&lt;&gt;"",N1110,H1110))</f>
        <v/>
      </c>
      <c r="T1110" s="32">
        <f>IF(A1110="","",IF(C1110="✗","Skipped",IF(Q1110&gt;0,"Paid","Upcoming")))</f>
        <v/>
      </c>
      <c r="U1110" s="36">
        <f>IF(A1110="",0,IF(C1110="✗",0,IF(L1110&lt;&gt;"",L1110,F1110)))</f>
        <v/>
      </c>
    </row>
    <row r="1111">
      <c r="A1111" s="39">
        <f>IFERROR(SMALL(Calc!$B$2:$BB$61,1106),"")</f>
        <v/>
      </c>
      <c r="B1111" s="39">
        <f>IF(A1111="","",ROUND(MOD(A1111,1)*1000,0))</f>
        <v/>
      </c>
      <c r="C1111" s="33" t="n"/>
      <c r="D1111" s="40">
        <f>IF(A1111="","",INT(A1111))</f>
        <v/>
      </c>
      <c r="E1111" s="41">
        <f>IF(B1111="","",INDEX(Setup!$D$25:$D$84,B1111))</f>
        <v/>
      </c>
      <c r="F1111" s="42">
        <f>IF(B1111="","",INDEX(Setup!$E$25:$E$84,B1111))</f>
        <v/>
      </c>
      <c r="G1111" s="39">
        <f>IF(B1111="","",INDEX(Setup!$I$25:$I$84,B1111)&amp;"")</f>
        <v/>
      </c>
      <c r="H1111" s="39">
        <f>IF(B1111="","",INDEX(Setup!$J$25:$J$84,B1111)&amp;"")</f>
        <v/>
      </c>
      <c r="I1111" s="39">
        <f>IF(B1111="","",INDEX(Setup!$C$25:$C$84,B1111))</f>
        <v/>
      </c>
      <c r="J1111" s="39" t="n"/>
      <c r="K1111" s="37" t="n"/>
      <c r="L1111" s="38" t="n"/>
      <c r="M1111" s="33" t="n"/>
      <c r="N1111" s="33" t="n"/>
      <c r="O1111" s="39" t="n"/>
      <c r="P1111" s="40">
        <f>IF(A1111="","",IF(K1111&lt;&gt;"",K1111,D1111))</f>
        <v/>
      </c>
      <c r="Q1111" s="42">
        <f>IF(A1111="",0,IF(C1111="✗",0,IF(OR(C1111="✓",AND(Setup!$D$7="Yes",P1111&lt;=TODAY())),IF(L1111&lt;&gt;"",L1111,F1111),0)))</f>
        <v/>
      </c>
      <c r="R1111" s="39">
        <f>IF(A1111="","",IF(M1111&lt;&gt;"",M1111,G1111))</f>
        <v/>
      </c>
      <c r="S1111" s="39">
        <f>IF(A1111="","",IF(N1111&lt;&gt;"",N1111,H1111))</f>
        <v/>
      </c>
      <c r="T1111" s="39">
        <f>IF(A1111="","",IF(C1111="✗","Skipped",IF(Q1111&gt;0,"Paid","Upcoming")))</f>
        <v/>
      </c>
      <c r="U1111" s="42">
        <f>IF(A1111="",0,IF(C1111="✗",0,IF(L1111&lt;&gt;"",L1111,F1111)))</f>
        <v/>
      </c>
    </row>
    <row r="1112">
      <c r="A1112" s="32">
        <f>IFERROR(SMALL(Calc!$B$2:$BB$61,1107),"")</f>
        <v/>
      </c>
      <c r="B1112" s="32">
        <f>IF(A1112="","",ROUND(MOD(A1112,1)*1000,0))</f>
        <v/>
      </c>
      <c r="C1112" s="33" t="n"/>
      <c r="D1112" s="34">
        <f>IF(A1112="","",INT(A1112))</f>
        <v/>
      </c>
      <c r="E1112" s="35">
        <f>IF(B1112="","",INDEX(Setup!$D$25:$D$84,B1112))</f>
        <v/>
      </c>
      <c r="F1112" s="36">
        <f>IF(B1112="","",INDEX(Setup!$E$25:$E$84,B1112))</f>
        <v/>
      </c>
      <c r="G1112" s="32">
        <f>IF(B1112="","",INDEX(Setup!$I$25:$I$84,B1112)&amp;"")</f>
        <v/>
      </c>
      <c r="H1112" s="32">
        <f>IF(B1112="","",INDEX(Setup!$J$25:$J$84,B1112)&amp;"")</f>
        <v/>
      </c>
      <c r="I1112" s="32">
        <f>IF(B1112="","",INDEX(Setup!$C$25:$C$84,B1112))</f>
        <v/>
      </c>
      <c r="J1112" s="32" t="n"/>
      <c r="K1112" s="37" t="n"/>
      <c r="L1112" s="38" t="n"/>
      <c r="M1112" s="33" t="n"/>
      <c r="N1112" s="33" t="n"/>
      <c r="O1112" s="32" t="n"/>
      <c r="P1112" s="34">
        <f>IF(A1112="","",IF(K1112&lt;&gt;"",K1112,D1112))</f>
        <v/>
      </c>
      <c r="Q1112" s="36">
        <f>IF(A1112="",0,IF(C1112="✗",0,IF(OR(C1112="✓",AND(Setup!$D$7="Yes",P1112&lt;=TODAY())),IF(L1112&lt;&gt;"",L1112,F1112),0)))</f>
        <v/>
      </c>
      <c r="R1112" s="32">
        <f>IF(A1112="","",IF(M1112&lt;&gt;"",M1112,G1112))</f>
        <v/>
      </c>
      <c r="S1112" s="32">
        <f>IF(A1112="","",IF(N1112&lt;&gt;"",N1112,H1112))</f>
        <v/>
      </c>
      <c r="T1112" s="32">
        <f>IF(A1112="","",IF(C1112="✗","Skipped",IF(Q1112&gt;0,"Paid","Upcoming")))</f>
        <v/>
      </c>
      <c r="U1112" s="36">
        <f>IF(A1112="",0,IF(C1112="✗",0,IF(L1112&lt;&gt;"",L1112,F1112)))</f>
        <v/>
      </c>
    </row>
    <row r="1113">
      <c r="A1113" s="39">
        <f>IFERROR(SMALL(Calc!$B$2:$BB$61,1108),"")</f>
        <v/>
      </c>
      <c r="B1113" s="39">
        <f>IF(A1113="","",ROUND(MOD(A1113,1)*1000,0))</f>
        <v/>
      </c>
      <c r="C1113" s="33" t="n"/>
      <c r="D1113" s="40">
        <f>IF(A1113="","",INT(A1113))</f>
        <v/>
      </c>
      <c r="E1113" s="41">
        <f>IF(B1113="","",INDEX(Setup!$D$25:$D$84,B1113))</f>
        <v/>
      </c>
      <c r="F1113" s="42">
        <f>IF(B1113="","",INDEX(Setup!$E$25:$E$84,B1113))</f>
        <v/>
      </c>
      <c r="G1113" s="39">
        <f>IF(B1113="","",INDEX(Setup!$I$25:$I$84,B1113)&amp;"")</f>
        <v/>
      </c>
      <c r="H1113" s="39">
        <f>IF(B1113="","",INDEX(Setup!$J$25:$J$84,B1113)&amp;"")</f>
        <v/>
      </c>
      <c r="I1113" s="39">
        <f>IF(B1113="","",INDEX(Setup!$C$25:$C$84,B1113))</f>
        <v/>
      </c>
      <c r="J1113" s="39" t="n"/>
      <c r="K1113" s="37" t="n"/>
      <c r="L1113" s="38" t="n"/>
      <c r="M1113" s="33" t="n"/>
      <c r="N1113" s="33" t="n"/>
      <c r="O1113" s="39" t="n"/>
      <c r="P1113" s="40">
        <f>IF(A1113="","",IF(K1113&lt;&gt;"",K1113,D1113))</f>
        <v/>
      </c>
      <c r="Q1113" s="42">
        <f>IF(A1113="",0,IF(C1113="✗",0,IF(OR(C1113="✓",AND(Setup!$D$7="Yes",P1113&lt;=TODAY())),IF(L1113&lt;&gt;"",L1113,F1113),0)))</f>
        <v/>
      </c>
      <c r="R1113" s="39">
        <f>IF(A1113="","",IF(M1113&lt;&gt;"",M1113,G1113))</f>
        <v/>
      </c>
      <c r="S1113" s="39">
        <f>IF(A1113="","",IF(N1113&lt;&gt;"",N1113,H1113))</f>
        <v/>
      </c>
      <c r="T1113" s="39">
        <f>IF(A1113="","",IF(C1113="✗","Skipped",IF(Q1113&gt;0,"Paid","Upcoming")))</f>
        <v/>
      </c>
      <c r="U1113" s="42">
        <f>IF(A1113="",0,IF(C1113="✗",0,IF(L1113&lt;&gt;"",L1113,F1113)))</f>
        <v/>
      </c>
    </row>
    <row r="1114">
      <c r="A1114" s="32">
        <f>IFERROR(SMALL(Calc!$B$2:$BB$61,1109),"")</f>
        <v/>
      </c>
      <c r="B1114" s="32">
        <f>IF(A1114="","",ROUND(MOD(A1114,1)*1000,0))</f>
        <v/>
      </c>
      <c r="C1114" s="33" t="n"/>
      <c r="D1114" s="34">
        <f>IF(A1114="","",INT(A1114))</f>
        <v/>
      </c>
      <c r="E1114" s="35">
        <f>IF(B1114="","",INDEX(Setup!$D$25:$D$84,B1114))</f>
        <v/>
      </c>
      <c r="F1114" s="36">
        <f>IF(B1114="","",INDEX(Setup!$E$25:$E$84,B1114))</f>
        <v/>
      </c>
      <c r="G1114" s="32">
        <f>IF(B1114="","",INDEX(Setup!$I$25:$I$84,B1114)&amp;"")</f>
        <v/>
      </c>
      <c r="H1114" s="32">
        <f>IF(B1114="","",INDEX(Setup!$J$25:$J$84,B1114)&amp;"")</f>
        <v/>
      </c>
      <c r="I1114" s="32">
        <f>IF(B1114="","",INDEX(Setup!$C$25:$C$84,B1114))</f>
        <v/>
      </c>
      <c r="J1114" s="32" t="n"/>
      <c r="K1114" s="37" t="n"/>
      <c r="L1114" s="38" t="n"/>
      <c r="M1114" s="33" t="n"/>
      <c r="N1114" s="33" t="n"/>
      <c r="O1114" s="32" t="n"/>
      <c r="P1114" s="34">
        <f>IF(A1114="","",IF(K1114&lt;&gt;"",K1114,D1114))</f>
        <v/>
      </c>
      <c r="Q1114" s="36">
        <f>IF(A1114="",0,IF(C1114="✗",0,IF(OR(C1114="✓",AND(Setup!$D$7="Yes",P1114&lt;=TODAY())),IF(L1114&lt;&gt;"",L1114,F1114),0)))</f>
        <v/>
      </c>
      <c r="R1114" s="32">
        <f>IF(A1114="","",IF(M1114&lt;&gt;"",M1114,G1114))</f>
        <v/>
      </c>
      <c r="S1114" s="32">
        <f>IF(A1114="","",IF(N1114&lt;&gt;"",N1114,H1114))</f>
        <v/>
      </c>
      <c r="T1114" s="32">
        <f>IF(A1114="","",IF(C1114="✗","Skipped",IF(Q1114&gt;0,"Paid","Upcoming")))</f>
        <v/>
      </c>
      <c r="U1114" s="36">
        <f>IF(A1114="",0,IF(C1114="✗",0,IF(L1114&lt;&gt;"",L1114,F1114)))</f>
        <v/>
      </c>
    </row>
    <row r="1115">
      <c r="A1115" s="39">
        <f>IFERROR(SMALL(Calc!$B$2:$BB$61,1110),"")</f>
        <v/>
      </c>
      <c r="B1115" s="39">
        <f>IF(A1115="","",ROUND(MOD(A1115,1)*1000,0))</f>
        <v/>
      </c>
      <c r="C1115" s="33" t="n"/>
      <c r="D1115" s="40">
        <f>IF(A1115="","",INT(A1115))</f>
        <v/>
      </c>
      <c r="E1115" s="41">
        <f>IF(B1115="","",INDEX(Setup!$D$25:$D$84,B1115))</f>
        <v/>
      </c>
      <c r="F1115" s="42">
        <f>IF(B1115="","",INDEX(Setup!$E$25:$E$84,B1115))</f>
        <v/>
      </c>
      <c r="G1115" s="39">
        <f>IF(B1115="","",INDEX(Setup!$I$25:$I$84,B1115)&amp;"")</f>
        <v/>
      </c>
      <c r="H1115" s="39">
        <f>IF(B1115="","",INDEX(Setup!$J$25:$J$84,B1115)&amp;"")</f>
        <v/>
      </c>
      <c r="I1115" s="39">
        <f>IF(B1115="","",INDEX(Setup!$C$25:$C$84,B1115))</f>
        <v/>
      </c>
      <c r="J1115" s="39" t="n"/>
      <c r="K1115" s="37" t="n"/>
      <c r="L1115" s="38" t="n"/>
      <c r="M1115" s="33" t="n"/>
      <c r="N1115" s="33" t="n"/>
      <c r="O1115" s="39" t="n"/>
      <c r="P1115" s="40">
        <f>IF(A1115="","",IF(K1115&lt;&gt;"",K1115,D1115))</f>
        <v/>
      </c>
      <c r="Q1115" s="42">
        <f>IF(A1115="",0,IF(C1115="✗",0,IF(OR(C1115="✓",AND(Setup!$D$7="Yes",P1115&lt;=TODAY())),IF(L1115&lt;&gt;"",L1115,F1115),0)))</f>
        <v/>
      </c>
      <c r="R1115" s="39">
        <f>IF(A1115="","",IF(M1115&lt;&gt;"",M1115,G1115))</f>
        <v/>
      </c>
      <c r="S1115" s="39">
        <f>IF(A1115="","",IF(N1115&lt;&gt;"",N1115,H1115))</f>
        <v/>
      </c>
      <c r="T1115" s="39">
        <f>IF(A1115="","",IF(C1115="✗","Skipped",IF(Q1115&gt;0,"Paid","Upcoming")))</f>
        <v/>
      </c>
      <c r="U1115" s="42">
        <f>IF(A1115="",0,IF(C1115="✗",0,IF(L1115&lt;&gt;"",L1115,F1115)))</f>
        <v/>
      </c>
    </row>
    <row r="1116">
      <c r="A1116" s="32">
        <f>IFERROR(SMALL(Calc!$B$2:$BB$61,1111),"")</f>
        <v/>
      </c>
      <c r="B1116" s="32">
        <f>IF(A1116="","",ROUND(MOD(A1116,1)*1000,0))</f>
        <v/>
      </c>
      <c r="C1116" s="33" t="n"/>
      <c r="D1116" s="34">
        <f>IF(A1116="","",INT(A1116))</f>
        <v/>
      </c>
      <c r="E1116" s="35">
        <f>IF(B1116="","",INDEX(Setup!$D$25:$D$84,B1116))</f>
        <v/>
      </c>
      <c r="F1116" s="36">
        <f>IF(B1116="","",INDEX(Setup!$E$25:$E$84,B1116))</f>
        <v/>
      </c>
      <c r="G1116" s="32">
        <f>IF(B1116="","",INDEX(Setup!$I$25:$I$84,B1116)&amp;"")</f>
        <v/>
      </c>
      <c r="H1116" s="32">
        <f>IF(B1116="","",INDEX(Setup!$J$25:$J$84,B1116)&amp;"")</f>
        <v/>
      </c>
      <c r="I1116" s="32">
        <f>IF(B1116="","",INDEX(Setup!$C$25:$C$84,B1116))</f>
        <v/>
      </c>
      <c r="J1116" s="32" t="n"/>
      <c r="K1116" s="37" t="n"/>
      <c r="L1116" s="38" t="n"/>
      <c r="M1116" s="33" t="n"/>
      <c r="N1116" s="33" t="n"/>
      <c r="O1116" s="32" t="n"/>
      <c r="P1116" s="34">
        <f>IF(A1116="","",IF(K1116&lt;&gt;"",K1116,D1116))</f>
        <v/>
      </c>
      <c r="Q1116" s="36">
        <f>IF(A1116="",0,IF(C1116="✗",0,IF(OR(C1116="✓",AND(Setup!$D$7="Yes",P1116&lt;=TODAY())),IF(L1116&lt;&gt;"",L1116,F1116),0)))</f>
        <v/>
      </c>
      <c r="R1116" s="32">
        <f>IF(A1116="","",IF(M1116&lt;&gt;"",M1116,G1116))</f>
        <v/>
      </c>
      <c r="S1116" s="32">
        <f>IF(A1116="","",IF(N1116&lt;&gt;"",N1116,H1116))</f>
        <v/>
      </c>
      <c r="T1116" s="32">
        <f>IF(A1116="","",IF(C1116="✗","Skipped",IF(Q1116&gt;0,"Paid","Upcoming")))</f>
        <v/>
      </c>
      <c r="U1116" s="36">
        <f>IF(A1116="",0,IF(C1116="✗",0,IF(L1116&lt;&gt;"",L1116,F1116)))</f>
        <v/>
      </c>
    </row>
    <row r="1117">
      <c r="A1117" s="39">
        <f>IFERROR(SMALL(Calc!$B$2:$BB$61,1112),"")</f>
        <v/>
      </c>
      <c r="B1117" s="39">
        <f>IF(A1117="","",ROUND(MOD(A1117,1)*1000,0))</f>
        <v/>
      </c>
      <c r="C1117" s="33" t="n"/>
      <c r="D1117" s="40">
        <f>IF(A1117="","",INT(A1117))</f>
        <v/>
      </c>
      <c r="E1117" s="41">
        <f>IF(B1117="","",INDEX(Setup!$D$25:$D$84,B1117))</f>
        <v/>
      </c>
      <c r="F1117" s="42">
        <f>IF(B1117="","",INDEX(Setup!$E$25:$E$84,B1117))</f>
        <v/>
      </c>
      <c r="G1117" s="39">
        <f>IF(B1117="","",INDEX(Setup!$I$25:$I$84,B1117)&amp;"")</f>
        <v/>
      </c>
      <c r="H1117" s="39">
        <f>IF(B1117="","",INDEX(Setup!$J$25:$J$84,B1117)&amp;"")</f>
        <v/>
      </c>
      <c r="I1117" s="39">
        <f>IF(B1117="","",INDEX(Setup!$C$25:$C$84,B1117))</f>
        <v/>
      </c>
      <c r="J1117" s="39" t="n"/>
      <c r="K1117" s="37" t="n"/>
      <c r="L1117" s="38" t="n"/>
      <c r="M1117" s="33" t="n"/>
      <c r="N1117" s="33" t="n"/>
      <c r="O1117" s="39" t="n"/>
      <c r="P1117" s="40">
        <f>IF(A1117="","",IF(K1117&lt;&gt;"",K1117,D1117))</f>
        <v/>
      </c>
      <c r="Q1117" s="42">
        <f>IF(A1117="",0,IF(C1117="✗",0,IF(OR(C1117="✓",AND(Setup!$D$7="Yes",P1117&lt;=TODAY())),IF(L1117&lt;&gt;"",L1117,F1117),0)))</f>
        <v/>
      </c>
      <c r="R1117" s="39">
        <f>IF(A1117="","",IF(M1117&lt;&gt;"",M1117,G1117))</f>
        <v/>
      </c>
      <c r="S1117" s="39">
        <f>IF(A1117="","",IF(N1117&lt;&gt;"",N1117,H1117))</f>
        <v/>
      </c>
      <c r="T1117" s="39">
        <f>IF(A1117="","",IF(C1117="✗","Skipped",IF(Q1117&gt;0,"Paid","Upcoming")))</f>
        <v/>
      </c>
      <c r="U1117" s="42">
        <f>IF(A1117="",0,IF(C1117="✗",0,IF(L1117&lt;&gt;"",L1117,F1117)))</f>
        <v/>
      </c>
    </row>
    <row r="1118">
      <c r="A1118" s="32">
        <f>IFERROR(SMALL(Calc!$B$2:$BB$61,1113),"")</f>
        <v/>
      </c>
      <c r="B1118" s="32">
        <f>IF(A1118="","",ROUND(MOD(A1118,1)*1000,0))</f>
        <v/>
      </c>
      <c r="C1118" s="33" t="n"/>
      <c r="D1118" s="34">
        <f>IF(A1118="","",INT(A1118))</f>
        <v/>
      </c>
      <c r="E1118" s="35">
        <f>IF(B1118="","",INDEX(Setup!$D$25:$D$84,B1118))</f>
        <v/>
      </c>
      <c r="F1118" s="36">
        <f>IF(B1118="","",INDEX(Setup!$E$25:$E$84,B1118))</f>
        <v/>
      </c>
      <c r="G1118" s="32">
        <f>IF(B1118="","",INDEX(Setup!$I$25:$I$84,B1118)&amp;"")</f>
        <v/>
      </c>
      <c r="H1118" s="32">
        <f>IF(B1118="","",INDEX(Setup!$J$25:$J$84,B1118)&amp;"")</f>
        <v/>
      </c>
      <c r="I1118" s="32">
        <f>IF(B1118="","",INDEX(Setup!$C$25:$C$84,B1118))</f>
        <v/>
      </c>
      <c r="J1118" s="32" t="n"/>
      <c r="K1118" s="37" t="n"/>
      <c r="L1118" s="38" t="n"/>
      <c r="M1118" s="33" t="n"/>
      <c r="N1118" s="33" t="n"/>
      <c r="O1118" s="32" t="n"/>
      <c r="P1118" s="34">
        <f>IF(A1118="","",IF(K1118&lt;&gt;"",K1118,D1118))</f>
        <v/>
      </c>
      <c r="Q1118" s="36">
        <f>IF(A1118="",0,IF(C1118="✗",0,IF(OR(C1118="✓",AND(Setup!$D$7="Yes",P1118&lt;=TODAY())),IF(L1118&lt;&gt;"",L1118,F1118),0)))</f>
        <v/>
      </c>
      <c r="R1118" s="32">
        <f>IF(A1118="","",IF(M1118&lt;&gt;"",M1118,G1118))</f>
        <v/>
      </c>
      <c r="S1118" s="32">
        <f>IF(A1118="","",IF(N1118&lt;&gt;"",N1118,H1118))</f>
        <v/>
      </c>
      <c r="T1118" s="32">
        <f>IF(A1118="","",IF(C1118="✗","Skipped",IF(Q1118&gt;0,"Paid","Upcoming")))</f>
        <v/>
      </c>
      <c r="U1118" s="36">
        <f>IF(A1118="",0,IF(C1118="✗",0,IF(L1118&lt;&gt;"",L1118,F1118)))</f>
        <v/>
      </c>
    </row>
    <row r="1119">
      <c r="A1119" s="39">
        <f>IFERROR(SMALL(Calc!$B$2:$BB$61,1114),"")</f>
        <v/>
      </c>
      <c r="B1119" s="39">
        <f>IF(A1119="","",ROUND(MOD(A1119,1)*1000,0))</f>
        <v/>
      </c>
      <c r="C1119" s="33" t="n"/>
      <c r="D1119" s="40">
        <f>IF(A1119="","",INT(A1119))</f>
        <v/>
      </c>
      <c r="E1119" s="41">
        <f>IF(B1119="","",INDEX(Setup!$D$25:$D$84,B1119))</f>
        <v/>
      </c>
      <c r="F1119" s="42">
        <f>IF(B1119="","",INDEX(Setup!$E$25:$E$84,B1119))</f>
        <v/>
      </c>
      <c r="G1119" s="39">
        <f>IF(B1119="","",INDEX(Setup!$I$25:$I$84,B1119)&amp;"")</f>
        <v/>
      </c>
      <c r="H1119" s="39">
        <f>IF(B1119="","",INDEX(Setup!$J$25:$J$84,B1119)&amp;"")</f>
        <v/>
      </c>
      <c r="I1119" s="39">
        <f>IF(B1119="","",INDEX(Setup!$C$25:$C$84,B1119))</f>
        <v/>
      </c>
      <c r="J1119" s="39" t="n"/>
      <c r="K1119" s="37" t="n"/>
      <c r="L1119" s="38" t="n"/>
      <c r="M1119" s="33" t="n"/>
      <c r="N1119" s="33" t="n"/>
      <c r="O1119" s="39" t="n"/>
      <c r="P1119" s="40">
        <f>IF(A1119="","",IF(K1119&lt;&gt;"",K1119,D1119))</f>
        <v/>
      </c>
      <c r="Q1119" s="42">
        <f>IF(A1119="",0,IF(C1119="✗",0,IF(OR(C1119="✓",AND(Setup!$D$7="Yes",P1119&lt;=TODAY())),IF(L1119&lt;&gt;"",L1119,F1119),0)))</f>
        <v/>
      </c>
      <c r="R1119" s="39">
        <f>IF(A1119="","",IF(M1119&lt;&gt;"",M1119,G1119))</f>
        <v/>
      </c>
      <c r="S1119" s="39">
        <f>IF(A1119="","",IF(N1119&lt;&gt;"",N1119,H1119))</f>
        <v/>
      </c>
      <c r="T1119" s="39">
        <f>IF(A1119="","",IF(C1119="✗","Skipped",IF(Q1119&gt;0,"Paid","Upcoming")))</f>
        <v/>
      </c>
      <c r="U1119" s="42">
        <f>IF(A1119="",0,IF(C1119="✗",0,IF(L1119&lt;&gt;"",L1119,F1119)))</f>
        <v/>
      </c>
    </row>
    <row r="1120">
      <c r="A1120" s="32">
        <f>IFERROR(SMALL(Calc!$B$2:$BB$61,1115),"")</f>
        <v/>
      </c>
      <c r="B1120" s="32">
        <f>IF(A1120="","",ROUND(MOD(A1120,1)*1000,0))</f>
        <v/>
      </c>
      <c r="C1120" s="33" t="n"/>
      <c r="D1120" s="34">
        <f>IF(A1120="","",INT(A1120))</f>
        <v/>
      </c>
      <c r="E1120" s="35">
        <f>IF(B1120="","",INDEX(Setup!$D$25:$D$84,B1120))</f>
        <v/>
      </c>
      <c r="F1120" s="36">
        <f>IF(B1120="","",INDEX(Setup!$E$25:$E$84,B1120))</f>
        <v/>
      </c>
      <c r="G1120" s="32">
        <f>IF(B1120="","",INDEX(Setup!$I$25:$I$84,B1120)&amp;"")</f>
        <v/>
      </c>
      <c r="H1120" s="32">
        <f>IF(B1120="","",INDEX(Setup!$J$25:$J$84,B1120)&amp;"")</f>
        <v/>
      </c>
      <c r="I1120" s="32">
        <f>IF(B1120="","",INDEX(Setup!$C$25:$C$84,B1120))</f>
        <v/>
      </c>
      <c r="J1120" s="32" t="n"/>
      <c r="K1120" s="37" t="n"/>
      <c r="L1120" s="38" t="n"/>
      <c r="M1120" s="33" t="n"/>
      <c r="N1120" s="33" t="n"/>
      <c r="O1120" s="32" t="n"/>
      <c r="P1120" s="34">
        <f>IF(A1120="","",IF(K1120&lt;&gt;"",K1120,D1120))</f>
        <v/>
      </c>
      <c r="Q1120" s="36">
        <f>IF(A1120="",0,IF(C1120="✗",0,IF(OR(C1120="✓",AND(Setup!$D$7="Yes",P1120&lt;=TODAY())),IF(L1120&lt;&gt;"",L1120,F1120),0)))</f>
        <v/>
      </c>
      <c r="R1120" s="32">
        <f>IF(A1120="","",IF(M1120&lt;&gt;"",M1120,G1120))</f>
        <v/>
      </c>
      <c r="S1120" s="32">
        <f>IF(A1120="","",IF(N1120&lt;&gt;"",N1120,H1120))</f>
        <v/>
      </c>
      <c r="T1120" s="32">
        <f>IF(A1120="","",IF(C1120="✗","Skipped",IF(Q1120&gt;0,"Paid","Upcoming")))</f>
        <v/>
      </c>
      <c r="U1120" s="36">
        <f>IF(A1120="",0,IF(C1120="✗",0,IF(L1120&lt;&gt;"",L1120,F1120)))</f>
        <v/>
      </c>
    </row>
    <row r="1121">
      <c r="A1121" s="39">
        <f>IFERROR(SMALL(Calc!$B$2:$BB$61,1116),"")</f>
        <v/>
      </c>
      <c r="B1121" s="39">
        <f>IF(A1121="","",ROUND(MOD(A1121,1)*1000,0))</f>
        <v/>
      </c>
      <c r="C1121" s="33" t="n"/>
      <c r="D1121" s="40">
        <f>IF(A1121="","",INT(A1121))</f>
        <v/>
      </c>
      <c r="E1121" s="41">
        <f>IF(B1121="","",INDEX(Setup!$D$25:$D$84,B1121))</f>
        <v/>
      </c>
      <c r="F1121" s="42">
        <f>IF(B1121="","",INDEX(Setup!$E$25:$E$84,B1121))</f>
        <v/>
      </c>
      <c r="G1121" s="39">
        <f>IF(B1121="","",INDEX(Setup!$I$25:$I$84,B1121)&amp;"")</f>
        <v/>
      </c>
      <c r="H1121" s="39">
        <f>IF(B1121="","",INDEX(Setup!$J$25:$J$84,B1121)&amp;"")</f>
        <v/>
      </c>
      <c r="I1121" s="39">
        <f>IF(B1121="","",INDEX(Setup!$C$25:$C$84,B1121))</f>
        <v/>
      </c>
      <c r="J1121" s="39" t="n"/>
      <c r="K1121" s="37" t="n"/>
      <c r="L1121" s="38" t="n"/>
      <c r="M1121" s="33" t="n"/>
      <c r="N1121" s="33" t="n"/>
      <c r="O1121" s="39" t="n"/>
      <c r="P1121" s="40">
        <f>IF(A1121="","",IF(K1121&lt;&gt;"",K1121,D1121))</f>
        <v/>
      </c>
      <c r="Q1121" s="42">
        <f>IF(A1121="",0,IF(C1121="✗",0,IF(OR(C1121="✓",AND(Setup!$D$7="Yes",P1121&lt;=TODAY())),IF(L1121&lt;&gt;"",L1121,F1121),0)))</f>
        <v/>
      </c>
      <c r="R1121" s="39">
        <f>IF(A1121="","",IF(M1121&lt;&gt;"",M1121,G1121))</f>
        <v/>
      </c>
      <c r="S1121" s="39">
        <f>IF(A1121="","",IF(N1121&lt;&gt;"",N1121,H1121))</f>
        <v/>
      </c>
      <c r="T1121" s="39">
        <f>IF(A1121="","",IF(C1121="✗","Skipped",IF(Q1121&gt;0,"Paid","Upcoming")))</f>
        <v/>
      </c>
      <c r="U1121" s="42">
        <f>IF(A1121="",0,IF(C1121="✗",0,IF(L1121&lt;&gt;"",L1121,F1121)))</f>
        <v/>
      </c>
    </row>
    <row r="1122">
      <c r="A1122" s="32">
        <f>IFERROR(SMALL(Calc!$B$2:$BB$61,1117),"")</f>
        <v/>
      </c>
      <c r="B1122" s="32">
        <f>IF(A1122="","",ROUND(MOD(A1122,1)*1000,0))</f>
        <v/>
      </c>
      <c r="C1122" s="33" t="n"/>
      <c r="D1122" s="34">
        <f>IF(A1122="","",INT(A1122))</f>
        <v/>
      </c>
      <c r="E1122" s="35">
        <f>IF(B1122="","",INDEX(Setup!$D$25:$D$84,B1122))</f>
        <v/>
      </c>
      <c r="F1122" s="36">
        <f>IF(B1122="","",INDEX(Setup!$E$25:$E$84,B1122))</f>
        <v/>
      </c>
      <c r="G1122" s="32">
        <f>IF(B1122="","",INDEX(Setup!$I$25:$I$84,B1122)&amp;"")</f>
        <v/>
      </c>
      <c r="H1122" s="32">
        <f>IF(B1122="","",INDEX(Setup!$J$25:$J$84,B1122)&amp;"")</f>
        <v/>
      </c>
      <c r="I1122" s="32">
        <f>IF(B1122="","",INDEX(Setup!$C$25:$C$84,B1122))</f>
        <v/>
      </c>
      <c r="J1122" s="32" t="n"/>
      <c r="K1122" s="37" t="n"/>
      <c r="L1122" s="38" t="n"/>
      <c r="M1122" s="33" t="n"/>
      <c r="N1122" s="33" t="n"/>
      <c r="O1122" s="32" t="n"/>
      <c r="P1122" s="34">
        <f>IF(A1122="","",IF(K1122&lt;&gt;"",K1122,D1122))</f>
        <v/>
      </c>
      <c r="Q1122" s="36">
        <f>IF(A1122="",0,IF(C1122="✗",0,IF(OR(C1122="✓",AND(Setup!$D$7="Yes",P1122&lt;=TODAY())),IF(L1122&lt;&gt;"",L1122,F1122),0)))</f>
        <v/>
      </c>
      <c r="R1122" s="32">
        <f>IF(A1122="","",IF(M1122&lt;&gt;"",M1122,G1122))</f>
        <v/>
      </c>
      <c r="S1122" s="32">
        <f>IF(A1122="","",IF(N1122&lt;&gt;"",N1122,H1122))</f>
        <v/>
      </c>
      <c r="T1122" s="32">
        <f>IF(A1122="","",IF(C1122="✗","Skipped",IF(Q1122&gt;0,"Paid","Upcoming")))</f>
        <v/>
      </c>
      <c r="U1122" s="36">
        <f>IF(A1122="",0,IF(C1122="✗",0,IF(L1122&lt;&gt;"",L1122,F1122)))</f>
        <v/>
      </c>
    </row>
    <row r="1123">
      <c r="A1123" s="39">
        <f>IFERROR(SMALL(Calc!$B$2:$BB$61,1118),"")</f>
        <v/>
      </c>
      <c r="B1123" s="39">
        <f>IF(A1123="","",ROUND(MOD(A1123,1)*1000,0))</f>
        <v/>
      </c>
      <c r="C1123" s="33" t="n"/>
      <c r="D1123" s="40">
        <f>IF(A1123="","",INT(A1123))</f>
        <v/>
      </c>
      <c r="E1123" s="41">
        <f>IF(B1123="","",INDEX(Setup!$D$25:$D$84,B1123))</f>
        <v/>
      </c>
      <c r="F1123" s="42">
        <f>IF(B1123="","",INDEX(Setup!$E$25:$E$84,B1123))</f>
        <v/>
      </c>
      <c r="G1123" s="39">
        <f>IF(B1123="","",INDEX(Setup!$I$25:$I$84,B1123)&amp;"")</f>
        <v/>
      </c>
      <c r="H1123" s="39">
        <f>IF(B1123="","",INDEX(Setup!$J$25:$J$84,B1123)&amp;"")</f>
        <v/>
      </c>
      <c r="I1123" s="39">
        <f>IF(B1123="","",INDEX(Setup!$C$25:$C$84,B1123))</f>
        <v/>
      </c>
      <c r="J1123" s="39" t="n"/>
      <c r="K1123" s="37" t="n"/>
      <c r="L1123" s="38" t="n"/>
      <c r="M1123" s="33" t="n"/>
      <c r="N1123" s="33" t="n"/>
      <c r="O1123" s="39" t="n"/>
      <c r="P1123" s="40">
        <f>IF(A1123="","",IF(K1123&lt;&gt;"",K1123,D1123))</f>
        <v/>
      </c>
      <c r="Q1123" s="42">
        <f>IF(A1123="",0,IF(C1123="✗",0,IF(OR(C1123="✓",AND(Setup!$D$7="Yes",P1123&lt;=TODAY())),IF(L1123&lt;&gt;"",L1123,F1123),0)))</f>
        <v/>
      </c>
      <c r="R1123" s="39">
        <f>IF(A1123="","",IF(M1123&lt;&gt;"",M1123,G1123))</f>
        <v/>
      </c>
      <c r="S1123" s="39">
        <f>IF(A1123="","",IF(N1123&lt;&gt;"",N1123,H1123))</f>
        <v/>
      </c>
      <c r="T1123" s="39">
        <f>IF(A1123="","",IF(C1123="✗","Skipped",IF(Q1123&gt;0,"Paid","Upcoming")))</f>
        <v/>
      </c>
      <c r="U1123" s="42">
        <f>IF(A1123="",0,IF(C1123="✗",0,IF(L1123&lt;&gt;"",L1123,F1123)))</f>
        <v/>
      </c>
    </row>
    <row r="1124">
      <c r="A1124" s="32">
        <f>IFERROR(SMALL(Calc!$B$2:$BB$61,1119),"")</f>
        <v/>
      </c>
      <c r="B1124" s="32">
        <f>IF(A1124="","",ROUND(MOD(A1124,1)*1000,0))</f>
        <v/>
      </c>
      <c r="C1124" s="33" t="n"/>
      <c r="D1124" s="34">
        <f>IF(A1124="","",INT(A1124))</f>
        <v/>
      </c>
      <c r="E1124" s="35">
        <f>IF(B1124="","",INDEX(Setup!$D$25:$D$84,B1124))</f>
        <v/>
      </c>
      <c r="F1124" s="36">
        <f>IF(B1124="","",INDEX(Setup!$E$25:$E$84,B1124))</f>
        <v/>
      </c>
      <c r="G1124" s="32">
        <f>IF(B1124="","",INDEX(Setup!$I$25:$I$84,B1124)&amp;"")</f>
        <v/>
      </c>
      <c r="H1124" s="32">
        <f>IF(B1124="","",INDEX(Setup!$J$25:$J$84,B1124)&amp;"")</f>
        <v/>
      </c>
      <c r="I1124" s="32">
        <f>IF(B1124="","",INDEX(Setup!$C$25:$C$84,B1124))</f>
        <v/>
      </c>
      <c r="J1124" s="32" t="n"/>
      <c r="K1124" s="37" t="n"/>
      <c r="L1124" s="38" t="n"/>
      <c r="M1124" s="33" t="n"/>
      <c r="N1124" s="33" t="n"/>
      <c r="O1124" s="32" t="n"/>
      <c r="P1124" s="34">
        <f>IF(A1124="","",IF(K1124&lt;&gt;"",K1124,D1124))</f>
        <v/>
      </c>
      <c r="Q1124" s="36">
        <f>IF(A1124="",0,IF(C1124="✗",0,IF(OR(C1124="✓",AND(Setup!$D$7="Yes",P1124&lt;=TODAY())),IF(L1124&lt;&gt;"",L1124,F1124),0)))</f>
        <v/>
      </c>
      <c r="R1124" s="32">
        <f>IF(A1124="","",IF(M1124&lt;&gt;"",M1124,G1124))</f>
        <v/>
      </c>
      <c r="S1124" s="32">
        <f>IF(A1124="","",IF(N1124&lt;&gt;"",N1124,H1124))</f>
        <v/>
      </c>
      <c r="T1124" s="32">
        <f>IF(A1124="","",IF(C1124="✗","Skipped",IF(Q1124&gt;0,"Paid","Upcoming")))</f>
        <v/>
      </c>
      <c r="U1124" s="36">
        <f>IF(A1124="",0,IF(C1124="✗",0,IF(L1124&lt;&gt;"",L1124,F1124)))</f>
        <v/>
      </c>
    </row>
    <row r="1125">
      <c r="A1125" s="39">
        <f>IFERROR(SMALL(Calc!$B$2:$BB$61,1120),"")</f>
        <v/>
      </c>
      <c r="B1125" s="39">
        <f>IF(A1125="","",ROUND(MOD(A1125,1)*1000,0))</f>
        <v/>
      </c>
      <c r="C1125" s="33" t="n"/>
      <c r="D1125" s="40">
        <f>IF(A1125="","",INT(A1125))</f>
        <v/>
      </c>
      <c r="E1125" s="41">
        <f>IF(B1125="","",INDEX(Setup!$D$25:$D$84,B1125))</f>
        <v/>
      </c>
      <c r="F1125" s="42">
        <f>IF(B1125="","",INDEX(Setup!$E$25:$E$84,B1125))</f>
        <v/>
      </c>
      <c r="G1125" s="39">
        <f>IF(B1125="","",INDEX(Setup!$I$25:$I$84,B1125)&amp;"")</f>
        <v/>
      </c>
      <c r="H1125" s="39">
        <f>IF(B1125="","",INDEX(Setup!$J$25:$J$84,B1125)&amp;"")</f>
        <v/>
      </c>
      <c r="I1125" s="39">
        <f>IF(B1125="","",INDEX(Setup!$C$25:$C$84,B1125))</f>
        <v/>
      </c>
      <c r="J1125" s="39" t="n"/>
      <c r="K1125" s="37" t="n"/>
      <c r="L1125" s="38" t="n"/>
      <c r="M1125" s="33" t="n"/>
      <c r="N1125" s="33" t="n"/>
      <c r="O1125" s="39" t="n"/>
      <c r="P1125" s="40">
        <f>IF(A1125="","",IF(K1125&lt;&gt;"",K1125,D1125))</f>
        <v/>
      </c>
      <c r="Q1125" s="42">
        <f>IF(A1125="",0,IF(C1125="✗",0,IF(OR(C1125="✓",AND(Setup!$D$7="Yes",P1125&lt;=TODAY())),IF(L1125&lt;&gt;"",L1125,F1125),0)))</f>
        <v/>
      </c>
      <c r="R1125" s="39">
        <f>IF(A1125="","",IF(M1125&lt;&gt;"",M1125,G1125))</f>
        <v/>
      </c>
      <c r="S1125" s="39">
        <f>IF(A1125="","",IF(N1125&lt;&gt;"",N1125,H1125))</f>
        <v/>
      </c>
      <c r="T1125" s="39">
        <f>IF(A1125="","",IF(C1125="✗","Skipped",IF(Q1125&gt;0,"Paid","Upcoming")))</f>
        <v/>
      </c>
      <c r="U1125" s="42">
        <f>IF(A1125="",0,IF(C1125="✗",0,IF(L1125&lt;&gt;"",L1125,F1125)))</f>
        <v/>
      </c>
    </row>
    <row r="1126">
      <c r="A1126" s="32">
        <f>IFERROR(SMALL(Calc!$B$2:$BB$61,1121),"")</f>
        <v/>
      </c>
      <c r="B1126" s="32">
        <f>IF(A1126="","",ROUND(MOD(A1126,1)*1000,0))</f>
        <v/>
      </c>
      <c r="C1126" s="33" t="n"/>
      <c r="D1126" s="34">
        <f>IF(A1126="","",INT(A1126))</f>
        <v/>
      </c>
      <c r="E1126" s="35">
        <f>IF(B1126="","",INDEX(Setup!$D$25:$D$84,B1126))</f>
        <v/>
      </c>
      <c r="F1126" s="36">
        <f>IF(B1126="","",INDEX(Setup!$E$25:$E$84,B1126))</f>
        <v/>
      </c>
      <c r="G1126" s="32">
        <f>IF(B1126="","",INDEX(Setup!$I$25:$I$84,B1126)&amp;"")</f>
        <v/>
      </c>
      <c r="H1126" s="32">
        <f>IF(B1126="","",INDEX(Setup!$J$25:$J$84,B1126)&amp;"")</f>
        <v/>
      </c>
      <c r="I1126" s="32">
        <f>IF(B1126="","",INDEX(Setup!$C$25:$C$84,B1126))</f>
        <v/>
      </c>
      <c r="J1126" s="32" t="n"/>
      <c r="K1126" s="37" t="n"/>
      <c r="L1126" s="38" t="n"/>
      <c r="M1126" s="33" t="n"/>
      <c r="N1126" s="33" t="n"/>
      <c r="O1126" s="32" t="n"/>
      <c r="P1126" s="34">
        <f>IF(A1126="","",IF(K1126&lt;&gt;"",K1126,D1126))</f>
        <v/>
      </c>
      <c r="Q1126" s="36">
        <f>IF(A1126="",0,IF(C1126="✗",0,IF(OR(C1126="✓",AND(Setup!$D$7="Yes",P1126&lt;=TODAY())),IF(L1126&lt;&gt;"",L1126,F1126),0)))</f>
        <v/>
      </c>
      <c r="R1126" s="32">
        <f>IF(A1126="","",IF(M1126&lt;&gt;"",M1126,G1126))</f>
        <v/>
      </c>
      <c r="S1126" s="32">
        <f>IF(A1126="","",IF(N1126&lt;&gt;"",N1126,H1126))</f>
        <v/>
      </c>
      <c r="T1126" s="32">
        <f>IF(A1126="","",IF(C1126="✗","Skipped",IF(Q1126&gt;0,"Paid","Upcoming")))</f>
        <v/>
      </c>
      <c r="U1126" s="36">
        <f>IF(A1126="",0,IF(C1126="✗",0,IF(L1126&lt;&gt;"",L1126,F1126)))</f>
        <v/>
      </c>
    </row>
    <row r="1127">
      <c r="A1127" s="39">
        <f>IFERROR(SMALL(Calc!$B$2:$BB$61,1122),"")</f>
        <v/>
      </c>
      <c r="B1127" s="39">
        <f>IF(A1127="","",ROUND(MOD(A1127,1)*1000,0))</f>
        <v/>
      </c>
      <c r="C1127" s="33" t="n"/>
      <c r="D1127" s="40">
        <f>IF(A1127="","",INT(A1127))</f>
        <v/>
      </c>
      <c r="E1127" s="41">
        <f>IF(B1127="","",INDEX(Setup!$D$25:$D$84,B1127))</f>
        <v/>
      </c>
      <c r="F1127" s="42">
        <f>IF(B1127="","",INDEX(Setup!$E$25:$E$84,B1127))</f>
        <v/>
      </c>
      <c r="G1127" s="39">
        <f>IF(B1127="","",INDEX(Setup!$I$25:$I$84,B1127)&amp;"")</f>
        <v/>
      </c>
      <c r="H1127" s="39">
        <f>IF(B1127="","",INDEX(Setup!$J$25:$J$84,B1127)&amp;"")</f>
        <v/>
      </c>
      <c r="I1127" s="39">
        <f>IF(B1127="","",INDEX(Setup!$C$25:$C$84,B1127))</f>
        <v/>
      </c>
      <c r="J1127" s="39" t="n"/>
      <c r="K1127" s="37" t="n"/>
      <c r="L1127" s="38" t="n"/>
      <c r="M1127" s="33" t="n"/>
      <c r="N1127" s="33" t="n"/>
      <c r="O1127" s="39" t="n"/>
      <c r="P1127" s="40">
        <f>IF(A1127="","",IF(K1127&lt;&gt;"",K1127,D1127))</f>
        <v/>
      </c>
      <c r="Q1127" s="42">
        <f>IF(A1127="",0,IF(C1127="✗",0,IF(OR(C1127="✓",AND(Setup!$D$7="Yes",P1127&lt;=TODAY())),IF(L1127&lt;&gt;"",L1127,F1127),0)))</f>
        <v/>
      </c>
      <c r="R1127" s="39">
        <f>IF(A1127="","",IF(M1127&lt;&gt;"",M1127,G1127))</f>
        <v/>
      </c>
      <c r="S1127" s="39">
        <f>IF(A1127="","",IF(N1127&lt;&gt;"",N1127,H1127))</f>
        <v/>
      </c>
      <c r="T1127" s="39">
        <f>IF(A1127="","",IF(C1127="✗","Skipped",IF(Q1127&gt;0,"Paid","Upcoming")))</f>
        <v/>
      </c>
      <c r="U1127" s="42">
        <f>IF(A1127="",0,IF(C1127="✗",0,IF(L1127&lt;&gt;"",L1127,F1127)))</f>
        <v/>
      </c>
    </row>
    <row r="1128">
      <c r="A1128" s="32">
        <f>IFERROR(SMALL(Calc!$B$2:$BB$61,1123),"")</f>
        <v/>
      </c>
      <c r="B1128" s="32">
        <f>IF(A1128="","",ROUND(MOD(A1128,1)*1000,0))</f>
        <v/>
      </c>
      <c r="C1128" s="33" t="n"/>
      <c r="D1128" s="34">
        <f>IF(A1128="","",INT(A1128))</f>
        <v/>
      </c>
      <c r="E1128" s="35">
        <f>IF(B1128="","",INDEX(Setup!$D$25:$D$84,B1128))</f>
        <v/>
      </c>
      <c r="F1128" s="36">
        <f>IF(B1128="","",INDEX(Setup!$E$25:$E$84,B1128))</f>
        <v/>
      </c>
      <c r="G1128" s="32">
        <f>IF(B1128="","",INDEX(Setup!$I$25:$I$84,B1128)&amp;"")</f>
        <v/>
      </c>
      <c r="H1128" s="32">
        <f>IF(B1128="","",INDEX(Setup!$J$25:$J$84,B1128)&amp;"")</f>
        <v/>
      </c>
      <c r="I1128" s="32">
        <f>IF(B1128="","",INDEX(Setup!$C$25:$C$84,B1128))</f>
        <v/>
      </c>
      <c r="J1128" s="32" t="n"/>
      <c r="K1128" s="37" t="n"/>
      <c r="L1128" s="38" t="n"/>
      <c r="M1128" s="33" t="n"/>
      <c r="N1128" s="33" t="n"/>
      <c r="O1128" s="32" t="n"/>
      <c r="P1128" s="34">
        <f>IF(A1128="","",IF(K1128&lt;&gt;"",K1128,D1128))</f>
        <v/>
      </c>
      <c r="Q1128" s="36">
        <f>IF(A1128="",0,IF(C1128="✗",0,IF(OR(C1128="✓",AND(Setup!$D$7="Yes",P1128&lt;=TODAY())),IF(L1128&lt;&gt;"",L1128,F1128),0)))</f>
        <v/>
      </c>
      <c r="R1128" s="32">
        <f>IF(A1128="","",IF(M1128&lt;&gt;"",M1128,G1128))</f>
        <v/>
      </c>
      <c r="S1128" s="32">
        <f>IF(A1128="","",IF(N1128&lt;&gt;"",N1128,H1128))</f>
        <v/>
      </c>
      <c r="T1128" s="32">
        <f>IF(A1128="","",IF(C1128="✗","Skipped",IF(Q1128&gt;0,"Paid","Upcoming")))</f>
        <v/>
      </c>
      <c r="U1128" s="36">
        <f>IF(A1128="",0,IF(C1128="✗",0,IF(L1128&lt;&gt;"",L1128,F1128)))</f>
        <v/>
      </c>
    </row>
    <row r="1129">
      <c r="A1129" s="39">
        <f>IFERROR(SMALL(Calc!$B$2:$BB$61,1124),"")</f>
        <v/>
      </c>
      <c r="B1129" s="39">
        <f>IF(A1129="","",ROUND(MOD(A1129,1)*1000,0))</f>
        <v/>
      </c>
      <c r="C1129" s="33" t="n"/>
      <c r="D1129" s="40">
        <f>IF(A1129="","",INT(A1129))</f>
        <v/>
      </c>
      <c r="E1129" s="41">
        <f>IF(B1129="","",INDEX(Setup!$D$25:$D$84,B1129))</f>
        <v/>
      </c>
      <c r="F1129" s="42">
        <f>IF(B1129="","",INDEX(Setup!$E$25:$E$84,B1129))</f>
        <v/>
      </c>
      <c r="G1129" s="39">
        <f>IF(B1129="","",INDEX(Setup!$I$25:$I$84,B1129)&amp;"")</f>
        <v/>
      </c>
      <c r="H1129" s="39">
        <f>IF(B1129="","",INDEX(Setup!$J$25:$J$84,B1129)&amp;"")</f>
        <v/>
      </c>
      <c r="I1129" s="39">
        <f>IF(B1129="","",INDEX(Setup!$C$25:$C$84,B1129))</f>
        <v/>
      </c>
      <c r="J1129" s="39" t="n"/>
      <c r="K1129" s="37" t="n"/>
      <c r="L1129" s="38" t="n"/>
      <c r="M1129" s="33" t="n"/>
      <c r="N1129" s="33" t="n"/>
      <c r="O1129" s="39" t="n"/>
      <c r="P1129" s="40">
        <f>IF(A1129="","",IF(K1129&lt;&gt;"",K1129,D1129))</f>
        <v/>
      </c>
      <c r="Q1129" s="42">
        <f>IF(A1129="",0,IF(C1129="✗",0,IF(OR(C1129="✓",AND(Setup!$D$7="Yes",P1129&lt;=TODAY())),IF(L1129&lt;&gt;"",L1129,F1129),0)))</f>
        <v/>
      </c>
      <c r="R1129" s="39">
        <f>IF(A1129="","",IF(M1129&lt;&gt;"",M1129,G1129))</f>
        <v/>
      </c>
      <c r="S1129" s="39">
        <f>IF(A1129="","",IF(N1129&lt;&gt;"",N1129,H1129))</f>
        <v/>
      </c>
      <c r="T1129" s="39">
        <f>IF(A1129="","",IF(C1129="✗","Skipped",IF(Q1129&gt;0,"Paid","Upcoming")))</f>
        <v/>
      </c>
      <c r="U1129" s="42">
        <f>IF(A1129="",0,IF(C1129="✗",0,IF(L1129&lt;&gt;"",L1129,F1129)))</f>
        <v/>
      </c>
    </row>
    <row r="1130">
      <c r="A1130" s="32">
        <f>IFERROR(SMALL(Calc!$B$2:$BB$61,1125),"")</f>
        <v/>
      </c>
      <c r="B1130" s="32">
        <f>IF(A1130="","",ROUND(MOD(A1130,1)*1000,0))</f>
        <v/>
      </c>
      <c r="C1130" s="33" t="n"/>
      <c r="D1130" s="34">
        <f>IF(A1130="","",INT(A1130))</f>
        <v/>
      </c>
      <c r="E1130" s="35">
        <f>IF(B1130="","",INDEX(Setup!$D$25:$D$84,B1130))</f>
        <v/>
      </c>
      <c r="F1130" s="36">
        <f>IF(B1130="","",INDEX(Setup!$E$25:$E$84,B1130))</f>
        <v/>
      </c>
      <c r="G1130" s="32">
        <f>IF(B1130="","",INDEX(Setup!$I$25:$I$84,B1130)&amp;"")</f>
        <v/>
      </c>
      <c r="H1130" s="32">
        <f>IF(B1130="","",INDEX(Setup!$J$25:$J$84,B1130)&amp;"")</f>
        <v/>
      </c>
      <c r="I1130" s="32">
        <f>IF(B1130="","",INDEX(Setup!$C$25:$C$84,B1130))</f>
        <v/>
      </c>
      <c r="J1130" s="32" t="n"/>
      <c r="K1130" s="37" t="n"/>
      <c r="L1130" s="38" t="n"/>
      <c r="M1130" s="33" t="n"/>
      <c r="N1130" s="33" t="n"/>
      <c r="O1130" s="32" t="n"/>
      <c r="P1130" s="34">
        <f>IF(A1130="","",IF(K1130&lt;&gt;"",K1130,D1130))</f>
        <v/>
      </c>
      <c r="Q1130" s="36">
        <f>IF(A1130="",0,IF(C1130="✗",0,IF(OR(C1130="✓",AND(Setup!$D$7="Yes",P1130&lt;=TODAY())),IF(L1130&lt;&gt;"",L1130,F1130),0)))</f>
        <v/>
      </c>
      <c r="R1130" s="32">
        <f>IF(A1130="","",IF(M1130&lt;&gt;"",M1130,G1130))</f>
        <v/>
      </c>
      <c r="S1130" s="32">
        <f>IF(A1130="","",IF(N1130&lt;&gt;"",N1130,H1130))</f>
        <v/>
      </c>
      <c r="T1130" s="32">
        <f>IF(A1130="","",IF(C1130="✗","Skipped",IF(Q1130&gt;0,"Paid","Upcoming")))</f>
        <v/>
      </c>
      <c r="U1130" s="36">
        <f>IF(A1130="",0,IF(C1130="✗",0,IF(L1130&lt;&gt;"",L1130,F1130)))</f>
        <v/>
      </c>
    </row>
    <row r="1131">
      <c r="A1131" s="39">
        <f>IFERROR(SMALL(Calc!$B$2:$BB$61,1126),"")</f>
        <v/>
      </c>
      <c r="B1131" s="39">
        <f>IF(A1131="","",ROUND(MOD(A1131,1)*1000,0))</f>
        <v/>
      </c>
      <c r="C1131" s="33" t="n"/>
      <c r="D1131" s="40">
        <f>IF(A1131="","",INT(A1131))</f>
        <v/>
      </c>
      <c r="E1131" s="41">
        <f>IF(B1131="","",INDEX(Setup!$D$25:$D$84,B1131))</f>
        <v/>
      </c>
      <c r="F1131" s="42">
        <f>IF(B1131="","",INDEX(Setup!$E$25:$E$84,B1131))</f>
        <v/>
      </c>
      <c r="G1131" s="39">
        <f>IF(B1131="","",INDEX(Setup!$I$25:$I$84,B1131)&amp;"")</f>
        <v/>
      </c>
      <c r="H1131" s="39">
        <f>IF(B1131="","",INDEX(Setup!$J$25:$J$84,B1131)&amp;"")</f>
        <v/>
      </c>
      <c r="I1131" s="39">
        <f>IF(B1131="","",INDEX(Setup!$C$25:$C$84,B1131))</f>
        <v/>
      </c>
      <c r="J1131" s="39" t="n"/>
      <c r="K1131" s="37" t="n"/>
      <c r="L1131" s="38" t="n"/>
      <c r="M1131" s="33" t="n"/>
      <c r="N1131" s="33" t="n"/>
      <c r="O1131" s="39" t="n"/>
      <c r="P1131" s="40">
        <f>IF(A1131="","",IF(K1131&lt;&gt;"",K1131,D1131))</f>
        <v/>
      </c>
      <c r="Q1131" s="42">
        <f>IF(A1131="",0,IF(C1131="✗",0,IF(OR(C1131="✓",AND(Setup!$D$7="Yes",P1131&lt;=TODAY())),IF(L1131&lt;&gt;"",L1131,F1131),0)))</f>
        <v/>
      </c>
      <c r="R1131" s="39">
        <f>IF(A1131="","",IF(M1131&lt;&gt;"",M1131,G1131))</f>
        <v/>
      </c>
      <c r="S1131" s="39">
        <f>IF(A1131="","",IF(N1131&lt;&gt;"",N1131,H1131))</f>
        <v/>
      </c>
      <c r="T1131" s="39">
        <f>IF(A1131="","",IF(C1131="✗","Skipped",IF(Q1131&gt;0,"Paid","Upcoming")))</f>
        <v/>
      </c>
      <c r="U1131" s="42">
        <f>IF(A1131="",0,IF(C1131="✗",0,IF(L1131&lt;&gt;"",L1131,F1131)))</f>
        <v/>
      </c>
    </row>
    <row r="1132">
      <c r="A1132" s="32">
        <f>IFERROR(SMALL(Calc!$B$2:$BB$61,1127),"")</f>
        <v/>
      </c>
      <c r="B1132" s="32">
        <f>IF(A1132="","",ROUND(MOD(A1132,1)*1000,0))</f>
        <v/>
      </c>
      <c r="C1132" s="33" t="n"/>
      <c r="D1132" s="34">
        <f>IF(A1132="","",INT(A1132))</f>
        <v/>
      </c>
      <c r="E1132" s="35">
        <f>IF(B1132="","",INDEX(Setup!$D$25:$D$84,B1132))</f>
        <v/>
      </c>
      <c r="F1132" s="36">
        <f>IF(B1132="","",INDEX(Setup!$E$25:$E$84,B1132))</f>
        <v/>
      </c>
      <c r="G1132" s="32">
        <f>IF(B1132="","",INDEX(Setup!$I$25:$I$84,B1132)&amp;"")</f>
        <v/>
      </c>
      <c r="H1132" s="32">
        <f>IF(B1132="","",INDEX(Setup!$J$25:$J$84,B1132)&amp;"")</f>
        <v/>
      </c>
      <c r="I1132" s="32">
        <f>IF(B1132="","",INDEX(Setup!$C$25:$C$84,B1132))</f>
        <v/>
      </c>
      <c r="J1132" s="32" t="n"/>
      <c r="K1132" s="37" t="n"/>
      <c r="L1132" s="38" t="n"/>
      <c r="M1132" s="33" t="n"/>
      <c r="N1132" s="33" t="n"/>
      <c r="O1132" s="32" t="n"/>
      <c r="P1132" s="34">
        <f>IF(A1132="","",IF(K1132&lt;&gt;"",K1132,D1132))</f>
        <v/>
      </c>
      <c r="Q1132" s="36">
        <f>IF(A1132="",0,IF(C1132="✗",0,IF(OR(C1132="✓",AND(Setup!$D$7="Yes",P1132&lt;=TODAY())),IF(L1132&lt;&gt;"",L1132,F1132),0)))</f>
        <v/>
      </c>
      <c r="R1132" s="32">
        <f>IF(A1132="","",IF(M1132&lt;&gt;"",M1132,G1132))</f>
        <v/>
      </c>
      <c r="S1132" s="32">
        <f>IF(A1132="","",IF(N1132&lt;&gt;"",N1132,H1132))</f>
        <v/>
      </c>
      <c r="T1132" s="32">
        <f>IF(A1132="","",IF(C1132="✗","Skipped",IF(Q1132&gt;0,"Paid","Upcoming")))</f>
        <v/>
      </c>
      <c r="U1132" s="36">
        <f>IF(A1132="",0,IF(C1132="✗",0,IF(L1132&lt;&gt;"",L1132,F1132)))</f>
        <v/>
      </c>
    </row>
    <row r="1133">
      <c r="A1133" s="39">
        <f>IFERROR(SMALL(Calc!$B$2:$BB$61,1128),"")</f>
        <v/>
      </c>
      <c r="B1133" s="39">
        <f>IF(A1133="","",ROUND(MOD(A1133,1)*1000,0))</f>
        <v/>
      </c>
      <c r="C1133" s="33" t="n"/>
      <c r="D1133" s="40">
        <f>IF(A1133="","",INT(A1133))</f>
        <v/>
      </c>
      <c r="E1133" s="41">
        <f>IF(B1133="","",INDEX(Setup!$D$25:$D$84,B1133))</f>
        <v/>
      </c>
      <c r="F1133" s="42">
        <f>IF(B1133="","",INDEX(Setup!$E$25:$E$84,B1133))</f>
        <v/>
      </c>
      <c r="G1133" s="39">
        <f>IF(B1133="","",INDEX(Setup!$I$25:$I$84,B1133)&amp;"")</f>
        <v/>
      </c>
      <c r="H1133" s="39">
        <f>IF(B1133="","",INDEX(Setup!$J$25:$J$84,B1133)&amp;"")</f>
        <v/>
      </c>
      <c r="I1133" s="39">
        <f>IF(B1133="","",INDEX(Setup!$C$25:$C$84,B1133))</f>
        <v/>
      </c>
      <c r="J1133" s="39" t="n"/>
      <c r="K1133" s="37" t="n"/>
      <c r="L1133" s="38" t="n"/>
      <c r="M1133" s="33" t="n"/>
      <c r="N1133" s="33" t="n"/>
      <c r="O1133" s="39" t="n"/>
      <c r="P1133" s="40">
        <f>IF(A1133="","",IF(K1133&lt;&gt;"",K1133,D1133))</f>
        <v/>
      </c>
      <c r="Q1133" s="42">
        <f>IF(A1133="",0,IF(C1133="✗",0,IF(OR(C1133="✓",AND(Setup!$D$7="Yes",P1133&lt;=TODAY())),IF(L1133&lt;&gt;"",L1133,F1133),0)))</f>
        <v/>
      </c>
      <c r="R1133" s="39">
        <f>IF(A1133="","",IF(M1133&lt;&gt;"",M1133,G1133))</f>
        <v/>
      </c>
      <c r="S1133" s="39">
        <f>IF(A1133="","",IF(N1133&lt;&gt;"",N1133,H1133))</f>
        <v/>
      </c>
      <c r="T1133" s="39">
        <f>IF(A1133="","",IF(C1133="✗","Skipped",IF(Q1133&gt;0,"Paid","Upcoming")))</f>
        <v/>
      </c>
      <c r="U1133" s="42">
        <f>IF(A1133="",0,IF(C1133="✗",0,IF(L1133&lt;&gt;"",L1133,F1133)))</f>
        <v/>
      </c>
    </row>
    <row r="1134">
      <c r="A1134" s="32">
        <f>IFERROR(SMALL(Calc!$B$2:$BB$61,1129),"")</f>
        <v/>
      </c>
      <c r="B1134" s="32">
        <f>IF(A1134="","",ROUND(MOD(A1134,1)*1000,0))</f>
        <v/>
      </c>
      <c r="C1134" s="33" t="n"/>
      <c r="D1134" s="34">
        <f>IF(A1134="","",INT(A1134))</f>
        <v/>
      </c>
      <c r="E1134" s="35">
        <f>IF(B1134="","",INDEX(Setup!$D$25:$D$84,B1134))</f>
        <v/>
      </c>
      <c r="F1134" s="36">
        <f>IF(B1134="","",INDEX(Setup!$E$25:$E$84,B1134))</f>
        <v/>
      </c>
      <c r="G1134" s="32">
        <f>IF(B1134="","",INDEX(Setup!$I$25:$I$84,B1134)&amp;"")</f>
        <v/>
      </c>
      <c r="H1134" s="32">
        <f>IF(B1134="","",INDEX(Setup!$J$25:$J$84,B1134)&amp;"")</f>
        <v/>
      </c>
      <c r="I1134" s="32">
        <f>IF(B1134="","",INDEX(Setup!$C$25:$C$84,B1134))</f>
        <v/>
      </c>
      <c r="J1134" s="32" t="n"/>
      <c r="K1134" s="37" t="n"/>
      <c r="L1134" s="38" t="n"/>
      <c r="M1134" s="33" t="n"/>
      <c r="N1134" s="33" t="n"/>
      <c r="O1134" s="32" t="n"/>
      <c r="P1134" s="34">
        <f>IF(A1134="","",IF(K1134&lt;&gt;"",K1134,D1134))</f>
        <v/>
      </c>
      <c r="Q1134" s="36">
        <f>IF(A1134="",0,IF(C1134="✗",0,IF(OR(C1134="✓",AND(Setup!$D$7="Yes",P1134&lt;=TODAY())),IF(L1134&lt;&gt;"",L1134,F1134),0)))</f>
        <v/>
      </c>
      <c r="R1134" s="32">
        <f>IF(A1134="","",IF(M1134&lt;&gt;"",M1134,G1134))</f>
        <v/>
      </c>
      <c r="S1134" s="32">
        <f>IF(A1134="","",IF(N1134&lt;&gt;"",N1134,H1134))</f>
        <v/>
      </c>
      <c r="T1134" s="32">
        <f>IF(A1134="","",IF(C1134="✗","Skipped",IF(Q1134&gt;0,"Paid","Upcoming")))</f>
        <v/>
      </c>
      <c r="U1134" s="36">
        <f>IF(A1134="",0,IF(C1134="✗",0,IF(L1134&lt;&gt;"",L1134,F1134)))</f>
        <v/>
      </c>
    </row>
    <row r="1135">
      <c r="A1135" s="39">
        <f>IFERROR(SMALL(Calc!$B$2:$BB$61,1130),"")</f>
        <v/>
      </c>
      <c r="B1135" s="39">
        <f>IF(A1135="","",ROUND(MOD(A1135,1)*1000,0))</f>
        <v/>
      </c>
      <c r="C1135" s="33" t="n"/>
      <c r="D1135" s="40">
        <f>IF(A1135="","",INT(A1135))</f>
        <v/>
      </c>
      <c r="E1135" s="41">
        <f>IF(B1135="","",INDEX(Setup!$D$25:$D$84,B1135))</f>
        <v/>
      </c>
      <c r="F1135" s="42">
        <f>IF(B1135="","",INDEX(Setup!$E$25:$E$84,B1135))</f>
        <v/>
      </c>
      <c r="G1135" s="39">
        <f>IF(B1135="","",INDEX(Setup!$I$25:$I$84,B1135)&amp;"")</f>
        <v/>
      </c>
      <c r="H1135" s="39">
        <f>IF(B1135="","",INDEX(Setup!$J$25:$J$84,B1135)&amp;"")</f>
        <v/>
      </c>
      <c r="I1135" s="39">
        <f>IF(B1135="","",INDEX(Setup!$C$25:$C$84,B1135))</f>
        <v/>
      </c>
      <c r="J1135" s="39" t="n"/>
      <c r="K1135" s="37" t="n"/>
      <c r="L1135" s="38" t="n"/>
      <c r="M1135" s="33" t="n"/>
      <c r="N1135" s="33" t="n"/>
      <c r="O1135" s="39" t="n"/>
      <c r="P1135" s="40">
        <f>IF(A1135="","",IF(K1135&lt;&gt;"",K1135,D1135))</f>
        <v/>
      </c>
      <c r="Q1135" s="42">
        <f>IF(A1135="",0,IF(C1135="✗",0,IF(OR(C1135="✓",AND(Setup!$D$7="Yes",P1135&lt;=TODAY())),IF(L1135&lt;&gt;"",L1135,F1135),0)))</f>
        <v/>
      </c>
      <c r="R1135" s="39">
        <f>IF(A1135="","",IF(M1135&lt;&gt;"",M1135,G1135))</f>
        <v/>
      </c>
      <c r="S1135" s="39">
        <f>IF(A1135="","",IF(N1135&lt;&gt;"",N1135,H1135))</f>
        <v/>
      </c>
      <c r="T1135" s="39">
        <f>IF(A1135="","",IF(C1135="✗","Skipped",IF(Q1135&gt;0,"Paid","Upcoming")))</f>
        <v/>
      </c>
      <c r="U1135" s="42">
        <f>IF(A1135="",0,IF(C1135="✗",0,IF(L1135&lt;&gt;"",L1135,F1135)))</f>
        <v/>
      </c>
    </row>
    <row r="1136">
      <c r="A1136" s="32">
        <f>IFERROR(SMALL(Calc!$B$2:$BB$61,1131),"")</f>
        <v/>
      </c>
      <c r="B1136" s="32">
        <f>IF(A1136="","",ROUND(MOD(A1136,1)*1000,0))</f>
        <v/>
      </c>
      <c r="C1136" s="33" t="n"/>
      <c r="D1136" s="34">
        <f>IF(A1136="","",INT(A1136))</f>
        <v/>
      </c>
      <c r="E1136" s="35">
        <f>IF(B1136="","",INDEX(Setup!$D$25:$D$84,B1136))</f>
        <v/>
      </c>
      <c r="F1136" s="36">
        <f>IF(B1136="","",INDEX(Setup!$E$25:$E$84,B1136))</f>
        <v/>
      </c>
      <c r="G1136" s="32">
        <f>IF(B1136="","",INDEX(Setup!$I$25:$I$84,B1136)&amp;"")</f>
        <v/>
      </c>
      <c r="H1136" s="32">
        <f>IF(B1136="","",INDEX(Setup!$J$25:$J$84,B1136)&amp;"")</f>
        <v/>
      </c>
      <c r="I1136" s="32">
        <f>IF(B1136="","",INDEX(Setup!$C$25:$C$84,B1136))</f>
        <v/>
      </c>
      <c r="J1136" s="32" t="n"/>
      <c r="K1136" s="37" t="n"/>
      <c r="L1136" s="38" t="n"/>
      <c r="M1136" s="33" t="n"/>
      <c r="N1136" s="33" t="n"/>
      <c r="O1136" s="32" t="n"/>
      <c r="P1136" s="34">
        <f>IF(A1136="","",IF(K1136&lt;&gt;"",K1136,D1136))</f>
        <v/>
      </c>
      <c r="Q1136" s="36">
        <f>IF(A1136="",0,IF(C1136="✗",0,IF(OR(C1136="✓",AND(Setup!$D$7="Yes",P1136&lt;=TODAY())),IF(L1136&lt;&gt;"",L1136,F1136),0)))</f>
        <v/>
      </c>
      <c r="R1136" s="32">
        <f>IF(A1136="","",IF(M1136&lt;&gt;"",M1136,G1136))</f>
        <v/>
      </c>
      <c r="S1136" s="32">
        <f>IF(A1136="","",IF(N1136&lt;&gt;"",N1136,H1136))</f>
        <v/>
      </c>
      <c r="T1136" s="32">
        <f>IF(A1136="","",IF(C1136="✗","Skipped",IF(Q1136&gt;0,"Paid","Upcoming")))</f>
        <v/>
      </c>
      <c r="U1136" s="36">
        <f>IF(A1136="",0,IF(C1136="✗",0,IF(L1136&lt;&gt;"",L1136,F1136)))</f>
        <v/>
      </c>
    </row>
    <row r="1137">
      <c r="A1137" s="39">
        <f>IFERROR(SMALL(Calc!$B$2:$BB$61,1132),"")</f>
        <v/>
      </c>
      <c r="B1137" s="39">
        <f>IF(A1137="","",ROUND(MOD(A1137,1)*1000,0))</f>
        <v/>
      </c>
      <c r="C1137" s="33" t="n"/>
      <c r="D1137" s="40">
        <f>IF(A1137="","",INT(A1137))</f>
        <v/>
      </c>
      <c r="E1137" s="41">
        <f>IF(B1137="","",INDEX(Setup!$D$25:$D$84,B1137))</f>
        <v/>
      </c>
      <c r="F1137" s="42">
        <f>IF(B1137="","",INDEX(Setup!$E$25:$E$84,B1137))</f>
        <v/>
      </c>
      <c r="G1137" s="39">
        <f>IF(B1137="","",INDEX(Setup!$I$25:$I$84,B1137)&amp;"")</f>
        <v/>
      </c>
      <c r="H1137" s="39">
        <f>IF(B1137="","",INDEX(Setup!$J$25:$J$84,B1137)&amp;"")</f>
        <v/>
      </c>
      <c r="I1137" s="39">
        <f>IF(B1137="","",INDEX(Setup!$C$25:$C$84,B1137))</f>
        <v/>
      </c>
      <c r="J1137" s="39" t="n"/>
      <c r="K1137" s="37" t="n"/>
      <c r="L1137" s="38" t="n"/>
      <c r="M1137" s="33" t="n"/>
      <c r="N1137" s="33" t="n"/>
      <c r="O1137" s="39" t="n"/>
      <c r="P1137" s="40">
        <f>IF(A1137="","",IF(K1137&lt;&gt;"",K1137,D1137))</f>
        <v/>
      </c>
      <c r="Q1137" s="42">
        <f>IF(A1137="",0,IF(C1137="✗",0,IF(OR(C1137="✓",AND(Setup!$D$7="Yes",P1137&lt;=TODAY())),IF(L1137&lt;&gt;"",L1137,F1137),0)))</f>
        <v/>
      </c>
      <c r="R1137" s="39">
        <f>IF(A1137="","",IF(M1137&lt;&gt;"",M1137,G1137))</f>
        <v/>
      </c>
      <c r="S1137" s="39">
        <f>IF(A1137="","",IF(N1137&lt;&gt;"",N1137,H1137))</f>
        <v/>
      </c>
      <c r="T1137" s="39">
        <f>IF(A1137="","",IF(C1137="✗","Skipped",IF(Q1137&gt;0,"Paid","Upcoming")))</f>
        <v/>
      </c>
      <c r="U1137" s="42">
        <f>IF(A1137="",0,IF(C1137="✗",0,IF(L1137&lt;&gt;"",L1137,F1137)))</f>
        <v/>
      </c>
    </row>
    <row r="1138">
      <c r="A1138" s="32">
        <f>IFERROR(SMALL(Calc!$B$2:$BB$61,1133),"")</f>
        <v/>
      </c>
      <c r="B1138" s="32">
        <f>IF(A1138="","",ROUND(MOD(A1138,1)*1000,0))</f>
        <v/>
      </c>
      <c r="C1138" s="33" t="n"/>
      <c r="D1138" s="34">
        <f>IF(A1138="","",INT(A1138))</f>
        <v/>
      </c>
      <c r="E1138" s="35">
        <f>IF(B1138="","",INDEX(Setup!$D$25:$D$84,B1138))</f>
        <v/>
      </c>
      <c r="F1138" s="36">
        <f>IF(B1138="","",INDEX(Setup!$E$25:$E$84,B1138))</f>
        <v/>
      </c>
      <c r="G1138" s="32">
        <f>IF(B1138="","",INDEX(Setup!$I$25:$I$84,B1138)&amp;"")</f>
        <v/>
      </c>
      <c r="H1138" s="32">
        <f>IF(B1138="","",INDEX(Setup!$J$25:$J$84,B1138)&amp;"")</f>
        <v/>
      </c>
      <c r="I1138" s="32">
        <f>IF(B1138="","",INDEX(Setup!$C$25:$C$84,B1138))</f>
        <v/>
      </c>
      <c r="J1138" s="32" t="n"/>
      <c r="K1138" s="37" t="n"/>
      <c r="L1138" s="38" t="n"/>
      <c r="M1138" s="33" t="n"/>
      <c r="N1138" s="33" t="n"/>
      <c r="O1138" s="32" t="n"/>
      <c r="P1138" s="34">
        <f>IF(A1138="","",IF(K1138&lt;&gt;"",K1138,D1138))</f>
        <v/>
      </c>
      <c r="Q1138" s="36">
        <f>IF(A1138="",0,IF(C1138="✗",0,IF(OR(C1138="✓",AND(Setup!$D$7="Yes",P1138&lt;=TODAY())),IF(L1138&lt;&gt;"",L1138,F1138),0)))</f>
        <v/>
      </c>
      <c r="R1138" s="32">
        <f>IF(A1138="","",IF(M1138&lt;&gt;"",M1138,G1138))</f>
        <v/>
      </c>
      <c r="S1138" s="32">
        <f>IF(A1138="","",IF(N1138&lt;&gt;"",N1138,H1138))</f>
        <v/>
      </c>
      <c r="T1138" s="32">
        <f>IF(A1138="","",IF(C1138="✗","Skipped",IF(Q1138&gt;0,"Paid","Upcoming")))</f>
        <v/>
      </c>
      <c r="U1138" s="36">
        <f>IF(A1138="",0,IF(C1138="✗",0,IF(L1138&lt;&gt;"",L1138,F1138)))</f>
        <v/>
      </c>
    </row>
    <row r="1139">
      <c r="A1139" s="39">
        <f>IFERROR(SMALL(Calc!$B$2:$BB$61,1134),"")</f>
        <v/>
      </c>
      <c r="B1139" s="39">
        <f>IF(A1139="","",ROUND(MOD(A1139,1)*1000,0))</f>
        <v/>
      </c>
      <c r="C1139" s="33" t="n"/>
      <c r="D1139" s="40">
        <f>IF(A1139="","",INT(A1139))</f>
        <v/>
      </c>
      <c r="E1139" s="41">
        <f>IF(B1139="","",INDEX(Setup!$D$25:$D$84,B1139))</f>
        <v/>
      </c>
      <c r="F1139" s="42">
        <f>IF(B1139="","",INDEX(Setup!$E$25:$E$84,B1139))</f>
        <v/>
      </c>
      <c r="G1139" s="39">
        <f>IF(B1139="","",INDEX(Setup!$I$25:$I$84,B1139)&amp;"")</f>
        <v/>
      </c>
      <c r="H1139" s="39">
        <f>IF(B1139="","",INDEX(Setup!$J$25:$J$84,B1139)&amp;"")</f>
        <v/>
      </c>
      <c r="I1139" s="39">
        <f>IF(B1139="","",INDEX(Setup!$C$25:$C$84,B1139))</f>
        <v/>
      </c>
      <c r="J1139" s="39" t="n"/>
      <c r="K1139" s="37" t="n"/>
      <c r="L1139" s="38" t="n"/>
      <c r="M1139" s="33" t="n"/>
      <c r="N1139" s="33" t="n"/>
      <c r="O1139" s="39" t="n"/>
      <c r="P1139" s="40">
        <f>IF(A1139="","",IF(K1139&lt;&gt;"",K1139,D1139))</f>
        <v/>
      </c>
      <c r="Q1139" s="42">
        <f>IF(A1139="",0,IF(C1139="✗",0,IF(OR(C1139="✓",AND(Setup!$D$7="Yes",P1139&lt;=TODAY())),IF(L1139&lt;&gt;"",L1139,F1139),0)))</f>
        <v/>
      </c>
      <c r="R1139" s="39">
        <f>IF(A1139="","",IF(M1139&lt;&gt;"",M1139,G1139))</f>
        <v/>
      </c>
      <c r="S1139" s="39">
        <f>IF(A1139="","",IF(N1139&lt;&gt;"",N1139,H1139))</f>
        <v/>
      </c>
      <c r="T1139" s="39">
        <f>IF(A1139="","",IF(C1139="✗","Skipped",IF(Q1139&gt;0,"Paid","Upcoming")))</f>
        <v/>
      </c>
      <c r="U1139" s="42">
        <f>IF(A1139="",0,IF(C1139="✗",0,IF(L1139&lt;&gt;"",L1139,F1139)))</f>
        <v/>
      </c>
    </row>
    <row r="1140">
      <c r="A1140" s="32">
        <f>IFERROR(SMALL(Calc!$B$2:$BB$61,1135),"")</f>
        <v/>
      </c>
      <c r="B1140" s="32">
        <f>IF(A1140="","",ROUND(MOD(A1140,1)*1000,0))</f>
        <v/>
      </c>
      <c r="C1140" s="33" t="n"/>
      <c r="D1140" s="34">
        <f>IF(A1140="","",INT(A1140))</f>
        <v/>
      </c>
      <c r="E1140" s="35">
        <f>IF(B1140="","",INDEX(Setup!$D$25:$D$84,B1140))</f>
        <v/>
      </c>
      <c r="F1140" s="36">
        <f>IF(B1140="","",INDEX(Setup!$E$25:$E$84,B1140))</f>
        <v/>
      </c>
      <c r="G1140" s="32">
        <f>IF(B1140="","",INDEX(Setup!$I$25:$I$84,B1140)&amp;"")</f>
        <v/>
      </c>
      <c r="H1140" s="32">
        <f>IF(B1140="","",INDEX(Setup!$J$25:$J$84,B1140)&amp;"")</f>
        <v/>
      </c>
      <c r="I1140" s="32">
        <f>IF(B1140="","",INDEX(Setup!$C$25:$C$84,B1140))</f>
        <v/>
      </c>
      <c r="J1140" s="32" t="n"/>
      <c r="K1140" s="37" t="n"/>
      <c r="L1140" s="38" t="n"/>
      <c r="M1140" s="33" t="n"/>
      <c r="N1140" s="33" t="n"/>
      <c r="O1140" s="32" t="n"/>
      <c r="P1140" s="34">
        <f>IF(A1140="","",IF(K1140&lt;&gt;"",K1140,D1140))</f>
        <v/>
      </c>
      <c r="Q1140" s="36">
        <f>IF(A1140="",0,IF(C1140="✗",0,IF(OR(C1140="✓",AND(Setup!$D$7="Yes",P1140&lt;=TODAY())),IF(L1140&lt;&gt;"",L1140,F1140),0)))</f>
        <v/>
      </c>
      <c r="R1140" s="32">
        <f>IF(A1140="","",IF(M1140&lt;&gt;"",M1140,G1140))</f>
        <v/>
      </c>
      <c r="S1140" s="32">
        <f>IF(A1140="","",IF(N1140&lt;&gt;"",N1140,H1140))</f>
        <v/>
      </c>
      <c r="T1140" s="32">
        <f>IF(A1140="","",IF(C1140="✗","Skipped",IF(Q1140&gt;0,"Paid","Upcoming")))</f>
        <v/>
      </c>
      <c r="U1140" s="36">
        <f>IF(A1140="",0,IF(C1140="✗",0,IF(L1140&lt;&gt;"",L1140,F1140)))</f>
        <v/>
      </c>
    </row>
    <row r="1141">
      <c r="A1141" s="39">
        <f>IFERROR(SMALL(Calc!$B$2:$BB$61,1136),"")</f>
        <v/>
      </c>
      <c r="B1141" s="39">
        <f>IF(A1141="","",ROUND(MOD(A1141,1)*1000,0))</f>
        <v/>
      </c>
      <c r="C1141" s="33" t="n"/>
      <c r="D1141" s="40">
        <f>IF(A1141="","",INT(A1141))</f>
        <v/>
      </c>
      <c r="E1141" s="41">
        <f>IF(B1141="","",INDEX(Setup!$D$25:$D$84,B1141))</f>
        <v/>
      </c>
      <c r="F1141" s="42">
        <f>IF(B1141="","",INDEX(Setup!$E$25:$E$84,B1141))</f>
        <v/>
      </c>
      <c r="G1141" s="39">
        <f>IF(B1141="","",INDEX(Setup!$I$25:$I$84,B1141)&amp;"")</f>
        <v/>
      </c>
      <c r="H1141" s="39">
        <f>IF(B1141="","",INDEX(Setup!$J$25:$J$84,B1141)&amp;"")</f>
        <v/>
      </c>
      <c r="I1141" s="39">
        <f>IF(B1141="","",INDEX(Setup!$C$25:$C$84,B1141))</f>
        <v/>
      </c>
      <c r="J1141" s="39" t="n"/>
      <c r="K1141" s="37" t="n"/>
      <c r="L1141" s="38" t="n"/>
      <c r="M1141" s="33" t="n"/>
      <c r="N1141" s="33" t="n"/>
      <c r="O1141" s="39" t="n"/>
      <c r="P1141" s="40">
        <f>IF(A1141="","",IF(K1141&lt;&gt;"",K1141,D1141))</f>
        <v/>
      </c>
      <c r="Q1141" s="42">
        <f>IF(A1141="",0,IF(C1141="✗",0,IF(OR(C1141="✓",AND(Setup!$D$7="Yes",P1141&lt;=TODAY())),IF(L1141&lt;&gt;"",L1141,F1141),0)))</f>
        <v/>
      </c>
      <c r="R1141" s="39">
        <f>IF(A1141="","",IF(M1141&lt;&gt;"",M1141,G1141))</f>
        <v/>
      </c>
      <c r="S1141" s="39">
        <f>IF(A1141="","",IF(N1141&lt;&gt;"",N1141,H1141))</f>
        <v/>
      </c>
      <c r="T1141" s="39">
        <f>IF(A1141="","",IF(C1141="✗","Skipped",IF(Q1141&gt;0,"Paid","Upcoming")))</f>
        <v/>
      </c>
      <c r="U1141" s="42">
        <f>IF(A1141="",0,IF(C1141="✗",0,IF(L1141&lt;&gt;"",L1141,F1141)))</f>
        <v/>
      </c>
    </row>
    <row r="1142">
      <c r="A1142" s="32">
        <f>IFERROR(SMALL(Calc!$B$2:$BB$61,1137),"")</f>
        <v/>
      </c>
      <c r="B1142" s="32">
        <f>IF(A1142="","",ROUND(MOD(A1142,1)*1000,0))</f>
        <v/>
      </c>
      <c r="C1142" s="33" t="n"/>
      <c r="D1142" s="34">
        <f>IF(A1142="","",INT(A1142))</f>
        <v/>
      </c>
      <c r="E1142" s="35">
        <f>IF(B1142="","",INDEX(Setup!$D$25:$D$84,B1142))</f>
        <v/>
      </c>
      <c r="F1142" s="36">
        <f>IF(B1142="","",INDEX(Setup!$E$25:$E$84,B1142))</f>
        <v/>
      </c>
      <c r="G1142" s="32">
        <f>IF(B1142="","",INDEX(Setup!$I$25:$I$84,B1142)&amp;"")</f>
        <v/>
      </c>
      <c r="H1142" s="32">
        <f>IF(B1142="","",INDEX(Setup!$J$25:$J$84,B1142)&amp;"")</f>
        <v/>
      </c>
      <c r="I1142" s="32">
        <f>IF(B1142="","",INDEX(Setup!$C$25:$C$84,B1142))</f>
        <v/>
      </c>
      <c r="J1142" s="32" t="n"/>
      <c r="K1142" s="37" t="n"/>
      <c r="L1142" s="38" t="n"/>
      <c r="M1142" s="33" t="n"/>
      <c r="N1142" s="33" t="n"/>
      <c r="O1142" s="32" t="n"/>
      <c r="P1142" s="34">
        <f>IF(A1142="","",IF(K1142&lt;&gt;"",K1142,D1142))</f>
        <v/>
      </c>
      <c r="Q1142" s="36">
        <f>IF(A1142="",0,IF(C1142="✗",0,IF(OR(C1142="✓",AND(Setup!$D$7="Yes",P1142&lt;=TODAY())),IF(L1142&lt;&gt;"",L1142,F1142),0)))</f>
        <v/>
      </c>
      <c r="R1142" s="32">
        <f>IF(A1142="","",IF(M1142&lt;&gt;"",M1142,G1142))</f>
        <v/>
      </c>
      <c r="S1142" s="32">
        <f>IF(A1142="","",IF(N1142&lt;&gt;"",N1142,H1142))</f>
        <v/>
      </c>
      <c r="T1142" s="32">
        <f>IF(A1142="","",IF(C1142="✗","Skipped",IF(Q1142&gt;0,"Paid","Upcoming")))</f>
        <v/>
      </c>
      <c r="U1142" s="36">
        <f>IF(A1142="",0,IF(C1142="✗",0,IF(L1142&lt;&gt;"",L1142,F1142)))</f>
        <v/>
      </c>
    </row>
    <row r="1143">
      <c r="A1143" s="39">
        <f>IFERROR(SMALL(Calc!$B$2:$BB$61,1138),"")</f>
        <v/>
      </c>
      <c r="B1143" s="39">
        <f>IF(A1143="","",ROUND(MOD(A1143,1)*1000,0))</f>
        <v/>
      </c>
      <c r="C1143" s="33" t="n"/>
      <c r="D1143" s="40">
        <f>IF(A1143="","",INT(A1143))</f>
        <v/>
      </c>
      <c r="E1143" s="41">
        <f>IF(B1143="","",INDEX(Setup!$D$25:$D$84,B1143))</f>
        <v/>
      </c>
      <c r="F1143" s="42">
        <f>IF(B1143="","",INDEX(Setup!$E$25:$E$84,B1143))</f>
        <v/>
      </c>
      <c r="G1143" s="39">
        <f>IF(B1143="","",INDEX(Setup!$I$25:$I$84,B1143)&amp;"")</f>
        <v/>
      </c>
      <c r="H1143" s="39">
        <f>IF(B1143="","",INDEX(Setup!$J$25:$J$84,B1143)&amp;"")</f>
        <v/>
      </c>
      <c r="I1143" s="39">
        <f>IF(B1143="","",INDEX(Setup!$C$25:$C$84,B1143))</f>
        <v/>
      </c>
      <c r="J1143" s="39" t="n"/>
      <c r="K1143" s="37" t="n"/>
      <c r="L1143" s="38" t="n"/>
      <c r="M1143" s="33" t="n"/>
      <c r="N1143" s="33" t="n"/>
      <c r="O1143" s="39" t="n"/>
      <c r="P1143" s="40">
        <f>IF(A1143="","",IF(K1143&lt;&gt;"",K1143,D1143))</f>
        <v/>
      </c>
      <c r="Q1143" s="42">
        <f>IF(A1143="",0,IF(C1143="✗",0,IF(OR(C1143="✓",AND(Setup!$D$7="Yes",P1143&lt;=TODAY())),IF(L1143&lt;&gt;"",L1143,F1143),0)))</f>
        <v/>
      </c>
      <c r="R1143" s="39">
        <f>IF(A1143="","",IF(M1143&lt;&gt;"",M1143,G1143))</f>
        <v/>
      </c>
      <c r="S1143" s="39">
        <f>IF(A1143="","",IF(N1143&lt;&gt;"",N1143,H1143))</f>
        <v/>
      </c>
      <c r="T1143" s="39">
        <f>IF(A1143="","",IF(C1143="✗","Skipped",IF(Q1143&gt;0,"Paid","Upcoming")))</f>
        <v/>
      </c>
      <c r="U1143" s="42">
        <f>IF(A1143="",0,IF(C1143="✗",0,IF(L1143&lt;&gt;"",L1143,F1143)))</f>
        <v/>
      </c>
    </row>
    <row r="1144">
      <c r="A1144" s="32">
        <f>IFERROR(SMALL(Calc!$B$2:$BB$61,1139),"")</f>
        <v/>
      </c>
      <c r="B1144" s="32">
        <f>IF(A1144="","",ROUND(MOD(A1144,1)*1000,0))</f>
        <v/>
      </c>
      <c r="C1144" s="33" t="n"/>
      <c r="D1144" s="34">
        <f>IF(A1144="","",INT(A1144))</f>
        <v/>
      </c>
      <c r="E1144" s="35">
        <f>IF(B1144="","",INDEX(Setup!$D$25:$D$84,B1144))</f>
        <v/>
      </c>
      <c r="F1144" s="36">
        <f>IF(B1144="","",INDEX(Setup!$E$25:$E$84,B1144))</f>
        <v/>
      </c>
      <c r="G1144" s="32">
        <f>IF(B1144="","",INDEX(Setup!$I$25:$I$84,B1144)&amp;"")</f>
        <v/>
      </c>
      <c r="H1144" s="32">
        <f>IF(B1144="","",INDEX(Setup!$J$25:$J$84,B1144)&amp;"")</f>
        <v/>
      </c>
      <c r="I1144" s="32">
        <f>IF(B1144="","",INDEX(Setup!$C$25:$C$84,B1144))</f>
        <v/>
      </c>
      <c r="J1144" s="32" t="n"/>
      <c r="K1144" s="37" t="n"/>
      <c r="L1144" s="38" t="n"/>
      <c r="M1144" s="33" t="n"/>
      <c r="N1144" s="33" t="n"/>
      <c r="O1144" s="32" t="n"/>
      <c r="P1144" s="34">
        <f>IF(A1144="","",IF(K1144&lt;&gt;"",K1144,D1144))</f>
        <v/>
      </c>
      <c r="Q1144" s="36">
        <f>IF(A1144="",0,IF(C1144="✗",0,IF(OR(C1144="✓",AND(Setup!$D$7="Yes",P1144&lt;=TODAY())),IF(L1144&lt;&gt;"",L1144,F1144),0)))</f>
        <v/>
      </c>
      <c r="R1144" s="32">
        <f>IF(A1144="","",IF(M1144&lt;&gt;"",M1144,G1144))</f>
        <v/>
      </c>
      <c r="S1144" s="32">
        <f>IF(A1144="","",IF(N1144&lt;&gt;"",N1144,H1144))</f>
        <v/>
      </c>
      <c r="T1144" s="32">
        <f>IF(A1144="","",IF(C1144="✗","Skipped",IF(Q1144&gt;0,"Paid","Upcoming")))</f>
        <v/>
      </c>
      <c r="U1144" s="36">
        <f>IF(A1144="",0,IF(C1144="✗",0,IF(L1144&lt;&gt;"",L1144,F1144)))</f>
        <v/>
      </c>
    </row>
    <row r="1145">
      <c r="A1145" s="39">
        <f>IFERROR(SMALL(Calc!$B$2:$BB$61,1140),"")</f>
        <v/>
      </c>
      <c r="B1145" s="39">
        <f>IF(A1145="","",ROUND(MOD(A1145,1)*1000,0))</f>
        <v/>
      </c>
      <c r="C1145" s="33" t="n"/>
      <c r="D1145" s="40">
        <f>IF(A1145="","",INT(A1145))</f>
        <v/>
      </c>
      <c r="E1145" s="41">
        <f>IF(B1145="","",INDEX(Setup!$D$25:$D$84,B1145))</f>
        <v/>
      </c>
      <c r="F1145" s="42">
        <f>IF(B1145="","",INDEX(Setup!$E$25:$E$84,B1145))</f>
        <v/>
      </c>
      <c r="G1145" s="39">
        <f>IF(B1145="","",INDEX(Setup!$I$25:$I$84,B1145)&amp;"")</f>
        <v/>
      </c>
      <c r="H1145" s="39">
        <f>IF(B1145="","",INDEX(Setup!$J$25:$J$84,B1145)&amp;"")</f>
        <v/>
      </c>
      <c r="I1145" s="39">
        <f>IF(B1145="","",INDEX(Setup!$C$25:$C$84,B1145))</f>
        <v/>
      </c>
      <c r="J1145" s="39" t="n"/>
      <c r="K1145" s="37" t="n"/>
      <c r="L1145" s="38" t="n"/>
      <c r="M1145" s="33" t="n"/>
      <c r="N1145" s="33" t="n"/>
      <c r="O1145" s="39" t="n"/>
      <c r="P1145" s="40">
        <f>IF(A1145="","",IF(K1145&lt;&gt;"",K1145,D1145))</f>
        <v/>
      </c>
      <c r="Q1145" s="42">
        <f>IF(A1145="",0,IF(C1145="✗",0,IF(OR(C1145="✓",AND(Setup!$D$7="Yes",P1145&lt;=TODAY())),IF(L1145&lt;&gt;"",L1145,F1145),0)))</f>
        <v/>
      </c>
      <c r="R1145" s="39">
        <f>IF(A1145="","",IF(M1145&lt;&gt;"",M1145,G1145))</f>
        <v/>
      </c>
      <c r="S1145" s="39">
        <f>IF(A1145="","",IF(N1145&lt;&gt;"",N1145,H1145))</f>
        <v/>
      </c>
      <c r="T1145" s="39">
        <f>IF(A1145="","",IF(C1145="✗","Skipped",IF(Q1145&gt;0,"Paid","Upcoming")))</f>
        <v/>
      </c>
      <c r="U1145" s="42">
        <f>IF(A1145="",0,IF(C1145="✗",0,IF(L1145&lt;&gt;"",L1145,F1145)))</f>
        <v/>
      </c>
    </row>
    <row r="1146">
      <c r="A1146" s="32">
        <f>IFERROR(SMALL(Calc!$B$2:$BB$61,1141),"")</f>
        <v/>
      </c>
      <c r="B1146" s="32">
        <f>IF(A1146="","",ROUND(MOD(A1146,1)*1000,0))</f>
        <v/>
      </c>
      <c r="C1146" s="33" t="n"/>
      <c r="D1146" s="34">
        <f>IF(A1146="","",INT(A1146))</f>
        <v/>
      </c>
      <c r="E1146" s="35">
        <f>IF(B1146="","",INDEX(Setup!$D$25:$D$84,B1146))</f>
        <v/>
      </c>
      <c r="F1146" s="36">
        <f>IF(B1146="","",INDEX(Setup!$E$25:$E$84,B1146))</f>
        <v/>
      </c>
      <c r="G1146" s="32">
        <f>IF(B1146="","",INDEX(Setup!$I$25:$I$84,B1146)&amp;"")</f>
        <v/>
      </c>
      <c r="H1146" s="32">
        <f>IF(B1146="","",INDEX(Setup!$J$25:$J$84,B1146)&amp;"")</f>
        <v/>
      </c>
      <c r="I1146" s="32">
        <f>IF(B1146="","",INDEX(Setup!$C$25:$C$84,B1146))</f>
        <v/>
      </c>
      <c r="J1146" s="32" t="n"/>
      <c r="K1146" s="37" t="n"/>
      <c r="L1146" s="38" t="n"/>
      <c r="M1146" s="33" t="n"/>
      <c r="N1146" s="33" t="n"/>
      <c r="O1146" s="32" t="n"/>
      <c r="P1146" s="34">
        <f>IF(A1146="","",IF(K1146&lt;&gt;"",K1146,D1146))</f>
        <v/>
      </c>
      <c r="Q1146" s="36">
        <f>IF(A1146="",0,IF(C1146="✗",0,IF(OR(C1146="✓",AND(Setup!$D$7="Yes",P1146&lt;=TODAY())),IF(L1146&lt;&gt;"",L1146,F1146),0)))</f>
        <v/>
      </c>
      <c r="R1146" s="32">
        <f>IF(A1146="","",IF(M1146&lt;&gt;"",M1146,G1146))</f>
        <v/>
      </c>
      <c r="S1146" s="32">
        <f>IF(A1146="","",IF(N1146&lt;&gt;"",N1146,H1146))</f>
        <v/>
      </c>
      <c r="T1146" s="32">
        <f>IF(A1146="","",IF(C1146="✗","Skipped",IF(Q1146&gt;0,"Paid","Upcoming")))</f>
        <v/>
      </c>
      <c r="U1146" s="36">
        <f>IF(A1146="",0,IF(C1146="✗",0,IF(L1146&lt;&gt;"",L1146,F1146)))</f>
        <v/>
      </c>
    </row>
    <row r="1147">
      <c r="A1147" s="39">
        <f>IFERROR(SMALL(Calc!$B$2:$BB$61,1142),"")</f>
        <v/>
      </c>
      <c r="B1147" s="39">
        <f>IF(A1147="","",ROUND(MOD(A1147,1)*1000,0))</f>
        <v/>
      </c>
      <c r="C1147" s="33" t="n"/>
      <c r="D1147" s="40">
        <f>IF(A1147="","",INT(A1147))</f>
        <v/>
      </c>
      <c r="E1147" s="41">
        <f>IF(B1147="","",INDEX(Setup!$D$25:$D$84,B1147))</f>
        <v/>
      </c>
      <c r="F1147" s="42">
        <f>IF(B1147="","",INDEX(Setup!$E$25:$E$84,B1147))</f>
        <v/>
      </c>
      <c r="G1147" s="39">
        <f>IF(B1147="","",INDEX(Setup!$I$25:$I$84,B1147)&amp;"")</f>
        <v/>
      </c>
      <c r="H1147" s="39">
        <f>IF(B1147="","",INDEX(Setup!$J$25:$J$84,B1147)&amp;"")</f>
        <v/>
      </c>
      <c r="I1147" s="39">
        <f>IF(B1147="","",INDEX(Setup!$C$25:$C$84,B1147))</f>
        <v/>
      </c>
      <c r="J1147" s="39" t="n"/>
      <c r="K1147" s="37" t="n"/>
      <c r="L1147" s="38" t="n"/>
      <c r="M1147" s="33" t="n"/>
      <c r="N1147" s="33" t="n"/>
      <c r="O1147" s="39" t="n"/>
      <c r="P1147" s="40">
        <f>IF(A1147="","",IF(K1147&lt;&gt;"",K1147,D1147))</f>
        <v/>
      </c>
      <c r="Q1147" s="42">
        <f>IF(A1147="",0,IF(C1147="✗",0,IF(OR(C1147="✓",AND(Setup!$D$7="Yes",P1147&lt;=TODAY())),IF(L1147&lt;&gt;"",L1147,F1147),0)))</f>
        <v/>
      </c>
      <c r="R1147" s="39">
        <f>IF(A1147="","",IF(M1147&lt;&gt;"",M1147,G1147))</f>
        <v/>
      </c>
      <c r="S1147" s="39">
        <f>IF(A1147="","",IF(N1147&lt;&gt;"",N1147,H1147))</f>
        <v/>
      </c>
      <c r="T1147" s="39">
        <f>IF(A1147="","",IF(C1147="✗","Skipped",IF(Q1147&gt;0,"Paid","Upcoming")))</f>
        <v/>
      </c>
      <c r="U1147" s="42">
        <f>IF(A1147="",0,IF(C1147="✗",0,IF(L1147&lt;&gt;"",L1147,F1147)))</f>
        <v/>
      </c>
    </row>
    <row r="1148">
      <c r="A1148" s="32">
        <f>IFERROR(SMALL(Calc!$B$2:$BB$61,1143),"")</f>
        <v/>
      </c>
      <c r="B1148" s="32">
        <f>IF(A1148="","",ROUND(MOD(A1148,1)*1000,0))</f>
        <v/>
      </c>
      <c r="C1148" s="33" t="n"/>
      <c r="D1148" s="34">
        <f>IF(A1148="","",INT(A1148))</f>
        <v/>
      </c>
      <c r="E1148" s="35">
        <f>IF(B1148="","",INDEX(Setup!$D$25:$D$84,B1148))</f>
        <v/>
      </c>
      <c r="F1148" s="36">
        <f>IF(B1148="","",INDEX(Setup!$E$25:$E$84,B1148))</f>
        <v/>
      </c>
      <c r="G1148" s="32">
        <f>IF(B1148="","",INDEX(Setup!$I$25:$I$84,B1148)&amp;"")</f>
        <v/>
      </c>
      <c r="H1148" s="32">
        <f>IF(B1148="","",INDEX(Setup!$J$25:$J$84,B1148)&amp;"")</f>
        <v/>
      </c>
      <c r="I1148" s="32">
        <f>IF(B1148="","",INDEX(Setup!$C$25:$C$84,B1148))</f>
        <v/>
      </c>
      <c r="J1148" s="32" t="n"/>
      <c r="K1148" s="37" t="n"/>
      <c r="L1148" s="38" t="n"/>
      <c r="M1148" s="33" t="n"/>
      <c r="N1148" s="33" t="n"/>
      <c r="O1148" s="32" t="n"/>
      <c r="P1148" s="34">
        <f>IF(A1148="","",IF(K1148&lt;&gt;"",K1148,D1148))</f>
        <v/>
      </c>
      <c r="Q1148" s="36">
        <f>IF(A1148="",0,IF(C1148="✗",0,IF(OR(C1148="✓",AND(Setup!$D$7="Yes",P1148&lt;=TODAY())),IF(L1148&lt;&gt;"",L1148,F1148),0)))</f>
        <v/>
      </c>
      <c r="R1148" s="32">
        <f>IF(A1148="","",IF(M1148&lt;&gt;"",M1148,G1148))</f>
        <v/>
      </c>
      <c r="S1148" s="32">
        <f>IF(A1148="","",IF(N1148&lt;&gt;"",N1148,H1148))</f>
        <v/>
      </c>
      <c r="T1148" s="32">
        <f>IF(A1148="","",IF(C1148="✗","Skipped",IF(Q1148&gt;0,"Paid","Upcoming")))</f>
        <v/>
      </c>
      <c r="U1148" s="36">
        <f>IF(A1148="",0,IF(C1148="✗",0,IF(L1148&lt;&gt;"",L1148,F1148)))</f>
        <v/>
      </c>
    </row>
    <row r="1149">
      <c r="A1149" s="39">
        <f>IFERROR(SMALL(Calc!$B$2:$BB$61,1144),"")</f>
        <v/>
      </c>
      <c r="B1149" s="39">
        <f>IF(A1149="","",ROUND(MOD(A1149,1)*1000,0))</f>
        <v/>
      </c>
      <c r="C1149" s="33" t="n"/>
      <c r="D1149" s="40">
        <f>IF(A1149="","",INT(A1149))</f>
        <v/>
      </c>
      <c r="E1149" s="41">
        <f>IF(B1149="","",INDEX(Setup!$D$25:$D$84,B1149))</f>
        <v/>
      </c>
      <c r="F1149" s="42">
        <f>IF(B1149="","",INDEX(Setup!$E$25:$E$84,B1149))</f>
        <v/>
      </c>
      <c r="G1149" s="39">
        <f>IF(B1149="","",INDEX(Setup!$I$25:$I$84,B1149)&amp;"")</f>
        <v/>
      </c>
      <c r="H1149" s="39">
        <f>IF(B1149="","",INDEX(Setup!$J$25:$J$84,B1149)&amp;"")</f>
        <v/>
      </c>
      <c r="I1149" s="39">
        <f>IF(B1149="","",INDEX(Setup!$C$25:$C$84,B1149))</f>
        <v/>
      </c>
      <c r="J1149" s="39" t="n"/>
      <c r="K1149" s="37" t="n"/>
      <c r="L1149" s="38" t="n"/>
      <c r="M1149" s="33" t="n"/>
      <c r="N1149" s="33" t="n"/>
      <c r="O1149" s="39" t="n"/>
      <c r="P1149" s="40">
        <f>IF(A1149="","",IF(K1149&lt;&gt;"",K1149,D1149))</f>
        <v/>
      </c>
      <c r="Q1149" s="42">
        <f>IF(A1149="",0,IF(C1149="✗",0,IF(OR(C1149="✓",AND(Setup!$D$7="Yes",P1149&lt;=TODAY())),IF(L1149&lt;&gt;"",L1149,F1149),0)))</f>
        <v/>
      </c>
      <c r="R1149" s="39">
        <f>IF(A1149="","",IF(M1149&lt;&gt;"",M1149,G1149))</f>
        <v/>
      </c>
      <c r="S1149" s="39">
        <f>IF(A1149="","",IF(N1149&lt;&gt;"",N1149,H1149))</f>
        <v/>
      </c>
      <c r="T1149" s="39">
        <f>IF(A1149="","",IF(C1149="✗","Skipped",IF(Q1149&gt;0,"Paid","Upcoming")))</f>
        <v/>
      </c>
      <c r="U1149" s="42">
        <f>IF(A1149="",0,IF(C1149="✗",0,IF(L1149&lt;&gt;"",L1149,F1149)))</f>
        <v/>
      </c>
    </row>
    <row r="1150">
      <c r="A1150" s="32">
        <f>IFERROR(SMALL(Calc!$B$2:$BB$61,1145),"")</f>
        <v/>
      </c>
      <c r="B1150" s="32">
        <f>IF(A1150="","",ROUND(MOD(A1150,1)*1000,0))</f>
        <v/>
      </c>
      <c r="C1150" s="33" t="n"/>
      <c r="D1150" s="34">
        <f>IF(A1150="","",INT(A1150))</f>
        <v/>
      </c>
      <c r="E1150" s="35">
        <f>IF(B1150="","",INDEX(Setup!$D$25:$D$84,B1150))</f>
        <v/>
      </c>
      <c r="F1150" s="36">
        <f>IF(B1150="","",INDEX(Setup!$E$25:$E$84,B1150))</f>
        <v/>
      </c>
      <c r="G1150" s="32">
        <f>IF(B1150="","",INDEX(Setup!$I$25:$I$84,B1150)&amp;"")</f>
        <v/>
      </c>
      <c r="H1150" s="32">
        <f>IF(B1150="","",INDEX(Setup!$J$25:$J$84,B1150)&amp;"")</f>
        <v/>
      </c>
      <c r="I1150" s="32">
        <f>IF(B1150="","",INDEX(Setup!$C$25:$C$84,B1150))</f>
        <v/>
      </c>
      <c r="J1150" s="32" t="n"/>
      <c r="K1150" s="37" t="n"/>
      <c r="L1150" s="38" t="n"/>
      <c r="M1150" s="33" t="n"/>
      <c r="N1150" s="33" t="n"/>
      <c r="O1150" s="32" t="n"/>
      <c r="P1150" s="34">
        <f>IF(A1150="","",IF(K1150&lt;&gt;"",K1150,D1150))</f>
        <v/>
      </c>
      <c r="Q1150" s="36">
        <f>IF(A1150="",0,IF(C1150="✗",0,IF(OR(C1150="✓",AND(Setup!$D$7="Yes",P1150&lt;=TODAY())),IF(L1150&lt;&gt;"",L1150,F1150),0)))</f>
        <v/>
      </c>
      <c r="R1150" s="32">
        <f>IF(A1150="","",IF(M1150&lt;&gt;"",M1150,G1150))</f>
        <v/>
      </c>
      <c r="S1150" s="32">
        <f>IF(A1150="","",IF(N1150&lt;&gt;"",N1150,H1150))</f>
        <v/>
      </c>
      <c r="T1150" s="32">
        <f>IF(A1150="","",IF(C1150="✗","Skipped",IF(Q1150&gt;0,"Paid","Upcoming")))</f>
        <v/>
      </c>
      <c r="U1150" s="36">
        <f>IF(A1150="",0,IF(C1150="✗",0,IF(L1150&lt;&gt;"",L1150,F1150)))</f>
        <v/>
      </c>
    </row>
    <row r="1151">
      <c r="A1151" s="39">
        <f>IFERROR(SMALL(Calc!$B$2:$BB$61,1146),"")</f>
        <v/>
      </c>
      <c r="B1151" s="39">
        <f>IF(A1151="","",ROUND(MOD(A1151,1)*1000,0))</f>
        <v/>
      </c>
      <c r="C1151" s="33" t="n"/>
      <c r="D1151" s="40">
        <f>IF(A1151="","",INT(A1151))</f>
        <v/>
      </c>
      <c r="E1151" s="41">
        <f>IF(B1151="","",INDEX(Setup!$D$25:$D$84,B1151))</f>
        <v/>
      </c>
      <c r="F1151" s="42">
        <f>IF(B1151="","",INDEX(Setup!$E$25:$E$84,B1151))</f>
        <v/>
      </c>
      <c r="G1151" s="39">
        <f>IF(B1151="","",INDEX(Setup!$I$25:$I$84,B1151)&amp;"")</f>
        <v/>
      </c>
      <c r="H1151" s="39">
        <f>IF(B1151="","",INDEX(Setup!$J$25:$J$84,B1151)&amp;"")</f>
        <v/>
      </c>
      <c r="I1151" s="39">
        <f>IF(B1151="","",INDEX(Setup!$C$25:$C$84,B1151))</f>
        <v/>
      </c>
      <c r="J1151" s="39" t="n"/>
      <c r="K1151" s="37" t="n"/>
      <c r="L1151" s="38" t="n"/>
      <c r="M1151" s="33" t="n"/>
      <c r="N1151" s="33" t="n"/>
      <c r="O1151" s="39" t="n"/>
      <c r="P1151" s="40">
        <f>IF(A1151="","",IF(K1151&lt;&gt;"",K1151,D1151))</f>
        <v/>
      </c>
      <c r="Q1151" s="42">
        <f>IF(A1151="",0,IF(C1151="✗",0,IF(OR(C1151="✓",AND(Setup!$D$7="Yes",P1151&lt;=TODAY())),IF(L1151&lt;&gt;"",L1151,F1151),0)))</f>
        <v/>
      </c>
      <c r="R1151" s="39">
        <f>IF(A1151="","",IF(M1151&lt;&gt;"",M1151,G1151))</f>
        <v/>
      </c>
      <c r="S1151" s="39">
        <f>IF(A1151="","",IF(N1151&lt;&gt;"",N1151,H1151))</f>
        <v/>
      </c>
      <c r="T1151" s="39">
        <f>IF(A1151="","",IF(C1151="✗","Skipped",IF(Q1151&gt;0,"Paid","Upcoming")))</f>
        <v/>
      </c>
      <c r="U1151" s="42">
        <f>IF(A1151="",0,IF(C1151="✗",0,IF(L1151&lt;&gt;"",L1151,F1151)))</f>
        <v/>
      </c>
    </row>
    <row r="1152">
      <c r="A1152" s="32">
        <f>IFERROR(SMALL(Calc!$B$2:$BB$61,1147),"")</f>
        <v/>
      </c>
      <c r="B1152" s="32">
        <f>IF(A1152="","",ROUND(MOD(A1152,1)*1000,0))</f>
        <v/>
      </c>
      <c r="C1152" s="33" t="n"/>
      <c r="D1152" s="34">
        <f>IF(A1152="","",INT(A1152))</f>
        <v/>
      </c>
      <c r="E1152" s="35">
        <f>IF(B1152="","",INDEX(Setup!$D$25:$D$84,B1152))</f>
        <v/>
      </c>
      <c r="F1152" s="36">
        <f>IF(B1152="","",INDEX(Setup!$E$25:$E$84,B1152))</f>
        <v/>
      </c>
      <c r="G1152" s="32">
        <f>IF(B1152="","",INDEX(Setup!$I$25:$I$84,B1152)&amp;"")</f>
        <v/>
      </c>
      <c r="H1152" s="32">
        <f>IF(B1152="","",INDEX(Setup!$J$25:$J$84,B1152)&amp;"")</f>
        <v/>
      </c>
      <c r="I1152" s="32">
        <f>IF(B1152="","",INDEX(Setup!$C$25:$C$84,B1152))</f>
        <v/>
      </c>
      <c r="J1152" s="32" t="n"/>
      <c r="K1152" s="37" t="n"/>
      <c r="L1152" s="38" t="n"/>
      <c r="M1152" s="33" t="n"/>
      <c r="N1152" s="33" t="n"/>
      <c r="O1152" s="32" t="n"/>
      <c r="P1152" s="34">
        <f>IF(A1152="","",IF(K1152&lt;&gt;"",K1152,D1152))</f>
        <v/>
      </c>
      <c r="Q1152" s="36">
        <f>IF(A1152="",0,IF(C1152="✗",0,IF(OR(C1152="✓",AND(Setup!$D$7="Yes",P1152&lt;=TODAY())),IF(L1152&lt;&gt;"",L1152,F1152),0)))</f>
        <v/>
      </c>
      <c r="R1152" s="32">
        <f>IF(A1152="","",IF(M1152&lt;&gt;"",M1152,G1152))</f>
        <v/>
      </c>
      <c r="S1152" s="32">
        <f>IF(A1152="","",IF(N1152&lt;&gt;"",N1152,H1152))</f>
        <v/>
      </c>
      <c r="T1152" s="32">
        <f>IF(A1152="","",IF(C1152="✗","Skipped",IF(Q1152&gt;0,"Paid","Upcoming")))</f>
        <v/>
      </c>
      <c r="U1152" s="36">
        <f>IF(A1152="",0,IF(C1152="✗",0,IF(L1152&lt;&gt;"",L1152,F1152)))</f>
        <v/>
      </c>
    </row>
    <row r="1153">
      <c r="A1153" s="39">
        <f>IFERROR(SMALL(Calc!$B$2:$BB$61,1148),"")</f>
        <v/>
      </c>
      <c r="B1153" s="39">
        <f>IF(A1153="","",ROUND(MOD(A1153,1)*1000,0))</f>
        <v/>
      </c>
      <c r="C1153" s="33" t="n"/>
      <c r="D1153" s="40">
        <f>IF(A1153="","",INT(A1153))</f>
        <v/>
      </c>
      <c r="E1153" s="41">
        <f>IF(B1153="","",INDEX(Setup!$D$25:$D$84,B1153))</f>
        <v/>
      </c>
      <c r="F1153" s="42">
        <f>IF(B1153="","",INDEX(Setup!$E$25:$E$84,B1153))</f>
        <v/>
      </c>
      <c r="G1153" s="39">
        <f>IF(B1153="","",INDEX(Setup!$I$25:$I$84,B1153)&amp;"")</f>
        <v/>
      </c>
      <c r="H1153" s="39">
        <f>IF(B1153="","",INDEX(Setup!$J$25:$J$84,B1153)&amp;"")</f>
        <v/>
      </c>
      <c r="I1153" s="39">
        <f>IF(B1153="","",INDEX(Setup!$C$25:$C$84,B1153))</f>
        <v/>
      </c>
      <c r="J1153" s="39" t="n"/>
      <c r="K1153" s="37" t="n"/>
      <c r="L1153" s="38" t="n"/>
      <c r="M1153" s="33" t="n"/>
      <c r="N1153" s="33" t="n"/>
      <c r="O1153" s="39" t="n"/>
      <c r="P1153" s="40">
        <f>IF(A1153="","",IF(K1153&lt;&gt;"",K1153,D1153))</f>
        <v/>
      </c>
      <c r="Q1153" s="42">
        <f>IF(A1153="",0,IF(C1153="✗",0,IF(OR(C1153="✓",AND(Setup!$D$7="Yes",P1153&lt;=TODAY())),IF(L1153&lt;&gt;"",L1153,F1153),0)))</f>
        <v/>
      </c>
      <c r="R1153" s="39">
        <f>IF(A1153="","",IF(M1153&lt;&gt;"",M1153,G1153))</f>
        <v/>
      </c>
      <c r="S1153" s="39">
        <f>IF(A1153="","",IF(N1153&lt;&gt;"",N1153,H1153))</f>
        <v/>
      </c>
      <c r="T1153" s="39">
        <f>IF(A1153="","",IF(C1153="✗","Skipped",IF(Q1153&gt;0,"Paid","Upcoming")))</f>
        <v/>
      </c>
      <c r="U1153" s="42">
        <f>IF(A1153="",0,IF(C1153="✗",0,IF(L1153&lt;&gt;"",L1153,F1153)))</f>
        <v/>
      </c>
    </row>
    <row r="1154">
      <c r="A1154" s="32">
        <f>IFERROR(SMALL(Calc!$B$2:$BB$61,1149),"")</f>
        <v/>
      </c>
      <c r="B1154" s="32">
        <f>IF(A1154="","",ROUND(MOD(A1154,1)*1000,0))</f>
        <v/>
      </c>
      <c r="C1154" s="33" t="n"/>
      <c r="D1154" s="34">
        <f>IF(A1154="","",INT(A1154))</f>
        <v/>
      </c>
      <c r="E1154" s="35">
        <f>IF(B1154="","",INDEX(Setup!$D$25:$D$84,B1154))</f>
        <v/>
      </c>
      <c r="F1154" s="36">
        <f>IF(B1154="","",INDEX(Setup!$E$25:$E$84,B1154))</f>
        <v/>
      </c>
      <c r="G1154" s="32">
        <f>IF(B1154="","",INDEX(Setup!$I$25:$I$84,B1154)&amp;"")</f>
        <v/>
      </c>
      <c r="H1154" s="32">
        <f>IF(B1154="","",INDEX(Setup!$J$25:$J$84,B1154)&amp;"")</f>
        <v/>
      </c>
      <c r="I1154" s="32">
        <f>IF(B1154="","",INDEX(Setup!$C$25:$C$84,B1154))</f>
        <v/>
      </c>
      <c r="J1154" s="32" t="n"/>
      <c r="K1154" s="37" t="n"/>
      <c r="L1154" s="38" t="n"/>
      <c r="M1154" s="33" t="n"/>
      <c r="N1154" s="33" t="n"/>
      <c r="O1154" s="32" t="n"/>
      <c r="P1154" s="34">
        <f>IF(A1154="","",IF(K1154&lt;&gt;"",K1154,D1154))</f>
        <v/>
      </c>
      <c r="Q1154" s="36">
        <f>IF(A1154="",0,IF(C1154="✗",0,IF(OR(C1154="✓",AND(Setup!$D$7="Yes",P1154&lt;=TODAY())),IF(L1154&lt;&gt;"",L1154,F1154),0)))</f>
        <v/>
      </c>
      <c r="R1154" s="32">
        <f>IF(A1154="","",IF(M1154&lt;&gt;"",M1154,G1154))</f>
        <v/>
      </c>
      <c r="S1154" s="32">
        <f>IF(A1154="","",IF(N1154&lt;&gt;"",N1154,H1154))</f>
        <v/>
      </c>
      <c r="T1154" s="32">
        <f>IF(A1154="","",IF(C1154="✗","Skipped",IF(Q1154&gt;0,"Paid","Upcoming")))</f>
        <v/>
      </c>
      <c r="U1154" s="36">
        <f>IF(A1154="",0,IF(C1154="✗",0,IF(L1154&lt;&gt;"",L1154,F1154)))</f>
        <v/>
      </c>
    </row>
    <row r="1155">
      <c r="A1155" s="39">
        <f>IFERROR(SMALL(Calc!$B$2:$BB$61,1150),"")</f>
        <v/>
      </c>
      <c r="B1155" s="39">
        <f>IF(A1155="","",ROUND(MOD(A1155,1)*1000,0))</f>
        <v/>
      </c>
      <c r="C1155" s="33" t="n"/>
      <c r="D1155" s="40">
        <f>IF(A1155="","",INT(A1155))</f>
        <v/>
      </c>
      <c r="E1155" s="41">
        <f>IF(B1155="","",INDEX(Setup!$D$25:$D$84,B1155))</f>
        <v/>
      </c>
      <c r="F1155" s="42">
        <f>IF(B1155="","",INDEX(Setup!$E$25:$E$84,B1155))</f>
        <v/>
      </c>
      <c r="G1155" s="39">
        <f>IF(B1155="","",INDEX(Setup!$I$25:$I$84,B1155)&amp;"")</f>
        <v/>
      </c>
      <c r="H1155" s="39">
        <f>IF(B1155="","",INDEX(Setup!$J$25:$J$84,B1155)&amp;"")</f>
        <v/>
      </c>
      <c r="I1155" s="39">
        <f>IF(B1155="","",INDEX(Setup!$C$25:$C$84,B1155))</f>
        <v/>
      </c>
      <c r="J1155" s="39" t="n"/>
      <c r="K1155" s="37" t="n"/>
      <c r="L1155" s="38" t="n"/>
      <c r="M1155" s="33" t="n"/>
      <c r="N1155" s="33" t="n"/>
      <c r="O1155" s="39" t="n"/>
      <c r="P1155" s="40">
        <f>IF(A1155="","",IF(K1155&lt;&gt;"",K1155,D1155))</f>
        <v/>
      </c>
      <c r="Q1155" s="42">
        <f>IF(A1155="",0,IF(C1155="✗",0,IF(OR(C1155="✓",AND(Setup!$D$7="Yes",P1155&lt;=TODAY())),IF(L1155&lt;&gt;"",L1155,F1155),0)))</f>
        <v/>
      </c>
      <c r="R1155" s="39">
        <f>IF(A1155="","",IF(M1155&lt;&gt;"",M1155,G1155))</f>
        <v/>
      </c>
      <c r="S1155" s="39">
        <f>IF(A1155="","",IF(N1155&lt;&gt;"",N1155,H1155))</f>
        <v/>
      </c>
      <c r="T1155" s="39">
        <f>IF(A1155="","",IF(C1155="✗","Skipped",IF(Q1155&gt;0,"Paid","Upcoming")))</f>
        <v/>
      </c>
      <c r="U1155" s="42">
        <f>IF(A1155="",0,IF(C1155="✗",0,IF(L1155&lt;&gt;"",L1155,F1155)))</f>
        <v/>
      </c>
    </row>
    <row r="1156">
      <c r="A1156" s="32">
        <f>IFERROR(SMALL(Calc!$B$2:$BB$61,1151),"")</f>
        <v/>
      </c>
      <c r="B1156" s="32">
        <f>IF(A1156="","",ROUND(MOD(A1156,1)*1000,0))</f>
        <v/>
      </c>
      <c r="C1156" s="33" t="n"/>
      <c r="D1156" s="34">
        <f>IF(A1156="","",INT(A1156))</f>
        <v/>
      </c>
      <c r="E1156" s="35">
        <f>IF(B1156="","",INDEX(Setup!$D$25:$D$84,B1156))</f>
        <v/>
      </c>
      <c r="F1156" s="36">
        <f>IF(B1156="","",INDEX(Setup!$E$25:$E$84,B1156))</f>
        <v/>
      </c>
      <c r="G1156" s="32">
        <f>IF(B1156="","",INDEX(Setup!$I$25:$I$84,B1156)&amp;"")</f>
        <v/>
      </c>
      <c r="H1156" s="32">
        <f>IF(B1156="","",INDEX(Setup!$J$25:$J$84,B1156)&amp;"")</f>
        <v/>
      </c>
      <c r="I1156" s="32">
        <f>IF(B1156="","",INDEX(Setup!$C$25:$C$84,B1156))</f>
        <v/>
      </c>
      <c r="J1156" s="32" t="n"/>
      <c r="K1156" s="37" t="n"/>
      <c r="L1156" s="38" t="n"/>
      <c r="M1156" s="33" t="n"/>
      <c r="N1156" s="33" t="n"/>
      <c r="O1156" s="32" t="n"/>
      <c r="P1156" s="34">
        <f>IF(A1156="","",IF(K1156&lt;&gt;"",K1156,D1156))</f>
        <v/>
      </c>
      <c r="Q1156" s="36">
        <f>IF(A1156="",0,IF(C1156="✗",0,IF(OR(C1156="✓",AND(Setup!$D$7="Yes",P1156&lt;=TODAY())),IF(L1156&lt;&gt;"",L1156,F1156),0)))</f>
        <v/>
      </c>
      <c r="R1156" s="32">
        <f>IF(A1156="","",IF(M1156&lt;&gt;"",M1156,G1156))</f>
        <v/>
      </c>
      <c r="S1156" s="32">
        <f>IF(A1156="","",IF(N1156&lt;&gt;"",N1156,H1156))</f>
        <v/>
      </c>
      <c r="T1156" s="32">
        <f>IF(A1156="","",IF(C1156="✗","Skipped",IF(Q1156&gt;0,"Paid","Upcoming")))</f>
        <v/>
      </c>
      <c r="U1156" s="36">
        <f>IF(A1156="",0,IF(C1156="✗",0,IF(L1156&lt;&gt;"",L1156,F1156)))</f>
        <v/>
      </c>
    </row>
    <row r="1157">
      <c r="A1157" s="39">
        <f>IFERROR(SMALL(Calc!$B$2:$BB$61,1152),"")</f>
        <v/>
      </c>
      <c r="B1157" s="39">
        <f>IF(A1157="","",ROUND(MOD(A1157,1)*1000,0))</f>
        <v/>
      </c>
      <c r="C1157" s="33" t="n"/>
      <c r="D1157" s="40">
        <f>IF(A1157="","",INT(A1157))</f>
        <v/>
      </c>
      <c r="E1157" s="41">
        <f>IF(B1157="","",INDEX(Setup!$D$25:$D$84,B1157))</f>
        <v/>
      </c>
      <c r="F1157" s="42">
        <f>IF(B1157="","",INDEX(Setup!$E$25:$E$84,B1157))</f>
        <v/>
      </c>
      <c r="G1157" s="39">
        <f>IF(B1157="","",INDEX(Setup!$I$25:$I$84,B1157)&amp;"")</f>
        <v/>
      </c>
      <c r="H1157" s="39">
        <f>IF(B1157="","",INDEX(Setup!$J$25:$J$84,B1157)&amp;"")</f>
        <v/>
      </c>
      <c r="I1157" s="39">
        <f>IF(B1157="","",INDEX(Setup!$C$25:$C$84,B1157))</f>
        <v/>
      </c>
      <c r="J1157" s="39" t="n"/>
      <c r="K1157" s="37" t="n"/>
      <c r="L1157" s="38" t="n"/>
      <c r="M1157" s="33" t="n"/>
      <c r="N1157" s="33" t="n"/>
      <c r="O1157" s="39" t="n"/>
      <c r="P1157" s="40">
        <f>IF(A1157="","",IF(K1157&lt;&gt;"",K1157,D1157))</f>
        <v/>
      </c>
      <c r="Q1157" s="42">
        <f>IF(A1157="",0,IF(C1157="✗",0,IF(OR(C1157="✓",AND(Setup!$D$7="Yes",P1157&lt;=TODAY())),IF(L1157&lt;&gt;"",L1157,F1157),0)))</f>
        <v/>
      </c>
      <c r="R1157" s="39">
        <f>IF(A1157="","",IF(M1157&lt;&gt;"",M1157,G1157))</f>
        <v/>
      </c>
      <c r="S1157" s="39">
        <f>IF(A1157="","",IF(N1157&lt;&gt;"",N1157,H1157))</f>
        <v/>
      </c>
      <c r="T1157" s="39">
        <f>IF(A1157="","",IF(C1157="✗","Skipped",IF(Q1157&gt;0,"Paid","Upcoming")))</f>
        <v/>
      </c>
      <c r="U1157" s="42">
        <f>IF(A1157="",0,IF(C1157="✗",0,IF(L1157&lt;&gt;"",L1157,F1157)))</f>
        <v/>
      </c>
    </row>
    <row r="1158">
      <c r="A1158" s="32">
        <f>IFERROR(SMALL(Calc!$B$2:$BB$61,1153),"")</f>
        <v/>
      </c>
      <c r="B1158" s="32">
        <f>IF(A1158="","",ROUND(MOD(A1158,1)*1000,0))</f>
        <v/>
      </c>
      <c r="C1158" s="33" t="n"/>
      <c r="D1158" s="34">
        <f>IF(A1158="","",INT(A1158))</f>
        <v/>
      </c>
      <c r="E1158" s="35">
        <f>IF(B1158="","",INDEX(Setup!$D$25:$D$84,B1158))</f>
        <v/>
      </c>
      <c r="F1158" s="36">
        <f>IF(B1158="","",INDEX(Setup!$E$25:$E$84,B1158))</f>
        <v/>
      </c>
      <c r="G1158" s="32">
        <f>IF(B1158="","",INDEX(Setup!$I$25:$I$84,B1158)&amp;"")</f>
        <v/>
      </c>
      <c r="H1158" s="32">
        <f>IF(B1158="","",INDEX(Setup!$J$25:$J$84,B1158)&amp;"")</f>
        <v/>
      </c>
      <c r="I1158" s="32">
        <f>IF(B1158="","",INDEX(Setup!$C$25:$C$84,B1158))</f>
        <v/>
      </c>
      <c r="J1158" s="32" t="n"/>
      <c r="K1158" s="37" t="n"/>
      <c r="L1158" s="38" t="n"/>
      <c r="M1158" s="33" t="n"/>
      <c r="N1158" s="33" t="n"/>
      <c r="O1158" s="32" t="n"/>
      <c r="P1158" s="34">
        <f>IF(A1158="","",IF(K1158&lt;&gt;"",K1158,D1158))</f>
        <v/>
      </c>
      <c r="Q1158" s="36">
        <f>IF(A1158="",0,IF(C1158="✗",0,IF(OR(C1158="✓",AND(Setup!$D$7="Yes",P1158&lt;=TODAY())),IF(L1158&lt;&gt;"",L1158,F1158),0)))</f>
        <v/>
      </c>
      <c r="R1158" s="32">
        <f>IF(A1158="","",IF(M1158&lt;&gt;"",M1158,G1158))</f>
        <v/>
      </c>
      <c r="S1158" s="32">
        <f>IF(A1158="","",IF(N1158&lt;&gt;"",N1158,H1158))</f>
        <v/>
      </c>
      <c r="T1158" s="32">
        <f>IF(A1158="","",IF(C1158="✗","Skipped",IF(Q1158&gt;0,"Paid","Upcoming")))</f>
        <v/>
      </c>
      <c r="U1158" s="36">
        <f>IF(A1158="",0,IF(C1158="✗",0,IF(L1158&lt;&gt;"",L1158,F1158)))</f>
        <v/>
      </c>
    </row>
    <row r="1159">
      <c r="A1159" s="39">
        <f>IFERROR(SMALL(Calc!$B$2:$BB$61,1154),"")</f>
        <v/>
      </c>
      <c r="B1159" s="39">
        <f>IF(A1159="","",ROUND(MOD(A1159,1)*1000,0))</f>
        <v/>
      </c>
      <c r="C1159" s="33" t="n"/>
      <c r="D1159" s="40">
        <f>IF(A1159="","",INT(A1159))</f>
        <v/>
      </c>
      <c r="E1159" s="41">
        <f>IF(B1159="","",INDEX(Setup!$D$25:$D$84,B1159))</f>
        <v/>
      </c>
      <c r="F1159" s="42">
        <f>IF(B1159="","",INDEX(Setup!$E$25:$E$84,B1159))</f>
        <v/>
      </c>
      <c r="G1159" s="39">
        <f>IF(B1159="","",INDEX(Setup!$I$25:$I$84,B1159)&amp;"")</f>
        <v/>
      </c>
      <c r="H1159" s="39">
        <f>IF(B1159="","",INDEX(Setup!$J$25:$J$84,B1159)&amp;"")</f>
        <v/>
      </c>
      <c r="I1159" s="39">
        <f>IF(B1159="","",INDEX(Setup!$C$25:$C$84,B1159))</f>
        <v/>
      </c>
      <c r="J1159" s="39" t="n"/>
      <c r="K1159" s="37" t="n"/>
      <c r="L1159" s="38" t="n"/>
      <c r="M1159" s="33" t="n"/>
      <c r="N1159" s="33" t="n"/>
      <c r="O1159" s="39" t="n"/>
      <c r="P1159" s="40">
        <f>IF(A1159="","",IF(K1159&lt;&gt;"",K1159,D1159))</f>
        <v/>
      </c>
      <c r="Q1159" s="42">
        <f>IF(A1159="",0,IF(C1159="✗",0,IF(OR(C1159="✓",AND(Setup!$D$7="Yes",P1159&lt;=TODAY())),IF(L1159&lt;&gt;"",L1159,F1159),0)))</f>
        <v/>
      </c>
      <c r="R1159" s="39">
        <f>IF(A1159="","",IF(M1159&lt;&gt;"",M1159,G1159))</f>
        <v/>
      </c>
      <c r="S1159" s="39">
        <f>IF(A1159="","",IF(N1159&lt;&gt;"",N1159,H1159))</f>
        <v/>
      </c>
      <c r="T1159" s="39">
        <f>IF(A1159="","",IF(C1159="✗","Skipped",IF(Q1159&gt;0,"Paid","Upcoming")))</f>
        <v/>
      </c>
      <c r="U1159" s="42">
        <f>IF(A1159="",0,IF(C1159="✗",0,IF(L1159&lt;&gt;"",L1159,F1159)))</f>
        <v/>
      </c>
    </row>
    <row r="1160">
      <c r="A1160" s="32">
        <f>IFERROR(SMALL(Calc!$B$2:$BB$61,1155),"")</f>
        <v/>
      </c>
      <c r="B1160" s="32">
        <f>IF(A1160="","",ROUND(MOD(A1160,1)*1000,0))</f>
        <v/>
      </c>
      <c r="C1160" s="33" t="n"/>
      <c r="D1160" s="34">
        <f>IF(A1160="","",INT(A1160))</f>
        <v/>
      </c>
      <c r="E1160" s="35">
        <f>IF(B1160="","",INDEX(Setup!$D$25:$D$84,B1160))</f>
        <v/>
      </c>
      <c r="F1160" s="36">
        <f>IF(B1160="","",INDEX(Setup!$E$25:$E$84,B1160))</f>
        <v/>
      </c>
      <c r="G1160" s="32">
        <f>IF(B1160="","",INDEX(Setup!$I$25:$I$84,B1160)&amp;"")</f>
        <v/>
      </c>
      <c r="H1160" s="32">
        <f>IF(B1160="","",INDEX(Setup!$J$25:$J$84,B1160)&amp;"")</f>
        <v/>
      </c>
      <c r="I1160" s="32">
        <f>IF(B1160="","",INDEX(Setup!$C$25:$C$84,B1160))</f>
        <v/>
      </c>
      <c r="J1160" s="32" t="n"/>
      <c r="K1160" s="37" t="n"/>
      <c r="L1160" s="38" t="n"/>
      <c r="M1160" s="33" t="n"/>
      <c r="N1160" s="33" t="n"/>
      <c r="O1160" s="32" t="n"/>
      <c r="P1160" s="34">
        <f>IF(A1160="","",IF(K1160&lt;&gt;"",K1160,D1160))</f>
        <v/>
      </c>
      <c r="Q1160" s="36">
        <f>IF(A1160="",0,IF(C1160="✗",0,IF(OR(C1160="✓",AND(Setup!$D$7="Yes",P1160&lt;=TODAY())),IF(L1160&lt;&gt;"",L1160,F1160),0)))</f>
        <v/>
      </c>
      <c r="R1160" s="32">
        <f>IF(A1160="","",IF(M1160&lt;&gt;"",M1160,G1160))</f>
        <v/>
      </c>
      <c r="S1160" s="32">
        <f>IF(A1160="","",IF(N1160&lt;&gt;"",N1160,H1160))</f>
        <v/>
      </c>
      <c r="T1160" s="32">
        <f>IF(A1160="","",IF(C1160="✗","Skipped",IF(Q1160&gt;0,"Paid","Upcoming")))</f>
        <v/>
      </c>
      <c r="U1160" s="36">
        <f>IF(A1160="",0,IF(C1160="✗",0,IF(L1160&lt;&gt;"",L1160,F1160)))</f>
        <v/>
      </c>
    </row>
    <row r="1161">
      <c r="A1161" s="39">
        <f>IFERROR(SMALL(Calc!$B$2:$BB$61,1156),"")</f>
        <v/>
      </c>
      <c r="B1161" s="39">
        <f>IF(A1161="","",ROUND(MOD(A1161,1)*1000,0))</f>
        <v/>
      </c>
      <c r="C1161" s="33" t="n"/>
      <c r="D1161" s="40">
        <f>IF(A1161="","",INT(A1161))</f>
        <v/>
      </c>
      <c r="E1161" s="41">
        <f>IF(B1161="","",INDEX(Setup!$D$25:$D$84,B1161))</f>
        <v/>
      </c>
      <c r="F1161" s="42">
        <f>IF(B1161="","",INDEX(Setup!$E$25:$E$84,B1161))</f>
        <v/>
      </c>
      <c r="G1161" s="39">
        <f>IF(B1161="","",INDEX(Setup!$I$25:$I$84,B1161)&amp;"")</f>
        <v/>
      </c>
      <c r="H1161" s="39">
        <f>IF(B1161="","",INDEX(Setup!$J$25:$J$84,B1161)&amp;"")</f>
        <v/>
      </c>
      <c r="I1161" s="39">
        <f>IF(B1161="","",INDEX(Setup!$C$25:$C$84,B1161))</f>
        <v/>
      </c>
      <c r="J1161" s="39" t="n"/>
      <c r="K1161" s="37" t="n"/>
      <c r="L1161" s="38" t="n"/>
      <c r="M1161" s="33" t="n"/>
      <c r="N1161" s="33" t="n"/>
      <c r="O1161" s="39" t="n"/>
      <c r="P1161" s="40">
        <f>IF(A1161="","",IF(K1161&lt;&gt;"",K1161,D1161))</f>
        <v/>
      </c>
      <c r="Q1161" s="42">
        <f>IF(A1161="",0,IF(C1161="✗",0,IF(OR(C1161="✓",AND(Setup!$D$7="Yes",P1161&lt;=TODAY())),IF(L1161&lt;&gt;"",L1161,F1161),0)))</f>
        <v/>
      </c>
      <c r="R1161" s="39">
        <f>IF(A1161="","",IF(M1161&lt;&gt;"",M1161,G1161))</f>
        <v/>
      </c>
      <c r="S1161" s="39">
        <f>IF(A1161="","",IF(N1161&lt;&gt;"",N1161,H1161))</f>
        <v/>
      </c>
      <c r="T1161" s="39">
        <f>IF(A1161="","",IF(C1161="✗","Skipped",IF(Q1161&gt;0,"Paid","Upcoming")))</f>
        <v/>
      </c>
      <c r="U1161" s="42">
        <f>IF(A1161="",0,IF(C1161="✗",0,IF(L1161&lt;&gt;"",L1161,F1161)))</f>
        <v/>
      </c>
    </row>
    <row r="1162">
      <c r="A1162" s="32">
        <f>IFERROR(SMALL(Calc!$B$2:$BB$61,1157),"")</f>
        <v/>
      </c>
      <c r="B1162" s="32">
        <f>IF(A1162="","",ROUND(MOD(A1162,1)*1000,0))</f>
        <v/>
      </c>
      <c r="C1162" s="33" t="n"/>
      <c r="D1162" s="34">
        <f>IF(A1162="","",INT(A1162))</f>
        <v/>
      </c>
      <c r="E1162" s="35">
        <f>IF(B1162="","",INDEX(Setup!$D$25:$D$84,B1162))</f>
        <v/>
      </c>
      <c r="F1162" s="36">
        <f>IF(B1162="","",INDEX(Setup!$E$25:$E$84,B1162))</f>
        <v/>
      </c>
      <c r="G1162" s="32">
        <f>IF(B1162="","",INDEX(Setup!$I$25:$I$84,B1162)&amp;"")</f>
        <v/>
      </c>
      <c r="H1162" s="32">
        <f>IF(B1162="","",INDEX(Setup!$J$25:$J$84,B1162)&amp;"")</f>
        <v/>
      </c>
      <c r="I1162" s="32">
        <f>IF(B1162="","",INDEX(Setup!$C$25:$C$84,B1162))</f>
        <v/>
      </c>
      <c r="J1162" s="32" t="n"/>
      <c r="K1162" s="37" t="n"/>
      <c r="L1162" s="38" t="n"/>
      <c r="M1162" s="33" t="n"/>
      <c r="N1162" s="33" t="n"/>
      <c r="O1162" s="32" t="n"/>
      <c r="P1162" s="34">
        <f>IF(A1162="","",IF(K1162&lt;&gt;"",K1162,D1162))</f>
        <v/>
      </c>
      <c r="Q1162" s="36">
        <f>IF(A1162="",0,IF(C1162="✗",0,IF(OR(C1162="✓",AND(Setup!$D$7="Yes",P1162&lt;=TODAY())),IF(L1162&lt;&gt;"",L1162,F1162),0)))</f>
        <v/>
      </c>
      <c r="R1162" s="32">
        <f>IF(A1162="","",IF(M1162&lt;&gt;"",M1162,G1162))</f>
        <v/>
      </c>
      <c r="S1162" s="32">
        <f>IF(A1162="","",IF(N1162&lt;&gt;"",N1162,H1162))</f>
        <v/>
      </c>
      <c r="T1162" s="32">
        <f>IF(A1162="","",IF(C1162="✗","Skipped",IF(Q1162&gt;0,"Paid","Upcoming")))</f>
        <v/>
      </c>
      <c r="U1162" s="36">
        <f>IF(A1162="",0,IF(C1162="✗",0,IF(L1162&lt;&gt;"",L1162,F1162)))</f>
        <v/>
      </c>
    </row>
    <row r="1163">
      <c r="A1163" s="39">
        <f>IFERROR(SMALL(Calc!$B$2:$BB$61,1158),"")</f>
        <v/>
      </c>
      <c r="B1163" s="39">
        <f>IF(A1163="","",ROUND(MOD(A1163,1)*1000,0))</f>
        <v/>
      </c>
      <c r="C1163" s="33" t="n"/>
      <c r="D1163" s="40">
        <f>IF(A1163="","",INT(A1163))</f>
        <v/>
      </c>
      <c r="E1163" s="41">
        <f>IF(B1163="","",INDEX(Setup!$D$25:$D$84,B1163))</f>
        <v/>
      </c>
      <c r="F1163" s="42">
        <f>IF(B1163="","",INDEX(Setup!$E$25:$E$84,B1163))</f>
        <v/>
      </c>
      <c r="G1163" s="39">
        <f>IF(B1163="","",INDEX(Setup!$I$25:$I$84,B1163)&amp;"")</f>
        <v/>
      </c>
      <c r="H1163" s="39">
        <f>IF(B1163="","",INDEX(Setup!$J$25:$J$84,B1163)&amp;"")</f>
        <v/>
      </c>
      <c r="I1163" s="39">
        <f>IF(B1163="","",INDEX(Setup!$C$25:$C$84,B1163))</f>
        <v/>
      </c>
      <c r="J1163" s="39" t="n"/>
      <c r="K1163" s="37" t="n"/>
      <c r="L1163" s="38" t="n"/>
      <c r="M1163" s="33" t="n"/>
      <c r="N1163" s="33" t="n"/>
      <c r="O1163" s="39" t="n"/>
      <c r="P1163" s="40">
        <f>IF(A1163="","",IF(K1163&lt;&gt;"",K1163,D1163))</f>
        <v/>
      </c>
      <c r="Q1163" s="42">
        <f>IF(A1163="",0,IF(C1163="✗",0,IF(OR(C1163="✓",AND(Setup!$D$7="Yes",P1163&lt;=TODAY())),IF(L1163&lt;&gt;"",L1163,F1163),0)))</f>
        <v/>
      </c>
      <c r="R1163" s="39">
        <f>IF(A1163="","",IF(M1163&lt;&gt;"",M1163,G1163))</f>
        <v/>
      </c>
      <c r="S1163" s="39">
        <f>IF(A1163="","",IF(N1163&lt;&gt;"",N1163,H1163))</f>
        <v/>
      </c>
      <c r="T1163" s="39">
        <f>IF(A1163="","",IF(C1163="✗","Skipped",IF(Q1163&gt;0,"Paid","Upcoming")))</f>
        <v/>
      </c>
      <c r="U1163" s="42">
        <f>IF(A1163="",0,IF(C1163="✗",0,IF(L1163&lt;&gt;"",L1163,F1163)))</f>
        <v/>
      </c>
    </row>
    <row r="1164">
      <c r="A1164" s="32">
        <f>IFERROR(SMALL(Calc!$B$2:$BB$61,1159),"")</f>
        <v/>
      </c>
      <c r="B1164" s="32">
        <f>IF(A1164="","",ROUND(MOD(A1164,1)*1000,0))</f>
        <v/>
      </c>
      <c r="C1164" s="33" t="n"/>
      <c r="D1164" s="34">
        <f>IF(A1164="","",INT(A1164))</f>
        <v/>
      </c>
      <c r="E1164" s="35">
        <f>IF(B1164="","",INDEX(Setup!$D$25:$D$84,B1164))</f>
        <v/>
      </c>
      <c r="F1164" s="36">
        <f>IF(B1164="","",INDEX(Setup!$E$25:$E$84,B1164))</f>
        <v/>
      </c>
      <c r="G1164" s="32">
        <f>IF(B1164="","",INDEX(Setup!$I$25:$I$84,B1164)&amp;"")</f>
        <v/>
      </c>
      <c r="H1164" s="32">
        <f>IF(B1164="","",INDEX(Setup!$J$25:$J$84,B1164)&amp;"")</f>
        <v/>
      </c>
      <c r="I1164" s="32">
        <f>IF(B1164="","",INDEX(Setup!$C$25:$C$84,B1164))</f>
        <v/>
      </c>
      <c r="J1164" s="32" t="n"/>
      <c r="K1164" s="37" t="n"/>
      <c r="L1164" s="38" t="n"/>
      <c r="M1164" s="33" t="n"/>
      <c r="N1164" s="33" t="n"/>
      <c r="O1164" s="32" t="n"/>
      <c r="P1164" s="34">
        <f>IF(A1164="","",IF(K1164&lt;&gt;"",K1164,D1164))</f>
        <v/>
      </c>
      <c r="Q1164" s="36">
        <f>IF(A1164="",0,IF(C1164="✗",0,IF(OR(C1164="✓",AND(Setup!$D$7="Yes",P1164&lt;=TODAY())),IF(L1164&lt;&gt;"",L1164,F1164),0)))</f>
        <v/>
      </c>
      <c r="R1164" s="32">
        <f>IF(A1164="","",IF(M1164&lt;&gt;"",M1164,G1164))</f>
        <v/>
      </c>
      <c r="S1164" s="32">
        <f>IF(A1164="","",IF(N1164&lt;&gt;"",N1164,H1164))</f>
        <v/>
      </c>
      <c r="T1164" s="32">
        <f>IF(A1164="","",IF(C1164="✗","Skipped",IF(Q1164&gt;0,"Paid","Upcoming")))</f>
        <v/>
      </c>
      <c r="U1164" s="36">
        <f>IF(A1164="",0,IF(C1164="✗",0,IF(L1164&lt;&gt;"",L1164,F1164)))</f>
        <v/>
      </c>
    </row>
    <row r="1165">
      <c r="A1165" s="39">
        <f>IFERROR(SMALL(Calc!$B$2:$BB$61,1160),"")</f>
        <v/>
      </c>
      <c r="B1165" s="39">
        <f>IF(A1165="","",ROUND(MOD(A1165,1)*1000,0))</f>
        <v/>
      </c>
      <c r="C1165" s="33" t="n"/>
      <c r="D1165" s="40">
        <f>IF(A1165="","",INT(A1165))</f>
        <v/>
      </c>
      <c r="E1165" s="41">
        <f>IF(B1165="","",INDEX(Setup!$D$25:$D$84,B1165))</f>
        <v/>
      </c>
      <c r="F1165" s="42">
        <f>IF(B1165="","",INDEX(Setup!$E$25:$E$84,B1165))</f>
        <v/>
      </c>
      <c r="G1165" s="39">
        <f>IF(B1165="","",INDEX(Setup!$I$25:$I$84,B1165)&amp;"")</f>
        <v/>
      </c>
      <c r="H1165" s="39">
        <f>IF(B1165="","",INDEX(Setup!$J$25:$J$84,B1165)&amp;"")</f>
        <v/>
      </c>
      <c r="I1165" s="39">
        <f>IF(B1165="","",INDEX(Setup!$C$25:$C$84,B1165))</f>
        <v/>
      </c>
      <c r="J1165" s="39" t="n"/>
      <c r="K1165" s="37" t="n"/>
      <c r="L1165" s="38" t="n"/>
      <c r="M1165" s="33" t="n"/>
      <c r="N1165" s="33" t="n"/>
      <c r="O1165" s="39" t="n"/>
      <c r="P1165" s="40">
        <f>IF(A1165="","",IF(K1165&lt;&gt;"",K1165,D1165))</f>
        <v/>
      </c>
      <c r="Q1165" s="42">
        <f>IF(A1165="",0,IF(C1165="✗",0,IF(OR(C1165="✓",AND(Setup!$D$7="Yes",P1165&lt;=TODAY())),IF(L1165&lt;&gt;"",L1165,F1165),0)))</f>
        <v/>
      </c>
      <c r="R1165" s="39">
        <f>IF(A1165="","",IF(M1165&lt;&gt;"",M1165,G1165))</f>
        <v/>
      </c>
      <c r="S1165" s="39">
        <f>IF(A1165="","",IF(N1165&lt;&gt;"",N1165,H1165))</f>
        <v/>
      </c>
      <c r="T1165" s="39">
        <f>IF(A1165="","",IF(C1165="✗","Skipped",IF(Q1165&gt;0,"Paid","Upcoming")))</f>
        <v/>
      </c>
      <c r="U1165" s="42">
        <f>IF(A1165="",0,IF(C1165="✗",0,IF(L1165&lt;&gt;"",L1165,F1165)))</f>
        <v/>
      </c>
    </row>
    <row r="1166">
      <c r="A1166" s="32">
        <f>IFERROR(SMALL(Calc!$B$2:$BB$61,1161),"")</f>
        <v/>
      </c>
      <c r="B1166" s="32">
        <f>IF(A1166="","",ROUND(MOD(A1166,1)*1000,0))</f>
        <v/>
      </c>
      <c r="C1166" s="33" t="n"/>
      <c r="D1166" s="34">
        <f>IF(A1166="","",INT(A1166))</f>
        <v/>
      </c>
      <c r="E1166" s="35">
        <f>IF(B1166="","",INDEX(Setup!$D$25:$D$84,B1166))</f>
        <v/>
      </c>
      <c r="F1166" s="36">
        <f>IF(B1166="","",INDEX(Setup!$E$25:$E$84,B1166))</f>
        <v/>
      </c>
      <c r="G1166" s="32">
        <f>IF(B1166="","",INDEX(Setup!$I$25:$I$84,B1166)&amp;"")</f>
        <v/>
      </c>
      <c r="H1166" s="32">
        <f>IF(B1166="","",INDEX(Setup!$J$25:$J$84,B1166)&amp;"")</f>
        <v/>
      </c>
      <c r="I1166" s="32">
        <f>IF(B1166="","",INDEX(Setup!$C$25:$C$84,B1166))</f>
        <v/>
      </c>
      <c r="J1166" s="32" t="n"/>
      <c r="K1166" s="37" t="n"/>
      <c r="L1166" s="38" t="n"/>
      <c r="M1166" s="33" t="n"/>
      <c r="N1166" s="33" t="n"/>
      <c r="O1166" s="32" t="n"/>
      <c r="P1166" s="34">
        <f>IF(A1166="","",IF(K1166&lt;&gt;"",K1166,D1166))</f>
        <v/>
      </c>
      <c r="Q1166" s="36">
        <f>IF(A1166="",0,IF(C1166="✗",0,IF(OR(C1166="✓",AND(Setup!$D$7="Yes",P1166&lt;=TODAY())),IF(L1166&lt;&gt;"",L1166,F1166),0)))</f>
        <v/>
      </c>
      <c r="R1166" s="32">
        <f>IF(A1166="","",IF(M1166&lt;&gt;"",M1166,G1166))</f>
        <v/>
      </c>
      <c r="S1166" s="32">
        <f>IF(A1166="","",IF(N1166&lt;&gt;"",N1166,H1166))</f>
        <v/>
      </c>
      <c r="T1166" s="32">
        <f>IF(A1166="","",IF(C1166="✗","Skipped",IF(Q1166&gt;0,"Paid","Upcoming")))</f>
        <v/>
      </c>
      <c r="U1166" s="36">
        <f>IF(A1166="",0,IF(C1166="✗",0,IF(L1166&lt;&gt;"",L1166,F1166)))</f>
        <v/>
      </c>
    </row>
    <row r="1167">
      <c r="A1167" s="39">
        <f>IFERROR(SMALL(Calc!$B$2:$BB$61,1162),"")</f>
        <v/>
      </c>
      <c r="B1167" s="39">
        <f>IF(A1167="","",ROUND(MOD(A1167,1)*1000,0))</f>
        <v/>
      </c>
      <c r="C1167" s="33" t="n"/>
      <c r="D1167" s="40">
        <f>IF(A1167="","",INT(A1167))</f>
        <v/>
      </c>
      <c r="E1167" s="41">
        <f>IF(B1167="","",INDEX(Setup!$D$25:$D$84,B1167))</f>
        <v/>
      </c>
      <c r="F1167" s="42">
        <f>IF(B1167="","",INDEX(Setup!$E$25:$E$84,B1167))</f>
        <v/>
      </c>
      <c r="G1167" s="39">
        <f>IF(B1167="","",INDEX(Setup!$I$25:$I$84,B1167)&amp;"")</f>
        <v/>
      </c>
      <c r="H1167" s="39">
        <f>IF(B1167="","",INDEX(Setup!$J$25:$J$84,B1167)&amp;"")</f>
        <v/>
      </c>
      <c r="I1167" s="39">
        <f>IF(B1167="","",INDEX(Setup!$C$25:$C$84,B1167))</f>
        <v/>
      </c>
      <c r="J1167" s="39" t="n"/>
      <c r="K1167" s="37" t="n"/>
      <c r="L1167" s="38" t="n"/>
      <c r="M1167" s="33" t="n"/>
      <c r="N1167" s="33" t="n"/>
      <c r="O1167" s="39" t="n"/>
      <c r="P1167" s="40">
        <f>IF(A1167="","",IF(K1167&lt;&gt;"",K1167,D1167))</f>
        <v/>
      </c>
      <c r="Q1167" s="42">
        <f>IF(A1167="",0,IF(C1167="✗",0,IF(OR(C1167="✓",AND(Setup!$D$7="Yes",P1167&lt;=TODAY())),IF(L1167&lt;&gt;"",L1167,F1167),0)))</f>
        <v/>
      </c>
      <c r="R1167" s="39">
        <f>IF(A1167="","",IF(M1167&lt;&gt;"",M1167,G1167))</f>
        <v/>
      </c>
      <c r="S1167" s="39">
        <f>IF(A1167="","",IF(N1167&lt;&gt;"",N1167,H1167))</f>
        <v/>
      </c>
      <c r="T1167" s="39">
        <f>IF(A1167="","",IF(C1167="✗","Skipped",IF(Q1167&gt;0,"Paid","Upcoming")))</f>
        <v/>
      </c>
      <c r="U1167" s="42">
        <f>IF(A1167="",0,IF(C1167="✗",0,IF(L1167&lt;&gt;"",L1167,F1167)))</f>
        <v/>
      </c>
    </row>
    <row r="1168">
      <c r="A1168" s="32">
        <f>IFERROR(SMALL(Calc!$B$2:$BB$61,1163),"")</f>
        <v/>
      </c>
      <c r="B1168" s="32">
        <f>IF(A1168="","",ROUND(MOD(A1168,1)*1000,0))</f>
        <v/>
      </c>
      <c r="C1168" s="33" t="n"/>
      <c r="D1168" s="34">
        <f>IF(A1168="","",INT(A1168))</f>
        <v/>
      </c>
      <c r="E1168" s="35">
        <f>IF(B1168="","",INDEX(Setup!$D$25:$D$84,B1168))</f>
        <v/>
      </c>
      <c r="F1168" s="36">
        <f>IF(B1168="","",INDEX(Setup!$E$25:$E$84,B1168))</f>
        <v/>
      </c>
      <c r="G1168" s="32">
        <f>IF(B1168="","",INDEX(Setup!$I$25:$I$84,B1168)&amp;"")</f>
        <v/>
      </c>
      <c r="H1168" s="32">
        <f>IF(B1168="","",INDEX(Setup!$J$25:$J$84,B1168)&amp;"")</f>
        <v/>
      </c>
      <c r="I1168" s="32">
        <f>IF(B1168="","",INDEX(Setup!$C$25:$C$84,B1168))</f>
        <v/>
      </c>
      <c r="J1168" s="32" t="n"/>
      <c r="K1168" s="37" t="n"/>
      <c r="L1168" s="38" t="n"/>
      <c r="M1168" s="33" t="n"/>
      <c r="N1168" s="33" t="n"/>
      <c r="O1168" s="32" t="n"/>
      <c r="P1168" s="34">
        <f>IF(A1168="","",IF(K1168&lt;&gt;"",K1168,D1168))</f>
        <v/>
      </c>
      <c r="Q1168" s="36">
        <f>IF(A1168="",0,IF(C1168="✗",0,IF(OR(C1168="✓",AND(Setup!$D$7="Yes",P1168&lt;=TODAY())),IF(L1168&lt;&gt;"",L1168,F1168),0)))</f>
        <v/>
      </c>
      <c r="R1168" s="32">
        <f>IF(A1168="","",IF(M1168&lt;&gt;"",M1168,G1168))</f>
        <v/>
      </c>
      <c r="S1168" s="32">
        <f>IF(A1168="","",IF(N1168&lt;&gt;"",N1168,H1168))</f>
        <v/>
      </c>
      <c r="T1168" s="32">
        <f>IF(A1168="","",IF(C1168="✗","Skipped",IF(Q1168&gt;0,"Paid","Upcoming")))</f>
        <v/>
      </c>
      <c r="U1168" s="36">
        <f>IF(A1168="",0,IF(C1168="✗",0,IF(L1168&lt;&gt;"",L1168,F1168)))</f>
        <v/>
      </c>
    </row>
    <row r="1169">
      <c r="A1169" s="39">
        <f>IFERROR(SMALL(Calc!$B$2:$BB$61,1164),"")</f>
        <v/>
      </c>
      <c r="B1169" s="39">
        <f>IF(A1169="","",ROUND(MOD(A1169,1)*1000,0))</f>
        <v/>
      </c>
      <c r="C1169" s="33" t="n"/>
      <c r="D1169" s="40">
        <f>IF(A1169="","",INT(A1169))</f>
        <v/>
      </c>
      <c r="E1169" s="41">
        <f>IF(B1169="","",INDEX(Setup!$D$25:$D$84,B1169))</f>
        <v/>
      </c>
      <c r="F1169" s="42">
        <f>IF(B1169="","",INDEX(Setup!$E$25:$E$84,B1169))</f>
        <v/>
      </c>
      <c r="G1169" s="39">
        <f>IF(B1169="","",INDEX(Setup!$I$25:$I$84,B1169)&amp;"")</f>
        <v/>
      </c>
      <c r="H1169" s="39">
        <f>IF(B1169="","",INDEX(Setup!$J$25:$J$84,B1169)&amp;"")</f>
        <v/>
      </c>
      <c r="I1169" s="39">
        <f>IF(B1169="","",INDEX(Setup!$C$25:$C$84,B1169))</f>
        <v/>
      </c>
      <c r="J1169" s="39" t="n"/>
      <c r="K1169" s="37" t="n"/>
      <c r="L1169" s="38" t="n"/>
      <c r="M1169" s="33" t="n"/>
      <c r="N1169" s="33" t="n"/>
      <c r="O1169" s="39" t="n"/>
      <c r="P1169" s="40">
        <f>IF(A1169="","",IF(K1169&lt;&gt;"",K1169,D1169))</f>
        <v/>
      </c>
      <c r="Q1169" s="42">
        <f>IF(A1169="",0,IF(C1169="✗",0,IF(OR(C1169="✓",AND(Setup!$D$7="Yes",P1169&lt;=TODAY())),IF(L1169&lt;&gt;"",L1169,F1169),0)))</f>
        <v/>
      </c>
      <c r="R1169" s="39">
        <f>IF(A1169="","",IF(M1169&lt;&gt;"",M1169,G1169))</f>
        <v/>
      </c>
      <c r="S1169" s="39">
        <f>IF(A1169="","",IF(N1169&lt;&gt;"",N1169,H1169))</f>
        <v/>
      </c>
      <c r="T1169" s="39">
        <f>IF(A1169="","",IF(C1169="✗","Skipped",IF(Q1169&gt;0,"Paid","Upcoming")))</f>
        <v/>
      </c>
      <c r="U1169" s="42">
        <f>IF(A1169="",0,IF(C1169="✗",0,IF(L1169&lt;&gt;"",L1169,F1169)))</f>
        <v/>
      </c>
    </row>
    <row r="1170">
      <c r="A1170" s="32">
        <f>IFERROR(SMALL(Calc!$B$2:$BB$61,1165),"")</f>
        <v/>
      </c>
      <c r="B1170" s="32">
        <f>IF(A1170="","",ROUND(MOD(A1170,1)*1000,0))</f>
        <v/>
      </c>
      <c r="C1170" s="33" t="n"/>
      <c r="D1170" s="34">
        <f>IF(A1170="","",INT(A1170))</f>
        <v/>
      </c>
      <c r="E1170" s="35">
        <f>IF(B1170="","",INDEX(Setup!$D$25:$D$84,B1170))</f>
        <v/>
      </c>
      <c r="F1170" s="36">
        <f>IF(B1170="","",INDEX(Setup!$E$25:$E$84,B1170))</f>
        <v/>
      </c>
      <c r="G1170" s="32">
        <f>IF(B1170="","",INDEX(Setup!$I$25:$I$84,B1170)&amp;"")</f>
        <v/>
      </c>
      <c r="H1170" s="32">
        <f>IF(B1170="","",INDEX(Setup!$J$25:$J$84,B1170)&amp;"")</f>
        <v/>
      </c>
      <c r="I1170" s="32">
        <f>IF(B1170="","",INDEX(Setup!$C$25:$C$84,B1170))</f>
        <v/>
      </c>
      <c r="J1170" s="32" t="n"/>
      <c r="K1170" s="37" t="n"/>
      <c r="L1170" s="38" t="n"/>
      <c r="M1170" s="33" t="n"/>
      <c r="N1170" s="33" t="n"/>
      <c r="O1170" s="32" t="n"/>
      <c r="P1170" s="34">
        <f>IF(A1170="","",IF(K1170&lt;&gt;"",K1170,D1170))</f>
        <v/>
      </c>
      <c r="Q1170" s="36">
        <f>IF(A1170="",0,IF(C1170="✗",0,IF(OR(C1170="✓",AND(Setup!$D$7="Yes",P1170&lt;=TODAY())),IF(L1170&lt;&gt;"",L1170,F1170),0)))</f>
        <v/>
      </c>
      <c r="R1170" s="32">
        <f>IF(A1170="","",IF(M1170&lt;&gt;"",M1170,G1170))</f>
        <v/>
      </c>
      <c r="S1170" s="32">
        <f>IF(A1170="","",IF(N1170&lt;&gt;"",N1170,H1170))</f>
        <v/>
      </c>
      <c r="T1170" s="32">
        <f>IF(A1170="","",IF(C1170="✗","Skipped",IF(Q1170&gt;0,"Paid","Upcoming")))</f>
        <v/>
      </c>
      <c r="U1170" s="36">
        <f>IF(A1170="",0,IF(C1170="✗",0,IF(L1170&lt;&gt;"",L1170,F1170)))</f>
        <v/>
      </c>
    </row>
    <row r="1171">
      <c r="A1171" s="39">
        <f>IFERROR(SMALL(Calc!$B$2:$BB$61,1166),"")</f>
        <v/>
      </c>
      <c r="B1171" s="39">
        <f>IF(A1171="","",ROUND(MOD(A1171,1)*1000,0))</f>
        <v/>
      </c>
      <c r="C1171" s="33" t="n"/>
      <c r="D1171" s="40">
        <f>IF(A1171="","",INT(A1171))</f>
        <v/>
      </c>
      <c r="E1171" s="41">
        <f>IF(B1171="","",INDEX(Setup!$D$25:$D$84,B1171))</f>
        <v/>
      </c>
      <c r="F1171" s="42">
        <f>IF(B1171="","",INDEX(Setup!$E$25:$E$84,B1171))</f>
        <v/>
      </c>
      <c r="G1171" s="39">
        <f>IF(B1171="","",INDEX(Setup!$I$25:$I$84,B1171)&amp;"")</f>
        <v/>
      </c>
      <c r="H1171" s="39">
        <f>IF(B1171="","",INDEX(Setup!$J$25:$J$84,B1171)&amp;"")</f>
        <v/>
      </c>
      <c r="I1171" s="39">
        <f>IF(B1171="","",INDEX(Setup!$C$25:$C$84,B1171))</f>
        <v/>
      </c>
      <c r="J1171" s="39" t="n"/>
      <c r="K1171" s="37" t="n"/>
      <c r="L1171" s="38" t="n"/>
      <c r="M1171" s="33" t="n"/>
      <c r="N1171" s="33" t="n"/>
      <c r="O1171" s="39" t="n"/>
      <c r="P1171" s="40">
        <f>IF(A1171="","",IF(K1171&lt;&gt;"",K1171,D1171))</f>
        <v/>
      </c>
      <c r="Q1171" s="42">
        <f>IF(A1171="",0,IF(C1171="✗",0,IF(OR(C1171="✓",AND(Setup!$D$7="Yes",P1171&lt;=TODAY())),IF(L1171&lt;&gt;"",L1171,F1171),0)))</f>
        <v/>
      </c>
      <c r="R1171" s="39">
        <f>IF(A1171="","",IF(M1171&lt;&gt;"",M1171,G1171))</f>
        <v/>
      </c>
      <c r="S1171" s="39">
        <f>IF(A1171="","",IF(N1171&lt;&gt;"",N1171,H1171))</f>
        <v/>
      </c>
      <c r="T1171" s="39">
        <f>IF(A1171="","",IF(C1171="✗","Skipped",IF(Q1171&gt;0,"Paid","Upcoming")))</f>
        <v/>
      </c>
      <c r="U1171" s="42">
        <f>IF(A1171="",0,IF(C1171="✗",0,IF(L1171&lt;&gt;"",L1171,F1171)))</f>
        <v/>
      </c>
    </row>
    <row r="1172">
      <c r="A1172" s="32">
        <f>IFERROR(SMALL(Calc!$B$2:$BB$61,1167),"")</f>
        <v/>
      </c>
      <c r="B1172" s="32">
        <f>IF(A1172="","",ROUND(MOD(A1172,1)*1000,0))</f>
        <v/>
      </c>
      <c r="C1172" s="33" t="n"/>
      <c r="D1172" s="34">
        <f>IF(A1172="","",INT(A1172))</f>
        <v/>
      </c>
      <c r="E1172" s="35">
        <f>IF(B1172="","",INDEX(Setup!$D$25:$D$84,B1172))</f>
        <v/>
      </c>
      <c r="F1172" s="36">
        <f>IF(B1172="","",INDEX(Setup!$E$25:$E$84,B1172))</f>
        <v/>
      </c>
      <c r="G1172" s="32">
        <f>IF(B1172="","",INDEX(Setup!$I$25:$I$84,B1172)&amp;"")</f>
        <v/>
      </c>
      <c r="H1172" s="32">
        <f>IF(B1172="","",INDEX(Setup!$J$25:$J$84,B1172)&amp;"")</f>
        <v/>
      </c>
      <c r="I1172" s="32">
        <f>IF(B1172="","",INDEX(Setup!$C$25:$C$84,B1172))</f>
        <v/>
      </c>
      <c r="J1172" s="32" t="n"/>
      <c r="K1172" s="37" t="n"/>
      <c r="L1172" s="38" t="n"/>
      <c r="M1172" s="33" t="n"/>
      <c r="N1172" s="33" t="n"/>
      <c r="O1172" s="32" t="n"/>
      <c r="P1172" s="34">
        <f>IF(A1172="","",IF(K1172&lt;&gt;"",K1172,D1172))</f>
        <v/>
      </c>
      <c r="Q1172" s="36">
        <f>IF(A1172="",0,IF(C1172="✗",0,IF(OR(C1172="✓",AND(Setup!$D$7="Yes",P1172&lt;=TODAY())),IF(L1172&lt;&gt;"",L1172,F1172),0)))</f>
        <v/>
      </c>
      <c r="R1172" s="32">
        <f>IF(A1172="","",IF(M1172&lt;&gt;"",M1172,G1172))</f>
        <v/>
      </c>
      <c r="S1172" s="32">
        <f>IF(A1172="","",IF(N1172&lt;&gt;"",N1172,H1172))</f>
        <v/>
      </c>
      <c r="T1172" s="32">
        <f>IF(A1172="","",IF(C1172="✗","Skipped",IF(Q1172&gt;0,"Paid","Upcoming")))</f>
        <v/>
      </c>
      <c r="U1172" s="36">
        <f>IF(A1172="",0,IF(C1172="✗",0,IF(L1172&lt;&gt;"",L1172,F1172)))</f>
        <v/>
      </c>
    </row>
    <row r="1173">
      <c r="A1173" s="39">
        <f>IFERROR(SMALL(Calc!$B$2:$BB$61,1168),"")</f>
        <v/>
      </c>
      <c r="B1173" s="39">
        <f>IF(A1173="","",ROUND(MOD(A1173,1)*1000,0))</f>
        <v/>
      </c>
      <c r="C1173" s="33" t="n"/>
      <c r="D1173" s="40">
        <f>IF(A1173="","",INT(A1173))</f>
        <v/>
      </c>
      <c r="E1173" s="41">
        <f>IF(B1173="","",INDEX(Setup!$D$25:$D$84,B1173))</f>
        <v/>
      </c>
      <c r="F1173" s="42">
        <f>IF(B1173="","",INDEX(Setup!$E$25:$E$84,B1173))</f>
        <v/>
      </c>
      <c r="G1173" s="39">
        <f>IF(B1173="","",INDEX(Setup!$I$25:$I$84,B1173)&amp;"")</f>
        <v/>
      </c>
      <c r="H1173" s="39">
        <f>IF(B1173="","",INDEX(Setup!$J$25:$J$84,B1173)&amp;"")</f>
        <v/>
      </c>
      <c r="I1173" s="39">
        <f>IF(B1173="","",INDEX(Setup!$C$25:$C$84,B1173))</f>
        <v/>
      </c>
      <c r="J1173" s="39" t="n"/>
      <c r="K1173" s="37" t="n"/>
      <c r="L1173" s="38" t="n"/>
      <c r="M1173" s="33" t="n"/>
      <c r="N1173" s="33" t="n"/>
      <c r="O1173" s="39" t="n"/>
      <c r="P1173" s="40">
        <f>IF(A1173="","",IF(K1173&lt;&gt;"",K1173,D1173))</f>
        <v/>
      </c>
      <c r="Q1173" s="42">
        <f>IF(A1173="",0,IF(C1173="✗",0,IF(OR(C1173="✓",AND(Setup!$D$7="Yes",P1173&lt;=TODAY())),IF(L1173&lt;&gt;"",L1173,F1173),0)))</f>
        <v/>
      </c>
      <c r="R1173" s="39">
        <f>IF(A1173="","",IF(M1173&lt;&gt;"",M1173,G1173))</f>
        <v/>
      </c>
      <c r="S1173" s="39">
        <f>IF(A1173="","",IF(N1173&lt;&gt;"",N1173,H1173))</f>
        <v/>
      </c>
      <c r="T1173" s="39">
        <f>IF(A1173="","",IF(C1173="✗","Skipped",IF(Q1173&gt;0,"Paid","Upcoming")))</f>
        <v/>
      </c>
      <c r="U1173" s="42">
        <f>IF(A1173="",0,IF(C1173="✗",0,IF(L1173&lt;&gt;"",L1173,F1173)))</f>
        <v/>
      </c>
    </row>
    <row r="1174">
      <c r="A1174" s="32">
        <f>IFERROR(SMALL(Calc!$B$2:$BB$61,1169),"")</f>
        <v/>
      </c>
      <c r="B1174" s="32">
        <f>IF(A1174="","",ROUND(MOD(A1174,1)*1000,0))</f>
        <v/>
      </c>
      <c r="C1174" s="33" t="n"/>
      <c r="D1174" s="34">
        <f>IF(A1174="","",INT(A1174))</f>
        <v/>
      </c>
      <c r="E1174" s="35">
        <f>IF(B1174="","",INDEX(Setup!$D$25:$D$84,B1174))</f>
        <v/>
      </c>
      <c r="F1174" s="36">
        <f>IF(B1174="","",INDEX(Setup!$E$25:$E$84,B1174))</f>
        <v/>
      </c>
      <c r="G1174" s="32">
        <f>IF(B1174="","",INDEX(Setup!$I$25:$I$84,B1174)&amp;"")</f>
        <v/>
      </c>
      <c r="H1174" s="32">
        <f>IF(B1174="","",INDEX(Setup!$J$25:$J$84,B1174)&amp;"")</f>
        <v/>
      </c>
      <c r="I1174" s="32">
        <f>IF(B1174="","",INDEX(Setup!$C$25:$C$84,B1174))</f>
        <v/>
      </c>
      <c r="J1174" s="32" t="n"/>
      <c r="K1174" s="37" t="n"/>
      <c r="L1174" s="38" t="n"/>
      <c r="M1174" s="33" t="n"/>
      <c r="N1174" s="33" t="n"/>
      <c r="O1174" s="32" t="n"/>
      <c r="P1174" s="34">
        <f>IF(A1174="","",IF(K1174&lt;&gt;"",K1174,D1174))</f>
        <v/>
      </c>
      <c r="Q1174" s="36">
        <f>IF(A1174="",0,IF(C1174="✗",0,IF(OR(C1174="✓",AND(Setup!$D$7="Yes",P1174&lt;=TODAY())),IF(L1174&lt;&gt;"",L1174,F1174),0)))</f>
        <v/>
      </c>
      <c r="R1174" s="32">
        <f>IF(A1174="","",IF(M1174&lt;&gt;"",M1174,G1174))</f>
        <v/>
      </c>
      <c r="S1174" s="32">
        <f>IF(A1174="","",IF(N1174&lt;&gt;"",N1174,H1174))</f>
        <v/>
      </c>
      <c r="T1174" s="32">
        <f>IF(A1174="","",IF(C1174="✗","Skipped",IF(Q1174&gt;0,"Paid","Upcoming")))</f>
        <v/>
      </c>
      <c r="U1174" s="36">
        <f>IF(A1174="",0,IF(C1174="✗",0,IF(L1174&lt;&gt;"",L1174,F1174)))</f>
        <v/>
      </c>
    </row>
    <row r="1175">
      <c r="A1175" s="39">
        <f>IFERROR(SMALL(Calc!$B$2:$BB$61,1170),"")</f>
        <v/>
      </c>
      <c r="B1175" s="39">
        <f>IF(A1175="","",ROUND(MOD(A1175,1)*1000,0))</f>
        <v/>
      </c>
      <c r="C1175" s="33" t="n"/>
      <c r="D1175" s="40">
        <f>IF(A1175="","",INT(A1175))</f>
        <v/>
      </c>
      <c r="E1175" s="41">
        <f>IF(B1175="","",INDEX(Setup!$D$25:$D$84,B1175))</f>
        <v/>
      </c>
      <c r="F1175" s="42">
        <f>IF(B1175="","",INDEX(Setup!$E$25:$E$84,B1175))</f>
        <v/>
      </c>
      <c r="G1175" s="39">
        <f>IF(B1175="","",INDEX(Setup!$I$25:$I$84,B1175)&amp;"")</f>
        <v/>
      </c>
      <c r="H1175" s="39">
        <f>IF(B1175="","",INDEX(Setup!$J$25:$J$84,B1175)&amp;"")</f>
        <v/>
      </c>
      <c r="I1175" s="39">
        <f>IF(B1175="","",INDEX(Setup!$C$25:$C$84,B1175))</f>
        <v/>
      </c>
      <c r="J1175" s="39" t="n"/>
      <c r="K1175" s="37" t="n"/>
      <c r="L1175" s="38" t="n"/>
      <c r="M1175" s="33" t="n"/>
      <c r="N1175" s="33" t="n"/>
      <c r="O1175" s="39" t="n"/>
      <c r="P1175" s="40">
        <f>IF(A1175="","",IF(K1175&lt;&gt;"",K1175,D1175))</f>
        <v/>
      </c>
      <c r="Q1175" s="42">
        <f>IF(A1175="",0,IF(C1175="✗",0,IF(OR(C1175="✓",AND(Setup!$D$7="Yes",P1175&lt;=TODAY())),IF(L1175&lt;&gt;"",L1175,F1175),0)))</f>
        <v/>
      </c>
      <c r="R1175" s="39">
        <f>IF(A1175="","",IF(M1175&lt;&gt;"",M1175,G1175))</f>
        <v/>
      </c>
      <c r="S1175" s="39">
        <f>IF(A1175="","",IF(N1175&lt;&gt;"",N1175,H1175))</f>
        <v/>
      </c>
      <c r="T1175" s="39">
        <f>IF(A1175="","",IF(C1175="✗","Skipped",IF(Q1175&gt;0,"Paid","Upcoming")))</f>
        <v/>
      </c>
      <c r="U1175" s="42">
        <f>IF(A1175="",0,IF(C1175="✗",0,IF(L1175&lt;&gt;"",L1175,F1175)))</f>
        <v/>
      </c>
    </row>
    <row r="1176">
      <c r="A1176" s="32">
        <f>IFERROR(SMALL(Calc!$B$2:$BB$61,1171),"")</f>
        <v/>
      </c>
      <c r="B1176" s="32">
        <f>IF(A1176="","",ROUND(MOD(A1176,1)*1000,0))</f>
        <v/>
      </c>
      <c r="C1176" s="33" t="n"/>
      <c r="D1176" s="34">
        <f>IF(A1176="","",INT(A1176))</f>
        <v/>
      </c>
      <c r="E1176" s="35">
        <f>IF(B1176="","",INDEX(Setup!$D$25:$D$84,B1176))</f>
        <v/>
      </c>
      <c r="F1176" s="36">
        <f>IF(B1176="","",INDEX(Setup!$E$25:$E$84,B1176))</f>
        <v/>
      </c>
      <c r="G1176" s="32">
        <f>IF(B1176="","",INDEX(Setup!$I$25:$I$84,B1176)&amp;"")</f>
        <v/>
      </c>
      <c r="H1176" s="32">
        <f>IF(B1176="","",INDEX(Setup!$J$25:$J$84,B1176)&amp;"")</f>
        <v/>
      </c>
      <c r="I1176" s="32">
        <f>IF(B1176="","",INDEX(Setup!$C$25:$C$84,B1176))</f>
        <v/>
      </c>
      <c r="J1176" s="32" t="n"/>
      <c r="K1176" s="37" t="n"/>
      <c r="L1176" s="38" t="n"/>
      <c r="M1176" s="33" t="n"/>
      <c r="N1176" s="33" t="n"/>
      <c r="O1176" s="32" t="n"/>
      <c r="P1176" s="34">
        <f>IF(A1176="","",IF(K1176&lt;&gt;"",K1176,D1176))</f>
        <v/>
      </c>
      <c r="Q1176" s="36">
        <f>IF(A1176="",0,IF(C1176="✗",0,IF(OR(C1176="✓",AND(Setup!$D$7="Yes",P1176&lt;=TODAY())),IF(L1176&lt;&gt;"",L1176,F1176),0)))</f>
        <v/>
      </c>
      <c r="R1176" s="32">
        <f>IF(A1176="","",IF(M1176&lt;&gt;"",M1176,G1176))</f>
        <v/>
      </c>
      <c r="S1176" s="32">
        <f>IF(A1176="","",IF(N1176&lt;&gt;"",N1176,H1176))</f>
        <v/>
      </c>
      <c r="T1176" s="32">
        <f>IF(A1176="","",IF(C1176="✗","Skipped",IF(Q1176&gt;0,"Paid","Upcoming")))</f>
        <v/>
      </c>
      <c r="U1176" s="36">
        <f>IF(A1176="",0,IF(C1176="✗",0,IF(L1176&lt;&gt;"",L1176,F1176)))</f>
        <v/>
      </c>
    </row>
    <row r="1177">
      <c r="A1177" s="39">
        <f>IFERROR(SMALL(Calc!$B$2:$BB$61,1172),"")</f>
        <v/>
      </c>
      <c r="B1177" s="39">
        <f>IF(A1177="","",ROUND(MOD(A1177,1)*1000,0))</f>
        <v/>
      </c>
      <c r="C1177" s="33" t="n"/>
      <c r="D1177" s="40">
        <f>IF(A1177="","",INT(A1177))</f>
        <v/>
      </c>
      <c r="E1177" s="41">
        <f>IF(B1177="","",INDEX(Setup!$D$25:$D$84,B1177))</f>
        <v/>
      </c>
      <c r="F1177" s="42">
        <f>IF(B1177="","",INDEX(Setup!$E$25:$E$84,B1177))</f>
        <v/>
      </c>
      <c r="G1177" s="39">
        <f>IF(B1177="","",INDEX(Setup!$I$25:$I$84,B1177)&amp;"")</f>
        <v/>
      </c>
      <c r="H1177" s="39">
        <f>IF(B1177="","",INDEX(Setup!$J$25:$J$84,B1177)&amp;"")</f>
        <v/>
      </c>
      <c r="I1177" s="39">
        <f>IF(B1177="","",INDEX(Setup!$C$25:$C$84,B1177))</f>
        <v/>
      </c>
      <c r="J1177" s="39" t="n"/>
      <c r="K1177" s="37" t="n"/>
      <c r="L1177" s="38" t="n"/>
      <c r="M1177" s="33" t="n"/>
      <c r="N1177" s="33" t="n"/>
      <c r="O1177" s="39" t="n"/>
      <c r="P1177" s="40">
        <f>IF(A1177="","",IF(K1177&lt;&gt;"",K1177,D1177))</f>
        <v/>
      </c>
      <c r="Q1177" s="42">
        <f>IF(A1177="",0,IF(C1177="✗",0,IF(OR(C1177="✓",AND(Setup!$D$7="Yes",P1177&lt;=TODAY())),IF(L1177&lt;&gt;"",L1177,F1177),0)))</f>
        <v/>
      </c>
      <c r="R1177" s="39">
        <f>IF(A1177="","",IF(M1177&lt;&gt;"",M1177,G1177))</f>
        <v/>
      </c>
      <c r="S1177" s="39">
        <f>IF(A1177="","",IF(N1177&lt;&gt;"",N1177,H1177))</f>
        <v/>
      </c>
      <c r="T1177" s="39">
        <f>IF(A1177="","",IF(C1177="✗","Skipped",IF(Q1177&gt;0,"Paid","Upcoming")))</f>
        <v/>
      </c>
      <c r="U1177" s="42">
        <f>IF(A1177="",0,IF(C1177="✗",0,IF(L1177&lt;&gt;"",L1177,F1177)))</f>
        <v/>
      </c>
    </row>
    <row r="1178">
      <c r="A1178" s="32">
        <f>IFERROR(SMALL(Calc!$B$2:$BB$61,1173),"")</f>
        <v/>
      </c>
      <c r="B1178" s="32">
        <f>IF(A1178="","",ROUND(MOD(A1178,1)*1000,0))</f>
        <v/>
      </c>
      <c r="C1178" s="33" t="n"/>
      <c r="D1178" s="34">
        <f>IF(A1178="","",INT(A1178))</f>
        <v/>
      </c>
      <c r="E1178" s="35">
        <f>IF(B1178="","",INDEX(Setup!$D$25:$D$84,B1178))</f>
        <v/>
      </c>
      <c r="F1178" s="36">
        <f>IF(B1178="","",INDEX(Setup!$E$25:$E$84,B1178))</f>
        <v/>
      </c>
      <c r="G1178" s="32">
        <f>IF(B1178="","",INDEX(Setup!$I$25:$I$84,B1178)&amp;"")</f>
        <v/>
      </c>
      <c r="H1178" s="32">
        <f>IF(B1178="","",INDEX(Setup!$J$25:$J$84,B1178)&amp;"")</f>
        <v/>
      </c>
      <c r="I1178" s="32">
        <f>IF(B1178="","",INDEX(Setup!$C$25:$C$84,B1178))</f>
        <v/>
      </c>
      <c r="J1178" s="32" t="n"/>
      <c r="K1178" s="37" t="n"/>
      <c r="L1178" s="38" t="n"/>
      <c r="M1178" s="33" t="n"/>
      <c r="N1178" s="33" t="n"/>
      <c r="O1178" s="32" t="n"/>
      <c r="P1178" s="34">
        <f>IF(A1178="","",IF(K1178&lt;&gt;"",K1178,D1178))</f>
        <v/>
      </c>
      <c r="Q1178" s="36">
        <f>IF(A1178="",0,IF(C1178="✗",0,IF(OR(C1178="✓",AND(Setup!$D$7="Yes",P1178&lt;=TODAY())),IF(L1178&lt;&gt;"",L1178,F1178),0)))</f>
        <v/>
      </c>
      <c r="R1178" s="32">
        <f>IF(A1178="","",IF(M1178&lt;&gt;"",M1178,G1178))</f>
        <v/>
      </c>
      <c r="S1178" s="32">
        <f>IF(A1178="","",IF(N1178&lt;&gt;"",N1178,H1178))</f>
        <v/>
      </c>
      <c r="T1178" s="32">
        <f>IF(A1178="","",IF(C1178="✗","Skipped",IF(Q1178&gt;0,"Paid","Upcoming")))</f>
        <v/>
      </c>
      <c r="U1178" s="36">
        <f>IF(A1178="",0,IF(C1178="✗",0,IF(L1178&lt;&gt;"",L1178,F1178)))</f>
        <v/>
      </c>
    </row>
    <row r="1179">
      <c r="A1179" s="39">
        <f>IFERROR(SMALL(Calc!$B$2:$BB$61,1174),"")</f>
        <v/>
      </c>
      <c r="B1179" s="39">
        <f>IF(A1179="","",ROUND(MOD(A1179,1)*1000,0))</f>
        <v/>
      </c>
      <c r="C1179" s="33" t="n"/>
      <c r="D1179" s="40">
        <f>IF(A1179="","",INT(A1179))</f>
        <v/>
      </c>
      <c r="E1179" s="41">
        <f>IF(B1179="","",INDEX(Setup!$D$25:$D$84,B1179))</f>
        <v/>
      </c>
      <c r="F1179" s="42">
        <f>IF(B1179="","",INDEX(Setup!$E$25:$E$84,B1179))</f>
        <v/>
      </c>
      <c r="G1179" s="39">
        <f>IF(B1179="","",INDEX(Setup!$I$25:$I$84,B1179)&amp;"")</f>
        <v/>
      </c>
      <c r="H1179" s="39">
        <f>IF(B1179="","",INDEX(Setup!$J$25:$J$84,B1179)&amp;"")</f>
        <v/>
      </c>
      <c r="I1179" s="39">
        <f>IF(B1179="","",INDEX(Setup!$C$25:$C$84,B1179))</f>
        <v/>
      </c>
      <c r="J1179" s="39" t="n"/>
      <c r="K1179" s="37" t="n"/>
      <c r="L1179" s="38" t="n"/>
      <c r="M1179" s="33" t="n"/>
      <c r="N1179" s="33" t="n"/>
      <c r="O1179" s="39" t="n"/>
      <c r="P1179" s="40">
        <f>IF(A1179="","",IF(K1179&lt;&gt;"",K1179,D1179))</f>
        <v/>
      </c>
      <c r="Q1179" s="42">
        <f>IF(A1179="",0,IF(C1179="✗",0,IF(OR(C1179="✓",AND(Setup!$D$7="Yes",P1179&lt;=TODAY())),IF(L1179&lt;&gt;"",L1179,F1179),0)))</f>
        <v/>
      </c>
      <c r="R1179" s="39">
        <f>IF(A1179="","",IF(M1179&lt;&gt;"",M1179,G1179))</f>
        <v/>
      </c>
      <c r="S1179" s="39">
        <f>IF(A1179="","",IF(N1179&lt;&gt;"",N1179,H1179))</f>
        <v/>
      </c>
      <c r="T1179" s="39">
        <f>IF(A1179="","",IF(C1179="✗","Skipped",IF(Q1179&gt;0,"Paid","Upcoming")))</f>
        <v/>
      </c>
      <c r="U1179" s="42">
        <f>IF(A1179="",0,IF(C1179="✗",0,IF(L1179&lt;&gt;"",L1179,F1179)))</f>
        <v/>
      </c>
    </row>
    <row r="1180">
      <c r="A1180" s="32">
        <f>IFERROR(SMALL(Calc!$B$2:$BB$61,1175),"")</f>
        <v/>
      </c>
      <c r="B1180" s="32">
        <f>IF(A1180="","",ROUND(MOD(A1180,1)*1000,0))</f>
        <v/>
      </c>
      <c r="C1180" s="33" t="n"/>
      <c r="D1180" s="34">
        <f>IF(A1180="","",INT(A1180))</f>
        <v/>
      </c>
      <c r="E1180" s="35">
        <f>IF(B1180="","",INDEX(Setup!$D$25:$D$84,B1180))</f>
        <v/>
      </c>
      <c r="F1180" s="36">
        <f>IF(B1180="","",INDEX(Setup!$E$25:$E$84,B1180))</f>
        <v/>
      </c>
      <c r="G1180" s="32">
        <f>IF(B1180="","",INDEX(Setup!$I$25:$I$84,B1180)&amp;"")</f>
        <v/>
      </c>
      <c r="H1180" s="32">
        <f>IF(B1180="","",INDEX(Setup!$J$25:$J$84,B1180)&amp;"")</f>
        <v/>
      </c>
      <c r="I1180" s="32">
        <f>IF(B1180="","",INDEX(Setup!$C$25:$C$84,B1180))</f>
        <v/>
      </c>
      <c r="J1180" s="32" t="n"/>
      <c r="K1180" s="37" t="n"/>
      <c r="L1180" s="38" t="n"/>
      <c r="M1180" s="33" t="n"/>
      <c r="N1180" s="33" t="n"/>
      <c r="O1180" s="32" t="n"/>
      <c r="P1180" s="34">
        <f>IF(A1180="","",IF(K1180&lt;&gt;"",K1180,D1180))</f>
        <v/>
      </c>
      <c r="Q1180" s="36">
        <f>IF(A1180="",0,IF(C1180="✗",0,IF(OR(C1180="✓",AND(Setup!$D$7="Yes",P1180&lt;=TODAY())),IF(L1180&lt;&gt;"",L1180,F1180),0)))</f>
        <v/>
      </c>
      <c r="R1180" s="32">
        <f>IF(A1180="","",IF(M1180&lt;&gt;"",M1180,G1180))</f>
        <v/>
      </c>
      <c r="S1180" s="32">
        <f>IF(A1180="","",IF(N1180&lt;&gt;"",N1180,H1180))</f>
        <v/>
      </c>
      <c r="T1180" s="32">
        <f>IF(A1180="","",IF(C1180="✗","Skipped",IF(Q1180&gt;0,"Paid","Upcoming")))</f>
        <v/>
      </c>
      <c r="U1180" s="36">
        <f>IF(A1180="",0,IF(C1180="✗",0,IF(L1180&lt;&gt;"",L1180,F1180)))</f>
        <v/>
      </c>
    </row>
    <row r="1181">
      <c r="A1181" s="39">
        <f>IFERROR(SMALL(Calc!$B$2:$BB$61,1176),"")</f>
        <v/>
      </c>
      <c r="B1181" s="39">
        <f>IF(A1181="","",ROUND(MOD(A1181,1)*1000,0))</f>
        <v/>
      </c>
      <c r="C1181" s="33" t="n"/>
      <c r="D1181" s="40">
        <f>IF(A1181="","",INT(A1181))</f>
        <v/>
      </c>
      <c r="E1181" s="41">
        <f>IF(B1181="","",INDEX(Setup!$D$25:$D$84,B1181))</f>
        <v/>
      </c>
      <c r="F1181" s="42">
        <f>IF(B1181="","",INDEX(Setup!$E$25:$E$84,B1181))</f>
        <v/>
      </c>
      <c r="G1181" s="39">
        <f>IF(B1181="","",INDEX(Setup!$I$25:$I$84,B1181)&amp;"")</f>
        <v/>
      </c>
      <c r="H1181" s="39">
        <f>IF(B1181="","",INDEX(Setup!$J$25:$J$84,B1181)&amp;"")</f>
        <v/>
      </c>
      <c r="I1181" s="39">
        <f>IF(B1181="","",INDEX(Setup!$C$25:$C$84,B1181))</f>
        <v/>
      </c>
      <c r="J1181" s="39" t="n"/>
      <c r="K1181" s="37" t="n"/>
      <c r="L1181" s="38" t="n"/>
      <c r="M1181" s="33" t="n"/>
      <c r="N1181" s="33" t="n"/>
      <c r="O1181" s="39" t="n"/>
      <c r="P1181" s="40">
        <f>IF(A1181="","",IF(K1181&lt;&gt;"",K1181,D1181))</f>
        <v/>
      </c>
      <c r="Q1181" s="42">
        <f>IF(A1181="",0,IF(C1181="✗",0,IF(OR(C1181="✓",AND(Setup!$D$7="Yes",P1181&lt;=TODAY())),IF(L1181&lt;&gt;"",L1181,F1181),0)))</f>
        <v/>
      </c>
      <c r="R1181" s="39">
        <f>IF(A1181="","",IF(M1181&lt;&gt;"",M1181,G1181))</f>
        <v/>
      </c>
      <c r="S1181" s="39">
        <f>IF(A1181="","",IF(N1181&lt;&gt;"",N1181,H1181))</f>
        <v/>
      </c>
      <c r="T1181" s="39">
        <f>IF(A1181="","",IF(C1181="✗","Skipped",IF(Q1181&gt;0,"Paid","Upcoming")))</f>
        <v/>
      </c>
      <c r="U1181" s="42">
        <f>IF(A1181="",0,IF(C1181="✗",0,IF(L1181&lt;&gt;"",L1181,F1181)))</f>
        <v/>
      </c>
    </row>
    <row r="1182">
      <c r="A1182" s="32">
        <f>IFERROR(SMALL(Calc!$B$2:$BB$61,1177),"")</f>
        <v/>
      </c>
      <c r="B1182" s="32">
        <f>IF(A1182="","",ROUND(MOD(A1182,1)*1000,0))</f>
        <v/>
      </c>
      <c r="C1182" s="33" t="n"/>
      <c r="D1182" s="34">
        <f>IF(A1182="","",INT(A1182))</f>
        <v/>
      </c>
      <c r="E1182" s="35">
        <f>IF(B1182="","",INDEX(Setup!$D$25:$D$84,B1182))</f>
        <v/>
      </c>
      <c r="F1182" s="36">
        <f>IF(B1182="","",INDEX(Setup!$E$25:$E$84,B1182))</f>
        <v/>
      </c>
      <c r="G1182" s="32">
        <f>IF(B1182="","",INDEX(Setup!$I$25:$I$84,B1182)&amp;"")</f>
        <v/>
      </c>
      <c r="H1182" s="32">
        <f>IF(B1182="","",INDEX(Setup!$J$25:$J$84,B1182)&amp;"")</f>
        <v/>
      </c>
      <c r="I1182" s="32">
        <f>IF(B1182="","",INDEX(Setup!$C$25:$C$84,B1182))</f>
        <v/>
      </c>
      <c r="J1182" s="32" t="n"/>
      <c r="K1182" s="37" t="n"/>
      <c r="L1182" s="38" t="n"/>
      <c r="M1182" s="33" t="n"/>
      <c r="N1182" s="33" t="n"/>
      <c r="O1182" s="32" t="n"/>
      <c r="P1182" s="34">
        <f>IF(A1182="","",IF(K1182&lt;&gt;"",K1182,D1182))</f>
        <v/>
      </c>
      <c r="Q1182" s="36">
        <f>IF(A1182="",0,IF(C1182="✗",0,IF(OR(C1182="✓",AND(Setup!$D$7="Yes",P1182&lt;=TODAY())),IF(L1182&lt;&gt;"",L1182,F1182),0)))</f>
        <v/>
      </c>
      <c r="R1182" s="32">
        <f>IF(A1182="","",IF(M1182&lt;&gt;"",M1182,G1182))</f>
        <v/>
      </c>
      <c r="S1182" s="32">
        <f>IF(A1182="","",IF(N1182&lt;&gt;"",N1182,H1182))</f>
        <v/>
      </c>
      <c r="T1182" s="32">
        <f>IF(A1182="","",IF(C1182="✗","Skipped",IF(Q1182&gt;0,"Paid","Upcoming")))</f>
        <v/>
      </c>
      <c r="U1182" s="36">
        <f>IF(A1182="",0,IF(C1182="✗",0,IF(L1182&lt;&gt;"",L1182,F1182)))</f>
        <v/>
      </c>
    </row>
    <row r="1183">
      <c r="A1183" s="39">
        <f>IFERROR(SMALL(Calc!$B$2:$BB$61,1178),"")</f>
        <v/>
      </c>
      <c r="B1183" s="39">
        <f>IF(A1183="","",ROUND(MOD(A1183,1)*1000,0))</f>
        <v/>
      </c>
      <c r="C1183" s="33" t="n"/>
      <c r="D1183" s="40">
        <f>IF(A1183="","",INT(A1183))</f>
        <v/>
      </c>
      <c r="E1183" s="41">
        <f>IF(B1183="","",INDEX(Setup!$D$25:$D$84,B1183))</f>
        <v/>
      </c>
      <c r="F1183" s="42">
        <f>IF(B1183="","",INDEX(Setup!$E$25:$E$84,B1183))</f>
        <v/>
      </c>
      <c r="G1183" s="39">
        <f>IF(B1183="","",INDEX(Setup!$I$25:$I$84,B1183)&amp;"")</f>
        <v/>
      </c>
      <c r="H1183" s="39">
        <f>IF(B1183="","",INDEX(Setup!$J$25:$J$84,B1183)&amp;"")</f>
        <v/>
      </c>
      <c r="I1183" s="39">
        <f>IF(B1183="","",INDEX(Setup!$C$25:$C$84,B1183))</f>
        <v/>
      </c>
      <c r="J1183" s="39" t="n"/>
      <c r="K1183" s="37" t="n"/>
      <c r="L1183" s="38" t="n"/>
      <c r="M1183" s="33" t="n"/>
      <c r="N1183" s="33" t="n"/>
      <c r="O1183" s="39" t="n"/>
      <c r="P1183" s="40">
        <f>IF(A1183="","",IF(K1183&lt;&gt;"",K1183,D1183))</f>
        <v/>
      </c>
      <c r="Q1183" s="42">
        <f>IF(A1183="",0,IF(C1183="✗",0,IF(OR(C1183="✓",AND(Setup!$D$7="Yes",P1183&lt;=TODAY())),IF(L1183&lt;&gt;"",L1183,F1183),0)))</f>
        <v/>
      </c>
      <c r="R1183" s="39">
        <f>IF(A1183="","",IF(M1183&lt;&gt;"",M1183,G1183))</f>
        <v/>
      </c>
      <c r="S1183" s="39">
        <f>IF(A1183="","",IF(N1183&lt;&gt;"",N1183,H1183))</f>
        <v/>
      </c>
      <c r="T1183" s="39">
        <f>IF(A1183="","",IF(C1183="✗","Skipped",IF(Q1183&gt;0,"Paid","Upcoming")))</f>
        <v/>
      </c>
      <c r="U1183" s="42">
        <f>IF(A1183="",0,IF(C1183="✗",0,IF(L1183&lt;&gt;"",L1183,F1183)))</f>
        <v/>
      </c>
    </row>
    <row r="1184">
      <c r="A1184" s="32">
        <f>IFERROR(SMALL(Calc!$B$2:$BB$61,1179),"")</f>
        <v/>
      </c>
      <c r="B1184" s="32">
        <f>IF(A1184="","",ROUND(MOD(A1184,1)*1000,0))</f>
        <v/>
      </c>
      <c r="C1184" s="33" t="n"/>
      <c r="D1184" s="34">
        <f>IF(A1184="","",INT(A1184))</f>
        <v/>
      </c>
      <c r="E1184" s="35">
        <f>IF(B1184="","",INDEX(Setup!$D$25:$D$84,B1184))</f>
        <v/>
      </c>
      <c r="F1184" s="36">
        <f>IF(B1184="","",INDEX(Setup!$E$25:$E$84,B1184))</f>
        <v/>
      </c>
      <c r="G1184" s="32">
        <f>IF(B1184="","",INDEX(Setup!$I$25:$I$84,B1184)&amp;"")</f>
        <v/>
      </c>
      <c r="H1184" s="32">
        <f>IF(B1184="","",INDEX(Setup!$J$25:$J$84,B1184)&amp;"")</f>
        <v/>
      </c>
      <c r="I1184" s="32">
        <f>IF(B1184="","",INDEX(Setup!$C$25:$C$84,B1184))</f>
        <v/>
      </c>
      <c r="J1184" s="32" t="n"/>
      <c r="K1184" s="37" t="n"/>
      <c r="L1184" s="38" t="n"/>
      <c r="M1184" s="33" t="n"/>
      <c r="N1184" s="33" t="n"/>
      <c r="O1184" s="32" t="n"/>
      <c r="P1184" s="34">
        <f>IF(A1184="","",IF(K1184&lt;&gt;"",K1184,D1184))</f>
        <v/>
      </c>
      <c r="Q1184" s="36">
        <f>IF(A1184="",0,IF(C1184="✗",0,IF(OR(C1184="✓",AND(Setup!$D$7="Yes",P1184&lt;=TODAY())),IF(L1184&lt;&gt;"",L1184,F1184),0)))</f>
        <v/>
      </c>
      <c r="R1184" s="32">
        <f>IF(A1184="","",IF(M1184&lt;&gt;"",M1184,G1184))</f>
        <v/>
      </c>
      <c r="S1184" s="32">
        <f>IF(A1184="","",IF(N1184&lt;&gt;"",N1184,H1184))</f>
        <v/>
      </c>
      <c r="T1184" s="32">
        <f>IF(A1184="","",IF(C1184="✗","Skipped",IF(Q1184&gt;0,"Paid","Upcoming")))</f>
        <v/>
      </c>
      <c r="U1184" s="36">
        <f>IF(A1184="",0,IF(C1184="✗",0,IF(L1184&lt;&gt;"",L1184,F1184)))</f>
        <v/>
      </c>
    </row>
    <row r="1185">
      <c r="A1185" s="39">
        <f>IFERROR(SMALL(Calc!$B$2:$BB$61,1180),"")</f>
        <v/>
      </c>
      <c r="B1185" s="39">
        <f>IF(A1185="","",ROUND(MOD(A1185,1)*1000,0))</f>
        <v/>
      </c>
      <c r="C1185" s="33" t="n"/>
      <c r="D1185" s="40">
        <f>IF(A1185="","",INT(A1185))</f>
        <v/>
      </c>
      <c r="E1185" s="41">
        <f>IF(B1185="","",INDEX(Setup!$D$25:$D$84,B1185))</f>
        <v/>
      </c>
      <c r="F1185" s="42">
        <f>IF(B1185="","",INDEX(Setup!$E$25:$E$84,B1185))</f>
        <v/>
      </c>
      <c r="G1185" s="39">
        <f>IF(B1185="","",INDEX(Setup!$I$25:$I$84,B1185)&amp;"")</f>
        <v/>
      </c>
      <c r="H1185" s="39">
        <f>IF(B1185="","",INDEX(Setup!$J$25:$J$84,B1185)&amp;"")</f>
        <v/>
      </c>
      <c r="I1185" s="39">
        <f>IF(B1185="","",INDEX(Setup!$C$25:$C$84,B1185))</f>
        <v/>
      </c>
      <c r="J1185" s="39" t="n"/>
      <c r="K1185" s="37" t="n"/>
      <c r="L1185" s="38" t="n"/>
      <c r="M1185" s="33" t="n"/>
      <c r="N1185" s="33" t="n"/>
      <c r="O1185" s="39" t="n"/>
      <c r="P1185" s="40">
        <f>IF(A1185="","",IF(K1185&lt;&gt;"",K1185,D1185))</f>
        <v/>
      </c>
      <c r="Q1185" s="42">
        <f>IF(A1185="",0,IF(C1185="✗",0,IF(OR(C1185="✓",AND(Setup!$D$7="Yes",P1185&lt;=TODAY())),IF(L1185&lt;&gt;"",L1185,F1185),0)))</f>
        <v/>
      </c>
      <c r="R1185" s="39">
        <f>IF(A1185="","",IF(M1185&lt;&gt;"",M1185,G1185))</f>
        <v/>
      </c>
      <c r="S1185" s="39">
        <f>IF(A1185="","",IF(N1185&lt;&gt;"",N1185,H1185))</f>
        <v/>
      </c>
      <c r="T1185" s="39">
        <f>IF(A1185="","",IF(C1185="✗","Skipped",IF(Q1185&gt;0,"Paid","Upcoming")))</f>
        <v/>
      </c>
      <c r="U1185" s="42">
        <f>IF(A1185="",0,IF(C1185="✗",0,IF(L1185&lt;&gt;"",L1185,F1185)))</f>
        <v/>
      </c>
    </row>
    <row r="1186">
      <c r="A1186" s="32">
        <f>IFERROR(SMALL(Calc!$B$2:$BB$61,1181),"")</f>
        <v/>
      </c>
      <c r="B1186" s="32">
        <f>IF(A1186="","",ROUND(MOD(A1186,1)*1000,0))</f>
        <v/>
      </c>
      <c r="C1186" s="33" t="n"/>
      <c r="D1186" s="34">
        <f>IF(A1186="","",INT(A1186))</f>
        <v/>
      </c>
      <c r="E1186" s="35">
        <f>IF(B1186="","",INDEX(Setup!$D$25:$D$84,B1186))</f>
        <v/>
      </c>
      <c r="F1186" s="36">
        <f>IF(B1186="","",INDEX(Setup!$E$25:$E$84,B1186))</f>
        <v/>
      </c>
      <c r="G1186" s="32">
        <f>IF(B1186="","",INDEX(Setup!$I$25:$I$84,B1186)&amp;"")</f>
        <v/>
      </c>
      <c r="H1186" s="32">
        <f>IF(B1186="","",INDEX(Setup!$J$25:$J$84,B1186)&amp;"")</f>
        <v/>
      </c>
      <c r="I1186" s="32">
        <f>IF(B1186="","",INDEX(Setup!$C$25:$C$84,B1186))</f>
        <v/>
      </c>
      <c r="J1186" s="32" t="n"/>
      <c r="K1186" s="37" t="n"/>
      <c r="L1186" s="38" t="n"/>
      <c r="M1186" s="33" t="n"/>
      <c r="N1186" s="33" t="n"/>
      <c r="O1186" s="32" t="n"/>
      <c r="P1186" s="34">
        <f>IF(A1186="","",IF(K1186&lt;&gt;"",K1186,D1186))</f>
        <v/>
      </c>
      <c r="Q1186" s="36">
        <f>IF(A1186="",0,IF(C1186="✗",0,IF(OR(C1186="✓",AND(Setup!$D$7="Yes",P1186&lt;=TODAY())),IF(L1186&lt;&gt;"",L1186,F1186),0)))</f>
        <v/>
      </c>
      <c r="R1186" s="32">
        <f>IF(A1186="","",IF(M1186&lt;&gt;"",M1186,G1186))</f>
        <v/>
      </c>
      <c r="S1186" s="32">
        <f>IF(A1186="","",IF(N1186&lt;&gt;"",N1186,H1186))</f>
        <v/>
      </c>
      <c r="T1186" s="32">
        <f>IF(A1186="","",IF(C1186="✗","Skipped",IF(Q1186&gt;0,"Paid","Upcoming")))</f>
        <v/>
      </c>
      <c r="U1186" s="36">
        <f>IF(A1186="",0,IF(C1186="✗",0,IF(L1186&lt;&gt;"",L1186,F1186)))</f>
        <v/>
      </c>
    </row>
    <row r="1187">
      <c r="A1187" s="39">
        <f>IFERROR(SMALL(Calc!$B$2:$BB$61,1182),"")</f>
        <v/>
      </c>
      <c r="B1187" s="39">
        <f>IF(A1187="","",ROUND(MOD(A1187,1)*1000,0))</f>
        <v/>
      </c>
      <c r="C1187" s="33" t="n"/>
      <c r="D1187" s="40">
        <f>IF(A1187="","",INT(A1187))</f>
        <v/>
      </c>
      <c r="E1187" s="41">
        <f>IF(B1187="","",INDEX(Setup!$D$25:$D$84,B1187))</f>
        <v/>
      </c>
      <c r="F1187" s="42">
        <f>IF(B1187="","",INDEX(Setup!$E$25:$E$84,B1187))</f>
        <v/>
      </c>
      <c r="G1187" s="39">
        <f>IF(B1187="","",INDEX(Setup!$I$25:$I$84,B1187)&amp;"")</f>
        <v/>
      </c>
      <c r="H1187" s="39">
        <f>IF(B1187="","",INDEX(Setup!$J$25:$J$84,B1187)&amp;"")</f>
        <v/>
      </c>
      <c r="I1187" s="39">
        <f>IF(B1187="","",INDEX(Setup!$C$25:$C$84,B1187))</f>
        <v/>
      </c>
      <c r="J1187" s="39" t="n"/>
      <c r="K1187" s="37" t="n"/>
      <c r="L1187" s="38" t="n"/>
      <c r="M1187" s="33" t="n"/>
      <c r="N1187" s="33" t="n"/>
      <c r="O1187" s="39" t="n"/>
      <c r="P1187" s="40">
        <f>IF(A1187="","",IF(K1187&lt;&gt;"",K1187,D1187))</f>
        <v/>
      </c>
      <c r="Q1187" s="42">
        <f>IF(A1187="",0,IF(C1187="✗",0,IF(OR(C1187="✓",AND(Setup!$D$7="Yes",P1187&lt;=TODAY())),IF(L1187&lt;&gt;"",L1187,F1187),0)))</f>
        <v/>
      </c>
      <c r="R1187" s="39">
        <f>IF(A1187="","",IF(M1187&lt;&gt;"",M1187,G1187))</f>
        <v/>
      </c>
      <c r="S1187" s="39">
        <f>IF(A1187="","",IF(N1187&lt;&gt;"",N1187,H1187))</f>
        <v/>
      </c>
      <c r="T1187" s="39">
        <f>IF(A1187="","",IF(C1187="✗","Skipped",IF(Q1187&gt;0,"Paid","Upcoming")))</f>
        <v/>
      </c>
      <c r="U1187" s="42">
        <f>IF(A1187="",0,IF(C1187="✗",0,IF(L1187&lt;&gt;"",L1187,F1187)))</f>
        <v/>
      </c>
    </row>
    <row r="1188">
      <c r="A1188" s="32">
        <f>IFERROR(SMALL(Calc!$B$2:$BB$61,1183),"")</f>
        <v/>
      </c>
      <c r="B1188" s="32">
        <f>IF(A1188="","",ROUND(MOD(A1188,1)*1000,0))</f>
        <v/>
      </c>
      <c r="C1188" s="33" t="n"/>
      <c r="D1188" s="34">
        <f>IF(A1188="","",INT(A1188))</f>
        <v/>
      </c>
      <c r="E1188" s="35">
        <f>IF(B1188="","",INDEX(Setup!$D$25:$D$84,B1188))</f>
        <v/>
      </c>
      <c r="F1188" s="36">
        <f>IF(B1188="","",INDEX(Setup!$E$25:$E$84,B1188))</f>
        <v/>
      </c>
      <c r="G1188" s="32">
        <f>IF(B1188="","",INDEX(Setup!$I$25:$I$84,B1188)&amp;"")</f>
        <v/>
      </c>
      <c r="H1188" s="32">
        <f>IF(B1188="","",INDEX(Setup!$J$25:$J$84,B1188)&amp;"")</f>
        <v/>
      </c>
      <c r="I1188" s="32">
        <f>IF(B1188="","",INDEX(Setup!$C$25:$C$84,B1188))</f>
        <v/>
      </c>
      <c r="J1188" s="32" t="n"/>
      <c r="K1188" s="37" t="n"/>
      <c r="L1188" s="38" t="n"/>
      <c r="M1188" s="33" t="n"/>
      <c r="N1188" s="33" t="n"/>
      <c r="O1188" s="32" t="n"/>
      <c r="P1188" s="34">
        <f>IF(A1188="","",IF(K1188&lt;&gt;"",K1188,D1188))</f>
        <v/>
      </c>
      <c r="Q1188" s="36">
        <f>IF(A1188="",0,IF(C1188="✗",0,IF(OR(C1188="✓",AND(Setup!$D$7="Yes",P1188&lt;=TODAY())),IF(L1188&lt;&gt;"",L1188,F1188),0)))</f>
        <v/>
      </c>
      <c r="R1188" s="32">
        <f>IF(A1188="","",IF(M1188&lt;&gt;"",M1188,G1188))</f>
        <v/>
      </c>
      <c r="S1188" s="32">
        <f>IF(A1188="","",IF(N1188&lt;&gt;"",N1188,H1188))</f>
        <v/>
      </c>
      <c r="T1188" s="32">
        <f>IF(A1188="","",IF(C1188="✗","Skipped",IF(Q1188&gt;0,"Paid","Upcoming")))</f>
        <v/>
      </c>
      <c r="U1188" s="36">
        <f>IF(A1188="",0,IF(C1188="✗",0,IF(L1188&lt;&gt;"",L1188,F1188)))</f>
        <v/>
      </c>
    </row>
    <row r="1189">
      <c r="A1189" s="39">
        <f>IFERROR(SMALL(Calc!$B$2:$BB$61,1184),"")</f>
        <v/>
      </c>
      <c r="B1189" s="39">
        <f>IF(A1189="","",ROUND(MOD(A1189,1)*1000,0))</f>
        <v/>
      </c>
      <c r="C1189" s="33" t="n"/>
      <c r="D1189" s="40">
        <f>IF(A1189="","",INT(A1189))</f>
        <v/>
      </c>
      <c r="E1189" s="41">
        <f>IF(B1189="","",INDEX(Setup!$D$25:$D$84,B1189))</f>
        <v/>
      </c>
      <c r="F1189" s="42">
        <f>IF(B1189="","",INDEX(Setup!$E$25:$E$84,B1189))</f>
        <v/>
      </c>
      <c r="G1189" s="39">
        <f>IF(B1189="","",INDEX(Setup!$I$25:$I$84,B1189)&amp;"")</f>
        <v/>
      </c>
      <c r="H1189" s="39">
        <f>IF(B1189="","",INDEX(Setup!$J$25:$J$84,B1189)&amp;"")</f>
        <v/>
      </c>
      <c r="I1189" s="39">
        <f>IF(B1189="","",INDEX(Setup!$C$25:$C$84,B1189))</f>
        <v/>
      </c>
      <c r="J1189" s="39" t="n"/>
      <c r="K1189" s="37" t="n"/>
      <c r="L1189" s="38" t="n"/>
      <c r="M1189" s="33" t="n"/>
      <c r="N1189" s="33" t="n"/>
      <c r="O1189" s="39" t="n"/>
      <c r="P1189" s="40">
        <f>IF(A1189="","",IF(K1189&lt;&gt;"",K1189,D1189))</f>
        <v/>
      </c>
      <c r="Q1189" s="42">
        <f>IF(A1189="",0,IF(C1189="✗",0,IF(OR(C1189="✓",AND(Setup!$D$7="Yes",P1189&lt;=TODAY())),IF(L1189&lt;&gt;"",L1189,F1189),0)))</f>
        <v/>
      </c>
      <c r="R1189" s="39">
        <f>IF(A1189="","",IF(M1189&lt;&gt;"",M1189,G1189))</f>
        <v/>
      </c>
      <c r="S1189" s="39">
        <f>IF(A1189="","",IF(N1189&lt;&gt;"",N1189,H1189))</f>
        <v/>
      </c>
      <c r="T1189" s="39">
        <f>IF(A1189="","",IF(C1189="✗","Skipped",IF(Q1189&gt;0,"Paid","Upcoming")))</f>
        <v/>
      </c>
      <c r="U1189" s="42">
        <f>IF(A1189="",0,IF(C1189="✗",0,IF(L1189&lt;&gt;"",L1189,F1189)))</f>
        <v/>
      </c>
    </row>
    <row r="1190">
      <c r="A1190" s="32">
        <f>IFERROR(SMALL(Calc!$B$2:$BB$61,1185),"")</f>
        <v/>
      </c>
      <c r="B1190" s="32">
        <f>IF(A1190="","",ROUND(MOD(A1190,1)*1000,0))</f>
        <v/>
      </c>
      <c r="C1190" s="33" t="n"/>
      <c r="D1190" s="34">
        <f>IF(A1190="","",INT(A1190))</f>
        <v/>
      </c>
      <c r="E1190" s="35">
        <f>IF(B1190="","",INDEX(Setup!$D$25:$D$84,B1190))</f>
        <v/>
      </c>
      <c r="F1190" s="36">
        <f>IF(B1190="","",INDEX(Setup!$E$25:$E$84,B1190))</f>
        <v/>
      </c>
      <c r="G1190" s="32">
        <f>IF(B1190="","",INDEX(Setup!$I$25:$I$84,B1190)&amp;"")</f>
        <v/>
      </c>
      <c r="H1190" s="32">
        <f>IF(B1190="","",INDEX(Setup!$J$25:$J$84,B1190)&amp;"")</f>
        <v/>
      </c>
      <c r="I1190" s="32">
        <f>IF(B1190="","",INDEX(Setup!$C$25:$C$84,B1190))</f>
        <v/>
      </c>
      <c r="J1190" s="32" t="n"/>
      <c r="K1190" s="37" t="n"/>
      <c r="L1190" s="38" t="n"/>
      <c r="M1190" s="33" t="n"/>
      <c r="N1190" s="33" t="n"/>
      <c r="O1190" s="32" t="n"/>
      <c r="P1190" s="34">
        <f>IF(A1190="","",IF(K1190&lt;&gt;"",K1190,D1190))</f>
        <v/>
      </c>
      <c r="Q1190" s="36">
        <f>IF(A1190="",0,IF(C1190="✗",0,IF(OR(C1190="✓",AND(Setup!$D$7="Yes",P1190&lt;=TODAY())),IF(L1190&lt;&gt;"",L1190,F1190),0)))</f>
        <v/>
      </c>
      <c r="R1190" s="32">
        <f>IF(A1190="","",IF(M1190&lt;&gt;"",M1190,G1190))</f>
        <v/>
      </c>
      <c r="S1190" s="32">
        <f>IF(A1190="","",IF(N1190&lt;&gt;"",N1190,H1190))</f>
        <v/>
      </c>
      <c r="T1190" s="32">
        <f>IF(A1190="","",IF(C1190="✗","Skipped",IF(Q1190&gt;0,"Paid","Upcoming")))</f>
        <v/>
      </c>
      <c r="U1190" s="36">
        <f>IF(A1190="",0,IF(C1190="✗",0,IF(L1190&lt;&gt;"",L1190,F1190)))</f>
        <v/>
      </c>
    </row>
    <row r="1191">
      <c r="A1191" s="39">
        <f>IFERROR(SMALL(Calc!$B$2:$BB$61,1186),"")</f>
        <v/>
      </c>
      <c r="B1191" s="39">
        <f>IF(A1191="","",ROUND(MOD(A1191,1)*1000,0))</f>
        <v/>
      </c>
      <c r="C1191" s="33" t="n"/>
      <c r="D1191" s="40">
        <f>IF(A1191="","",INT(A1191))</f>
        <v/>
      </c>
      <c r="E1191" s="41">
        <f>IF(B1191="","",INDEX(Setup!$D$25:$D$84,B1191))</f>
        <v/>
      </c>
      <c r="F1191" s="42">
        <f>IF(B1191="","",INDEX(Setup!$E$25:$E$84,B1191))</f>
        <v/>
      </c>
      <c r="G1191" s="39">
        <f>IF(B1191="","",INDEX(Setup!$I$25:$I$84,B1191)&amp;"")</f>
        <v/>
      </c>
      <c r="H1191" s="39">
        <f>IF(B1191="","",INDEX(Setup!$J$25:$J$84,B1191)&amp;"")</f>
        <v/>
      </c>
      <c r="I1191" s="39">
        <f>IF(B1191="","",INDEX(Setup!$C$25:$C$84,B1191))</f>
        <v/>
      </c>
      <c r="J1191" s="39" t="n"/>
      <c r="K1191" s="37" t="n"/>
      <c r="L1191" s="38" t="n"/>
      <c r="M1191" s="33" t="n"/>
      <c r="N1191" s="33" t="n"/>
      <c r="O1191" s="39" t="n"/>
      <c r="P1191" s="40">
        <f>IF(A1191="","",IF(K1191&lt;&gt;"",K1191,D1191))</f>
        <v/>
      </c>
      <c r="Q1191" s="42">
        <f>IF(A1191="",0,IF(C1191="✗",0,IF(OR(C1191="✓",AND(Setup!$D$7="Yes",P1191&lt;=TODAY())),IF(L1191&lt;&gt;"",L1191,F1191),0)))</f>
        <v/>
      </c>
      <c r="R1191" s="39">
        <f>IF(A1191="","",IF(M1191&lt;&gt;"",M1191,G1191))</f>
        <v/>
      </c>
      <c r="S1191" s="39">
        <f>IF(A1191="","",IF(N1191&lt;&gt;"",N1191,H1191))</f>
        <v/>
      </c>
      <c r="T1191" s="39">
        <f>IF(A1191="","",IF(C1191="✗","Skipped",IF(Q1191&gt;0,"Paid","Upcoming")))</f>
        <v/>
      </c>
      <c r="U1191" s="42">
        <f>IF(A1191="",0,IF(C1191="✗",0,IF(L1191&lt;&gt;"",L1191,F1191)))</f>
        <v/>
      </c>
    </row>
    <row r="1192">
      <c r="A1192" s="32">
        <f>IFERROR(SMALL(Calc!$B$2:$BB$61,1187),"")</f>
        <v/>
      </c>
      <c r="B1192" s="32">
        <f>IF(A1192="","",ROUND(MOD(A1192,1)*1000,0))</f>
        <v/>
      </c>
      <c r="C1192" s="33" t="n"/>
      <c r="D1192" s="34">
        <f>IF(A1192="","",INT(A1192))</f>
        <v/>
      </c>
      <c r="E1192" s="35">
        <f>IF(B1192="","",INDEX(Setup!$D$25:$D$84,B1192))</f>
        <v/>
      </c>
      <c r="F1192" s="36">
        <f>IF(B1192="","",INDEX(Setup!$E$25:$E$84,B1192))</f>
        <v/>
      </c>
      <c r="G1192" s="32">
        <f>IF(B1192="","",INDEX(Setup!$I$25:$I$84,B1192)&amp;"")</f>
        <v/>
      </c>
      <c r="H1192" s="32">
        <f>IF(B1192="","",INDEX(Setup!$J$25:$J$84,B1192)&amp;"")</f>
        <v/>
      </c>
      <c r="I1192" s="32">
        <f>IF(B1192="","",INDEX(Setup!$C$25:$C$84,B1192))</f>
        <v/>
      </c>
      <c r="J1192" s="32" t="n"/>
      <c r="K1192" s="37" t="n"/>
      <c r="L1192" s="38" t="n"/>
      <c r="M1192" s="33" t="n"/>
      <c r="N1192" s="33" t="n"/>
      <c r="O1192" s="32" t="n"/>
      <c r="P1192" s="34">
        <f>IF(A1192="","",IF(K1192&lt;&gt;"",K1192,D1192))</f>
        <v/>
      </c>
      <c r="Q1192" s="36">
        <f>IF(A1192="",0,IF(C1192="✗",0,IF(OR(C1192="✓",AND(Setup!$D$7="Yes",P1192&lt;=TODAY())),IF(L1192&lt;&gt;"",L1192,F1192),0)))</f>
        <v/>
      </c>
      <c r="R1192" s="32">
        <f>IF(A1192="","",IF(M1192&lt;&gt;"",M1192,G1192))</f>
        <v/>
      </c>
      <c r="S1192" s="32">
        <f>IF(A1192="","",IF(N1192&lt;&gt;"",N1192,H1192))</f>
        <v/>
      </c>
      <c r="T1192" s="32">
        <f>IF(A1192="","",IF(C1192="✗","Skipped",IF(Q1192&gt;0,"Paid","Upcoming")))</f>
        <v/>
      </c>
      <c r="U1192" s="36">
        <f>IF(A1192="",0,IF(C1192="✗",0,IF(L1192&lt;&gt;"",L1192,F1192)))</f>
        <v/>
      </c>
    </row>
    <row r="1193">
      <c r="A1193" s="39">
        <f>IFERROR(SMALL(Calc!$B$2:$BB$61,1188),"")</f>
        <v/>
      </c>
      <c r="B1193" s="39">
        <f>IF(A1193="","",ROUND(MOD(A1193,1)*1000,0))</f>
        <v/>
      </c>
      <c r="C1193" s="33" t="n"/>
      <c r="D1193" s="40">
        <f>IF(A1193="","",INT(A1193))</f>
        <v/>
      </c>
      <c r="E1193" s="41">
        <f>IF(B1193="","",INDEX(Setup!$D$25:$D$84,B1193))</f>
        <v/>
      </c>
      <c r="F1193" s="42">
        <f>IF(B1193="","",INDEX(Setup!$E$25:$E$84,B1193))</f>
        <v/>
      </c>
      <c r="G1193" s="39">
        <f>IF(B1193="","",INDEX(Setup!$I$25:$I$84,B1193)&amp;"")</f>
        <v/>
      </c>
      <c r="H1193" s="39">
        <f>IF(B1193="","",INDEX(Setup!$J$25:$J$84,B1193)&amp;"")</f>
        <v/>
      </c>
      <c r="I1193" s="39">
        <f>IF(B1193="","",INDEX(Setup!$C$25:$C$84,B1193))</f>
        <v/>
      </c>
      <c r="J1193" s="39" t="n"/>
      <c r="K1193" s="37" t="n"/>
      <c r="L1193" s="38" t="n"/>
      <c r="M1193" s="33" t="n"/>
      <c r="N1193" s="33" t="n"/>
      <c r="O1193" s="39" t="n"/>
      <c r="P1193" s="40">
        <f>IF(A1193="","",IF(K1193&lt;&gt;"",K1193,D1193))</f>
        <v/>
      </c>
      <c r="Q1193" s="42">
        <f>IF(A1193="",0,IF(C1193="✗",0,IF(OR(C1193="✓",AND(Setup!$D$7="Yes",P1193&lt;=TODAY())),IF(L1193&lt;&gt;"",L1193,F1193),0)))</f>
        <v/>
      </c>
      <c r="R1193" s="39">
        <f>IF(A1193="","",IF(M1193&lt;&gt;"",M1193,G1193))</f>
        <v/>
      </c>
      <c r="S1193" s="39">
        <f>IF(A1193="","",IF(N1193&lt;&gt;"",N1193,H1193))</f>
        <v/>
      </c>
      <c r="T1193" s="39">
        <f>IF(A1193="","",IF(C1193="✗","Skipped",IF(Q1193&gt;0,"Paid","Upcoming")))</f>
        <v/>
      </c>
      <c r="U1193" s="42">
        <f>IF(A1193="",0,IF(C1193="✗",0,IF(L1193&lt;&gt;"",L1193,F1193)))</f>
        <v/>
      </c>
    </row>
    <row r="1194">
      <c r="A1194" s="32">
        <f>IFERROR(SMALL(Calc!$B$2:$BB$61,1189),"")</f>
        <v/>
      </c>
      <c r="B1194" s="32">
        <f>IF(A1194="","",ROUND(MOD(A1194,1)*1000,0))</f>
        <v/>
      </c>
      <c r="C1194" s="33" t="n"/>
      <c r="D1194" s="34">
        <f>IF(A1194="","",INT(A1194))</f>
        <v/>
      </c>
      <c r="E1194" s="35">
        <f>IF(B1194="","",INDEX(Setup!$D$25:$D$84,B1194))</f>
        <v/>
      </c>
      <c r="F1194" s="36">
        <f>IF(B1194="","",INDEX(Setup!$E$25:$E$84,B1194))</f>
        <v/>
      </c>
      <c r="G1194" s="32">
        <f>IF(B1194="","",INDEX(Setup!$I$25:$I$84,B1194)&amp;"")</f>
        <v/>
      </c>
      <c r="H1194" s="32">
        <f>IF(B1194="","",INDEX(Setup!$J$25:$J$84,B1194)&amp;"")</f>
        <v/>
      </c>
      <c r="I1194" s="32">
        <f>IF(B1194="","",INDEX(Setup!$C$25:$C$84,B1194))</f>
        <v/>
      </c>
      <c r="J1194" s="32" t="n"/>
      <c r="K1194" s="37" t="n"/>
      <c r="L1194" s="38" t="n"/>
      <c r="M1194" s="33" t="n"/>
      <c r="N1194" s="33" t="n"/>
      <c r="O1194" s="32" t="n"/>
      <c r="P1194" s="34">
        <f>IF(A1194="","",IF(K1194&lt;&gt;"",K1194,D1194))</f>
        <v/>
      </c>
      <c r="Q1194" s="36">
        <f>IF(A1194="",0,IF(C1194="✗",0,IF(OR(C1194="✓",AND(Setup!$D$7="Yes",P1194&lt;=TODAY())),IF(L1194&lt;&gt;"",L1194,F1194),0)))</f>
        <v/>
      </c>
      <c r="R1194" s="32">
        <f>IF(A1194="","",IF(M1194&lt;&gt;"",M1194,G1194))</f>
        <v/>
      </c>
      <c r="S1194" s="32">
        <f>IF(A1194="","",IF(N1194&lt;&gt;"",N1194,H1194))</f>
        <v/>
      </c>
      <c r="T1194" s="32">
        <f>IF(A1194="","",IF(C1194="✗","Skipped",IF(Q1194&gt;0,"Paid","Upcoming")))</f>
        <v/>
      </c>
      <c r="U1194" s="36">
        <f>IF(A1194="",0,IF(C1194="✗",0,IF(L1194&lt;&gt;"",L1194,F1194)))</f>
        <v/>
      </c>
    </row>
    <row r="1195">
      <c r="A1195" s="39">
        <f>IFERROR(SMALL(Calc!$B$2:$BB$61,1190),"")</f>
        <v/>
      </c>
      <c r="B1195" s="39">
        <f>IF(A1195="","",ROUND(MOD(A1195,1)*1000,0))</f>
        <v/>
      </c>
      <c r="C1195" s="33" t="n"/>
      <c r="D1195" s="40">
        <f>IF(A1195="","",INT(A1195))</f>
        <v/>
      </c>
      <c r="E1195" s="41">
        <f>IF(B1195="","",INDEX(Setup!$D$25:$D$84,B1195))</f>
        <v/>
      </c>
      <c r="F1195" s="42">
        <f>IF(B1195="","",INDEX(Setup!$E$25:$E$84,B1195))</f>
        <v/>
      </c>
      <c r="G1195" s="39">
        <f>IF(B1195="","",INDEX(Setup!$I$25:$I$84,B1195)&amp;"")</f>
        <v/>
      </c>
      <c r="H1195" s="39">
        <f>IF(B1195="","",INDEX(Setup!$J$25:$J$84,B1195)&amp;"")</f>
        <v/>
      </c>
      <c r="I1195" s="39">
        <f>IF(B1195="","",INDEX(Setup!$C$25:$C$84,B1195))</f>
        <v/>
      </c>
      <c r="J1195" s="39" t="n"/>
      <c r="K1195" s="37" t="n"/>
      <c r="L1195" s="38" t="n"/>
      <c r="M1195" s="33" t="n"/>
      <c r="N1195" s="33" t="n"/>
      <c r="O1195" s="39" t="n"/>
      <c r="P1195" s="40">
        <f>IF(A1195="","",IF(K1195&lt;&gt;"",K1195,D1195))</f>
        <v/>
      </c>
      <c r="Q1195" s="42">
        <f>IF(A1195="",0,IF(C1195="✗",0,IF(OR(C1195="✓",AND(Setup!$D$7="Yes",P1195&lt;=TODAY())),IF(L1195&lt;&gt;"",L1195,F1195),0)))</f>
        <v/>
      </c>
      <c r="R1195" s="39">
        <f>IF(A1195="","",IF(M1195&lt;&gt;"",M1195,G1195))</f>
        <v/>
      </c>
      <c r="S1195" s="39">
        <f>IF(A1195="","",IF(N1195&lt;&gt;"",N1195,H1195))</f>
        <v/>
      </c>
      <c r="T1195" s="39">
        <f>IF(A1195="","",IF(C1195="✗","Skipped",IF(Q1195&gt;0,"Paid","Upcoming")))</f>
        <v/>
      </c>
      <c r="U1195" s="42">
        <f>IF(A1195="",0,IF(C1195="✗",0,IF(L1195&lt;&gt;"",L1195,F1195)))</f>
        <v/>
      </c>
    </row>
    <row r="1196">
      <c r="A1196" s="32">
        <f>IFERROR(SMALL(Calc!$B$2:$BB$61,1191),"")</f>
        <v/>
      </c>
      <c r="B1196" s="32">
        <f>IF(A1196="","",ROUND(MOD(A1196,1)*1000,0))</f>
        <v/>
      </c>
      <c r="C1196" s="33" t="n"/>
      <c r="D1196" s="34">
        <f>IF(A1196="","",INT(A1196))</f>
        <v/>
      </c>
      <c r="E1196" s="35">
        <f>IF(B1196="","",INDEX(Setup!$D$25:$D$84,B1196))</f>
        <v/>
      </c>
      <c r="F1196" s="36">
        <f>IF(B1196="","",INDEX(Setup!$E$25:$E$84,B1196))</f>
        <v/>
      </c>
      <c r="G1196" s="32">
        <f>IF(B1196="","",INDEX(Setup!$I$25:$I$84,B1196)&amp;"")</f>
        <v/>
      </c>
      <c r="H1196" s="32">
        <f>IF(B1196="","",INDEX(Setup!$J$25:$J$84,B1196)&amp;"")</f>
        <v/>
      </c>
      <c r="I1196" s="32">
        <f>IF(B1196="","",INDEX(Setup!$C$25:$C$84,B1196))</f>
        <v/>
      </c>
      <c r="J1196" s="32" t="n"/>
      <c r="K1196" s="37" t="n"/>
      <c r="L1196" s="38" t="n"/>
      <c r="M1196" s="33" t="n"/>
      <c r="N1196" s="33" t="n"/>
      <c r="O1196" s="32" t="n"/>
      <c r="P1196" s="34">
        <f>IF(A1196="","",IF(K1196&lt;&gt;"",K1196,D1196))</f>
        <v/>
      </c>
      <c r="Q1196" s="36">
        <f>IF(A1196="",0,IF(C1196="✗",0,IF(OR(C1196="✓",AND(Setup!$D$7="Yes",P1196&lt;=TODAY())),IF(L1196&lt;&gt;"",L1196,F1196),0)))</f>
        <v/>
      </c>
      <c r="R1196" s="32">
        <f>IF(A1196="","",IF(M1196&lt;&gt;"",M1196,G1196))</f>
        <v/>
      </c>
      <c r="S1196" s="32">
        <f>IF(A1196="","",IF(N1196&lt;&gt;"",N1196,H1196))</f>
        <v/>
      </c>
      <c r="T1196" s="32">
        <f>IF(A1196="","",IF(C1196="✗","Skipped",IF(Q1196&gt;0,"Paid","Upcoming")))</f>
        <v/>
      </c>
      <c r="U1196" s="36">
        <f>IF(A1196="",0,IF(C1196="✗",0,IF(L1196&lt;&gt;"",L1196,F1196)))</f>
        <v/>
      </c>
    </row>
    <row r="1197">
      <c r="A1197" s="39">
        <f>IFERROR(SMALL(Calc!$B$2:$BB$61,1192),"")</f>
        <v/>
      </c>
      <c r="B1197" s="39">
        <f>IF(A1197="","",ROUND(MOD(A1197,1)*1000,0))</f>
        <v/>
      </c>
      <c r="C1197" s="33" t="n"/>
      <c r="D1197" s="40">
        <f>IF(A1197="","",INT(A1197))</f>
        <v/>
      </c>
      <c r="E1197" s="41">
        <f>IF(B1197="","",INDEX(Setup!$D$25:$D$84,B1197))</f>
        <v/>
      </c>
      <c r="F1197" s="42">
        <f>IF(B1197="","",INDEX(Setup!$E$25:$E$84,B1197))</f>
        <v/>
      </c>
      <c r="G1197" s="39">
        <f>IF(B1197="","",INDEX(Setup!$I$25:$I$84,B1197)&amp;"")</f>
        <v/>
      </c>
      <c r="H1197" s="39">
        <f>IF(B1197="","",INDEX(Setup!$J$25:$J$84,B1197)&amp;"")</f>
        <v/>
      </c>
      <c r="I1197" s="39">
        <f>IF(B1197="","",INDEX(Setup!$C$25:$C$84,B1197))</f>
        <v/>
      </c>
      <c r="J1197" s="39" t="n"/>
      <c r="K1197" s="37" t="n"/>
      <c r="L1197" s="38" t="n"/>
      <c r="M1197" s="33" t="n"/>
      <c r="N1197" s="33" t="n"/>
      <c r="O1197" s="39" t="n"/>
      <c r="P1197" s="40">
        <f>IF(A1197="","",IF(K1197&lt;&gt;"",K1197,D1197))</f>
        <v/>
      </c>
      <c r="Q1197" s="42">
        <f>IF(A1197="",0,IF(C1197="✗",0,IF(OR(C1197="✓",AND(Setup!$D$7="Yes",P1197&lt;=TODAY())),IF(L1197&lt;&gt;"",L1197,F1197),0)))</f>
        <v/>
      </c>
      <c r="R1197" s="39">
        <f>IF(A1197="","",IF(M1197&lt;&gt;"",M1197,G1197))</f>
        <v/>
      </c>
      <c r="S1197" s="39">
        <f>IF(A1197="","",IF(N1197&lt;&gt;"",N1197,H1197))</f>
        <v/>
      </c>
      <c r="T1197" s="39">
        <f>IF(A1197="","",IF(C1197="✗","Skipped",IF(Q1197&gt;0,"Paid","Upcoming")))</f>
        <v/>
      </c>
      <c r="U1197" s="42">
        <f>IF(A1197="",0,IF(C1197="✗",0,IF(L1197&lt;&gt;"",L1197,F1197)))</f>
        <v/>
      </c>
    </row>
    <row r="1198">
      <c r="A1198" s="32">
        <f>IFERROR(SMALL(Calc!$B$2:$BB$61,1193),"")</f>
        <v/>
      </c>
      <c r="B1198" s="32">
        <f>IF(A1198="","",ROUND(MOD(A1198,1)*1000,0))</f>
        <v/>
      </c>
      <c r="C1198" s="33" t="n"/>
      <c r="D1198" s="34">
        <f>IF(A1198="","",INT(A1198))</f>
        <v/>
      </c>
      <c r="E1198" s="35">
        <f>IF(B1198="","",INDEX(Setup!$D$25:$D$84,B1198))</f>
        <v/>
      </c>
      <c r="F1198" s="36">
        <f>IF(B1198="","",INDEX(Setup!$E$25:$E$84,B1198))</f>
        <v/>
      </c>
      <c r="G1198" s="32">
        <f>IF(B1198="","",INDEX(Setup!$I$25:$I$84,B1198)&amp;"")</f>
        <v/>
      </c>
      <c r="H1198" s="32">
        <f>IF(B1198="","",INDEX(Setup!$J$25:$J$84,B1198)&amp;"")</f>
        <v/>
      </c>
      <c r="I1198" s="32">
        <f>IF(B1198="","",INDEX(Setup!$C$25:$C$84,B1198))</f>
        <v/>
      </c>
      <c r="J1198" s="32" t="n"/>
      <c r="K1198" s="37" t="n"/>
      <c r="L1198" s="38" t="n"/>
      <c r="M1198" s="33" t="n"/>
      <c r="N1198" s="33" t="n"/>
      <c r="O1198" s="32" t="n"/>
      <c r="P1198" s="34">
        <f>IF(A1198="","",IF(K1198&lt;&gt;"",K1198,D1198))</f>
        <v/>
      </c>
      <c r="Q1198" s="36">
        <f>IF(A1198="",0,IF(C1198="✗",0,IF(OR(C1198="✓",AND(Setup!$D$7="Yes",P1198&lt;=TODAY())),IF(L1198&lt;&gt;"",L1198,F1198),0)))</f>
        <v/>
      </c>
      <c r="R1198" s="32">
        <f>IF(A1198="","",IF(M1198&lt;&gt;"",M1198,G1198))</f>
        <v/>
      </c>
      <c r="S1198" s="32">
        <f>IF(A1198="","",IF(N1198&lt;&gt;"",N1198,H1198))</f>
        <v/>
      </c>
      <c r="T1198" s="32">
        <f>IF(A1198="","",IF(C1198="✗","Skipped",IF(Q1198&gt;0,"Paid","Upcoming")))</f>
        <v/>
      </c>
      <c r="U1198" s="36">
        <f>IF(A1198="",0,IF(C1198="✗",0,IF(L1198&lt;&gt;"",L1198,F1198)))</f>
        <v/>
      </c>
    </row>
    <row r="1199">
      <c r="A1199" s="39">
        <f>IFERROR(SMALL(Calc!$B$2:$BB$61,1194),"")</f>
        <v/>
      </c>
      <c r="B1199" s="39">
        <f>IF(A1199="","",ROUND(MOD(A1199,1)*1000,0))</f>
        <v/>
      </c>
      <c r="C1199" s="33" t="n"/>
      <c r="D1199" s="40">
        <f>IF(A1199="","",INT(A1199))</f>
        <v/>
      </c>
      <c r="E1199" s="41">
        <f>IF(B1199="","",INDEX(Setup!$D$25:$D$84,B1199))</f>
        <v/>
      </c>
      <c r="F1199" s="42">
        <f>IF(B1199="","",INDEX(Setup!$E$25:$E$84,B1199))</f>
        <v/>
      </c>
      <c r="G1199" s="39">
        <f>IF(B1199="","",INDEX(Setup!$I$25:$I$84,B1199)&amp;"")</f>
        <v/>
      </c>
      <c r="H1199" s="39">
        <f>IF(B1199="","",INDEX(Setup!$J$25:$J$84,B1199)&amp;"")</f>
        <v/>
      </c>
      <c r="I1199" s="39">
        <f>IF(B1199="","",INDEX(Setup!$C$25:$C$84,B1199))</f>
        <v/>
      </c>
      <c r="J1199" s="39" t="n"/>
      <c r="K1199" s="37" t="n"/>
      <c r="L1199" s="38" t="n"/>
      <c r="M1199" s="33" t="n"/>
      <c r="N1199" s="33" t="n"/>
      <c r="O1199" s="39" t="n"/>
      <c r="P1199" s="40">
        <f>IF(A1199="","",IF(K1199&lt;&gt;"",K1199,D1199))</f>
        <v/>
      </c>
      <c r="Q1199" s="42">
        <f>IF(A1199="",0,IF(C1199="✗",0,IF(OR(C1199="✓",AND(Setup!$D$7="Yes",P1199&lt;=TODAY())),IF(L1199&lt;&gt;"",L1199,F1199),0)))</f>
        <v/>
      </c>
      <c r="R1199" s="39">
        <f>IF(A1199="","",IF(M1199&lt;&gt;"",M1199,G1199))</f>
        <v/>
      </c>
      <c r="S1199" s="39">
        <f>IF(A1199="","",IF(N1199&lt;&gt;"",N1199,H1199))</f>
        <v/>
      </c>
      <c r="T1199" s="39">
        <f>IF(A1199="","",IF(C1199="✗","Skipped",IF(Q1199&gt;0,"Paid","Upcoming")))</f>
        <v/>
      </c>
      <c r="U1199" s="42">
        <f>IF(A1199="",0,IF(C1199="✗",0,IF(L1199&lt;&gt;"",L1199,F1199)))</f>
        <v/>
      </c>
    </row>
    <row r="1200">
      <c r="A1200" s="32">
        <f>IFERROR(SMALL(Calc!$B$2:$BB$61,1195),"")</f>
        <v/>
      </c>
      <c r="B1200" s="32">
        <f>IF(A1200="","",ROUND(MOD(A1200,1)*1000,0))</f>
        <v/>
      </c>
      <c r="C1200" s="33" t="n"/>
      <c r="D1200" s="34">
        <f>IF(A1200="","",INT(A1200))</f>
        <v/>
      </c>
      <c r="E1200" s="35">
        <f>IF(B1200="","",INDEX(Setup!$D$25:$D$84,B1200))</f>
        <v/>
      </c>
      <c r="F1200" s="36">
        <f>IF(B1200="","",INDEX(Setup!$E$25:$E$84,B1200))</f>
        <v/>
      </c>
      <c r="G1200" s="32">
        <f>IF(B1200="","",INDEX(Setup!$I$25:$I$84,B1200)&amp;"")</f>
        <v/>
      </c>
      <c r="H1200" s="32">
        <f>IF(B1200="","",INDEX(Setup!$J$25:$J$84,B1200)&amp;"")</f>
        <v/>
      </c>
      <c r="I1200" s="32">
        <f>IF(B1200="","",INDEX(Setup!$C$25:$C$84,B1200))</f>
        <v/>
      </c>
      <c r="J1200" s="32" t="n"/>
      <c r="K1200" s="37" t="n"/>
      <c r="L1200" s="38" t="n"/>
      <c r="M1200" s="33" t="n"/>
      <c r="N1200" s="33" t="n"/>
      <c r="O1200" s="32" t="n"/>
      <c r="P1200" s="34">
        <f>IF(A1200="","",IF(K1200&lt;&gt;"",K1200,D1200))</f>
        <v/>
      </c>
      <c r="Q1200" s="36">
        <f>IF(A1200="",0,IF(C1200="✗",0,IF(OR(C1200="✓",AND(Setup!$D$7="Yes",P1200&lt;=TODAY())),IF(L1200&lt;&gt;"",L1200,F1200),0)))</f>
        <v/>
      </c>
      <c r="R1200" s="32">
        <f>IF(A1200="","",IF(M1200&lt;&gt;"",M1200,G1200))</f>
        <v/>
      </c>
      <c r="S1200" s="32">
        <f>IF(A1200="","",IF(N1200&lt;&gt;"",N1200,H1200))</f>
        <v/>
      </c>
      <c r="T1200" s="32">
        <f>IF(A1200="","",IF(C1200="✗","Skipped",IF(Q1200&gt;0,"Paid","Upcoming")))</f>
        <v/>
      </c>
      <c r="U1200" s="36">
        <f>IF(A1200="",0,IF(C1200="✗",0,IF(L1200&lt;&gt;"",L1200,F1200)))</f>
        <v/>
      </c>
    </row>
    <row r="1201">
      <c r="A1201" s="39">
        <f>IFERROR(SMALL(Calc!$B$2:$BB$61,1196),"")</f>
        <v/>
      </c>
      <c r="B1201" s="39">
        <f>IF(A1201="","",ROUND(MOD(A1201,1)*1000,0))</f>
        <v/>
      </c>
      <c r="C1201" s="33" t="n"/>
      <c r="D1201" s="40">
        <f>IF(A1201="","",INT(A1201))</f>
        <v/>
      </c>
      <c r="E1201" s="41">
        <f>IF(B1201="","",INDEX(Setup!$D$25:$D$84,B1201))</f>
        <v/>
      </c>
      <c r="F1201" s="42">
        <f>IF(B1201="","",INDEX(Setup!$E$25:$E$84,B1201))</f>
        <v/>
      </c>
      <c r="G1201" s="39">
        <f>IF(B1201="","",INDEX(Setup!$I$25:$I$84,B1201)&amp;"")</f>
        <v/>
      </c>
      <c r="H1201" s="39">
        <f>IF(B1201="","",INDEX(Setup!$J$25:$J$84,B1201)&amp;"")</f>
        <v/>
      </c>
      <c r="I1201" s="39">
        <f>IF(B1201="","",INDEX(Setup!$C$25:$C$84,B1201))</f>
        <v/>
      </c>
      <c r="J1201" s="39" t="n"/>
      <c r="K1201" s="37" t="n"/>
      <c r="L1201" s="38" t="n"/>
      <c r="M1201" s="33" t="n"/>
      <c r="N1201" s="33" t="n"/>
      <c r="O1201" s="39" t="n"/>
      <c r="P1201" s="40">
        <f>IF(A1201="","",IF(K1201&lt;&gt;"",K1201,D1201))</f>
        <v/>
      </c>
      <c r="Q1201" s="42">
        <f>IF(A1201="",0,IF(C1201="✗",0,IF(OR(C1201="✓",AND(Setup!$D$7="Yes",P1201&lt;=TODAY())),IF(L1201&lt;&gt;"",L1201,F1201),0)))</f>
        <v/>
      </c>
      <c r="R1201" s="39">
        <f>IF(A1201="","",IF(M1201&lt;&gt;"",M1201,G1201))</f>
        <v/>
      </c>
      <c r="S1201" s="39">
        <f>IF(A1201="","",IF(N1201&lt;&gt;"",N1201,H1201))</f>
        <v/>
      </c>
      <c r="T1201" s="39">
        <f>IF(A1201="","",IF(C1201="✗","Skipped",IF(Q1201&gt;0,"Paid","Upcoming")))</f>
        <v/>
      </c>
      <c r="U1201" s="42">
        <f>IF(A1201="",0,IF(C1201="✗",0,IF(L1201&lt;&gt;"",L1201,F1201)))</f>
        <v/>
      </c>
    </row>
    <row r="1202">
      <c r="A1202" s="32">
        <f>IFERROR(SMALL(Calc!$B$2:$BB$61,1197),"")</f>
        <v/>
      </c>
      <c r="B1202" s="32">
        <f>IF(A1202="","",ROUND(MOD(A1202,1)*1000,0))</f>
        <v/>
      </c>
      <c r="C1202" s="33" t="n"/>
      <c r="D1202" s="34">
        <f>IF(A1202="","",INT(A1202))</f>
        <v/>
      </c>
      <c r="E1202" s="35">
        <f>IF(B1202="","",INDEX(Setup!$D$25:$D$84,B1202))</f>
        <v/>
      </c>
      <c r="F1202" s="36">
        <f>IF(B1202="","",INDEX(Setup!$E$25:$E$84,B1202))</f>
        <v/>
      </c>
      <c r="G1202" s="32">
        <f>IF(B1202="","",INDEX(Setup!$I$25:$I$84,B1202)&amp;"")</f>
        <v/>
      </c>
      <c r="H1202" s="32">
        <f>IF(B1202="","",INDEX(Setup!$J$25:$J$84,B1202)&amp;"")</f>
        <v/>
      </c>
      <c r="I1202" s="32">
        <f>IF(B1202="","",INDEX(Setup!$C$25:$C$84,B1202))</f>
        <v/>
      </c>
      <c r="J1202" s="32" t="n"/>
      <c r="K1202" s="37" t="n"/>
      <c r="L1202" s="38" t="n"/>
      <c r="M1202" s="33" t="n"/>
      <c r="N1202" s="33" t="n"/>
      <c r="O1202" s="32" t="n"/>
      <c r="P1202" s="34">
        <f>IF(A1202="","",IF(K1202&lt;&gt;"",K1202,D1202))</f>
        <v/>
      </c>
      <c r="Q1202" s="36">
        <f>IF(A1202="",0,IF(C1202="✗",0,IF(OR(C1202="✓",AND(Setup!$D$7="Yes",P1202&lt;=TODAY())),IF(L1202&lt;&gt;"",L1202,F1202),0)))</f>
        <v/>
      </c>
      <c r="R1202" s="32">
        <f>IF(A1202="","",IF(M1202&lt;&gt;"",M1202,G1202))</f>
        <v/>
      </c>
      <c r="S1202" s="32">
        <f>IF(A1202="","",IF(N1202&lt;&gt;"",N1202,H1202))</f>
        <v/>
      </c>
      <c r="T1202" s="32">
        <f>IF(A1202="","",IF(C1202="✗","Skipped",IF(Q1202&gt;0,"Paid","Upcoming")))</f>
        <v/>
      </c>
      <c r="U1202" s="36">
        <f>IF(A1202="",0,IF(C1202="✗",0,IF(L1202&lt;&gt;"",L1202,F1202)))</f>
        <v/>
      </c>
    </row>
    <row r="1203">
      <c r="A1203" s="39">
        <f>IFERROR(SMALL(Calc!$B$2:$BB$61,1198),"")</f>
        <v/>
      </c>
      <c r="B1203" s="39">
        <f>IF(A1203="","",ROUND(MOD(A1203,1)*1000,0))</f>
        <v/>
      </c>
      <c r="C1203" s="33" t="n"/>
      <c r="D1203" s="40">
        <f>IF(A1203="","",INT(A1203))</f>
        <v/>
      </c>
      <c r="E1203" s="41">
        <f>IF(B1203="","",INDEX(Setup!$D$25:$D$84,B1203))</f>
        <v/>
      </c>
      <c r="F1203" s="42">
        <f>IF(B1203="","",INDEX(Setup!$E$25:$E$84,B1203))</f>
        <v/>
      </c>
      <c r="G1203" s="39">
        <f>IF(B1203="","",INDEX(Setup!$I$25:$I$84,B1203)&amp;"")</f>
        <v/>
      </c>
      <c r="H1203" s="39">
        <f>IF(B1203="","",INDEX(Setup!$J$25:$J$84,B1203)&amp;"")</f>
        <v/>
      </c>
      <c r="I1203" s="39">
        <f>IF(B1203="","",INDEX(Setup!$C$25:$C$84,B1203))</f>
        <v/>
      </c>
      <c r="J1203" s="39" t="n"/>
      <c r="K1203" s="37" t="n"/>
      <c r="L1203" s="38" t="n"/>
      <c r="M1203" s="33" t="n"/>
      <c r="N1203" s="33" t="n"/>
      <c r="O1203" s="39" t="n"/>
      <c r="P1203" s="40">
        <f>IF(A1203="","",IF(K1203&lt;&gt;"",K1203,D1203))</f>
        <v/>
      </c>
      <c r="Q1203" s="42">
        <f>IF(A1203="",0,IF(C1203="✗",0,IF(OR(C1203="✓",AND(Setup!$D$7="Yes",P1203&lt;=TODAY())),IF(L1203&lt;&gt;"",L1203,F1203),0)))</f>
        <v/>
      </c>
      <c r="R1203" s="39">
        <f>IF(A1203="","",IF(M1203&lt;&gt;"",M1203,G1203))</f>
        <v/>
      </c>
      <c r="S1203" s="39">
        <f>IF(A1203="","",IF(N1203&lt;&gt;"",N1203,H1203))</f>
        <v/>
      </c>
      <c r="T1203" s="39">
        <f>IF(A1203="","",IF(C1203="✗","Skipped",IF(Q1203&gt;0,"Paid","Upcoming")))</f>
        <v/>
      </c>
      <c r="U1203" s="42">
        <f>IF(A1203="",0,IF(C1203="✗",0,IF(L1203&lt;&gt;"",L1203,F1203)))</f>
        <v/>
      </c>
    </row>
    <row r="1204">
      <c r="A1204" s="32">
        <f>IFERROR(SMALL(Calc!$B$2:$BB$61,1199),"")</f>
        <v/>
      </c>
      <c r="B1204" s="32">
        <f>IF(A1204="","",ROUND(MOD(A1204,1)*1000,0))</f>
        <v/>
      </c>
      <c r="C1204" s="33" t="n"/>
      <c r="D1204" s="34">
        <f>IF(A1204="","",INT(A1204))</f>
        <v/>
      </c>
      <c r="E1204" s="35">
        <f>IF(B1204="","",INDEX(Setup!$D$25:$D$84,B1204))</f>
        <v/>
      </c>
      <c r="F1204" s="36">
        <f>IF(B1204="","",INDEX(Setup!$E$25:$E$84,B1204))</f>
        <v/>
      </c>
      <c r="G1204" s="32">
        <f>IF(B1204="","",INDEX(Setup!$I$25:$I$84,B1204)&amp;"")</f>
        <v/>
      </c>
      <c r="H1204" s="32">
        <f>IF(B1204="","",INDEX(Setup!$J$25:$J$84,B1204)&amp;"")</f>
        <v/>
      </c>
      <c r="I1204" s="32">
        <f>IF(B1204="","",INDEX(Setup!$C$25:$C$84,B1204))</f>
        <v/>
      </c>
      <c r="J1204" s="32" t="n"/>
      <c r="K1204" s="37" t="n"/>
      <c r="L1204" s="38" t="n"/>
      <c r="M1204" s="33" t="n"/>
      <c r="N1204" s="33" t="n"/>
      <c r="O1204" s="32" t="n"/>
      <c r="P1204" s="34">
        <f>IF(A1204="","",IF(K1204&lt;&gt;"",K1204,D1204))</f>
        <v/>
      </c>
      <c r="Q1204" s="36">
        <f>IF(A1204="",0,IF(C1204="✗",0,IF(OR(C1204="✓",AND(Setup!$D$7="Yes",P1204&lt;=TODAY())),IF(L1204&lt;&gt;"",L1204,F1204),0)))</f>
        <v/>
      </c>
      <c r="R1204" s="32">
        <f>IF(A1204="","",IF(M1204&lt;&gt;"",M1204,G1204))</f>
        <v/>
      </c>
      <c r="S1204" s="32">
        <f>IF(A1204="","",IF(N1204&lt;&gt;"",N1204,H1204))</f>
        <v/>
      </c>
      <c r="T1204" s="32">
        <f>IF(A1204="","",IF(C1204="✗","Skipped",IF(Q1204&gt;0,"Paid","Upcoming")))</f>
        <v/>
      </c>
      <c r="U1204" s="36">
        <f>IF(A1204="",0,IF(C1204="✗",0,IF(L1204&lt;&gt;"",L1204,F1204)))</f>
        <v/>
      </c>
    </row>
    <row r="1205">
      <c r="A1205" s="39">
        <f>IFERROR(SMALL(Calc!$B$2:$BB$61,1200),"")</f>
        <v/>
      </c>
      <c r="B1205" s="39">
        <f>IF(A1205="","",ROUND(MOD(A1205,1)*1000,0))</f>
        <v/>
      </c>
      <c r="C1205" s="33" t="n"/>
      <c r="D1205" s="40">
        <f>IF(A1205="","",INT(A1205))</f>
        <v/>
      </c>
      <c r="E1205" s="41">
        <f>IF(B1205="","",INDEX(Setup!$D$25:$D$84,B1205))</f>
        <v/>
      </c>
      <c r="F1205" s="42">
        <f>IF(B1205="","",INDEX(Setup!$E$25:$E$84,B1205))</f>
        <v/>
      </c>
      <c r="G1205" s="39">
        <f>IF(B1205="","",INDEX(Setup!$I$25:$I$84,B1205)&amp;"")</f>
        <v/>
      </c>
      <c r="H1205" s="39">
        <f>IF(B1205="","",INDEX(Setup!$J$25:$J$84,B1205)&amp;"")</f>
        <v/>
      </c>
      <c r="I1205" s="39">
        <f>IF(B1205="","",INDEX(Setup!$C$25:$C$84,B1205))</f>
        <v/>
      </c>
      <c r="J1205" s="39" t="n"/>
      <c r="K1205" s="37" t="n"/>
      <c r="L1205" s="38" t="n"/>
      <c r="M1205" s="33" t="n"/>
      <c r="N1205" s="33" t="n"/>
      <c r="O1205" s="39" t="n"/>
      <c r="P1205" s="40">
        <f>IF(A1205="","",IF(K1205&lt;&gt;"",K1205,D1205))</f>
        <v/>
      </c>
      <c r="Q1205" s="42">
        <f>IF(A1205="",0,IF(C1205="✗",0,IF(OR(C1205="✓",AND(Setup!$D$7="Yes",P1205&lt;=TODAY())),IF(L1205&lt;&gt;"",L1205,F1205),0)))</f>
        <v/>
      </c>
      <c r="R1205" s="39">
        <f>IF(A1205="","",IF(M1205&lt;&gt;"",M1205,G1205))</f>
        <v/>
      </c>
      <c r="S1205" s="39">
        <f>IF(A1205="","",IF(N1205&lt;&gt;"",N1205,H1205))</f>
        <v/>
      </c>
      <c r="T1205" s="39">
        <f>IF(A1205="","",IF(C1205="✗","Skipped",IF(Q1205&gt;0,"Paid","Upcoming")))</f>
        <v/>
      </c>
      <c r="U1205" s="42">
        <f>IF(A1205="",0,IF(C1205="✗",0,IF(L1205&lt;&gt;"",L1205,F1205)))</f>
        <v/>
      </c>
    </row>
  </sheetData>
  <autoFilter ref="C5:T1205"/>
  <mergeCells count="4">
    <mergeCell ref="C4:I4"/>
    <mergeCell ref="K4:N4"/>
    <mergeCell ref="P4:T4"/>
    <mergeCell ref="C2:I2"/>
  </mergeCells>
  <conditionalFormatting sqref="C6:U1205">
    <cfRule type="expression" priority="1" dxfId="7" stopIfTrue="1">
      <formula>$A6=""</formula>
    </cfRule>
  </conditionalFormatting>
  <conditionalFormatting sqref="T6:T1205">
    <cfRule type="expression" priority="2" dxfId="8" stopIfTrue="0">
      <formula>$T6="Paid"</formula>
    </cfRule>
    <cfRule type="expression" priority="3" dxfId="9" stopIfTrue="0">
      <formula>$T6="Skipped"</formula>
    </cfRule>
  </conditionalFormatting>
  <conditionalFormatting sqref="C6:I1205">
    <cfRule type="expression" priority="4" dxfId="0" stopIfTrue="0">
      <formula>$I6="Income"</formula>
    </cfRule>
    <cfRule type="expression" priority="5" dxfId="1" stopIfTrue="0">
      <formula>$I6="Savings"</formula>
    </cfRule>
    <cfRule type="expression" priority="6" dxfId="3" stopIfTrue="0">
      <formula>$I6="Debt"</formula>
    </cfRule>
  </conditionalFormatting>
  <dataValidations count="2">
    <dataValidation sqref="C6:C1205" showDropDown="0" showInputMessage="1" showErrorMessage="0" allowBlank="1" error="Please pick a value from the list." prompt="✓ = paid, ✗ = skipped" type="list" errorStyle="warning">
      <formula1>=Lists!$F$2:$F$3</formula1>
    </dataValidation>
    <dataValidation sqref="M6:N1205" showDropDown="0" showInputMessage="0" showErrorMessage="0" allowBlank="1" error="Please pick a value from the list." type="list" errorStyle="warning">
      <formula1>=Lists!$G$2:$G$14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D8CF7"/>
    <outlinePr summaryBelow="1" summaryRight="1"/>
    <pageSetUpPr/>
  </sheetPr>
  <dimension ref="B2:H10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12" customWidth="1" style="1" min="2" max="2"/>
    <col width="15" customWidth="1" style="1" min="3" max="3"/>
    <col width="20" customWidth="1" style="1" min="4" max="4"/>
    <col width="12" customWidth="1" style="1" min="5" max="5"/>
    <col width="15" customWidth="1" style="1" min="6" max="6"/>
    <col width="15" customWidth="1" style="1" min="7" max="7"/>
    <col width="36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</cols>
  <sheetData>
    <row r="2">
      <c r="B2" s="27" t="inlineStr">
        <is>
          <t>MANUAL LOG</t>
        </is>
      </c>
      <c r="C2" s="1" t="n"/>
      <c r="D2" s="1" t="n"/>
      <c r="E2" s="1" t="n"/>
      <c r="F2" s="1" t="n"/>
      <c r="G2" s="1" t="n"/>
      <c r="H2" s="1" t="n"/>
    </row>
    <row r="3">
      <c r="B3" s="28" t="inlineStr">
        <is>
          <t>Log variable expenses, irregular income, one-off bills and money transfers here (or paste from your bank). Category 'Transfer' moves money between accounts only.</t>
        </is>
      </c>
    </row>
    <row r="4">
      <c r="B4" s="8" t="inlineStr">
        <is>
          <t>MANUAL LOG</t>
        </is>
      </c>
      <c r="C4" s="9" t="n"/>
      <c r="D4" s="9" t="n"/>
      <c r="E4" s="9" t="n"/>
      <c r="F4" s="9" t="n"/>
      <c r="G4" s="9" t="n"/>
      <c r="H4" s="9" t="n"/>
    </row>
    <row r="5">
      <c r="B5" s="31" t="inlineStr">
        <is>
          <t>DATE</t>
        </is>
      </c>
      <c r="C5" s="31" t="inlineStr">
        <is>
          <t>CATEGORY</t>
        </is>
      </c>
      <c r="D5" s="31" t="inlineStr">
        <is>
          <t>SUB-CATEGORY</t>
        </is>
      </c>
      <c r="E5" s="31" t="inlineStr">
        <is>
          <t>AMOUNT</t>
        </is>
      </c>
      <c r="F5" s="31" t="inlineStr">
        <is>
          <t>FROM ACCOUNT</t>
        </is>
      </c>
      <c r="G5" s="31" t="inlineStr">
        <is>
          <t>TO ACCOUNT</t>
        </is>
      </c>
      <c r="H5" s="31" t="inlineStr">
        <is>
          <t>DESCRIPTION</t>
        </is>
      </c>
    </row>
    <row r="6">
      <c r="B6" s="34" t="n">
        <v>46024</v>
      </c>
      <c r="C6" s="32" t="inlineStr">
        <is>
          <t>Variable Exp</t>
        </is>
      </c>
      <c r="D6" s="35" t="inlineStr">
        <is>
          <t>Groceries</t>
        </is>
      </c>
      <c r="E6" s="36" t="n">
        <v>53.16</v>
      </c>
      <c r="F6" s="32" t="inlineStr">
        <is>
          <t>Checking 2</t>
        </is>
      </c>
      <c r="G6" s="32" t="inlineStr">
        <is>
          <t>N/A</t>
        </is>
      </c>
      <c r="H6" s="35" t="inlineStr"/>
    </row>
    <row r="7">
      <c r="B7" s="40" t="n">
        <v>46024</v>
      </c>
      <c r="C7" s="39" t="inlineStr">
        <is>
          <t>Variable Exp</t>
        </is>
      </c>
      <c r="D7" s="41" t="inlineStr">
        <is>
          <t>Groceries</t>
        </is>
      </c>
      <c r="E7" s="42" t="n">
        <v>123.55</v>
      </c>
      <c r="F7" s="39" t="inlineStr">
        <is>
          <t>Credit Card 1</t>
        </is>
      </c>
      <c r="G7" s="39" t="inlineStr">
        <is>
          <t>N/A</t>
        </is>
      </c>
      <c r="H7" s="41" t="inlineStr"/>
    </row>
    <row r="8">
      <c r="B8" s="34" t="n">
        <v>46024</v>
      </c>
      <c r="C8" s="32" t="inlineStr">
        <is>
          <t>Variable Exp</t>
        </is>
      </c>
      <c r="D8" s="35" t="inlineStr">
        <is>
          <t>Pets</t>
        </is>
      </c>
      <c r="E8" s="36" t="n">
        <v>68.29000000000001</v>
      </c>
      <c r="F8" s="32" t="inlineStr">
        <is>
          <t>Credit Card 1</t>
        </is>
      </c>
      <c r="G8" s="32" t="inlineStr">
        <is>
          <t>N/A</t>
        </is>
      </c>
      <c r="H8" s="35" t="inlineStr"/>
    </row>
    <row r="9">
      <c r="B9" s="40" t="n">
        <v>46025</v>
      </c>
      <c r="C9" s="39" t="inlineStr">
        <is>
          <t>Variable Exp</t>
        </is>
      </c>
      <c r="D9" s="41" t="inlineStr">
        <is>
          <t>Groceries</t>
        </is>
      </c>
      <c r="E9" s="42" t="n">
        <v>67.86</v>
      </c>
      <c r="F9" s="39" t="inlineStr">
        <is>
          <t>Checking 2</t>
        </is>
      </c>
      <c r="G9" s="39" t="inlineStr">
        <is>
          <t>N/A</t>
        </is>
      </c>
      <c r="H9" s="41" t="inlineStr"/>
    </row>
    <row r="10">
      <c r="B10" s="34" t="n">
        <v>46026</v>
      </c>
      <c r="C10" s="32" t="inlineStr">
        <is>
          <t>Variable Exp</t>
        </is>
      </c>
      <c r="D10" s="35" t="inlineStr">
        <is>
          <t>Eating Out</t>
        </is>
      </c>
      <c r="E10" s="36" t="n">
        <v>56.97</v>
      </c>
      <c r="F10" s="32" t="inlineStr">
        <is>
          <t>Credit Card 2</t>
        </is>
      </c>
      <c r="G10" s="32" t="inlineStr">
        <is>
          <t>N/A</t>
        </is>
      </c>
      <c r="H10" s="35" t="inlineStr"/>
    </row>
    <row r="11">
      <c r="B11" s="40" t="n">
        <v>46027</v>
      </c>
      <c r="C11" s="39" t="inlineStr">
        <is>
          <t>Variable Exp</t>
        </is>
      </c>
      <c r="D11" s="41" t="inlineStr">
        <is>
          <t>School</t>
        </is>
      </c>
      <c r="E11" s="42" t="n">
        <v>113.99</v>
      </c>
      <c r="F11" s="39" t="inlineStr">
        <is>
          <t>Checking 2</t>
        </is>
      </c>
      <c r="G11" s="39" t="inlineStr">
        <is>
          <t>N/A</t>
        </is>
      </c>
      <c r="H11" s="41" t="inlineStr"/>
    </row>
    <row r="12">
      <c r="B12" s="34" t="n">
        <v>46030</v>
      </c>
      <c r="C12" s="32" t="inlineStr">
        <is>
          <t>Variable Exp</t>
        </is>
      </c>
      <c r="D12" s="35" t="inlineStr">
        <is>
          <t>Eating Out</t>
        </is>
      </c>
      <c r="E12" s="36" t="n">
        <v>21.12</v>
      </c>
      <c r="F12" s="32" t="inlineStr">
        <is>
          <t>Credit Card 2</t>
        </is>
      </c>
      <c r="G12" s="32" t="inlineStr">
        <is>
          <t>N/A</t>
        </is>
      </c>
      <c r="H12" s="35" t="inlineStr"/>
    </row>
    <row r="13">
      <c r="B13" s="40" t="n">
        <v>46030</v>
      </c>
      <c r="C13" s="39" t="inlineStr">
        <is>
          <t>Variable Exp</t>
        </is>
      </c>
      <c r="D13" s="41" t="inlineStr">
        <is>
          <t>Eating Out</t>
        </is>
      </c>
      <c r="E13" s="42" t="n">
        <v>60.25</v>
      </c>
      <c r="F13" s="39" t="inlineStr">
        <is>
          <t>Credit Card 1</t>
        </is>
      </c>
      <c r="G13" s="39" t="inlineStr">
        <is>
          <t>N/A</t>
        </is>
      </c>
      <c r="H13" s="41" t="inlineStr"/>
    </row>
    <row r="14">
      <c r="B14" s="34" t="n">
        <v>46032</v>
      </c>
      <c r="C14" s="32" t="inlineStr">
        <is>
          <t>Variable Exp</t>
        </is>
      </c>
      <c r="D14" s="35" t="inlineStr">
        <is>
          <t>Eating Out</t>
        </is>
      </c>
      <c r="E14" s="36" t="n">
        <v>46.08</v>
      </c>
      <c r="F14" s="32" t="inlineStr">
        <is>
          <t>Credit Card 1</t>
        </is>
      </c>
      <c r="G14" s="32" t="inlineStr">
        <is>
          <t>N/A</t>
        </is>
      </c>
      <c r="H14" s="35" t="inlineStr"/>
    </row>
    <row r="15">
      <c r="B15" s="40" t="n">
        <v>46033</v>
      </c>
      <c r="C15" s="39" t="inlineStr">
        <is>
          <t>Variable Exp</t>
        </is>
      </c>
      <c r="D15" s="41" t="inlineStr">
        <is>
          <t>Gifts</t>
        </is>
      </c>
      <c r="E15" s="42" t="n">
        <v>68.67</v>
      </c>
      <c r="F15" s="39" t="inlineStr">
        <is>
          <t>Checking 2</t>
        </is>
      </c>
      <c r="G15" s="39" t="inlineStr">
        <is>
          <t>N/A</t>
        </is>
      </c>
      <c r="H15" s="41" t="inlineStr"/>
    </row>
    <row r="16">
      <c r="B16" s="34" t="n">
        <v>46033</v>
      </c>
      <c r="C16" s="32" t="inlineStr">
        <is>
          <t>Variable Exp</t>
        </is>
      </c>
      <c r="D16" s="35" t="inlineStr">
        <is>
          <t>Groceries</t>
        </is>
      </c>
      <c r="E16" s="36" t="n">
        <v>135.05</v>
      </c>
      <c r="F16" s="32" t="inlineStr">
        <is>
          <t>Checking 2</t>
        </is>
      </c>
      <c r="G16" s="32" t="inlineStr">
        <is>
          <t>N/A</t>
        </is>
      </c>
      <c r="H16" s="35" t="inlineStr"/>
    </row>
    <row r="17">
      <c r="B17" s="40" t="n">
        <v>46033</v>
      </c>
      <c r="C17" s="39" t="inlineStr">
        <is>
          <t>Variable Exp</t>
        </is>
      </c>
      <c r="D17" s="41" t="inlineStr">
        <is>
          <t>Transportation</t>
        </is>
      </c>
      <c r="E17" s="42" t="n">
        <v>62.83</v>
      </c>
      <c r="F17" s="39" t="inlineStr">
        <is>
          <t>Checking 1</t>
        </is>
      </c>
      <c r="G17" s="39" t="inlineStr">
        <is>
          <t>N/A</t>
        </is>
      </c>
      <c r="H17" s="41" t="inlineStr"/>
    </row>
    <row r="18">
      <c r="B18" s="34" t="n">
        <v>46034</v>
      </c>
      <c r="C18" s="32" t="inlineStr">
        <is>
          <t>Variable Exp</t>
        </is>
      </c>
      <c r="D18" s="35" t="inlineStr">
        <is>
          <t>Entertainment</t>
        </is>
      </c>
      <c r="E18" s="36" t="n">
        <v>34.99</v>
      </c>
      <c r="F18" s="32" t="inlineStr">
        <is>
          <t>Credit Card 2</t>
        </is>
      </c>
      <c r="G18" s="32" t="inlineStr">
        <is>
          <t>N/A</t>
        </is>
      </c>
      <c r="H18" s="35" t="inlineStr"/>
    </row>
    <row r="19">
      <c r="B19" s="40" t="n">
        <v>46034</v>
      </c>
      <c r="C19" s="39" t="inlineStr">
        <is>
          <t>Variable Exp</t>
        </is>
      </c>
      <c r="D19" s="41" t="inlineStr">
        <is>
          <t>Groceries</t>
        </is>
      </c>
      <c r="E19" s="42" t="n">
        <v>100.36</v>
      </c>
      <c r="F19" s="39" t="inlineStr">
        <is>
          <t>Credit Card 2</t>
        </is>
      </c>
      <c r="G19" s="39" t="inlineStr">
        <is>
          <t>N/A</t>
        </is>
      </c>
      <c r="H19" s="41" t="inlineStr"/>
    </row>
    <row r="20">
      <c r="B20" s="34" t="n">
        <v>46034</v>
      </c>
      <c r="C20" s="32" t="inlineStr">
        <is>
          <t>Variable Exp</t>
        </is>
      </c>
      <c r="D20" s="35" t="inlineStr">
        <is>
          <t>Shopping</t>
        </is>
      </c>
      <c r="E20" s="36" t="n">
        <v>36.2</v>
      </c>
      <c r="F20" s="32" t="inlineStr">
        <is>
          <t>Credit Card 1</t>
        </is>
      </c>
      <c r="G20" s="32" t="inlineStr">
        <is>
          <t>N/A</t>
        </is>
      </c>
      <c r="H20" s="35" t="inlineStr"/>
    </row>
    <row r="21">
      <c r="B21" s="40" t="n">
        <v>46038</v>
      </c>
      <c r="C21" s="39" t="inlineStr">
        <is>
          <t>Variable Exp</t>
        </is>
      </c>
      <c r="D21" s="41" t="inlineStr">
        <is>
          <t>Shopping</t>
        </is>
      </c>
      <c r="E21" s="42" t="n">
        <v>103.25</v>
      </c>
      <c r="F21" s="39" t="inlineStr">
        <is>
          <t>Checking 2</t>
        </is>
      </c>
      <c r="G21" s="39" t="inlineStr">
        <is>
          <t>N/A</t>
        </is>
      </c>
      <c r="H21" s="41" t="inlineStr"/>
    </row>
    <row r="22">
      <c r="B22" s="34" t="n">
        <v>46039</v>
      </c>
      <c r="C22" s="32" t="inlineStr">
        <is>
          <t>Variable Exp</t>
        </is>
      </c>
      <c r="D22" s="35" t="inlineStr">
        <is>
          <t>School</t>
        </is>
      </c>
      <c r="E22" s="36" t="n">
        <v>67.63</v>
      </c>
      <c r="F22" s="32" t="inlineStr">
        <is>
          <t>Checking 1</t>
        </is>
      </c>
      <c r="G22" s="32" t="inlineStr">
        <is>
          <t>N/A</t>
        </is>
      </c>
      <c r="H22" s="35" t="inlineStr"/>
    </row>
    <row r="23">
      <c r="B23" s="40" t="n">
        <v>46041</v>
      </c>
      <c r="C23" s="39" t="inlineStr">
        <is>
          <t>Variable Exp</t>
        </is>
      </c>
      <c r="D23" s="41" t="inlineStr">
        <is>
          <t>Eating Out</t>
        </is>
      </c>
      <c r="E23" s="42" t="n">
        <v>38.67</v>
      </c>
      <c r="F23" s="39" t="inlineStr">
        <is>
          <t>Credit Card 2</t>
        </is>
      </c>
      <c r="G23" s="39" t="inlineStr">
        <is>
          <t>N/A</t>
        </is>
      </c>
      <c r="H23" s="41" t="inlineStr"/>
    </row>
    <row r="24">
      <c r="B24" s="34" t="n">
        <v>46041</v>
      </c>
      <c r="C24" s="32" t="inlineStr">
        <is>
          <t>Variable Exp</t>
        </is>
      </c>
      <c r="D24" s="35" t="inlineStr">
        <is>
          <t>Eating Out</t>
        </is>
      </c>
      <c r="E24" s="36" t="n">
        <v>57.23</v>
      </c>
      <c r="F24" s="32" t="inlineStr">
        <is>
          <t>Credit Card 1</t>
        </is>
      </c>
      <c r="G24" s="32" t="inlineStr">
        <is>
          <t>N/A</t>
        </is>
      </c>
      <c r="H24" s="35" t="inlineStr"/>
    </row>
    <row r="25">
      <c r="B25" s="40" t="n">
        <v>46041</v>
      </c>
      <c r="C25" s="39" t="inlineStr">
        <is>
          <t>Variable Exp</t>
        </is>
      </c>
      <c r="D25" s="41" t="inlineStr">
        <is>
          <t>Other</t>
        </is>
      </c>
      <c r="E25" s="42" t="n">
        <v>41.88</v>
      </c>
      <c r="F25" s="39" t="inlineStr">
        <is>
          <t>Credit Card 1</t>
        </is>
      </c>
      <c r="G25" s="39" t="inlineStr">
        <is>
          <t>N/A</t>
        </is>
      </c>
      <c r="H25" s="41" t="inlineStr"/>
    </row>
    <row r="26">
      <c r="B26" s="34" t="n">
        <v>46041</v>
      </c>
      <c r="C26" s="32" t="inlineStr">
        <is>
          <t>Variable Exp</t>
        </is>
      </c>
      <c r="D26" s="35" t="inlineStr">
        <is>
          <t>Shopping</t>
        </is>
      </c>
      <c r="E26" s="36" t="n">
        <v>31.85</v>
      </c>
      <c r="F26" s="32" t="inlineStr">
        <is>
          <t>Credit Card 2</t>
        </is>
      </c>
      <c r="G26" s="32" t="inlineStr">
        <is>
          <t>N/A</t>
        </is>
      </c>
      <c r="H26" s="35" t="inlineStr"/>
    </row>
    <row r="27">
      <c r="B27" s="40" t="n">
        <v>46041</v>
      </c>
      <c r="C27" s="39" t="inlineStr">
        <is>
          <t>Variable Exp</t>
        </is>
      </c>
      <c r="D27" s="41" t="inlineStr">
        <is>
          <t>Transportation</t>
        </is>
      </c>
      <c r="E27" s="42" t="n">
        <v>43.51</v>
      </c>
      <c r="F27" s="39" t="inlineStr">
        <is>
          <t>Checking 2</t>
        </is>
      </c>
      <c r="G27" s="39" t="inlineStr">
        <is>
          <t>N/A</t>
        </is>
      </c>
      <c r="H27" s="41" t="inlineStr"/>
    </row>
    <row r="28">
      <c r="B28" s="34" t="n">
        <v>46042</v>
      </c>
      <c r="C28" s="32" t="inlineStr">
        <is>
          <t>Variable Exp</t>
        </is>
      </c>
      <c r="D28" s="35" t="inlineStr">
        <is>
          <t>Transportation</t>
        </is>
      </c>
      <c r="E28" s="36" t="n">
        <v>74.11</v>
      </c>
      <c r="F28" s="32" t="inlineStr">
        <is>
          <t>Credit Card 1</t>
        </is>
      </c>
      <c r="G28" s="32" t="inlineStr">
        <is>
          <t>N/A</t>
        </is>
      </c>
      <c r="H28" s="35" t="inlineStr"/>
    </row>
    <row r="29">
      <c r="B29" s="40" t="n">
        <v>46043</v>
      </c>
      <c r="C29" s="39" t="inlineStr">
        <is>
          <t>Variable Exp</t>
        </is>
      </c>
      <c r="D29" s="41" t="inlineStr">
        <is>
          <t>Groceries</t>
        </is>
      </c>
      <c r="E29" s="42" t="n">
        <v>49.59</v>
      </c>
      <c r="F29" s="39" t="inlineStr">
        <is>
          <t>Credit Card 1</t>
        </is>
      </c>
      <c r="G29" s="39" t="inlineStr">
        <is>
          <t>N/A</t>
        </is>
      </c>
      <c r="H29" s="41" t="inlineStr"/>
    </row>
    <row r="30">
      <c r="B30" s="34" t="n">
        <v>46045</v>
      </c>
      <c r="C30" s="32" t="inlineStr">
        <is>
          <t>Variable Exp</t>
        </is>
      </c>
      <c r="D30" s="35" t="inlineStr">
        <is>
          <t>Transportation</t>
        </is>
      </c>
      <c r="E30" s="36" t="n">
        <v>65.09</v>
      </c>
      <c r="F30" s="32" t="inlineStr">
        <is>
          <t>Credit Card 1</t>
        </is>
      </c>
      <c r="G30" s="32" t="inlineStr">
        <is>
          <t>N/A</t>
        </is>
      </c>
      <c r="H30" s="35" t="inlineStr"/>
    </row>
    <row r="31">
      <c r="B31" s="40" t="n">
        <v>46047</v>
      </c>
      <c r="C31" s="39" t="inlineStr">
        <is>
          <t>Transfer</t>
        </is>
      </c>
      <c r="D31" s="41" t="inlineStr"/>
      <c r="E31" s="42" t="n">
        <v>300</v>
      </c>
      <c r="F31" s="39" t="inlineStr">
        <is>
          <t>Checking 2</t>
        </is>
      </c>
      <c r="G31" s="39" t="inlineStr">
        <is>
          <t>Checking 1</t>
        </is>
      </c>
      <c r="H31" s="41" t="inlineStr">
        <is>
          <t>Move to main account</t>
        </is>
      </c>
    </row>
    <row r="32">
      <c r="B32" s="34" t="n">
        <v>46047</v>
      </c>
      <c r="C32" s="32" t="inlineStr">
        <is>
          <t>Variable Exp</t>
        </is>
      </c>
      <c r="D32" s="35" t="inlineStr">
        <is>
          <t>Entertainment</t>
        </is>
      </c>
      <c r="E32" s="36" t="n">
        <v>35.71</v>
      </c>
      <c r="F32" s="32" t="inlineStr">
        <is>
          <t>Checking 2</t>
        </is>
      </c>
      <c r="G32" s="32" t="inlineStr">
        <is>
          <t>N/A</t>
        </is>
      </c>
      <c r="H32" s="35" t="inlineStr"/>
    </row>
    <row r="33">
      <c r="B33" s="40" t="n">
        <v>46047</v>
      </c>
      <c r="C33" s="39" t="inlineStr">
        <is>
          <t>Variable Exp</t>
        </is>
      </c>
      <c r="D33" s="41" t="inlineStr">
        <is>
          <t>Hair/Beauty</t>
        </is>
      </c>
      <c r="E33" s="42" t="n">
        <v>46.74</v>
      </c>
      <c r="F33" s="39" t="inlineStr">
        <is>
          <t>Checking 1</t>
        </is>
      </c>
      <c r="G33" s="39" t="inlineStr">
        <is>
          <t>N/A</t>
        </is>
      </c>
      <c r="H33" s="41" t="inlineStr"/>
    </row>
    <row r="34">
      <c r="B34" s="34" t="n">
        <v>46049</v>
      </c>
      <c r="C34" s="32" t="inlineStr">
        <is>
          <t>Variable Exp</t>
        </is>
      </c>
      <c r="D34" s="35" t="inlineStr">
        <is>
          <t>Other</t>
        </is>
      </c>
      <c r="E34" s="36" t="n">
        <v>13.74</v>
      </c>
      <c r="F34" s="32" t="inlineStr">
        <is>
          <t>Checking 1</t>
        </is>
      </c>
      <c r="G34" s="32" t="inlineStr">
        <is>
          <t>N/A</t>
        </is>
      </c>
      <c r="H34" s="35" t="inlineStr"/>
    </row>
    <row r="35">
      <c r="B35" s="40" t="n">
        <v>46054</v>
      </c>
      <c r="C35" s="39" t="inlineStr">
        <is>
          <t>Variable Exp</t>
        </is>
      </c>
      <c r="D35" s="41" t="inlineStr">
        <is>
          <t>Groceries</t>
        </is>
      </c>
      <c r="E35" s="42" t="n">
        <v>134.36</v>
      </c>
      <c r="F35" s="39" t="inlineStr">
        <is>
          <t>Checking 1</t>
        </is>
      </c>
      <c r="G35" s="39" t="inlineStr">
        <is>
          <t>N/A</t>
        </is>
      </c>
      <c r="H35" s="41" t="inlineStr"/>
    </row>
    <row r="36">
      <c r="B36" s="34" t="n">
        <v>46055</v>
      </c>
      <c r="C36" s="32" t="inlineStr">
        <is>
          <t>Variable Exp</t>
        </is>
      </c>
      <c r="D36" s="35" t="inlineStr">
        <is>
          <t>Eating Out</t>
        </is>
      </c>
      <c r="E36" s="36" t="n">
        <v>32.62</v>
      </c>
      <c r="F36" s="32" t="inlineStr">
        <is>
          <t>Checking 1</t>
        </is>
      </c>
      <c r="G36" s="32" t="inlineStr">
        <is>
          <t>N/A</t>
        </is>
      </c>
      <c r="H36" s="35" t="inlineStr"/>
    </row>
    <row r="37">
      <c r="B37" s="40" t="n">
        <v>46055</v>
      </c>
      <c r="C37" s="39" t="inlineStr">
        <is>
          <t>Variable Exp</t>
        </is>
      </c>
      <c r="D37" s="41" t="inlineStr">
        <is>
          <t>Groceries</t>
        </is>
      </c>
      <c r="E37" s="42" t="n">
        <v>114.46</v>
      </c>
      <c r="F37" s="39" t="inlineStr">
        <is>
          <t>Checking 1</t>
        </is>
      </c>
      <c r="G37" s="39" t="inlineStr">
        <is>
          <t>N/A</t>
        </is>
      </c>
      <c r="H37" s="41" t="inlineStr"/>
    </row>
    <row r="38">
      <c r="B38" s="34" t="n">
        <v>46056</v>
      </c>
      <c r="C38" s="32" t="inlineStr">
        <is>
          <t>Variable Exp</t>
        </is>
      </c>
      <c r="D38" s="35" t="inlineStr">
        <is>
          <t>Eating Out</t>
        </is>
      </c>
      <c r="E38" s="36" t="n">
        <v>29.15</v>
      </c>
      <c r="F38" s="32" t="inlineStr">
        <is>
          <t>Checking 2</t>
        </is>
      </c>
      <c r="G38" s="32" t="inlineStr">
        <is>
          <t>N/A</t>
        </is>
      </c>
      <c r="H38" s="35" t="inlineStr"/>
    </row>
    <row r="39">
      <c r="B39" s="40" t="n">
        <v>46058</v>
      </c>
      <c r="C39" s="39" t="inlineStr">
        <is>
          <t>Variable Exp</t>
        </is>
      </c>
      <c r="D39" s="41" t="inlineStr">
        <is>
          <t>Eating Out</t>
        </is>
      </c>
      <c r="E39" s="42" t="n">
        <v>67.47</v>
      </c>
      <c r="F39" s="39" t="inlineStr">
        <is>
          <t>Checking 2</t>
        </is>
      </c>
      <c r="G39" s="39" t="inlineStr">
        <is>
          <t>N/A</t>
        </is>
      </c>
      <c r="H39" s="41" t="inlineStr"/>
    </row>
    <row r="40">
      <c r="B40" s="34" t="n">
        <v>46058</v>
      </c>
      <c r="C40" s="32" t="inlineStr">
        <is>
          <t>Variable Exp</t>
        </is>
      </c>
      <c r="D40" s="35" t="inlineStr">
        <is>
          <t>Shopping</t>
        </is>
      </c>
      <c r="E40" s="36" t="n">
        <v>34.54</v>
      </c>
      <c r="F40" s="32" t="inlineStr">
        <is>
          <t>Credit Card 2</t>
        </is>
      </c>
      <c r="G40" s="32" t="inlineStr">
        <is>
          <t>N/A</t>
        </is>
      </c>
      <c r="H40" s="35" t="inlineStr"/>
    </row>
    <row r="41">
      <c r="B41" s="40" t="n">
        <v>46058</v>
      </c>
      <c r="C41" s="39" t="inlineStr">
        <is>
          <t>Variable Exp</t>
        </is>
      </c>
      <c r="D41" s="41" t="inlineStr">
        <is>
          <t>Transportation</t>
        </is>
      </c>
      <c r="E41" s="42" t="n">
        <v>61.07</v>
      </c>
      <c r="F41" s="39" t="inlineStr">
        <is>
          <t>Credit Card 1</t>
        </is>
      </c>
      <c r="G41" s="39" t="inlineStr">
        <is>
          <t>N/A</t>
        </is>
      </c>
      <c r="H41" s="41" t="inlineStr"/>
    </row>
    <row r="42">
      <c r="B42" s="34" t="n">
        <v>46059</v>
      </c>
      <c r="C42" s="32" t="inlineStr">
        <is>
          <t>Variable Exp</t>
        </is>
      </c>
      <c r="D42" s="35" t="inlineStr">
        <is>
          <t>Groceries</t>
        </is>
      </c>
      <c r="E42" s="36" t="n">
        <v>103.04</v>
      </c>
      <c r="F42" s="32" t="inlineStr">
        <is>
          <t>Checking 2</t>
        </is>
      </c>
      <c r="G42" s="32" t="inlineStr">
        <is>
          <t>N/A</t>
        </is>
      </c>
      <c r="H42" s="35" t="inlineStr"/>
    </row>
    <row r="43">
      <c r="B43" s="40" t="n">
        <v>46060</v>
      </c>
      <c r="C43" s="39" t="inlineStr">
        <is>
          <t>Variable Exp</t>
        </is>
      </c>
      <c r="D43" s="41" t="inlineStr">
        <is>
          <t>Pets</t>
        </is>
      </c>
      <c r="E43" s="42" t="n">
        <v>28.03</v>
      </c>
      <c r="F43" s="39" t="inlineStr">
        <is>
          <t>Credit Card 2</t>
        </is>
      </c>
      <c r="G43" s="39" t="inlineStr">
        <is>
          <t>N/A</t>
        </is>
      </c>
      <c r="H43" s="41" t="inlineStr"/>
    </row>
    <row r="44">
      <c r="B44" s="34" t="n">
        <v>46061</v>
      </c>
      <c r="C44" s="32" t="inlineStr">
        <is>
          <t>Variable Exp</t>
        </is>
      </c>
      <c r="D44" s="35" t="inlineStr">
        <is>
          <t>Entertainment</t>
        </is>
      </c>
      <c r="E44" s="36" t="n">
        <v>52.93</v>
      </c>
      <c r="F44" s="32" t="inlineStr">
        <is>
          <t>Credit Card 1</t>
        </is>
      </c>
      <c r="G44" s="32" t="inlineStr">
        <is>
          <t>N/A</t>
        </is>
      </c>
      <c r="H44" s="35" t="inlineStr"/>
    </row>
    <row r="45">
      <c r="B45" s="40" t="n">
        <v>46062</v>
      </c>
      <c r="C45" s="39" t="inlineStr">
        <is>
          <t>Variable Exp</t>
        </is>
      </c>
      <c r="D45" s="41" t="inlineStr">
        <is>
          <t>Transportation</t>
        </is>
      </c>
      <c r="E45" s="42" t="n">
        <v>42.69</v>
      </c>
      <c r="F45" s="39" t="inlineStr">
        <is>
          <t>Credit Card 2</t>
        </is>
      </c>
      <c r="G45" s="39" t="inlineStr">
        <is>
          <t>N/A</t>
        </is>
      </c>
      <c r="H45" s="41" t="inlineStr"/>
    </row>
    <row r="46">
      <c r="B46" s="34" t="n">
        <v>46063</v>
      </c>
      <c r="C46" s="32" t="inlineStr">
        <is>
          <t>Variable Exp</t>
        </is>
      </c>
      <c r="D46" s="35" t="inlineStr">
        <is>
          <t>Groceries</t>
        </is>
      </c>
      <c r="E46" s="36" t="n">
        <v>113.08</v>
      </c>
      <c r="F46" s="32" t="inlineStr">
        <is>
          <t>Checking 1</t>
        </is>
      </c>
      <c r="G46" s="32" t="inlineStr">
        <is>
          <t>N/A</t>
        </is>
      </c>
      <c r="H46" s="35" t="inlineStr"/>
    </row>
    <row r="47">
      <c r="B47" s="40" t="n">
        <v>46065</v>
      </c>
      <c r="C47" s="39" t="inlineStr">
        <is>
          <t>Variable Exp</t>
        </is>
      </c>
      <c r="D47" s="41" t="inlineStr">
        <is>
          <t>Other</t>
        </is>
      </c>
      <c r="E47" s="42" t="n">
        <v>34.55</v>
      </c>
      <c r="F47" s="39" t="inlineStr">
        <is>
          <t>Credit Card 1</t>
        </is>
      </c>
      <c r="G47" s="39" t="inlineStr">
        <is>
          <t>N/A</t>
        </is>
      </c>
      <c r="H47" s="41" t="inlineStr"/>
    </row>
    <row r="48">
      <c r="B48" s="34" t="n">
        <v>46066</v>
      </c>
      <c r="C48" s="32" t="inlineStr">
        <is>
          <t>Variable Exp</t>
        </is>
      </c>
      <c r="D48" s="35" t="inlineStr">
        <is>
          <t>Eating Out</t>
        </is>
      </c>
      <c r="E48" s="36" t="n">
        <v>79.43000000000001</v>
      </c>
      <c r="F48" s="32" t="inlineStr">
        <is>
          <t>Checking 2</t>
        </is>
      </c>
      <c r="G48" s="32" t="inlineStr">
        <is>
          <t>N/A</t>
        </is>
      </c>
      <c r="H48" s="35" t="inlineStr"/>
    </row>
    <row r="49">
      <c r="B49" s="40" t="n">
        <v>46066</v>
      </c>
      <c r="C49" s="39" t="inlineStr">
        <is>
          <t>Variable Exp</t>
        </is>
      </c>
      <c r="D49" s="41" t="inlineStr">
        <is>
          <t>School</t>
        </is>
      </c>
      <c r="E49" s="42" t="n">
        <v>65.91</v>
      </c>
      <c r="F49" s="39" t="inlineStr">
        <is>
          <t>Credit Card 1</t>
        </is>
      </c>
      <c r="G49" s="39" t="inlineStr">
        <is>
          <t>N/A</t>
        </is>
      </c>
      <c r="H49" s="41" t="inlineStr"/>
    </row>
    <row r="50">
      <c r="B50" s="34" t="n">
        <v>46067</v>
      </c>
      <c r="C50" s="32" t="inlineStr">
        <is>
          <t>Variable Exp</t>
        </is>
      </c>
      <c r="D50" s="35" t="inlineStr">
        <is>
          <t>Transportation</t>
        </is>
      </c>
      <c r="E50" s="36" t="n">
        <v>54.06</v>
      </c>
      <c r="F50" s="32" t="inlineStr">
        <is>
          <t>Checking 1</t>
        </is>
      </c>
      <c r="G50" s="32" t="inlineStr">
        <is>
          <t>N/A</t>
        </is>
      </c>
      <c r="H50" s="35" t="inlineStr"/>
    </row>
    <row r="51">
      <c r="B51" s="40" t="n">
        <v>46068</v>
      </c>
      <c r="C51" s="39" t="inlineStr">
        <is>
          <t>Variable Exp</t>
        </is>
      </c>
      <c r="D51" s="41" t="inlineStr">
        <is>
          <t>Hair/Beauty</t>
        </is>
      </c>
      <c r="E51" s="42" t="n">
        <v>34.87</v>
      </c>
      <c r="F51" s="39" t="inlineStr">
        <is>
          <t>Checking 1</t>
        </is>
      </c>
      <c r="G51" s="39" t="inlineStr">
        <is>
          <t>N/A</t>
        </is>
      </c>
      <c r="H51" s="41" t="inlineStr"/>
    </row>
    <row r="52">
      <c r="B52" s="34" t="n">
        <v>46068</v>
      </c>
      <c r="C52" s="32" t="inlineStr">
        <is>
          <t>Variable Exp</t>
        </is>
      </c>
      <c r="D52" s="35" t="inlineStr">
        <is>
          <t>Transportation</t>
        </is>
      </c>
      <c r="E52" s="36" t="n">
        <v>70.48</v>
      </c>
      <c r="F52" s="32" t="inlineStr">
        <is>
          <t>Checking 2</t>
        </is>
      </c>
      <c r="G52" s="32" t="inlineStr">
        <is>
          <t>N/A</t>
        </is>
      </c>
      <c r="H52" s="35" t="inlineStr"/>
    </row>
    <row r="53">
      <c r="B53" s="40" t="n">
        <v>46069</v>
      </c>
      <c r="C53" s="39" t="inlineStr">
        <is>
          <t>Variable Exp</t>
        </is>
      </c>
      <c r="D53" s="41" t="inlineStr">
        <is>
          <t>Entertainment</t>
        </is>
      </c>
      <c r="E53" s="42" t="n">
        <v>61.55</v>
      </c>
      <c r="F53" s="39" t="inlineStr">
        <is>
          <t>Credit Card 2</t>
        </is>
      </c>
      <c r="G53" s="39" t="inlineStr">
        <is>
          <t>N/A</t>
        </is>
      </c>
      <c r="H53" s="41" t="inlineStr"/>
    </row>
    <row r="54">
      <c r="B54" s="34" t="n">
        <v>46069</v>
      </c>
      <c r="C54" s="32" t="inlineStr">
        <is>
          <t>Variable Exp</t>
        </is>
      </c>
      <c r="D54" s="35" t="inlineStr">
        <is>
          <t>Groceries</t>
        </is>
      </c>
      <c r="E54" s="36" t="n">
        <v>111.22</v>
      </c>
      <c r="F54" s="32" t="inlineStr">
        <is>
          <t>Credit Card 1</t>
        </is>
      </c>
      <c r="G54" s="32" t="inlineStr">
        <is>
          <t>N/A</t>
        </is>
      </c>
      <c r="H54" s="35" t="inlineStr"/>
    </row>
    <row r="55">
      <c r="B55" s="40" t="n">
        <v>46069</v>
      </c>
      <c r="C55" s="39" t="inlineStr">
        <is>
          <t>Variable Exp</t>
        </is>
      </c>
      <c r="D55" s="41" t="inlineStr">
        <is>
          <t>School</t>
        </is>
      </c>
      <c r="E55" s="42" t="n">
        <v>87.09</v>
      </c>
      <c r="F55" s="39" t="inlineStr">
        <is>
          <t>Credit Card 1</t>
        </is>
      </c>
      <c r="G55" s="39" t="inlineStr">
        <is>
          <t>N/A</t>
        </is>
      </c>
      <c r="H55" s="41" t="inlineStr"/>
    </row>
    <row r="56">
      <c r="B56" s="34" t="n">
        <v>46071</v>
      </c>
      <c r="C56" s="32" t="inlineStr">
        <is>
          <t>Variable Exp</t>
        </is>
      </c>
      <c r="D56" s="35" t="inlineStr">
        <is>
          <t>Eating Out</t>
        </is>
      </c>
      <c r="E56" s="36" t="n">
        <v>36.62</v>
      </c>
      <c r="F56" s="32" t="inlineStr">
        <is>
          <t>Credit Card 2</t>
        </is>
      </c>
      <c r="G56" s="32" t="inlineStr">
        <is>
          <t>N/A</t>
        </is>
      </c>
      <c r="H56" s="35" t="inlineStr"/>
    </row>
    <row r="57">
      <c r="B57" s="40" t="n">
        <v>46072</v>
      </c>
      <c r="C57" s="39" t="inlineStr">
        <is>
          <t>Variable Exp</t>
        </is>
      </c>
      <c r="D57" s="41" t="inlineStr">
        <is>
          <t>Other</t>
        </is>
      </c>
      <c r="E57" s="42" t="n">
        <v>16.05</v>
      </c>
      <c r="F57" s="39" t="inlineStr">
        <is>
          <t>Credit Card 1</t>
        </is>
      </c>
      <c r="G57" s="39" t="inlineStr">
        <is>
          <t>N/A</t>
        </is>
      </c>
      <c r="H57" s="41" t="inlineStr"/>
    </row>
    <row r="58">
      <c r="B58" s="34" t="n">
        <v>46073</v>
      </c>
      <c r="C58" s="32" t="inlineStr">
        <is>
          <t>Variable Exp</t>
        </is>
      </c>
      <c r="D58" s="35" t="inlineStr">
        <is>
          <t>Gifts</t>
        </is>
      </c>
      <c r="E58" s="36" t="n">
        <v>23.68</v>
      </c>
      <c r="F58" s="32" t="inlineStr">
        <is>
          <t>Credit Card 1</t>
        </is>
      </c>
      <c r="G58" s="32" t="inlineStr">
        <is>
          <t>N/A</t>
        </is>
      </c>
      <c r="H58" s="35" t="inlineStr"/>
    </row>
    <row r="59">
      <c r="B59" s="40" t="n">
        <v>46074</v>
      </c>
      <c r="C59" s="39" t="inlineStr">
        <is>
          <t>Variable Exp</t>
        </is>
      </c>
      <c r="D59" s="41" t="inlineStr">
        <is>
          <t>Groceries</t>
        </is>
      </c>
      <c r="E59" s="42" t="n">
        <v>99.90000000000001</v>
      </c>
      <c r="F59" s="39" t="inlineStr">
        <is>
          <t>Checking 2</t>
        </is>
      </c>
      <c r="G59" s="39" t="inlineStr">
        <is>
          <t>N/A</t>
        </is>
      </c>
      <c r="H59" s="41" t="inlineStr"/>
    </row>
    <row r="60">
      <c r="B60" s="34" t="n">
        <v>46075</v>
      </c>
      <c r="C60" s="32" t="inlineStr">
        <is>
          <t>Variable Exp</t>
        </is>
      </c>
      <c r="D60" s="35" t="inlineStr">
        <is>
          <t>Shopping</t>
        </is>
      </c>
      <c r="E60" s="36" t="n">
        <v>126.68</v>
      </c>
      <c r="F60" s="32" t="inlineStr">
        <is>
          <t>Credit Card 2</t>
        </is>
      </c>
      <c r="G60" s="32" t="inlineStr">
        <is>
          <t>N/A</t>
        </is>
      </c>
      <c r="H60" s="35" t="inlineStr"/>
    </row>
    <row r="61">
      <c r="B61" s="40" t="n">
        <v>46076</v>
      </c>
      <c r="C61" s="39" t="inlineStr">
        <is>
          <t>Variable Exp</t>
        </is>
      </c>
      <c r="D61" s="41" t="inlineStr">
        <is>
          <t>Shopping</t>
        </is>
      </c>
      <c r="E61" s="42" t="n">
        <v>72.76000000000001</v>
      </c>
      <c r="F61" s="39" t="inlineStr">
        <is>
          <t>Checking 1</t>
        </is>
      </c>
      <c r="G61" s="39" t="inlineStr">
        <is>
          <t>N/A</t>
        </is>
      </c>
      <c r="H61" s="41" t="inlineStr"/>
    </row>
    <row r="62">
      <c r="B62" s="34" t="n">
        <v>46078</v>
      </c>
      <c r="C62" s="32" t="inlineStr">
        <is>
          <t>Transfer</t>
        </is>
      </c>
      <c r="D62" s="35" t="inlineStr"/>
      <c r="E62" s="36" t="n">
        <v>300</v>
      </c>
      <c r="F62" s="32" t="inlineStr">
        <is>
          <t>Checking 2</t>
        </is>
      </c>
      <c r="G62" s="32" t="inlineStr">
        <is>
          <t>Checking 1</t>
        </is>
      </c>
      <c r="H62" s="35" t="inlineStr">
        <is>
          <t>Move to main account</t>
        </is>
      </c>
    </row>
    <row r="63">
      <c r="B63" s="40" t="n">
        <v>46080</v>
      </c>
      <c r="C63" s="39" t="inlineStr">
        <is>
          <t>Variable Exp</t>
        </is>
      </c>
      <c r="D63" s="41" t="inlineStr">
        <is>
          <t>Eating Out</t>
        </is>
      </c>
      <c r="E63" s="42" t="n">
        <v>46.84</v>
      </c>
      <c r="F63" s="39" t="inlineStr">
        <is>
          <t>Checking 1</t>
        </is>
      </c>
      <c r="G63" s="39" t="inlineStr">
        <is>
          <t>N/A</t>
        </is>
      </c>
      <c r="H63" s="41" t="inlineStr"/>
    </row>
    <row r="64">
      <c r="B64" s="34" t="n">
        <v>46082</v>
      </c>
      <c r="C64" s="32" t="inlineStr">
        <is>
          <t>Variable Exp</t>
        </is>
      </c>
      <c r="D64" s="35" t="inlineStr">
        <is>
          <t>Transportation</t>
        </is>
      </c>
      <c r="E64" s="36" t="n">
        <v>65.56</v>
      </c>
      <c r="F64" s="32" t="inlineStr">
        <is>
          <t>Checking 2</t>
        </is>
      </c>
      <c r="G64" s="32" t="inlineStr">
        <is>
          <t>N/A</t>
        </is>
      </c>
      <c r="H64" s="35" t="inlineStr"/>
    </row>
    <row r="65">
      <c r="B65" s="40" t="n">
        <v>46085</v>
      </c>
      <c r="C65" s="39" t="inlineStr">
        <is>
          <t>Variable Exp</t>
        </is>
      </c>
      <c r="D65" s="41" t="inlineStr">
        <is>
          <t>Groceries</t>
        </is>
      </c>
      <c r="E65" s="42" t="n">
        <v>125.65</v>
      </c>
      <c r="F65" s="39" t="inlineStr">
        <is>
          <t>Checking 2</t>
        </is>
      </c>
      <c r="G65" s="39" t="inlineStr">
        <is>
          <t>N/A</t>
        </is>
      </c>
      <c r="H65" s="41" t="inlineStr"/>
    </row>
    <row r="66">
      <c r="B66" s="34" t="n">
        <v>46086</v>
      </c>
      <c r="C66" s="32" t="inlineStr">
        <is>
          <t>Variable Exp</t>
        </is>
      </c>
      <c r="D66" s="35" t="inlineStr">
        <is>
          <t>Eating Out</t>
        </is>
      </c>
      <c r="E66" s="36" t="n">
        <v>64.23</v>
      </c>
      <c r="F66" s="32" t="inlineStr">
        <is>
          <t>Credit Card 1</t>
        </is>
      </c>
      <c r="G66" s="32" t="inlineStr">
        <is>
          <t>N/A</t>
        </is>
      </c>
      <c r="H66" s="35" t="inlineStr"/>
    </row>
    <row r="67">
      <c r="B67" s="40" t="n">
        <v>46086</v>
      </c>
      <c r="C67" s="39" t="inlineStr">
        <is>
          <t>Variable Exp</t>
        </is>
      </c>
      <c r="D67" s="41" t="inlineStr">
        <is>
          <t>Groceries</t>
        </is>
      </c>
      <c r="E67" s="42" t="n">
        <v>54.71</v>
      </c>
      <c r="F67" s="39" t="inlineStr">
        <is>
          <t>Checking 1</t>
        </is>
      </c>
      <c r="G67" s="39" t="inlineStr">
        <is>
          <t>N/A</t>
        </is>
      </c>
      <c r="H67" s="41" t="inlineStr"/>
    </row>
    <row r="68">
      <c r="B68" s="34" t="n">
        <v>46086</v>
      </c>
      <c r="C68" s="32" t="inlineStr">
        <is>
          <t>Variable Exp</t>
        </is>
      </c>
      <c r="D68" s="35" t="inlineStr">
        <is>
          <t>Groceries</t>
        </is>
      </c>
      <c r="E68" s="36" t="n">
        <v>105.27</v>
      </c>
      <c r="F68" s="32" t="inlineStr">
        <is>
          <t>Checking 1</t>
        </is>
      </c>
      <c r="G68" s="32" t="inlineStr">
        <is>
          <t>N/A</t>
        </is>
      </c>
      <c r="H68" s="35" t="inlineStr"/>
    </row>
    <row r="69">
      <c r="B69" s="40" t="n">
        <v>46087</v>
      </c>
      <c r="C69" s="39" t="inlineStr">
        <is>
          <t>Variable Exp</t>
        </is>
      </c>
      <c r="D69" s="41" t="inlineStr">
        <is>
          <t>Eating Out</t>
        </is>
      </c>
      <c r="E69" s="42" t="n">
        <v>41.83</v>
      </c>
      <c r="F69" s="39" t="inlineStr">
        <is>
          <t>Credit Card 2</t>
        </is>
      </c>
      <c r="G69" s="39" t="inlineStr">
        <is>
          <t>N/A</t>
        </is>
      </c>
      <c r="H69" s="41" t="inlineStr"/>
    </row>
    <row r="70">
      <c r="B70" s="34" t="n">
        <v>46088</v>
      </c>
      <c r="C70" s="32" t="inlineStr">
        <is>
          <t>Variable Exp</t>
        </is>
      </c>
      <c r="D70" s="35" t="inlineStr">
        <is>
          <t>School</t>
        </is>
      </c>
      <c r="E70" s="36" t="n">
        <v>73.44</v>
      </c>
      <c r="F70" s="32" t="inlineStr">
        <is>
          <t>Credit Card 1</t>
        </is>
      </c>
      <c r="G70" s="32" t="inlineStr">
        <is>
          <t>N/A</t>
        </is>
      </c>
      <c r="H70" s="35" t="inlineStr"/>
    </row>
    <row r="71">
      <c r="B71" s="40" t="n">
        <v>46089</v>
      </c>
      <c r="C71" s="39" t="inlineStr">
        <is>
          <t>Variable Exp</t>
        </is>
      </c>
      <c r="D71" s="41" t="inlineStr">
        <is>
          <t>School</t>
        </is>
      </c>
      <c r="E71" s="42" t="n">
        <v>72.31</v>
      </c>
      <c r="F71" s="39" t="inlineStr">
        <is>
          <t>Checking 1</t>
        </is>
      </c>
      <c r="G71" s="39" t="inlineStr">
        <is>
          <t>N/A</t>
        </is>
      </c>
      <c r="H71" s="41" t="inlineStr"/>
    </row>
    <row r="72">
      <c r="B72" s="34" t="n">
        <v>46090</v>
      </c>
      <c r="C72" s="32" t="inlineStr">
        <is>
          <t>Variable Exp</t>
        </is>
      </c>
      <c r="D72" s="35" t="inlineStr">
        <is>
          <t>Transportation</t>
        </is>
      </c>
      <c r="E72" s="36" t="n">
        <v>38.71</v>
      </c>
      <c r="F72" s="32" t="inlineStr">
        <is>
          <t>Checking 1</t>
        </is>
      </c>
      <c r="G72" s="32" t="inlineStr">
        <is>
          <t>N/A</t>
        </is>
      </c>
      <c r="H72" s="35" t="inlineStr"/>
    </row>
    <row r="73">
      <c r="B73" s="40" t="n">
        <v>46093</v>
      </c>
      <c r="C73" s="39" t="inlineStr">
        <is>
          <t>Variable Exp</t>
        </is>
      </c>
      <c r="D73" s="41" t="inlineStr">
        <is>
          <t>Transportation</t>
        </is>
      </c>
      <c r="E73" s="42" t="n">
        <v>33.62</v>
      </c>
      <c r="F73" s="39" t="inlineStr">
        <is>
          <t>Credit Card 1</t>
        </is>
      </c>
      <c r="G73" s="39" t="inlineStr">
        <is>
          <t>N/A</t>
        </is>
      </c>
      <c r="H73" s="41" t="inlineStr"/>
    </row>
    <row r="74">
      <c r="B74" s="34" t="n">
        <v>46094</v>
      </c>
      <c r="C74" s="32" t="inlineStr">
        <is>
          <t>Variable Exp</t>
        </is>
      </c>
      <c r="D74" s="35" t="inlineStr">
        <is>
          <t>Gifts</t>
        </is>
      </c>
      <c r="E74" s="36" t="n">
        <v>74.76000000000001</v>
      </c>
      <c r="F74" s="32" t="inlineStr">
        <is>
          <t>Credit Card 2</t>
        </is>
      </c>
      <c r="G74" s="32" t="inlineStr">
        <is>
          <t>N/A</t>
        </is>
      </c>
      <c r="H74" s="35" t="inlineStr"/>
    </row>
    <row r="75">
      <c r="B75" s="40" t="n">
        <v>46096</v>
      </c>
      <c r="C75" s="39" t="inlineStr">
        <is>
          <t>Variable Exp</t>
        </is>
      </c>
      <c r="D75" s="41" t="inlineStr">
        <is>
          <t>Transportation</t>
        </is>
      </c>
      <c r="E75" s="42" t="n">
        <v>66.39</v>
      </c>
      <c r="F75" s="39" t="inlineStr">
        <is>
          <t>Checking 1</t>
        </is>
      </c>
      <c r="G75" s="39" t="inlineStr">
        <is>
          <t>N/A</t>
        </is>
      </c>
      <c r="H75" s="41" t="inlineStr"/>
    </row>
    <row r="76">
      <c r="B76" s="34" t="n">
        <v>46097</v>
      </c>
      <c r="C76" s="32" t="inlineStr">
        <is>
          <t>Variable Exp</t>
        </is>
      </c>
      <c r="D76" s="35" t="inlineStr">
        <is>
          <t>Groceries</t>
        </is>
      </c>
      <c r="E76" s="36" t="n">
        <v>90.95999999999999</v>
      </c>
      <c r="F76" s="32" t="inlineStr">
        <is>
          <t>Credit Card 1</t>
        </is>
      </c>
      <c r="G76" s="32" t="inlineStr">
        <is>
          <t>N/A</t>
        </is>
      </c>
      <c r="H76" s="35" t="inlineStr"/>
    </row>
    <row r="77">
      <c r="B77" s="40" t="n">
        <v>46097</v>
      </c>
      <c r="C77" s="39" t="inlineStr">
        <is>
          <t>Variable Exp</t>
        </is>
      </c>
      <c r="D77" s="41" t="inlineStr">
        <is>
          <t>Other</t>
        </is>
      </c>
      <c r="E77" s="42" t="n">
        <v>45.56</v>
      </c>
      <c r="F77" s="39" t="inlineStr">
        <is>
          <t>Checking 2</t>
        </is>
      </c>
      <c r="G77" s="39" t="inlineStr">
        <is>
          <t>N/A</t>
        </is>
      </c>
      <c r="H77" s="41" t="inlineStr"/>
    </row>
    <row r="78">
      <c r="B78" s="34" t="n">
        <v>46097</v>
      </c>
      <c r="C78" s="32" t="inlineStr">
        <is>
          <t>Variable Exp</t>
        </is>
      </c>
      <c r="D78" s="35" t="inlineStr">
        <is>
          <t>Pets</t>
        </is>
      </c>
      <c r="E78" s="36" t="n">
        <v>65.91</v>
      </c>
      <c r="F78" s="32" t="inlineStr">
        <is>
          <t>Checking 1</t>
        </is>
      </c>
      <c r="G78" s="32" t="inlineStr">
        <is>
          <t>N/A</t>
        </is>
      </c>
      <c r="H78" s="35" t="inlineStr"/>
    </row>
    <row r="79">
      <c r="B79" s="40" t="n">
        <v>46098</v>
      </c>
      <c r="C79" s="39" t="inlineStr">
        <is>
          <t>Variable Exp</t>
        </is>
      </c>
      <c r="D79" s="41" t="inlineStr">
        <is>
          <t>Eating Out</t>
        </is>
      </c>
      <c r="E79" s="42" t="n">
        <v>19.55</v>
      </c>
      <c r="F79" s="39" t="inlineStr">
        <is>
          <t>Checking 1</t>
        </is>
      </c>
      <c r="G79" s="39" t="inlineStr">
        <is>
          <t>N/A</t>
        </is>
      </c>
      <c r="H79" s="41" t="inlineStr"/>
    </row>
    <row r="80">
      <c r="B80" s="34" t="n">
        <v>46098</v>
      </c>
      <c r="C80" s="32" t="inlineStr">
        <is>
          <t>Variable Exp</t>
        </is>
      </c>
      <c r="D80" s="35" t="inlineStr">
        <is>
          <t>Entertainment</t>
        </is>
      </c>
      <c r="E80" s="36" t="n">
        <v>44.64</v>
      </c>
      <c r="F80" s="32" t="inlineStr">
        <is>
          <t>Credit Card 1</t>
        </is>
      </c>
      <c r="G80" s="32" t="inlineStr">
        <is>
          <t>N/A</t>
        </is>
      </c>
      <c r="H80" s="35" t="inlineStr"/>
    </row>
    <row r="81">
      <c r="B81" s="40" t="n">
        <v>46099</v>
      </c>
      <c r="C81" s="39" t="inlineStr">
        <is>
          <t>Income</t>
        </is>
      </c>
      <c r="D81" s="41" t="inlineStr">
        <is>
          <t>Freelance Job</t>
        </is>
      </c>
      <c r="E81" s="42" t="n">
        <v>1150</v>
      </c>
      <c r="F81" s="39" t="inlineStr">
        <is>
          <t>N/A</t>
        </is>
      </c>
      <c r="G81" s="39" t="inlineStr">
        <is>
          <t>Checking 1</t>
        </is>
      </c>
      <c r="H81" s="41" t="inlineStr">
        <is>
          <t>Logo project</t>
        </is>
      </c>
    </row>
    <row r="82">
      <c r="B82" s="34" t="n">
        <v>46099</v>
      </c>
      <c r="C82" s="32" t="inlineStr">
        <is>
          <t>Variable Exp</t>
        </is>
      </c>
      <c r="D82" s="35" t="inlineStr">
        <is>
          <t>Shopping</t>
        </is>
      </c>
      <c r="E82" s="36" t="n">
        <v>87.28</v>
      </c>
      <c r="F82" s="32" t="inlineStr">
        <is>
          <t>Checking 1</t>
        </is>
      </c>
      <c r="G82" s="32" t="inlineStr">
        <is>
          <t>N/A</t>
        </is>
      </c>
      <c r="H82" s="35" t="inlineStr"/>
    </row>
    <row r="83">
      <c r="B83" s="40" t="n">
        <v>46101</v>
      </c>
      <c r="C83" s="39" t="inlineStr">
        <is>
          <t>Variable Exp</t>
        </is>
      </c>
      <c r="D83" s="41" t="inlineStr">
        <is>
          <t>Groceries</t>
        </is>
      </c>
      <c r="E83" s="42" t="n">
        <v>79.59999999999999</v>
      </c>
      <c r="F83" s="39" t="inlineStr">
        <is>
          <t>Credit Card 1</t>
        </is>
      </c>
      <c r="G83" s="39" t="inlineStr">
        <is>
          <t>N/A</t>
        </is>
      </c>
      <c r="H83" s="41" t="inlineStr"/>
    </row>
    <row r="84">
      <c r="B84" s="34" t="n">
        <v>46102</v>
      </c>
      <c r="C84" s="32" t="inlineStr">
        <is>
          <t>Variable Exp</t>
        </is>
      </c>
      <c r="D84" s="35" t="inlineStr">
        <is>
          <t>Shopping</t>
        </is>
      </c>
      <c r="E84" s="36" t="n">
        <v>50.65</v>
      </c>
      <c r="F84" s="32" t="inlineStr">
        <is>
          <t>Credit Card 2</t>
        </is>
      </c>
      <c r="G84" s="32" t="inlineStr">
        <is>
          <t>N/A</t>
        </is>
      </c>
      <c r="H84" s="35" t="inlineStr"/>
    </row>
    <row r="85">
      <c r="B85" s="40" t="n">
        <v>46104</v>
      </c>
      <c r="C85" s="39" t="inlineStr">
        <is>
          <t>Variable Exp</t>
        </is>
      </c>
      <c r="D85" s="41" t="inlineStr">
        <is>
          <t>Eating Out</t>
        </is>
      </c>
      <c r="E85" s="42" t="n">
        <v>74.64</v>
      </c>
      <c r="F85" s="39" t="inlineStr">
        <is>
          <t>Checking 1</t>
        </is>
      </c>
      <c r="G85" s="39" t="inlineStr">
        <is>
          <t>N/A</t>
        </is>
      </c>
      <c r="H85" s="41" t="inlineStr"/>
    </row>
    <row r="86">
      <c r="B86" s="34" t="n">
        <v>46105</v>
      </c>
      <c r="C86" s="32" t="inlineStr">
        <is>
          <t>Variable Exp</t>
        </is>
      </c>
      <c r="D86" s="35" t="inlineStr">
        <is>
          <t>Eating Out</t>
        </is>
      </c>
      <c r="E86" s="36" t="n">
        <v>35.74</v>
      </c>
      <c r="F86" s="32" t="inlineStr">
        <is>
          <t>Credit Card 2</t>
        </is>
      </c>
      <c r="G86" s="32" t="inlineStr">
        <is>
          <t>N/A</t>
        </is>
      </c>
      <c r="H86" s="35" t="inlineStr"/>
    </row>
    <row r="87">
      <c r="B87" s="40" t="n">
        <v>46105</v>
      </c>
      <c r="C87" s="39" t="inlineStr">
        <is>
          <t>Variable Exp</t>
        </is>
      </c>
      <c r="D87" s="41" t="inlineStr">
        <is>
          <t>Entertainment</t>
        </is>
      </c>
      <c r="E87" s="42" t="n">
        <v>60.17</v>
      </c>
      <c r="F87" s="39" t="inlineStr">
        <is>
          <t>Credit Card 2</t>
        </is>
      </c>
      <c r="G87" s="39" t="inlineStr">
        <is>
          <t>N/A</t>
        </is>
      </c>
      <c r="H87" s="41" t="inlineStr"/>
    </row>
    <row r="88">
      <c r="B88" s="34" t="n">
        <v>46106</v>
      </c>
      <c r="C88" s="32" t="inlineStr">
        <is>
          <t>Transfer</t>
        </is>
      </c>
      <c r="D88" s="35" t="inlineStr"/>
      <c r="E88" s="36" t="n">
        <v>300</v>
      </c>
      <c r="F88" s="32" t="inlineStr">
        <is>
          <t>Checking 2</t>
        </is>
      </c>
      <c r="G88" s="32" t="inlineStr">
        <is>
          <t>Checking 1</t>
        </is>
      </c>
      <c r="H88" s="35" t="inlineStr">
        <is>
          <t>Move to main account</t>
        </is>
      </c>
    </row>
    <row r="89">
      <c r="B89" s="40" t="n">
        <v>46106</v>
      </c>
      <c r="C89" s="39" t="inlineStr">
        <is>
          <t>Variable Exp</t>
        </is>
      </c>
      <c r="D89" s="41" t="inlineStr">
        <is>
          <t>Eating Out</t>
        </is>
      </c>
      <c r="E89" s="42" t="n">
        <v>53.38</v>
      </c>
      <c r="F89" s="39" t="inlineStr">
        <is>
          <t>Credit Card 1</t>
        </is>
      </c>
      <c r="G89" s="39" t="inlineStr">
        <is>
          <t>N/A</t>
        </is>
      </c>
      <c r="H89" s="41" t="inlineStr"/>
    </row>
    <row r="90">
      <c r="B90" s="34" t="n">
        <v>46107</v>
      </c>
      <c r="C90" s="32" t="inlineStr">
        <is>
          <t>Variable Exp</t>
        </is>
      </c>
      <c r="D90" s="35" t="inlineStr">
        <is>
          <t>Hair/Beauty</t>
        </is>
      </c>
      <c r="E90" s="36" t="n">
        <v>49.29</v>
      </c>
      <c r="F90" s="32" t="inlineStr">
        <is>
          <t>Credit Card 1</t>
        </is>
      </c>
      <c r="G90" s="32" t="inlineStr">
        <is>
          <t>N/A</t>
        </is>
      </c>
      <c r="H90" s="35" t="inlineStr"/>
    </row>
    <row r="91">
      <c r="B91" s="40" t="n">
        <v>46107</v>
      </c>
      <c r="C91" s="39" t="inlineStr">
        <is>
          <t>Variable Exp</t>
        </is>
      </c>
      <c r="D91" s="41" t="inlineStr">
        <is>
          <t>Other</t>
        </is>
      </c>
      <c r="E91" s="42" t="n">
        <v>35.43</v>
      </c>
      <c r="F91" s="39" t="inlineStr">
        <is>
          <t>Credit Card 1</t>
        </is>
      </c>
      <c r="G91" s="39" t="inlineStr">
        <is>
          <t>N/A</t>
        </is>
      </c>
      <c r="H91" s="41" t="inlineStr"/>
    </row>
    <row r="92">
      <c r="B92" s="34" t="n">
        <v>46107</v>
      </c>
      <c r="C92" s="32" t="inlineStr">
        <is>
          <t>Variable Exp</t>
        </is>
      </c>
      <c r="D92" s="35" t="inlineStr">
        <is>
          <t>Shopping</t>
        </is>
      </c>
      <c r="E92" s="36" t="n">
        <v>52.53</v>
      </c>
      <c r="F92" s="32" t="inlineStr">
        <is>
          <t>Checking 2</t>
        </is>
      </c>
      <c r="G92" s="32" t="inlineStr">
        <is>
          <t>N/A</t>
        </is>
      </c>
      <c r="H92" s="35" t="inlineStr"/>
    </row>
    <row r="93">
      <c r="B93" s="40" t="n">
        <v>46109</v>
      </c>
      <c r="C93" s="39" t="inlineStr">
        <is>
          <t>Variable Exp</t>
        </is>
      </c>
      <c r="D93" s="41" t="inlineStr">
        <is>
          <t>Groceries</t>
        </is>
      </c>
      <c r="E93" s="42" t="n">
        <v>64.76000000000001</v>
      </c>
      <c r="F93" s="39" t="inlineStr">
        <is>
          <t>Checking 2</t>
        </is>
      </c>
      <c r="G93" s="39" t="inlineStr">
        <is>
          <t>N/A</t>
        </is>
      </c>
      <c r="H93" s="41" t="inlineStr"/>
    </row>
    <row r="94">
      <c r="B94" s="34" t="n">
        <v>46113</v>
      </c>
      <c r="C94" s="32" t="inlineStr">
        <is>
          <t>Variable Exp</t>
        </is>
      </c>
      <c r="D94" s="35" t="inlineStr">
        <is>
          <t>Eating Out</t>
        </is>
      </c>
      <c r="E94" s="36" t="n">
        <v>71.56</v>
      </c>
      <c r="F94" s="32" t="inlineStr">
        <is>
          <t>Credit Card 1</t>
        </is>
      </c>
      <c r="G94" s="32" t="inlineStr">
        <is>
          <t>N/A</t>
        </is>
      </c>
      <c r="H94" s="35" t="inlineStr"/>
    </row>
    <row r="95">
      <c r="B95" s="40" t="n">
        <v>46113</v>
      </c>
      <c r="C95" s="39" t="inlineStr">
        <is>
          <t>Variable Exp</t>
        </is>
      </c>
      <c r="D95" s="41" t="inlineStr">
        <is>
          <t>Groceries</t>
        </is>
      </c>
      <c r="E95" s="42" t="n">
        <v>59.36</v>
      </c>
      <c r="F95" s="39" t="inlineStr">
        <is>
          <t>Checking 2</t>
        </is>
      </c>
      <c r="G95" s="39" t="inlineStr">
        <is>
          <t>N/A</t>
        </is>
      </c>
      <c r="H95" s="41" t="inlineStr"/>
    </row>
    <row r="96">
      <c r="B96" s="34" t="n">
        <v>46114</v>
      </c>
      <c r="C96" s="32" t="inlineStr">
        <is>
          <t>Variable Exp</t>
        </is>
      </c>
      <c r="D96" s="35" t="inlineStr">
        <is>
          <t>Shopping</t>
        </is>
      </c>
      <c r="E96" s="36" t="n">
        <v>129.65</v>
      </c>
      <c r="F96" s="32" t="inlineStr">
        <is>
          <t>Checking 1</t>
        </is>
      </c>
      <c r="G96" s="32" t="inlineStr">
        <is>
          <t>N/A</t>
        </is>
      </c>
      <c r="H96" s="35" t="inlineStr"/>
    </row>
    <row r="97">
      <c r="B97" s="40" t="n">
        <v>46118</v>
      </c>
      <c r="C97" s="39" t="inlineStr">
        <is>
          <t>Variable Exp</t>
        </is>
      </c>
      <c r="D97" s="41" t="inlineStr">
        <is>
          <t>Transportation</t>
        </is>
      </c>
      <c r="E97" s="42" t="n">
        <v>36.37</v>
      </c>
      <c r="F97" s="39" t="inlineStr">
        <is>
          <t>Credit Card 1</t>
        </is>
      </c>
      <c r="G97" s="39" t="inlineStr">
        <is>
          <t>N/A</t>
        </is>
      </c>
      <c r="H97" s="41" t="inlineStr"/>
    </row>
    <row r="98">
      <c r="B98" s="34" t="n">
        <v>46120</v>
      </c>
      <c r="C98" s="32" t="inlineStr">
        <is>
          <t>Variable Exp</t>
        </is>
      </c>
      <c r="D98" s="35" t="inlineStr">
        <is>
          <t>Pets</t>
        </is>
      </c>
      <c r="E98" s="36" t="n">
        <v>33.61</v>
      </c>
      <c r="F98" s="32" t="inlineStr">
        <is>
          <t>Credit Card 1</t>
        </is>
      </c>
      <c r="G98" s="32" t="inlineStr">
        <is>
          <t>N/A</t>
        </is>
      </c>
      <c r="H98" s="35" t="inlineStr"/>
    </row>
    <row r="99">
      <c r="B99" s="40" t="n">
        <v>46121</v>
      </c>
      <c r="C99" s="39" t="inlineStr">
        <is>
          <t>Variable Exp</t>
        </is>
      </c>
      <c r="D99" s="41" t="inlineStr">
        <is>
          <t>Eating Out</t>
        </is>
      </c>
      <c r="E99" s="42" t="n">
        <v>32.26</v>
      </c>
      <c r="F99" s="39" t="inlineStr">
        <is>
          <t>Credit Card 2</t>
        </is>
      </c>
      <c r="G99" s="39" t="inlineStr">
        <is>
          <t>N/A</t>
        </is>
      </c>
      <c r="H99" s="41" t="inlineStr"/>
    </row>
    <row r="100">
      <c r="B100" s="34" t="n">
        <v>46126</v>
      </c>
      <c r="C100" s="32" t="inlineStr">
        <is>
          <t>Variable Exp</t>
        </is>
      </c>
      <c r="D100" s="35" t="inlineStr">
        <is>
          <t>Eating Out</t>
        </is>
      </c>
      <c r="E100" s="36" t="n">
        <v>84.09999999999999</v>
      </c>
      <c r="F100" s="32" t="inlineStr">
        <is>
          <t>Credit Card 2</t>
        </is>
      </c>
      <c r="G100" s="32" t="inlineStr">
        <is>
          <t>N/A</t>
        </is>
      </c>
      <c r="H100" s="35" t="inlineStr"/>
    </row>
    <row r="101">
      <c r="B101" s="40" t="n">
        <v>46127</v>
      </c>
      <c r="C101" s="39" t="inlineStr">
        <is>
          <t>Variable Exp</t>
        </is>
      </c>
      <c r="D101" s="41" t="inlineStr">
        <is>
          <t>Entertainment</t>
        </is>
      </c>
      <c r="E101" s="42" t="n">
        <v>53.12</v>
      </c>
      <c r="F101" s="39" t="inlineStr">
        <is>
          <t>Checking 2</t>
        </is>
      </c>
      <c r="G101" s="39" t="inlineStr">
        <is>
          <t>N/A</t>
        </is>
      </c>
      <c r="H101" s="41" t="inlineStr"/>
    </row>
    <row r="102">
      <c r="B102" s="34" t="n">
        <v>46127</v>
      </c>
      <c r="C102" s="32" t="inlineStr">
        <is>
          <t>Variable Exp</t>
        </is>
      </c>
      <c r="D102" s="35" t="inlineStr">
        <is>
          <t>Groceries</t>
        </is>
      </c>
      <c r="E102" s="36" t="n">
        <v>83.13</v>
      </c>
      <c r="F102" s="32" t="inlineStr">
        <is>
          <t>Credit Card 1</t>
        </is>
      </c>
      <c r="G102" s="32" t="inlineStr">
        <is>
          <t>N/A</t>
        </is>
      </c>
      <c r="H102" s="35" t="inlineStr"/>
    </row>
    <row r="103">
      <c r="B103" s="40" t="n">
        <v>46127</v>
      </c>
      <c r="C103" s="39" t="inlineStr">
        <is>
          <t>Variable Exp</t>
        </is>
      </c>
      <c r="D103" s="41" t="inlineStr">
        <is>
          <t>Other</t>
        </is>
      </c>
      <c r="E103" s="42" t="n">
        <v>23.02</v>
      </c>
      <c r="F103" s="39" t="inlineStr">
        <is>
          <t>Credit Card 2</t>
        </is>
      </c>
      <c r="G103" s="39" t="inlineStr">
        <is>
          <t>N/A</t>
        </is>
      </c>
      <c r="H103" s="41" t="inlineStr"/>
    </row>
    <row r="104">
      <c r="B104" s="34" t="n">
        <v>46129</v>
      </c>
      <c r="C104" s="32" t="inlineStr">
        <is>
          <t>Variable Exp</t>
        </is>
      </c>
      <c r="D104" s="35" t="inlineStr">
        <is>
          <t>Eating Out</t>
        </is>
      </c>
      <c r="E104" s="36" t="n">
        <v>68.22</v>
      </c>
      <c r="F104" s="32" t="inlineStr">
        <is>
          <t>Credit Card 2</t>
        </is>
      </c>
      <c r="G104" s="32" t="inlineStr">
        <is>
          <t>N/A</t>
        </is>
      </c>
      <c r="H104" s="35" t="inlineStr"/>
    </row>
    <row r="105">
      <c r="B105" s="40" t="n">
        <v>46130</v>
      </c>
      <c r="C105" s="39" t="inlineStr">
        <is>
          <t>Variable Exp</t>
        </is>
      </c>
      <c r="D105" s="41" t="inlineStr">
        <is>
          <t>Eating Out</t>
        </is>
      </c>
      <c r="E105" s="42" t="n">
        <v>54.74</v>
      </c>
      <c r="F105" s="39" t="inlineStr">
        <is>
          <t>Credit Card 1</t>
        </is>
      </c>
      <c r="G105" s="39" t="inlineStr">
        <is>
          <t>N/A</t>
        </is>
      </c>
      <c r="H105" s="41" t="inlineStr"/>
    </row>
    <row r="106">
      <c r="B106" s="34" t="n">
        <v>46130</v>
      </c>
      <c r="C106" s="32" t="inlineStr">
        <is>
          <t>Variable Exp</t>
        </is>
      </c>
      <c r="D106" s="35" t="inlineStr">
        <is>
          <t>Gifts</t>
        </is>
      </c>
      <c r="E106" s="36" t="n">
        <v>21.95</v>
      </c>
      <c r="F106" s="32" t="inlineStr">
        <is>
          <t>Credit Card 1</t>
        </is>
      </c>
      <c r="G106" s="32" t="inlineStr">
        <is>
          <t>N/A</t>
        </is>
      </c>
      <c r="H106" s="35" t="inlineStr"/>
    </row>
    <row r="107">
      <c r="B107" s="40" t="n">
        <v>46130</v>
      </c>
      <c r="C107" s="39" t="inlineStr">
        <is>
          <t>Variable Exp</t>
        </is>
      </c>
      <c r="D107" s="41" t="inlineStr">
        <is>
          <t>School</t>
        </is>
      </c>
      <c r="E107" s="42" t="n">
        <v>35.56</v>
      </c>
      <c r="F107" s="39" t="inlineStr">
        <is>
          <t>Checking 2</t>
        </is>
      </c>
      <c r="G107" s="39" t="inlineStr">
        <is>
          <t>N/A</t>
        </is>
      </c>
      <c r="H107" s="41" t="inlineStr"/>
    </row>
    <row r="108">
      <c r="B108" s="34" t="n">
        <v>46130</v>
      </c>
      <c r="C108" s="32" t="inlineStr">
        <is>
          <t>Variable Exp</t>
        </is>
      </c>
      <c r="D108" s="35" t="inlineStr">
        <is>
          <t>Shopping</t>
        </is>
      </c>
      <c r="E108" s="36" t="n">
        <v>73.19</v>
      </c>
      <c r="F108" s="32" t="inlineStr">
        <is>
          <t>Credit Card 2</t>
        </is>
      </c>
      <c r="G108" s="32" t="inlineStr">
        <is>
          <t>N/A</t>
        </is>
      </c>
      <c r="H108" s="35" t="inlineStr"/>
    </row>
    <row r="109">
      <c r="B109" s="40" t="n">
        <v>46130</v>
      </c>
      <c r="C109" s="39" t="inlineStr">
        <is>
          <t>Variable Exp</t>
        </is>
      </c>
      <c r="D109" s="41" t="inlineStr">
        <is>
          <t>Transportation</t>
        </is>
      </c>
      <c r="E109" s="42" t="n">
        <v>36.83</v>
      </c>
      <c r="F109" s="39" t="inlineStr">
        <is>
          <t>Credit Card 1</t>
        </is>
      </c>
      <c r="G109" s="39" t="inlineStr">
        <is>
          <t>N/A</t>
        </is>
      </c>
      <c r="H109" s="41" t="inlineStr"/>
    </row>
    <row r="110">
      <c r="B110" s="34" t="n">
        <v>46132</v>
      </c>
      <c r="C110" s="32" t="inlineStr">
        <is>
          <t>Variable Exp</t>
        </is>
      </c>
      <c r="D110" s="35" t="inlineStr">
        <is>
          <t>Transportation</t>
        </is>
      </c>
      <c r="E110" s="36" t="n">
        <v>30.18</v>
      </c>
      <c r="F110" s="32" t="inlineStr">
        <is>
          <t>Credit Card 2</t>
        </is>
      </c>
      <c r="G110" s="32" t="inlineStr">
        <is>
          <t>N/A</t>
        </is>
      </c>
      <c r="H110" s="35" t="inlineStr"/>
    </row>
    <row r="111">
      <c r="B111" s="40" t="n">
        <v>46134</v>
      </c>
      <c r="C111" s="39" t="inlineStr">
        <is>
          <t>Variable Exp</t>
        </is>
      </c>
      <c r="D111" s="41" t="inlineStr">
        <is>
          <t>Groceries</t>
        </is>
      </c>
      <c r="E111" s="42" t="n">
        <v>134.06</v>
      </c>
      <c r="F111" s="39" t="inlineStr">
        <is>
          <t>Credit Card 2</t>
        </is>
      </c>
      <c r="G111" s="39" t="inlineStr">
        <is>
          <t>N/A</t>
        </is>
      </c>
      <c r="H111" s="41" t="inlineStr"/>
    </row>
    <row r="112">
      <c r="B112" s="34" t="n">
        <v>46135</v>
      </c>
      <c r="C112" s="32" t="inlineStr">
        <is>
          <t>Variable Exp</t>
        </is>
      </c>
      <c r="D112" s="35" t="inlineStr">
        <is>
          <t>Other</t>
        </is>
      </c>
      <c r="E112" s="36" t="n">
        <v>21.09</v>
      </c>
      <c r="F112" s="32" t="inlineStr">
        <is>
          <t>Checking 2</t>
        </is>
      </c>
      <c r="G112" s="32" t="inlineStr">
        <is>
          <t>N/A</t>
        </is>
      </c>
      <c r="H112" s="35" t="inlineStr"/>
    </row>
    <row r="113">
      <c r="B113" s="40" t="n">
        <v>46136</v>
      </c>
      <c r="C113" s="39" t="inlineStr">
        <is>
          <t>Variable Exp</t>
        </is>
      </c>
      <c r="D113" s="41" t="inlineStr">
        <is>
          <t>Groceries</t>
        </is>
      </c>
      <c r="E113" s="42" t="n">
        <v>60.09</v>
      </c>
      <c r="F113" s="39" t="inlineStr">
        <is>
          <t>Credit Card 2</t>
        </is>
      </c>
      <c r="G113" s="39" t="inlineStr">
        <is>
          <t>N/A</t>
        </is>
      </c>
      <c r="H113" s="41" t="inlineStr"/>
    </row>
    <row r="114">
      <c r="B114" s="34" t="n">
        <v>46137</v>
      </c>
      <c r="C114" s="32" t="inlineStr">
        <is>
          <t>Transfer</t>
        </is>
      </c>
      <c r="D114" s="35" t="inlineStr"/>
      <c r="E114" s="36" t="n">
        <v>300</v>
      </c>
      <c r="F114" s="32" t="inlineStr">
        <is>
          <t>Checking 2</t>
        </is>
      </c>
      <c r="G114" s="32" t="inlineStr">
        <is>
          <t>Checking 1</t>
        </is>
      </c>
      <c r="H114" s="35" t="inlineStr">
        <is>
          <t>Move to main account</t>
        </is>
      </c>
    </row>
    <row r="115">
      <c r="B115" s="40" t="n">
        <v>46137</v>
      </c>
      <c r="C115" s="39" t="inlineStr">
        <is>
          <t>Variable Exp</t>
        </is>
      </c>
      <c r="D115" s="41" t="inlineStr">
        <is>
          <t>Hair/Beauty</t>
        </is>
      </c>
      <c r="E115" s="42" t="n">
        <v>32.93</v>
      </c>
      <c r="F115" s="39" t="inlineStr">
        <is>
          <t>Checking 2</t>
        </is>
      </c>
      <c r="G115" s="39" t="inlineStr">
        <is>
          <t>N/A</t>
        </is>
      </c>
      <c r="H115" s="41" t="inlineStr"/>
    </row>
    <row r="116">
      <c r="B116" s="34" t="n">
        <v>46137</v>
      </c>
      <c r="C116" s="32" t="inlineStr">
        <is>
          <t>Variable Exp</t>
        </is>
      </c>
      <c r="D116" s="35" t="inlineStr">
        <is>
          <t>Shopping</t>
        </is>
      </c>
      <c r="E116" s="36" t="n">
        <v>92.44</v>
      </c>
      <c r="F116" s="32" t="inlineStr">
        <is>
          <t>Checking 1</t>
        </is>
      </c>
      <c r="G116" s="32" t="inlineStr">
        <is>
          <t>N/A</t>
        </is>
      </c>
      <c r="H116" s="35" t="inlineStr"/>
    </row>
    <row r="117">
      <c r="B117" s="40" t="n">
        <v>46138</v>
      </c>
      <c r="C117" s="39" t="inlineStr">
        <is>
          <t>Variable Exp</t>
        </is>
      </c>
      <c r="D117" s="41" t="inlineStr">
        <is>
          <t>Groceries</t>
        </is>
      </c>
      <c r="E117" s="42" t="n">
        <v>107.31</v>
      </c>
      <c r="F117" s="39" t="inlineStr">
        <is>
          <t>Checking 2</t>
        </is>
      </c>
      <c r="G117" s="39" t="inlineStr">
        <is>
          <t>N/A</t>
        </is>
      </c>
      <c r="H117" s="41" t="inlineStr"/>
    </row>
    <row r="118">
      <c r="B118" s="34" t="n">
        <v>46138</v>
      </c>
      <c r="C118" s="32" t="inlineStr">
        <is>
          <t>Variable Exp</t>
        </is>
      </c>
      <c r="D118" s="35" t="inlineStr">
        <is>
          <t>Groceries</t>
        </is>
      </c>
      <c r="E118" s="36" t="n">
        <v>134.89</v>
      </c>
      <c r="F118" s="32" t="inlineStr">
        <is>
          <t>Checking 2</t>
        </is>
      </c>
      <c r="G118" s="32" t="inlineStr">
        <is>
          <t>N/A</t>
        </is>
      </c>
      <c r="H118" s="35" t="inlineStr"/>
    </row>
    <row r="119">
      <c r="B119" s="40" t="n">
        <v>46138</v>
      </c>
      <c r="C119" s="39" t="inlineStr">
        <is>
          <t>Variable Exp</t>
        </is>
      </c>
      <c r="D119" s="41" t="inlineStr">
        <is>
          <t>School</t>
        </is>
      </c>
      <c r="E119" s="42" t="n">
        <v>99.88</v>
      </c>
      <c r="F119" s="39" t="inlineStr">
        <is>
          <t>Credit Card 1</t>
        </is>
      </c>
      <c r="G119" s="39" t="inlineStr">
        <is>
          <t>N/A</t>
        </is>
      </c>
      <c r="H119" s="41" t="inlineStr"/>
    </row>
    <row r="120">
      <c r="B120" s="34" t="n">
        <v>46139</v>
      </c>
      <c r="C120" s="32" t="inlineStr">
        <is>
          <t>Variable Exp</t>
        </is>
      </c>
      <c r="D120" s="35" t="inlineStr">
        <is>
          <t>Eating Out</t>
        </is>
      </c>
      <c r="E120" s="36" t="n">
        <v>76.55</v>
      </c>
      <c r="F120" s="32" t="inlineStr">
        <is>
          <t>Credit Card 1</t>
        </is>
      </c>
      <c r="G120" s="32" t="inlineStr">
        <is>
          <t>N/A</t>
        </is>
      </c>
      <c r="H120" s="35" t="inlineStr"/>
    </row>
    <row r="121">
      <c r="B121" s="40" t="n">
        <v>46139</v>
      </c>
      <c r="C121" s="39" t="inlineStr">
        <is>
          <t>Variable Exp</t>
        </is>
      </c>
      <c r="D121" s="41" t="inlineStr">
        <is>
          <t>Entertainment</t>
        </is>
      </c>
      <c r="E121" s="42" t="n">
        <v>65.89</v>
      </c>
      <c r="F121" s="39" t="inlineStr">
        <is>
          <t>Credit Card 2</t>
        </is>
      </c>
      <c r="G121" s="39" t="inlineStr">
        <is>
          <t>N/A</t>
        </is>
      </c>
      <c r="H121" s="41" t="inlineStr"/>
    </row>
    <row r="122">
      <c r="B122" s="34" t="n">
        <v>46140</v>
      </c>
      <c r="C122" s="32" t="inlineStr">
        <is>
          <t>Variable Exp</t>
        </is>
      </c>
      <c r="D122" s="35" t="inlineStr">
        <is>
          <t>Transportation</t>
        </is>
      </c>
      <c r="E122" s="36" t="n">
        <v>49.81</v>
      </c>
      <c r="F122" s="32" t="inlineStr">
        <is>
          <t>Credit Card 2</t>
        </is>
      </c>
      <c r="G122" s="32" t="inlineStr">
        <is>
          <t>N/A</t>
        </is>
      </c>
      <c r="H122" s="35" t="inlineStr"/>
    </row>
    <row r="123">
      <c r="B123" s="40" t="n">
        <v>46143</v>
      </c>
      <c r="C123" s="39" t="inlineStr">
        <is>
          <t>Variable Exp</t>
        </is>
      </c>
      <c r="D123" s="41" t="inlineStr">
        <is>
          <t>Entertainment</t>
        </is>
      </c>
      <c r="E123" s="42" t="n">
        <v>36.9</v>
      </c>
      <c r="F123" s="39" t="inlineStr">
        <is>
          <t>Checking 2</t>
        </is>
      </c>
      <c r="G123" s="39" t="inlineStr">
        <is>
          <t>N/A</t>
        </is>
      </c>
      <c r="H123" s="41" t="inlineStr"/>
    </row>
    <row r="124">
      <c r="B124" s="34" t="n">
        <v>46143</v>
      </c>
      <c r="C124" s="32" t="inlineStr">
        <is>
          <t>Variable Exp</t>
        </is>
      </c>
      <c r="D124" s="35" t="inlineStr">
        <is>
          <t>Other</t>
        </is>
      </c>
      <c r="E124" s="36" t="n">
        <v>35.38</v>
      </c>
      <c r="F124" s="32" t="inlineStr">
        <is>
          <t>Checking 1</t>
        </is>
      </c>
      <c r="G124" s="32" t="inlineStr">
        <is>
          <t>N/A</t>
        </is>
      </c>
      <c r="H124" s="35" t="inlineStr"/>
    </row>
    <row r="125">
      <c r="B125" s="40" t="n">
        <v>46144</v>
      </c>
      <c r="C125" s="39" t="inlineStr">
        <is>
          <t>Variable Exp</t>
        </is>
      </c>
      <c r="D125" s="41" t="inlineStr">
        <is>
          <t>Gifts</t>
        </is>
      </c>
      <c r="E125" s="42" t="n">
        <v>75.97</v>
      </c>
      <c r="F125" s="39" t="inlineStr">
        <is>
          <t>Credit Card 2</t>
        </is>
      </c>
      <c r="G125" s="39" t="inlineStr">
        <is>
          <t>N/A</t>
        </is>
      </c>
      <c r="H125" s="41" t="inlineStr"/>
    </row>
    <row r="126">
      <c r="B126" s="34" t="n">
        <v>46145</v>
      </c>
      <c r="C126" s="32" t="inlineStr">
        <is>
          <t>Variable Exp</t>
        </is>
      </c>
      <c r="D126" s="35" t="inlineStr">
        <is>
          <t>Groceries</t>
        </is>
      </c>
      <c r="E126" s="36" t="n">
        <v>65.20999999999999</v>
      </c>
      <c r="F126" s="32" t="inlineStr">
        <is>
          <t>Checking 1</t>
        </is>
      </c>
      <c r="G126" s="32" t="inlineStr">
        <is>
          <t>N/A</t>
        </is>
      </c>
      <c r="H126" s="35" t="inlineStr"/>
    </row>
    <row r="127">
      <c r="B127" s="40" t="n">
        <v>46145</v>
      </c>
      <c r="C127" s="39" t="inlineStr">
        <is>
          <t>Variable Exp</t>
        </is>
      </c>
      <c r="D127" s="41" t="inlineStr">
        <is>
          <t>Groceries</t>
        </is>
      </c>
      <c r="E127" s="42" t="n">
        <v>108.76</v>
      </c>
      <c r="F127" s="39" t="inlineStr">
        <is>
          <t>Checking 2</t>
        </is>
      </c>
      <c r="G127" s="39" t="inlineStr">
        <is>
          <t>N/A</t>
        </is>
      </c>
      <c r="H127" s="41" t="inlineStr"/>
    </row>
    <row r="128">
      <c r="B128" s="34" t="n">
        <v>46145</v>
      </c>
      <c r="C128" s="32" t="inlineStr">
        <is>
          <t>Variable Exp</t>
        </is>
      </c>
      <c r="D128" s="35" t="inlineStr">
        <is>
          <t>Transportation</t>
        </is>
      </c>
      <c r="E128" s="36" t="n">
        <v>41.95</v>
      </c>
      <c r="F128" s="32" t="inlineStr">
        <is>
          <t>Credit Card 1</t>
        </is>
      </c>
      <c r="G128" s="32" t="inlineStr">
        <is>
          <t>N/A</t>
        </is>
      </c>
      <c r="H128" s="35" t="inlineStr"/>
    </row>
    <row r="129">
      <c r="B129" s="40" t="n">
        <v>46146</v>
      </c>
      <c r="C129" s="39" t="inlineStr">
        <is>
          <t>Variable Exp</t>
        </is>
      </c>
      <c r="D129" s="41" t="inlineStr">
        <is>
          <t>Groceries</t>
        </is>
      </c>
      <c r="E129" s="42" t="n">
        <v>82.27</v>
      </c>
      <c r="F129" s="39" t="inlineStr">
        <is>
          <t>Checking 1</t>
        </is>
      </c>
      <c r="G129" s="39" t="inlineStr">
        <is>
          <t>N/A</t>
        </is>
      </c>
      <c r="H129" s="41" t="inlineStr"/>
    </row>
    <row r="130">
      <c r="B130" s="34" t="n">
        <v>46147</v>
      </c>
      <c r="C130" s="32" t="inlineStr">
        <is>
          <t>Variable Exp</t>
        </is>
      </c>
      <c r="D130" s="35" t="inlineStr">
        <is>
          <t>Eating Out</t>
        </is>
      </c>
      <c r="E130" s="36" t="n">
        <v>34.96</v>
      </c>
      <c r="F130" s="32" t="inlineStr">
        <is>
          <t>Credit Card 2</t>
        </is>
      </c>
      <c r="G130" s="32" t="inlineStr">
        <is>
          <t>N/A</t>
        </is>
      </c>
      <c r="H130" s="35" t="inlineStr"/>
    </row>
    <row r="131">
      <c r="B131" s="40" t="n">
        <v>46153</v>
      </c>
      <c r="C131" s="39" t="inlineStr">
        <is>
          <t>Variable Exp</t>
        </is>
      </c>
      <c r="D131" s="41" t="inlineStr">
        <is>
          <t>Shopping</t>
        </is>
      </c>
      <c r="E131" s="42" t="n">
        <v>35.6</v>
      </c>
      <c r="F131" s="39" t="inlineStr">
        <is>
          <t>Checking 1</t>
        </is>
      </c>
      <c r="G131" s="39" t="inlineStr">
        <is>
          <t>N/A</t>
        </is>
      </c>
      <c r="H131" s="41" t="inlineStr"/>
    </row>
    <row r="132">
      <c r="B132" s="34" t="n">
        <v>46153</v>
      </c>
      <c r="C132" s="32" t="inlineStr">
        <is>
          <t>Variable Exp</t>
        </is>
      </c>
      <c r="D132" s="35" t="inlineStr">
        <is>
          <t>Shopping</t>
        </is>
      </c>
      <c r="E132" s="36" t="n">
        <v>73.45</v>
      </c>
      <c r="F132" s="32" t="inlineStr">
        <is>
          <t>Checking 1</t>
        </is>
      </c>
      <c r="G132" s="32" t="inlineStr">
        <is>
          <t>N/A</t>
        </is>
      </c>
      <c r="H132" s="35" t="inlineStr"/>
    </row>
    <row r="133">
      <c r="B133" s="40" t="n">
        <v>46153</v>
      </c>
      <c r="C133" s="39" t="inlineStr">
        <is>
          <t>Variable Exp</t>
        </is>
      </c>
      <c r="D133" s="41" t="inlineStr">
        <is>
          <t>Transportation</t>
        </is>
      </c>
      <c r="E133" s="42" t="n">
        <v>53.28</v>
      </c>
      <c r="F133" s="39" t="inlineStr">
        <is>
          <t>Checking 1</t>
        </is>
      </c>
      <c r="G133" s="39" t="inlineStr">
        <is>
          <t>N/A</t>
        </is>
      </c>
      <c r="H133" s="41" t="inlineStr"/>
    </row>
    <row r="134">
      <c r="B134" s="34" t="n">
        <v>46155</v>
      </c>
      <c r="C134" s="32" t="inlineStr">
        <is>
          <t>Variable Exp</t>
        </is>
      </c>
      <c r="D134" s="35" t="inlineStr">
        <is>
          <t>Eating Out</t>
        </is>
      </c>
      <c r="E134" s="36" t="n">
        <v>77.29000000000001</v>
      </c>
      <c r="F134" s="32" t="inlineStr">
        <is>
          <t>Credit Card 2</t>
        </is>
      </c>
      <c r="G134" s="32" t="inlineStr">
        <is>
          <t>N/A</t>
        </is>
      </c>
      <c r="H134" s="35" t="inlineStr"/>
    </row>
    <row r="135">
      <c r="B135" s="40" t="n">
        <v>46155</v>
      </c>
      <c r="C135" s="39" t="inlineStr">
        <is>
          <t>Variable Exp</t>
        </is>
      </c>
      <c r="D135" s="41" t="inlineStr">
        <is>
          <t>Pets</t>
        </is>
      </c>
      <c r="E135" s="42" t="n">
        <v>31.72</v>
      </c>
      <c r="F135" s="39" t="inlineStr">
        <is>
          <t>Checking 2</t>
        </is>
      </c>
      <c r="G135" s="39" t="inlineStr">
        <is>
          <t>N/A</t>
        </is>
      </c>
      <c r="H135" s="41" t="inlineStr"/>
    </row>
    <row r="136">
      <c r="B136" s="34" t="n">
        <v>46156</v>
      </c>
      <c r="C136" s="32" t="inlineStr">
        <is>
          <t>Variable Exp</t>
        </is>
      </c>
      <c r="D136" s="35" t="inlineStr">
        <is>
          <t>Other</t>
        </is>
      </c>
      <c r="E136" s="36" t="n">
        <v>45.81</v>
      </c>
      <c r="F136" s="32" t="inlineStr">
        <is>
          <t>Checking 1</t>
        </is>
      </c>
      <c r="G136" s="32" t="inlineStr">
        <is>
          <t>N/A</t>
        </is>
      </c>
      <c r="H136" s="35" t="inlineStr"/>
    </row>
    <row r="137">
      <c r="B137" s="40" t="n">
        <v>46157</v>
      </c>
      <c r="C137" s="39" t="inlineStr">
        <is>
          <t>Variable Exp</t>
        </is>
      </c>
      <c r="D137" s="41" t="inlineStr">
        <is>
          <t>Eating Out</t>
        </is>
      </c>
      <c r="E137" s="42" t="n">
        <v>32.71</v>
      </c>
      <c r="F137" s="39" t="inlineStr">
        <is>
          <t>Credit Card 1</t>
        </is>
      </c>
      <c r="G137" s="39" t="inlineStr">
        <is>
          <t>N/A</t>
        </is>
      </c>
      <c r="H137" s="41" t="inlineStr"/>
    </row>
    <row r="138">
      <c r="B138" s="34" t="n">
        <v>46157</v>
      </c>
      <c r="C138" s="32" t="inlineStr">
        <is>
          <t>Variable Exp</t>
        </is>
      </c>
      <c r="D138" s="35" t="inlineStr">
        <is>
          <t>Entertainment</t>
        </is>
      </c>
      <c r="E138" s="36" t="n">
        <v>55.16</v>
      </c>
      <c r="F138" s="32" t="inlineStr">
        <is>
          <t>Checking 2</t>
        </is>
      </c>
      <c r="G138" s="32" t="inlineStr">
        <is>
          <t>N/A</t>
        </is>
      </c>
      <c r="H138" s="35" t="inlineStr"/>
    </row>
    <row r="139">
      <c r="B139" s="40" t="n">
        <v>46159</v>
      </c>
      <c r="C139" s="39" t="inlineStr">
        <is>
          <t>Variable Exp</t>
        </is>
      </c>
      <c r="D139" s="41" t="inlineStr">
        <is>
          <t>Groceries</t>
        </is>
      </c>
      <c r="E139" s="42" t="n">
        <v>134.44</v>
      </c>
      <c r="F139" s="39" t="inlineStr">
        <is>
          <t>Checking 1</t>
        </is>
      </c>
      <c r="G139" s="39" t="inlineStr">
        <is>
          <t>N/A</t>
        </is>
      </c>
      <c r="H139" s="41" t="inlineStr"/>
    </row>
    <row r="140">
      <c r="B140" s="34" t="n">
        <v>46159</v>
      </c>
      <c r="C140" s="32" t="inlineStr">
        <is>
          <t>Variable Exp</t>
        </is>
      </c>
      <c r="D140" s="35" t="inlineStr">
        <is>
          <t>Transportation</t>
        </is>
      </c>
      <c r="E140" s="36" t="n">
        <v>73.23</v>
      </c>
      <c r="F140" s="32" t="inlineStr">
        <is>
          <t>Credit Card 1</t>
        </is>
      </c>
      <c r="G140" s="32" t="inlineStr">
        <is>
          <t>N/A</t>
        </is>
      </c>
      <c r="H140" s="35" t="inlineStr"/>
    </row>
    <row r="141">
      <c r="B141" s="40" t="n">
        <v>46160</v>
      </c>
      <c r="C141" s="39" t="inlineStr">
        <is>
          <t>Variable Exp</t>
        </is>
      </c>
      <c r="D141" s="41" t="inlineStr">
        <is>
          <t>Groceries</t>
        </is>
      </c>
      <c r="E141" s="42" t="n">
        <v>129.81</v>
      </c>
      <c r="F141" s="39" t="inlineStr">
        <is>
          <t>Credit Card 2</t>
        </is>
      </c>
      <c r="G141" s="39" t="inlineStr">
        <is>
          <t>N/A</t>
        </is>
      </c>
      <c r="H141" s="41" t="inlineStr"/>
    </row>
    <row r="142">
      <c r="B142" s="34" t="n">
        <v>46164</v>
      </c>
      <c r="C142" s="32" t="inlineStr">
        <is>
          <t>Variable Exp</t>
        </is>
      </c>
      <c r="D142" s="35" t="inlineStr">
        <is>
          <t>Eating Out</t>
        </is>
      </c>
      <c r="E142" s="36" t="n">
        <v>73.77</v>
      </c>
      <c r="F142" s="32" t="inlineStr">
        <is>
          <t>Credit Card 2</t>
        </is>
      </c>
      <c r="G142" s="32" t="inlineStr">
        <is>
          <t>N/A</t>
        </is>
      </c>
      <c r="H142" s="35" t="inlineStr"/>
    </row>
    <row r="143">
      <c r="B143" s="40" t="n">
        <v>46165</v>
      </c>
      <c r="C143" s="39" t="inlineStr">
        <is>
          <t>Variable Exp</t>
        </is>
      </c>
      <c r="D143" s="41" t="inlineStr">
        <is>
          <t>Eating Out</t>
        </is>
      </c>
      <c r="E143" s="42" t="n">
        <v>61.11</v>
      </c>
      <c r="F143" s="39" t="inlineStr">
        <is>
          <t>Checking 1</t>
        </is>
      </c>
      <c r="G143" s="39" t="inlineStr">
        <is>
          <t>N/A</t>
        </is>
      </c>
      <c r="H143" s="41" t="inlineStr"/>
    </row>
    <row r="144">
      <c r="B144" s="34" t="n">
        <v>46165</v>
      </c>
      <c r="C144" s="32" t="inlineStr">
        <is>
          <t>Variable Exp</t>
        </is>
      </c>
      <c r="D144" s="35" t="inlineStr">
        <is>
          <t>Hair/Beauty</t>
        </is>
      </c>
      <c r="E144" s="36" t="n">
        <v>39.81</v>
      </c>
      <c r="F144" s="32" t="inlineStr">
        <is>
          <t>Checking 1</t>
        </is>
      </c>
      <c r="G144" s="32" t="inlineStr">
        <is>
          <t>N/A</t>
        </is>
      </c>
      <c r="H144" s="35" t="inlineStr"/>
    </row>
    <row r="145">
      <c r="B145" s="40" t="n">
        <v>46165</v>
      </c>
      <c r="C145" s="39" t="inlineStr">
        <is>
          <t>Variable Exp</t>
        </is>
      </c>
      <c r="D145" s="41" t="inlineStr">
        <is>
          <t>Shopping</t>
        </is>
      </c>
      <c r="E145" s="42" t="n">
        <v>74.63</v>
      </c>
      <c r="F145" s="39" t="inlineStr">
        <is>
          <t>Checking 2</t>
        </is>
      </c>
      <c r="G145" s="39" t="inlineStr">
        <is>
          <t>N/A</t>
        </is>
      </c>
      <c r="H145" s="41" t="inlineStr"/>
    </row>
    <row r="146">
      <c r="B146" s="34" t="n">
        <v>46167</v>
      </c>
      <c r="C146" s="32" t="inlineStr">
        <is>
          <t>Transfer</t>
        </is>
      </c>
      <c r="D146" s="35" t="inlineStr"/>
      <c r="E146" s="36" t="n">
        <v>300</v>
      </c>
      <c r="F146" s="32" t="inlineStr">
        <is>
          <t>Checking 2</t>
        </is>
      </c>
      <c r="G146" s="32" t="inlineStr">
        <is>
          <t>Checking 1</t>
        </is>
      </c>
      <c r="H146" s="35" t="inlineStr">
        <is>
          <t>Move to main account</t>
        </is>
      </c>
    </row>
    <row r="147">
      <c r="B147" s="40" t="n">
        <v>46167</v>
      </c>
      <c r="C147" s="39" t="inlineStr">
        <is>
          <t>Variable Exp</t>
        </is>
      </c>
      <c r="D147" s="41" t="inlineStr">
        <is>
          <t>School</t>
        </is>
      </c>
      <c r="E147" s="42" t="n">
        <v>46.34</v>
      </c>
      <c r="F147" s="39" t="inlineStr">
        <is>
          <t>Credit Card 2</t>
        </is>
      </c>
      <c r="G147" s="39" t="inlineStr">
        <is>
          <t>N/A</t>
        </is>
      </c>
      <c r="H147" s="41" t="inlineStr"/>
    </row>
    <row r="148">
      <c r="B148" s="34" t="n">
        <v>46168</v>
      </c>
      <c r="C148" s="32" t="inlineStr">
        <is>
          <t>Variable Exp</t>
        </is>
      </c>
      <c r="D148" s="35" t="inlineStr">
        <is>
          <t>Eating Out</t>
        </is>
      </c>
      <c r="E148" s="36" t="n">
        <v>26.2</v>
      </c>
      <c r="F148" s="32" t="inlineStr">
        <is>
          <t>Credit Card 2</t>
        </is>
      </c>
      <c r="G148" s="32" t="inlineStr">
        <is>
          <t>N/A</t>
        </is>
      </c>
      <c r="H148" s="35" t="inlineStr"/>
    </row>
    <row r="149">
      <c r="B149" s="40" t="n">
        <v>46168</v>
      </c>
      <c r="C149" s="39" t="inlineStr">
        <is>
          <t>Variable Exp</t>
        </is>
      </c>
      <c r="D149" s="41" t="inlineStr">
        <is>
          <t>Transportation</t>
        </is>
      </c>
      <c r="E149" s="42" t="n">
        <v>40.28</v>
      </c>
      <c r="F149" s="39" t="inlineStr">
        <is>
          <t>Credit Card 1</t>
        </is>
      </c>
      <c r="G149" s="39" t="inlineStr">
        <is>
          <t>N/A</t>
        </is>
      </c>
      <c r="H149" s="41" t="inlineStr"/>
    </row>
    <row r="150">
      <c r="B150" s="34" t="n">
        <v>46169</v>
      </c>
      <c r="C150" s="32" t="inlineStr">
        <is>
          <t>Variable Exp</t>
        </is>
      </c>
      <c r="D150" s="35" t="inlineStr">
        <is>
          <t>Groceries</t>
        </is>
      </c>
      <c r="E150" s="36" t="n">
        <v>87.52</v>
      </c>
      <c r="F150" s="32" t="inlineStr">
        <is>
          <t>Checking 2</t>
        </is>
      </c>
      <c r="G150" s="32" t="inlineStr">
        <is>
          <t>N/A</t>
        </is>
      </c>
      <c r="H150" s="35" t="inlineStr"/>
    </row>
    <row r="151">
      <c r="B151" s="40" t="n">
        <v>46169</v>
      </c>
      <c r="C151" s="39" t="inlineStr">
        <is>
          <t>Variable Exp</t>
        </is>
      </c>
      <c r="D151" s="41" t="inlineStr">
        <is>
          <t>School</t>
        </is>
      </c>
      <c r="E151" s="42" t="n">
        <v>68</v>
      </c>
      <c r="F151" s="39" t="inlineStr">
        <is>
          <t>Checking 1</t>
        </is>
      </c>
      <c r="G151" s="39" t="inlineStr">
        <is>
          <t>N/A</t>
        </is>
      </c>
      <c r="H151" s="41" t="inlineStr"/>
    </row>
    <row r="152">
      <c r="B152" s="34" t="n">
        <v>46175</v>
      </c>
      <c r="C152" s="32" t="inlineStr">
        <is>
          <t>Variable Exp</t>
        </is>
      </c>
      <c r="D152" s="35" t="inlineStr">
        <is>
          <t>Pets</t>
        </is>
      </c>
      <c r="E152" s="36" t="n">
        <v>45.68</v>
      </c>
      <c r="F152" s="32" t="inlineStr">
        <is>
          <t>Credit Card 2</t>
        </is>
      </c>
      <c r="G152" s="32" t="inlineStr">
        <is>
          <t>N/A</t>
        </is>
      </c>
      <c r="H152" s="35" t="inlineStr"/>
    </row>
    <row r="153">
      <c r="B153" s="40" t="n">
        <v>46176</v>
      </c>
      <c r="C153" s="39" t="inlineStr">
        <is>
          <t>Variable Exp</t>
        </is>
      </c>
      <c r="D153" s="41" t="inlineStr">
        <is>
          <t>Groceries</t>
        </is>
      </c>
      <c r="E153" s="42" t="n">
        <v>70.12</v>
      </c>
      <c r="F153" s="39" t="inlineStr">
        <is>
          <t>Credit Card 1</t>
        </is>
      </c>
      <c r="G153" s="39" t="inlineStr">
        <is>
          <t>N/A</t>
        </is>
      </c>
      <c r="H153" s="41" t="inlineStr"/>
    </row>
    <row r="154">
      <c r="B154" s="34" t="n">
        <v>46176</v>
      </c>
      <c r="C154" s="32" t="inlineStr">
        <is>
          <t>Variable Exp</t>
        </is>
      </c>
      <c r="D154" s="35" t="inlineStr">
        <is>
          <t>Groceries</t>
        </is>
      </c>
      <c r="E154" s="36" t="n">
        <v>102.78</v>
      </c>
      <c r="F154" s="32" t="inlineStr">
        <is>
          <t>Credit Card 2</t>
        </is>
      </c>
      <c r="G154" s="32" t="inlineStr">
        <is>
          <t>N/A</t>
        </is>
      </c>
      <c r="H154" s="35" t="inlineStr"/>
    </row>
    <row r="155">
      <c r="B155" s="40" t="n">
        <v>46177</v>
      </c>
      <c r="C155" s="39" t="inlineStr">
        <is>
          <t>Variable Exp</t>
        </is>
      </c>
      <c r="D155" s="41" t="inlineStr">
        <is>
          <t>Shopping</t>
        </is>
      </c>
      <c r="E155" s="42" t="n">
        <v>100.71</v>
      </c>
      <c r="F155" s="39" t="inlineStr">
        <is>
          <t>Checking 2</t>
        </is>
      </c>
      <c r="G155" s="39" t="inlineStr">
        <is>
          <t>N/A</t>
        </is>
      </c>
      <c r="H155" s="41" t="inlineStr"/>
    </row>
    <row r="156">
      <c r="B156" s="34" t="n">
        <v>46179</v>
      </c>
      <c r="C156" s="32" t="inlineStr">
        <is>
          <t>Variable Exp</t>
        </is>
      </c>
      <c r="D156" s="35" t="inlineStr">
        <is>
          <t>Groceries</t>
        </is>
      </c>
      <c r="E156" s="36" t="n">
        <v>69.88</v>
      </c>
      <c r="F156" s="32" t="inlineStr">
        <is>
          <t>Credit Card 2</t>
        </is>
      </c>
      <c r="G156" s="32" t="inlineStr">
        <is>
          <t>N/A</t>
        </is>
      </c>
      <c r="H156" s="35" t="inlineStr"/>
    </row>
    <row r="157">
      <c r="B157" s="40" t="n">
        <v>46180</v>
      </c>
      <c r="C157" s="39" t="inlineStr">
        <is>
          <t>Variable Exp</t>
        </is>
      </c>
      <c r="D157" s="41" t="inlineStr">
        <is>
          <t>Eating Out</t>
        </is>
      </c>
      <c r="E157" s="42" t="n">
        <v>80.45999999999999</v>
      </c>
      <c r="F157" s="39" t="inlineStr">
        <is>
          <t>Checking 1</t>
        </is>
      </c>
      <c r="G157" s="39" t="inlineStr">
        <is>
          <t>N/A</t>
        </is>
      </c>
      <c r="H157" s="41" t="inlineStr"/>
    </row>
    <row r="158">
      <c r="B158" s="34" t="n">
        <v>46180</v>
      </c>
      <c r="C158" s="32" t="inlineStr">
        <is>
          <t>Variable Exp</t>
        </is>
      </c>
      <c r="D158" s="35" t="inlineStr">
        <is>
          <t>Other</t>
        </is>
      </c>
      <c r="E158" s="36" t="n">
        <v>24.26</v>
      </c>
      <c r="F158" s="32" t="inlineStr">
        <is>
          <t>Credit Card 1</t>
        </is>
      </c>
      <c r="G158" s="32" t="inlineStr">
        <is>
          <t>N/A</t>
        </is>
      </c>
      <c r="H158" s="35" t="inlineStr"/>
    </row>
    <row r="159">
      <c r="B159" s="40" t="n">
        <v>46181</v>
      </c>
      <c r="C159" s="39" t="inlineStr">
        <is>
          <t>Variable Exp</t>
        </is>
      </c>
      <c r="D159" s="41" t="inlineStr">
        <is>
          <t>Entertainment</t>
        </is>
      </c>
      <c r="E159" s="42" t="n">
        <v>37.14</v>
      </c>
      <c r="F159" s="39" t="inlineStr">
        <is>
          <t>Credit Card 2</t>
        </is>
      </c>
      <c r="G159" s="39" t="inlineStr">
        <is>
          <t>N/A</t>
        </is>
      </c>
      <c r="H159" s="41" t="inlineStr"/>
    </row>
    <row r="160">
      <c r="B160" s="34" t="n">
        <v>46181</v>
      </c>
      <c r="C160" s="32" t="inlineStr">
        <is>
          <t>Variable Exp</t>
        </is>
      </c>
      <c r="D160" s="35" t="inlineStr">
        <is>
          <t>Other</t>
        </is>
      </c>
      <c r="E160" s="36" t="n">
        <v>11.38</v>
      </c>
      <c r="F160" s="32" t="inlineStr">
        <is>
          <t>Checking 1</t>
        </is>
      </c>
      <c r="G160" s="32" t="inlineStr">
        <is>
          <t>N/A</t>
        </is>
      </c>
      <c r="H160" s="35" t="inlineStr"/>
    </row>
    <row r="161">
      <c r="B161" s="40" t="n">
        <v>46182</v>
      </c>
      <c r="C161" s="39" t="inlineStr">
        <is>
          <t>Variable Exp</t>
        </is>
      </c>
      <c r="D161" s="41" t="inlineStr">
        <is>
          <t>Eating Out</t>
        </is>
      </c>
      <c r="E161" s="42" t="n">
        <v>20.48</v>
      </c>
      <c r="F161" s="39" t="inlineStr">
        <is>
          <t>Credit Card 1</t>
        </is>
      </c>
      <c r="G161" s="39" t="inlineStr">
        <is>
          <t>N/A</t>
        </is>
      </c>
      <c r="H161" s="41" t="inlineStr"/>
    </row>
    <row r="162">
      <c r="B162" s="34" t="n">
        <v>46182</v>
      </c>
      <c r="C162" s="32" t="inlineStr">
        <is>
          <t>Variable Exp</t>
        </is>
      </c>
      <c r="D162" s="35" t="inlineStr">
        <is>
          <t>Eating Out</t>
        </is>
      </c>
      <c r="E162" s="36" t="n">
        <v>41.25</v>
      </c>
      <c r="F162" s="32" t="inlineStr">
        <is>
          <t>Credit Card 1</t>
        </is>
      </c>
      <c r="G162" s="32" t="inlineStr">
        <is>
          <t>N/A</t>
        </is>
      </c>
      <c r="H162" s="35" t="inlineStr"/>
    </row>
    <row r="163">
      <c r="B163" s="40" t="n">
        <v>46182</v>
      </c>
      <c r="C163" s="39" t="inlineStr">
        <is>
          <t>Variable Exp</t>
        </is>
      </c>
      <c r="D163" s="41" t="inlineStr">
        <is>
          <t>Groceries</t>
        </is>
      </c>
      <c r="E163" s="42" t="n">
        <v>104.06</v>
      </c>
      <c r="F163" s="39" t="inlineStr">
        <is>
          <t>Credit Card 1</t>
        </is>
      </c>
      <c r="G163" s="39" t="inlineStr">
        <is>
          <t>N/A</t>
        </is>
      </c>
      <c r="H163" s="41" t="inlineStr"/>
    </row>
    <row r="164">
      <c r="B164" s="34" t="n">
        <v>46182</v>
      </c>
      <c r="C164" s="32" t="inlineStr">
        <is>
          <t>Variable Exp</t>
        </is>
      </c>
      <c r="D164" s="35" t="inlineStr">
        <is>
          <t>Hair/Beauty</t>
        </is>
      </c>
      <c r="E164" s="36" t="n">
        <v>43.37</v>
      </c>
      <c r="F164" s="32" t="inlineStr">
        <is>
          <t>Checking 1</t>
        </is>
      </c>
      <c r="G164" s="32" t="inlineStr">
        <is>
          <t>N/A</t>
        </is>
      </c>
      <c r="H164" s="35" t="inlineStr"/>
    </row>
    <row r="165">
      <c r="B165" s="40" t="n">
        <v>46185</v>
      </c>
      <c r="C165" s="39" t="inlineStr">
        <is>
          <t>Variable Exp</t>
        </is>
      </c>
      <c r="D165" s="41" t="inlineStr">
        <is>
          <t>Gifts</t>
        </is>
      </c>
      <c r="E165" s="42" t="n">
        <v>87.33</v>
      </c>
      <c r="F165" s="39" t="inlineStr">
        <is>
          <t>Checking 1</t>
        </is>
      </c>
      <c r="G165" s="39" t="inlineStr">
        <is>
          <t>N/A</t>
        </is>
      </c>
      <c r="H165" s="41" t="inlineStr"/>
    </row>
    <row r="166">
      <c r="B166" s="34" t="n">
        <v>46186</v>
      </c>
      <c r="C166" s="32" t="inlineStr">
        <is>
          <t>Variable Exp</t>
        </is>
      </c>
      <c r="D166" s="35" t="inlineStr">
        <is>
          <t>Transportation</t>
        </is>
      </c>
      <c r="E166" s="36" t="n">
        <v>74.52</v>
      </c>
      <c r="F166" s="32" t="inlineStr">
        <is>
          <t>Credit Card 1</t>
        </is>
      </c>
      <c r="G166" s="32" t="inlineStr">
        <is>
          <t>N/A</t>
        </is>
      </c>
      <c r="H166" s="35" t="inlineStr"/>
    </row>
    <row r="167">
      <c r="B167" s="40" t="n">
        <v>46187</v>
      </c>
      <c r="C167" s="39" t="inlineStr">
        <is>
          <t>Variable Exp</t>
        </is>
      </c>
      <c r="D167" s="41" t="inlineStr">
        <is>
          <t>Transportation</t>
        </is>
      </c>
      <c r="E167" s="42" t="n">
        <v>37.35</v>
      </c>
      <c r="F167" s="39" t="inlineStr">
        <is>
          <t>Credit Card 1</t>
        </is>
      </c>
      <c r="G167" s="39" t="inlineStr">
        <is>
          <t>N/A</t>
        </is>
      </c>
      <c r="H167" s="41" t="inlineStr"/>
    </row>
    <row r="168">
      <c r="B168" s="34" t="n">
        <v>46188</v>
      </c>
      <c r="C168" s="32" t="inlineStr">
        <is>
          <t>Variable Exp</t>
        </is>
      </c>
      <c r="D168" s="35" t="inlineStr">
        <is>
          <t>Eating Out</t>
        </is>
      </c>
      <c r="E168" s="36" t="n">
        <v>51.51</v>
      </c>
      <c r="F168" s="32" t="inlineStr">
        <is>
          <t>Credit Card 2</t>
        </is>
      </c>
      <c r="G168" s="32" t="inlineStr">
        <is>
          <t>N/A</t>
        </is>
      </c>
      <c r="H168" s="35" t="inlineStr"/>
    </row>
    <row r="169">
      <c r="B169" s="40" t="n">
        <v>46188</v>
      </c>
      <c r="C169" s="39" t="inlineStr">
        <is>
          <t>Variable Exp</t>
        </is>
      </c>
      <c r="D169" s="41" t="inlineStr">
        <is>
          <t>Groceries</t>
        </is>
      </c>
      <c r="E169" s="42" t="n">
        <v>46.1</v>
      </c>
      <c r="F169" s="39" t="inlineStr">
        <is>
          <t>Checking 2</t>
        </is>
      </c>
      <c r="G169" s="39" t="inlineStr">
        <is>
          <t>N/A</t>
        </is>
      </c>
      <c r="H169" s="41" t="inlineStr"/>
    </row>
    <row r="170">
      <c r="B170" s="34" t="n">
        <v>46190</v>
      </c>
      <c r="C170" s="32" t="inlineStr">
        <is>
          <t>Variable Exp</t>
        </is>
      </c>
      <c r="D170" s="35" t="inlineStr">
        <is>
          <t>Eating Out</t>
        </is>
      </c>
      <c r="E170" s="36" t="n">
        <v>68.89</v>
      </c>
      <c r="F170" s="32" t="inlineStr">
        <is>
          <t>Checking 1</t>
        </is>
      </c>
      <c r="G170" s="32" t="inlineStr">
        <is>
          <t>N/A</t>
        </is>
      </c>
      <c r="H170" s="35" t="inlineStr"/>
    </row>
    <row r="171">
      <c r="B171" s="40" t="n">
        <v>46190</v>
      </c>
      <c r="C171" s="39" t="inlineStr">
        <is>
          <t>Variable Exp</t>
        </is>
      </c>
      <c r="D171" s="41" t="inlineStr">
        <is>
          <t>Entertainment</t>
        </is>
      </c>
      <c r="E171" s="42" t="n">
        <v>35.39</v>
      </c>
      <c r="F171" s="39" t="inlineStr">
        <is>
          <t>Credit Card 2</t>
        </is>
      </c>
      <c r="G171" s="39" t="inlineStr">
        <is>
          <t>N/A</t>
        </is>
      </c>
      <c r="H171" s="41" t="inlineStr"/>
    </row>
    <row r="172">
      <c r="B172" s="34" t="n">
        <v>46190</v>
      </c>
      <c r="C172" s="32" t="inlineStr">
        <is>
          <t>Variable Exp</t>
        </is>
      </c>
      <c r="D172" s="35" t="inlineStr">
        <is>
          <t>Groceries</t>
        </is>
      </c>
      <c r="E172" s="36" t="n">
        <v>112.41</v>
      </c>
      <c r="F172" s="32" t="inlineStr">
        <is>
          <t>Credit Card 1</t>
        </is>
      </c>
      <c r="G172" s="32" t="inlineStr">
        <is>
          <t>N/A</t>
        </is>
      </c>
      <c r="H172" s="35" t="inlineStr"/>
    </row>
    <row r="173">
      <c r="B173" s="40" t="n">
        <v>46190</v>
      </c>
      <c r="C173" s="39" t="inlineStr">
        <is>
          <t>Variable Exp</t>
        </is>
      </c>
      <c r="D173" s="41" t="inlineStr">
        <is>
          <t>Shopping</t>
        </is>
      </c>
      <c r="E173" s="42" t="n">
        <v>79.59999999999999</v>
      </c>
      <c r="F173" s="39" t="inlineStr">
        <is>
          <t>Checking 2</t>
        </is>
      </c>
      <c r="G173" s="39" t="inlineStr">
        <is>
          <t>N/A</t>
        </is>
      </c>
      <c r="H173" s="41" t="inlineStr"/>
    </row>
    <row r="174">
      <c r="B174" s="34" t="n">
        <v>46191</v>
      </c>
      <c r="C174" s="32" t="inlineStr">
        <is>
          <t>Income</t>
        </is>
      </c>
      <c r="D174" s="35" t="inlineStr">
        <is>
          <t>Freelance Job</t>
        </is>
      </c>
      <c r="E174" s="36" t="n">
        <v>1150</v>
      </c>
      <c r="F174" s="32" t="inlineStr">
        <is>
          <t>N/A</t>
        </is>
      </c>
      <c r="G174" s="32" t="inlineStr">
        <is>
          <t>Checking 1</t>
        </is>
      </c>
      <c r="H174" s="35" t="inlineStr">
        <is>
          <t>Logo project</t>
        </is>
      </c>
    </row>
    <row r="175">
      <c r="B175" s="40" t="n">
        <v>46193</v>
      </c>
      <c r="C175" s="39" t="inlineStr">
        <is>
          <t>Variable Exp</t>
        </is>
      </c>
      <c r="D175" s="41" t="inlineStr">
        <is>
          <t>School</t>
        </is>
      </c>
      <c r="E175" s="42" t="n">
        <v>51.8</v>
      </c>
      <c r="F175" s="39" t="inlineStr">
        <is>
          <t>Checking 1</t>
        </is>
      </c>
      <c r="G175" s="39" t="inlineStr">
        <is>
          <t>N/A</t>
        </is>
      </c>
      <c r="H175" s="41" t="inlineStr"/>
    </row>
    <row r="176">
      <c r="B176" s="34" t="n">
        <v>46194</v>
      </c>
      <c r="C176" s="32" t="inlineStr">
        <is>
          <t>Variable Exp</t>
        </is>
      </c>
      <c r="D176" s="35" t="inlineStr">
        <is>
          <t>Transportation</t>
        </is>
      </c>
      <c r="E176" s="36" t="n">
        <v>63.34</v>
      </c>
      <c r="F176" s="32" t="inlineStr">
        <is>
          <t>Checking 1</t>
        </is>
      </c>
      <c r="G176" s="32" t="inlineStr">
        <is>
          <t>N/A</t>
        </is>
      </c>
      <c r="H176" s="35" t="inlineStr"/>
    </row>
    <row r="177">
      <c r="B177" s="40" t="n">
        <v>46195</v>
      </c>
      <c r="C177" s="39" t="inlineStr">
        <is>
          <t>Variable Exp</t>
        </is>
      </c>
      <c r="D177" s="41" t="inlineStr">
        <is>
          <t>School</t>
        </is>
      </c>
      <c r="E177" s="42" t="n">
        <v>105.71</v>
      </c>
      <c r="F177" s="39" t="inlineStr">
        <is>
          <t>Checking 1</t>
        </is>
      </c>
      <c r="G177" s="39" t="inlineStr">
        <is>
          <t>N/A</t>
        </is>
      </c>
      <c r="H177" s="41" t="inlineStr"/>
    </row>
    <row r="178">
      <c r="B178" s="34" t="n">
        <v>46195</v>
      </c>
      <c r="C178" s="32" t="inlineStr">
        <is>
          <t>Variable Exp</t>
        </is>
      </c>
      <c r="D178" s="35" t="inlineStr">
        <is>
          <t>Shopping</t>
        </is>
      </c>
      <c r="E178" s="36" t="n">
        <v>81.93000000000001</v>
      </c>
      <c r="F178" s="32" t="inlineStr">
        <is>
          <t>Checking 2</t>
        </is>
      </c>
      <c r="G178" s="32" t="inlineStr">
        <is>
          <t>N/A</t>
        </is>
      </c>
      <c r="H178" s="35" t="inlineStr"/>
    </row>
    <row r="179">
      <c r="B179" s="40" t="n">
        <v>46197</v>
      </c>
      <c r="C179" s="39" t="inlineStr">
        <is>
          <t>Variable Exp</t>
        </is>
      </c>
      <c r="D179" s="41" t="inlineStr">
        <is>
          <t>Eating Out</t>
        </is>
      </c>
      <c r="E179" s="42" t="n">
        <v>51.88</v>
      </c>
      <c r="F179" s="39" t="inlineStr">
        <is>
          <t>Credit Card 2</t>
        </is>
      </c>
      <c r="G179" s="39" t="inlineStr">
        <is>
          <t>N/A</t>
        </is>
      </c>
      <c r="H179" s="41" t="inlineStr"/>
    </row>
    <row r="180">
      <c r="B180" s="34" t="n">
        <v>46198</v>
      </c>
      <c r="C180" s="32" t="inlineStr">
        <is>
          <t>Transfer</t>
        </is>
      </c>
      <c r="D180" s="35" t="inlineStr"/>
      <c r="E180" s="36" t="n">
        <v>300</v>
      </c>
      <c r="F180" s="32" t="inlineStr">
        <is>
          <t>Checking 2</t>
        </is>
      </c>
      <c r="G180" s="32" t="inlineStr">
        <is>
          <t>Checking 1</t>
        </is>
      </c>
      <c r="H180" s="35" t="inlineStr">
        <is>
          <t>Move to main account</t>
        </is>
      </c>
    </row>
    <row r="181">
      <c r="B181" s="40" t="n">
        <v>46200</v>
      </c>
      <c r="C181" s="39" t="inlineStr">
        <is>
          <t>Variable Exp</t>
        </is>
      </c>
      <c r="D181" s="41" t="inlineStr">
        <is>
          <t>Transportation</t>
        </is>
      </c>
      <c r="E181" s="42" t="n">
        <v>35.84</v>
      </c>
      <c r="F181" s="39" t="inlineStr">
        <is>
          <t>Credit Card 1</t>
        </is>
      </c>
      <c r="G181" s="39" t="inlineStr">
        <is>
          <t>N/A</t>
        </is>
      </c>
      <c r="H181" s="41" t="inlineStr"/>
    </row>
    <row r="182">
      <c r="B182" s="34" t="n">
        <v>46205</v>
      </c>
      <c r="C182" s="32" t="inlineStr">
        <is>
          <t>Variable Exp</t>
        </is>
      </c>
      <c r="D182" s="35" t="inlineStr">
        <is>
          <t>Eating Out</t>
        </is>
      </c>
      <c r="E182" s="36" t="n">
        <v>73.27</v>
      </c>
      <c r="F182" s="32" t="inlineStr">
        <is>
          <t>Checking 2</t>
        </is>
      </c>
      <c r="G182" s="32" t="inlineStr">
        <is>
          <t>N/A</t>
        </is>
      </c>
      <c r="H182" s="35" t="inlineStr"/>
    </row>
    <row r="183">
      <c r="B183" s="40" t="n">
        <v>46206</v>
      </c>
      <c r="C183" s="39" t="inlineStr">
        <is>
          <t>Variable Exp</t>
        </is>
      </c>
      <c r="D183" s="41" t="inlineStr">
        <is>
          <t>Groceries</t>
        </is>
      </c>
      <c r="E183" s="42" t="n">
        <v>70.09999999999999</v>
      </c>
      <c r="F183" s="39" t="inlineStr">
        <is>
          <t>Credit Card 1</t>
        </is>
      </c>
      <c r="G183" s="39" t="inlineStr">
        <is>
          <t>N/A</t>
        </is>
      </c>
      <c r="H183" s="41" t="inlineStr"/>
    </row>
    <row r="184">
      <c r="B184" s="34" t="n">
        <v>46206</v>
      </c>
      <c r="C184" s="32" t="inlineStr">
        <is>
          <t>Variable Exp</t>
        </is>
      </c>
      <c r="D184" s="35" t="inlineStr">
        <is>
          <t>Other</t>
        </is>
      </c>
      <c r="E184" s="36" t="n">
        <v>33.99</v>
      </c>
      <c r="F184" s="32" t="inlineStr">
        <is>
          <t>Checking 1</t>
        </is>
      </c>
      <c r="G184" s="32" t="inlineStr">
        <is>
          <t>N/A</t>
        </is>
      </c>
      <c r="H184" s="35" t="inlineStr"/>
    </row>
    <row r="185">
      <c r="B185" s="40" t="n">
        <v>46206</v>
      </c>
      <c r="C185" s="39" t="inlineStr">
        <is>
          <t>Variable Exp</t>
        </is>
      </c>
      <c r="D185" s="41" t="inlineStr">
        <is>
          <t>Shopping</t>
        </is>
      </c>
      <c r="E185" s="42" t="n">
        <v>28.58</v>
      </c>
      <c r="F185" s="39" t="inlineStr">
        <is>
          <t>Credit Card 2</t>
        </is>
      </c>
      <c r="G185" s="39" t="inlineStr">
        <is>
          <t>N/A</t>
        </is>
      </c>
      <c r="H185" s="41" t="inlineStr"/>
    </row>
    <row r="186">
      <c r="B186" s="34" t="n">
        <v>46208</v>
      </c>
      <c r="C186" s="32" t="inlineStr">
        <is>
          <t>Variable Exp</t>
        </is>
      </c>
      <c r="D186" s="35" t="inlineStr">
        <is>
          <t>Eating Out</t>
        </is>
      </c>
      <c r="E186" s="36" t="n">
        <v>37.04</v>
      </c>
      <c r="F186" s="32" t="inlineStr">
        <is>
          <t>Credit Card 2</t>
        </is>
      </c>
      <c r="G186" s="32" t="inlineStr">
        <is>
          <t>N/A</t>
        </is>
      </c>
      <c r="H186" s="35" t="inlineStr"/>
    </row>
    <row r="187">
      <c r="B187" s="40" t="n">
        <v>46208</v>
      </c>
      <c r="C187" s="39" t="inlineStr">
        <is>
          <t>Variable Exp</t>
        </is>
      </c>
      <c r="D187" s="41" t="inlineStr">
        <is>
          <t>Groceries</t>
        </is>
      </c>
      <c r="E187" s="42" t="n">
        <v>82.95</v>
      </c>
      <c r="F187" s="39" t="inlineStr">
        <is>
          <t>Credit Card 1</t>
        </is>
      </c>
      <c r="G187" s="39" t="inlineStr">
        <is>
          <t>N/A</t>
        </is>
      </c>
      <c r="H187" s="41" t="inlineStr"/>
    </row>
    <row r="188">
      <c r="B188" s="34" t="n">
        <v>46211</v>
      </c>
      <c r="C188" s="32" t="inlineStr">
        <is>
          <t>Variable Exp</t>
        </is>
      </c>
      <c r="D188" s="35" t="inlineStr">
        <is>
          <t>Groceries</t>
        </is>
      </c>
      <c r="E188" s="36" t="n">
        <v>92.95</v>
      </c>
      <c r="F188" s="32" t="inlineStr">
        <is>
          <t>Credit Card 1</t>
        </is>
      </c>
      <c r="G188" s="32" t="inlineStr">
        <is>
          <t>N/A</t>
        </is>
      </c>
      <c r="H188" s="35" t="inlineStr"/>
    </row>
    <row r="189">
      <c r="B189" s="40" t="n">
        <v>46211</v>
      </c>
      <c r="C189" s="39" t="inlineStr">
        <is>
          <t>Variable Exp</t>
        </is>
      </c>
      <c r="D189" s="41" t="inlineStr">
        <is>
          <t>Pets</t>
        </is>
      </c>
      <c r="E189" s="42" t="n">
        <v>58.29</v>
      </c>
      <c r="F189" s="39" t="inlineStr">
        <is>
          <t>Checking 2</t>
        </is>
      </c>
      <c r="G189" s="39" t="inlineStr">
        <is>
          <t>N/A</t>
        </is>
      </c>
      <c r="H189" s="41" t="inlineStr"/>
    </row>
    <row r="190">
      <c r="B190" s="34" t="n">
        <v>46211</v>
      </c>
      <c r="C190" s="32" t="inlineStr">
        <is>
          <t>Variable Exp</t>
        </is>
      </c>
      <c r="D190" s="35" t="inlineStr">
        <is>
          <t>School</t>
        </is>
      </c>
      <c r="E190" s="36" t="n">
        <v>95.64</v>
      </c>
      <c r="F190" s="32" t="inlineStr">
        <is>
          <t>Credit Card 2</t>
        </is>
      </c>
      <c r="G190" s="32" t="inlineStr">
        <is>
          <t>N/A</t>
        </is>
      </c>
      <c r="H190" s="35" t="inlineStr"/>
    </row>
    <row r="191">
      <c r="B191" s="40" t="n">
        <v>46212</v>
      </c>
      <c r="C191" s="39" t="inlineStr">
        <is>
          <t>Variable Exp</t>
        </is>
      </c>
      <c r="D191" s="41" t="inlineStr">
        <is>
          <t>Groceries</t>
        </is>
      </c>
      <c r="E191" s="42" t="n">
        <v>92.76000000000001</v>
      </c>
      <c r="F191" s="39" t="inlineStr">
        <is>
          <t>Credit Card 2</t>
        </is>
      </c>
      <c r="G191" s="39" t="inlineStr">
        <is>
          <t>N/A</t>
        </is>
      </c>
      <c r="H191" s="41" t="inlineStr"/>
    </row>
    <row r="192">
      <c r="B192" s="34" t="n">
        <v>46212</v>
      </c>
      <c r="C192" s="32" t="inlineStr">
        <is>
          <t>Variable Exp</t>
        </is>
      </c>
      <c r="D192" s="35" t="inlineStr">
        <is>
          <t>School</t>
        </is>
      </c>
      <c r="E192" s="36" t="n">
        <v>102.83</v>
      </c>
      <c r="F192" s="32" t="inlineStr">
        <is>
          <t>Checking 1</t>
        </is>
      </c>
      <c r="G192" s="32" t="inlineStr">
        <is>
          <t>N/A</t>
        </is>
      </c>
      <c r="H192" s="35" t="inlineStr"/>
    </row>
    <row r="193">
      <c r="B193" s="40" t="n">
        <v>46214</v>
      </c>
      <c r="C193" s="39" t="inlineStr">
        <is>
          <t>Variable Exp</t>
        </is>
      </c>
      <c r="D193" s="41" t="inlineStr">
        <is>
          <t>Groceries</t>
        </is>
      </c>
      <c r="E193" s="42" t="n">
        <v>81.25</v>
      </c>
      <c r="F193" s="39" t="inlineStr">
        <is>
          <t>Checking 2</t>
        </is>
      </c>
      <c r="G193" s="39" t="inlineStr">
        <is>
          <t>N/A</t>
        </is>
      </c>
      <c r="H193" s="41" t="inlineStr"/>
    </row>
    <row r="194">
      <c r="B194" s="34" t="n">
        <v>46216</v>
      </c>
      <c r="C194" s="32" t="inlineStr">
        <is>
          <t>Variable Exp</t>
        </is>
      </c>
      <c r="D194" s="35" t="inlineStr">
        <is>
          <t>Entertainment</t>
        </is>
      </c>
      <c r="E194" s="36" t="n">
        <v>61.79</v>
      </c>
      <c r="F194" s="32" t="inlineStr">
        <is>
          <t>Credit Card 1</t>
        </is>
      </c>
      <c r="G194" s="32" t="inlineStr">
        <is>
          <t>N/A</t>
        </is>
      </c>
      <c r="H194" s="35" t="inlineStr"/>
    </row>
    <row r="195">
      <c r="B195" s="40" t="n">
        <v>46216</v>
      </c>
      <c r="C195" s="39" t="inlineStr">
        <is>
          <t>Variable Exp</t>
        </is>
      </c>
      <c r="D195" s="41" t="inlineStr">
        <is>
          <t>Groceries</t>
        </is>
      </c>
      <c r="E195" s="42" t="n">
        <v>47.14</v>
      </c>
      <c r="F195" s="39" t="inlineStr">
        <is>
          <t>Checking 1</t>
        </is>
      </c>
      <c r="G195" s="39" t="inlineStr">
        <is>
          <t>N/A</t>
        </is>
      </c>
      <c r="H195" s="41" t="inlineStr"/>
    </row>
    <row r="196">
      <c r="B196" s="34" t="n">
        <v>46219</v>
      </c>
      <c r="C196" s="32" t="inlineStr">
        <is>
          <t>Variable Exp</t>
        </is>
      </c>
      <c r="D196" s="35" t="inlineStr">
        <is>
          <t>Gifts</t>
        </is>
      </c>
      <c r="E196" s="36" t="n">
        <v>83.73</v>
      </c>
      <c r="F196" s="32" t="inlineStr">
        <is>
          <t>Checking 1</t>
        </is>
      </c>
      <c r="G196" s="32" t="inlineStr">
        <is>
          <t>N/A</t>
        </is>
      </c>
      <c r="H196" s="35" t="inlineStr"/>
    </row>
    <row r="197">
      <c r="B197" s="40" t="n">
        <v>46219</v>
      </c>
      <c r="C197" s="39" t="inlineStr">
        <is>
          <t>Variable Exp</t>
        </is>
      </c>
      <c r="D197" s="41" t="inlineStr">
        <is>
          <t>Hair/Beauty</t>
        </is>
      </c>
      <c r="E197" s="42" t="n">
        <v>55.37</v>
      </c>
      <c r="F197" s="39" t="inlineStr">
        <is>
          <t>Credit Card 1</t>
        </is>
      </c>
      <c r="G197" s="39" t="inlineStr">
        <is>
          <t>N/A</t>
        </is>
      </c>
      <c r="H197" s="41" t="inlineStr"/>
    </row>
    <row r="198">
      <c r="B198" s="34" t="n">
        <v>46219</v>
      </c>
      <c r="C198" s="32" t="inlineStr">
        <is>
          <t>Variable Exp</t>
        </is>
      </c>
      <c r="D198" s="35" t="inlineStr">
        <is>
          <t>Transportation</t>
        </is>
      </c>
      <c r="E198" s="36" t="n">
        <v>41.87</v>
      </c>
      <c r="F198" s="32" t="inlineStr">
        <is>
          <t>Checking 2</t>
        </is>
      </c>
      <c r="G198" s="32" t="inlineStr">
        <is>
          <t>N/A</t>
        </is>
      </c>
      <c r="H198" s="35" t="inlineStr"/>
    </row>
    <row r="199">
      <c r="B199" s="40" t="n">
        <v>46220</v>
      </c>
      <c r="C199" s="39" t="inlineStr">
        <is>
          <t>Variable Exp</t>
        </is>
      </c>
      <c r="D199" s="41" t="inlineStr">
        <is>
          <t>Shopping</t>
        </is>
      </c>
      <c r="E199" s="42" t="n">
        <v>111.58</v>
      </c>
      <c r="F199" s="39" t="inlineStr">
        <is>
          <t>Credit Card 1</t>
        </is>
      </c>
      <c r="G199" s="39" t="inlineStr">
        <is>
          <t>N/A</t>
        </is>
      </c>
      <c r="H199" s="41" t="inlineStr"/>
    </row>
    <row r="200">
      <c r="B200" s="34" t="n">
        <v>46224</v>
      </c>
      <c r="C200" s="32" t="inlineStr">
        <is>
          <t>Variable Exp</t>
        </is>
      </c>
      <c r="D200" s="35" t="inlineStr">
        <is>
          <t>Eating Out</t>
        </is>
      </c>
      <c r="E200" s="36" t="n">
        <v>33.6</v>
      </c>
      <c r="F200" s="32" t="inlineStr">
        <is>
          <t>Credit Card 2</t>
        </is>
      </c>
      <c r="G200" s="32" t="inlineStr">
        <is>
          <t>N/A</t>
        </is>
      </c>
      <c r="H200" s="35" t="inlineStr"/>
    </row>
    <row r="201">
      <c r="B201" s="40" t="n">
        <v>46224</v>
      </c>
      <c r="C201" s="39" t="inlineStr">
        <is>
          <t>Variable Exp</t>
        </is>
      </c>
      <c r="D201" s="41" t="inlineStr">
        <is>
          <t>Entertainment</t>
        </is>
      </c>
      <c r="E201" s="42" t="n">
        <v>38.04</v>
      </c>
      <c r="F201" s="39" t="inlineStr">
        <is>
          <t>Credit Card 1</t>
        </is>
      </c>
      <c r="G201" s="39" t="inlineStr">
        <is>
          <t>N/A</t>
        </is>
      </c>
      <c r="H201" s="41" t="inlineStr"/>
    </row>
    <row r="202">
      <c r="B202" s="34" t="n">
        <v>46224</v>
      </c>
      <c r="C202" s="32" t="inlineStr">
        <is>
          <t>Variable Exp</t>
        </is>
      </c>
      <c r="D202" s="35" t="inlineStr">
        <is>
          <t>Transportation</t>
        </is>
      </c>
      <c r="E202" s="36" t="n">
        <v>30.85</v>
      </c>
      <c r="F202" s="32" t="inlineStr">
        <is>
          <t>Credit Card 2</t>
        </is>
      </c>
      <c r="G202" s="32" t="inlineStr">
        <is>
          <t>N/A</t>
        </is>
      </c>
      <c r="H202" s="35" t="inlineStr"/>
    </row>
    <row r="203">
      <c r="B203" s="40" t="n">
        <v>46225</v>
      </c>
      <c r="C203" s="39" t="inlineStr">
        <is>
          <t>Variable Exp</t>
        </is>
      </c>
      <c r="D203" s="41" t="inlineStr">
        <is>
          <t>Eating Out</t>
        </is>
      </c>
      <c r="E203" s="42" t="n">
        <v>77.81999999999999</v>
      </c>
      <c r="F203" s="39" t="inlineStr">
        <is>
          <t>Checking 2</t>
        </is>
      </c>
      <c r="G203" s="39" t="inlineStr">
        <is>
          <t>N/A</t>
        </is>
      </c>
      <c r="H203" s="41" t="inlineStr"/>
    </row>
    <row r="204">
      <c r="B204" s="34" t="n">
        <v>46225</v>
      </c>
      <c r="C204" s="32" t="inlineStr">
        <is>
          <t>Variable Exp</t>
        </is>
      </c>
      <c r="D204" s="35" t="inlineStr">
        <is>
          <t>Transportation</t>
        </is>
      </c>
      <c r="E204" s="36" t="n">
        <v>53.67</v>
      </c>
      <c r="F204" s="32" t="inlineStr">
        <is>
          <t>Checking 2</t>
        </is>
      </c>
      <c r="G204" s="32" t="inlineStr">
        <is>
          <t>N/A</t>
        </is>
      </c>
      <c r="H204" s="35" t="inlineStr"/>
    </row>
    <row r="205">
      <c r="B205" s="40" t="n">
        <v>46227</v>
      </c>
      <c r="C205" s="39" t="inlineStr">
        <is>
          <t>Variable Exp</t>
        </is>
      </c>
      <c r="D205" s="41" t="inlineStr">
        <is>
          <t>Eating Out</t>
        </is>
      </c>
      <c r="E205" s="42" t="n">
        <v>64.97</v>
      </c>
      <c r="F205" s="39" t="inlineStr">
        <is>
          <t>Credit Card 2</t>
        </is>
      </c>
      <c r="G205" s="39" t="inlineStr">
        <is>
          <t>N/A</t>
        </is>
      </c>
      <c r="H205" s="41" t="inlineStr"/>
    </row>
    <row r="206">
      <c r="B206" s="34" t="n">
        <v>46228</v>
      </c>
      <c r="C206" s="32" t="inlineStr">
        <is>
          <t>Transfer</t>
        </is>
      </c>
      <c r="D206" s="35" t="inlineStr"/>
      <c r="E206" s="36" t="n">
        <v>300</v>
      </c>
      <c r="F206" s="32" t="inlineStr">
        <is>
          <t>Checking 2</t>
        </is>
      </c>
      <c r="G206" s="32" t="inlineStr">
        <is>
          <t>Checking 1</t>
        </is>
      </c>
      <c r="H206" s="35" t="inlineStr">
        <is>
          <t>Move to main account</t>
        </is>
      </c>
    </row>
    <row r="207">
      <c r="B207" s="40" t="n">
        <v>46228</v>
      </c>
      <c r="C207" s="39" t="inlineStr">
        <is>
          <t>Variable Exp</t>
        </is>
      </c>
      <c r="D207" s="41" t="inlineStr">
        <is>
          <t>Eating Out</t>
        </is>
      </c>
      <c r="E207" s="42" t="n">
        <v>39.85</v>
      </c>
      <c r="F207" s="39" t="inlineStr">
        <is>
          <t>Checking 2</t>
        </is>
      </c>
      <c r="G207" s="39" t="inlineStr">
        <is>
          <t>N/A</t>
        </is>
      </c>
      <c r="H207" s="41" t="inlineStr"/>
    </row>
    <row r="208">
      <c r="B208" s="34" t="n">
        <v>46228</v>
      </c>
      <c r="C208" s="32" t="inlineStr">
        <is>
          <t>Variable Exp</t>
        </is>
      </c>
      <c r="D208" s="35" t="inlineStr">
        <is>
          <t>Other</t>
        </is>
      </c>
      <c r="E208" s="36" t="n">
        <v>11.87</v>
      </c>
      <c r="F208" s="32" t="inlineStr">
        <is>
          <t>Credit Card 2</t>
        </is>
      </c>
      <c r="G208" s="32" t="inlineStr">
        <is>
          <t>N/A</t>
        </is>
      </c>
      <c r="H208" s="35" t="inlineStr"/>
    </row>
    <row r="209">
      <c r="B209" s="40" t="n">
        <v>46229</v>
      </c>
      <c r="C209" s="39" t="inlineStr">
        <is>
          <t>Variable Exp</t>
        </is>
      </c>
      <c r="D209" s="41" t="inlineStr">
        <is>
          <t>Transportation</t>
        </is>
      </c>
      <c r="E209" s="42" t="n">
        <v>33.16</v>
      </c>
      <c r="F209" s="39" t="inlineStr">
        <is>
          <t>Credit Card 1</t>
        </is>
      </c>
      <c r="G209" s="39" t="inlineStr">
        <is>
          <t>N/A</t>
        </is>
      </c>
      <c r="H209" s="41" t="inlineStr"/>
    </row>
    <row r="210">
      <c r="B210" s="34" t="n">
        <v>46230</v>
      </c>
      <c r="C210" s="32" t="inlineStr">
        <is>
          <t>Variable Exp</t>
        </is>
      </c>
      <c r="D210" s="35" t="inlineStr">
        <is>
          <t>Shopping</t>
        </is>
      </c>
      <c r="E210" s="36" t="n">
        <v>103.94</v>
      </c>
      <c r="F210" s="32" t="inlineStr">
        <is>
          <t>Credit Card 2</t>
        </is>
      </c>
      <c r="G210" s="32" t="inlineStr">
        <is>
          <t>N/A</t>
        </is>
      </c>
      <c r="H210" s="35" t="inlineStr"/>
    </row>
    <row r="211">
      <c r="B211" s="40" t="n">
        <v>46236</v>
      </c>
      <c r="C211" s="39" t="inlineStr">
        <is>
          <t>Variable Exp</t>
        </is>
      </c>
      <c r="D211" s="41" t="inlineStr">
        <is>
          <t>Other</t>
        </is>
      </c>
      <c r="E211" s="42" t="n">
        <v>43.39</v>
      </c>
      <c r="F211" s="39" t="inlineStr">
        <is>
          <t>Checking 1</t>
        </is>
      </c>
      <c r="G211" s="39" t="inlineStr">
        <is>
          <t>N/A</t>
        </is>
      </c>
      <c r="H211" s="41" t="inlineStr"/>
    </row>
    <row r="212">
      <c r="B212" s="34" t="n">
        <v>46237</v>
      </c>
      <c r="C212" s="32" t="inlineStr">
        <is>
          <t>Variable Exp</t>
        </is>
      </c>
      <c r="D212" s="35" t="inlineStr">
        <is>
          <t>Eating Out</t>
        </is>
      </c>
      <c r="E212" s="36" t="n">
        <v>56.96</v>
      </c>
      <c r="F212" s="32" t="inlineStr">
        <is>
          <t>Credit Card 2</t>
        </is>
      </c>
      <c r="G212" s="32" t="inlineStr">
        <is>
          <t>N/A</t>
        </is>
      </c>
      <c r="H212" s="35" t="inlineStr"/>
    </row>
    <row r="213">
      <c r="B213" s="40" t="n">
        <v>46237</v>
      </c>
      <c r="C213" s="39" t="inlineStr">
        <is>
          <t>Variable Exp</t>
        </is>
      </c>
      <c r="D213" s="41" t="inlineStr">
        <is>
          <t>Eating Out</t>
        </is>
      </c>
      <c r="E213" s="42" t="n">
        <v>72.93000000000001</v>
      </c>
      <c r="F213" s="39" t="inlineStr">
        <is>
          <t>Checking 2</t>
        </is>
      </c>
      <c r="G213" s="39" t="inlineStr">
        <is>
          <t>N/A</t>
        </is>
      </c>
      <c r="H213" s="41" t="inlineStr"/>
    </row>
    <row r="214">
      <c r="B214" s="34" t="n">
        <v>46238</v>
      </c>
      <c r="C214" s="32" t="inlineStr">
        <is>
          <t>Variable Exp</t>
        </is>
      </c>
      <c r="D214" s="35" t="inlineStr">
        <is>
          <t>School</t>
        </is>
      </c>
      <c r="E214" s="36" t="n">
        <v>114.59</v>
      </c>
      <c r="F214" s="32" t="inlineStr">
        <is>
          <t>Credit Card 2</t>
        </is>
      </c>
      <c r="G214" s="32" t="inlineStr">
        <is>
          <t>N/A</t>
        </is>
      </c>
      <c r="H214" s="35" t="inlineStr"/>
    </row>
    <row r="215">
      <c r="B215" s="40" t="n">
        <v>46238</v>
      </c>
      <c r="C215" s="39" t="inlineStr">
        <is>
          <t>Variable Exp</t>
        </is>
      </c>
      <c r="D215" s="41" t="inlineStr">
        <is>
          <t>Shopping</t>
        </is>
      </c>
      <c r="E215" s="42" t="n">
        <v>105.88</v>
      </c>
      <c r="F215" s="39" t="inlineStr">
        <is>
          <t>Credit Card 2</t>
        </is>
      </c>
      <c r="G215" s="39" t="inlineStr">
        <is>
          <t>N/A</t>
        </is>
      </c>
      <c r="H215" s="41" t="inlineStr"/>
    </row>
    <row r="216">
      <c r="B216" s="34" t="n">
        <v>46239</v>
      </c>
      <c r="C216" s="32" t="inlineStr">
        <is>
          <t>Variable Exp</t>
        </is>
      </c>
      <c r="D216" s="35" t="inlineStr">
        <is>
          <t>Shopping</t>
        </is>
      </c>
      <c r="E216" s="36" t="n">
        <v>94.39</v>
      </c>
      <c r="F216" s="32" t="inlineStr">
        <is>
          <t>Checking 1</t>
        </is>
      </c>
      <c r="G216" s="32" t="inlineStr">
        <is>
          <t>N/A</t>
        </is>
      </c>
      <c r="H216" s="35" t="inlineStr"/>
    </row>
    <row r="217">
      <c r="B217" s="40" t="n">
        <v>46243</v>
      </c>
      <c r="C217" s="39" t="inlineStr">
        <is>
          <t>Variable Exp</t>
        </is>
      </c>
      <c r="D217" s="41" t="inlineStr">
        <is>
          <t>Eating Out</t>
        </is>
      </c>
      <c r="E217" s="42" t="n">
        <v>43.92</v>
      </c>
      <c r="F217" s="39" t="inlineStr">
        <is>
          <t>Credit Card 2</t>
        </is>
      </c>
      <c r="G217" s="39" t="inlineStr">
        <is>
          <t>N/A</t>
        </is>
      </c>
      <c r="H217" s="41" t="inlineStr"/>
    </row>
    <row r="218">
      <c r="B218" s="34" t="n">
        <v>46243</v>
      </c>
      <c r="C218" s="32" t="inlineStr">
        <is>
          <t>Variable Exp</t>
        </is>
      </c>
      <c r="D218" s="35" t="inlineStr">
        <is>
          <t>Groceries</t>
        </is>
      </c>
      <c r="E218" s="36" t="n">
        <v>106.9</v>
      </c>
      <c r="F218" s="32" t="inlineStr">
        <is>
          <t>Checking 1</t>
        </is>
      </c>
      <c r="G218" s="32" t="inlineStr">
        <is>
          <t>N/A</t>
        </is>
      </c>
      <c r="H218" s="35" t="inlineStr"/>
    </row>
    <row r="219">
      <c r="B219" s="40" t="n">
        <v>46243</v>
      </c>
      <c r="C219" s="39" t="inlineStr">
        <is>
          <t>Variable Exp</t>
        </is>
      </c>
      <c r="D219" s="41" t="inlineStr">
        <is>
          <t>Pets</t>
        </is>
      </c>
      <c r="E219" s="42" t="n">
        <v>41.75</v>
      </c>
      <c r="F219" s="39" t="inlineStr">
        <is>
          <t>Checking 2</t>
        </is>
      </c>
      <c r="G219" s="39" t="inlineStr">
        <is>
          <t>N/A</t>
        </is>
      </c>
      <c r="H219" s="41" t="inlineStr"/>
    </row>
    <row r="220">
      <c r="B220" s="34" t="n">
        <v>46244</v>
      </c>
      <c r="C220" s="32" t="inlineStr">
        <is>
          <t>Variable Exp</t>
        </is>
      </c>
      <c r="D220" s="35" t="inlineStr">
        <is>
          <t>Transportation</t>
        </is>
      </c>
      <c r="E220" s="36" t="n">
        <v>62.72</v>
      </c>
      <c r="F220" s="32" t="inlineStr">
        <is>
          <t>Checking 2</t>
        </is>
      </c>
      <c r="G220" s="32" t="inlineStr">
        <is>
          <t>N/A</t>
        </is>
      </c>
      <c r="H220" s="35" t="inlineStr"/>
    </row>
    <row r="221">
      <c r="B221" s="40" t="n">
        <v>46246</v>
      </c>
      <c r="C221" s="39" t="inlineStr">
        <is>
          <t>Variable Exp</t>
        </is>
      </c>
      <c r="D221" s="41" t="inlineStr">
        <is>
          <t>Gifts</t>
        </is>
      </c>
      <c r="E221" s="42" t="n">
        <v>84.78</v>
      </c>
      <c r="F221" s="39" t="inlineStr">
        <is>
          <t>Checking 1</t>
        </is>
      </c>
      <c r="G221" s="39" t="inlineStr">
        <is>
          <t>N/A</t>
        </is>
      </c>
      <c r="H221" s="41" t="inlineStr"/>
    </row>
    <row r="222">
      <c r="B222" s="34" t="n">
        <v>46246</v>
      </c>
      <c r="C222" s="32" t="inlineStr">
        <is>
          <t>Variable Exp</t>
        </is>
      </c>
      <c r="D222" s="35" t="inlineStr">
        <is>
          <t>Transportation</t>
        </is>
      </c>
      <c r="E222" s="36" t="n">
        <v>46.92</v>
      </c>
      <c r="F222" s="32" t="inlineStr">
        <is>
          <t>Credit Card 1</t>
        </is>
      </c>
      <c r="G222" s="32" t="inlineStr">
        <is>
          <t>N/A</t>
        </is>
      </c>
      <c r="H222" s="35" t="inlineStr"/>
    </row>
    <row r="223">
      <c r="B223" s="40" t="n">
        <v>46247</v>
      </c>
      <c r="C223" s="39" t="inlineStr">
        <is>
          <t>Variable Exp</t>
        </is>
      </c>
      <c r="D223" s="41" t="inlineStr">
        <is>
          <t>Entertainment</t>
        </is>
      </c>
      <c r="E223" s="42" t="n">
        <v>21.24</v>
      </c>
      <c r="F223" s="39" t="inlineStr">
        <is>
          <t>Credit Card 1</t>
        </is>
      </c>
      <c r="G223" s="39" t="inlineStr">
        <is>
          <t>N/A</t>
        </is>
      </c>
      <c r="H223" s="41" t="inlineStr"/>
    </row>
    <row r="224">
      <c r="B224" s="34" t="n">
        <v>46247</v>
      </c>
      <c r="C224" s="32" t="inlineStr">
        <is>
          <t>Variable Exp</t>
        </is>
      </c>
      <c r="D224" s="35" t="inlineStr">
        <is>
          <t>Hair/Beauty</t>
        </is>
      </c>
      <c r="E224" s="36" t="n">
        <v>59.96</v>
      </c>
      <c r="F224" s="32" t="inlineStr">
        <is>
          <t>Credit Card 1</t>
        </is>
      </c>
      <c r="G224" s="32" t="inlineStr">
        <is>
          <t>N/A</t>
        </is>
      </c>
      <c r="H224" s="35" t="inlineStr"/>
    </row>
    <row r="225">
      <c r="B225" s="40" t="n">
        <v>46249</v>
      </c>
      <c r="C225" s="39" t="inlineStr">
        <is>
          <t>Variable Exp</t>
        </is>
      </c>
      <c r="D225" s="41" t="inlineStr">
        <is>
          <t>Groceries</t>
        </is>
      </c>
      <c r="E225" s="42" t="n">
        <v>89.26000000000001</v>
      </c>
      <c r="F225" s="39" t="inlineStr">
        <is>
          <t>Credit Card 1</t>
        </is>
      </c>
      <c r="G225" s="39" t="inlineStr">
        <is>
          <t>N/A</t>
        </is>
      </c>
      <c r="H225" s="41" t="inlineStr"/>
    </row>
    <row r="226">
      <c r="B226" s="34" t="n">
        <v>46250</v>
      </c>
      <c r="C226" s="32" t="inlineStr">
        <is>
          <t>Variable Exp</t>
        </is>
      </c>
      <c r="D226" s="35" t="inlineStr">
        <is>
          <t>Eating Out</t>
        </is>
      </c>
      <c r="E226" s="36" t="n">
        <v>19.17</v>
      </c>
      <c r="F226" s="32" t="inlineStr">
        <is>
          <t>Checking 2</t>
        </is>
      </c>
      <c r="G226" s="32" t="inlineStr">
        <is>
          <t>N/A</t>
        </is>
      </c>
      <c r="H226" s="35" t="inlineStr"/>
    </row>
    <row r="227">
      <c r="B227" s="40" t="n">
        <v>46250</v>
      </c>
      <c r="C227" s="39" t="inlineStr">
        <is>
          <t>Variable Exp</t>
        </is>
      </c>
      <c r="D227" s="41" t="inlineStr">
        <is>
          <t>Entertainment</t>
        </is>
      </c>
      <c r="E227" s="42" t="n">
        <v>54.08</v>
      </c>
      <c r="F227" s="39" t="inlineStr">
        <is>
          <t>Checking 2</t>
        </is>
      </c>
      <c r="G227" s="39" t="inlineStr">
        <is>
          <t>N/A</t>
        </is>
      </c>
      <c r="H227" s="41" t="inlineStr"/>
    </row>
    <row r="228">
      <c r="B228" s="34" t="n">
        <v>46250</v>
      </c>
      <c r="C228" s="32" t="inlineStr">
        <is>
          <t>Variable Exp</t>
        </is>
      </c>
      <c r="D228" s="35" t="inlineStr">
        <is>
          <t>Groceries</t>
        </is>
      </c>
      <c r="E228" s="36" t="n">
        <v>50.76</v>
      </c>
      <c r="F228" s="32" t="inlineStr">
        <is>
          <t>Checking 1</t>
        </is>
      </c>
      <c r="G228" s="32" t="inlineStr">
        <is>
          <t>N/A</t>
        </is>
      </c>
      <c r="H228" s="35" t="inlineStr"/>
    </row>
    <row r="229">
      <c r="B229" s="40" t="n">
        <v>46250</v>
      </c>
      <c r="C229" s="39" t="inlineStr">
        <is>
          <t>Variable Exp</t>
        </is>
      </c>
      <c r="D229" s="41" t="inlineStr">
        <is>
          <t>Shopping</t>
        </is>
      </c>
      <c r="E229" s="42" t="n">
        <v>128.24</v>
      </c>
      <c r="F229" s="39" t="inlineStr">
        <is>
          <t>Checking 2</t>
        </is>
      </c>
      <c r="G229" s="39" t="inlineStr">
        <is>
          <t>N/A</t>
        </is>
      </c>
      <c r="H229" s="41" t="inlineStr"/>
    </row>
    <row r="230">
      <c r="B230" s="34" t="n">
        <v>46252</v>
      </c>
      <c r="C230" s="32" t="inlineStr">
        <is>
          <t>Variable Exp</t>
        </is>
      </c>
      <c r="D230" s="35" t="inlineStr">
        <is>
          <t>Eating Out</t>
        </is>
      </c>
      <c r="E230" s="36" t="n">
        <v>31.35</v>
      </c>
      <c r="F230" s="32" t="inlineStr">
        <is>
          <t>Credit Card 1</t>
        </is>
      </c>
      <c r="G230" s="32" t="inlineStr">
        <is>
          <t>N/A</t>
        </is>
      </c>
      <c r="H230" s="35" t="inlineStr"/>
    </row>
    <row r="231">
      <c r="B231" s="40" t="n">
        <v>46254</v>
      </c>
      <c r="C231" s="39" t="inlineStr">
        <is>
          <t>Variable Exp</t>
        </is>
      </c>
      <c r="D231" s="41" t="inlineStr">
        <is>
          <t>Groceries</t>
        </is>
      </c>
      <c r="E231" s="42" t="n">
        <v>98.94</v>
      </c>
      <c r="F231" s="39" t="inlineStr">
        <is>
          <t>Credit Card 1</t>
        </is>
      </c>
      <c r="G231" s="39" t="inlineStr">
        <is>
          <t>N/A</t>
        </is>
      </c>
      <c r="H231" s="41" t="inlineStr"/>
    </row>
    <row r="232">
      <c r="B232" s="34" t="n">
        <v>46256</v>
      </c>
      <c r="C232" s="32" t="inlineStr">
        <is>
          <t>Variable Exp</t>
        </is>
      </c>
      <c r="D232" s="35" t="inlineStr">
        <is>
          <t>Groceries</t>
        </is>
      </c>
      <c r="E232" s="36" t="n">
        <v>54.45</v>
      </c>
      <c r="F232" s="32" t="inlineStr">
        <is>
          <t>Credit Card 2</t>
        </is>
      </c>
      <c r="G232" s="32" t="inlineStr">
        <is>
          <t>N/A</t>
        </is>
      </c>
      <c r="H232" s="35" t="inlineStr"/>
    </row>
    <row r="233">
      <c r="B233" s="40" t="n">
        <v>46256</v>
      </c>
      <c r="C233" s="39" t="inlineStr">
        <is>
          <t>Variable Exp</t>
        </is>
      </c>
      <c r="D233" s="41" t="inlineStr">
        <is>
          <t>Groceries</t>
        </is>
      </c>
      <c r="E233" s="42" t="n">
        <v>91.51000000000001</v>
      </c>
      <c r="F233" s="39" t="inlineStr">
        <is>
          <t>Checking 1</t>
        </is>
      </c>
      <c r="G233" s="39" t="inlineStr">
        <is>
          <t>N/A</t>
        </is>
      </c>
      <c r="H233" s="41" t="inlineStr"/>
    </row>
    <row r="234">
      <c r="B234" s="34" t="n">
        <v>46257</v>
      </c>
      <c r="C234" s="32" t="inlineStr">
        <is>
          <t>Variable Exp</t>
        </is>
      </c>
      <c r="D234" s="35" t="inlineStr">
        <is>
          <t>School</t>
        </is>
      </c>
      <c r="E234" s="36" t="n">
        <v>31.05</v>
      </c>
      <c r="F234" s="32" t="inlineStr">
        <is>
          <t>Checking 1</t>
        </is>
      </c>
      <c r="G234" s="32" t="inlineStr">
        <is>
          <t>N/A</t>
        </is>
      </c>
      <c r="H234" s="35" t="inlineStr"/>
    </row>
    <row r="235">
      <c r="B235" s="40" t="n">
        <v>46258</v>
      </c>
      <c r="C235" s="39" t="inlineStr">
        <is>
          <t>Variable Exp</t>
        </is>
      </c>
      <c r="D235" s="41" t="inlineStr">
        <is>
          <t>Eating Out</t>
        </is>
      </c>
      <c r="E235" s="42" t="n">
        <v>53.11</v>
      </c>
      <c r="F235" s="39" t="inlineStr">
        <is>
          <t>Checking 1</t>
        </is>
      </c>
      <c r="G235" s="39" t="inlineStr">
        <is>
          <t>N/A</t>
        </is>
      </c>
      <c r="H235" s="41" t="inlineStr"/>
    </row>
    <row r="236">
      <c r="B236" s="34" t="n">
        <v>46259</v>
      </c>
      <c r="C236" s="32" t="inlineStr">
        <is>
          <t>Transfer</t>
        </is>
      </c>
      <c r="D236" s="35" t="inlineStr"/>
      <c r="E236" s="36" t="n">
        <v>300</v>
      </c>
      <c r="F236" s="32" t="inlineStr">
        <is>
          <t>Checking 2</t>
        </is>
      </c>
      <c r="G236" s="32" t="inlineStr">
        <is>
          <t>Checking 1</t>
        </is>
      </c>
      <c r="H236" s="35" t="inlineStr">
        <is>
          <t>Move to main account</t>
        </is>
      </c>
    </row>
    <row r="237">
      <c r="B237" s="40" t="n">
        <v>46259</v>
      </c>
      <c r="C237" s="39" t="inlineStr">
        <is>
          <t>Variable Exp</t>
        </is>
      </c>
      <c r="D237" s="41" t="inlineStr">
        <is>
          <t>Transportation</t>
        </is>
      </c>
      <c r="E237" s="42" t="n">
        <v>45.22</v>
      </c>
      <c r="F237" s="39" t="inlineStr">
        <is>
          <t>Checking 2</t>
        </is>
      </c>
      <c r="G237" s="39" t="inlineStr">
        <is>
          <t>N/A</t>
        </is>
      </c>
      <c r="H237" s="41" t="inlineStr"/>
    </row>
    <row r="238">
      <c r="B238" s="34" t="n">
        <v>46261</v>
      </c>
      <c r="C238" s="32" t="inlineStr">
        <is>
          <t>Variable Exp</t>
        </is>
      </c>
      <c r="D238" s="35" t="inlineStr">
        <is>
          <t>Transportation</t>
        </is>
      </c>
      <c r="E238" s="36" t="n">
        <v>44.91</v>
      </c>
      <c r="F238" s="32" t="inlineStr">
        <is>
          <t>Checking 1</t>
        </is>
      </c>
      <c r="G238" s="32" t="inlineStr">
        <is>
          <t>N/A</t>
        </is>
      </c>
      <c r="H238" s="35" t="inlineStr"/>
    </row>
    <row r="239">
      <c r="B239" s="40" t="n">
        <v>46262</v>
      </c>
      <c r="C239" s="39" t="inlineStr">
        <is>
          <t>Variable Exp</t>
        </is>
      </c>
      <c r="D239" s="41" t="inlineStr">
        <is>
          <t>Other</t>
        </is>
      </c>
      <c r="E239" s="42" t="n">
        <v>11.93</v>
      </c>
      <c r="F239" s="39" t="inlineStr">
        <is>
          <t>Credit Card 1</t>
        </is>
      </c>
      <c r="G239" s="39" t="inlineStr">
        <is>
          <t>N/A</t>
        </is>
      </c>
      <c r="H239" s="41" t="inlineStr"/>
    </row>
    <row r="240">
      <c r="B240" s="34" t="n">
        <v>46266</v>
      </c>
      <c r="C240" s="32" t="inlineStr">
        <is>
          <t>Variable Exp</t>
        </is>
      </c>
      <c r="D240" s="35" t="inlineStr">
        <is>
          <t>Groceries</t>
        </is>
      </c>
      <c r="E240" s="36" t="n">
        <v>122.14</v>
      </c>
      <c r="F240" s="32" t="inlineStr">
        <is>
          <t>Checking 2</t>
        </is>
      </c>
      <c r="G240" s="32" t="inlineStr">
        <is>
          <t>N/A</t>
        </is>
      </c>
      <c r="H240" s="35" t="inlineStr"/>
    </row>
    <row r="241">
      <c r="B241" s="40" t="n">
        <v>46267</v>
      </c>
      <c r="C241" s="39" t="inlineStr">
        <is>
          <t>Variable Exp</t>
        </is>
      </c>
      <c r="D241" s="41" t="inlineStr">
        <is>
          <t>Eating Out</t>
        </is>
      </c>
      <c r="E241" s="42" t="n">
        <v>79.09999999999999</v>
      </c>
      <c r="F241" s="39" t="inlineStr">
        <is>
          <t>Credit Card 2</t>
        </is>
      </c>
      <c r="G241" s="39" t="inlineStr">
        <is>
          <t>N/A</t>
        </is>
      </c>
      <c r="H241" s="41" t="inlineStr"/>
    </row>
    <row r="242">
      <c r="B242" s="34" t="n">
        <v>46267</v>
      </c>
      <c r="C242" s="32" t="inlineStr">
        <is>
          <t>Variable Exp</t>
        </is>
      </c>
      <c r="D242" s="35" t="inlineStr">
        <is>
          <t>Groceries</t>
        </is>
      </c>
      <c r="E242" s="36" t="n">
        <v>133.68</v>
      </c>
      <c r="F242" s="32" t="inlineStr">
        <is>
          <t>Checking 2</t>
        </is>
      </c>
      <c r="G242" s="32" t="inlineStr">
        <is>
          <t>N/A</t>
        </is>
      </c>
      <c r="H242" s="35" t="inlineStr"/>
    </row>
    <row r="243">
      <c r="B243" s="40" t="n">
        <v>46268</v>
      </c>
      <c r="C243" s="39" t="inlineStr">
        <is>
          <t>Variable Exp</t>
        </is>
      </c>
      <c r="D243" s="41" t="inlineStr">
        <is>
          <t>Other</t>
        </is>
      </c>
      <c r="E243" s="42" t="n">
        <v>20.84</v>
      </c>
      <c r="F243" s="39" t="inlineStr">
        <is>
          <t>Credit Card 2</t>
        </is>
      </c>
      <c r="G243" s="39" t="inlineStr">
        <is>
          <t>N/A</t>
        </is>
      </c>
      <c r="H243" s="41" t="inlineStr"/>
    </row>
    <row r="244">
      <c r="B244" s="34" t="n">
        <v>46268</v>
      </c>
      <c r="C244" s="32" t="inlineStr">
        <is>
          <t>Variable Exp</t>
        </is>
      </c>
      <c r="D244" s="35" t="inlineStr">
        <is>
          <t>Shopping</t>
        </is>
      </c>
      <c r="E244" s="36" t="n">
        <v>48.91</v>
      </c>
      <c r="F244" s="32" t="inlineStr">
        <is>
          <t>Checking 2</t>
        </is>
      </c>
      <c r="G244" s="32" t="inlineStr">
        <is>
          <t>N/A</t>
        </is>
      </c>
      <c r="H244" s="35" t="inlineStr"/>
    </row>
    <row r="245">
      <c r="B245" s="40" t="n">
        <v>46269</v>
      </c>
      <c r="C245" s="39" t="inlineStr">
        <is>
          <t>Variable Exp</t>
        </is>
      </c>
      <c r="D245" s="41" t="inlineStr">
        <is>
          <t>Shopping</t>
        </is>
      </c>
      <c r="E245" s="42" t="n">
        <v>44.24</v>
      </c>
      <c r="F245" s="39" t="inlineStr">
        <is>
          <t>Credit Card 2</t>
        </is>
      </c>
      <c r="G245" s="39" t="inlineStr">
        <is>
          <t>N/A</t>
        </is>
      </c>
      <c r="H245" s="41" t="inlineStr"/>
    </row>
    <row r="246">
      <c r="B246" s="34" t="n">
        <v>46270</v>
      </c>
      <c r="C246" s="32" t="inlineStr">
        <is>
          <t>Variable Exp</t>
        </is>
      </c>
      <c r="D246" s="35" t="inlineStr">
        <is>
          <t>Gifts</t>
        </is>
      </c>
      <c r="E246" s="36" t="n">
        <v>68.06999999999999</v>
      </c>
      <c r="F246" s="32" t="inlineStr">
        <is>
          <t>Credit Card 2</t>
        </is>
      </c>
      <c r="G246" s="32" t="inlineStr">
        <is>
          <t>N/A</t>
        </is>
      </c>
      <c r="H246" s="35" t="inlineStr"/>
    </row>
    <row r="247">
      <c r="B247" s="40" t="n">
        <v>46271</v>
      </c>
      <c r="C247" s="39" t="inlineStr">
        <is>
          <t>Variable Exp</t>
        </is>
      </c>
      <c r="D247" s="41" t="inlineStr">
        <is>
          <t>Eating Out</t>
        </is>
      </c>
      <c r="E247" s="42" t="n">
        <v>49.64</v>
      </c>
      <c r="F247" s="39" t="inlineStr">
        <is>
          <t>Checking 1</t>
        </is>
      </c>
      <c r="G247" s="39" t="inlineStr">
        <is>
          <t>N/A</t>
        </is>
      </c>
      <c r="H247" s="41" t="inlineStr"/>
    </row>
    <row r="248">
      <c r="B248" s="34" t="n">
        <v>46271</v>
      </c>
      <c r="C248" s="32" t="inlineStr">
        <is>
          <t>Variable Exp</t>
        </is>
      </c>
      <c r="D248" s="35" t="inlineStr">
        <is>
          <t>Transportation</t>
        </is>
      </c>
      <c r="E248" s="36" t="n">
        <v>45.39</v>
      </c>
      <c r="F248" s="32" t="inlineStr">
        <is>
          <t>Credit Card 1</t>
        </is>
      </c>
      <c r="G248" s="32" t="inlineStr">
        <is>
          <t>N/A</t>
        </is>
      </c>
      <c r="H248" s="35" t="inlineStr"/>
    </row>
    <row r="249">
      <c r="B249" s="40" t="n">
        <v>46272</v>
      </c>
      <c r="C249" s="39" t="inlineStr">
        <is>
          <t>Variable Exp</t>
        </is>
      </c>
      <c r="D249" s="41" t="inlineStr">
        <is>
          <t>Groceries</t>
        </is>
      </c>
      <c r="E249" s="42" t="n">
        <v>118.45</v>
      </c>
      <c r="F249" s="39" t="inlineStr">
        <is>
          <t>Checking 2</t>
        </is>
      </c>
      <c r="G249" s="39" t="inlineStr">
        <is>
          <t>N/A</t>
        </is>
      </c>
      <c r="H249" s="41" t="inlineStr"/>
    </row>
    <row r="250">
      <c r="B250" s="34" t="n">
        <v>46274</v>
      </c>
      <c r="C250" s="32" t="inlineStr">
        <is>
          <t>Variable Exp</t>
        </is>
      </c>
      <c r="D250" s="35" t="inlineStr">
        <is>
          <t>Groceries</t>
        </is>
      </c>
      <c r="E250" s="36" t="n">
        <v>86.44</v>
      </c>
      <c r="F250" s="32" t="inlineStr">
        <is>
          <t>Checking 1</t>
        </is>
      </c>
      <c r="G250" s="32" t="inlineStr">
        <is>
          <t>N/A</t>
        </is>
      </c>
      <c r="H250" s="35" t="inlineStr"/>
    </row>
    <row r="251">
      <c r="B251" s="40" t="n">
        <v>46275</v>
      </c>
      <c r="C251" s="39" t="inlineStr">
        <is>
          <t>Variable Exp</t>
        </is>
      </c>
      <c r="D251" s="41" t="inlineStr">
        <is>
          <t>Eating Out</t>
        </is>
      </c>
      <c r="E251" s="42" t="n">
        <v>37.95</v>
      </c>
      <c r="F251" s="39" t="inlineStr">
        <is>
          <t>Checking 1</t>
        </is>
      </c>
      <c r="G251" s="39" t="inlineStr">
        <is>
          <t>N/A</t>
        </is>
      </c>
      <c r="H251" s="41" t="inlineStr"/>
    </row>
    <row r="252">
      <c r="B252" s="34" t="n">
        <v>46276</v>
      </c>
      <c r="C252" s="32" t="inlineStr">
        <is>
          <t>Variable Exp</t>
        </is>
      </c>
      <c r="D252" s="35" t="inlineStr">
        <is>
          <t>Transportation</t>
        </is>
      </c>
      <c r="E252" s="36" t="n">
        <v>40.76</v>
      </c>
      <c r="F252" s="32" t="inlineStr">
        <is>
          <t>Checking 1</t>
        </is>
      </c>
      <c r="G252" s="32" t="inlineStr">
        <is>
          <t>N/A</t>
        </is>
      </c>
      <c r="H252" s="35" t="inlineStr"/>
    </row>
    <row r="253">
      <c r="B253" s="40" t="n">
        <v>46278</v>
      </c>
      <c r="C253" s="39" t="inlineStr">
        <is>
          <t>Variable Exp</t>
        </is>
      </c>
      <c r="D253" s="41" t="inlineStr">
        <is>
          <t>Eating Out</t>
        </is>
      </c>
      <c r="E253" s="42" t="n">
        <v>61.95</v>
      </c>
      <c r="F253" s="39" t="inlineStr">
        <is>
          <t>Checking 1</t>
        </is>
      </c>
      <c r="G253" s="39" t="inlineStr">
        <is>
          <t>N/A</t>
        </is>
      </c>
      <c r="H253" s="41" t="inlineStr"/>
    </row>
    <row r="254">
      <c r="B254" s="34" t="n">
        <v>46278</v>
      </c>
      <c r="C254" s="32" t="inlineStr">
        <is>
          <t>Variable Exp</t>
        </is>
      </c>
      <c r="D254" s="35" t="inlineStr">
        <is>
          <t>Other</t>
        </is>
      </c>
      <c r="E254" s="36" t="n">
        <v>25.99</v>
      </c>
      <c r="F254" s="32" t="inlineStr">
        <is>
          <t>Checking 2</t>
        </is>
      </c>
      <c r="G254" s="32" t="inlineStr">
        <is>
          <t>N/A</t>
        </is>
      </c>
      <c r="H254" s="35" t="inlineStr"/>
    </row>
    <row r="255">
      <c r="B255" s="40" t="n">
        <v>46278</v>
      </c>
      <c r="C255" s="39" t="inlineStr">
        <is>
          <t>Variable Exp</t>
        </is>
      </c>
      <c r="D255" s="41" t="inlineStr">
        <is>
          <t>Pets</t>
        </is>
      </c>
      <c r="E255" s="42" t="n">
        <v>37.16</v>
      </c>
      <c r="F255" s="39" t="inlineStr">
        <is>
          <t>Credit Card 1</t>
        </is>
      </c>
      <c r="G255" s="39" t="inlineStr">
        <is>
          <t>N/A</t>
        </is>
      </c>
      <c r="H255" s="41" t="inlineStr"/>
    </row>
    <row r="256">
      <c r="B256" s="34" t="n">
        <v>46279</v>
      </c>
      <c r="C256" s="32" t="inlineStr">
        <is>
          <t>Variable Exp</t>
        </is>
      </c>
      <c r="D256" s="35" t="inlineStr">
        <is>
          <t>School</t>
        </is>
      </c>
      <c r="E256" s="36" t="n">
        <v>97.13</v>
      </c>
      <c r="F256" s="32" t="inlineStr">
        <is>
          <t>Credit Card 2</t>
        </is>
      </c>
      <c r="G256" s="32" t="inlineStr">
        <is>
          <t>N/A</t>
        </is>
      </c>
      <c r="H256" s="35" t="inlineStr"/>
    </row>
    <row r="257">
      <c r="B257" s="40" t="n">
        <v>46280</v>
      </c>
      <c r="C257" s="39" t="inlineStr">
        <is>
          <t>Variable Exp</t>
        </is>
      </c>
      <c r="D257" s="41" t="inlineStr">
        <is>
          <t>Eating Out</t>
        </is>
      </c>
      <c r="E257" s="42" t="n">
        <v>59.2</v>
      </c>
      <c r="F257" s="39" t="inlineStr">
        <is>
          <t>Credit Card 2</t>
        </is>
      </c>
      <c r="G257" s="39" t="inlineStr">
        <is>
          <t>N/A</t>
        </is>
      </c>
      <c r="H257" s="41" t="inlineStr"/>
    </row>
    <row r="258">
      <c r="B258" s="34" t="n">
        <v>46281</v>
      </c>
      <c r="C258" s="32" t="inlineStr">
        <is>
          <t>Variable Exp</t>
        </is>
      </c>
      <c r="D258" s="35" t="inlineStr">
        <is>
          <t>Hair/Beauty</t>
        </is>
      </c>
      <c r="E258" s="36" t="n">
        <v>38.33</v>
      </c>
      <c r="F258" s="32" t="inlineStr">
        <is>
          <t>Checking 1</t>
        </is>
      </c>
      <c r="G258" s="32" t="inlineStr">
        <is>
          <t>N/A</t>
        </is>
      </c>
      <c r="H258" s="35" t="inlineStr"/>
    </row>
    <row r="259">
      <c r="B259" s="40" t="n">
        <v>46281</v>
      </c>
      <c r="C259" s="39" t="inlineStr">
        <is>
          <t>Variable Exp</t>
        </is>
      </c>
      <c r="D259" s="41" t="inlineStr">
        <is>
          <t>Shopping</t>
        </is>
      </c>
      <c r="E259" s="42" t="n">
        <v>89.09</v>
      </c>
      <c r="F259" s="39" t="inlineStr">
        <is>
          <t>Checking 2</t>
        </is>
      </c>
      <c r="G259" s="39" t="inlineStr">
        <is>
          <t>N/A</t>
        </is>
      </c>
      <c r="H259" s="41" t="inlineStr"/>
    </row>
    <row r="260">
      <c r="B260" s="34" t="n">
        <v>46283</v>
      </c>
      <c r="C260" s="32" t="inlineStr">
        <is>
          <t>Income</t>
        </is>
      </c>
      <c r="D260" s="35" t="inlineStr">
        <is>
          <t>Freelance Job</t>
        </is>
      </c>
      <c r="E260" s="36" t="n">
        <v>1150</v>
      </c>
      <c r="F260" s="32" t="inlineStr">
        <is>
          <t>N/A</t>
        </is>
      </c>
      <c r="G260" s="32" t="inlineStr">
        <is>
          <t>Checking 1</t>
        </is>
      </c>
      <c r="H260" s="35" t="inlineStr">
        <is>
          <t>Logo project</t>
        </is>
      </c>
    </row>
    <row r="261">
      <c r="B261" s="40" t="n">
        <v>46283</v>
      </c>
      <c r="C261" s="39" t="inlineStr">
        <is>
          <t>Variable Exp</t>
        </is>
      </c>
      <c r="D261" s="41" t="inlineStr">
        <is>
          <t>Entertainment</t>
        </is>
      </c>
      <c r="E261" s="42" t="n">
        <v>31</v>
      </c>
      <c r="F261" s="39" t="inlineStr">
        <is>
          <t>Checking 1</t>
        </is>
      </c>
      <c r="G261" s="39" t="inlineStr">
        <is>
          <t>N/A</t>
        </is>
      </c>
      <c r="H261" s="41" t="inlineStr"/>
    </row>
    <row r="262">
      <c r="B262" s="34" t="n">
        <v>46283</v>
      </c>
      <c r="C262" s="32" t="inlineStr">
        <is>
          <t>Variable Exp</t>
        </is>
      </c>
      <c r="D262" s="35" t="inlineStr">
        <is>
          <t>Groceries</t>
        </is>
      </c>
      <c r="E262" s="36" t="n">
        <v>97.18000000000001</v>
      </c>
      <c r="F262" s="32" t="inlineStr">
        <is>
          <t>Credit Card 1</t>
        </is>
      </c>
      <c r="G262" s="32" t="inlineStr">
        <is>
          <t>N/A</t>
        </is>
      </c>
      <c r="H262" s="35" t="inlineStr"/>
    </row>
    <row r="263">
      <c r="B263" s="40" t="n">
        <v>46283</v>
      </c>
      <c r="C263" s="39" t="inlineStr">
        <is>
          <t>Variable Exp</t>
        </is>
      </c>
      <c r="D263" s="41" t="inlineStr">
        <is>
          <t>Transportation</t>
        </is>
      </c>
      <c r="E263" s="42" t="n">
        <v>38.66</v>
      </c>
      <c r="F263" s="39" t="inlineStr">
        <is>
          <t>Credit Card 1</t>
        </is>
      </c>
      <c r="G263" s="39" t="inlineStr">
        <is>
          <t>N/A</t>
        </is>
      </c>
      <c r="H263" s="41" t="inlineStr"/>
    </row>
    <row r="264">
      <c r="B264" s="34" t="n">
        <v>46286</v>
      </c>
      <c r="C264" s="32" t="inlineStr">
        <is>
          <t>Variable Exp</t>
        </is>
      </c>
      <c r="D264" s="35" t="inlineStr">
        <is>
          <t>Eating Out</t>
        </is>
      </c>
      <c r="E264" s="36" t="n">
        <v>76.26000000000001</v>
      </c>
      <c r="F264" s="32" t="inlineStr">
        <is>
          <t>Checking 2</t>
        </is>
      </c>
      <c r="G264" s="32" t="inlineStr">
        <is>
          <t>N/A</t>
        </is>
      </c>
      <c r="H264" s="35" t="inlineStr"/>
    </row>
    <row r="265">
      <c r="B265" s="40" t="n">
        <v>46286</v>
      </c>
      <c r="C265" s="39" t="inlineStr">
        <is>
          <t>Variable Exp</t>
        </is>
      </c>
      <c r="D265" s="41" t="inlineStr">
        <is>
          <t>Groceries</t>
        </is>
      </c>
      <c r="E265" s="42" t="n">
        <v>133.88</v>
      </c>
      <c r="F265" s="39" t="inlineStr">
        <is>
          <t>Credit Card 2</t>
        </is>
      </c>
      <c r="G265" s="39" t="inlineStr">
        <is>
          <t>N/A</t>
        </is>
      </c>
      <c r="H265" s="41" t="inlineStr"/>
    </row>
    <row r="266">
      <c r="B266" s="34" t="n">
        <v>46289</v>
      </c>
      <c r="C266" s="32" t="inlineStr">
        <is>
          <t>Variable Exp</t>
        </is>
      </c>
      <c r="D266" s="35" t="inlineStr">
        <is>
          <t>School</t>
        </is>
      </c>
      <c r="E266" s="36" t="n">
        <v>108.36</v>
      </c>
      <c r="F266" s="32" t="inlineStr">
        <is>
          <t>Checking 2</t>
        </is>
      </c>
      <c r="G266" s="32" t="inlineStr">
        <is>
          <t>N/A</t>
        </is>
      </c>
      <c r="H266" s="35" t="inlineStr"/>
    </row>
    <row r="267">
      <c r="B267" s="40" t="n">
        <v>46290</v>
      </c>
      <c r="C267" s="39" t="inlineStr">
        <is>
          <t>Transfer</t>
        </is>
      </c>
      <c r="D267" s="41" t="inlineStr"/>
      <c r="E267" s="42" t="n">
        <v>300</v>
      </c>
      <c r="F267" s="39" t="inlineStr">
        <is>
          <t>Checking 2</t>
        </is>
      </c>
      <c r="G267" s="39" t="inlineStr">
        <is>
          <t>Checking 1</t>
        </is>
      </c>
      <c r="H267" s="41" t="inlineStr">
        <is>
          <t>Move to main account</t>
        </is>
      </c>
    </row>
    <row r="268">
      <c r="B268" s="34" t="n">
        <v>46290</v>
      </c>
      <c r="C268" s="32" t="inlineStr">
        <is>
          <t>Variable Exp</t>
        </is>
      </c>
      <c r="D268" s="35" t="inlineStr">
        <is>
          <t>Entertainment</t>
        </is>
      </c>
      <c r="E268" s="36" t="n">
        <v>42.5</v>
      </c>
      <c r="F268" s="32" t="inlineStr">
        <is>
          <t>Credit Card 2</t>
        </is>
      </c>
      <c r="G268" s="32" t="inlineStr">
        <is>
          <t>N/A</t>
        </is>
      </c>
      <c r="H268" s="35" t="inlineStr"/>
    </row>
    <row r="269">
      <c r="B269" s="40" t="n">
        <v>46291</v>
      </c>
      <c r="C269" s="39" t="inlineStr">
        <is>
          <t>Variable Exp</t>
        </is>
      </c>
      <c r="D269" s="41" t="inlineStr">
        <is>
          <t>Transportation</t>
        </is>
      </c>
      <c r="E269" s="42" t="n">
        <v>55.63</v>
      </c>
      <c r="F269" s="39" t="inlineStr">
        <is>
          <t>Credit Card 1</t>
        </is>
      </c>
      <c r="G269" s="39" t="inlineStr">
        <is>
          <t>N/A</t>
        </is>
      </c>
      <c r="H269" s="41" t="inlineStr"/>
    </row>
    <row r="270">
      <c r="B270" s="34" t="n"/>
      <c r="C270" s="32" t="n"/>
      <c r="D270" s="35" t="n"/>
      <c r="E270" s="36" t="n"/>
      <c r="F270" s="32" t="n"/>
      <c r="G270" s="32" t="n"/>
      <c r="H270" s="35" t="n"/>
    </row>
    <row r="271">
      <c r="B271" s="40" t="n"/>
      <c r="C271" s="39" t="n"/>
      <c r="D271" s="41" t="n"/>
      <c r="E271" s="42" t="n"/>
      <c r="F271" s="39" t="n"/>
      <c r="G271" s="39" t="n"/>
      <c r="H271" s="41" t="n"/>
    </row>
    <row r="272">
      <c r="B272" s="34" t="n"/>
      <c r="C272" s="32" t="n"/>
      <c r="D272" s="35" t="n"/>
      <c r="E272" s="36" t="n"/>
      <c r="F272" s="32" t="n"/>
      <c r="G272" s="32" t="n"/>
      <c r="H272" s="35" t="n"/>
    </row>
    <row r="273">
      <c r="B273" s="40" t="n"/>
      <c r="C273" s="39" t="n"/>
      <c r="D273" s="41" t="n"/>
      <c r="E273" s="42" t="n"/>
      <c r="F273" s="39" t="n"/>
      <c r="G273" s="39" t="n"/>
      <c r="H273" s="41" t="n"/>
    </row>
    <row r="274">
      <c r="B274" s="34" t="n"/>
      <c r="C274" s="32" t="n"/>
      <c r="D274" s="35" t="n"/>
      <c r="E274" s="36" t="n"/>
      <c r="F274" s="32" t="n"/>
      <c r="G274" s="32" t="n"/>
      <c r="H274" s="35" t="n"/>
    </row>
    <row r="275">
      <c r="B275" s="40" t="n"/>
      <c r="C275" s="39" t="n"/>
      <c r="D275" s="41" t="n"/>
      <c r="E275" s="42" t="n"/>
      <c r="F275" s="39" t="n"/>
      <c r="G275" s="39" t="n"/>
      <c r="H275" s="41" t="n"/>
    </row>
    <row r="276">
      <c r="B276" s="34" t="n"/>
      <c r="C276" s="32" t="n"/>
      <c r="D276" s="35" t="n"/>
      <c r="E276" s="36" t="n"/>
      <c r="F276" s="32" t="n"/>
      <c r="G276" s="32" t="n"/>
      <c r="H276" s="35" t="n"/>
    </row>
    <row r="277">
      <c r="B277" s="40" t="n"/>
      <c r="C277" s="39" t="n"/>
      <c r="D277" s="41" t="n"/>
      <c r="E277" s="42" t="n"/>
      <c r="F277" s="39" t="n"/>
      <c r="G277" s="39" t="n"/>
      <c r="H277" s="41" t="n"/>
    </row>
    <row r="278">
      <c r="B278" s="34" t="n"/>
      <c r="C278" s="32" t="n"/>
      <c r="D278" s="35" t="n"/>
      <c r="E278" s="36" t="n"/>
      <c r="F278" s="32" t="n"/>
      <c r="G278" s="32" t="n"/>
      <c r="H278" s="35" t="n"/>
    </row>
    <row r="279">
      <c r="B279" s="40" t="n"/>
      <c r="C279" s="39" t="n"/>
      <c r="D279" s="41" t="n"/>
      <c r="E279" s="42" t="n"/>
      <c r="F279" s="39" t="n"/>
      <c r="G279" s="39" t="n"/>
      <c r="H279" s="41" t="n"/>
    </row>
    <row r="280">
      <c r="B280" s="34" t="n"/>
      <c r="C280" s="32" t="n"/>
      <c r="D280" s="35" t="n"/>
      <c r="E280" s="36" t="n"/>
      <c r="F280" s="32" t="n"/>
      <c r="G280" s="32" t="n"/>
      <c r="H280" s="35" t="n"/>
    </row>
    <row r="281">
      <c r="B281" s="40" t="n"/>
      <c r="C281" s="39" t="n"/>
      <c r="D281" s="41" t="n"/>
      <c r="E281" s="42" t="n"/>
      <c r="F281" s="39" t="n"/>
      <c r="G281" s="39" t="n"/>
      <c r="H281" s="41" t="n"/>
    </row>
    <row r="282">
      <c r="B282" s="34" t="n"/>
      <c r="C282" s="32" t="n"/>
      <c r="D282" s="35" t="n"/>
      <c r="E282" s="36" t="n"/>
      <c r="F282" s="32" t="n"/>
      <c r="G282" s="32" t="n"/>
      <c r="H282" s="35" t="n"/>
    </row>
    <row r="283">
      <c r="B283" s="40" t="n"/>
      <c r="C283" s="39" t="n"/>
      <c r="D283" s="41" t="n"/>
      <c r="E283" s="42" t="n"/>
      <c r="F283" s="39" t="n"/>
      <c r="G283" s="39" t="n"/>
      <c r="H283" s="41" t="n"/>
    </row>
    <row r="284">
      <c r="B284" s="34" t="n"/>
      <c r="C284" s="32" t="n"/>
      <c r="D284" s="35" t="n"/>
      <c r="E284" s="36" t="n"/>
      <c r="F284" s="32" t="n"/>
      <c r="G284" s="32" t="n"/>
      <c r="H284" s="35" t="n"/>
    </row>
    <row r="285">
      <c r="B285" s="40" t="n"/>
      <c r="C285" s="39" t="n"/>
      <c r="D285" s="41" t="n"/>
      <c r="E285" s="42" t="n"/>
      <c r="F285" s="39" t="n"/>
      <c r="G285" s="39" t="n"/>
      <c r="H285" s="41" t="n"/>
    </row>
    <row r="286">
      <c r="B286" s="34" t="n"/>
      <c r="C286" s="32" t="n"/>
      <c r="D286" s="35" t="n"/>
      <c r="E286" s="36" t="n"/>
      <c r="F286" s="32" t="n"/>
      <c r="G286" s="32" t="n"/>
      <c r="H286" s="35" t="n"/>
    </row>
    <row r="287">
      <c r="B287" s="40" t="n"/>
      <c r="C287" s="39" t="n"/>
      <c r="D287" s="41" t="n"/>
      <c r="E287" s="42" t="n"/>
      <c r="F287" s="39" t="n"/>
      <c r="G287" s="39" t="n"/>
      <c r="H287" s="41" t="n"/>
    </row>
    <row r="288">
      <c r="B288" s="34" t="n"/>
      <c r="C288" s="32" t="n"/>
      <c r="D288" s="35" t="n"/>
      <c r="E288" s="36" t="n"/>
      <c r="F288" s="32" t="n"/>
      <c r="G288" s="32" t="n"/>
      <c r="H288" s="35" t="n"/>
    </row>
    <row r="289">
      <c r="B289" s="40" t="n"/>
      <c r="C289" s="39" t="n"/>
      <c r="D289" s="41" t="n"/>
      <c r="E289" s="42" t="n"/>
      <c r="F289" s="39" t="n"/>
      <c r="G289" s="39" t="n"/>
      <c r="H289" s="41" t="n"/>
    </row>
    <row r="290">
      <c r="B290" s="34" t="n"/>
      <c r="C290" s="32" t="n"/>
      <c r="D290" s="35" t="n"/>
      <c r="E290" s="36" t="n"/>
      <c r="F290" s="32" t="n"/>
      <c r="G290" s="32" t="n"/>
      <c r="H290" s="35" t="n"/>
    </row>
    <row r="291">
      <c r="B291" s="40" t="n"/>
      <c r="C291" s="39" t="n"/>
      <c r="D291" s="41" t="n"/>
      <c r="E291" s="42" t="n"/>
      <c r="F291" s="39" t="n"/>
      <c r="G291" s="39" t="n"/>
      <c r="H291" s="41" t="n"/>
    </row>
    <row r="292">
      <c r="B292" s="34" t="n"/>
      <c r="C292" s="32" t="n"/>
      <c r="D292" s="35" t="n"/>
      <c r="E292" s="36" t="n"/>
      <c r="F292" s="32" t="n"/>
      <c r="G292" s="32" t="n"/>
      <c r="H292" s="35" t="n"/>
    </row>
    <row r="293">
      <c r="B293" s="40" t="n"/>
      <c r="C293" s="39" t="n"/>
      <c r="D293" s="41" t="n"/>
      <c r="E293" s="42" t="n"/>
      <c r="F293" s="39" t="n"/>
      <c r="G293" s="39" t="n"/>
      <c r="H293" s="41" t="n"/>
    </row>
    <row r="294">
      <c r="B294" s="34" t="n"/>
      <c r="C294" s="32" t="n"/>
      <c r="D294" s="35" t="n"/>
      <c r="E294" s="36" t="n"/>
      <c r="F294" s="32" t="n"/>
      <c r="G294" s="32" t="n"/>
      <c r="H294" s="35" t="n"/>
    </row>
    <row r="295">
      <c r="B295" s="40" t="n"/>
      <c r="C295" s="39" t="n"/>
      <c r="D295" s="41" t="n"/>
      <c r="E295" s="42" t="n"/>
      <c r="F295" s="39" t="n"/>
      <c r="G295" s="39" t="n"/>
      <c r="H295" s="41" t="n"/>
    </row>
    <row r="296">
      <c r="B296" s="34" t="n"/>
      <c r="C296" s="32" t="n"/>
      <c r="D296" s="35" t="n"/>
      <c r="E296" s="36" t="n"/>
      <c r="F296" s="32" t="n"/>
      <c r="G296" s="32" t="n"/>
      <c r="H296" s="35" t="n"/>
    </row>
    <row r="297">
      <c r="B297" s="40" t="n"/>
      <c r="C297" s="39" t="n"/>
      <c r="D297" s="41" t="n"/>
      <c r="E297" s="42" t="n"/>
      <c r="F297" s="39" t="n"/>
      <c r="G297" s="39" t="n"/>
      <c r="H297" s="41" t="n"/>
    </row>
    <row r="298">
      <c r="B298" s="34" t="n"/>
      <c r="C298" s="32" t="n"/>
      <c r="D298" s="35" t="n"/>
      <c r="E298" s="36" t="n"/>
      <c r="F298" s="32" t="n"/>
      <c r="G298" s="32" t="n"/>
      <c r="H298" s="35" t="n"/>
    </row>
    <row r="299">
      <c r="B299" s="40" t="n"/>
      <c r="C299" s="39" t="n"/>
      <c r="D299" s="41" t="n"/>
      <c r="E299" s="42" t="n"/>
      <c r="F299" s="39" t="n"/>
      <c r="G299" s="39" t="n"/>
      <c r="H299" s="41" t="n"/>
    </row>
    <row r="300">
      <c r="B300" s="34" t="n"/>
      <c r="C300" s="32" t="n"/>
      <c r="D300" s="35" t="n"/>
      <c r="E300" s="36" t="n"/>
      <c r="F300" s="32" t="n"/>
      <c r="G300" s="32" t="n"/>
      <c r="H300" s="35" t="n"/>
    </row>
    <row r="301">
      <c r="B301" s="40" t="n"/>
      <c r="C301" s="39" t="n"/>
      <c r="D301" s="41" t="n"/>
      <c r="E301" s="42" t="n"/>
      <c r="F301" s="39" t="n"/>
      <c r="G301" s="39" t="n"/>
      <c r="H301" s="41" t="n"/>
    </row>
    <row r="302">
      <c r="B302" s="34" t="n"/>
      <c r="C302" s="32" t="n"/>
      <c r="D302" s="35" t="n"/>
      <c r="E302" s="36" t="n"/>
      <c r="F302" s="32" t="n"/>
      <c r="G302" s="32" t="n"/>
      <c r="H302" s="35" t="n"/>
    </row>
    <row r="303">
      <c r="B303" s="40" t="n"/>
      <c r="C303" s="39" t="n"/>
      <c r="D303" s="41" t="n"/>
      <c r="E303" s="42" t="n"/>
      <c r="F303" s="39" t="n"/>
      <c r="G303" s="39" t="n"/>
      <c r="H303" s="41" t="n"/>
    </row>
    <row r="304">
      <c r="B304" s="34" t="n"/>
      <c r="C304" s="32" t="n"/>
      <c r="D304" s="35" t="n"/>
      <c r="E304" s="36" t="n"/>
      <c r="F304" s="32" t="n"/>
      <c r="G304" s="32" t="n"/>
      <c r="H304" s="35" t="n"/>
    </row>
    <row r="305">
      <c r="B305" s="40" t="n"/>
      <c r="C305" s="39" t="n"/>
      <c r="D305" s="41" t="n"/>
      <c r="E305" s="42" t="n"/>
      <c r="F305" s="39" t="n"/>
      <c r="G305" s="39" t="n"/>
      <c r="H305" s="41" t="n"/>
    </row>
    <row r="306">
      <c r="B306" s="34" t="n"/>
      <c r="C306" s="32" t="n"/>
      <c r="D306" s="35" t="n"/>
      <c r="E306" s="36" t="n"/>
      <c r="F306" s="32" t="n"/>
      <c r="G306" s="32" t="n"/>
      <c r="H306" s="35" t="n"/>
    </row>
    <row r="307">
      <c r="B307" s="40" t="n"/>
      <c r="C307" s="39" t="n"/>
      <c r="D307" s="41" t="n"/>
      <c r="E307" s="42" t="n"/>
      <c r="F307" s="39" t="n"/>
      <c r="G307" s="39" t="n"/>
      <c r="H307" s="41" t="n"/>
    </row>
    <row r="308">
      <c r="B308" s="34" t="n"/>
      <c r="C308" s="32" t="n"/>
      <c r="D308" s="35" t="n"/>
      <c r="E308" s="36" t="n"/>
      <c r="F308" s="32" t="n"/>
      <c r="G308" s="32" t="n"/>
      <c r="H308" s="35" t="n"/>
    </row>
    <row r="309">
      <c r="B309" s="40" t="n"/>
      <c r="C309" s="39" t="n"/>
      <c r="D309" s="41" t="n"/>
      <c r="E309" s="42" t="n"/>
      <c r="F309" s="39" t="n"/>
      <c r="G309" s="39" t="n"/>
      <c r="H309" s="41" t="n"/>
    </row>
    <row r="310">
      <c r="B310" s="34" t="n"/>
      <c r="C310" s="32" t="n"/>
      <c r="D310" s="35" t="n"/>
      <c r="E310" s="36" t="n"/>
      <c r="F310" s="32" t="n"/>
      <c r="G310" s="32" t="n"/>
      <c r="H310" s="35" t="n"/>
    </row>
    <row r="311">
      <c r="B311" s="40" t="n"/>
      <c r="C311" s="39" t="n"/>
      <c r="D311" s="41" t="n"/>
      <c r="E311" s="42" t="n"/>
      <c r="F311" s="39" t="n"/>
      <c r="G311" s="39" t="n"/>
      <c r="H311" s="41" t="n"/>
    </row>
    <row r="312">
      <c r="B312" s="34" t="n"/>
      <c r="C312" s="32" t="n"/>
      <c r="D312" s="35" t="n"/>
      <c r="E312" s="36" t="n"/>
      <c r="F312" s="32" t="n"/>
      <c r="G312" s="32" t="n"/>
      <c r="H312" s="35" t="n"/>
    </row>
    <row r="313">
      <c r="B313" s="40" t="n"/>
      <c r="C313" s="39" t="n"/>
      <c r="D313" s="41" t="n"/>
      <c r="E313" s="42" t="n"/>
      <c r="F313" s="39" t="n"/>
      <c r="G313" s="39" t="n"/>
      <c r="H313" s="41" t="n"/>
    </row>
    <row r="314">
      <c r="B314" s="34" t="n"/>
      <c r="C314" s="32" t="n"/>
      <c r="D314" s="35" t="n"/>
      <c r="E314" s="36" t="n"/>
      <c r="F314" s="32" t="n"/>
      <c r="G314" s="32" t="n"/>
      <c r="H314" s="35" t="n"/>
    </row>
    <row r="315">
      <c r="B315" s="40" t="n"/>
      <c r="C315" s="39" t="n"/>
      <c r="D315" s="41" t="n"/>
      <c r="E315" s="42" t="n"/>
      <c r="F315" s="39" t="n"/>
      <c r="G315" s="39" t="n"/>
      <c r="H315" s="41" t="n"/>
    </row>
    <row r="316">
      <c r="B316" s="34" t="n"/>
      <c r="C316" s="32" t="n"/>
      <c r="D316" s="35" t="n"/>
      <c r="E316" s="36" t="n"/>
      <c r="F316" s="32" t="n"/>
      <c r="G316" s="32" t="n"/>
      <c r="H316" s="35" t="n"/>
    </row>
    <row r="317">
      <c r="B317" s="40" t="n"/>
      <c r="C317" s="39" t="n"/>
      <c r="D317" s="41" t="n"/>
      <c r="E317" s="42" t="n"/>
      <c r="F317" s="39" t="n"/>
      <c r="G317" s="39" t="n"/>
      <c r="H317" s="41" t="n"/>
    </row>
    <row r="318">
      <c r="B318" s="34" t="n"/>
      <c r="C318" s="32" t="n"/>
      <c r="D318" s="35" t="n"/>
      <c r="E318" s="36" t="n"/>
      <c r="F318" s="32" t="n"/>
      <c r="G318" s="32" t="n"/>
      <c r="H318" s="35" t="n"/>
    </row>
    <row r="319">
      <c r="B319" s="40" t="n"/>
      <c r="C319" s="39" t="n"/>
      <c r="D319" s="41" t="n"/>
      <c r="E319" s="42" t="n"/>
      <c r="F319" s="39" t="n"/>
      <c r="G319" s="39" t="n"/>
      <c r="H319" s="41" t="n"/>
    </row>
    <row r="320">
      <c r="B320" s="34" t="n"/>
      <c r="C320" s="32" t="n"/>
      <c r="D320" s="35" t="n"/>
      <c r="E320" s="36" t="n"/>
      <c r="F320" s="32" t="n"/>
      <c r="G320" s="32" t="n"/>
      <c r="H320" s="35" t="n"/>
    </row>
    <row r="321">
      <c r="B321" s="40" t="n"/>
      <c r="C321" s="39" t="n"/>
      <c r="D321" s="41" t="n"/>
      <c r="E321" s="42" t="n"/>
      <c r="F321" s="39" t="n"/>
      <c r="G321" s="39" t="n"/>
      <c r="H321" s="41" t="n"/>
    </row>
    <row r="322">
      <c r="B322" s="34" t="n"/>
      <c r="C322" s="32" t="n"/>
      <c r="D322" s="35" t="n"/>
      <c r="E322" s="36" t="n"/>
      <c r="F322" s="32" t="n"/>
      <c r="G322" s="32" t="n"/>
      <c r="H322" s="35" t="n"/>
    </row>
    <row r="323">
      <c r="B323" s="40" t="n"/>
      <c r="C323" s="39" t="n"/>
      <c r="D323" s="41" t="n"/>
      <c r="E323" s="42" t="n"/>
      <c r="F323" s="39" t="n"/>
      <c r="G323" s="39" t="n"/>
      <c r="H323" s="41" t="n"/>
    </row>
    <row r="324">
      <c r="B324" s="34" t="n"/>
      <c r="C324" s="32" t="n"/>
      <c r="D324" s="35" t="n"/>
      <c r="E324" s="36" t="n"/>
      <c r="F324" s="32" t="n"/>
      <c r="G324" s="32" t="n"/>
      <c r="H324" s="35" t="n"/>
    </row>
    <row r="325">
      <c r="B325" s="40" t="n"/>
      <c r="C325" s="39" t="n"/>
      <c r="D325" s="41" t="n"/>
      <c r="E325" s="42" t="n"/>
      <c r="F325" s="39" t="n"/>
      <c r="G325" s="39" t="n"/>
      <c r="H325" s="41" t="n"/>
    </row>
    <row r="326">
      <c r="B326" s="34" t="n"/>
      <c r="C326" s="32" t="n"/>
      <c r="D326" s="35" t="n"/>
      <c r="E326" s="36" t="n"/>
      <c r="F326" s="32" t="n"/>
      <c r="G326" s="32" t="n"/>
      <c r="H326" s="35" t="n"/>
    </row>
    <row r="327">
      <c r="B327" s="40" t="n"/>
      <c r="C327" s="39" t="n"/>
      <c r="D327" s="41" t="n"/>
      <c r="E327" s="42" t="n"/>
      <c r="F327" s="39" t="n"/>
      <c r="G327" s="39" t="n"/>
      <c r="H327" s="41" t="n"/>
    </row>
    <row r="328">
      <c r="B328" s="34" t="n"/>
      <c r="C328" s="32" t="n"/>
      <c r="D328" s="35" t="n"/>
      <c r="E328" s="36" t="n"/>
      <c r="F328" s="32" t="n"/>
      <c r="G328" s="32" t="n"/>
      <c r="H328" s="35" t="n"/>
    </row>
    <row r="329">
      <c r="B329" s="40" t="n"/>
      <c r="C329" s="39" t="n"/>
      <c r="D329" s="41" t="n"/>
      <c r="E329" s="42" t="n"/>
      <c r="F329" s="39" t="n"/>
      <c r="G329" s="39" t="n"/>
      <c r="H329" s="41" t="n"/>
    </row>
    <row r="330">
      <c r="B330" s="34" t="n"/>
      <c r="C330" s="32" t="n"/>
      <c r="D330" s="35" t="n"/>
      <c r="E330" s="36" t="n"/>
      <c r="F330" s="32" t="n"/>
      <c r="G330" s="32" t="n"/>
      <c r="H330" s="35" t="n"/>
    </row>
    <row r="331">
      <c r="B331" s="40" t="n"/>
      <c r="C331" s="39" t="n"/>
      <c r="D331" s="41" t="n"/>
      <c r="E331" s="42" t="n"/>
      <c r="F331" s="39" t="n"/>
      <c r="G331" s="39" t="n"/>
      <c r="H331" s="41" t="n"/>
    </row>
    <row r="332">
      <c r="B332" s="34" t="n"/>
      <c r="C332" s="32" t="n"/>
      <c r="D332" s="35" t="n"/>
      <c r="E332" s="36" t="n"/>
      <c r="F332" s="32" t="n"/>
      <c r="G332" s="32" t="n"/>
      <c r="H332" s="35" t="n"/>
    </row>
    <row r="333">
      <c r="B333" s="40" t="n"/>
      <c r="C333" s="39" t="n"/>
      <c r="D333" s="41" t="n"/>
      <c r="E333" s="42" t="n"/>
      <c r="F333" s="39" t="n"/>
      <c r="G333" s="39" t="n"/>
      <c r="H333" s="41" t="n"/>
    </row>
    <row r="334">
      <c r="B334" s="34" t="n"/>
      <c r="C334" s="32" t="n"/>
      <c r="D334" s="35" t="n"/>
      <c r="E334" s="36" t="n"/>
      <c r="F334" s="32" t="n"/>
      <c r="G334" s="32" t="n"/>
      <c r="H334" s="35" t="n"/>
    </row>
    <row r="335">
      <c r="B335" s="40" t="n"/>
      <c r="C335" s="39" t="n"/>
      <c r="D335" s="41" t="n"/>
      <c r="E335" s="42" t="n"/>
      <c r="F335" s="39" t="n"/>
      <c r="G335" s="39" t="n"/>
      <c r="H335" s="41" t="n"/>
    </row>
    <row r="336">
      <c r="B336" s="34" t="n"/>
      <c r="C336" s="32" t="n"/>
      <c r="D336" s="35" t="n"/>
      <c r="E336" s="36" t="n"/>
      <c r="F336" s="32" t="n"/>
      <c r="G336" s="32" t="n"/>
      <c r="H336" s="35" t="n"/>
    </row>
    <row r="337">
      <c r="B337" s="40" t="n"/>
      <c r="C337" s="39" t="n"/>
      <c r="D337" s="41" t="n"/>
      <c r="E337" s="42" t="n"/>
      <c r="F337" s="39" t="n"/>
      <c r="G337" s="39" t="n"/>
      <c r="H337" s="41" t="n"/>
    </row>
    <row r="338">
      <c r="B338" s="34" t="n"/>
      <c r="C338" s="32" t="n"/>
      <c r="D338" s="35" t="n"/>
      <c r="E338" s="36" t="n"/>
      <c r="F338" s="32" t="n"/>
      <c r="G338" s="32" t="n"/>
      <c r="H338" s="35" t="n"/>
    </row>
    <row r="339">
      <c r="B339" s="40" t="n"/>
      <c r="C339" s="39" t="n"/>
      <c r="D339" s="41" t="n"/>
      <c r="E339" s="42" t="n"/>
      <c r="F339" s="39" t="n"/>
      <c r="G339" s="39" t="n"/>
      <c r="H339" s="41" t="n"/>
    </row>
    <row r="340">
      <c r="B340" s="34" t="n"/>
      <c r="C340" s="32" t="n"/>
      <c r="D340" s="35" t="n"/>
      <c r="E340" s="36" t="n"/>
      <c r="F340" s="32" t="n"/>
      <c r="G340" s="32" t="n"/>
      <c r="H340" s="35" t="n"/>
    </row>
    <row r="341">
      <c r="B341" s="40" t="n"/>
      <c r="C341" s="39" t="n"/>
      <c r="D341" s="41" t="n"/>
      <c r="E341" s="42" t="n"/>
      <c r="F341" s="39" t="n"/>
      <c r="G341" s="39" t="n"/>
      <c r="H341" s="41" t="n"/>
    </row>
    <row r="342">
      <c r="B342" s="34" t="n"/>
      <c r="C342" s="32" t="n"/>
      <c r="D342" s="35" t="n"/>
      <c r="E342" s="36" t="n"/>
      <c r="F342" s="32" t="n"/>
      <c r="G342" s="32" t="n"/>
      <c r="H342" s="35" t="n"/>
    </row>
    <row r="343">
      <c r="B343" s="40" t="n"/>
      <c r="C343" s="39" t="n"/>
      <c r="D343" s="41" t="n"/>
      <c r="E343" s="42" t="n"/>
      <c r="F343" s="39" t="n"/>
      <c r="G343" s="39" t="n"/>
      <c r="H343" s="41" t="n"/>
    </row>
    <row r="344">
      <c r="B344" s="34" t="n"/>
      <c r="C344" s="32" t="n"/>
      <c r="D344" s="35" t="n"/>
      <c r="E344" s="36" t="n"/>
      <c r="F344" s="32" t="n"/>
      <c r="G344" s="32" t="n"/>
      <c r="H344" s="35" t="n"/>
    </row>
    <row r="345">
      <c r="B345" s="40" t="n"/>
      <c r="C345" s="39" t="n"/>
      <c r="D345" s="41" t="n"/>
      <c r="E345" s="42" t="n"/>
      <c r="F345" s="39" t="n"/>
      <c r="G345" s="39" t="n"/>
      <c r="H345" s="41" t="n"/>
    </row>
    <row r="346">
      <c r="B346" s="34" t="n"/>
      <c r="C346" s="32" t="n"/>
      <c r="D346" s="35" t="n"/>
      <c r="E346" s="36" t="n"/>
      <c r="F346" s="32" t="n"/>
      <c r="G346" s="32" t="n"/>
      <c r="H346" s="35" t="n"/>
    </row>
    <row r="347">
      <c r="B347" s="40" t="n"/>
      <c r="C347" s="39" t="n"/>
      <c r="D347" s="41" t="n"/>
      <c r="E347" s="42" t="n"/>
      <c r="F347" s="39" t="n"/>
      <c r="G347" s="39" t="n"/>
      <c r="H347" s="41" t="n"/>
    </row>
    <row r="348">
      <c r="B348" s="34" t="n"/>
      <c r="C348" s="32" t="n"/>
      <c r="D348" s="35" t="n"/>
      <c r="E348" s="36" t="n"/>
      <c r="F348" s="32" t="n"/>
      <c r="G348" s="32" t="n"/>
      <c r="H348" s="35" t="n"/>
    </row>
    <row r="349">
      <c r="B349" s="40" t="n"/>
      <c r="C349" s="39" t="n"/>
      <c r="D349" s="41" t="n"/>
      <c r="E349" s="42" t="n"/>
      <c r="F349" s="39" t="n"/>
      <c r="G349" s="39" t="n"/>
      <c r="H349" s="41" t="n"/>
    </row>
    <row r="350">
      <c r="B350" s="34" t="n"/>
      <c r="C350" s="32" t="n"/>
      <c r="D350" s="35" t="n"/>
      <c r="E350" s="36" t="n"/>
      <c r="F350" s="32" t="n"/>
      <c r="G350" s="32" t="n"/>
      <c r="H350" s="35" t="n"/>
    </row>
    <row r="351">
      <c r="B351" s="40" t="n"/>
      <c r="C351" s="39" t="n"/>
      <c r="D351" s="41" t="n"/>
      <c r="E351" s="42" t="n"/>
      <c r="F351" s="39" t="n"/>
      <c r="G351" s="39" t="n"/>
      <c r="H351" s="41" t="n"/>
    </row>
    <row r="352">
      <c r="B352" s="34" t="n"/>
      <c r="C352" s="32" t="n"/>
      <c r="D352" s="35" t="n"/>
      <c r="E352" s="36" t="n"/>
      <c r="F352" s="32" t="n"/>
      <c r="G352" s="32" t="n"/>
      <c r="H352" s="35" t="n"/>
    </row>
    <row r="353">
      <c r="B353" s="40" t="n"/>
      <c r="C353" s="39" t="n"/>
      <c r="D353" s="41" t="n"/>
      <c r="E353" s="42" t="n"/>
      <c r="F353" s="39" t="n"/>
      <c r="G353" s="39" t="n"/>
      <c r="H353" s="41" t="n"/>
    </row>
    <row r="354">
      <c r="B354" s="34" t="n"/>
      <c r="C354" s="32" t="n"/>
      <c r="D354" s="35" t="n"/>
      <c r="E354" s="36" t="n"/>
      <c r="F354" s="32" t="n"/>
      <c r="G354" s="32" t="n"/>
      <c r="H354" s="35" t="n"/>
    </row>
    <row r="355">
      <c r="B355" s="40" t="n"/>
      <c r="C355" s="39" t="n"/>
      <c r="D355" s="41" t="n"/>
      <c r="E355" s="42" t="n"/>
      <c r="F355" s="39" t="n"/>
      <c r="G355" s="39" t="n"/>
      <c r="H355" s="41" t="n"/>
    </row>
    <row r="356">
      <c r="B356" s="34" t="n"/>
      <c r="C356" s="32" t="n"/>
      <c r="D356" s="35" t="n"/>
      <c r="E356" s="36" t="n"/>
      <c r="F356" s="32" t="n"/>
      <c r="G356" s="32" t="n"/>
      <c r="H356" s="35" t="n"/>
    </row>
    <row r="357">
      <c r="B357" s="40" t="n"/>
      <c r="C357" s="39" t="n"/>
      <c r="D357" s="41" t="n"/>
      <c r="E357" s="42" t="n"/>
      <c r="F357" s="39" t="n"/>
      <c r="G357" s="39" t="n"/>
      <c r="H357" s="41" t="n"/>
    </row>
    <row r="358">
      <c r="B358" s="34" t="n"/>
      <c r="C358" s="32" t="n"/>
      <c r="D358" s="35" t="n"/>
      <c r="E358" s="36" t="n"/>
      <c r="F358" s="32" t="n"/>
      <c r="G358" s="32" t="n"/>
      <c r="H358" s="35" t="n"/>
    </row>
    <row r="359">
      <c r="B359" s="40" t="n"/>
      <c r="C359" s="39" t="n"/>
      <c r="D359" s="41" t="n"/>
      <c r="E359" s="42" t="n"/>
      <c r="F359" s="39" t="n"/>
      <c r="G359" s="39" t="n"/>
      <c r="H359" s="41" t="n"/>
    </row>
    <row r="360">
      <c r="B360" s="34" t="n"/>
      <c r="C360" s="32" t="n"/>
      <c r="D360" s="35" t="n"/>
      <c r="E360" s="36" t="n"/>
      <c r="F360" s="32" t="n"/>
      <c r="G360" s="32" t="n"/>
      <c r="H360" s="35" t="n"/>
    </row>
    <row r="361">
      <c r="B361" s="40" t="n"/>
      <c r="C361" s="39" t="n"/>
      <c r="D361" s="41" t="n"/>
      <c r="E361" s="42" t="n"/>
      <c r="F361" s="39" t="n"/>
      <c r="G361" s="39" t="n"/>
      <c r="H361" s="41" t="n"/>
    </row>
    <row r="362">
      <c r="B362" s="34" t="n"/>
      <c r="C362" s="32" t="n"/>
      <c r="D362" s="35" t="n"/>
      <c r="E362" s="36" t="n"/>
      <c r="F362" s="32" t="n"/>
      <c r="G362" s="32" t="n"/>
      <c r="H362" s="35" t="n"/>
    </row>
    <row r="363">
      <c r="B363" s="40" t="n"/>
      <c r="C363" s="39" t="n"/>
      <c r="D363" s="41" t="n"/>
      <c r="E363" s="42" t="n"/>
      <c r="F363" s="39" t="n"/>
      <c r="G363" s="39" t="n"/>
      <c r="H363" s="41" t="n"/>
    </row>
    <row r="364">
      <c r="B364" s="34" t="n"/>
      <c r="C364" s="32" t="n"/>
      <c r="D364" s="35" t="n"/>
      <c r="E364" s="36" t="n"/>
      <c r="F364" s="32" t="n"/>
      <c r="G364" s="32" t="n"/>
      <c r="H364" s="35" t="n"/>
    </row>
    <row r="365">
      <c r="B365" s="40" t="n"/>
      <c r="C365" s="39" t="n"/>
      <c r="D365" s="41" t="n"/>
      <c r="E365" s="42" t="n"/>
      <c r="F365" s="39" t="n"/>
      <c r="G365" s="39" t="n"/>
      <c r="H365" s="41" t="n"/>
    </row>
    <row r="366">
      <c r="B366" s="34" t="n"/>
      <c r="C366" s="32" t="n"/>
      <c r="D366" s="35" t="n"/>
      <c r="E366" s="36" t="n"/>
      <c r="F366" s="32" t="n"/>
      <c r="G366" s="32" t="n"/>
      <c r="H366" s="35" t="n"/>
    </row>
    <row r="367">
      <c r="B367" s="40" t="n"/>
      <c r="C367" s="39" t="n"/>
      <c r="D367" s="41" t="n"/>
      <c r="E367" s="42" t="n"/>
      <c r="F367" s="39" t="n"/>
      <c r="G367" s="39" t="n"/>
      <c r="H367" s="41" t="n"/>
    </row>
    <row r="368">
      <c r="B368" s="34" t="n"/>
      <c r="C368" s="32" t="n"/>
      <c r="D368" s="35" t="n"/>
      <c r="E368" s="36" t="n"/>
      <c r="F368" s="32" t="n"/>
      <c r="G368" s="32" t="n"/>
      <c r="H368" s="35" t="n"/>
    </row>
    <row r="369">
      <c r="B369" s="40" t="n"/>
      <c r="C369" s="39" t="n"/>
      <c r="D369" s="41" t="n"/>
      <c r="E369" s="42" t="n"/>
      <c r="F369" s="39" t="n"/>
      <c r="G369" s="39" t="n"/>
      <c r="H369" s="41" t="n"/>
    </row>
    <row r="370">
      <c r="B370" s="34" t="n"/>
      <c r="C370" s="32" t="n"/>
      <c r="D370" s="35" t="n"/>
      <c r="E370" s="36" t="n"/>
      <c r="F370" s="32" t="n"/>
      <c r="G370" s="32" t="n"/>
      <c r="H370" s="35" t="n"/>
    </row>
    <row r="371">
      <c r="B371" s="40" t="n"/>
      <c r="C371" s="39" t="n"/>
      <c r="D371" s="41" t="n"/>
      <c r="E371" s="42" t="n"/>
      <c r="F371" s="39" t="n"/>
      <c r="G371" s="39" t="n"/>
      <c r="H371" s="41" t="n"/>
    </row>
    <row r="372">
      <c r="B372" s="34" t="n"/>
      <c r="C372" s="32" t="n"/>
      <c r="D372" s="35" t="n"/>
      <c r="E372" s="36" t="n"/>
      <c r="F372" s="32" t="n"/>
      <c r="G372" s="32" t="n"/>
      <c r="H372" s="35" t="n"/>
    </row>
    <row r="373">
      <c r="B373" s="40" t="n"/>
      <c r="C373" s="39" t="n"/>
      <c r="D373" s="41" t="n"/>
      <c r="E373" s="42" t="n"/>
      <c r="F373" s="39" t="n"/>
      <c r="G373" s="39" t="n"/>
      <c r="H373" s="41" t="n"/>
    </row>
    <row r="374">
      <c r="B374" s="34" t="n"/>
      <c r="C374" s="32" t="n"/>
      <c r="D374" s="35" t="n"/>
      <c r="E374" s="36" t="n"/>
      <c r="F374" s="32" t="n"/>
      <c r="G374" s="32" t="n"/>
      <c r="H374" s="35" t="n"/>
    </row>
    <row r="375">
      <c r="B375" s="40" t="n"/>
      <c r="C375" s="39" t="n"/>
      <c r="D375" s="41" t="n"/>
      <c r="E375" s="42" t="n"/>
      <c r="F375" s="39" t="n"/>
      <c r="G375" s="39" t="n"/>
      <c r="H375" s="41" t="n"/>
    </row>
    <row r="376">
      <c r="B376" s="34" t="n"/>
      <c r="C376" s="32" t="n"/>
      <c r="D376" s="35" t="n"/>
      <c r="E376" s="36" t="n"/>
      <c r="F376" s="32" t="n"/>
      <c r="G376" s="32" t="n"/>
      <c r="H376" s="35" t="n"/>
    </row>
    <row r="377">
      <c r="B377" s="40" t="n"/>
      <c r="C377" s="39" t="n"/>
      <c r="D377" s="41" t="n"/>
      <c r="E377" s="42" t="n"/>
      <c r="F377" s="39" t="n"/>
      <c r="G377" s="39" t="n"/>
      <c r="H377" s="41" t="n"/>
    </row>
    <row r="378">
      <c r="B378" s="34" t="n"/>
      <c r="C378" s="32" t="n"/>
      <c r="D378" s="35" t="n"/>
      <c r="E378" s="36" t="n"/>
      <c r="F378" s="32" t="n"/>
      <c r="G378" s="32" t="n"/>
      <c r="H378" s="35" t="n"/>
    </row>
    <row r="379">
      <c r="B379" s="40" t="n"/>
      <c r="C379" s="39" t="n"/>
      <c r="D379" s="41" t="n"/>
      <c r="E379" s="42" t="n"/>
      <c r="F379" s="39" t="n"/>
      <c r="G379" s="39" t="n"/>
      <c r="H379" s="41" t="n"/>
    </row>
    <row r="380">
      <c r="B380" s="34" t="n"/>
      <c r="C380" s="32" t="n"/>
      <c r="D380" s="35" t="n"/>
      <c r="E380" s="36" t="n"/>
      <c r="F380" s="32" t="n"/>
      <c r="G380" s="32" t="n"/>
      <c r="H380" s="35" t="n"/>
    </row>
    <row r="381">
      <c r="B381" s="40" t="n"/>
      <c r="C381" s="39" t="n"/>
      <c r="D381" s="41" t="n"/>
      <c r="E381" s="42" t="n"/>
      <c r="F381" s="39" t="n"/>
      <c r="G381" s="39" t="n"/>
      <c r="H381" s="41" t="n"/>
    </row>
    <row r="382">
      <c r="B382" s="34" t="n"/>
      <c r="C382" s="32" t="n"/>
      <c r="D382" s="35" t="n"/>
      <c r="E382" s="36" t="n"/>
      <c r="F382" s="32" t="n"/>
      <c r="G382" s="32" t="n"/>
      <c r="H382" s="35" t="n"/>
    </row>
    <row r="383">
      <c r="B383" s="40" t="n"/>
      <c r="C383" s="39" t="n"/>
      <c r="D383" s="41" t="n"/>
      <c r="E383" s="42" t="n"/>
      <c r="F383" s="39" t="n"/>
      <c r="G383" s="39" t="n"/>
      <c r="H383" s="41" t="n"/>
    </row>
    <row r="384">
      <c r="B384" s="34" t="n"/>
      <c r="C384" s="32" t="n"/>
      <c r="D384" s="35" t="n"/>
      <c r="E384" s="36" t="n"/>
      <c r="F384" s="32" t="n"/>
      <c r="G384" s="32" t="n"/>
      <c r="H384" s="35" t="n"/>
    </row>
    <row r="385">
      <c r="B385" s="40" t="n"/>
      <c r="C385" s="39" t="n"/>
      <c r="D385" s="41" t="n"/>
      <c r="E385" s="42" t="n"/>
      <c r="F385" s="39" t="n"/>
      <c r="G385" s="39" t="n"/>
      <c r="H385" s="41" t="n"/>
    </row>
    <row r="386">
      <c r="B386" s="34" t="n"/>
      <c r="C386" s="32" t="n"/>
      <c r="D386" s="35" t="n"/>
      <c r="E386" s="36" t="n"/>
      <c r="F386" s="32" t="n"/>
      <c r="G386" s="32" t="n"/>
      <c r="H386" s="35" t="n"/>
    </row>
    <row r="387">
      <c r="B387" s="40" t="n"/>
      <c r="C387" s="39" t="n"/>
      <c r="D387" s="41" t="n"/>
      <c r="E387" s="42" t="n"/>
      <c r="F387" s="39" t="n"/>
      <c r="G387" s="39" t="n"/>
      <c r="H387" s="41" t="n"/>
    </row>
    <row r="388">
      <c r="B388" s="34" t="n"/>
      <c r="C388" s="32" t="n"/>
      <c r="D388" s="35" t="n"/>
      <c r="E388" s="36" t="n"/>
      <c r="F388" s="32" t="n"/>
      <c r="G388" s="32" t="n"/>
      <c r="H388" s="35" t="n"/>
    </row>
    <row r="389">
      <c r="B389" s="40" t="n"/>
      <c r="C389" s="39" t="n"/>
      <c r="D389" s="41" t="n"/>
      <c r="E389" s="42" t="n"/>
      <c r="F389" s="39" t="n"/>
      <c r="G389" s="39" t="n"/>
      <c r="H389" s="41" t="n"/>
    </row>
    <row r="390">
      <c r="B390" s="34" t="n"/>
      <c r="C390" s="32" t="n"/>
      <c r="D390" s="35" t="n"/>
      <c r="E390" s="36" t="n"/>
      <c r="F390" s="32" t="n"/>
      <c r="G390" s="32" t="n"/>
      <c r="H390" s="35" t="n"/>
    </row>
    <row r="391">
      <c r="B391" s="40" t="n"/>
      <c r="C391" s="39" t="n"/>
      <c r="D391" s="41" t="n"/>
      <c r="E391" s="42" t="n"/>
      <c r="F391" s="39" t="n"/>
      <c r="G391" s="39" t="n"/>
      <c r="H391" s="41" t="n"/>
    </row>
    <row r="392">
      <c r="B392" s="34" t="n"/>
      <c r="C392" s="32" t="n"/>
      <c r="D392" s="35" t="n"/>
      <c r="E392" s="36" t="n"/>
      <c r="F392" s="32" t="n"/>
      <c r="G392" s="32" t="n"/>
      <c r="H392" s="35" t="n"/>
    </row>
    <row r="393">
      <c r="B393" s="40" t="n"/>
      <c r="C393" s="39" t="n"/>
      <c r="D393" s="41" t="n"/>
      <c r="E393" s="42" t="n"/>
      <c r="F393" s="39" t="n"/>
      <c r="G393" s="39" t="n"/>
      <c r="H393" s="41" t="n"/>
    </row>
    <row r="394">
      <c r="B394" s="34" t="n"/>
      <c r="C394" s="32" t="n"/>
      <c r="D394" s="35" t="n"/>
      <c r="E394" s="36" t="n"/>
      <c r="F394" s="32" t="n"/>
      <c r="G394" s="32" t="n"/>
      <c r="H394" s="35" t="n"/>
    </row>
    <row r="395">
      <c r="B395" s="40" t="n"/>
      <c r="C395" s="39" t="n"/>
      <c r="D395" s="41" t="n"/>
      <c r="E395" s="42" t="n"/>
      <c r="F395" s="39" t="n"/>
      <c r="G395" s="39" t="n"/>
      <c r="H395" s="41" t="n"/>
    </row>
    <row r="396">
      <c r="B396" s="34" t="n"/>
      <c r="C396" s="32" t="n"/>
      <c r="D396" s="35" t="n"/>
      <c r="E396" s="36" t="n"/>
      <c r="F396" s="32" t="n"/>
      <c r="G396" s="32" t="n"/>
      <c r="H396" s="35" t="n"/>
    </row>
    <row r="397">
      <c r="B397" s="40" t="n"/>
      <c r="C397" s="39" t="n"/>
      <c r="D397" s="41" t="n"/>
      <c r="E397" s="42" t="n"/>
      <c r="F397" s="39" t="n"/>
      <c r="G397" s="39" t="n"/>
      <c r="H397" s="41" t="n"/>
    </row>
    <row r="398">
      <c r="B398" s="34" t="n"/>
      <c r="C398" s="32" t="n"/>
      <c r="D398" s="35" t="n"/>
      <c r="E398" s="36" t="n"/>
      <c r="F398" s="32" t="n"/>
      <c r="G398" s="32" t="n"/>
      <c r="H398" s="35" t="n"/>
    </row>
    <row r="399">
      <c r="B399" s="40" t="n"/>
      <c r="C399" s="39" t="n"/>
      <c r="D399" s="41" t="n"/>
      <c r="E399" s="42" t="n"/>
      <c r="F399" s="39" t="n"/>
      <c r="G399" s="39" t="n"/>
      <c r="H399" s="41" t="n"/>
    </row>
    <row r="400">
      <c r="B400" s="34" t="n"/>
      <c r="C400" s="32" t="n"/>
      <c r="D400" s="35" t="n"/>
      <c r="E400" s="36" t="n"/>
      <c r="F400" s="32" t="n"/>
      <c r="G400" s="32" t="n"/>
      <c r="H400" s="35" t="n"/>
    </row>
    <row r="401">
      <c r="B401" s="40" t="n"/>
      <c r="C401" s="39" t="n"/>
      <c r="D401" s="41" t="n"/>
      <c r="E401" s="42" t="n"/>
      <c r="F401" s="39" t="n"/>
      <c r="G401" s="39" t="n"/>
      <c r="H401" s="41" t="n"/>
    </row>
    <row r="402">
      <c r="B402" s="34" t="n"/>
      <c r="C402" s="32" t="n"/>
      <c r="D402" s="35" t="n"/>
      <c r="E402" s="36" t="n"/>
      <c r="F402" s="32" t="n"/>
      <c r="G402" s="32" t="n"/>
      <c r="H402" s="35" t="n"/>
    </row>
    <row r="403">
      <c r="B403" s="40" t="n"/>
      <c r="C403" s="39" t="n"/>
      <c r="D403" s="41" t="n"/>
      <c r="E403" s="42" t="n"/>
      <c r="F403" s="39" t="n"/>
      <c r="G403" s="39" t="n"/>
      <c r="H403" s="41" t="n"/>
    </row>
    <row r="404">
      <c r="B404" s="34" t="n"/>
      <c r="C404" s="32" t="n"/>
      <c r="D404" s="35" t="n"/>
      <c r="E404" s="36" t="n"/>
      <c r="F404" s="32" t="n"/>
      <c r="G404" s="32" t="n"/>
      <c r="H404" s="35" t="n"/>
    </row>
    <row r="405">
      <c r="B405" s="40" t="n"/>
      <c r="C405" s="39" t="n"/>
      <c r="D405" s="41" t="n"/>
      <c r="E405" s="42" t="n"/>
      <c r="F405" s="39" t="n"/>
      <c r="G405" s="39" t="n"/>
      <c r="H405" s="41" t="n"/>
    </row>
    <row r="406">
      <c r="B406" s="34" t="n"/>
      <c r="C406" s="32" t="n"/>
      <c r="D406" s="35" t="n"/>
      <c r="E406" s="36" t="n"/>
      <c r="F406" s="32" t="n"/>
      <c r="G406" s="32" t="n"/>
      <c r="H406" s="35" t="n"/>
    </row>
    <row r="407">
      <c r="B407" s="40" t="n"/>
      <c r="C407" s="39" t="n"/>
      <c r="D407" s="41" t="n"/>
      <c r="E407" s="42" t="n"/>
      <c r="F407" s="39" t="n"/>
      <c r="G407" s="39" t="n"/>
      <c r="H407" s="41" t="n"/>
    </row>
    <row r="408">
      <c r="B408" s="34" t="n"/>
      <c r="C408" s="32" t="n"/>
      <c r="D408" s="35" t="n"/>
      <c r="E408" s="36" t="n"/>
      <c r="F408" s="32" t="n"/>
      <c r="G408" s="32" t="n"/>
      <c r="H408" s="35" t="n"/>
    </row>
    <row r="409">
      <c r="B409" s="40" t="n"/>
      <c r="C409" s="39" t="n"/>
      <c r="D409" s="41" t="n"/>
      <c r="E409" s="42" t="n"/>
      <c r="F409" s="39" t="n"/>
      <c r="G409" s="39" t="n"/>
      <c r="H409" s="41" t="n"/>
    </row>
    <row r="410">
      <c r="B410" s="34" t="n"/>
      <c r="C410" s="32" t="n"/>
      <c r="D410" s="35" t="n"/>
      <c r="E410" s="36" t="n"/>
      <c r="F410" s="32" t="n"/>
      <c r="G410" s="32" t="n"/>
      <c r="H410" s="35" t="n"/>
    </row>
    <row r="411">
      <c r="B411" s="40" t="n"/>
      <c r="C411" s="39" t="n"/>
      <c r="D411" s="41" t="n"/>
      <c r="E411" s="42" t="n"/>
      <c r="F411" s="39" t="n"/>
      <c r="G411" s="39" t="n"/>
      <c r="H411" s="41" t="n"/>
    </row>
    <row r="412">
      <c r="B412" s="34" t="n"/>
      <c r="C412" s="32" t="n"/>
      <c r="D412" s="35" t="n"/>
      <c r="E412" s="36" t="n"/>
      <c r="F412" s="32" t="n"/>
      <c r="G412" s="32" t="n"/>
      <c r="H412" s="35" t="n"/>
    </row>
    <row r="413">
      <c r="B413" s="40" t="n"/>
      <c r="C413" s="39" t="n"/>
      <c r="D413" s="41" t="n"/>
      <c r="E413" s="42" t="n"/>
      <c r="F413" s="39" t="n"/>
      <c r="G413" s="39" t="n"/>
      <c r="H413" s="41" t="n"/>
    </row>
    <row r="414">
      <c r="B414" s="34" t="n"/>
      <c r="C414" s="32" t="n"/>
      <c r="D414" s="35" t="n"/>
      <c r="E414" s="36" t="n"/>
      <c r="F414" s="32" t="n"/>
      <c r="G414" s="32" t="n"/>
      <c r="H414" s="35" t="n"/>
    </row>
    <row r="415">
      <c r="B415" s="40" t="n"/>
      <c r="C415" s="39" t="n"/>
      <c r="D415" s="41" t="n"/>
      <c r="E415" s="42" t="n"/>
      <c r="F415" s="39" t="n"/>
      <c r="G415" s="39" t="n"/>
      <c r="H415" s="41" t="n"/>
    </row>
    <row r="416">
      <c r="B416" s="34" t="n"/>
      <c r="C416" s="32" t="n"/>
      <c r="D416" s="35" t="n"/>
      <c r="E416" s="36" t="n"/>
      <c r="F416" s="32" t="n"/>
      <c r="G416" s="32" t="n"/>
      <c r="H416" s="35" t="n"/>
    </row>
    <row r="417">
      <c r="B417" s="40" t="n"/>
      <c r="C417" s="39" t="n"/>
      <c r="D417" s="41" t="n"/>
      <c r="E417" s="42" t="n"/>
      <c r="F417" s="39" t="n"/>
      <c r="G417" s="39" t="n"/>
      <c r="H417" s="41" t="n"/>
    </row>
    <row r="418">
      <c r="B418" s="34" t="n"/>
      <c r="C418" s="32" t="n"/>
      <c r="D418" s="35" t="n"/>
      <c r="E418" s="36" t="n"/>
      <c r="F418" s="32" t="n"/>
      <c r="G418" s="32" t="n"/>
      <c r="H418" s="35" t="n"/>
    </row>
    <row r="419">
      <c r="B419" s="40" t="n"/>
      <c r="C419" s="39" t="n"/>
      <c r="D419" s="41" t="n"/>
      <c r="E419" s="42" t="n"/>
      <c r="F419" s="39" t="n"/>
      <c r="G419" s="39" t="n"/>
      <c r="H419" s="41" t="n"/>
    </row>
    <row r="420">
      <c r="B420" s="34" t="n"/>
      <c r="C420" s="32" t="n"/>
      <c r="D420" s="35" t="n"/>
      <c r="E420" s="36" t="n"/>
      <c r="F420" s="32" t="n"/>
      <c r="G420" s="32" t="n"/>
      <c r="H420" s="35" t="n"/>
    </row>
    <row r="421">
      <c r="B421" s="40" t="n"/>
      <c r="C421" s="39" t="n"/>
      <c r="D421" s="41" t="n"/>
      <c r="E421" s="42" t="n"/>
      <c r="F421" s="39" t="n"/>
      <c r="G421" s="39" t="n"/>
      <c r="H421" s="41" t="n"/>
    </row>
    <row r="422">
      <c r="B422" s="34" t="n"/>
      <c r="C422" s="32" t="n"/>
      <c r="D422" s="35" t="n"/>
      <c r="E422" s="36" t="n"/>
      <c r="F422" s="32" t="n"/>
      <c r="G422" s="32" t="n"/>
      <c r="H422" s="35" t="n"/>
    </row>
    <row r="423">
      <c r="B423" s="40" t="n"/>
      <c r="C423" s="39" t="n"/>
      <c r="D423" s="41" t="n"/>
      <c r="E423" s="42" t="n"/>
      <c r="F423" s="39" t="n"/>
      <c r="G423" s="39" t="n"/>
      <c r="H423" s="41" t="n"/>
    </row>
    <row r="424">
      <c r="B424" s="34" t="n"/>
      <c r="C424" s="32" t="n"/>
      <c r="D424" s="35" t="n"/>
      <c r="E424" s="36" t="n"/>
      <c r="F424" s="32" t="n"/>
      <c r="G424" s="32" t="n"/>
      <c r="H424" s="35" t="n"/>
    </row>
    <row r="425">
      <c r="B425" s="40" t="n"/>
      <c r="C425" s="39" t="n"/>
      <c r="D425" s="41" t="n"/>
      <c r="E425" s="42" t="n"/>
      <c r="F425" s="39" t="n"/>
      <c r="G425" s="39" t="n"/>
      <c r="H425" s="41" t="n"/>
    </row>
    <row r="426">
      <c r="B426" s="34" t="n"/>
      <c r="C426" s="32" t="n"/>
      <c r="D426" s="35" t="n"/>
      <c r="E426" s="36" t="n"/>
      <c r="F426" s="32" t="n"/>
      <c r="G426" s="32" t="n"/>
      <c r="H426" s="35" t="n"/>
    </row>
    <row r="427">
      <c r="B427" s="40" t="n"/>
      <c r="C427" s="39" t="n"/>
      <c r="D427" s="41" t="n"/>
      <c r="E427" s="42" t="n"/>
      <c r="F427" s="39" t="n"/>
      <c r="G427" s="39" t="n"/>
      <c r="H427" s="41" t="n"/>
    </row>
    <row r="428">
      <c r="B428" s="34" t="n"/>
      <c r="C428" s="32" t="n"/>
      <c r="D428" s="35" t="n"/>
      <c r="E428" s="36" t="n"/>
      <c r="F428" s="32" t="n"/>
      <c r="G428" s="32" t="n"/>
      <c r="H428" s="35" t="n"/>
    </row>
    <row r="429">
      <c r="B429" s="40" t="n"/>
      <c r="C429" s="39" t="n"/>
      <c r="D429" s="41" t="n"/>
      <c r="E429" s="42" t="n"/>
      <c r="F429" s="39" t="n"/>
      <c r="G429" s="39" t="n"/>
      <c r="H429" s="41" t="n"/>
    </row>
    <row r="430">
      <c r="B430" s="34" t="n"/>
      <c r="C430" s="32" t="n"/>
      <c r="D430" s="35" t="n"/>
      <c r="E430" s="36" t="n"/>
      <c r="F430" s="32" t="n"/>
      <c r="G430" s="32" t="n"/>
      <c r="H430" s="35" t="n"/>
    </row>
    <row r="431">
      <c r="B431" s="40" t="n"/>
      <c r="C431" s="39" t="n"/>
      <c r="D431" s="41" t="n"/>
      <c r="E431" s="42" t="n"/>
      <c r="F431" s="39" t="n"/>
      <c r="G431" s="39" t="n"/>
      <c r="H431" s="41" t="n"/>
    </row>
    <row r="432">
      <c r="B432" s="34" t="n"/>
      <c r="C432" s="32" t="n"/>
      <c r="D432" s="35" t="n"/>
      <c r="E432" s="36" t="n"/>
      <c r="F432" s="32" t="n"/>
      <c r="G432" s="32" t="n"/>
      <c r="H432" s="35" t="n"/>
    </row>
    <row r="433">
      <c r="B433" s="40" t="n"/>
      <c r="C433" s="39" t="n"/>
      <c r="D433" s="41" t="n"/>
      <c r="E433" s="42" t="n"/>
      <c r="F433" s="39" t="n"/>
      <c r="G433" s="39" t="n"/>
      <c r="H433" s="41" t="n"/>
    </row>
    <row r="434">
      <c r="B434" s="34" t="n"/>
      <c r="C434" s="32" t="n"/>
      <c r="D434" s="35" t="n"/>
      <c r="E434" s="36" t="n"/>
      <c r="F434" s="32" t="n"/>
      <c r="G434" s="32" t="n"/>
      <c r="H434" s="35" t="n"/>
    </row>
    <row r="435">
      <c r="B435" s="40" t="n"/>
      <c r="C435" s="39" t="n"/>
      <c r="D435" s="41" t="n"/>
      <c r="E435" s="42" t="n"/>
      <c r="F435" s="39" t="n"/>
      <c r="G435" s="39" t="n"/>
      <c r="H435" s="41" t="n"/>
    </row>
    <row r="436">
      <c r="B436" s="34" t="n"/>
      <c r="C436" s="32" t="n"/>
      <c r="D436" s="35" t="n"/>
      <c r="E436" s="36" t="n"/>
      <c r="F436" s="32" t="n"/>
      <c r="G436" s="32" t="n"/>
      <c r="H436" s="35" t="n"/>
    </row>
    <row r="437">
      <c r="B437" s="40" t="n"/>
      <c r="C437" s="39" t="n"/>
      <c r="D437" s="41" t="n"/>
      <c r="E437" s="42" t="n"/>
      <c r="F437" s="39" t="n"/>
      <c r="G437" s="39" t="n"/>
      <c r="H437" s="41" t="n"/>
    </row>
    <row r="438">
      <c r="B438" s="34" t="n"/>
      <c r="C438" s="32" t="n"/>
      <c r="D438" s="35" t="n"/>
      <c r="E438" s="36" t="n"/>
      <c r="F438" s="32" t="n"/>
      <c r="G438" s="32" t="n"/>
      <c r="H438" s="35" t="n"/>
    </row>
    <row r="439">
      <c r="B439" s="40" t="n"/>
      <c r="C439" s="39" t="n"/>
      <c r="D439" s="41" t="n"/>
      <c r="E439" s="42" t="n"/>
      <c r="F439" s="39" t="n"/>
      <c r="G439" s="39" t="n"/>
      <c r="H439" s="41" t="n"/>
    </row>
    <row r="440">
      <c r="B440" s="34" t="n"/>
      <c r="C440" s="32" t="n"/>
      <c r="D440" s="35" t="n"/>
      <c r="E440" s="36" t="n"/>
      <c r="F440" s="32" t="n"/>
      <c r="G440" s="32" t="n"/>
      <c r="H440" s="35" t="n"/>
    </row>
    <row r="441">
      <c r="B441" s="40" t="n"/>
      <c r="C441" s="39" t="n"/>
      <c r="D441" s="41" t="n"/>
      <c r="E441" s="42" t="n"/>
      <c r="F441" s="39" t="n"/>
      <c r="G441" s="39" t="n"/>
      <c r="H441" s="41" t="n"/>
    </row>
    <row r="442">
      <c r="B442" s="34" t="n"/>
      <c r="C442" s="32" t="n"/>
      <c r="D442" s="35" t="n"/>
      <c r="E442" s="36" t="n"/>
      <c r="F442" s="32" t="n"/>
      <c r="G442" s="32" t="n"/>
      <c r="H442" s="35" t="n"/>
    </row>
    <row r="443">
      <c r="B443" s="40" t="n"/>
      <c r="C443" s="39" t="n"/>
      <c r="D443" s="41" t="n"/>
      <c r="E443" s="42" t="n"/>
      <c r="F443" s="39" t="n"/>
      <c r="G443" s="39" t="n"/>
      <c r="H443" s="41" t="n"/>
    </row>
    <row r="444">
      <c r="B444" s="34" t="n"/>
      <c r="C444" s="32" t="n"/>
      <c r="D444" s="35" t="n"/>
      <c r="E444" s="36" t="n"/>
      <c r="F444" s="32" t="n"/>
      <c r="G444" s="32" t="n"/>
      <c r="H444" s="35" t="n"/>
    </row>
    <row r="445">
      <c r="B445" s="40" t="n"/>
      <c r="C445" s="39" t="n"/>
      <c r="D445" s="41" t="n"/>
      <c r="E445" s="42" t="n"/>
      <c r="F445" s="39" t="n"/>
      <c r="G445" s="39" t="n"/>
      <c r="H445" s="41" t="n"/>
    </row>
    <row r="446">
      <c r="B446" s="34" t="n"/>
      <c r="C446" s="32" t="n"/>
      <c r="D446" s="35" t="n"/>
      <c r="E446" s="36" t="n"/>
      <c r="F446" s="32" t="n"/>
      <c r="G446" s="32" t="n"/>
      <c r="H446" s="35" t="n"/>
    </row>
    <row r="447">
      <c r="B447" s="40" t="n"/>
      <c r="C447" s="39" t="n"/>
      <c r="D447" s="41" t="n"/>
      <c r="E447" s="42" t="n"/>
      <c r="F447" s="39" t="n"/>
      <c r="G447" s="39" t="n"/>
      <c r="H447" s="41" t="n"/>
    </row>
    <row r="448">
      <c r="B448" s="34" t="n"/>
      <c r="C448" s="32" t="n"/>
      <c r="D448" s="35" t="n"/>
      <c r="E448" s="36" t="n"/>
      <c r="F448" s="32" t="n"/>
      <c r="G448" s="32" t="n"/>
      <c r="H448" s="35" t="n"/>
    </row>
    <row r="449">
      <c r="B449" s="40" t="n"/>
      <c r="C449" s="39" t="n"/>
      <c r="D449" s="41" t="n"/>
      <c r="E449" s="42" t="n"/>
      <c r="F449" s="39" t="n"/>
      <c r="G449" s="39" t="n"/>
      <c r="H449" s="41" t="n"/>
    </row>
    <row r="450">
      <c r="B450" s="34" t="n"/>
      <c r="C450" s="32" t="n"/>
      <c r="D450" s="35" t="n"/>
      <c r="E450" s="36" t="n"/>
      <c r="F450" s="32" t="n"/>
      <c r="G450" s="32" t="n"/>
      <c r="H450" s="35" t="n"/>
    </row>
    <row r="451">
      <c r="B451" s="40" t="n"/>
      <c r="C451" s="39" t="n"/>
      <c r="D451" s="41" t="n"/>
      <c r="E451" s="42" t="n"/>
      <c r="F451" s="39" t="n"/>
      <c r="G451" s="39" t="n"/>
      <c r="H451" s="41" t="n"/>
    </row>
    <row r="452">
      <c r="B452" s="34" t="n"/>
      <c r="C452" s="32" t="n"/>
      <c r="D452" s="35" t="n"/>
      <c r="E452" s="36" t="n"/>
      <c r="F452" s="32" t="n"/>
      <c r="G452" s="32" t="n"/>
      <c r="H452" s="35" t="n"/>
    </row>
    <row r="453">
      <c r="B453" s="40" t="n"/>
      <c r="C453" s="39" t="n"/>
      <c r="D453" s="41" t="n"/>
      <c r="E453" s="42" t="n"/>
      <c r="F453" s="39" t="n"/>
      <c r="G453" s="39" t="n"/>
      <c r="H453" s="41" t="n"/>
    </row>
    <row r="454">
      <c r="B454" s="34" t="n"/>
      <c r="C454" s="32" t="n"/>
      <c r="D454" s="35" t="n"/>
      <c r="E454" s="36" t="n"/>
      <c r="F454" s="32" t="n"/>
      <c r="G454" s="32" t="n"/>
      <c r="H454" s="35" t="n"/>
    </row>
    <row r="455">
      <c r="B455" s="40" t="n"/>
      <c r="C455" s="39" t="n"/>
      <c r="D455" s="41" t="n"/>
      <c r="E455" s="42" t="n"/>
      <c r="F455" s="39" t="n"/>
      <c r="G455" s="39" t="n"/>
      <c r="H455" s="41" t="n"/>
    </row>
    <row r="456">
      <c r="B456" s="34" t="n"/>
      <c r="C456" s="32" t="n"/>
      <c r="D456" s="35" t="n"/>
      <c r="E456" s="36" t="n"/>
      <c r="F456" s="32" t="n"/>
      <c r="G456" s="32" t="n"/>
      <c r="H456" s="35" t="n"/>
    </row>
    <row r="457">
      <c r="B457" s="40" t="n"/>
      <c r="C457" s="39" t="n"/>
      <c r="D457" s="41" t="n"/>
      <c r="E457" s="42" t="n"/>
      <c r="F457" s="39" t="n"/>
      <c r="G457" s="39" t="n"/>
      <c r="H457" s="41" t="n"/>
    </row>
    <row r="458">
      <c r="B458" s="34" t="n"/>
      <c r="C458" s="32" t="n"/>
      <c r="D458" s="35" t="n"/>
      <c r="E458" s="36" t="n"/>
      <c r="F458" s="32" t="n"/>
      <c r="G458" s="32" t="n"/>
      <c r="H458" s="35" t="n"/>
    </row>
    <row r="459">
      <c r="B459" s="40" t="n"/>
      <c r="C459" s="39" t="n"/>
      <c r="D459" s="41" t="n"/>
      <c r="E459" s="42" t="n"/>
      <c r="F459" s="39" t="n"/>
      <c r="G459" s="39" t="n"/>
      <c r="H459" s="41" t="n"/>
    </row>
    <row r="460">
      <c r="B460" s="34" t="n"/>
      <c r="C460" s="32" t="n"/>
      <c r="D460" s="35" t="n"/>
      <c r="E460" s="36" t="n"/>
      <c r="F460" s="32" t="n"/>
      <c r="G460" s="32" t="n"/>
      <c r="H460" s="35" t="n"/>
    </row>
    <row r="461">
      <c r="B461" s="40" t="n"/>
      <c r="C461" s="39" t="n"/>
      <c r="D461" s="41" t="n"/>
      <c r="E461" s="42" t="n"/>
      <c r="F461" s="39" t="n"/>
      <c r="G461" s="39" t="n"/>
      <c r="H461" s="41" t="n"/>
    </row>
    <row r="462">
      <c r="B462" s="34" t="n"/>
      <c r="C462" s="32" t="n"/>
      <c r="D462" s="35" t="n"/>
      <c r="E462" s="36" t="n"/>
      <c r="F462" s="32" t="n"/>
      <c r="G462" s="32" t="n"/>
      <c r="H462" s="35" t="n"/>
    </row>
    <row r="463">
      <c r="B463" s="40" t="n"/>
      <c r="C463" s="39" t="n"/>
      <c r="D463" s="41" t="n"/>
      <c r="E463" s="42" t="n"/>
      <c r="F463" s="39" t="n"/>
      <c r="G463" s="39" t="n"/>
      <c r="H463" s="41" t="n"/>
    </row>
    <row r="464">
      <c r="B464" s="34" t="n"/>
      <c r="C464" s="32" t="n"/>
      <c r="D464" s="35" t="n"/>
      <c r="E464" s="36" t="n"/>
      <c r="F464" s="32" t="n"/>
      <c r="G464" s="32" t="n"/>
      <c r="H464" s="35" t="n"/>
    </row>
    <row r="465">
      <c r="B465" s="40" t="n"/>
      <c r="C465" s="39" t="n"/>
      <c r="D465" s="41" t="n"/>
      <c r="E465" s="42" t="n"/>
      <c r="F465" s="39" t="n"/>
      <c r="G465" s="39" t="n"/>
      <c r="H465" s="41" t="n"/>
    </row>
    <row r="466">
      <c r="B466" s="34" t="n"/>
      <c r="C466" s="32" t="n"/>
      <c r="D466" s="35" t="n"/>
      <c r="E466" s="36" t="n"/>
      <c r="F466" s="32" t="n"/>
      <c r="G466" s="32" t="n"/>
      <c r="H466" s="35" t="n"/>
    </row>
    <row r="467">
      <c r="B467" s="40" t="n"/>
      <c r="C467" s="39" t="n"/>
      <c r="D467" s="41" t="n"/>
      <c r="E467" s="42" t="n"/>
      <c r="F467" s="39" t="n"/>
      <c r="G467" s="39" t="n"/>
      <c r="H467" s="41" t="n"/>
    </row>
    <row r="468">
      <c r="B468" s="34" t="n"/>
      <c r="C468" s="32" t="n"/>
      <c r="D468" s="35" t="n"/>
      <c r="E468" s="36" t="n"/>
      <c r="F468" s="32" t="n"/>
      <c r="G468" s="32" t="n"/>
      <c r="H468" s="35" t="n"/>
    </row>
    <row r="469">
      <c r="B469" s="40" t="n"/>
      <c r="C469" s="39" t="n"/>
      <c r="D469" s="41" t="n"/>
      <c r="E469" s="42" t="n"/>
      <c r="F469" s="39" t="n"/>
      <c r="G469" s="39" t="n"/>
      <c r="H469" s="41" t="n"/>
    </row>
    <row r="470">
      <c r="B470" s="34" t="n"/>
      <c r="C470" s="32" t="n"/>
      <c r="D470" s="35" t="n"/>
      <c r="E470" s="36" t="n"/>
      <c r="F470" s="32" t="n"/>
      <c r="G470" s="32" t="n"/>
      <c r="H470" s="35" t="n"/>
    </row>
    <row r="471">
      <c r="B471" s="40" t="n"/>
      <c r="C471" s="39" t="n"/>
      <c r="D471" s="41" t="n"/>
      <c r="E471" s="42" t="n"/>
      <c r="F471" s="39" t="n"/>
      <c r="G471" s="39" t="n"/>
      <c r="H471" s="41" t="n"/>
    </row>
    <row r="472">
      <c r="B472" s="34" t="n"/>
      <c r="C472" s="32" t="n"/>
      <c r="D472" s="35" t="n"/>
      <c r="E472" s="36" t="n"/>
      <c r="F472" s="32" t="n"/>
      <c r="G472" s="32" t="n"/>
      <c r="H472" s="35" t="n"/>
    </row>
    <row r="473">
      <c r="B473" s="40" t="n"/>
      <c r="C473" s="39" t="n"/>
      <c r="D473" s="41" t="n"/>
      <c r="E473" s="42" t="n"/>
      <c r="F473" s="39" t="n"/>
      <c r="G473" s="39" t="n"/>
      <c r="H473" s="41" t="n"/>
    </row>
    <row r="474">
      <c r="B474" s="34" t="n"/>
      <c r="C474" s="32" t="n"/>
      <c r="D474" s="35" t="n"/>
      <c r="E474" s="36" t="n"/>
      <c r="F474" s="32" t="n"/>
      <c r="G474" s="32" t="n"/>
      <c r="H474" s="35" t="n"/>
    </row>
    <row r="475">
      <c r="B475" s="40" t="n"/>
      <c r="C475" s="39" t="n"/>
      <c r="D475" s="41" t="n"/>
      <c r="E475" s="42" t="n"/>
      <c r="F475" s="39" t="n"/>
      <c r="G475" s="39" t="n"/>
      <c r="H475" s="41" t="n"/>
    </row>
    <row r="476">
      <c r="B476" s="34" t="n"/>
      <c r="C476" s="32" t="n"/>
      <c r="D476" s="35" t="n"/>
      <c r="E476" s="36" t="n"/>
      <c r="F476" s="32" t="n"/>
      <c r="G476" s="32" t="n"/>
      <c r="H476" s="35" t="n"/>
    </row>
    <row r="477">
      <c r="B477" s="40" t="n"/>
      <c r="C477" s="39" t="n"/>
      <c r="D477" s="41" t="n"/>
      <c r="E477" s="42" t="n"/>
      <c r="F477" s="39" t="n"/>
      <c r="G477" s="39" t="n"/>
      <c r="H477" s="41" t="n"/>
    </row>
    <row r="478">
      <c r="B478" s="34" t="n"/>
      <c r="C478" s="32" t="n"/>
      <c r="D478" s="35" t="n"/>
      <c r="E478" s="36" t="n"/>
      <c r="F478" s="32" t="n"/>
      <c r="G478" s="32" t="n"/>
      <c r="H478" s="35" t="n"/>
    </row>
    <row r="479">
      <c r="B479" s="40" t="n"/>
      <c r="C479" s="39" t="n"/>
      <c r="D479" s="41" t="n"/>
      <c r="E479" s="42" t="n"/>
      <c r="F479" s="39" t="n"/>
      <c r="G479" s="39" t="n"/>
      <c r="H479" s="41" t="n"/>
    </row>
    <row r="480">
      <c r="B480" s="34" t="n"/>
      <c r="C480" s="32" t="n"/>
      <c r="D480" s="35" t="n"/>
      <c r="E480" s="36" t="n"/>
      <c r="F480" s="32" t="n"/>
      <c r="G480" s="32" t="n"/>
      <c r="H480" s="35" t="n"/>
    </row>
    <row r="481">
      <c r="B481" s="40" t="n"/>
      <c r="C481" s="39" t="n"/>
      <c r="D481" s="41" t="n"/>
      <c r="E481" s="42" t="n"/>
      <c r="F481" s="39" t="n"/>
      <c r="G481" s="39" t="n"/>
      <c r="H481" s="41" t="n"/>
    </row>
    <row r="482">
      <c r="B482" s="34" t="n"/>
      <c r="C482" s="32" t="n"/>
      <c r="D482" s="35" t="n"/>
      <c r="E482" s="36" t="n"/>
      <c r="F482" s="32" t="n"/>
      <c r="G482" s="32" t="n"/>
      <c r="H482" s="35" t="n"/>
    </row>
    <row r="483">
      <c r="B483" s="40" t="n"/>
      <c r="C483" s="39" t="n"/>
      <c r="D483" s="41" t="n"/>
      <c r="E483" s="42" t="n"/>
      <c r="F483" s="39" t="n"/>
      <c r="G483" s="39" t="n"/>
      <c r="H483" s="41" t="n"/>
    </row>
    <row r="484">
      <c r="B484" s="34" t="n"/>
      <c r="C484" s="32" t="n"/>
      <c r="D484" s="35" t="n"/>
      <c r="E484" s="36" t="n"/>
      <c r="F484" s="32" t="n"/>
      <c r="G484" s="32" t="n"/>
      <c r="H484" s="35" t="n"/>
    </row>
    <row r="485">
      <c r="B485" s="40" t="n"/>
      <c r="C485" s="39" t="n"/>
      <c r="D485" s="41" t="n"/>
      <c r="E485" s="42" t="n"/>
      <c r="F485" s="39" t="n"/>
      <c r="G485" s="39" t="n"/>
      <c r="H485" s="41" t="n"/>
    </row>
    <row r="486">
      <c r="B486" s="34" t="n"/>
      <c r="C486" s="32" t="n"/>
      <c r="D486" s="35" t="n"/>
      <c r="E486" s="36" t="n"/>
      <c r="F486" s="32" t="n"/>
      <c r="G486" s="32" t="n"/>
      <c r="H486" s="35" t="n"/>
    </row>
    <row r="487">
      <c r="B487" s="40" t="n"/>
      <c r="C487" s="39" t="n"/>
      <c r="D487" s="41" t="n"/>
      <c r="E487" s="42" t="n"/>
      <c r="F487" s="39" t="n"/>
      <c r="G487" s="39" t="n"/>
      <c r="H487" s="41" t="n"/>
    </row>
    <row r="488">
      <c r="B488" s="34" t="n"/>
      <c r="C488" s="32" t="n"/>
      <c r="D488" s="35" t="n"/>
      <c r="E488" s="36" t="n"/>
      <c r="F488" s="32" t="n"/>
      <c r="G488" s="32" t="n"/>
      <c r="H488" s="35" t="n"/>
    </row>
    <row r="489">
      <c r="B489" s="40" t="n"/>
      <c r="C489" s="39" t="n"/>
      <c r="D489" s="41" t="n"/>
      <c r="E489" s="42" t="n"/>
      <c r="F489" s="39" t="n"/>
      <c r="G489" s="39" t="n"/>
      <c r="H489" s="41" t="n"/>
    </row>
    <row r="490">
      <c r="B490" s="34" t="n"/>
      <c r="C490" s="32" t="n"/>
      <c r="D490" s="35" t="n"/>
      <c r="E490" s="36" t="n"/>
      <c r="F490" s="32" t="n"/>
      <c r="G490" s="32" t="n"/>
      <c r="H490" s="35" t="n"/>
    </row>
    <row r="491">
      <c r="B491" s="40" t="n"/>
      <c r="C491" s="39" t="n"/>
      <c r="D491" s="41" t="n"/>
      <c r="E491" s="42" t="n"/>
      <c r="F491" s="39" t="n"/>
      <c r="G491" s="39" t="n"/>
      <c r="H491" s="41" t="n"/>
    </row>
    <row r="492">
      <c r="B492" s="34" t="n"/>
      <c r="C492" s="32" t="n"/>
      <c r="D492" s="35" t="n"/>
      <c r="E492" s="36" t="n"/>
      <c r="F492" s="32" t="n"/>
      <c r="G492" s="32" t="n"/>
      <c r="H492" s="35" t="n"/>
    </row>
    <row r="493">
      <c r="B493" s="40" t="n"/>
      <c r="C493" s="39" t="n"/>
      <c r="D493" s="41" t="n"/>
      <c r="E493" s="42" t="n"/>
      <c r="F493" s="39" t="n"/>
      <c r="G493" s="39" t="n"/>
      <c r="H493" s="41" t="n"/>
    </row>
    <row r="494">
      <c r="B494" s="34" t="n"/>
      <c r="C494" s="32" t="n"/>
      <c r="D494" s="35" t="n"/>
      <c r="E494" s="36" t="n"/>
      <c r="F494" s="32" t="n"/>
      <c r="G494" s="32" t="n"/>
      <c r="H494" s="35" t="n"/>
    </row>
    <row r="495">
      <c r="B495" s="40" t="n"/>
      <c r="C495" s="39" t="n"/>
      <c r="D495" s="41" t="n"/>
      <c r="E495" s="42" t="n"/>
      <c r="F495" s="39" t="n"/>
      <c r="G495" s="39" t="n"/>
      <c r="H495" s="41" t="n"/>
    </row>
    <row r="496">
      <c r="B496" s="34" t="n"/>
      <c r="C496" s="32" t="n"/>
      <c r="D496" s="35" t="n"/>
      <c r="E496" s="36" t="n"/>
      <c r="F496" s="32" t="n"/>
      <c r="G496" s="32" t="n"/>
      <c r="H496" s="35" t="n"/>
    </row>
    <row r="497">
      <c r="B497" s="40" t="n"/>
      <c r="C497" s="39" t="n"/>
      <c r="D497" s="41" t="n"/>
      <c r="E497" s="42" t="n"/>
      <c r="F497" s="39" t="n"/>
      <c r="G497" s="39" t="n"/>
      <c r="H497" s="41" t="n"/>
    </row>
    <row r="498">
      <c r="B498" s="34" t="n"/>
      <c r="C498" s="32" t="n"/>
      <c r="D498" s="35" t="n"/>
      <c r="E498" s="36" t="n"/>
      <c r="F498" s="32" t="n"/>
      <c r="G498" s="32" t="n"/>
      <c r="H498" s="35" t="n"/>
    </row>
    <row r="499">
      <c r="B499" s="40" t="n"/>
      <c r="C499" s="39" t="n"/>
      <c r="D499" s="41" t="n"/>
      <c r="E499" s="42" t="n"/>
      <c r="F499" s="39" t="n"/>
      <c r="G499" s="39" t="n"/>
      <c r="H499" s="41" t="n"/>
    </row>
    <row r="500">
      <c r="B500" s="34" t="n"/>
      <c r="C500" s="32" t="n"/>
      <c r="D500" s="35" t="n"/>
      <c r="E500" s="36" t="n"/>
      <c r="F500" s="32" t="n"/>
      <c r="G500" s="32" t="n"/>
      <c r="H500" s="35" t="n"/>
    </row>
    <row r="501">
      <c r="B501" s="40" t="n"/>
      <c r="C501" s="39" t="n"/>
      <c r="D501" s="41" t="n"/>
      <c r="E501" s="42" t="n"/>
      <c r="F501" s="39" t="n"/>
      <c r="G501" s="39" t="n"/>
      <c r="H501" s="41" t="n"/>
    </row>
    <row r="502">
      <c r="B502" s="34" t="n"/>
      <c r="C502" s="32" t="n"/>
      <c r="D502" s="35" t="n"/>
      <c r="E502" s="36" t="n"/>
      <c r="F502" s="32" t="n"/>
      <c r="G502" s="32" t="n"/>
      <c r="H502" s="35" t="n"/>
    </row>
    <row r="503">
      <c r="B503" s="40" t="n"/>
      <c r="C503" s="39" t="n"/>
      <c r="D503" s="41" t="n"/>
      <c r="E503" s="42" t="n"/>
      <c r="F503" s="39" t="n"/>
      <c r="G503" s="39" t="n"/>
      <c r="H503" s="41" t="n"/>
    </row>
    <row r="504">
      <c r="B504" s="34" t="n"/>
      <c r="C504" s="32" t="n"/>
      <c r="D504" s="35" t="n"/>
      <c r="E504" s="36" t="n"/>
      <c r="F504" s="32" t="n"/>
      <c r="G504" s="32" t="n"/>
      <c r="H504" s="35" t="n"/>
    </row>
    <row r="505">
      <c r="B505" s="40" t="n"/>
      <c r="C505" s="39" t="n"/>
      <c r="D505" s="41" t="n"/>
      <c r="E505" s="42" t="n"/>
      <c r="F505" s="39" t="n"/>
      <c r="G505" s="39" t="n"/>
      <c r="H505" s="41" t="n"/>
    </row>
    <row r="506">
      <c r="B506" s="34" t="n"/>
      <c r="C506" s="32" t="n"/>
      <c r="D506" s="35" t="n"/>
      <c r="E506" s="36" t="n"/>
      <c r="F506" s="32" t="n"/>
      <c r="G506" s="32" t="n"/>
      <c r="H506" s="35" t="n"/>
    </row>
    <row r="507">
      <c r="B507" s="40" t="n"/>
      <c r="C507" s="39" t="n"/>
      <c r="D507" s="41" t="n"/>
      <c r="E507" s="42" t="n"/>
      <c r="F507" s="39" t="n"/>
      <c r="G507" s="39" t="n"/>
      <c r="H507" s="41" t="n"/>
    </row>
    <row r="508">
      <c r="B508" s="34" t="n"/>
      <c r="C508" s="32" t="n"/>
      <c r="D508" s="35" t="n"/>
      <c r="E508" s="36" t="n"/>
      <c r="F508" s="32" t="n"/>
      <c r="G508" s="32" t="n"/>
      <c r="H508" s="35" t="n"/>
    </row>
    <row r="509">
      <c r="B509" s="40" t="n"/>
      <c r="C509" s="39" t="n"/>
      <c r="D509" s="41" t="n"/>
      <c r="E509" s="42" t="n"/>
      <c r="F509" s="39" t="n"/>
      <c r="G509" s="39" t="n"/>
      <c r="H509" s="41" t="n"/>
    </row>
    <row r="510">
      <c r="B510" s="34" t="n"/>
      <c r="C510" s="32" t="n"/>
      <c r="D510" s="35" t="n"/>
      <c r="E510" s="36" t="n"/>
      <c r="F510" s="32" t="n"/>
      <c r="G510" s="32" t="n"/>
      <c r="H510" s="35" t="n"/>
    </row>
    <row r="511">
      <c r="B511" s="40" t="n"/>
      <c r="C511" s="39" t="n"/>
      <c r="D511" s="41" t="n"/>
      <c r="E511" s="42" t="n"/>
      <c r="F511" s="39" t="n"/>
      <c r="G511" s="39" t="n"/>
      <c r="H511" s="41" t="n"/>
    </row>
    <row r="512">
      <c r="B512" s="34" t="n"/>
      <c r="C512" s="32" t="n"/>
      <c r="D512" s="35" t="n"/>
      <c r="E512" s="36" t="n"/>
      <c r="F512" s="32" t="n"/>
      <c r="G512" s="32" t="n"/>
      <c r="H512" s="35" t="n"/>
    </row>
    <row r="513">
      <c r="B513" s="40" t="n"/>
      <c r="C513" s="39" t="n"/>
      <c r="D513" s="41" t="n"/>
      <c r="E513" s="42" t="n"/>
      <c r="F513" s="39" t="n"/>
      <c r="G513" s="39" t="n"/>
      <c r="H513" s="41" t="n"/>
    </row>
    <row r="514">
      <c r="B514" s="34" t="n"/>
      <c r="C514" s="32" t="n"/>
      <c r="D514" s="35" t="n"/>
      <c r="E514" s="36" t="n"/>
      <c r="F514" s="32" t="n"/>
      <c r="G514" s="32" t="n"/>
      <c r="H514" s="35" t="n"/>
    </row>
    <row r="515">
      <c r="B515" s="40" t="n"/>
      <c r="C515" s="39" t="n"/>
      <c r="D515" s="41" t="n"/>
      <c r="E515" s="42" t="n"/>
      <c r="F515" s="39" t="n"/>
      <c r="G515" s="39" t="n"/>
      <c r="H515" s="41" t="n"/>
    </row>
    <row r="516">
      <c r="B516" s="34" t="n"/>
      <c r="C516" s="32" t="n"/>
      <c r="D516" s="35" t="n"/>
      <c r="E516" s="36" t="n"/>
      <c r="F516" s="32" t="n"/>
      <c r="G516" s="32" t="n"/>
      <c r="H516" s="35" t="n"/>
    </row>
    <row r="517">
      <c r="B517" s="40" t="n"/>
      <c r="C517" s="39" t="n"/>
      <c r="D517" s="41" t="n"/>
      <c r="E517" s="42" t="n"/>
      <c r="F517" s="39" t="n"/>
      <c r="G517" s="39" t="n"/>
      <c r="H517" s="41" t="n"/>
    </row>
    <row r="518">
      <c r="B518" s="34" t="n"/>
      <c r="C518" s="32" t="n"/>
      <c r="D518" s="35" t="n"/>
      <c r="E518" s="36" t="n"/>
      <c r="F518" s="32" t="n"/>
      <c r="G518" s="32" t="n"/>
      <c r="H518" s="35" t="n"/>
    </row>
    <row r="519">
      <c r="B519" s="40" t="n"/>
      <c r="C519" s="39" t="n"/>
      <c r="D519" s="41" t="n"/>
      <c r="E519" s="42" t="n"/>
      <c r="F519" s="39" t="n"/>
      <c r="G519" s="39" t="n"/>
      <c r="H519" s="41" t="n"/>
    </row>
    <row r="520">
      <c r="B520" s="34" t="n"/>
      <c r="C520" s="32" t="n"/>
      <c r="D520" s="35" t="n"/>
      <c r="E520" s="36" t="n"/>
      <c r="F520" s="32" t="n"/>
      <c r="G520" s="32" t="n"/>
      <c r="H520" s="35" t="n"/>
    </row>
    <row r="521">
      <c r="B521" s="40" t="n"/>
      <c r="C521" s="39" t="n"/>
      <c r="D521" s="41" t="n"/>
      <c r="E521" s="42" t="n"/>
      <c r="F521" s="39" t="n"/>
      <c r="G521" s="39" t="n"/>
      <c r="H521" s="41" t="n"/>
    </row>
    <row r="522">
      <c r="B522" s="34" t="n"/>
      <c r="C522" s="32" t="n"/>
      <c r="D522" s="35" t="n"/>
      <c r="E522" s="36" t="n"/>
      <c r="F522" s="32" t="n"/>
      <c r="G522" s="32" t="n"/>
      <c r="H522" s="35" t="n"/>
    </row>
    <row r="523">
      <c r="B523" s="40" t="n"/>
      <c r="C523" s="39" t="n"/>
      <c r="D523" s="41" t="n"/>
      <c r="E523" s="42" t="n"/>
      <c r="F523" s="39" t="n"/>
      <c r="G523" s="39" t="n"/>
      <c r="H523" s="41" t="n"/>
    </row>
    <row r="524">
      <c r="B524" s="34" t="n"/>
      <c r="C524" s="32" t="n"/>
      <c r="D524" s="35" t="n"/>
      <c r="E524" s="36" t="n"/>
      <c r="F524" s="32" t="n"/>
      <c r="G524" s="32" t="n"/>
      <c r="H524" s="35" t="n"/>
    </row>
    <row r="525">
      <c r="B525" s="40" t="n"/>
      <c r="C525" s="39" t="n"/>
      <c r="D525" s="41" t="n"/>
      <c r="E525" s="42" t="n"/>
      <c r="F525" s="39" t="n"/>
      <c r="G525" s="39" t="n"/>
      <c r="H525" s="41" t="n"/>
    </row>
    <row r="526">
      <c r="B526" s="34" t="n"/>
      <c r="C526" s="32" t="n"/>
      <c r="D526" s="35" t="n"/>
      <c r="E526" s="36" t="n"/>
      <c r="F526" s="32" t="n"/>
      <c r="G526" s="32" t="n"/>
      <c r="H526" s="35" t="n"/>
    </row>
    <row r="527">
      <c r="B527" s="40" t="n"/>
      <c r="C527" s="39" t="n"/>
      <c r="D527" s="41" t="n"/>
      <c r="E527" s="42" t="n"/>
      <c r="F527" s="39" t="n"/>
      <c r="G527" s="39" t="n"/>
      <c r="H527" s="41" t="n"/>
    </row>
    <row r="528">
      <c r="B528" s="34" t="n"/>
      <c r="C528" s="32" t="n"/>
      <c r="D528" s="35" t="n"/>
      <c r="E528" s="36" t="n"/>
      <c r="F528" s="32" t="n"/>
      <c r="G528" s="32" t="n"/>
      <c r="H528" s="35" t="n"/>
    </row>
    <row r="529">
      <c r="B529" s="40" t="n"/>
      <c r="C529" s="39" t="n"/>
      <c r="D529" s="41" t="n"/>
      <c r="E529" s="42" t="n"/>
      <c r="F529" s="39" t="n"/>
      <c r="G529" s="39" t="n"/>
      <c r="H529" s="41" t="n"/>
    </row>
    <row r="530">
      <c r="B530" s="34" t="n"/>
      <c r="C530" s="32" t="n"/>
      <c r="D530" s="35" t="n"/>
      <c r="E530" s="36" t="n"/>
      <c r="F530" s="32" t="n"/>
      <c r="G530" s="32" t="n"/>
      <c r="H530" s="35" t="n"/>
    </row>
    <row r="531">
      <c r="B531" s="40" t="n"/>
      <c r="C531" s="39" t="n"/>
      <c r="D531" s="41" t="n"/>
      <c r="E531" s="42" t="n"/>
      <c r="F531" s="39" t="n"/>
      <c r="G531" s="39" t="n"/>
      <c r="H531" s="41" t="n"/>
    </row>
    <row r="532">
      <c r="B532" s="34" t="n"/>
      <c r="C532" s="32" t="n"/>
      <c r="D532" s="35" t="n"/>
      <c r="E532" s="36" t="n"/>
      <c r="F532" s="32" t="n"/>
      <c r="G532" s="32" t="n"/>
      <c r="H532" s="35" t="n"/>
    </row>
    <row r="533">
      <c r="B533" s="40" t="n"/>
      <c r="C533" s="39" t="n"/>
      <c r="D533" s="41" t="n"/>
      <c r="E533" s="42" t="n"/>
      <c r="F533" s="39" t="n"/>
      <c r="G533" s="39" t="n"/>
      <c r="H533" s="41" t="n"/>
    </row>
    <row r="534">
      <c r="B534" s="34" t="n"/>
      <c r="C534" s="32" t="n"/>
      <c r="D534" s="35" t="n"/>
      <c r="E534" s="36" t="n"/>
      <c r="F534" s="32" t="n"/>
      <c r="G534" s="32" t="n"/>
      <c r="H534" s="35" t="n"/>
    </row>
    <row r="535">
      <c r="B535" s="40" t="n"/>
      <c r="C535" s="39" t="n"/>
      <c r="D535" s="41" t="n"/>
      <c r="E535" s="42" t="n"/>
      <c r="F535" s="39" t="n"/>
      <c r="G535" s="39" t="n"/>
      <c r="H535" s="41" t="n"/>
    </row>
    <row r="536">
      <c r="B536" s="34" t="n"/>
      <c r="C536" s="32" t="n"/>
      <c r="D536" s="35" t="n"/>
      <c r="E536" s="36" t="n"/>
      <c r="F536" s="32" t="n"/>
      <c r="G536" s="32" t="n"/>
      <c r="H536" s="35" t="n"/>
    </row>
    <row r="537">
      <c r="B537" s="40" t="n"/>
      <c r="C537" s="39" t="n"/>
      <c r="D537" s="41" t="n"/>
      <c r="E537" s="42" t="n"/>
      <c r="F537" s="39" t="n"/>
      <c r="G537" s="39" t="n"/>
      <c r="H537" s="41" t="n"/>
    </row>
    <row r="538">
      <c r="B538" s="34" t="n"/>
      <c r="C538" s="32" t="n"/>
      <c r="D538" s="35" t="n"/>
      <c r="E538" s="36" t="n"/>
      <c r="F538" s="32" t="n"/>
      <c r="G538" s="32" t="n"/>
      <c r="H538" s="35" t="n"/>
    </row>
    <row r="539">
      <c r="B539" s="40" t="n"/>
      <c r="C539" s="39" t="n"/>
      <c r="D539" s="41" t="n"/>
      <c r="E539" s="42" t="n"/>
      <c r="F539" s="39" t="n"/>
      <c r="G539" s="39" t="n"/>
      <c r="H539" s="41" t="n"/>
    </row>
    <row r="540">
      <c r="B540" s="34" t="n"/>
      <c r="C540" s="32" t="n"/>
      <c r="D540" s="35" t="n"/>
      <c r="E540" s="36" t="n"/>
      <c r="F540" s="32" t="n"/>
      <c r="G540" s="32" t="n"/>
      <c r="H540" s="35" t="n"/>
    </row>
    <row r="541">
      <c r="B541" s="40" t="n"/>
      <c r="C541" s="39" t="n"/>
      <c r="D541" s="41" t="n"/>
      <c r="E541" s="42" t="n"/>
      <c r="F541" s="39" t="n"/>
      <c r="G541" s="39" t="n"/>
      <c r="H541" s="41" t="n"/>
    </row>
    <row r="542">
      <c r="B542" s="34" t="n"/>
      <c r="C542" s="32" t="n"/>
      <c r="D542" s="35" t="n"/>
      <c r="E542" s="36" t="n"/>
      <c r="F542" s="32" t="n"/>
      <c r="G542" s="32" t="n"/>
      <c r="H542" s="35" t="n"/>
    </row>
    <row r="543">
      <c r="B543" s="40" t="n"/>
      <c r="C543" s="39" t="n"/>
      <c r="D543" s="41" t="n"/>
      <c r="E543" s="42" t="n"/>
      <c r="F543" s="39" t="n"/>
      <c r="G543" s="39" t="n"/>
      <c r="H543" s="41" t="n"/>
    </row>
    <row r="544">
      <c r="B544" s="34" t="n"/>
      <c r="C544" s="32" t="n"/>
      <c r="D544" s="35" t="n"/>
      <c r="E544" s="36" t="n"/>
      <c r="F544" s="32" t="n"/>
      <c r="G544" s="32" t="n"/>
      <c r="H544" s="35" t="n"/>
    </row>
    <row r="545">
      <c r="B545" s="40" t="n"/>
      <c r="C545" s="39" t="n"/>
      <c r="D545" s="41" t="n"/>
      <c r="E545" s="42" t="n"/>
      <c r="F545" s="39" t="n"/>
      <c r="G545" s="39" t="n"/>
      <c r="H545" s="41" t="n"/>
    </row>
    <row r="546">
      <c r="B546" s="34" t="n"/>
      <c r="C546" s="32" t="n"/>
      <c r="D546" s="35" t="n"/>
      <c r="E546" s="36" t="n"/>
      <c r="F546" s="32" t="n"/>
      <c r="G546" s="32" t="n"/>
      <c r="H546" s="35" t="n"/>
    </row>
    <row r="547">
      <c r="B547" s="40" t="n"/>
      <c r="C547" s="39" t="n"/>
      <c r="D547" s="41" t="n"/>
      <c r="E547" s="42" t="n"/>
      <c r="F547" s="39" t="n"/>
      <c r="G547" s="39" t="n"/>
      <c r="H547" s="41" t="n"/>
    </row>
    <row r="548">
      <c r="B548" s="34" t="n"/>
      <c r="C548" s="32" t="n"/>
      <c r="D548" s="35" t="n"/>
      <c r="E548" s="36" t="n"/>
      <c r="F548" s="32" t="n"/>
      <c r="G548" s="32" t="n"/>
      <c r="H548" s="35" t="n"/>
    </row>
    <row r="549">
      <c r="B549" s="40" t="n"/>
      <c r="C549" s="39" t="n"/>
      <c r="D549" s="41" t="n"/>
      <c r="E549" s="42" t="n"/>
      <c r="F549" s="39" t="n"/>
      <c r="G549" s="39" t="n"/>
      <c r="H549" s="41" t="n"/>
    </row>
    <row r="550">
      <c r="B550" s="34" t="n"/>
      <c r="C550" s="32" t="n"/>
      <c r="D550" s="35" t="n"/>
      <c r="E550" s="36" t="n"/>
      <c r="F550" s="32" t="n"/>
      <c r="G550" s="32" t="n"/>
      <c r="H550" s="35" t="n"/>
    </row>
    <row r="551">
      <c r="B551" s="40" t="n"/>
      <c r="C551" s="39" t="n"/>
      <c r="D551" s="41" t="n"/>
      <c r="E551" s="42" t="n"/>
      <c r="F551" s="39" t="n"/>
      <c r="G551" s="39" t="n"/>
      <c r="H551" s="41" t="n"/>
    </row>
    <row r="552">
      <c r="B552" s="34" t="n"/>
      <c r="C552" s="32" t="n"/>
      <c r="D552" s="35" t="n"/>
      <c r="E552" s="36" t="n"/>
      <c r="F552" s="32" t="n"/>
      <c r="G552" s="32" t="n"/>
      <c r="H552" s="35" t="n"/>
    </row>
    <row r="553">
      <c r="B553" s="40" t="n"/>
      <c r="C553" s="39" t="n"/>
      <c r="D553" s="41" t="n"/>
      <c r="E553" s="42" t="n"/>
      <c r="F553" s="39" t="n"/>
      <c r="G553" s="39" t="n"/>
      <c r="H553" s="41" t="n"/>
    </row>
    <row r="554">
      <c r="B554" s="34" t="n"/>
      <c r="C554" s="32" t="n"/>
      <c r="D554" s="35" t="n"/>
      <c r="E554" s="36" t="n"/>
      <c r="F554" s="32" t="n"/>
      <c r="G554" s="32" t="n"/>
      <c r="H554" s="35" t="n"/>
    </row>
    <row r="555">
      <c r="B555" s="40" t="n"/>
      <c r="C555" s="39" t="n"/>
      <c r="D555" s="41" t="n"/>
      <c r="E555" s="42" t="n"/>
      <c r="F555" s="39" t="n"/>
      <c r="G555" s="39" t="n"/>
      <c r="H555" s="41" t="n"/>
    </row>
    <row r="556">
      <c r="B556" s="34" t="n"/>
      <c r="C556" s="32" t="n"/>
      <c r="D556" s="35" t="n"/>
      <c r="E556" s="36" t="n"/>
      <c r="F556" s="32" t="n"/>
      <c r="G556" s="32" t="n"/>
      <c r="H556" s="35" t="n"/>
    </row>
    <row r="557">
      <c r="B557" s="40" t="n"/>
      <c r="C557" s="39" t="n"/>
      <c r="D557" s="41" t="n"/>
      <c r="E557" s="42" t="n"/>
      <c r="F557" s="39" t="n"/>
      <c r="G557" s="39" t="n"/>
      <c r="H557" s="41" t="n"/>
    </row>
    <row r="558">
      <c r="B558" s="34" t="n"/>
      <c r="C558" s="32" t="n"/>
      <c r="D558" s="35" t="n"/>
      <c r="E558" s="36" t="n"/>
      <c r="F558" s="32" t="n"/>
      <c r="G558" s="32" t="n"/>
      <c r="H558" s="35" t="n"/>
    </row>
    <row r="559">
      <c r="B559" s="40" t="n"/>
      <c r="C559" s="39" t="n"/>
      <c r="D559" s="41" t="n"/>
      <c r="E559" s="42" t="n"/>
      <c r="F559" s="39" t="n"/>
      <c r="G559" s="39" t="n"/>
      <c r="H559" s="41" t="n"/>
    </row>
    <row r="560">
      <c r="B560" s="34" t="n"/>
      <c r="C560" s="32" t="n"/>
      <c r="D560" s="35" t="n"/>
      <c r="E560" s="36" t="n"/>
      <c r="F560" s="32" t="n"/>
      <c r="G560" s="32" t="n"/>
      <c r="H560" s="35" t="n"/>
    </row>
    <row r="561">
      <c r="B561" s="40" t="n"/>
      <c r="C561" s="39" t="n"/>
      <c r="D561" s="41" t="n"/>
      <c r="E561" s="42" t="n"/>
      <c r="F561" s="39" t="n"/>
      <c r="G561" s="39" t="n"/>
      <c r="H561" s="41" t="n"/>
    </row>
    <row r="562">
      <c r="B562" s="34" t="n"/>
      <c r="C562" s="32" t="n"/>
      <c r="D562" s="35" t="n"/>
      <c r="E562" s="36" t="n"/>
      <c r="F562" s="32" t="n"/>
      <c r="G562" s="32" t="n"/>
      <c r="H562" s="35" t="n"/>
    </row>
    <row r="563">
      <c r="B563" s="40" t="n"/>
      <c r="C563" s="39" t="n"/>
      <c r="D563" s="41" t="n"/>
      <c r="E563" s="42" t="n"/>
      <c r="F563" s="39" t="n"/>
      <c r="G563" s="39" t="n"/>
      <c r="H563" s="41" t="n"/>
    </row>
    <row r="564">
      <c r="B564" s="34" t="n"/>
      <c r="C564" s="32" t="n"/>
      <c r="D564" s="35" t="n"/>
      <c r="E564" s="36" t="n"/>
      <c r="F564" s="32" t="n"/>
      <c r="G564" s="32" t="n"/>
      <c r="H564" s="35" t="n"/>
    </row>
    <row r="565">
      <c r="B565" s="40" t="n"/>
      <c r="C565" s="39" t="n"/>
      <c r="D565" s="41" t="n"/>
      <c r="E565" s="42" t="n"/>
      <c r="F565" s="39" t="n"/>
      <c r="G565" s="39" t="n"/>
      <c r="H565" s="41" t="n"/>
    </row>
    <row r="566">
      <c r="B566" s="34" t="n"/>
      <c r="C566" s="32" t="n"/>
      <c r="D566" s="35" t="n"/>
      <c r="E566" s="36" t="n"/>
      <c r="F566" s="32" t="n"/>
      <c r="G566" s="32" t="n"/>
      <c r="H566" s="35" t="n"/>
    </row>
    <row r="567">
      <c r="B567" s="40" t="n"/>
      <c r="C567" s="39" t="n"/>
      <c r="D567" s="41" t="n"/>
      <c r="E567" s="42" t="n"/>
      <c r="F567" s="39" t="n"/>
      <c r="G567" s="39" t="n"/>
      <c r="H567" s="41" t="n"/>
    </row>
    <row r="568">
      <c r="B568" s="34" t="n"/>
      <c r="C568" s="32" t="n"/>
      <c r="D568" s="35" t="n"/>
      <c r="E568" s="36" t="n"/>
      <c r="F568" s="32" t="n"/>
      <c r="G568" s="32" t="n"/>
      <c r="H568" s="35" t="n"/>
    </row>
    <row r="569">
      <c r="B569" s="40" t="n"/>
      <c r="C569" s="39" t="n"/>
      <c r="D569" s="41" t="n"/>
      <c r="E569" s="42" t="n"/>
      <c r="F569" s="39" t="n"/>
      <c r="G569" s="39" t="n"/>
      <c r="H569" s="41" t="n"/>
    </row>
    <row r="570">
      <c r="B570" s="34" t="n"/>
      <c r="C570" s="32" t="n"/>
      <c r="D570" s="35" t="n"/>
      <c r="E570" s="36" t="n"/>
      <c r="F570" s="32" t="n"/>
      <c r="G570" s="32" t="n"/>
      <c r="H570" s="35" t="n"/>
    </row>
    <row r="571">
      <c r="B571" s="40" t="n"/>
      <c r="C571" s="39" t="n"/>
      <c r="D571" s="41" t="n"/>
      <c r="E571" s="42" t="n"/>
      <c r="F571" s="39" t="n"/>
      <c r="G571" s="39" t="n"/>
      <c r="H571" s="41" t="n"/>
    </row>
    <row r="572">
      <c r="B572" s="34" t="n"/>
      <c r="C572" s="32" t="n"/>
      <c r="D572" s="35" t="n"/>
      <c r="E572" s="36" t="n"/>
      <c r="F572" s="32" t="n"/>
      <c r="G572" s="32" t="n"/>
      <c r="H572" s="35" t="n"/>
    </row>
    <row r="573">
      <c r="B573" s="40" t="n"/>
      <c r="C573" s="39" t="n"/>
      <c r="D573" s="41" t="n"/>
      <c r="E573" s="42" t="n"/>
      <c r="F573" s="39" t="n"/>
      <c r="G573" s="39" t="n"/>
      <c r="H573" s="41" t="n"/>
    </row>
    <row r="574">
      <c r="B574" s="34" t="n"/>
      <c r="C574" s="32" t="n"/>
      <c r="D574" s="35" t="n"/>
      <c r="E574" s="36" t="n"/>
      <c r="F574" s="32" t="n"/>
      <c r="G574" s="32" t="n"/>
      <c r="H574" s="35" t="n"/>
    </row>
    <row r="575">
      <c r="B575" s="40" t="n"/>
      <c r="C575" s="39" t="n"/>
      <c r="D575" s="41" t="n"/>
      <c r="E575" s="42" t="n"/>
      <c r="F575" s="39" t="n"/>
      <c r="G575" s="39" t="n"/>
      <c r="H575" s="41" t="n"/>
    </row>
    <row r="576">
      <c r="B576" s="34" t="n"/>
      <c r="C576" s="32" t="n"/>
      <c r="D576" s="35" t="n"/>
      <c r="E576" s="36" t="n"/>
      <c r="F576" s="32" t="n"/>
      <c r="G576" s="32" t="n"/>
      <c r="H576" s="35" t="n"/>
    </row>
    <row r="577">
      <c r="B577" s="40" t="n"/>
      <c r="C577" s="39" t="n"/>
      <c r="D577" s="41" t="n"/>
      <c r="E577" s="42" t="n"/>
      <c r="F577" s="39" t="n"/>
      <c r="G577" s="39" t="n"/>
      <c r="H577" s="41" t="n"/>
    </row>
    <row r="578">
      <c r="B578" s="34" t="n"/>
      <c r="C578" s="32" t="n"/>
      <c r="D578" s="35" t="n"/>
      <c r="E578" s="36" t="n"/>
      <c r="F578" s="32" t="n"/>
      <c r="G578" s="32" t="n"/>
      <c r="H578" s="35" t="n"/>
    </row>
    <row r="579">
      <c r="B579" s="40" t="n"/>
      <c r="C579" s="39" t="n"/>
      <c r="D579" s="41" t="n"/>
      <c r="E579" s="42" t="n"/>
      <c r="F579" s="39" t="n"/>
      <c r="G579" s="39" t="n"/>
      <c r="H579" s="41" t="n"/>
    </row>
    <row r="580">
      <c r="B580" s="34" t="n"/>
      <c r="C580" s="32" t="n"/>
      <c r="D580" s="35" t="n"/>
      <c r="E580" s="36" t="n"/>
      <c r="F580" s="32" t="n"/>
      <c r="G580" s="32" t="n"/>
      <c r="H580" s="35" t="n"/>
    </row>
    <row r="581">
      <c r="B581" s="40" t="n"/>
      <c r="C581" s="39" t="n"/>
      <c r="D581" s="41" t="n"/>
      <c r="E581" s="42" t="n"/>
      <c r="F581" s="39" t="n"/>
      <c r="G581" s="39" t="n"/>
      <c r="H581" s="41" t="n"/>
    </row>
    <row r="582">
      <c r="B582" s="34" t="n"/>
      <c r="C582" s="32" t="n"/>
      <c r="D582" s="35" t="n"/>
      <c r="E582" s="36" t="n"/>
      <c r="F582" s="32" t="n"/>
      <c r="G582" s="32" t="n"/>
      <c r="H582" s="35" t="n"/>
    </row>
    <row r="583">
      <c r="B583" s="40" t="n"/>
      <c r="C583" s="39" t="n"/>
      <c r="D583" s="41" t="n"/>
      <c r="E583" s="42" t="n"/>
      <c r="F583" s="39" t="n"/>
      <c r="G583" s="39" t="n"/>
      <c r="H583" s="41" t="n"/>
    </row>
    <row r="584">
      <c r="B584" s="34" t="n"/>
      <c r="C584" s="32" t="n"/>
      <c r="D584" s="35" t="n"/>
      <c r="E584" s="36" t="n"/>
      <c r="F584" s="32" t="n"/>
      <c r="G584" s="32" t="n"/>
      <c r="H584" s="35" t="n"/>
    </row>
    <row r="585">
      <c r="B585" s="40" t="n"/>
      <c r="C585" s="39" t="n"/>
      <c r="D585" s="41" t="n"/>
      <c r="E585" s="42" t="n"/>
      <c r="F585" s="39" t="n"/>
      <c r="G585" s="39" t="n"/>
      <c r="H585" s="41" t="n"/>
    </row>
    <row r="586">
      <c r="B586" s="34" t="n"/>
      <c r="C586" s="32" t="n"/>
      <c r="D586" s="35" t="n"/>
      <c r="E586" s="36" t="n"/>
      <c r="F586" s="32" t="n"/>
      <c r="G586" s="32" t="n"/>
      <c r="H586" s="35" t="n"/>
    </row>
    <row r="587">
      <c r="B587" s="40" t="n"/>
      <c r="C587" s="39" t="n"/>
      <c r="D587" s="41" t="n"/>
      <c r="E587" s="42" t="n"/>
      <c r="F587" s="39" t="n"/>
      <c r="G587" s="39" t="n"/>
      <c r="H587" s="41" t="n"/>
    </row>
    <row r="588">
      <c r="B588" s="34" t="n"/>
      <c r="C588" s="32" t="n"/>
      <c r="D588" s="35" t="n"/>
      <c r="E588" s="36" t="n"/>
      <c r="F588" s="32" t="n"/>
      <c r="G588" s="32" t="n"/>
      <c r="H588" s="35" t="n"/>
    </row>
    <row r="589">
      <c r="B589" s="40" t="n"/>
      <c r="C589" s="39" t="n"/>
      <c r="D589" s="41" t="n"/>
      <c r="E589" s="42" t="n"/>
      <c r="F589" s="39" t="n"/>
      <c r="G589" s="39" t="n"/>
      <c r="H589" s="41" t="n"/>
    </row>
    <row r="590">
      <c r="B590" s="34" t="n"/>
      <c r="C590" s="32" t="n"/>
      <c r="D590" s="35" t="n"/>
      <c r="E590" s="36" t="n"/>
      <c r="F590" s="32" t="n"/>
      <c r="G590" s="32" t="n"/>
      <c r="H590" s="35" t="n"/>
    </row>
    <row r="591">
      <c r="B591" s="40" t="n"/>
      <c r="C591" s="39" t="n"/>
      <c r="D591" s="41" t="n"/>
      <c r="E591" s="42" t="n"/>
      <c r="F591" s="39" t="n"/>
      <c r="G591" s="39" t="n"/>
      <c r="H591" s="41" t="n"/>
    </row>
    <row r="592">
      <c r="B592" s="34" t="n"/>
      <c r="C592" s="32" t="n"/>
      <c r="D592" s="35" t="n"/>
      <c r="E592" s="36" t="n"/>
      <c r="F592" s="32" t="n"/>
      <c r="G592" s="32" t="n"/>
      <c r="H592" s="35" t="n"/>
    </row>
    <row r="593">
      <c r="B593" s="40" t="n"/>
      <c r="C593" s="39" t="n"/>
      <c r="D593" s="41" t="n"/>
      <c r="E593" s="42" t="n"/>
      <c r="F593" s="39" t="n"/>
      <c r="G593" s="39" t="n"/>
      <c r="H593" s="41" t="n"/>
    </row>
    <row r="594">
      <c r="B594" s="34" t="n"/>
      <c r="C594" s="32" t="n"/>
      <c r="D594" s="35" t="n"/>
      <c r="E594" s="36" t="n"/>
      <c r="F594" s="32" t="n"/>
      <c r="G594" s="32" t="n"/>
      <c r="H594" s="35" t="n"/>
    </row>
    <row r="595">
      <c r="B595" s="40" t="n"/>
      <c r="C595" s="39" t="n"/>
      <c r="D595" s="41" t="n"/>
      <c r="E595" s="42" t="n"/>
      <c r="F595" s="39" t="n"/>
      <c r="G595" s="39" t="n"/>
      <c r="H595" s="41" t="n"/>
    </row>
    <row r="596">
      <c r="B596" s="34" t="n"/>
      <c r="C596" s="32" t="n"/>
      <c r="D596" s="35" t="n"/>
      <c r="E596" s="36" t="n"/>
      <c r="F596" s="32" t="n"/>
      <c r="G596" s="32" t="n"/>
      <c r="H596" s="35" t="n"/>
    </row>
    <row r="597">
      <c r="B597" s="40" t="n"/>
      <c r="C597" s="39" t="n"/>
      <c r="D597" s="41" t="n"/>
      <c r="E597" s="42" t="n"/>
      <c r="F597" s="39" t="n"/>
      <c r="G597" s="39" t="n"/>
      <c r="H597" s="41" t="n"/>
    </row>
    <row r="598">
      <c r="B598" s="34" t="n"/>
      <c r="C598" s="32" t="n"/>
      <c r="D598" s="35" t="n"/>
      <c r="E598" s="36" t="n"/>
      <c r="F598" s="32" t="n"/>
      <c r="G598" s="32" t="n"/>
      <c r="H598" s="35" t="n"/>
    </row>
    <row r="599">
      <c r="B599" s="40" t="n"/>
      <c r="C599" s="39" t="n"/>
      <c r="D599" s="41" t="n"/>
      <c r="E599" s="42" t="n"/>
      <c r="F599" s="39" t="n"/>
      <c r="G599" s="39" t="n"/>
      <c r="H599" s="41" t="n"/>
    </row>
    <row r="600">
      <c r="B600" s="34" t="n"/>
      <c r="C600" s="32" t="n"/>
      <c r="D600" s="35" t="n"/>
      <c r="E600" s="36" t="n"/>
      <c r="F600" s="32" t="n"/>
      <c r="G600" s="32" t="n"/>
      <c r="H600" s="35" t="n"/>
    </row>
    <row r="601">
      <c r="B601" s="40" t="n"/>
      <c r="C601" s="39" t="n"/>
      <c r="D601" s="41" t="n"/>
      <c r="E601" s="42" t="n"/>
      <c r="F601" s="39" t="n"/>
      <c r="G601" s="39" t="n"/>
      <c r="H601" s="41" t="n"/>
    </row>
    <row r="602">
      <c r="B602" s="34" t="n"/>
      <c r="C602" s="32" t="n"/>
      <c r="D602" s="35" t="n"/>
      <c r="E602" s="36" t="n"/>
      <c r="F602" s="32" t="n"/>
      <c r="G602" s="32" t="n"/>
      <c r="H602" s="35" t="n"/>
    </row>
    <row r="603">
      <c r="B603" s="40" t="n"/>
      <c r="C603" s="39" t="n"/>
      <c r="D603" s="41" t="n"/>
      <c r="E603" s="42" t="n"/>
      <c r="F603" s="39" t="n"/>
      <c r="G603" s="39" t="n"/>
      <c r="H603" s="41" t="n"/>
    </row>
    <row r="604">
      <c r="B604" s="34" t="n"/>
      <c r="C604" s="32" t="n"/>
      <c r="D604" s="35" t="n"/>
      <c r="E604" s="36" t="n"/>
      <c r="F604" s="32" t="n"/>
      <c r="G604" s="32" t="n"/>
      <c r="H604" s="35" t="n"/>
    </row>
    <row r="605">
      <c r="B605" s="40" t="n"/>
      <c r="C605" s="39" t="n"/>
      <c r="D605" s="41" t="n"/>
      <c r="E605" s="42" t="n"/>
      <c r="F605" s="39" t="n"/>
      <c r="G605" s="39" t="n"/>
      <c r="H605" s="41" t="n"/>
    </row>
    <row r="606">
      <c r="B606" s="34" t="n"/>
      <c r="C606" s="32" t="n"/>
      <c r="D606" s="35" t="n"/>
      <c r="E606" s="36" t="n"/>
      <c r="F606" s="32" t="n"/>
      <c r="G606" s="32" t="n"/>
      <c r="H606" s="35" t="n"/>
    </row>
    <row r="607">
      <c r="B607" s="40" t="n"/>
      <c r="C607" s="39" t="n"/>
      <c r="D607" s="41" t="n"/>
      <c r="E607" s="42" t="n"/>
      <c r="F607" s="39" t="n"/>
      <c r="G607" s="39" t="n"/>
      <c r="H607" s="41" t="n"/>
    </row>
    <row r="608">
      <c r="B608" s="34" t="n"/>
      <c r="C608" s="32" t="n"/>
      <c r="D608" s="35" t="n"/>
      <c r="E608" s="36" t="n"/>
      <c r="F608" s="32" t="n"/>
      <c r="G608" s="32" t="n"/>
      <c r="H608" s="35" t="n"/>
    </row>
    <row r="609">
      <c r="B609" s="40" t="n"/>
      <c r="C609" s="39" t="n"/>
      <c r="D609" s="41" t="n"/>
      <c r="E609" s="42" t="n"/>
      <c r="F609" s="39" t="n"/>
      <c r="G609" s="39" t="n"/>
      <c r="H609" s="41" t="n"/>
    </row>
    <row r="610">
      <c r="B610" s="34" t="n"/>
      <c r="C610" s="32" t="n"/>
      <c r="D610" s="35" t="n"/>
      <c r="E610" s="36" t="n"/>
      <c r="F610" s="32" t="n"/>
      <c r="G610" s="32" t="n"/>
      <c r="H610" s="35" t="n"/>
    </row>
    <row r="611">
      <c r="B611" s="40" t="n"/>
      <c r="C611" s="39" t="n"/>
      <c r="D611" s="41" t="n"/>
      <c r="E611" s="42" t="n"/>
      <c r="F611" s="39" t="n"/>
      <c r="G611" s="39" t="n"/>
      <c r="H611" s="41" t="n"/>
    </row>
    <row r="612">
      <c r="B612" s="34" t="n"/>
      <c r="C612" s="32" t="n"/>
      <c r="D612" s="35" t="n"/>
      <c r="E612" s="36" t="n"/>
      <c r="F612" s="32" t="n"/>
      <c r="G612" s="32" t="n"/>
      <c r="H612" s="35" t="n"/>
    </row>
    <row r="613">
      <c r="B613" s="40" t="n"/>
      <c r="C613" s="39" t="n"/>
      <c r="D613" s="41" t="n"/>
      <c r="E613" s="42" t="n"/>
      <c r="F613" s="39" t="n"/>
      <c r="G613" s="39" t="n"/>
      <c r="H613" s="41" t="n"/>
    </row>
    <row r="614">
      <c r="B614" s="34" t="n"/>
      <c r="C614" s="32" t="n"/>
      <c r="D614" s="35" t="n"/>
      <c r="E614" s="36" t="n"/>
      <c r="F614" s="32" t="n"/>
      <c r="G614" s="32" t="n"/>
      <c r="H614" s="35" t="n"/>
    </row>
    <row r="615">
      <c r="B615" s="40" t="n"/>
      <c r="C615" s="39" t="n"/>
      <c r="D615" s="41" t="n"/>
      <c r="E615" s="42" t="n"/>
      <c r="F615" s="39" t="n"/>
      <c r="G615" s="39" t="n"/>
      <c r="H615" s="41" t="n"/>
    </row>
    <row r="616">
      <c r="B616" s="34" t="n"/>
      <c r="C616" s="32" t="n"/>
      <c r="D616" s="35" t="n"/>
      <c r="E616" s="36" t="n"/>
      <c r="F616" s="32" t="n"/>
      <c r="G616" s="32" t="n"/>
      <c r="H616" s="35" t="n"/>
    </row>
    <row r="617">
      <c r="B617" s="40" t="n"/>
      <c r="C617" s="39" t="n"/>
      <c r="D617" s="41" t="n"/>
      <c r="E617" s="42" t="n"/>
      <c r="F617" s="39" t="n"/>
      <c r="G617" s="39" t="n"/>
      <c r="H617" s="41" t="n"/>
    </row>
    <row r="618">
      <c r="B618" s="34" t="n"/>
      <c r="C618" s="32" t="n"/>
      <c r="D618" s="35" t="n"/>
      <c r="E618" s="36" t="n"/>
      <c r="F618" s="32" t="n"/>
      <c r="G618" s="32" t="n"/>
      <c r="H618" s="35" t="n"/>
    </row>
    <row r="619">
      <c r="B619" s="40" t="n"/>
      <c r="C619" s="39" t="n"/>
      <c r="D619" s="41" t="n"/>
      <c r="E619" s="42" t="n"/>
      <c r="F619" s="39" t="n"/>
      <c r="G619" s="39" t="n"/>
      <c r="H619" s="41" t="n"/>
    </row>
    <row r="620">
      <c r="B620" s="34" t="n"/>
      <c r="C620" s="32" t="n"/>
      <c r="D620" s="35" t="n"/>
      <c r="E620" s="36" t="n"/>
      <c r="F620" s="32" t="n"/>
      <c r="G620" s="32" t="n"/>
      <c r="H620" s="35" t="n"/>
    </row>
    <row r="621">
      <c r="B621" s="40" t="n"/>
      <c r="C621" s="39" t="n"/>
      <c r="D621" s="41" t="n"/>
      <c r="E621" s="42" t="n"/>
      <c r="F621" s="39" t="n"/>
      <c r="G621" s="39" t="n"/>
      <c r="H621" s="41" t="n"/>
    </row>
    <row r="622">
      <c r="B622" s="34" t="n"/>
      <c r="C622" s="32" t="n"/>
      <c r="D622" s="35" t="n"/>
      <c r="E622" s="36" t="n"/>
      <c r="F622" s="32" t="n"/>
      <c r="G622" s="32" t="n"/>
      <c r="H622" s="35" t="n"/>
    </row>
    <row r="623">
      <c r="B623" s="40" t="n"/>
      <c r="C623" s="39" t="n"/>
      <c r="D623" s="41" t="n"/>
      <c r="E623" s="42" t="n"/>
      <c r="F623" s="39" t="n"/>
      <c r="G623" s="39" t="n"/>
      <c r="H623" s="41" t="n"/>
    </row>
    <row r="624">
      <c r="B624" s="34" t="n"/>
      <c r="C624" s="32" t="n"/>
      <c r="D624" s="35" t="n"/>
      <c r="E624" s="36" t="n"/>
      <c r="F624" s="32" t="n"/>
      <c r="G624" s="32" t="n"/>
      <c r="H624" s="35" t="n"/>
    </row>
    <row r="625">
      <c r="B625" s="40" t="n"/>
      <c r="C625" s="39" t="n"/>
      <c r="D625" s="41" t="n"/>
      <c r="E625" s="42" t="n"/>
      <c r="F625" s="39" t="n"/>
      <c r="G625" s="39" t="n"/>
      <c r="H625" s="41" t="n"/>
    </row>
    <row r="626">
      <c r="B626" s="34" t="n"/>
      <c r="C626" s="32" t="n"/>
      <c r="D626" s="35" t="n"/>
      <c r="E626" s="36" t="n"/>
      <c r="F626" s="32" t="n"/>
      <c r="G626" s="32" t="n"/>
      <c r="H626" s="35" t="n"/>
    </row>
    <row r="627">
      <c r="B627" s="40" t="n"/>
      <c r="C627" s="39" t="n"/>
      <c r="D627" s="41" t="n"/>
      <c r="E627" s="42" t="n"/>
      <c r="F627" s="39" t="n"/>
      <c r="G627" s="39" t="n"/>
      <c r="H627" s="41" t="n"/>
    </row>
    <row r="628">
      <c r="B628" s="34" t="n"/>
      <c r="C628" s="32" t="n"/>
      <c r="D628" s="35" t="n"/>
      <c r="E628" s="36" t="n"/>
      <c r="F628" s="32" t="n"/>
      <c r="G628" s="32" t="n"/>
      <c r="H628" s="35" t="n"/>
    </row>
    <row r="629">
      <c r="B629" s="40" t="n"/>
      <c r="C629" s="39" t="n"/>
      <c r="D629" s="41" t="n"/>
      <c r="E629" s="42" t="n"/>
      <c r="F629" s="39" t="n"/>
      <c r="G629" s="39" t="n"/>
      <c r="H629" s="41" t="n"/>
    </row>
    <row r="630">
      <c r="B630" s="34" t="n"/>
      <c r="C630" s="32" t="n"/>
      <c r="D630" s="35" t="n"/>
      <c r="E630" s="36" t="n"/>
      <c r="F630" s="32" t="n"/>
      <c r="G630" s="32" t="n"/>
      <c r="H630" s="35" t="n"/>
    </row>
    <row r="631">
      <c r="B631" s="40" t="n"/>
      <c r="C631" s="39" t="n"/>
      <c r="D631" s="41" t="n"/>
      <c r="E631" s="42" t="n"/>
      <c r="F631" s="39" t="n"/>
      <c r="G631" s="39" t="n"/>
      <c r="H631" s="41" t="n"/>
    </row>
    <row r="632">
      <c r="B632" s="34" t="n"/>
      <c r="C632" s="32" t="n"/>
      <c r="D632" s="35" t="n"/>
      <c r="E632" s="36" t="n"/>
      <c r="F632" s="32" t="n"/>
      <c r="G632" s="32" t="n"/>
      <c r="H632" s="35" t="n"/>
    </row>
    <row r="633">
      <c r="B633" s="40" t="n"/>
      <c r="C633" s="39" t="n"/>
      <c r="D633" s="41" t="n"/>
      <c r="E633" s="42" t="n"/>
      <c r="F633" s="39" t="n"/>
      <c r="G633" s="39" t="n"/>
      <c r="H633" s="41" t="n"/>
    </row>
    <row r="634">
      <c r="B634" s="34" t="n"/>
      <c r="C634" s="32" t="n"/>
      <c r="D634" s="35" t="n"/>
      <c r="E634" s="36" t="n"/>
      <c r="F634" s="32" t="n"/>
      <c r="G634" s="32" t="n"/>
      <c r="H634" s="35" t="n"/>
    </row>
    <row r="635">
      <c r="B635" s="40" t="n"/>
      <c r="C635" s="39" t="n"/>
      <c r="D635" s="41" t="n"/>
      <c r="E635" s="42" t="n"/>
      <c r="F635" s="39" t="n"/>
      <c r="G635" s="39" t="n"/>
      <c r="H635" s="41" t="n"/>
    </row>
    <row r="636">
      <c r="B636" s="34" t="n"/>
      <c r="C636" s="32" t="n"/>
      <c r="D636" s="35" t="n"/>
      <c r="E636" s="36" t="n"/>
      <c r="F636" s="32" t="n"/>
      <c r="G636" s="32" t="n"/>
      <c r="H636" s="35" t="n"/>
    </row>
    <row r="637">
      <c r="B637" s="40" t="n"/>
      <c r="C637" s="39" t="n"/>
      <c r="D637" s="41" t="n"/>
      <c r="E637" s="42" t="n"/>
      <c r="F637" s="39" t="n"/>
      <c r="G637" s="39" t="n"/>
      <c r="H637" s="41" t="n"/>
    </row>
    <row r="638">
      <c r="B638" s="34" t="n"/>
      <c r="C638" s="32" t="n"/>
      <c r="D638" s="35" t="n"/>
      <c r="E638" s="36" t="n"/>
      <c r="F638" s="32" t="n"/>
      <c r="G638" s="32" t="n"/>
      <c r="H638" s="35" t="n"/>
    </row>
    <row r="639">
      <c r="B639" s="40" t="n"/>
      <c r="C639" s="39" t="n"/>
      <c r="D639" s="41" t="n"/>
      <c r="E639" s="42" t="n"/>
      <c r="F639" s="39" t="n"/>
      <c r="G639" s="39" t="n"/>
      <c r="H639" s="41" t="n"/>
    </row>
    <row r="640">
      <c r="B640" s="34" t="n"/>
      <c r="C640" s="32" t="n"/>
      <c r="D640" s="35" t="n"/>
      <c r="E640" s="36" t="n"/>
      <c r="F640" s="32" t="n"/>
      <c r="G640" s="32" t="n"/>
      <c r="H640" s="35" t="n"/>
    </row>
    <row r="641">
      <c r="B641" s="40" t="n"/>
      <c r="C641" s="39" t="n"/>
      <c r="D641" s="41" t="n"/>
      <c r="E641" s="42" t="n"/>
      <c r="F641" s="39" t="n"/>
      <c r="G641" s="39" t="n"/>
      <c r="H641" s="41" t="n"/>
    </row>
    <row r="642">
      <c r="B642" s="34" t="n"/>
      <c r="C642" s="32" t="n"/>
      <c r="D642" s="35" t="n"/>
      <c r="E642" s="36" t="n"/>
      <c r="F642" s="32" t="n"/>
      <c r="G642" s="32" t="n"/>
      <c r="H642" s="35" t="n"/>
    </row>
    <row r="643">
      <c r="B643" s="40" t="n"/>
      <c r="C643" s="39" t="n"/>
      <c r="D643" s="41" t="n"/>
      <c r="E643" s="42" t="n"/>
      <c r="F643" s="39" t="n"/>
      <c r="G643" s="39" t="n"/>
      <c r="H643" s="41" t="n"/>
    </row>
    <row r="644">
      <c r="B644" s="34" t="n"/>
      <c r="C644" s="32" t="n"/>
      <c r="D644" s="35" t="n"/>
      <c r="E644" s="36" t="n"/>
      <c r="F644" s="32" t="n"/>
      <c r="G644" s="32" t="n"/>
      <c r="H644" s="35" t="n"/>
    </row>
    <row r="645">
      <c r="B645" s="40" t="n"/>
      <c r="C645" s="39" t="n"/>
      <c r="D645" s="41" t="n"/>
      <c r="E645" s="42" t="n"/>
      <c r="F645" s="39" t="n"/>
      <c r="G645" s="39" t="n"/>
      <c r="H645" s="41" t="n"/>
    </row>
    <row r="646">
      <c r="B646" s="34" t="n"/>
      <c r="C646" s="32" t="n"/>
      <c r="D646" s="35" t="n"/>
      <c r="E646" s="36" t="n"/>
      <c r="F646" s="32" t="n"/>
      <c r="G646" s="32" t="n"/>
      <c r="H646" s="35" t="n"/>
    </row>
    <row r="647">
      <c r="B647" s="40" t="n"/>
      <c r="C647" s="39" t="n"/>
      <c r="D647" s="41" t="n"/>
      <c r="E647" s="42" t="n"/>
      <c r="F647" s="39" t="n"/>
      <c r="G647" s="39" t="n"/>
      <c r="H647" s="41" t="n"/>
    </row>
    <row r="648">
      <c r="B648" s="34" t="n"/>
      <c r="C648" s="32" t="n"/>
      <c r="D648" s="35" t="n"/>
      <c r="E648" s="36" t="n"/>
      <c r="F648" s="32" t="n"/>
      <c r="G648" s="32" t="n"/>
      <c r="H648" s="35" t="n"/>
    </row>
    <row r="649">
      <c r="B649" s="40" t="n"/>
      <c r="C649" s="39" t="n"/>
      <c r="D649" s="41" t="n"/>
      <c r="E649" s="42" t="n"/>
      <c r="F649" s="39" t="n"/>
      <c r="G649" s="39" t="n"/>
      <c r="H649" s="41" t="n"/>
    </row>
    <row r="650">
      <c r="B650" s="34" t="n"/>
      <c r="C650" s="32" t="n"/>
      <c r="D650" s="35" t="n"/>
      <c r="E650" s="36" t="n"/>
      <c r="F650" s="32" t="n"/>
      <c r="G650" s="32" t="n"/>
      <c r="H650" s="35" t="n"/>
    </row>
    <row r="651">
      <c r="B651" s="40" t="n"/>
      <c r="C651" s="39" t="n"/>
      <c r="D651" s="41" t="n"/>
      <c r="E651" s="42" t="n"/>
      <c r="F651" s="39" t="n"/>
      <c r="G651" s="39" t="n"/>
      <c r="H651" s="41" t="n"/>
    </row>
    <row r="652">
      <c r="B652" s="34" t="n"/>
      <c r="C652" s="32" t="n"/>
      <c r="D652" s="35" t="n"/>
      <c r="E652" s="36" t="n"/>
      <c r="F652" s="32" t="n"/>
      <c r="G652" s="32" t="n"/>
      <c r="H652" s="35" t="n"/>
    </row>
    <row r="653">
      <c r="B653" s="40" t="n"/>
      <c r="C653" s="39" t="n"/>
      <c r="D653" s="41" t="n"/>
      <c r="E653" s="42" t="n"/>
      <c r="F653" s="39" t="n"/>
      <c r="G653" s="39" t="n"/>
      <c r="H653" s="41" t="n"/>
    </row>
    <row r="654">
      <c r="B654" s="34" t="n"/>
      <c r="C654" s="32" t="n"/>
      <c r="D654" s="35" t="n"/>
      <c r="E654" s="36" t="n"/>
      <c r="F654" s="32" t="n"/>
      <c r="G654" s="32" t="n"/>
      <c r="H654" s="35" t="n"/>
    </row>
    <row r="655">
      <c r="B655" s="40" t="n"/>
      <c r="C655" s="39" t="n"/>
      <c r="D655" s="41" t="n"/>
      <c r="E655" s="42" t="n"/>
      <c r="F655" s="39" t="n"/>
      <c r="G655" s="39" t="n"/>
      <c r="H655" s="41" t="n"/>
    </row>
    <row r="656">
      <c r="B656" s="34" t="n"/>
      <c r="C656" s="32" t="n"/>
      <c r="D656" s="35" t="n"/>
      <c r="E656" s="36" t="n"/>
      <c r="F656" s="32" t="n"/>
      <c r="G656" s="32" t="n"/>
      <c r="H656" s="35" t="n"/>
    </row>
    <row r="657">
      <c r="B657" s="40" t="n"/>
      <c r="C657" s="39" t="n"/>
      <c r="D657" s="41" t="n"/>
      <c r="E657" s="42" t="n"/>
      <c r="F657" s="39" t="n"/>
      <c r="G657" s="39" t="n"/>
      <c r="H657" s="41" t="n"/>
    </row>
    <row r="658">
      <c r="B658" s="34" t="n"/>
      <c r="C658" s="32" t="n"/>
      <c r="D658" s="35" t="n"/>
      <c r="E658" s="36" t="n"/>
      <c r="F658" s="32" t="n"/>
      <c r="G658" s="32" t="n"/>
      <c r="H658" s="35" t="n"/>
    </row>
    <row r="659">
      <c r="B659" s="40" t="n"/>
      <c r="C659" s="39" t="n"/>
      <c r="D659" s="41" t="n"/>
      <c r="E659" s="42" t="n"/>
      <c r="F659" s="39" t="n"/>
      <c r="G659" s="39" t="n"/>
      <c r="H659" s="41" t="n"/>
    </row>
    <row r="660">
      <c r="B660" s="34" t="n"/>
      <c r="C660" s="32" t="n"/>
      <c r="D660" s="35" t="n"/>
      <c r="E660" s="36" t="n"/>
      <c r="F660" s="32" t="n"/>
      <c r="G660" s="32" t="n"/>
      <c r="H660" s="35" t="n"/>
    </row>
    <row r="661">
      <c r="B661" s="40" t="n"/>
      <c r="C661" s="39" t="n"/>
      <c r="D661" s="41" t="n"/>
      <c r="E661" s="42" t="n"/>
      <c r="F661" s="39" t="n"/>
      <c r="G661" s="39" t="n"/>
      <c r="H661" s="41" t="n"/>
    </row>
    <row r="662">
      <c r="B662" s="34" t="n"/>
      <c r="C662" s="32" t="n"/>
      <c r="D662" s="35" t="n"/>
      <c r="E662" s="36" t="n"/>
      <c r="F662" s="32" t="n"/>
      <c r="G662" s="32" t="n"/>
      <c r="H662" s="35" t="n"/>
    </row>
    <row r="663">
      <c r="B663" s="40" t="n"/>
      <c r="C663" s="39" t="n"/>
      <c r="D663" s="41" t="n"/>
      <c r="E663" s="42" t="n"/>
      <c r="F663" s="39" t="n"/>
      <c r="G663" s="39" t="n"/>
      <c r="H663" s="41" t="n"/>
    </row>
    <row r="664">
      <c r="B664" s="34" t="n"/>
      <c r="C664" s="32" t="n"/>
      <c r="D664" s="35" t="n"/>
      <c r="E664" s="36" t="n"/>
      <c r="F664" s="32" t="n"/>
      <c r="G664" s="32" t="n"/>
      <c r="H664" s="35" t="n"/>
    </row>
    <row r="665">
      <c r="B665" s="40" t="n"/>
      <c r="C665" s="39" t="n"/>
      <c r="D665" s="41" t="n"/>
      <c r="E665" s="42" t="n"/>
      <c r="F665" s="39" t="n"/>
      <c r="G665" s="39" t="n"/>
      <c r="H665" s="41" t="n"/>
    </row>
    <row r="666">
      <c r="B666" s="34" t="n"/>
      <c r="C666" s="32" t="n"/>
      <c r="D666" s="35" t="n"/>
      <c r="E666" s="36" t="n"/>
      <c r="F666" s="32" t="n"/>
      <c r="G666" s="32" t="n"/>
      <c r="H666" s="35" t="n"/>
    </row>
    <row r="667">
      <c r="B667" s="40" t="n"/>
      <c r="C667" s="39" t="n"/>
      <c r="D667" s="41" t="n"/>
      <c r="E667" s="42" t="n"/>
      <c r="F667" s="39" t="n"/>
      <c r="G667" s="39" t="n"/>
      <c r="H667" s="41" t="n"/>
    </row>
    <row r="668">
      <c r="B668" s="34" t="n"/>
      <c r="C668" s="32" t="n"/>
      <c r="D668" s="35" t="n"/>
      <c r="E668" s="36" t="n"/>
      <c r="F668" s="32" t="n"/>
      <c r="G668" s="32" t="n"/>
      <c r="H668" s="35" t="n"/>
    </row>
    <row r="669">
      <c r="B669" s="40" t="n"/>
      <c r="C669" s="39" t="n"/>
      <c r="D669" s="41" t="n"/>
      <c r="E669" s="42" t="n"/>
      <c r="F669" s="39" t="n"/>
      <c r="G669" s="39" t="n"/>
      <c r="H669" s="41" t="n"/>
    </row>
    <row r="670">
      <c r="B670" s="34" t="n"/>
      <c r="C670" s="32" t="n"/>
      <c r="D670" s="35" t="n"/>
      <c r="E670" s="36" t="n"/>
      <c r="F670" s="32" t="n"/>
      <c r="G670" s="32" t="n"/>
      <c r="H670" s="35" t="n"/>
    </row>
    <row r="671">
      <c r="B671" s="40" t="n"/>
      <c r="C671" s="39" t="n"/>
      <c r="D671" s="41" t="n"/>
      <c r="E671" s="42" t="n"/>
      <c r="F671" s="39" t="n"/>
      <c r="G671" s="39" t="n"/>
      <c r="H671" s="41" t="n"/>
    </row>
    <row r="672">
      <c r="B672" s="34" t="n"/>
      <c r="C672" s="32" t="n"/>
      <c r="D672" s="35" t="n"/>
      <c r="E672" s="36" t="n"/>
      <c r="F672" s="32" t="n"/>
      <c r="G672" s="32" t="n"/>
      <c r="H672" s="35" t="n"/>
    </row>
    <row r="673">
      <c r="B673" s="40" t="n"/>
      <c r="C673" s="39" t="n"/>
      <c r="D673" s="41" t="n"/>
      <c r="E673" s="42" t="n"/>
      <c r="F673" s="39" t="n"/>
      <c r="G673" s="39" t="n"/>
      <c r="H673" s="41" t="n"/>
    </row>
    <row r="674">
      <c r="B674" s="34" t="n"/>
      <c r="C674" s="32" t="n"/>
      <c r="D674" s="35" t="n"/>
      <c r="E674" s="36" t="n"/>
      <c r="F674" s="32" t="n"/>
      <c r="G674" s="32" t="n"/>
      <c r="H674" s="35" t="n"/>
    </row>
    <row r="675">
      <c r="B675" s="40" t="n"/>
      <c r="C675" s="39" t="n"/>
      <c r="D675" s="41" t="n"/>
      <c r="E675" s="42" t="n"/>
      <c r="F675" s="39" t="n"/>
      <c r="G675" s="39" t="n"/>
      <c r="H675" s="41" t="n"/>
    </row>
    <row r="676">
      <c r="B676" s="34" t="n"/>
      <c r="C676" s="32" t="n"/>
      <c r="D676" s="35" t="n"/>
      <c r="E676" s="36" t="n"/>
      <c r="F676" s="32" t="n"/>
      <c r="G676" s="32" t="n"/>
      <c r="H676" s="35" t="n"/>
    </row>
    <row r="677">
      <c r="B677" s="40" t="n"/>
      <c r="C677" s="39" t="n"/>
      <c r="D677" s="41" t="n"/>
      <c r="E677" s="42" t="n"/>
      <c r="F677" s="39" t="n"/>
      <c r="G677" s="39" t="n"/>
      <c r="H677" s="41" t="n"/>
    </row>
    <row r="678">
      <c r="B678" s="34" t="n"/>
      <c r="C678" s="32" t="n"/>
      <c r="D678" s="35" t="n"/>
      <c r="E678" s="36" t="n"/>
      <c r="F678" s="32" t="n"/>
      <c r="G678" s="32" t="n"/>
      <c r="H678" s="35" t="n"/>
    </row>
    <row r="679">
      <c r="B679" s="40" t="n"/>
      <c r="C679" s="39" t="n"/>
      <c r="D679" s="41" t="n"/>
      <c r="E679" s="42" t="n"/>
      <c r="F679" s="39" t="n"/>
      <c r="G679" s="39" t="n"/>
      <c r="H679" s="41" t="n"/>
    </row>
    <row r="680">
      <c r="B680" s="34" t="n"/>
      <c r="C680" s="32" t="n"/>
      <c r="D680" s="35" t="n"/>
      <c r="E680" s="36" t="n"/>
      <c r="F680" s="32" t="n"/>
      <c r="G680" s="32" t="n"/>
      <c r="H680" s="35" t="n"/>
    </row>
    <row r="681">
      <c r="B681" s="40" t="n"/>
      <c r="C681" s="39" t="n"/>
      <c r="D681" s="41" t="n"/>
      <c r="E681" s="42" t="n"/>
      <c r="F681" s="39" t="n"/>
      <c r="G681" s="39" t="n"/>
      <c r="H681" s="41" t="n"/>
    </row>
    <row r="682">
      <c r="B682" s="34" t="n"/>
      <c r="C682" s="32" t="n"/>
      <c r="D682" s="35" t="n"/>
      <c r="E682" s="36" t="n"/>
      <c r="F682" s="32" t="n"/>
      <c r="G682" s="32" t="n"/>
      <c r="H682" s="35" t="n"/>
    </row>
    <row r="683">
      <c r="B683" s="40" t="n"/>
      <c r="C683" s="39" t="n"/>
      <c r="D683" s="41" t="n"/>
      <c r="E683" s="42" t="n"/>
      <c r="F683" s="39" t="n"/>
      <c r="G683" s="39" t="n"/>
      <c r="H683" s="41" t="n"/>
    </row>
    <row r="684">
      <c r="B684" s="34" t="n"/>
      <c r="C684" s="32" t="n"/>
      <c r="D684" s="35" t="n"/>
      <c r="E684" s="36" t="n"/>
      <c r="F684" s="32" t="n"/>
      <c r="G684" s="32" t="n"/>
      <c r="H684" s="35" t="n"/>
    </row>
    <row r="685">
      <c r="B685" s="40" t="n"/>
      <c r="C685" s="39" t="n"/>
      <c r="D685" s="41" t="n"/>
      <c r="E685" s="42" t="n"/>
      <c r="F685" s="39" t="n"/>
      <c r="G685" s="39" t="n"/>
      <c r="H685" s="41" t="n"/>
    </row>
    <row r="686">
      <c r="B686" s="34" t="n"/>
      <c r="C686" s="32" t="n"/>
      <c r="D686" s="35" t="n"/>
      <c r="E686" s="36" t="n"/>
      <c r="F686" s="32" t="n"/>
      <c r="G686" s="32" t="n"/>
      <c r="H686" s="35" t="n"/>
    </row>
    <row r="687">
      <c r="B687" s="40" t="n"/>
      <c r="C687" s="39" t="n"/>
      <c r="D687" s="41" t="n"/>
      <c r="E687" s="42" t="n"/>
      <c r="F687" s="39" t="n"/>
      <c r="G687" s="39" t="n"/>
      <c r="H687" s="41" t="n"/>
    </row>
    <row r="688">
      <c r="B688" s="34" t="n"/>
      <c r="C688" s="32" t="n"/>
      <c r="D688" s="35" t="n"/>
      <c r="E688" s="36" t="n"/>
      <c r="F688" s="32" t="n"/>
      <c r="G688" s="32" t="n"/>
      <c r="H688" s="35" t="n"/>
    </row>
    <row r="689">
      <c r="B689" s="40" t="n"/>
      <c r="C689" s="39" t="n"/>
      <c r="D689" s="41" t="n"/>
      <c r="E689" s="42" t="n"/>
      <c r="F689" s="39" t="n"/>
      <c r="G689" s="39" t="n"/>
      <c r="H689" s="41" t="n"/>
    </row>
    <row r="690">
      <c r="B690" s="34" t="n"/>
      <c r="C690" s="32" t="n"/>
      <c r="D690" s="35" t="n"/>
      <c r="E690" s="36" t="n"/>
      <c r="F690" s="32" t="n"/>
      <c r="G690" s="32" t="n"/>
      <c r="H690" s="35" t="n"/>
    </row>
    <row r="691">
      <c r="B691" s="40" t="n"/>
      <c r="C691" s="39" t="n"/>
      <c r="D691" s="41" t="n"/>
      <c r="E691" s="42" t="n"/>
      <c r="F691" s="39" t="n"/>
      <c r="G691" s="39" t="n"/>
      <c r="H691" s="41" t="n"/>
    </row>
    <row r="692">
      <c r="B692" s="34" t="n"/>
      <c r="C692" s="32" t="n"/>
      <c r="D692" s="35" t="n"/>
      <c r="E692" s="36" t="n"/>
      <c r="F692" s="32" t="n"/>
      <c r="G692" s="32" t="n"/>
      <c r="H692" s="35" t="n"/>
    </row>
    <row r="693">
      <c r="B693" s="40" t="n"/>
      <c r="C693" s="39" t="n"/>
      <c r="D693" s="41" t="n"/>
      <c r="E693" s="42" t="n"/>
      <c r="F693" s="39" t="n"/>
      <c r="G693" s="39" t="n"/>
      <c r="H693" s="41" t="n"/>
    </row>
    <row r="694">
      <c r="B694" s="34" t="n"/>
      <c r="C694" s="32" t="n"/>
      <c r="D694" s="35" t="n"/>
      <c r="E694" s="36" t="n"/>
      <c r="F694" s="32" t="n"/>
      <c r="G694" s="32" t="n"/>
      <c r="H694" s="35" t="n"/>
    </row>
    <row r="695">
      <c r="B695" s="40" t="n"/>
      <c r="C695" s="39" t="n"/>
      <c r="D695" s="41" t="n"/>
      <c r="E695" s="42" t="n"/>
      <c r="F695" s="39" t="n"/>
      <c r="G695" s="39" t="n"/>
      <c r="H695" s="41" t="n"/>
    </row>
    <row r="696">
      <c r="B696" s="34" t="n"/>
      <c r="C696" s="32" t="n"/>
      <c r="D696" s="35" t="n"/>
      <c r="E696" s="36" t="n"/>
      <c r="F696" s="32" t="n"/>
      <c r="G696" s="32" t="n"/>
      <c r="H696" s="35" t="n"/>
    </row>
    <row r="697">
      <c r="B697" s="40" t="n"/>
      <c r="C697" s="39" t="n"/>
      <c r="D697" s="41" t="n"/>
      <c r="E697" s="42" t="n"/>
      <c r="F697" s="39" t="n"/>
      <c r="G697" s="39" t="n"/>
      <c r="H697" s="41" t="n"/>
    </row>
    <row r="698">
      <c r="B698" s="34" t="n"/>
      <c r="C698" s="32" t="n"/>
      <c r="D698" s="35" t="n"/>
      <c r="E698" s="36" t="n"/>
      <c r="F698" s="32" t="n"/>
      <c r="G698" s="32" t="n"/>
      <c r="H698" s="35" t="n"/>
    </row>
    <row r="699">
      <c r="B699" s="40" t="n"/>
      <c r="C699" s="39" t="n"/>
      <c r="D699" s="41" t="n"/>
      <c r="E699" s="42" t="n"/>
      <c r="F699" s="39" t="n"/>
      <c r="G699" s="39" t="n"/>
      <c r="H699" s="41" t="n"/>
    </row>
    <row r="700">
      <c r="B700" s="34" t="n"/>
      <c r="C700" s="32" t="n"/>
      <c r="D700" s="35" t="n"/>
      <c r="E700" s="36" t="n"/>
      <c r="F700" s="32" t="n"/>
      <c r="G700" s="32" t="n"/>
      <c r="H700" s="35" t="n"/>
    </row>
    <row r="701">
      <c r="B701" s="40" t="n"/>
      <c r="C701" s="39" t="n"/>
      <c r="D701" s="41" t="n"/>
      <c r="E701" s="42" t="n"/>
      <c r="F701" s="39" t="n"/>
      <c r="G701" s="39" t="n"/>
      <c r="H701" s="41" t="n"/>
    </row>
    <row r="702">
      <c r="B702" s="34" t="n"/>
      <c r="C702" s="32" t="n"/>
      <c r="D702" s="35" t="n"/>
      <c r="E702" s="36" t="n"/>
      <c r="F702" s="32" t="n"/>
      <c r="G702" s="32" t="n"/>
      <c r="H702" s="35" t="n"/>
    </row>
    <row r="703">
      <c r="B703" s="40" t="n"/>
      <c r="C703" s="39" t="n"/>
      <c r="D703" s="41" t="n"/>
      <c r="E703" s="42" t="n"/>
      <c r="F703" s="39" t="n"/>
      <c r="G703" s="39" t="n"/>
      <c r="H703" s="41" t="n"/>
    </row>
    <row r="704">
      <c r="B704" s="34" t="n"/>
      <c r="C704" s="32" t="n"/>
      <c r="D704" s="35" t="n"/>
      <c r="E704" s="36" t="n"/>
      <c r="F704" s="32" t="n"/>
      <c r="G704" s="32" t="n"/>
      <c r="H704" s="35" t="n"/>
    </row>
    <row r="705">
      <c r="B705" s="40" t="n"/>
      <c r="C705" s="39" t="n"/>
      <c r="D705" s="41" t="n"/>
      <c r="E705" s="42" t="n"/>
      <c r="F705" s="39" t="n"/>
      <c r="G705" s="39" t="n"/>
      <c r="H705" s="41" t="n"/>
    </row>
    <row r="706">
      <c r="B706" s="34" t="n"/>
      <c r="C706" s="32" t="n"/>
      <c r="D706" s="35" t="n"/>
      <c r="E706" s="36" t="n"/>
      <c r="F706" s="32" t="n"/>
      <c r="G706" s="32" t="n"/>
      <c r="H706" s="35" t="n"/>
    </row>
    <row r="707">
      <c r="B707" s="40" t="n"/>
      <c r="C707" s="39" t="n"/>
      <c r="D707" s="41" t="n"/>
      <c r="E707" s="42" t="n"/>
      <c r="F707" s="39" t="n"/>
      <c r="G707" s="39" t="n"/>
      <c r="H707" s="41" t="n"/>
    </row>
    <row r="708">
      <c r="B708" s="34" t="n"/>
      <c r="C708" s="32" t="n"/>
      <c r="D708" s="35" t="n"/>
      <c r="E708" s="36" t="n"/>
      <c r="F708" s="32" t="n"/>
      <c r="G708" s="32" t="n"/>
      <c r="H708" s="35" t="n"/>
    </row>
    <row r="709">
      <c r="B709" s="40" t="n"/>
      <c r="C709" s="39" t="n"/>
      <c r="D709" s="41" t="n"/>
      <c r="E709" s="42" t="n"/>
      <c r="F709" s="39" t="n"/>
      <c r="G709" s="39" t="n"/>
      <c r="H709" s="41" t="n"/>
    </row>
    <row r="710">
      <c r="B710" s="34" t="n"/>
      <c r="C710" s="32" t="n"/>
      <c r="D710" s="35" t="n"/>
      <c r="E710" s="36" t="n"/>
      <c r="F710" s="32" t="n"/>
      <c r="G710" s="32" t="n"/>
      <c r="H710" s="35" t="n"/>
    </row>
    <row r="711">
      <c r="B711" s="40" t="n"/>
      <c r="C711" s="39" t="n"/>
      <c r="D711" s="41" t="n"/>
      <c r="E711" s="42" t="n"/>
      <c r="F711" s="39" t="n"/>
      <c r="G711" s="39" t="n"/>
      <c r="H711" s="41" t="n"/>
    </row>
    <row r="712">
      <c r="B712" s="34" t="n"/>
      <c r="C712" s="32" t="n"/>
      <c r="D712" s="35" t="n"/>
      <c r="E712" s="36" t="n"/>
      <c r="F712" s="32" t="n"/>
      <c r="G712" s="32" t="n"/>
      <c r="H712" s="35" t="n"/>
    </row>
    <row r="713">
      <c r="B713" s="40" t="n"/>
      <c r="C713" s="39" t="n"/>
      <c r="D713" s="41" t="n"/>
      <c r="E713" s="42" t="n"/>
      <c r="F713" s="39" t="n"/>
      <c r="G713" s="39" t="n"/>
      <c r="H713" s="41" t="n"/>
    </row>
    <row r="714">
      <c r="B714" s="34" t="n"/>
      <c r="C714" s="32" t="n"/>
      <c r="D714" s="35" t="n"/>
      <c r="E714" s="36" t="n"/>
      <c r="F714" s="32" t="n"/>
      <c r="G714" s="32" t="n"/>
      <c r="H714" s="35" t="n"/>
    </row>
    <row r="715">
      <c r="B715" s="40" t="n"/>
      <c r="C715" s="39" t="n"/>
      <c r="D715" s="41" t="n"/>
      <c r="E715" s="42" t="n"/>
      <c r="F715" s="39" t="n"/>
      <c r="G715" s="39" t="n"/>
      <c r="H715" s="41" t="n"/>
    </row>
    <row r="716">
      <c r="B716" s="34" t="n"/>
      <c r="C716" s="32" t="n"/>
      <c r="D716" s="35" t="n"/>
      <c r="E716" s="36" t="n"/>
      <c r="F716" s="32" t="n"/>
      <c r="G716" s="32" t="n"/>
      <c r="H716" s="35" t="n"/>
    </row>
    <row r="717">
      <c r="B717" s="40" t="n"/>
      <c r="C717" s="39" t="n"/>
      <c r="D717" s="41" t="n"/>
      <c r="E717" s="42" t="n"/>
      <c r="F717" s="39" t="n"/>
      <c r="G717" s="39" t="n"/>
      <c r="H717" s="41" t="n"/>
    </row>
    <row r="718">
      <c r="B718" s="34" t="n"/>
      <c r="C718" s="32" t="n"/>
      <c r="D718" s="35" t="n"/>
      <c r="E718" s="36" t="n"/>
      <c r="F718" s="32" t="n"/>
      <c r="G718" s="32" t="n"/>
      <c r="H718" s="35" t="n"/>
    </row>
    <row r="719">
      <c r="B719" s="40" t="n"/>
      <c r="C719" s="39" t="n"/>
      <c r="D719" s="41" t="n"/>
      <c r="E719" s="42" t="n"/>
      <c r="F719" s="39" t="n"/>
      <c r="G719" s="39" t="n"/>
      <c r="H719" s="41" t="n"/>
    </row>
    <row r="720">
      <c r="B720" s="34" t="n"/>
      <c r="C720" s="32" t="n"/>
      <c r="D720" s="35" t="n"/>
      <c r="E720" s="36" t="n"/>
      <c r="F720" s="32" t="n"/>
      <c r="G720" s="32" t="n"/>
      <c r="H720" s="35" t="n"/>
    </row>
    <row r="721">
      <c r="B721" s="40" t="n"/>
      <c r="C721" s="39" t="n"/>
      <c r="D721" s="41" t="n"/>
      <c r="E721" s="42" t="n"/>
      <c r="F721" s="39" t="n"/>
      <c r="G721" s="39" t="n"/>
      <c r="H721" s="41" t="n"/>
    </row>
    <row r="722">
      <c r="B722" s="34" t="n"/>
      <c r="C722" s="32" t="n"/>
      <c r="D722" s="35" t="n"/>
      <c r="E722" s="36" t="n"/>
      <c r="F722" s="32" t="n"/>
      <c r="G722" s="32" t="n"/>
      <c r="H722" s="35" t="n"/>
    </row>
    <row r="723">
      <c r="B723" s="40" t="n"/>
      <c r="C723" s="39" t="n"/>
      <c r="D723" s="41" t="n"/>
      <c r="E723" s="42" t="n"/>
      <c r="F723" s="39" t="n"/>
      <c r="G723" s="39" t="n"/>
      <c r="H723" s="41" t="n"/>
    </row>
    <row r="724">
      <c r="B724" s="34" t="n"/>
      <c r="C724" s="32" t="n"/>
      <c r="D724" s="35" t="n"/>
      <c r="E724" s="36" t="n"/>
      <c r="F724" s="32" t="n"/>
      <c r="G724" s="32" t="n"/>
      <c r="H724" s="35" t="n"/>
    </row>
    <row r="725">
      <c r="B725" s="40" t="n"/>
      <c r="C725" s="39" t="n"/>
      <c r="D725" s="41" t="n"/>
      <c r="E725" s="42" t="n"/>
      <c r="F725" s="39" t="n"/>
      <c r="G725" s="39" t="n"/>
      <c r="H725" s="41" t="n"/>
    </row>
    <row r="726">
      <c r="B726" s="34" t="n"/>
      <c r="C726" s="32" t="n"/>
      <c r="D726" s="35" t="n"/>
      <c r="E726" s="36" t="n"/>
      <c r="F726" s="32" t="n"/>
      <c r="G726" s="32" t="n"/>
      <c r="H726" s="35" t="n"/>
    </row>
    <row r="727">
      <c r="B727" s="40" t="n"/>
      <c r="C727" s="39" t="n"/>
      <c r="D727" s="41" t="n"/>
      <c r="E727" s="42" t="n"/>
      <c r="F727" s="39" t="n"/>
      <c r="G727" s="39" t="n"/>
      <c r="H727" s="41" t="n"/>
    </row>
    <row r="728">
      <c r="B728" s="34" t="n"/>
      <c r="C728" s="32" t="n"/>
      <c r="D728" s="35" t="n"/>
      <c r="E728" s="36" t="n"/>
      <c r="F728" s="32" t="n"/>
      <c r="G728" s="32" t="n"/>
      <c r="H728" s="35" t="n"/>
    </row>
    <row r="729">
      <c r="B729" s="40" t="n"/>
      <c r="C729" s="39" t="n"/>
      <c r="D729" s="41" t="n"/>
      <c r="E729" s="42" t="n"/>
      <c r="F729" s="39" t="n"/>
      <c r="G729" s="39" t="n"/>
      <c r="H729" s="41" t="n"/>
    </row>
    <row r="730">
      <c r="B730" s="34" t="n"/>
      <c r="C730" s="32" t="n"/>
      <c r="D730" s="35" t="n"/>
      <c r="E730" s="36" t="n"/>
      <c r="F730" s="32" t="n"/>
      <c r="G730" s="32" t="n"/>
      <c r="H730" s="35" t="n"/>
    </row>
    <row r="731">
      <c r="B731" s="40" t="n"/>
      <c r="C731" s="39" t="n"/>
      <c r="D731" s="41" t="n"/>
      <c r="E731" s="42" t="n"/>
      <c r="F731" s="39" t="n"/>
      <c r="G731" s="39" t="n"/>
      <c r="H731" s="41" t="n"/>
    </row>
    <row r="732">
      <c r="B732" s="34" t="n"/>
      <c r="C732" s="32" t="n"/>
      <c r="D732" s="35" t="n"/>
      <c r="E732" s="36" t="n"/>
      <c r="F732" s="32" t="n"/>
      <c r="G732" s="32" t="n"/>
      <c r="H732" s="35" t="n"/>
    </row>
    <row r="733">
      <c r="B733" s="40" t="n"/>
      <c r="C733" s="39" t="n"/>
      <c r="D733" s="41" t="n"/>
      <c r="E733" s="42" t="n"/>
      <c r="F733" s="39" t="n"/>
      <c r="G733" s="39" t="n"/>
      <c r="H733" s="41" t="n"/>
    </row>
    <row r="734">
      <c r="B734" s="34" t="n"/>
      <c r="C734" s="32" t="n"/>
      <c r="D734" s="35" t="n"/>
      <c r="E734" s="36" t="n"/>
      <c r="F734" s="32" t="n"/>
      <c r="G734" s="32" t="n"/>
      <c r="H734" s="35" t="n"/>
    </row>
    <row r="735">
      <c r="B735" s="40" t="n"/>
      <c r="C735" s="39" t="n"/>
      <c r="D735" s="41" t="n"/>
      <c r="E735" s="42" t="n"/>
      <c r="F735" s="39" t="n"/>
      <c r="G735" s="39" t="n"/>
      <c r="H735" s="41" t="n"/>
    </row>
    <row r="736">
      <c r="B736" s="34" t="n"/>
      <c r="C736" s="32" t="n"/>
      <c r="D736" s="35" t="n"/>
      <c r="E736" s="36" t="n"/>
      <c r="F736" s="32" t="n"/>
      <c r="G736" s="32" t="n"/>
      <c r="H736" s="35" t="n"/>
    </row>
    <row r="737">
      <c r="B737" s="40" t="n"/>
      <c r="C737" s="39" t="n"/>
      <c r="D737" s="41" t="n"/>
      <c r="E737" s="42" t="n"/>
      <c r="F737" s="39" t="n"/>
      <c r="G737" s="39" t="n"/>
      <c r="H737" s="41" t="n"/>
    </row>
    <row r="738">
      <c r="B738" s="34" t="n"/>
      <c r="C738" s="32" t="n"/>
      <c r="D738" s="35" t="n"/>
      <c r="E738" s="36" t="n"/>
      <c r="F738" s="32" t="n"/>
      <c r="G738" s="32" t="n"/>
      <c r="H738" s="35" t="n"/>
    </row>
    <row r="739">
      <c r="B739" s="40" t="n"/>
      <c r="C739" s="39" t="n"/>
      <c r="D739" s="41" t="n"/>
      <c r="E739" s="42" t="n"/>
      <c r="F739" s="39" t="n"/>
      <c r="G739" s="39" t="n"/>
      <c r="H739" s="41" t="n"/>
    </row>
    <row r="740">
      <c r="B740" s="34" t="n"/>
      <c r="C740" s="32" t="n"/>
      <c r="D740" s="35" t="n"/>
      <c r="E740" s="36" t="n"/>
      <c r="F740" s="32" t="n"/>
      <c r="G740" s="32" t="n"/>
      <c r="H740" s="35" t="n"/>
    </row>
    <row r="741">
      <c r="B741" s="40" t="n"/>
      <c r="C741" s="39" t="n"/>
      <c r="D741" s="41" t="n"/>
      <c r="E741" s="42" t="n"/>
      <c r="F741" s="39" t="n"/>
      <c r="G741" s="39" t="n"/>
      <c r="H741" s="41" t="n"/>
    </row>
    <row r="742">
      <c r="B742" s="34" t="n"/>
      <c r="C742" s="32" t="n"/>
      <c r="D742" s="35" t="n"/>
      <c r="E742" s="36" t="n"/>
      <c r="F742" s="32" t="n"/>
      <c r="G742" s="32" t="n"/>
      <c r="H742" s="35" t="n"/>
    </row>
    <row r="743">
      <c r="B743" s="40" t="n"/>
      <c r="C743" s="39" t="n"/>
      <c r="D743" s="41" t="n"/>
      <c r="E743" s="42" t="n"/>
      <c r="F743" s="39" t="n"/>
      <c r="G743" s="39" t="n"/>
      <c r="H743" s="41" t="n"/>
    </row>
    <row r="744">
      <c r="B744" s="34" t="n"/>
      <c r="C744" s="32" t="n"/>
      <c r="D744" s="35" t="n"/>
      <c r="E744" s="36" t="n"/>
      <c r="F744" s="32" t="n"/>
      <c r="G744" s="32" t="n"/>
      <c r="H744" s="35" t="n"/>
    </row>
    <row r="745">
      <c r="B745" s="40" t="n"/>
      <c r="C745" s="39" t="n"/>
      <c r="D745" s="41" t="n"/>
      <c r="E745" s="42" t="n"/>
      <c r="F745" s="39" t="n"/>
      <c r="G745" s="39" t="n"/>
      <c r="H745" s="41" t="n"/>
    </row>
    <row r="746">
      <c r="B746" s="34" t="n"/>
      <c r="C746" s="32" t="n"/>
      <c r="D746" s="35" t="n"/>
      <c r="E746" s="36" t="n"/>
      <c r="F746" s="32" t="n"/>
      <c r="G746" s="32" t="n"/>
      <c r="H746" s="35" t="n"/>
    </row>
    <row r="747">
      <c r="B747" s="40" t="n"/>
      <c r="C747" s="39" t="n"/>
      <c r="D747" s="41" t="n"/>
      <c r="E747" s="42" t="n"/>
      <c r="F747" s="39" t="n"/>
      <c r="G747" s="39" t="n"/>
      <c r="H747" s="41" t="n"/>
    </row>
    <row r="748">
      <c r="B748" s="34" t="n"/>
      <c r="C748" s="32" t="n"/>
      <c r="D748" s="35" t="n"/>
      <c r="E748" s="36" t="n"/>
      <c r="F748" s="32" t="n"/>
      <c r="G748" s="32" t="n"/>
      <c r="H748" s="35" t="n"/>
    </row>
    <row r="749">
      <c r="B749" s="40" t="n"/>
      <c r="C749" s="39" t="n"/>
      <c r="D749" s="41" t="n"/>
      <c r="E749" s="42" t="n"/>
      <c r="F749" s="39" t="n"/>
      <c r="G749" s="39" t="n"/>
      <c r="H749" s="41" t="n"/>
    </row>
    <row r="750">
      <c r="B750" s="34" t="n"/>
      <c r="C750" s="32" t="n"/>
      <c r="D750" s="35" t="n"/>
      <c r="E750" s="36" t="n"/>
      <c r="F750" s="32" t="n"/>
      <c r="G750" s="32" t="n"/>
      <c r="H750" s="35" t="n"/>
    </row>
    <row r="751">
      <c r="B751" s="40" t="n"/>
      <c r="C751" s="39" t="n"/>
      <c r="D751" s="41" t="n"/>
      <c r="E751" s="42" t="n"/>
      <c r="F751" s="39" t="n"/>
      <c r="G751" s="39" t="n"/>
      <c r="H751" s="41" t="n"/>
    </row>
    <row r="752">
      <c r="B752" s="34" t="n"/>
      <c r="C752" s="32" t="n"/>
      <c r="D752" s="35" t="n"/>
      <c r="E752" s="36" t="n"/>
      <c r="F752" s="32" t="n"/>
      <c r="G752" s="32" t="n"/>
      <c r="H752" s="35" t="n"/>
    </row>
    <row r="753">
      <c r="B753" s="40" t="n"/>
      <c r="C753" s="39" t="n"/>
      <c r="D753" s="41" t="n"/>
      <c r="E753" s="42" t="n"/>
      <c r="F753" s="39" t="n"/>
      <c r="G753" s="39" t="n"/>
      <c r="H753" s="41" t="n"/>
    </row>
    <row r="754">
      <c r="B754" s="34" t="n"/>
      <c r="C754" s="32" t="n"/>
      <c r="D754" s="35" t="n"/>
      <c r="E754" s="36" t="n"/>
      <c r="F754" s="32" t="n"/>
      <c r="G754" s="32" t="n"/>
      <c r="H754" s="35" t="n"/>
    </row>
    <row r="755">
      <c r="B755" s="40" t="n"/>
      <c r="C755" s="39" t="n"/>
      <c r="D755" s="41" t="n"/>
      <c r="E755" s="42" t="n"/>
      <c r="F755" s="39" t="n"/>
      <c r="G755" s="39" t="n"/>
      <c r="H755" s="41" t="n"/>
    </row>
    <row r="756">
      <c r="B756" s="34" t="n"/>
      <c r="C756" s="32" t="n"/>
      <c r="D756" s="35" t="n"/>
      <c r="E756" s="36" t="n"/>
      <c r="F756" s="32" t="n"/>
      <c r="G756" s="32" t="n"/>
      <c r="H756" s="35" t="n"/>
    </row>
    <row r="757">
      <c r="B757" s="40" t="n"/>
      <c r="C757" s="39" t="n"/>
      <c r="D757" s="41" t="n"/>
      <c r="E757" s="42" t="n"/>
      <c r="F757" s="39" t="n"/>
      <c r="G757" s="39" t="n"/>
      <c r="H757" s="41" t="n"/>
    </row>
    <row r="758">
      <c r="B758" s="34" t="n"/>
      <c r="C758" s="32" t="n"/>
      <c r="D758" s="35" t="n"/>
      <c r="E758" s="36" t="n"/>
      <c r="F758" s="32" t="n"/>
      <c r="G758" s="32" t="n"/>
      <c r="H758" s="35" t="n"/>
    </row>
    <row r="759">
      <c r="B759" s="40" t="n"/>
      <c r="C759" s="39" t="n"/>
      <c r="D759" s="41" t="n"/>
      <c r="E759" s="42" t="n"/>
      <c r="F759" s="39" t="n"/>
      <c r="G759" s="39" t="n"/>
      <c r="H759" s="41" t="n"/>
    </row>
    <row r="760">
      <c r="B760" s="34" t="n"/>
      <c r="C760" s="32" t="n"/>
      <c r="D760" s="35" t="n"/>
      <c r="E760" s="36" t="n"/>
      <c r="F760" s="32" t="n"/>
      <c r="G760" s="32" t="n"/>
      <c r="H760" s="35" t="n"/>
    </row>
    <row r="761">
      <c r="B761" s="40" t="n"/>
      <c r="C761" s="39" t="n"/>
      <c r="D761" s="41" t="n"/>
      <c r="E761" s="42" t="n"/>
      <c r="F761" s="39" t="n"/>
      <c r="G761" s="39" t="n"/>
      <c r="H761" s="41" t="n"/>
    </row>
    <row r="762">
      <c r="B762" s="34" t="n"/>
      <c r="C762" s="32" t="n"/>
      <c r="D762" s="35" t="n"/>
      <c r="E762" s="36" t="n"/>
      <c r="F762" s="32" t="n"/>
      <c r="G762" s="32" t="n"/>
      <c r="H762" s="35" t="n"/>
    </row>
    <row r="763">
      <c r="B763" s="40" t="n"/>
      <c r="C763" s="39" t="n"/>
      <c r="D763" s="41" t="n"/>
      <c r="E763" s="42" t="n"/>
      <c r="F763" s="39" t="n"/>
      <c r="G763" s="39" t="n"/>
      <c r="H763" s="41" t="n"/>
    </row>
    <row r="764">
      <c r="B764" s="34" t="n"/>
      <c r="C764" s="32" t="n"/>
      <c r="D764" s="35" t="n"/>
      <c r="E764" s="36" t="n"/>
      <c r="F764" s="32" t="n"/>
      <c r="G764" s="32" t="n"/>
      <c r="H764" s="35" t="n"/>
    </row>
    <row r="765">
      <c r="B765" s="40" t="n"/>
      <c r="C765" s="39" t="n"/>
      <c r="D765" s="41" t="n"/>
      <c r="E765" s="42" t="n"/>
      <c r="F765" s="39" t="n"/>
      <c r="G765" s="39" t="n"/>
      <c r="H765" s="41" t="n"/>
    </row>
    <row r="766">
      <c r="B766" s="34" t="n"/>
      <c r="C766" s="32" t="n"/>
      <c r="D766" s="35" t="n"/>
      <c r="E766" s="36" t="n"/>
      <c r="F766" s="32" t="n"/>
      <c r="G766" s="32" t="n"/>
      <c r="H766" s="35" t="n"/>
    </row>
    <row r="767">
      <c r="B767" s="40" t="n"/>
      <c r="C767" s="39" t="n"/>
      <c r="D767" s="41" t="n"/>
      <c r="E767" s="42" t="n"/>
      <c r="F767" s="39" t="n"/>
      <c r="G767" s="39" t="n"/>
      <c r="H767" s="41" t="n"/>
    </row>
    <row r="768">
      <c r="B768" s="34" t="n"/>
      <c r="C768" s="32" t="n"/>
      <c r="D768" s="35" t="n"/>
      <c r="E768" s="36" t="n"/>
      <c r="F768" s="32" t="n"/>
      <c r="G768" s="32" t="n"/>
      <c r="H768" s="35" t="n"/>
    </row>
    <row r="769">
      <c r="B769" s="40" t="n"/>
      <c r="C769" s="39" t="n"/>
      <c r="D769" s="41" t="n"/>
      <c r="E769" s="42" t="n"/>
      <c r="F769" s="39" t="n"/>
      <c r="G769" s="39" t="n"/>
      <c r="H769" s="41" t="n"/>
    </row>
    <row r="770">
      <c r="B770" s="34" t="n"/>
      <c r="C770" s="32" t="n"/>
      <c r="D770" s="35" t="n"/>
      <c r="E770" s="36" t="n"/>
      <c r="F770" s="32" t="n"/>
      <c r="G770" s="32" t="n"/>
      <c r="H770" s="35" t="n"/>
    </row>
    <row r="771">
      <c r="B771" s="40" t="n"/>
      <c r="C771" s="39" t="n"/>
      <c r="D771" s="41" t="n"/>
      <c r="E771" s="42" t="n"/>
      <c r="F771" s="39" t="n"/>
      <c r="G771" s="39" t="n"/>
      <c r="H771" s="41" t="n"/>
    </row>
    <row r="772">
      <c r="B772" s="34" t="n"/>
      <c r="C772" s="32" t="n"/>
      <c r="D772" s="35" t="n"/>
      <c r="E772" s="36" t="n"/>
      <c r="F772" s="32" t="n"/>
      <c r="G772" s="32" t="n"/>
      <c r="H772" s="35" t="n"/>
    </row>
    <row r="773">
      <c r="B773" s="40" t="n"/>
      <c r="C773" s="39" t="n"/>
      <c r="D773" s="41" t="n"/>
      <c r="E773" s="42" t="n"/>
      <c r="F773" s="39" t="n"/>
      <c r="G773" s="39" t="n"/>
      <c r="H773" s="41" t="n"/>
    </row>
    <row r="774">
      <c r="B774" s="34" t="n"/>
      <c r="C774" s="32" t="n"/>
      <c r="D774" s="35" t="n"/>
      <c r="E774" s="36" t="n"/>
      <c r="F774" s="32" t="n"/>
      <c r="G774" s="32" t="n"/>
      <c r="H774" s="35" t="n"/>
    </row>
    <row r="775">
      <c r="B775" s="40" t="n"/>
      <c r="C775" s="39" t="n"/>
      <c r="D775" s="41" t="n"/>
      <c r="E775" s="42" t="n"/>
      <c r="F775" s="39" t="n"/>
      <c r="G775" s="39" t="n"/>
      <c r="H775" s="41" t="n"/>
    </row>
    <row r="776">
      <c r="B776" s="34" t="n"/>
      <c r="C776" s="32" t="n"/>
      <c r="D776" s="35" t="n"/>
      <c r="E776" s="36" t="n"/>
      <c r="F776" s="32" t="n"/>
      <c r="G776" s="32" t="n"/>
      <c r="H776" s="35" t="n"/>
    </row>
    <row r="777">
      <c r="B777" s="40" t="n"/>
      <c r="C777" s="39" t="n"/>
      <c r="D777" s="41" t="n"/>
      <c r="E777" s="42" t="n"/>
      <c r="F777" s="39" t="n"/>
      <c r="G777" s="39" t="n"/>
      <c r="H777" s="41" t="n"/>
    </row>
    <row r="778">
      <c r="B778" s="34" t="n"/>
      <c r="C778" s="32" t="n"/>
      <c r="D778" s="35" t="n"/>
      <c r="E778" s="36" t="n"/>
      <c r="F778" s="32" t="n"/>
      <c r="G778" s="32" t="n"/>
      <c r="H778" s="35" t="n"/>
    </row>
    <row r="779">
      <c r="B779" s="40" t="n"/>
      <c r="C779" s="39" t="n"/>
      <c r="D779" s="41" t="n"/>
      <c r="E779" s="42" t="n"/>
      <c r="F779" s="39" t="n"/>
      <c r="G779" s="39" t="n"/>
      <c r="H779" s="41" t="n"/>
    </row>
    <row r="780">
      <c r="B780" s="34" t="n"/>
      <c r="C780" s="32" t="n"/>
      <c r="D780" s="35" t="n"/>
      <c r="E780" s="36" t="n"/>
      <c r="F780" s="32" t="n"/>
      <c r="G780" s="32" t="n"/>
      <c r="H780" s="35" t="n"/>
    </row>
    <row r="781">
      <c r="B781" s="40" t="n"/>
      <c r="C781" s="39" t="n"/>
      <c r="D781" s="41" t="n"/>
      <c r="E781" s="42" t="n"/>
      <c r="F781" s="39" t="n"/>
      <c r="G781" s="39" t="n"/>
      <c r="H781" s="41" t="n"/>
    </row>
    <row r="782">
      <c r="B782" s="34" t="n"/>
      <c r="C782" s="32" t="n"/>
      <c r="D782" s="35" t="n"/>
      <c r="E782" s="36" t="n"/>
      <c r="F782" s="32" t="n"/>
      <c r="G782" s="32" t="n"/>
      <c r="H782" s="35" t="n"/>
    </row>
    <row r="783">
      <c r="B783" s="40" t="n"/>
      <c r="C783" s="39" t="n"/>
      <c r="D783" s="41" t="n"/>
      <c r="E783" s="42" t="n"/>
      <c r="F783" s="39" t="n"/>
      <c r="G783" s="39" t="n"/>
      <c r="H783" s="41" t="n"/>
    </row>
    <row r="784">
      <c r="B784" s="34" t="n"/>
      <c r="C784" s="32" t="n"/>
      <c r="D784" s="35" t="n"/>
      <c r="E784" s="36" t="n"/>
      <c r="F784" s="32" t="n"/>
      <c r="G784" s="32" t="n"/>
      <c r="H784" s="35" t="n"/>
    </row>
    <row r="785">
      <c r="B785" s="40" t="n"/>
      <c r="C785" s="39" t="n"/>
      <c r="D785" s="41" t="n"/>
      <c r="E785" s="42" t="n"/>
      <c r="F785" s="39" t="n"/>
      <c r="G785" s="39" t="n"/>
      <c r="H785" s="41" t="n"/>
    </row>
    <row r="786">
      <c r="B786" s="34" t="n"/>
      <c r="C786" s="32" t="n"/>
      <c r="D786" s="35" t="n"/>
      <c r="E786" s="36" t="n"/>
      <c r="F786" s="32" t="n"/>
      <c r="G786" s="32" t="n"/>
      <c r="H786" s="35" t="n"/>
    </row>
    <row r="787">
      <c r="B787" s="40" t="n"/>
      <c r="C787" s="39" t="n"/>
      <c r="D787" s="41" t="n"/>
      <c r="E787" s="42" t="n"/>
      <c r="F787" s="39" t="n"/>
      <c r="G787" s="39" t="n"/>
      <c r="H787" s="41" t="n"/>
    </row>
    <row r="788">
      <c r="B788" s="34" t="n"/>
      <c r="C788" s="32" t="n"/>
      <c r="D788" s="35" t="n"/>
      <c r="E788" s="36" t="n"/>
      <c r="F788" s="32" t="n"/>
      <c r="G788" s="32" t="n"/>
      <c r="H788" s="35" t="n"/>
    </row>
    <row r="789">
      <c r="B789" s="40" t="n"/>
      <c r="C789" s="39" t="n"/>
      <c r="D789" s="41" t="n"/>
      <c r="E789" s="42" t="n"/>
      <c r="F789" s="39" t="n"/>
      <c r="G789" s="39" t="n"/>
      <c r="H789" s="41" t="n"/>
    </row>
    <row r="790">
      <c r="B790" s="34" t="n"/>
      <c r="C790" s="32" t="n"/>
      <c r="D790" s="35" t="n"/>
      <c r="E790" s="36" t="n"/>
      <c r="F790" s="32" t="n"/>
      <c r="G790" s="32" t="n"/>
      <c r="H790" s="35" t="n"/>
    </row>
    <row r="791">
      <c r="B791" s="40" t="n"/>
      <c r="C791" s="39" t="n"/>
      <c r="D791" s="41" t="n"/>
      <c r="E791" s="42" t="n"/>
      <c r="F791" s="39" t="n"/>
      <c r="G791" s="39" t="n"/>
      <c r="H791" s="41" t="n"/>
    </row>
    <row r="792">
      <c r="B792" s="34" t="n"/>
      <c r="C792" s="32" t="n"/>
      <c r="D792" s="35" t="n"/>
      <c r="E792" s="36" t="n"/>
      <c r="F792" s="32" t="n"/>
      <c r="G792" s="32" t="n"/>
      <c r="H792" s="35" t="n"/>
    </row>
    <row r="793">
      <c r="B793" s="40" t="n"/>
      <c r="C793" s="39" t="n"/>
      <c r="D793" s="41" t="n"/>
      <c r="E793" s="42" t="n"/>
      <c r="F793" s="39" t="n"/>
      <c r="G793" s="39" t="n"/>
      <c r="H793" s="41" t="n"/>
    </row>
    <row r="794">
      <c r="B794" s="34" t="n"/>
      <c r="C794" s="32" t="n"/>
      <c r="D794" s="35" t="n"/>
      <c r="E794" s="36" t="n"/>
      <c r="F794" s="32" t="n"/>
      <c r="G794" s="32" t="n"/>
      <c r="H794" s="35" t="n"/>
    </row>
    <row r="795">
      <c r="B795" s="40" t="n"/>
      <c r="C795" s="39" t="n"/>
      <c r="D795" s="41" t="n"/>
      <c r="E795" s="42" t="n"/>
      <c r="F795" s="39" t="n"/>
      <c r="G795" s="39" t="n"/>
      <c r="H795" s="41" t="n"/>
    </row>
    <row r="796">
      <c r="B796" s="34" t="n"/>
      <c r="C796" s="32" t="n"/>
      <c r="D796" s="35" t="n"/>
      <c r="E796" s="36" t="n"/>
      <c r="F796" s="32" t="n"/>
      <c r="G796" s="32" t="n"/>
      <c r="H796" s="35" t="n"/>
    </row>
    <row r="797">
      <c r="B797" s="40" t="n"/>
      <c r="C797" s="39" t="n"/>
      <c r="D797" s="41" t="n"/>
      <c r="E797" s="42" t="n"/>
      <c r="F797" s="39" t="n"/>
      <c r="G797" s="39" t="n"/>
      <c r="H797" s="41" t="n"/>
    </row>
    <row r="798">
      <c r="B798" s="34" t="n"/>
      <c r="C798" s="32" t="n"/>
      <c r="D798" s="35" t="n"/>
      <c r="E798" s="36" t="n"/>
      <c r="F798" s="32" t="n"/>
      <c r="G798" s="32" t="n"/>
      <c r="H798" s="35" t="n"/>
    </row>
    <row r="799">
      <c r="B799" s="40" t="n"/>
      <c r="C799" s="39" t="n"/>
      <c r="D799" s="41" t="n"/>
      <c r="E799" s="42" t="n"/>
      <c r="F799" s="39" t="n"/>
      <c r="G799" s="39" t="n"/>
      <c r="H799" s="41" t="n"/>
    </row>
    <row r="800">
      <c r="B800" s="34" t="n"/>
      <c r="C800" s="32" t="n"/>
      <c r="D800" s="35" t="n"/>
      <c r="E800" s="36" t="n"/>
      <c r="F800" s="32" t="n"/>
      <c r="G800" s="32" t="n"/>
      <c r="H800" s="35" t="n"/>
    </row>
    <row r="801">
      <c r="B801" s="40" t="n"/>
      <c r="C801" s="39" t="n"/>
      <c r="D801" s="41" t="n"/>
      <c r="E801" s="42" t="n"/>
      <c r="F801" s="39" t="n"/>
      <c r="G801" s="39" t="n"/>
      <c r="H801" s="41" t="n"/>
    </row>
    <row r="802">
      <c r="B802" s="34" t="n"/>
      <c r="C802" s="32" t="n"/>
      <c r="D802" s="35" t="n"/>
      <c r="E802" s="36" t="n"/>
      <c r="F802" s="32" t="n"/>
      <c r="G802" s="32" t="n"/>
      <c r="H802" s="35" t="n"/>
    </row>
    <row r="803">
      <c r="B803" s="40" t="n"/>
      <c r="C803" s="39" t="n"/>
      <c r="D803" s="41" t="n"/>
      <c r="E803" s="42" t="n"/>
      <c r="F803" s="39" t="n"/>
      <c r="G803" s="39" t="n"/>
      <c r="H803" s="41" t="n"/>
    </row>
    <row r="804">
      <c r="B804" s="34" t="n"/>
      <c r="C804" s="32" t="n"/>
      <c r="D804" s="35" t="n"/>
      <c r="E804" s="36" t="n"/>
      <c r="F804" s="32" t="n"/>
      <c r="G804" s="32" t="n"/>
      <c r="H804" s="35" t="n"/>
    </row>
    <row r="805">
      <c r="B805" s="40" t="n"/>
      <c r="C805" s="39" t="n"/>
      <c r="D805" s="41" t="n"/>
      <c r="E805" s="42" t="n"/>
      <c r="F805" s="39" t="n"/>
      <c r="G805" s="39" t="n"/>
      <c r="H805" s="41" t="n"/>
    </row>
    <row r="806">
      <c r="B806" s="34" t="n"/>
      <c r="C806" s="32" t="n"/>
      <c r="D806" s="35" t="n"/>
      <c r="E806" s="36" t="n"/>
      <c r="F806" s="32" t="n"/>
      <c r="G806" s="32" t="n"/>
      <c r="H806" s="35" t="n"/>
    </row>
    <row r="807">
      <c r="B807" s="40" t="n"/>
      <c r="C807" s="39" t="n"/>
      <c r="D807" s="41" t="n"/>
      <c r="E807" s="42" t="n"/>
      <c r="F807" s="39" t="n"/>
      <c r="G807" s="39" t="n"/>
      <c r="H807" s="41" t="n"/>
    </row>
    <row r="808">
      <c r="B808" s="34" t="n"/>
      <c r="C808" s="32" t="n"/>
      <c r="D808" s="35" t="n"/>
      <c r="E808" s="36" t="n"/>
      <c r="F808" s="32" t="n"/>
      <c r="G808" s="32" t="n"/>
      <c r="H808" s="35" t="n"/>
    </row>
    <row r="809">
      <c r="B809" s="40" t="n"/>
      <c r="C809" s="39" t="n"/>
      <c r="D809" s="41" t="n"/>
      <c r="E809" s="42" t="n"/>
      <c r="F809" s="39" t="n"/>
      <c r="G809" s="39" t="n"/>
      <c r="H809" s="41" t="n"/>
    </row>
    <row r="810">
      <c r="B810" s="34" t="n"/>
      <c r="C810" s="32" t="n"/>
      <c r="D810" s="35" t="n"/>
      <c r="E810" s="36" t="n"/>
      <c r="F810" s="32" t="n"/>
      <c r="G810" s="32" t="n"/>
      <c r="H810" s="35" t="n"/>
    </row>
    <row r="811">
      <c r="B811" s="40" t="n"/>
      <c r="C811" s="39" t="n"/>
      <c r="D811" s="41" t="n"/>
      <c r="E811" s="42" t="n"/>
      <c r="F811" s="39" t="n"/>
      <c r="G811" s="39" t="n"/>
      <c r="H811" s="41" t="n"/>
    </row>
    <row r="812">
      <c r="B812" s="34" t="n"/>
      <c r="C812" s="32" t="n"/>
      <c r="D812" s="35" t="n"/>
      <c r="E812" s="36" t="n"/>
      <c r="F812" s="32" t="n"/>
      <c r="G812" s="32" t="n"/>
      <c r="H812" s="35" t="n"/>
    </row>
    <row r="813">
      <c r="B813" s="40" t="n"/>
      <c r="C813" s="39" t="n"/>
      <c r="D813" s="41" t="n"/>
      <c r="E813" s="42" t="n"/>
      <c r="F813" s="39" t="n"/>
      <c r="G813" s="39" t="n"/>
      <c r="H813" s="41" t="n"/>
    </row>
    <row r="814">
      <c r="B814" s="34" t="n"/>
      <c r="C814" s="32" t="n"/>
      <c r="D814" s="35" t="n"/>
      <c r="E814" s="36" t="n"/>
      <c r="F814" s="32" t="n"/>
      <c r="G814" s="32" t="n"/>
      <c r="H814" s="35" t="n"/>
    </row>
    <row r="815">
      <c r="B815" s="40" t="n"/>
      <c r="C815" s="39" t="n"/>
      <c r="D815" s="41" t="n"/>
      <c r="E815" s="42" t="n"/>
      <c r="F815" s="39" t="n"/>
      <c r="G815" s="39" t="n"/>
      <c r="H815" s="41" t="n"/>
    </row>
    <row r="816">
      <c r="B816" s="34" t="n"/>
      <c r="C816" s="32" t="n"/>
      <c r="D816" s="35" t="n"/>
      <c r="E816" s="36" t="n"/>
      <c r="F816" s="32" t="n"/>
      <c r="G816" s="32" t="n"/>
      <c r="H816" s="35" t="n"/>
    </row>
    <row r="817">
      <c r="B817" s="40" t="n"/>
      <c r="C817" s="39" t="n"/>
      <c r="D817" s="41" t="n"/>
      <c r="E817" s="42" t="n"/>
      <c r="F817" s="39" t="n"/>
      <c r="G817" s="39" t="n"/>
      <c r="H817" s="41" t="n"/>
    </row>
    <row r="818">
      <c r="B818" s="34" t="n"/>
      <c r="C818" s="32" t="n"/>
      <c r="D818" s="35" t="n"/>
      <c r="E818" s="36" t="n"/>
      <c r="F818" s="32" t="n"/>
      <c r="G818" s="32" t="n"/>
      <c r="H818" s="35" t="n"/>
    </row>
    <row r="819">
      <c r="B819" s="40" t="n"/>
      <c r="C819" s="39" t="n"/>
      <c r="D819" s="41" t="n"/>
      <c r="E819" s="42" t="n"/>
      <c r="F819" s="39" t="n"/>
      <c r="G819" s="39" t="n"/>
      <c r="H819" s="41" t="n"/>
    </row>
    <row r="820">
      <c r="B820" s="34" t="n"/>
      <c r="C820" s="32" t="n"/>
      <c r="D820" s="35" t="n"/>
      <c r="E820" s="36" t="n"/>
      <c r="F820" s="32" t="n"/>
      <c r="G820" s="32" t="n"/>
      <c r="H820" s="35" t="n"/>
    </row>
    <row r="821">
      <c r="B821" s="40" t="n"/>
      <c r="C821" s="39" t="n"/>
      <c r="D821" s="41" t="n"/>
      <c r="E821" s="42" t="n"/>
      <c r="F821" s="39" t="n"/>
      <c r="G821" s="39" t="n"/>
      <c r="H821" s="41" t="n"/>
    </row>
    <row r="822">
      <c r="B822" s="34" t="n"/>
      <c r="C822" s="32" t="n"/>
      <c r="D822" s="35" t="n"/>
      <c r="E822" s="36" t="n"/>
      <c r="F822" s="32" t="n"/>
      <c r="G822" s="32" t="n"/>
      <c r="H822" s="35" t="n"/>
    </row>
    <row r="823">
      <c r="B823" s="40" t="n"/>
      <c r="C823" s="39" t="n"/>
      <c r="D823" s="41" t="n"/>
      <c r="E823" s="42" t="n"/>
      <c r="F823" s="39" t="n"/>
      <c r="G823" s="39" t="n"/>
      <c r="H823" s="41" t="n"/>
    </row>
    <row r="824">
      <c r="B824" s="34" t="n"/>
      <c r="C824" s="32" t="n"/>
      <c r="D824" s="35" t="n"/>
      <c r="E824" s="36" t="n"/>
      <c r="F824" s="32" t="n"/>
      <c r="G824" s="32" t="n"/>
      <c r="H824" s="35" t="n"/>
    </row>
    <row r="825">
      <c r="B825" s="40" t="n"/>
      <c r="C825" s="39" t="n"/>
      <c r="D825" s="41" t="n"/>
      <c r="E825" s="42" t="n"/>
      <c r="F825" s="39" t="n"/>
      <c r="G825" s="39" t="n"/>
      <c r="H825" s="41" t="n"/>
    </row>
    <row r="826">
      <c r="B826" s="34" t="n"/>
      <c r="C826" s="32" t="n"/>
      <c r="D826" s="35" t="n"/>
      <c r="E826" s="36" t="n"/>
      <c r="F826" s="32" t="n"/>
      <c r="G826" s="32" t="n"/>
      <c r="H826" s="35" t="n"/>
    </row>
    <row r="827">
      <c r="B827" s="40" t="n"/>
      <c r="C827" s="39" t="n"/>
      <c r="D827" s="41" t="n"/>
      <c r="E827" s="42" t="n"/>
      <c r="F827" s="39" t="n"/>
      <c r="G827" s="39" t="n"/>
      <c r="H827" s="41" t="n"/>
    </row>
    <row r="828">
      <c r="B828" s="34" t="n"/>
      <c r="C828" s="32" t="n"/>
      <c r="D828" s="35" t="n"/>
      <c r="E828" s="36" t="n"/>
      <c r="F828" s="32" t="n"/>
      <c r="G828" s="32" t="n"/>
      <c r="H828" s="35" t="n"/>
    </row>
    <row r="829">
      <c r="B829" s="40" t="n"/>
      <c r="C829" s="39" t="n"/>
      <c r="D829" s="41" t="n"/>
      <c r="E829" s="42" t="n"/>
      <c r="F829" s="39" t="n"/>
      <c r="G829" s="39" t="n"/>
      <c r="H829" s="41" t="n"/>
    </row>
    <row r="830">
      <c r="B830" s="34" t="n"/>
      <c r="C830" s="32" t="n"/>
      <c r="D830" s="35" t="n"/>
      <c r="E830" s="36" t="n"/>
      <c r="F830" s="32" t="n"/>
      <c r="G830" s="32" t="n"/>
      <c r="H830" s="35" t="n"/>
    </row>
    <row r="831">
      <c r="B831" s="40" t="n"/>
      <c r="C831" s="39" t="n"/>
      <c r="D831" s="41" t="n"/>
      <c r="E831" s="42" t="n"/>
      <c r="F831" s="39" t="n"/>
      <c r="G831" s="39" t="n"/>
      <c r="H831" s="41" t="n"/>
    </row>
    <row r="832">
      <c r="B832" s="34" t="n"/>
      <c r="C832" s="32" t="n"/>
      <c r="D832" s="35" t="n"/>
      <c r="E832" s="36" t="n"/>
      <c r="F832" s="32" t="n"/>
      <c r="G832" s="32" t="n"/>
      <c r="H832" s="35" t="n"/>
    </row>
    <row r="833">
      <c r="B833" s="40" t="n"/>
      <c r="C833" s="39" t="n"/>
      <c r="D833" s="41" t="n"/>
      <c r="E833" s="42" t="n"/>
      <c r="F833" s="39" t="n"/>
      <c r="G833" s="39" t="n"/>
      <c r="H833" s="41" t="n"/>
    </row>
    <row r="834">
      <c r="B834" s="34" t="n"/>
      <c r="C834" s="32" t="n"/>
      <c r="D834" s="35" t="n"/>
      <c r="E834" s="36" t="n"/>
      <c r="F834" s="32" t="n"/>
      <c r="G834" s="32" t="n"/>
      <c r="H834" s="35" t="n"/>
    </row>
    <row r="835">
      <c r="B835" s="40" t="n"/>
      <c r="C835" s="39" t="n"/>
      <c r="D835" s="41" t="n"/>
      <c r="E835" s="42" t="n"/>
      <c r="F835" s="39" t="n"/>
      <c r="G835" s="39" t="n"/>
      <c r="H835" s="41" t="n"/>
    </row>
    <row r="836">
      <c r="B836" s="34" t="n"/>
      <c r="C836" s="32" t="n"/>
      <c r="D836" s="35" t="n"/>
      <c r="E836" s="36" t="n"/>
      <c r="F836" s="32" t="n"/>
      <c r="G836" s="32" t="n"/>
      <c r="H836" s="35" t="n"/>
    </row>
    <row r="837">
      <c r="B837" s="40" t="n"/>
      <c r="C837" s="39" t="n"/>
      <c r="D837" s="41" t="n"/>
      <c r="E837" s="42" t="n"/>
      <c r="F837" s="39" t="n"/>
      <c r="G837" s="39" t="n"/>
      <c r="H837" s="41" t="n"/>
    </row>
    <row r="838">
      <c r="B838" s="34" t="n"/>
      <c r="C838" s="32" t="n"/>
      <c r="D838" s="35" t="n"/>
      <c r="E838" s="36" t="n"/>
      <c r="F838" s="32" t="n"/>
      <c r="G838" s="32" t="n"/>
      <c r="H838" s="35" t="n"/>
    </row>
    <row r="839">
      <c r="B839" s="40" t="n"/>
      <c r="C839" s="39" t="n"/>
      <c r="D839" s="41" t="n"/>
      <c r="E839" s="42" t="n"/>
      <c r="F839" s="39" t="n"/>
      <c r="G839" s="39" t="n"/>
      <c r="H839" s="41" t="n"/>
    </row>
    <row r="840">
      <c r="B840" s="34" t="n"/>
      <c r="C840" s="32" t="n"/>
      <c r="D840" s="35" t="n"/>
      <c r="E840" s="36" t="n"/>
      <c r="F840" s="32" t="n"/>
      <c r="G840" s="32" t="n"/>
      <c r="H840" s="35" t="n"/>
    </row>
    <row r="841">
      <c r="B841" s="40" t="n"/>
      <c r="C841" s="39" t="n"/>
      <c r="D841" s="41" t="n"/>
      <c r="E841" s="42" t="n"/>
      <c r="F841" s="39" t="n"/>
      <c r="G841" s="39" t="n"/>
      <c r="H841" s="41" t="n"/>
    </row>
    <row r="842">
      <c r="B842" s="34" t="n"/>
      <c r="C842" s="32" t="n"/>
      <c r="D842" s="35" t="n"/>
      <c r="E842" s="36" t="n"/>
      <c r="F842" s="32" t="n"/>
      <c r="G842" s="32" t="n"/>
      <c r="H842" s="35" t="n"/>
    </row>
    <row r="843">
      <c r="B843" s="40" t="n"/>
      <c r="C843" s="39" t="n"/>
      <c r="D843" s="41" t="n"/>
      <c r="E843" s="42" t="n"/>
      <c r="F843" s="39" t="n"/>
      <c r="G843" s="39" t="n"/>
      <c r="H843" s="41" t="n"/>
    </row>
    <row r="844">
      <c r="B844" s="34" t="n"/>
      <c r="C844" s="32" t="n"/>
      <c r="D844" s="35" t="n"/>
      <c r="E844" s="36" t="n"/>
      <c r="F844" s="32" t="n"/>
      <c r="G844" s="32" t="n"/>
      <c r="H844" s="35" t="n"/>
    </row>
    <row r="845">
      <c r="B845" s="40" t="n"/>
      <c r="C845" s="39" t="n"/>
      <c r="D845" s="41" t="n"/>
      <c r="E845" s="42" t="n"/>
      <c r="F845" s="39" t="n"/>
      <c r="G845" s="39" t="n"/>
      <c r="H845" s="41" t="n"/>
    </row>
    <row r="846">
      <c r="B846" s="34" t="n"/>
      <c r="C846" s="32" t="n"/>
      <c r="D846" s="35" t="n"/>
      <c r="E846" s="36" t="n"/>
      <c r="F846" s="32" t="n"/>
      <c r="G846" s="32" t="n"/>
      <c r="H846" s="35" t="n"/>
    </row>
    <row r="847">
      <c r="B847" s="40" t="n"/>
      <c r="C847" s="39" t="n"/>
      <c r="D847" s="41" t="n"/>
      <c r="E847" s="42" t="n"/>
      <c r="F847" s="39" t="n"/>
      <c r="G847" s="39" t="n"/>
      <c r="H847" s="41" t="n"/>
    </row>
    <row r="848">
      <c r="B848" s="34" t="n"/>
      <c r="C848" s="32" t="n"/>
      <c r="D848" s="35" t="n"/>
      <c r="E848" s="36" t="n"/>
      <c r="F848" s="32" t="n"/>
      <c r="G848" s="32" t="n"/>
      <c r="H848" s="35" t="n"/>
    </row>
    <row r="849">
      <c r="B849" s="40" t="n"/>
      <c r="C849" s="39" t="n"/>
      <c r="D849" s="41" t="n"/>
      <c r="E849" s="42" t="n"/>
      <c r="F849" s="39" t="n"/>
      <c r="G849" s="39" t="n"/>
      <c r="H849" s="41" t="n"/>
    </row>
    <row r="850">
      <c r="B850" s="34" t="n"/>
      <c r="C850" s="32" t="n"/>
      <c r="D850" s="35" t="n"/>
      <c r="E850" s="36" t="n"/>
      <c r="F850" s="32" t="n"/>
      <c r="G850" s="32" t="n"/>
      <c r="H850" s="35" t="n"/>
    </row>
    <row r="851">
      <c r="B851" s="40" t="n"/>
      <c r="C851" s="39" t="n"/>
      <c r="D851" s="41" t="n"/>
      <c r="E851" s="42" t="n"/>
      <c r="F851" s="39" t="n"/>
      <c r="G851" s="39" t="n"/>
      <c r="H851" s="41" t="n"/>
    </row>
    <row r="852">
      <c r="B852" s="34" t="n"/>
      <c r="C852" s="32" t="n"/>
      <c r="D852" s="35" t="n"/>
      <c r="E852" s="36" t="n"/>
      <c r="F852" s="32" t="n"/>
      <c r="G852" s="32" t="n"/>
      <c r="H852" s="35" t="n"/>
    </row>
    <row r="853">
      <c r="B853" s="40" t="n"/>
      <c r="C853" s="39" t="n"/>
      <c r="D853" s="41" t="n"/>
      <c r="E853" s="42" t="n"/>
      <c r="F853" s="39" t="n"/>
      <c r="G853" s="39" t="n"/>
      <c r="H853" s="41" t="n"/>
    </row>
    <row r="854">
      <c r="B854" s="34" t="n"/>
      <c r="C854" s="32" t="n"/>
      <c r="D854" s="35" t="n"/>
      <c r="E854" s="36" t="n"/>
      <c r="F854" s="32" t="n"/>
      <c r="G854" s="32" t="n"/>
      <c r="H854" s="35" t="n"/>
    </row>
    <row r="855">
      <c r="B855" s="40" t="n"/>
      <c r="C855" s="39" t="n"/>
      <c r="D855" s="41" t="n"/>
      <c r="E855" s="42" t="n"/>
      <c r="F855" s="39" t="n"/>
      <c r="G855" s="39" t="n"/>
      <c r="H855" s="41" t="n"/>
    </row>
    <row r="856">
      <c r="B856" s="34" t="n"/>
      <c r="C856" s="32" t="n"/>
      <c r="D856" s="35" t="n"/>
      <c r="E856" s="36" t="n"/>
      <c r="F856" s="32" t="n"/>
      <c r="G856" s="32" t="n"/>
      <c r="H856" s="35" t="n"/>
    </row>
    <row r="857">
      <c r="B857" s="40" t="n"/>
      <c r="C857" s="39" t="n"/>
      <c r="D857" s="41" t="n"/>
      <c r="E857" s="42" t="n"/>
      <c r="F857" s="39" t="n"/>
      <c r="G857" s="39" t="n"/>
      <c r="H857" s="41" t="n"/>
    </row>
    <row r="858">
      <c r="B858" s="34" t="n"/>
      <c r="C858" s="32" t="n"/>
      <c r="D858" s="35" t="n"/>
      <c r="E858" s="36" t="n"/>
      <c r="F858" s="32" t="n"/>
      <c r="G858" s="32" t="n"/>
      <c r="H858" s="35" t="n"/>
    </row>
    <row r="859">
      <c r="B859" s="40" t="n"/>
      <c r="C859" s="39" t="n"/>
      <c r="D859" s="41" t="n"/>
      <c r="E859" s="42" t="n"/>
      <c r="F859" s="39" t="n"/>
      <c r="G859" s="39" t="n"/>
      <c r="H859" s="41" t="n"/>
    </row>
    <row r="860">
      <c r="B860" s="34" t="n"/>
      <c r="C860" s="32" t="n"/>
      <c r="D860" s="35" t="n"/>
      <c r="E860" s="36" t="n"/>
      <c r="F860" s="32" t="n"/>
      <c r="G860" s="32" t="n"/>
      <c r="H860" s="35" t="n"/>
    </row>
    <row r="861">
      <c r="B861" s="40" t="n"/>
      <c r="C861" s="39" t="n"/>
      <c r="D861" s="41" t="n"/>
      <c r="E861" s="42" t="n"/>
      <c r="F861" s="39" t="n"/>
      <c r="G861" s="39" t="n"/>
      <c r="H861" s="41" t="n"/>
    </row>
    <row r="862">
      <c r="B862" s="34" t="n"/>
      <c r="C862" s="32" t="n"/>
      <c r="D862" s="35" t="n"/>
      <c r="E862" s="36" t="n"/>
      <c r="F862" s="32" t="n"/>
      <c r="G862" s="32" t="n"/>
      <c r="H862" s="35" t="n"/>
    </row>
    <row r="863">
      <c r="B863" s="40" t="n"/>
      <c r="C863" s="39" t="n"/>
      <c r="D863" s="41" t="n"/>
      <c r="E863" s="42" t="n"/>
      <c r="F863" s="39" t="n"/>
      <c r="G863" s="39" t="n"/>
      <c r="H863" s="41" t="n"/>
    </row>
    <row r="864">
      <c r="B864" s="34" t="n"/>
      <c r="C864" s="32" t="n"/>
      <c r="D864" s="35" t="n"/>
      <c r="E864" s="36" t="n"/>
      <c r="F864" s="32" t="n"/>
      <c r="G864" s="32" t="n"/>
      <c r="H864" s="35" t="n"/>
    </row>
    <row r="865">
      <c r="B865" s="40" t="n"/>
      <c r="C865" s="39" t="n"/>
      <c r="D865" s="41" t="n"/>
      <c r="E865" s="42" t="n"/>
      <c r="F865" s="39" t="n"/>
      <c r="G865" s="39" t="n"/>
      <c r="H865" s="41" t="n"/>
    </row>
    <row r="866">
      <c r="B866" s="34" t="n"/>
      <c r="C866" s="32" t="n"/>
      <c r="D866" s="35" t="n"/>
      <c r="E866" s="36" t="n"/>
      <c r="F866" s="32" t="n"/>
      <c r="G866" s="32" t="n"/>
      <c r="H866" s="35" t="n"/>
    </row>
    <row r="867">
      <c r="B867" s="40" t="n"/>
      <c r="C867" s="39" t="n"/>
      <c r="D867" s="41" t="n"/>
      <c r="E867" s="42" t="n"/>
      <c r="F867" s="39" t="n"/>
      <c r="G867" s="39" t="n"/>
      <c r="H867" s="41" t="n"/>
    </row>
    <row r="868">
      <c r="B868" s="34" t="n"/>
      <c r="C868" s="32" t="n"/>
      <c r="D868" s="35" t="n"/>
      <c r="E868" s="36" t="n"/>
      <c r="F868" s="32" t="n"/>
      <c r="G868" s="32" t="n"/>
      <c r="H868" s="35" t="n"/>
    </row>
    <row r="869">
      <c r="B869" s="40" t="n"/>
      <c r="C869" s="39" t="n"/>
      <c r="D869" s="41" t="n"/>
      <c r="E869" s="42" t="n"/>
      <c r="F869" s="39" t="n"/>
      <c r="G869" s="39" t="n"/>
      <c r="H869" s="41" t="n"/>
    </row>
    <row r="870">
      <c r="B870" s="34" t="n"/>
      <c r="C870" s="32" t="n"/>
      <c r="D870" s="35" t="n"/>
      <c r="E870" s="36" t="n"/>
      <c r="F870" s="32" t="n"/>
      <c r="G870" s="32" t="n"/>
      <c r="H870" s="35" t="n"/>
    </row>
    <row r="871">
      <c r="B871" s="40" t="n"/>
      <c r="C871" s="39" t="n"/>
      <c r="D871" s="41" t="n"/>
      <c r="E871" s="42" t="n"/>
      <c r="F871" s="39" t="n"/>
      <c r="G871" s="39" t="n"/>
      <c r="H871" s="41" t="n"/>
    </row>
    <row r="872">
      <c r="B872" s="34" t="n"/>
      <c r="C872" s="32" t="n"/>
      <c r="D872" s="35" t="n"/>
      <c r="E872" s="36" t="n"/>
      <c r="F872" s="32" t="n"/>
      <c r="G872" s="32" t="n"/>
      <c r="H872" s="35" t="n"/>
    </row>
    <row r="873">
      <c r="B873" s="40" t="n"/>
      <c r="C873" s="39" t="n"/>
      <c r="D873" s="41" t="n"/>
      <c r="E873" s="42" t="n"/>
      <c r="F873" s="39" t="n"/>
      <c r="G873" s="39" t="n"/>
      <c r="H873" s="41" t="n"/>
    </row>
    <row r="874">
      <c r="B874" s="34" t="n"/>
      <c r="C874" s="32" t="n"/>
      <c r="D874" s="35" t="n"/>
      <c r="E874" s="36" t="n"/>
      <c r="F874" s="32" t="n"/>
      <c r="G874" s="32" t="n"/>
      <c r="H874" s="35" t="n"/>
    </row>
    <row r="875">
      <c r="B875" s="40" t="n"/>
      <c r="C875" s="39" t="n"/>
      <c r="D875" s="41" t="n"/>
      <c r="E875" s="42" t="n"/>
      <c r="F875" s="39" t="n"/>
      <c r="G875" s="39" t="n"/>
      <c r="H875" s="41" t="n"/>
    </row>
    <row r="876">
      <c r="B876" s="34" t="n"/>
      <c r="C876" s="32" t="n"/>
      <c r="D876" s="35" t="n"/>
      <c r="E876" s="36" t="n"/>
      <c r="F876" s="32" t="n"/>
      <c r="G876" s="32" t="n"/>
      <c r="H876" s="35" t="n"/>
    </row>
    <row r="877">
      <c r="B877" s="40" t="n"/>
      <c r="C877" s="39" t="n"/>
      <c r="D877" s="41" t="n"/>
      <c r="E877" s="42" t="n"/>
      <c r="F877" s="39" t="n"/>
      <c r="G877" s="39" t="n"/>
      <c r="H877" s="41" t="n"/>
    </row>
    <row r="878">
      <c r="B878" s="34" t="n"/>
      <c r="C878" s="32" t="n"/>
      <c r="D878" s="35" t="n"/>
      <c r="E878" s="36" t="n"/>
      <c r="F878" s="32" t="n"/>
      <c r="G878" s="32" t="n"/>
      <c r="H878" s="35" t="n"/>
    </row>
    <row r="879">
      <c r="B879" s="40" t="n"/>
      <c r="C879" s="39" t="n"/>
      <c r="D879" s="41" t="n"/>
      <c r="E879" s="42" t="n"/>
      <c r="F879" s="39" t="n"/>
      <c r="G879" s="39" t="n"/>
      <c r="H879" s="41" t="n"/>
    </row>
    <row r="880">
      <c r="B880" s="34" t="n"/>
      <c r="C880" s="32" t="n"/>
      <c r="D880" s="35" t="n"/>
      <c r="E880" s="36" t="n"/>
      <c r="F880" s="32" t="n"/>
      <c r="G880" s="32" t="n"/>
      <c r="H880" s="35" t="n"/>
    </row>
    <row r="881">
      <c r="B881" s="40" t="n"/>
      <c r="C881" s="39" t="n"/>
      <c r="D881" s="41" t="n"/>
      <c r="E881" s="42" t="n"/>
      <c r="F881" s="39" t="n"/>
      <c r="G881" s="39" t="n"/>
      <c r="H881" s="41" t="n"/>
    </row>
    <row r="882">
      <c r="B882" s="34" t="n"/>
      <c r="C882" s="32" t="n"/>
      <c r="D882" s="35" t="n"/>
      <c r="E882" s="36" t="n"/>
      <c r="F882" s="32" t="n"/>
      <c r="G882" s="32" t="n"/>
      <c r="H882" s="35" t="n"/>
    </row>
    <row r="883">
      <c r="B883" s="40" t="n"/>
      <c r="C883" s="39" t="n"/>
      <c r="D883" s="41" t="n"/>
      <c r="E883" s="42" t="n"/>
      <c r="F883" s="39" t="n"/>
      <c r="G883" s="39" t="n"/>
      <c r="H883" s="41" t="n"/>
    </row>
    <row r="884">
      <c r="B884" s="34" t="n"/>
      <c r="C884" s="32" t="n"/>
      <c r="D884" s="35" t="n"/>
      <c r="E884" s="36" t="n"/>
      <c r="F884" s="32" t="n"/>
      <c r="G884" s="32" t="n"/>
      <c r="H884" s="35" t="n"/>
    </row>
    <row r="885">
      <c r="B885" s="40" t="n"/>
      <c r="C885" s="39" t="n"/>
      <c r="D885" s="41" t="n"/>
      <c r="E885" s="42" t="n"/>
      <c r="F885" s="39" t="n"/>
      <c r="G885" s="39" t="n"/>
      <c r="H885" s="41" t="n"/>
    </row>
    <row r="886">
      <c r="B886" s="34" t="n"/>
      <c r="C886" s="32" t="n"/>
      <c r="D886" s="35" t="n"/>
      <c r="E886" s="36" t="n"/>
      <c r="F886" s="32" t="n"/>
      <c r="G886" s="32" t="n"/>
      <c r="H886" s="35" t="n"/>
    </row>
    <row r="887">
      <c r="B887" s="40" t="n"/>
      <c r="C887" s="39" t="n"/>
      <c r="D887" s="41" t="n"/>
      <c r="E887" s="42" t="n"/>
      <c r="F887" s="39" t="n"/>
      <c r="G887" s="39" t="n"/>
      <c r="H887" s="41" t="n"/>
    </row>
    <row r="888">
      <c r="B888" s="34" t="n"/>
      <c r="C888" s="32" t="n"/>
      <c r="D888" s="35" t="n"/>
      <c r="E888" s="36" t="n"/>
      <c r="F888" s="32" t="n"/>
      <c r="G888" s="32" t="n"/>
      <c r="H888" s="35" t="n"/>
    </row>
    <row r="889">
      <c r="B889" s="40" t="n"/>
      <c r="C889" s="39" t="n"/>
      <c r="D889" s="41" t="n"/>
      <c r="E889" s="42" t="n"/>
      <c r="F889" s="39" t="n"/>
      <c r="G889" s="39" t="n"/>
      <c r="H889" s="41" t="n"/>
    </row>
    <row r="890">
      <c r="B890" s="34" t="n"/>
      <c r="C890" s="32" t="n"/>
      <c r="D890" s="35" t="n"/>
      <c r="E890" s="36" t="n"/>
      <c r="F890" s="32" t="n"/>
      <c r="G890" s="32" t="n"/>
      <c r="H890" s="35" t="n"/>
    </row>
    <row r="891">
      <c r="B891" s="40" t="n"/>
      <c r="C891" s="39" t="n"/>
      <c r="D891" s="41" t="n"/>
      <c r="E891" s="42" t="n"/>
      <c r="F891" s="39" t="n"/>
      <c r="G891" s="39" t="n"/>
      <c r="H891" s="41" t="n"/>
    </row>
    <row r="892">
      <c r="B892" s="34" t="n"/>
      <c r="C892" s="32" t="n"/>
      <c r="D892" s="35" t="n"/>
      <c r="E892" s="36" t="n"/>
      <c r="F892" s="32" t="n"/>
      <c r="G892" s="32" t="n"/>
      <c r="H892" s="35" t="n"/>
    </row>
    <row r="893">
      <c r="B893" s="40" t="n"/>
      <c r="C893" s="39" t="n"/>
      <c r="D893" s="41" t="n"/>
      <c r="E893" s="42" t="n"/>
      <c r="F893" s="39" t="n"/>
      <c r="G893" s="39" t="n"/>
      <c r="H893" s="41" t="n"/>
    </row>
    <row r="894">
      <c r="B894" s="34" t="n"/>
      <c r="C894" s="32" t="n"/>
      <c r="D894" s="35" t="n"/>
      <c r="E894" s="36" t="n"/>
      <c r="F894" s="32" t="n"/>
      <c r="G894" s="32" t="n"/>
      <c r="H894" s="35" t="n"/>
    </row>
    <row r="895">
      <c r="B895" s="40" t="n"/>
      <c r="C895" s="39" t="n"/>
      <c r="D895" s="41" t="n"/>
      <c r="E895" s="42" t="n"/>
      <c r="F895" s="39" t="n"/>
      <c r="G895" s="39" t="n"/>
      <c r="H895" s="41" t="n"/>
    </row>
    <row r="896">
      <c r="B896" s="34" t="n"/>
      <c r="C896" s="32" t="n"/>
      <c r="D896" s="35" t="n"/>
      <c r="E896" s="36" t="n"/>
      <c r="F896" s="32" t="n"/>
      <c r="G896" s="32" t="n"/>
      <c r="H896" s="35" t="n"/>
    </row>
    <row r="897">
      <c r="B897" s="40" t="n"/>
      <c r="C897" s="39" t="n"/>
      <c r="D897" s="41" t="n"/>
      <c r="E897" s="42" t="n"/>
      <c r="F897" s="39" t="n"/>
      <c r="G897" s="39" t="n"/>
      <c r="H897" s="41" t="n"/>
    </row>
    <row r="898">
      <c r="B898" s="34" t="n"/>
      <c r="C898" s="32" t="n"/>
      <c r="D898" s="35" t="n"/>
      <c r="E898" s="36" t="n"/>
      <c r="F898" s="32" t="n"/>
      <c r="G898" s="32" t="n"/>
      <c r="H898" s="35" t="n"/>
    </row>
    <row r="899">
      <c r="B899" s="40" t="n"/>
      <c r="C899" s="39" t="n"/>
      <c r="D899" s="41" t="n"/>
      <c r="E899" s="42" t="n"/>
      <c r="F899" s="39" t="n"/>
      <c r="G899" s="39" t="n"/>
      <c r="H899" s="41" t="n"/>
    </row>
    <row r="900">
      <c r="B900" s="34" t="n"/>
      <c r="C900" s="32" t="n"/>
      <c r="D900" s="35" t="n"/>
      <c r="E900" s="36" t="n"/>
      <c r="F900" s="32" t="n"/>
      <c r="G900" s="32" t="n"/>
      <c r="H900" s="35" t="n"/>
    </row>
    <row r="901">
      <c r="B901" s="40" t="n"/>
      <c r="C901" s="39" t="n"/>
      <c r="D901" s="41" t="n"/>
      <c r="E901" s="42" t="n"/>
      <c r="F901" s="39" t="n"/>
      <c r="G901" s="39" t="n"/>
      <c r="H901" s="41" t="n"/>
    </row>
    <row r="902">
      <c r="B902" s="34" t="n"/>
      <c r="C902" s="32" t="n"/>
      <c r="D902" s="35" t="n"/>
      <c r="E902" s="36" t="n"/>
      <c r="F902" s="32" t="n"/>
      <c r="G902" s="32" t="n"/>
      <c r="H902" s="35" t="n"/>
    </row>
    <row r="903">
      <c r="B903" s="40" t="n"/>
      <c r="C903" s="39" t="n"/>
      <c r="D903" s="41" t="n"/>
      <c r="E903" s="42" t="n"/>
      <c r="F903" s="39" t="n"/>
      <c r="G903" s="39" t="n"/>
      <c r="H903" s="41" t="n"/>
    </row>
    <row r="904">
      <c r="B904" s="34" t="n"/>
      <c r="C904" s="32" t="n"/>
      <c r="D904" s="35" t="n"/>
      <c r="E904" s="36" t="n"/>
      <c r="F904" s="32" t="n"/>
      <c r="G904" s="32" t="n"/>
      <c r="H904" s="35" t="n"/>
    </row>
    <row r="905">
      <c r="B905" s="40" t="n"/>
      <c r="C905" s="39" t="n"/>
      <c r="D905" s="41" t="n"/>
      <c r="E905" s="42" t="n"/>
      <c r="F905" s="39" t="n"/>
      <c r="G905" s="39" t="n"/>
      <c r="H905" s="41" t="n"/>
    </row>
    <row r="906">
      <c r="B906" s="34" t="n"/>
      <c r="C906" s="32" t="n"/>
      <c r="D906" s="35" t="n"/>
      <c r="E906" s="36" t="n"/>
      <c r="F906" s="32" t="n"/>
      <c r="G906" s="32" t="n"/>
      <c r="H906" s="35" t="n"/>
    </row>
    <row r="907">
      <c r="B907" s="40" t="n"/>
      <c r="C907" s="39" t="n"/>
      <c r="D907" s="41" t="n"/>
      <c r="E907" s="42" t="n"/>
      <c r="F907" s="39" t="n"/>
      <c r="G907" s="39" t="n"/>
      <c r="H907" s="41" t="n"/>
    </row>
    <row r="908">
      <c r="B908" s="34" t="n"/>
      <c r="C908" s="32" t="n"/>
      <c r="D908" s="35" t="n"/>
      <c r="E908" s="36" t="n"/>
      <c r="F908" s="32" t="n"/>
      <c r="G908" s="32" t="n"/>
      <c r="H908" s="35" t="n"/>
    </row>
    <row r="909">
      <c r="B909" s="40" t="n"/>
      <c r="C909" s="39" t="n"/>
      <c r="D909" s="41" t="n"/>
      <c r="E909" s="42" t="n"/>
      <c r="F909" s="39" t="n"/>
      <c r="G909" s="39" t="n"/>
      <c r="H909" s="41" t="n"/>
    </row>
    <row r="910">
      <c r="B910" s="34" t="n"/>
      <c r="C910" s="32" t="n"/>
      <c r="D910" s="35" t="n"/>
      <c r="E910" s="36" t="n"/>
      <c r="F910" s="32" t="n"/>
      <c r="G910" s="32" t="n"/>
      <c r="H910" s="35" t="n"/>
    </row>
    <row r="911">
      <c r="B911" s="40" t="n"/>
      <c r="C911" s="39" t="n"/>
      <c r="D911" s="41" t="n"/>
      <c r="E911" s="42" t="n"/>
      <c r="F911" s="39" t="n"/>
      <c r="G911" s="39" t="n"/>
      <c r="H911" s="41" t="n"/>
    </row>
    <row r="912">
      <c r="B912" s="34" t="n"/>
      <c r="C912" s="32" t="n"/>
      <c r="D912" s="35" t="n"/>
      <c r="E912" s="36" t="n"/>
      <c r="F912" s="32" t="n"/>
      <c r="G912" s="32" t="n"/>
      <c r="H912" s="35" t="n"/>
    </row>
    <row r="913">
      <c r="B913" s="40" t="n"/>
      <c r="C913" s="39" t="n"/>
      <c r="D913" s="41" t="n"/>
      <c r="E913" s="42" t="n"/>
      <c r="F913" s="39" t="n"/>
      <c r="G913" s="39" t="n"/>
      <c r="H913" s="41" t="n"/>
    </row>
    <row r="914">
      <c r="B914" s="34" t="n"/>
      <c r="C914" s="32" t="n"/>
      <c r="D914" s="35" t="n"/>
      <c r="E914" s="36" t="n"/>
      <c r="F914" s="32" t="n"/>
      <c r="G914" s="32" t="n"/>
      <c r="H914" s="35" t="n"/>
    </row>
    <row r="915">
      <c r="B915" s="40" t="n"/>
      <c r="C915" s="39" t="n"/>
      <c r="D915" s="41" t="n"/>
      <c r="E915" s="42" t="n"/>
      <c r="F915" s="39" t="n"/>
      <c r="G915" s="39" t="n"/>
      <c r="H915" s="41" t="n"/>
    </row>
    <row r="916">
      <c r="B916" s="34" t="n"/>
      <c r="C916" s="32" t="n"/>
      <c r="D916" s="35" t="n"/>
      <c r="E916" s="36" t="n"/>
      <c r="F916" s="32" t="n"/>
      <c r="G916" s="32" t="n"/>
      <c r="H916" s="35" t="n"/>
    </row>
    <row r="917">
      <c r="B917" s="40" t="n"/>
      <c r="C917" s="39" t="n"/>
      <c r="D917" s="41" t="n"/>
      <c r="E917" s="42" t="n"/>
      <c r="F917" s="39" t="n"/>
      <c r="G917" s="39" t="n"/>
      <c r="H917" s="41" t="n"/>
    </row>
    <row r="918">
      <c r="B918" s="34" t="n"/>
      <c r="C918" s="32" t="n"/>
      <c r="D918" s="35" t="n"/>
      <c r="E918" s="36" t="n"/>
      <c r="F918" s="32" t="n"/>
      <c r="G918" s="32" t="n"/>
      <c r="H918" s="35" t="n"/>
    </row>
    <row r="919">
      <c r="B919" s="40" t="n"/>
      <c r="C919" s="39" t="n"/>
      <c r="D919" s="41" t="n"/>
      <c r="E919" s="42" t="n"/>
      <c r="F919" s="39" t="n"/>
      <c r="G919" s="39" t="n"/>
      <c r="H919" s="41" t="n"/>
    </row>
    <row r="920">
      <c r="B920" s="34" t="n"/>
      <c r="C920" s="32" t="n"/>
      <c r="D920" s="35" t="n"/>
      <c r="E920" s="36" t="n"/>
      <c r="F920" s="32" t="n"/>
      <c r="G920" s="32" t="n"/>
      <c r="H920" s="35" t="n"/>
    </row>
    <row r="921">
      <c r="B921" s="40" t="n"/>
      <c r="C921" s="39" t="n"/>
      <c r="D921" s="41" t="n"/>
      <c r="E921" s="42" t="n"/>
      <c r="F921" s="39" t="n"/>
      <c r="G921" s="39" t="n"/>
      <c r="H921" s="41" t="n"/>
    </row>
    <row r="922">
      <c r="B922" s="34" t="n"/>
      <c r="C922" s="32" t="n"/>
      <c r="D922" s="35" t="n"/>
      <c r="E922" s="36" t="n"/>
      <c r="F922" s="32" t="n"/>
      <c r="G922" s="32" t="n"/>
      <c r="H922" s="35" t="n"/>
    </row>
    <row r="923">
      <c r="B923" s="40" t="n"/>
      <c r="C923" s="39" t="n"/>
      <c r="D923" s="41" t="n"/>
      <c r="E923" s="42" t="n"/>
      <c r="F923" s="39" t="n"/>
      <c r="G923" s="39" t="n"/>
      <c r="H923" s="41" t="n"/>
    </row>
    <row r="924">
      <c r="B924" s="34" t="n"/>
      <c r="C924" s="32" t="n"/>
      <c r="D924" s="35" t="n"/>
      <c r="E924" s="36" t="n"/>
      <c r="F924" s="32" t="n"/>
      <c r="G924" s="32" t="n"/>
      <c r="H924" s="35" t="n"/>
    </row>
    <row r="925">
      <c r="B925" s="40" t="n"/>
      <c r="C925" s="39" t="n"/>
      <c r="D925" s="41" t="n"/>
      <c r="E925" s="42" t="n"/>
      <c r="F925" s="39" t="n"/>
      <c r="G925" s="39" t="n"/>
      <c r="H925" s="41" t="n"/>
    </row>
    <row r="926">
      <c r="B926" s="34" t="n"/>
      <c r="C926" s="32" t="n"/>
      <c r="D926" s="35" t="n"/>
      <c r="E926" s="36" t="n"/>
      <c r="F926" s="32" t="n"/>
      <c r="G926" s="32" t="n"/>
      <c r="H926" s="35" t="n"/>
    </row>
    <row r="927">
      <c r="B927" s="40" t="n"/>
      <c r="C927" s="39" t="n"/>
      <c r="D927" s="41" t="n"/>
      <c r="E927" s="42" t="n"/>
      <c r="F927" s="39" t="n"/>
      <c r="G927" s="39" t="n"/>
      <c r="H927" s="41" t="n"/>
    </row>
    <row r="928">
      <c r="B928" s="34" t="n"/>
      <c r="C928" s="32" t="n"/>
      <c r="D928" s="35" t="n"/>
      <c r="E928" s="36" t="n"/>
      <c r="F928" s="32" t="n"/>
      <c r="G928" s="32" t="n"/>
      <c r="H928" s="35" t="n"/>
    </row>
    <row r="929">
      <c r="B929" s="40" t="n"/>
      <c r="C929" s="39" t="n"/>
      <c r="D929" s="41" t="n"/>
      <c r="E929" s="42" t="n"/>
      <c r="F929" s="39" t="n"/>
      <c r="G929" s="39" t="n"/>
      <c r="H929" s="41" t="n"/>
    </row>
    <row r="930">
      <c r="B930" s="34" t="n"/>
      <c r="C930" s="32" t="n"/>
      <c r="D930" s="35" t="n"/>
      <c r="E930" s="36" t="n"/>
      <c r="F930" s="32" t="n"/>
      <c r="G930" s="32" t="n"/>
      <c r="H930" s="35" t="n"/>
    </row>
    <row r="931">
      <c r="B931" s="40" t="n"/>
      <c r="C931" s="39" t="n"/>
      <c r="D931" s="41" t="n"/>
      <c r="E931" s="42" t="n"/>
      <c r="F931" s="39" t="n"/>
      <c r="G931" s="39" t="n"/>
      <c r="H931" s="41" t="n"/>
    </row>
    <row r="932">
      <c r="B932" s="34" t="n"/>
      <c r="C932" s="32" t="n"/>
      <c r="D932" s="35" t="n"/>
      <c r="E932" s="36" t="n"/>
      <c r="F932" s="32" t="n"/>
      <c r="G932" s="32" t="n"/>
      <c r="H932" s="35" t="n"/>
    </row>
    <row r="933">
      <c r="B933" s="40" t="n"/>
      <c r="C933" s="39" t="n"/>
      <c r="D933" s="41" t="n"/>
      <c r="E933" s="42" t="n"/>
      <c r="F933" s="39" t="n"/>
      <c r="G933" s="39" t="n"/>
      <c r="H933" s="41" t="n"/>
    </row>
    <row r="934">
      <c r="B934" s="34" t="n"/>
      <c r="C934" s="32" t="n"/>
      <c r="D934" s="35" t="n"/>
      <c r="E934" s="36" t="n"/>
      <c r="F934" s="32" t="n"/>
      <c r="G934" s="32" t="n"/>
      <c r="H934" s="35" t="n"/>
    </row>
    <row r="935">
      <c r="B935" s="40" t="n"/>
      <c r="C935" s="39" t="n"/>
      <c r="D935" s="41" t="n"/>
      <c r="E935" s="42" t="n"/>
      <c r="F935" s="39" t="n"/>
      <c r="G935" s="39" t="n"/>
      <c r="H935" s="41" t="n"/>
    </row>
    <row r="936">
      <c r="B936" s="34" t="n"/>
      <c r="C936" s="32" t="n"/>
      <c r="D936" s="35" t="n"/>
      <c r="E936" s="36" t="n"/>
      <c r="F936" s="32" t="n"/>
      <c r="G936" s="32" t="n"/>
      <c r="H936" s="35" t="n"/>
    </row>
    <row r="937">
      <c r="B937" s="40" t="n"/>
      <c r="C937" s="39" t="n"/>
      <c r="D937" s="41" t="n"/>
      <c r="E937" s="42" t="n"/>
      <c r="F937" s="39" t="n"/>
      <c r="G937" s="39" t="n"/>
      <c r="H937" s="41" t="n"/>
    </row>
    <row r="938">
      <c r="B938" s="34" t="n"/>
      <c r="C938" s="32" t="n"/>
      <c r="D938" s="35" t="n"/>
      <c r="E938" s="36" t="n"/>
      <c r="F938" s="32" t="n"/>
      <c r="G938" s="32" t="n"/>
      <c r="H938" s="35" t="n"/>
    </row>
    <row r="939">
      <c r="B939" s="40" t="n"/>
      <c r="C939" s="39" t="n"/>
      <c r="D939" s="41" t="n"/>
      <c r="E939" s="42" t="n"/>
      <c r="F939" s="39" t="n"/>
      <c r="G939" s="39" t="n"/>
      <c r="H939" s="41" t="n"/>
    </row>
    <row r="940">
      <c r="B940" s="34" t="n"/>
      <c r="C940" s="32" t="n"/>
      <c r="D940" s="35" t="n"/>
      <c r="E940" s="36" t="n"/>
      <c r="F940" s="32" t="n"/>
      <c r="G940" s="32" t="n"/>
      <c r="H940" s="35" t="n"/>
    </row>
    <row r="941">
      <c r="B941" s="40" t="n"/>
      <c r="C941" s="39" t="n"/>
      <c r="D941" s="41" t="n"/>
      <c r="E941" s="42" t="n"/>
      <c r="F941" s="39" t="n"/>
      <c r="G941" s="39" t="n"/>
      <c r="H941" s="41" t="n"/>
    </row>
    <row r="942">
      <c r="B942" s="34" t="n"/>
      <c r="C942" s="32" t="n"/>
      <c r="D942" s="35" t="n"/>
      <c r="E942" s="36" t="n"/>
      <c r="F942" s="32" t="n"/>
      <c r="G942" s="32" t="n"/>
      <c r="H942" s="35" t="n"/>
    </row>
    <row r="943">
      <c r="B943" s="40" t="n"/>
      <c r="C943" s="39" t="n"/>
      <c r="D943" s="41" t="n"/>
      <c r="E943" s="42" t="n"/>
      <c r="F943" s="39" t="n"/>
      <c r="G943" s="39" t="n"/>
      <c r="H943" s="41" t="n"/>
    </row>
    <row r="944">
      <c r="B944" s="34" t="n"/>
      <c r="C944" s="32" t="n"/>
      <c r="D944" s="35" t="n"/>
      <c r="E944" s="36" t="n"/>
      <c r="F944" s="32" t="n"/>
      <c r="G944" s="32" t="n"/>
      <c r="H944" s="35" t="n"/>
    </row>
    <row r="945">
      <c r="B945" s="40" t="n"/>
      <c r="C945" s="39" t="n"/>
      <c r="D945" s="41" t="n"/>
      <c r="E945" s="42" t="n"/>
      <c r="F945" s="39" t="n"/>
      <c r="G945" s="39" t="n"/>
      <c r="H945" s="41" t="n"/>
    </row>
    <row r="946">
      <c r="B946" s="34" t="n"/>
      <c r="C946" s="32" t="n"/>
      <c r="D946" s="35" t="n"/>
      <c r="E946" s="36" t="n"/>
      <c r="F946" s="32" t="n"/>
      <c r="G946" s="32" t="n"/>
      <c r="H946" s="35" t="n"/>
    </row>
    <row r="947">
      <c r="B947" s="40" t="n"/>
      <c r="C947" s="39" t="n"/>
      <c r="D947" s="41" t="n"/>
      <c r="E947" s="42" t="n"/>
      <c r="F947" s="39" t="n"/>
      <c r="G947" s="39" t="n"/>
      <c r="H947" s="41" t="n"/>
    </row>
    <row r="948">
      <c r="B948" s="34" t="n"/>
      <c r="C948" s="32" t="n"/>
      <c r="D948" s="35" t="n"/>
      <c r="E948" s="36" t="n"/>
      <c r="F948" s="32" t="n"/>
      <c r="G948" s="32" t="n"/>
      <c r="H948" s="35" t="n"/>
    </row>
    <row r="949">
      <c r="B949" s="40" t="n"/>
      <c r="C949" s="39" t="n"/>
      <c r="D949" s="41" t="n"/>
      <c r="E949" s="42" t="n"/>
      <c r="F949" s="39" t="n"/>
      <c r="G949" s="39" t="n"/>
      <c r="H949" s="41" t="n"/>
    </row>
    <row r="950">
      <c r="B950" s="34" t="n"/>
      <c r="C950" s="32" t="n"/>
      <c r="D950" s="35" t="n"/>
      <c r="E950" s="36" t="n"/>
      <c r="F950" s="32" t="n"/>
      <c r="G950" s="32" t="n"/>
      <c r="H950" s="35" t="n"/>
    </row>
    <row r="951">
      <c r="B951" s="40" t="n"/>
      <c r="C951" s="39" t="n"/>
      <c r="D951" s="41" t="n"/>
      <c r="E951" s="42" t="n"/>
      <c r="F951" s="39" t="n"/>
      <c r="G951" s="39" t="n"/>
      <c r="H951" s="41" t="n"/>
    </row>
    <row r="952">
      <c r="B952" s="34" t="n"/>
      <c r="C952" s="32" t="n"/>
      <c r="D952" s="35" t="n"/>
      <c r="E952" s="36" t="n"/>
      <c r="F952" s="32" t="n"/>
      <c r="G952" s="32" t="n"/>
      <c r="H952" s="35" t="n"/>
    </row>
    <row r="953">
      <c r="B953" s="40" t="n"/>
      <c r="C953" s="39" t="n"/>
      <c r="D953" s="41" t="n"/>
      <c r="E953" s="42" t="n"/>
      <c r="F953" s="39" t="n"/>
      <c r="G953" s="39" t="n"/>
      <c r="H953" s="41" t="n"/>
    </row>
    <row r="954">
      <c r="B954" s="34" t="n"/>
      <c r="C954" s="32" t="n"/>
      <c r="D954" s="35" t="n"/>
      <c r="E954" s="36" t="n"/>
      <c r="F954" s="32" t="n"/>
      <c r="G954" s="32" t="n"/>
      <c r="H954" s="35" t="n"/>
    </row>
    <row r="955">
      <c r="B955" s="40" t="n"/>
      <c r="C955" s="39" t="n"/>
      <c r="D955" s="41" t="n"/>
      <c r="E955" s="42" t="n"/>
      <c r="F955" s="39" t="n"/>
      <c r="G955" s="39" t="n"/>
      <c r="H955" s="41" t="n"/>
    </row>
    <row r="956">
      <c r="B956" s="34" t="n"/>
      <c r="C956" s="32" t="n"/>
      <c r="D956" s="35" t="n"/>
      <c r="E956" s="36" t="n"/>
      <c r="F956" s="32" t="n"/>
      <c r="G956" s="32" t="n"/>
      <c r="H956" s="35" t="n"/>
    </row>
    <row r="957">
      <c r="B957" s="40" t="n"/>
      <c r="C957" s="39" t="n"/>
      <c r="D957" s="41" t="n"/>
      <c r="E957" s="42" t="n"/>
      <c r="F957" s="39" t="n"/>
      <c r="G957" s="39" t="n"/>
      <c r="H957" s="41" t="n"/>
    </row>
    <row r="958">
      <c r="B958" s="34" t="n"/>
      <c r="C958" s="32" t="n"/>
      <c r="D958" s="35" t="n"/>
      <c r="E958" s="36" t="n"/>
      <c r="F958" s="32" t="n"/>
      <c r="G958" s="32" t="n"/>
      <c r="H958" s="35" t="n"/>
    </row>
    <row r="959">
      <c r="B959" s="40" t="n"/>
      <c r="C959" s="39" t="n"/>
      <c r="D959" s="41" t="n"/>
      <c r="E959" s="42" t="n"/>
      <c r="F959" s="39" t="n"/>
      <c r="G959" s="39" t="n"/>
      <c r="H959" s="41" t="n"/>
    </row>
    <row r="960">
      <c r="B960" s="34" t="n"/>
      <c r="C960" s="32" t="n"/>
      <c r="D960" s="35" t="n"/>
      <c r="E960" s="36" t="n"/>
      <c r="F960" s="32" t="n"/>
      <c r="G960" s="32" t="n"/>
      <c r="H960" s="35" t="n"/>
    </row>
    <row r="961">
      <c r="B961" s="40" t="n"/>
      <c r="C961" s="39" t="n"/>
      <c r="D961" s="41" t="n"/>
      <c r="E961" s="42" t="n"/>
      <c r="F961" s="39" t="n"/>
      <c r="G961" s="39" t="n"/>
      <c r="H961" s="41" t="n"/>
    </row>
    <row r="962">
      <c r="B962" s="34" t="n"/>
      <c r="C962" s="32" t="n"/>
      <c r="D962" s="35" t="n"/>
      <c r="E962" s="36" t="n"/>
      <c r="F962" s="32" t="n"/>
      <c r="G962" s="32" t="n"/>
      <c r="H962" s="35" t="n"/>
    </row>
    <row r="963">
      <c r="B963" s="40" t="n"/>
      <c r="C963" s="39" t="n"/>
      <c r="D963" s="41" t="n"/>
      <c r="E963" s="42" t="n"/>
      <c r="F963" s="39" t="n"/>
      <c r="G963" s="39" t="n"/>
      <c r="H963" s="41" t="n"/>
    </row>
    <row r="964">
      <c r="B964" s="34" t="n"/>
      <c r="C964" s="32" t="n"/>
      <c r="D964" s="35" t="n"/>
      <c r="E964" s="36" t="n"/>
      <c r="F964" s="32" t="n"/>
      <c r="G964" s="32" t="n"/>
      <c r="H964" s="35" t="n"/>
    </row>
    <row r="965">
      <c r="B965" s="40" t="n"/>
      <c r="C965" s="39" t="n"/>
      <c r="D965" s="41" t="n"/>
      <c r="E965" s="42" t="n"/>
      <c r="F965" s="39" t="n"/>
      <c r="G965" s="39" t="n"/>
      <c r="H965" s="41" t="n"/>
    </row>
    <row r="966">
      <c r="B966" s="34" t="n"/>
      <c r="C966" s="32" t="n"/>
      <c r="D966" s="35" t="n"/>
      <c r="E966" s="36" t="n"/>
      <c r="F966" s="32" t="n"/>
      <c r="G966" s="32" t="n"/>
      <c r="H966" s="35" t="n"/>
    </row>
    <row r="967">
      <c r="B967" s="40" t="n"/>
      <c r="C967" s="39" t="n"/>
      <c r="D967" s="41" t="n"/>
      <c r="E967" s="42" t="n"/>
      <c r="F967" s="39" t="n"/>
      <c r="G967" s="39" t="n"/>
      <c r="H967" s="41" t="n"/>
    </row>
    <row r="968">
      <c r="B968" s="34" t="n"/>
      <c r="C968" s="32" t="n"/>
      <c r="D968" s="35" t="n"/>
      <c r="E968" s="36" t="n"/>
      <c r="F968" s="32" t="n"/>
      <c r="G968" s="32" t="n"/>
      <c r="H968" s="35" t="n"/>
    </row>
    <row r="969">
      <c r="B969" s="40" t="n"/>
      <c r="C969" s="39" t="n"/>
      <c r="D969" s="41" t="n"/>
      <c r="E969" s="42" t="n"/>
      <c r="F969" s="39" t="n"/>
      <c r="G969" s="39" t="n"/>
      <c r="H969" s="41" t="n"/>
    </row>
    <row r="970">
      <c r="B970" s="34" t="n"/>
      <c r="C970" s="32" t="n"/>
      <c r="D970" s="35" t="n"/>
      <c r="E970" s="36" t="n"/>
      <c r="F970" s="32" t="n"/>
      <c r="G970" s="32" t="n"/>
      <c r="H970" s="35" t="n"/>
    </row>
    <row r="971">
      <c r="B971" s="40" t="n"/>
      <c r="C971" s="39" t="n"/>
      <c r="D971" s="41" t="n"/>
      <c r="E971" s="42" t="n"/>
      <c r="F971" s="39" t="n"/>
      <c r="G971" s="39" t="n"/>
      <c r="H971" s="41" t="n"/>
    </row>
    <row r="972">
      <c r="B972" s="34" t="n"/>
      <c r="C972" s="32" t="n"/>
      <c r="D972" s="35" t="n"/>
      <c r="E972" s="36" t="n"/>
      <c r="F972" s="32" t="n"/>
      <c r="G972" s="32" t="n"/>
      <c r="H972" s="35" t="n"/>
    </row>
    <row r="973">
      <c r="B973" s="40" t="n"/>
      <c r="C973" s="39" t="n"/>
      <c r="D973" s="41" t="n"/>
      <c r="E973" s="42" t="n"/>
      <c r="F973" s="39" t="n"/>
      <c r="G973" s="39" t="n"/>
      <c r="H973" s="41" t="n"/>
    </row>
    <row r="974">
      <c r="B974" s="34" t="n"/>
      <c r="C974" s="32" t="n"/>
      <c r="D974" s="35" t="n"/>
      <c r="E974" s="36" t="n"/>
      <c r="F974" s="32" t="n"/>
      <c r="G974" s="32" t="n"/>
      <c r="H974" s="35" t="n"/>
    </row>
    <row r="975">
      <c r="B975" s="40" t="n"/>
      <c r="C975" s="39" t="n"/>
      <c r="D975" s="41" t="n"/>
      <c r="E975" s="42" t="n"/>
      <c r="F975" s="39" t="n"/>
      <c r="G975" s="39" t="n"/>
      <c r="H975" s="41" t="n"/>
    </row>
    <row r="976">
      <c r="B976" s="34" t="n"/>
      <c r="C976" s="32" t="n"/>
      <c r="D976" s="35" t="n"/>
      <c r="E976" s="36" t="n"/>
      <c r="F976" s="32" t="n"/>
      <c r="G976" s="32" t="n"/>
      <c r="H976" s="35" t="n"/>
    </row>
    <row r="977">
      <c r="B977" s="40" t="n"/>
      <c r="C977" s="39" t="n"/>
      <c r="D977" s="41" t="n"/>
      <c r="E977" s="42" t="n"/>
      <c r="F977" s="39" t="n"/>
      <c r="G977" s="39" t="n"/>
      <c r="H977" s="41" t="n"/>
    </row>
    <row r="978">
      <c r="B978" s="34" t="n"/>
      <c r="C978" s="32" t="n"/>
      <c r="D978" s="35" t="n"/>
      <c r="E978" s="36" t="n"/>
      <c r="F978" s="32" t="n"/>
      <c r="G978" s="32" t="n"/>
      <c r="H978" s="35" t="n"/>
    </row>
    <row r="979">
      <c r="B979" s="40" t="n"/>
      <c r="C979" s="39" t="n"/>
      <c r="D979" s="41" t="n"/>
      <c r="E979" s="42" t="n"/>
      <c r="F979" s="39" t="n"/>
      <c r="G979" s="39" t="n"/>
      <c r="H979" s="41" t="n"/>
    </row>
    <row r="980">
      <c r="B980" s="34" t="n"/>
      <c r="C980" s="32" t="n"/>
      <c r="D980" s="35" t="n"/>
      <c r="E980" s="36" t="n"/>
      <c r="F980" s="32" t="n"/>
      <c r="G980" s="32" t="n"/>
      <c r="H980" s="35" t="n"/>
    </row>
    <row r="981">
      <c r="B981" s="40" t="n"/>
      <c r="C981" s="39" t="n"/>
      <c r="D981" s="41" t="n"/>
      <c r="E981" s="42" t="n"/>
      <c r="F981" s="39" t="n"/>
      <c r="G981" s="39" t="n"/>
      <c r="H981" s="41" t="n"/>
    </row>
    <row r="982">
      <c r="B982" s="34" t="n"/>
      <c r="C982" s="32" t="n"/>
      <c r="D982" s="35" t="n"/>
      <c r="E982" s="36" t="n"/>
      <c r="F982" s="32" t="n"/>
      <c r="G982" s="32" t="n"/>
      <c r="H982" s="35" t="n"/>
    </row>
    <row r="983">
      <c r="B983" s="40" t="n"/>
      <c r="C983" s="39" t="n"/>
      <c r="D983" s="41" t="n"/>
      <c r="E983" s="42" t="n"/>
      <c r="F983" s="39" t="n"/>
      <c r="G983" s="39" t="n"/>
      <c r="H983" s="41" t="n"/>
    </row>
    <row r="984">
      <c r="B984" s="34" t="n"/>
      <c r="C984" s="32" t="n"/>
      <c r="D984" s="35" t="n"/>
      <c r="E984" s="36" t="n"/>
      <c r="F984" s="32" t="n"/>
      <c r="G984" s="32" t="n"/>
      <c r="H984" s="35" t="n"/>
    </row>
    <row r="985">
      <c r="B985" s="40" t="n"/>
      <c r="C985" s="39" t="n"/>
      <c r="D985" s="41" t="n"/>
      <c r="E985" s="42" t="n"/>
      <c r="F985" s="39" t="n"/>
      <c r="G985" s="39" t="n"/>
      <c r="H985" s="41" t="n"/>
    </row>
    <row r="986">
      <c r="B986" s="34" t="n"/>
      <c r="C986" s="32" t="n"/>
      <c r="D986" s="35" t="n"/>
      <c r="E986" s="36" t="n"/>
      <c r="F986" s="32" t="n"/>
      <c r="G986" s="32" t="n"/>
      <c r="H986" s="35" t="n"/>
    </row>
    <row r="987">
      <c r="B987" s="40" t="n"/>
      <c r="C987" s="39" t="n"/>
      <c r="D987" s="41" t="n"/>
      <c r="E987" s="42" t="n"/>
      <c r="F987" s="39" t="n"/>
      <c r="G987" s="39" t="n"/>
      <c r="H987" s="41" t="n"/>
    </row>
    <row r="988">
      <c r="B988" s="34" t="n"/>
      <c r="C988" s="32" t="n"/>
      <c r="D988" s="35" t="n"/>
      <c r="E988" s="36" t="n"/>
      <c r="F988" s="32" t="n"/>
      <c r="G988" s="32" t="n"/>
      <c r="H988" s="35" t="n"/>
    </row>
    <row r="989">
      <c r="B989" s="40" t="n"/>
      <c r="C989" s="39" t="n"/>
      <c r="D989" s="41" t="n"/>
      <c r="E989" s="42" t="n"/>
      <c r="F989" s="39" t="n"/>
      <c r="G989" s="39" t="n"/>
      <c r="H989" s="41" t="n"/>
    </row>
    <row r="990">
      <c r="B990" s="34" t="n"/>
      <c r="C990" s="32" t="n"/>
      <c r="D990" s="35" t="n"/>
      <c r="E990" s="36" t="n"/>
      <c r="F990" s="32" t="n"/>
      <c r="G990" s="32" t="n"/>
      <c r="H990" s="35" t="n"/>
    </row>
    <row r="991">
      <c r="B991" s="40" t="n"/>
      <c r="C991" s="39" t="n"/>
      <c r="D991" s="41" t="n"/>
      <c r="E991" s="42" t="n"/>
      <c r="F991" s="39" t="n"/>
      <c r="G991" s="39" t="n"/>
      <c r="H991" s="41" t="n"/>
    </row>
    <row r="992">
      <c r="B992" s="34" t="n"/>
      <c r="C992" s="32" t="n"/>
      <c r="D992" s="35" t="n"/>
      <c r="E992" s="36" t="n"/>
      <c r="F992" s="32" t="n"/>
      <c r="G992" s="32" t="n"/>
      <c r="H992" s="35" t="n"/>
    </row>
    <row r="993">
      <c r="B993" s="40" t="n"/>
      <c r="C993" s="39" t="n"/>
      <c r="D993" s="41" t="n"/>
      <c r="E993" s="42" t="n"/>
      <c r="F993" s="39" t="n"/>
      <c r="G993" s="39" t="n"/>
      <c r="H993" s="41" t="n"/>
    </row>
    <row r="994">
      <c r="B994" s="34" t="n"/>
      <c r="C994" s="32" t="n"/>
      <c r="D994" s="35" t="n"/>
      <c r="E994" s="36" t="n"/>
      <c r="F994" s="32" t="n"/>
      <c r="G994" s="32" t="n"/>
      <c r="H994" s="35" t="n"/>
    </row>
    <row r="995">
      <c r="B995" s="40" t="n"/>
      <c r="C995" s="39" t="n"/>
      <c r="D995" s="41" t="n"/>
      <c r="E995" s="42" t="n"/>
      <c r="F995" s="39" t="n"/>
      <c r="G995" s="39" t="n"/>
      <c r="H995" s="41" t="n"/>
    </row>
    <row r="996">
      <c r="B996" s="34" t="n"/>
      <c r="C996" s="32" t="n"/>
      <c r="D996" s="35" t="n"/>
      <c r="E996" s="36" t="n"/>
      <c r="F996" s="32" t="n"/>
      <c r="G996" s="32" t="n"/>
      <c r="H996" s="35" t="n"/>
    </row>
    <row r="997">
      <c r="B997" s="40" t="n"/>
      <c r="C997" s="39" t="n"/>
      <c r="D997" s="41" t="n"/>
      <c r="E997" s="42" t="n"/>
      <c r="F997" s="39" t="n"/>
      <c r="G997" s="39" t="n"/>
      <c r="H997" s="41" t="n"/>
    </row>
    <row r="998">
      <c r="B998" s="34" t="n"/>
      <c r="C998" s="32" t="n"/>
      <c r="D998" s="35" t="n"/>
      <c r="E998" s="36" t="n"/>
      <c r="F998" s="32" t="n"/>
      <c r="G998" s="32" t="n"/>
      <c r="H998" s="35" t="n"/>
    </row>
    <row r="999">
      <c r="B999" s="40" t="n"/>
      <c r="C999" s="39" t="n"/>
      <c r="D999" s="41" t="n"/>
      <c r="E999" s="42" t="n"/>
      <c r="F999" s="39" t="n"/>
      <c r="G999" s="39" t="n"/>
      <c r="H999" s="41" t="n"/>
    </row>
    <row r="1000">
      <c r="B1000" s="34" t="n"/>
      <c r="C1000" s="32" t="n"/>
      <c r="D1000" s="35" t="n"/>
      <c r="E1000" s="36" t="n"/>
      <c r="F1000" s="32" t="n"/>
      <c r="G1000" s="32" t="n"/>
      <c r="H1000" s="35" t="n"/>
    </row>
    <row r="1001">
      <c r="B1001" s="40" t="n"/>
      <c r="C1001" s="39" t="n"/>
      <c r="D1001" s="41" t="n"/>
      <c r="E1001" s="42" t="n"/>
      <c r="F1001" s="39" t="n"/>
      <c r="G1001" s="39" t="n"/>
      <c r="H1001" s="41" t="n"/>
    </row>
    <row r="1002">
      <c r="B1002" s="34" t="n"/>
      <c r="C1002" s="32" t="n"/>
      <c r="D1002" s="35" t="n"/>
      <c r="E1002" s="36" t="n"/>
      <c r="F1002" s="32" t="n"/>
      <c r="G1002" s="32" t="n"/>
      <c r="H1002" s="35" t="n"/>
    </row>
    <row r="1003">
      <c r="B1003" s="40" t="n"/>
      <c r="C1003" s="39" t="n"/>
      <c r="D1003" s="41" t="n"/>
      <c r="E1003" s="42" t="n"/>
      <c r="F1003" s="39" t="n"/>
      <c r="G1003" s="39" t="n"/>
      <c r="H1003" s="41" t="n"/>
    </row>
    <row r="1004">
      <c r="B1004" s="34" t="n"/>
      <c r="C1004" s="32" t="n"/>
      <c r="D1004" s="35" t="n"/>
      <c r="E1004" s="36" t="n"/>
      <c r="F1004" s="32" t="n"/>
      <c r="G1004" s="32" t="n"/>
      <c r="H1004" s="35" t="n"/>
    </row>
    <row r="1005">
      <c r="B1005" s="40" t="n"/>
      <c r="C1005" s="39" t="n"/>
      <c r="D1005" s="41" t="n"/>
      <c r="E1005" s="42" t="n"/>
      <c r="F1005" s="39" t="n"/>
      <c r="G1005" s="39" t="n"/>
      <c r="H1005" s="41" t="n"/>
    </row>
  </sheetData>
  <autoFilter ref="B5:H1005"/>
  <mergeCells count="2">
    <mergeCell ref="B4:H4"/>
    <mergeCell ref="B2:H2"/>
  </mergeCells>
  <conditionalFormatting sqref="B6:H1005">
    <cfRule type="expression" priority="1" dxfId="0" stopIfTrue="0">
      <formula>$C6="Income"</formula>
    </cfRule>
    <cfRule type="expression" priority="2" dxfId="1" stopIfTrue="0">
      <formula>$C6="Savings"</formula>
    </cfRule>
    <cfRule type="expression" priority="3" dxfId="3" stopIfTrue="0">
      <formula>$C6="Debt"</formula>
    </cfRule>
    <cfRule type="expression" priority="4" dxfId="6" stopIfTrue="0">
      <formula>$C6="Transfer"</formula>
    </cfRule>
  </conditionalFormatting>
  <dataValidations count="3">
    <dataValidation sqref="C6:C1005" showDropDown="0" showInputMessage="0" showErrorMessage="0" allowBlank="1" error="Please pick a value from the list." type="list" errorStyle="warning">
      <formula1>=Lists!$B$2:$B$8</formula1>
    </dataValidation>
    <dataValidation sqref="D6:D1005" showDropDown="0" showInputMessage="0" showErrorMessage="0" allowBlank="1" error="Please pick a value from the list." type="list" errorStyle="warning">
      <formula1>=Lists!$H$2:$H$76</formula1>
    </dataValidation>
    <dataValidation sqref="F6:G1005" showDropDown="0" showInputMessage="0" showErrorMessage="0" allowBlank="1" error="Please pick a value from the list." type="list" errorStyle="warning">
      <formula1>=Lists!$G$2:$G$14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5D6BE"/>
    <outlinePr summaryBelow="1" summaryRight="1"/>
    <pageSetUpPr/>
  </sheetPr>
  <dimension ref="B2:F18"/>
  <sheetViews>
    <sheetView showGridLines="0" zoomScale="90" workbookViewId="0">
      <selection activeCell="A1" sqref="A1"/>
    </sheetView>
  </sheetViews>
  <sheetFormatPr baseColWidth="8" defaultRowHeight="15"/>
  <cols>
    <col width="2" customWidth="1" style="1" min="1" max="1"/>
    <col width="20" customWidth="1" style="1" min="2" max="2"/>
    <col width="14" customWidth="1" style="1" min="3" max="3"/>
    <col width="14" customWidth="1" style="1" min="4" max="4"/>
    <col width="14" customWidth="1" style="1" min="5" max="5"/>
    <col width="16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</cols>
  <sheetData>
    <row r="2">
      <c r="B2" s="27" t="inlineStr">
        <is>
          <t>ACCOUNTS</t>
        </is>
      </c>
      <c r="C2" s="1" t="n"/>
      <c r="D2" s="1" t="n"/>
      <c r="E2" s="1" t="n"/>
      <c r="F2" s="1" t="n"/>
    </row>
    <row r="3">
      <c r="B3" s="28" t="inlineStr">
        <is>
          <t>Balances update from paid items in Payments + everything in the Manual Log.</t>
        </is>
      </c>
    </row>
    <row r="4">
      <c r="B4" s="10" t="inlineStr">
        <is>
          <t>ACCOUNT BALANCES</t>
        </is>
      </c>
      <c r="C4" s="11" t="n"/>
      <c r="D4" s="11" t="n"/>
      <c r="E4" s="11" t="n"/>
      <c r="F4" s="11" t="n"/>
    </row>
    <row r="5">
      <c r="B5" s="31" t="inlineStr">
        <is>
          <t>ACCOUNT</t>
        </is>
      </c>
      <c r="C5" s="31" t="inlineStr">
        <is>
          <t>OPENING</t>
        </is>
      </c>
      <c r="D5" s="31" t="inlineStr">
        <is>
          <t>MONEY IN</t>
        </is>
      </c>
      <c r="E5" s="31" t="inlineStr">
        <is>
          <t>MONEY OUT</t>
        </is>
      </c>
      <c r="F5" s="31" t="inlineStr">
        <is>
          <t>CURRENT BALANCE</t>
        </is>
      </c>
    </row>
    <row r="6">
      <c r="B6" s="43">
        <f>IF(Setup!F6="","",Setup!F6)</f>
        <v/>
      </c>
      <c r="C6" s="44">
        <f>IF(B6="","",Setup!G6)</f>
        <v/>
      </c>
      <c r="D6" s="45">
        <f>IF(B6="","",SUMIFS(Payments!$Q$6:$Q$1205,Payments!$S$6:$S$1205,B6)+SUMIFS('Manual Log'!$E$6:$E$1005,'Manual Log'!$G$6:$G$1005,B6))</f>
        <v/>
      </c>
      <c r="E6" s="46">
        <f>IF(B6="","",SUMIFS(Payments!$Q$6:$Q$1205,Payments!$R$6:$R$1205,B6)+SUMIFS('Manual Log'!$E$6:$E$1005,'Manual Log'!$F$6:$F$1005,B6))</f>
        <v/>
      </c>
      <c r="F6" s="47">
        <f>IF(B6="","",C6+D6-E6)</f>
        <v/>
      </c>
    </row>
    <row r="7">
      <c r="B7" s="43">
        <f>IF(Setup!F7="","",Setup!F7)</f>
        <v/>
      </c>
      <c r="C7" s="44">
        <f>IF(B7="","",Setup!G7)</f>
        <v/>
      </c>
      <c r="D7" s="45">
        <f>IF(B7="","",SUMIFS(Payments!$Q$6:$Q$1205,Payments!$S$6:$S$1205,B7)+SUMIFS('Manual Log'!$E$6:$E$1005,'Manual Log'!$G$6:$G$1005,B7))</f>
        <v/>
      </c>
      <c r="E7" s="46">
        <f>IF(B7="","",SUMIFS(Payments!$Q$6:$Q$1205,Payments!$R$6:$R$1205,B7)+SUMIFS('Manual Log'!$E$6:$E$1005,'Manual Log'!$F$6:$F$1005,B7))</f>
        <v/>
      </c>
      <c r="F7" s="47">
        <f>IF(B7="","",C7+D7-E7)</f>
        <v/>
      </c>
    </row>
    <row r="8">
      <c r="B8" s="43">
        <f>IF(Setup!F8="","",Setup!F8)</f>
        <v/>
      </c>
      <c r="C8" s="44">
        <f>IF(B8="","",Setup!G8)</f>
        <v/>
      </c>
      <c r="D8" s="45">
        <f>IF(B8="","",SUMIFS(Payments!$Q$6:$Q$1205,Payments!$S$6:$S$1205,B8)+SUMIFS('Manual Log'!$E$6:$E$1005,'Manual Log'!$G$6:$G$1005,B8))</f>
        <v/>
      </c>
      <c r="E8" s="46">
        <f>IF(B8="","",SUMIFS(Payments!$Q$6:$Q$1205,Payments!$R$6:$R$1205,B8)+SUMIFS('Manual Log'!$E$6:$E$1005,'Manual Log'!$F$6:$F$1005,B8))</f>
        <v/>
      </c>
      <c r="F8" s="47">
        <f>IF(B8="","",C8+D8-E8)</f>
        <v/>
      </c>
    </row>
    <row r="9">
      <c r="B9" s="43">
        <f>IF(Setup!F9="","",Setup!F9)</f>
        <v/>
      </c>
      <c r="C9" s="44">
        <f>IF(B9="","",Setup!G9)</f>
        <v/>
      </c>
      <c r="D9" s="45">
        <f>IF(B9="","",SUMIFS(Payments!$Q$6:$Q$1205,Payments!$S$6:$S$1205,B9)+SUMIFS('Manual Log'!$E$6:$E$1005,'Manual Log'!$G$6:$G$1005,B9))</f>
        <v/>
      </c>
      <c r="E9" s="46">
        <f>IF(B9="","",SUMIFS(Payments!$Q$6:$Q$1205,Payments!$R$6:$R$1205,B9)+SUMIFS('Manual Log'!$E$6:$E$1005,'Manual Log'!$F$6:$F$1005,B9))</f>
        <v/>
      </c>
      <c r="F9" s="47">
        <f>IF(B9="","",C9+D9-E9)</f>
        <v/>
      </c>
    </row>
    <row r="10">
      <c r="B10" s="43">
        <f>IF(Setup!F10="","",Setup!F10)</f>
        <v/>
      </c>
      <c r="C10" s="44">
        <f>IF(B10="","",Setup!G10)</f>
        <v/>
      </c>
      <c r="D10" s="45">
        <f>IF(B10="","",SUMIFS(Payments!$Q$6:$Q$1205,Payments!$S$6:$S$1205,B10)+SUMIFS('Manual Log'!$E$6:$E$1005,'Manual Log'!$G$6:$G$1005,B10))</f>
        <v/>
      </c>
      <c r="E10" s="46">
        <f>IF(B10="","",SUMIFS(Payments!$Q$6:$Q$1205,Payments!$R$6:$R$1205,B10)+SUMIFS('Manual Log'!$E$6:$E$1005,'Manual Log'!$F$6:$F$1005,B10))</f>
        <v/>
      </c>
      <c r="F10" s="47">
        <f>IF(B10="","",C10+D10-E10)</f>
        <v/>
      </c>
    </row>
    <row r="11">
      <c r="B11" s="43">
        <f>IF(Setup!F11="","",Setup!F11)</f>
        <v/>
      </c>
      <c r="C11" s="44">
        <f>IF(B11="","",Setup!G11)</f>
        <v/>
      </c>
      <c r="D11" s="45">
        <f>IF(B11="","",SUMIFS(Payments!$Q$6:$Q$1205,Payments!$S$6:$S$1205,B11)+SUMIFS('Manual Log'!$E$6:$E$1005,'Manual Log'!$G$6:$G$1005,B11))</f>
        <v/>
      </c>
      <c r="E11" s="46">
        <f>IF(B11="","",SUMIFS(Payments!$Q$6:$Q$1205,Payments!$R$6:$R$1205,B11)+SUMIFS('Manual Log'!$E$6:$E$1005,'Manual Log'!$F$6:$F$1005,B11))</f>
        <v/>
      </c>
      <c r="F11" s="47">
        <f>IF(B11="","",C11+D11-E11)</f>
        <v/>
      </c>
    </row>
    <row r="12">
      <c r="B12" s="43">
        <f>IF(Setup!F12="","",Setup!F12)</f>
        <v/>
      </c>
      <c r="C12" s="44">
        <f>IF(B12="","",Setup!G12)</f>
        <v/>
      </c>
      <c r="D12" s="45">
        <f>IF(B12="","",SUMIFS(Payments!$Q$6:$Q$1205,Payments!$S$6:$S$1205,B12)+SUMIFS('Manual Log'!$E$6:$E$1005,'Manual Log'!$G$6:$G$1005,B12))</f>
        <v/>
      </c>
      <c r="E12" s="46">
        <f>IF(B12="","",SUMIFS(Payments!$Q$6:$Q$1205,Payments!$R$6:$R$1205,B12)+SUMIFS('Manual Log'!$E$6:$E$1005,'Manual Log'!$F$6:$F$1005,B12))</f>
        <v/>
      </c>
      <c r="F12" s="47">
        <f>IF(B12="","",C12+D12-E12)</f>
        <v/>
      </c>
    </row>
    <row r="13">
      <c r="B13" s="43">
        <f>IF(Setup!F13="","",Setup!F13)</f>
        <v/>
      </c>
      <c r="C13" s="44">
        <f>IF(B13="","",Setup!G13)</f>
        <v/>
      </c>
      <c r="D13" s="45">
        <f>IF(B13="","",SUMIFS(Payments!$Q$6:$Q$1205,Payments!$S$6:$S$1205,B13)+SUMIFS('Manual Log'!$E$6:$E$1005,'Manual Log'!$G$6:$G$1005,B13))</f>
        <v/>
      </c>
      <c r="E13" s="46">
        <f>IF(B13="","",SUMIFS(Payments!$Q$6:$Q$1205,Payments!$R$6:$R$1205,B13)+SUMIFS('Manual Log'!$E$6:$E$1005,'Manual Log'!$F$6:$F$1005,B13))</f>
        <v/>
      </c>
      <c r="F13" s="47">
        <f>IF(B13="","",C13+D13-E13)</f>
        <v/>
      </c>
    </row>
    <row r="14">
      <c r="B14" s="43">
        <f>IF(Setup!F14="","",Setup!F14)</f>
        <v/>
      </c>
      <c r="C14" s="44">
        <f>IF(B14="","",Setup!G14)</f>
        <v/>
      </c>
      <c r="D14" s="45">
        <f>IF(B14="","",SUMIFS(Payments!$Q$6:$Q$1205,Payments!$S$6:$S$1205,B14)+SUMIFS('Manual Log'!$E$6:$E$1005,'Manual Log'!$G$6:$G$1005,B14))</f>
        <v/>
      </c>
      <c r="E14" s="46">
        <f>IF(B14="","",SUMIFS(Payments!$Q$6:$Q$1205,Payments!$R$6:$R$1205,B14)+SUMIFS('Manual Log'!$E$6:$E$1005,'Manual Log'!$F$6:$F$1005,B14))</f>
        <v/>
      </c>
      <c r="F14" s="47">
        <f>IF(B14="","",C14+D14-E14)</f>
        <v/>
      </c>
    </row>
    <row r="15">
      <c r="B15" s="43">
        <f>IF(Setup!F15="","",Setup!F15)</f>
        <v/>
      </c>
      <c r="C15" s="44">
        <f>IF(B15="","",Setup!G15)</f>
        <v/>
      </c>
      <c r="D15" s="45">
        <f>IF(B15="","",SUMIFS(Payments!$Q$6:$Q$1205,Payments!$S$6:$S$1205,B15)+SUMIFS('Manual Log'!$E$6:$E$1005,'Manual Log'!$G$6:$G$1005,B15))</f>
        <v/>
      </c>
      <c r="E15" s="46">
        <f>IF(B15="","",SUMIFS(Payments!$Q$6:$Q$1205,Payments!$R$6:$R$1205,B15)+SUMIFS('Manual Log'!$E$6:$E$1005,'Manual Log'!$F$6:$F$1005,B15))</f>
        <v/>
      </c>
      <c r="F15" s="47">
        <f>IF(B15="","",C15+D15-E15)</f>
        <v/>
      </c>
    </row>
    <row r="16">
      <c r="B16" s="43">
        <f>IF(Setup!F16="","",Setup!F16)</f>
        <v/>
      </c>
      <c r="C16" s="44">
        <f>IF(B16="","",Setup!G16)</f>
        <v/>
      </c>
      <c r="D16" s="45">
        <f>IF(B16="","",SUMIFS(Payments!$Q$6:$Q$1205,Payments!$S$6:$S$1205,B16)+SUMIFS('Manual Log'!$E$6:$E$1005,'Manual Log'!$G$6:$G$1005,B16))</f>
        <v/>
      </c>
      <c r="E16" s="46">
        <f>IF(B16="","",SUMIFS(Payments!$Q$6:$Q$1205,Payments!$R$6:$R$1205,B16)+SUMIFS('Manual Log'!$E$6:$E$1005,'Manual Log'!$F$6:$F$1005,B16))</f>
        <v/>
      </c>
      <c r="F16" s="47">
        <f>IF(B16="","",C16+D16-E16)</f>
        <v/>
      </c>
    </row>
    <row r="17">
      <c r="B17" s="43">
        <f>IF(Setup!F17="","",Setup!F17)</f>
        <v/>
      </c>
      <c r="C17" s="44">
        <f>IF(B17="","",Setup!G17)</f>
        <v/>
      </c>
      <c r="D17" s="45">
        <f>IF(B17="","",SUMIFS(Payments!$Q$6:$Q$1205,Payments!$S$6:$S$1205,B17)+SUMIFS('Manual Log'!$E$6:$E$1005,'Manual Log'!$G$6:$G$1005,B17))</f>
        <v/>
      </c>
      <c r="E17" s="46">
        <f>IF(B17="","",SUMIFS(Payments!$Q$6:$Q$1205,Payments!$R$6:$R$1205,B17)+SUMIFS('Manual Log'!$E$6:$E$1005,'Manual Log'!$F$6:$F$1005,B17))</f>
        <v/>
      </c>
      <c r="F17" s="47">
        <f>IF(B17="","",C17+D17-E17)</f>
        <v/>
      </c>
    </row>
    <row r="18">
      <c r="B18" s="48" t="inlineStr">
        <is>
          <t>NET WORTH</t>
        </is>
      </c>
      <c r="C18" s="49">
        <f>SUM(C6:C17)</f>
        <v/>
      </c>
      <c r="D18" s="49">
        <f>SUM(D6:D17)</f>
        <v/>
      </c>
      <c r="E18" s="49">
        <f>SUM(E6:E17)</f>
        <v/>
      </c>
      <c r="F18" s="49">
        <f>SUM(F6:F17)</f>
        <v/>
      </c>
    </row>
  </sheetData>
  <mergeCells count="2">
    <mergeCell ref="B2:F2"/>
    <mergeCell ref="B4:F4"/>
  </mergeCells>
  <conditionalFormatting sqref="F6:F17">
    <cfRule type="expression" priority="1" dxfId="10" stopIfTrue="0">
      <formula>AND(ISNUMBER(F6),F6&lt;0)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5D6BE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BUDGET DASHBOARD</t>
        </is>
      </c>
      <c r="C2" s="50" t="n"/>
      <c r="D2" s="50" t="n"/>
      <c r="E2" s="50" t="n"/>
      <c r="F2" s="1" t="n"/>
      <c r="G2" s="8" t="inlineStr">
        <is>
          <t>PERIOD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53">
        <f>UPPER(C5)&amp;" DASHBOARD"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57">
        <f>TEXT(C6,"d mmm yyyy")&amp;"  –  "&amp;TEXT(C7,"d mmm yyyy")</f>
        <v/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Budget period</t>
        </is>
      </c>
      <c r="C5" s="18" t="inlineStr">
        <is>
          <t>Monthly</t>
        </is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3" t="n">
        <v>46266</v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IF(C5="Custom",IF(C8="",C6,C8),IF(C5="Weekly",C6+6,IF(C5="Bi-weekly",C6+13,IF(C5="4-weekly",C6+27,IF(C5="Monthly",EDATE(C6,1)-1,IF(C5="Quarterly",EDATE(C6,3)-1,IF(C5="6-month",EDATE(C6,6)-1,EDATE(C6,12)-1)))))))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Custom end date</t>
        </is>
      </c>
      <c r="C8" s="13" t="n"/>
      <c r="D8" s="69" t="inlineStr">
        <is>
          <t>← only for 'Custom'</t>
        </is>
      </c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Setup!$D$6+SUMIFS(Payments!$Q$6:$Q$1205,Payments!$I$6:$I$1205,"Income",Payments!$P$6:$P$1205,"&gt;="&amp;Setup!$D$5,Payments!$P$6:$P$1205,"&lt;"&amp;C6)-SUMIFS(Payments!$Q$6:$Q$1205,Payments!$I$6:$I$1205,"&lt;&gt;Income",Payments!$I$6:$I$1205,"&lt;&gt;Transfer",Payments!$P$6:$P$1205,"&gt;="&amp;Setup!$D$5,Payments!$P$6:$P$1205,"&lt;"&amp;C6)+SUMIFS('Manual Log'!$E$6:$E$1005,'Manual Log'!$C$6:$C$1005,"Income",'Manual Log'!$B$6:$B$1005,"&gt;="&amp;Setup!$D$5,'Manual Log'!$B$6:$B$1005,"&lt;"&amp;C6)-SUMIFS('Manual Log'!$E$6:$E$1005,'Manual Log'!$C$6:$C$1005,"&lt;&gt;Income",'Manual Log'!$C$6:$C$1005,"&lt;&gt;Transfer",'Manual Log'!$B$6:$B$1005,"&gt;="&amp;Setup!$D$5,'Manual Log'!$B$6:$B$1005,"&lt;"&amp;C6))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IF(G52="","",IF($C$5="Monthly",Setup!$J$6,Setup!$J$6*($C$7-$C$6+1)*12/365))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IF(G53="","",IF($C$5="Monthly",Setup!$J$7,Setup!$J$7*($C$7-$C$6+1)*12/365))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IF(G54="","",IF($C$5="Monthly",Setup!$J$8,Setup!$J$8*($C$7-$C$6+1)*12/365))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IF(G55="","",IF($C$5="Monthly",Setup!$J$9,Setup!$J$9*($C$7-$C$6+1)*12/365))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IF(G56="","",IF($C$5="Monthly",Setup!$J$10,Setup!$J$10*($C$7-$C$6+1)*12/365))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IF(G57="","",IF($C$5="Monthly",Setup!$J$11,Setup!$J$11*($C$7-$C$6+1)*12/365))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IF(G58="","",IF($C$5="Monthly",Setup!$J$12,Setup!$J$12*($C$7-$C$6+1)*12/365))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IF(G59="","",IF($C$5="Monthly",Setup!$J$13,Setup!$J$13*($C$7-$C$6+1)*12/365))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IF(G60="","",IF($C$5="Monthly",Setup!$J$14,Setup!$J$14*($C$7-$C$6+1)*12/365))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IF(G61="","",IF($C$5="Monthly",Setup!$J$15,Setup!$J$15*($C$7-$C$6+1)*12/365))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IF(G62="","",IF($C$5="Monthly",Setup!$J$16,Setup!$J$16*($C$7-$C$6+1)*12/365))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IF(G63="","",IF($C$5="Monthly",Setup!$J$17,Setup!$J$17*($C$7-$C$6+1)*12/365))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IF(G64="","",IF($C$5="Monthly",Setup!$J$18,Setup!$J$18*($C$7-$C$6+1)*12/365))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IF(G65="","",IF($C$5="Monthly",Setup!$J$19,Setup!$J$19*($C$7-$C$6+1)*12/365))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IF(G66="","",IF($C$5="Monthly",Setup!$J$20,Setup!$J$20*($C$7-$C$6+1)*12/365))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dataValidations count="1">
    <dataValidation sqref="C5" showDropDown="0" showInputMessage="0" showErrorMessage="0" allowBlank="1" error="Please pick a value from the list." type="list" errorStyle="warning">
      <formula1>=Lists!$I$2:$I$9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1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IF(C9&lt;&gt;"",C9,Setup!$D$6)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2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IF(C9&lt;&gt;"",C9,'Jan'!J8)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3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IF(C9&lt;&gt;"",C9,'Feb'!J8)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4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IF(C9&lt;&gt;"",C9,'Mar'!J8)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5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IF(C9&lt;&gt;"",C9,'Apr'!J8)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6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IF(C9&lt;&gt;"",C9,'May'!J8)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7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IF(C9&lt;&gt;"",C9,'Jun'!J8)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8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IF(C9&lt;&gt;"",C9,'Jul'!J8)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9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IF(C9&lt;&gt;"",C9,'Aug'!J8)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10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IF(C9&lt;&gt;"",C9,'Sep'!J8)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11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IF(C9&lt;&gt;"",C9,'Oct'!J8)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9D8CF7"/>
    <outlinePr summaryBelow="1" summaryRight="1"/>
    <pageSetUpPr/>
  </sheetPr>
  <dimension ref="A1:AG80"/>
  <sheetViews>
    <sheetView showGridLines="0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2" customWidth="1" style="1" min="6" max="6"/>
    <col width="20" customWidth="1" style="1" min="7" max="7"/>
    <col width="12" customWidth="1" style="1" min="8" max="8"/>
    <col width="12" customWidth="1" style="1" min="9" max="9"/>
    <col width="12" customWidth="1" style="1" min="10" max="10"/>
    <col width="2" customWidth="1" style="1" min="11" max="11"/>
    <col width="20" customWidth="1" style="1" min="12" max="12"/>
    <col width="12" customWidth="1" style="1" min="13" max="13"/>
    <col width="12" customWidth="1" style="1" min="14" max="14"/>
    <col width="12" customWidth="1" style="1" min="15" max="15"/>
    <col width="2" customWidth="1" style="1" min="16" max="16"/>
    <col width="20" customWidth="1" style="1" min="17" max="17"/>
    <col width="12" customWidth="1" style="1" min="18" max="18"/>
    <col width="12" customWidth="1" style="1" min="19" max="19"/>
    <col width="12" customWidth="1" style="1" min="20" max="20"/>
    <col width="2" customWidth="1" style="1" min="21" max="21"/>
    <col hidden="1" width="13" customWidth="1" style="1" min="22" max="22"/>
    <col hidden="1" width="13" customWidth="1" style="1" min="23" max="23"/>
    <col hidden="1" width="13" customWidth="1" style="1" min="24" max="24"/>
    <col hidden="1" width="13" customWidth="1" style="1" min="25" max="25"/>
    <col hidden="1" width="13" customWidth="1" style="1" min="26" max="26"/>
    <col hidden="1" width="13" customWidth="1" style="1" min="27" max="27"/>
    <col hidden="1" width="13" customWidth="1" style="1" min="28" max="28"/>
    <col hidden="1" width="13" customWidth="1" style="1" min="29" max="29"/>
    <col hidden="1" width="13" customWidth="1" style="1" min="30" max="30"/>
    <col hidden="1" width="13" customWidth="1" style="1" min="31" max="31"/>
    <col hidden="1" width="13" customWidth="1" min="32" max="32"/>
    <col hidden="1" width="13" customWidth="1" min="33" max="3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n"/>
      <c r="B2" s="14" t="inlineStr">
        <is>
          <t>MONTHLY DASHBOARD</t>
        </is>
      </c>
      <c r="C2" s="50" t="n"/>
      <c r="D2" s="50" t="n"/>
      <c r="E2" s="50" t="n"/>
      <c r="F2" s="1" t="n"/>
      <c r="G2" s="8" t="inlineStr">
        <is>
          <t>MONTHLY SUMMARY</t>
        </is>
      </c>
      <c r="H2" s="9" t="n"/>
      <c r="I2" s="9" t="n"/>
      <c r="J2" s="9" t="n"/>
      <c r="K2" s="1" t="n"/>
      <c r="L2" s="51" t="inlineStr">
        <is>
          <t>INCOME</t>
        </is>
      </c>
      <c r="M2" s="11" t="n"/>
      <c r="N2" s="11" t="n"/>
      <c r="O2" s="11" t="n"/>
      <c r="P2" s="1" t="n"/>
      <c r="Q2" s="52" t="inlineStr">
        <is>
          <t>SAVINGS</t>
        </is>
      </c>
      <c r="R2" s="30" t="n"/>
      <c r="S2" s="30" t="n"/>
      <c r="T2" s="30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34" customHeight="1">
      <c r="A3" s="1" t="n"/>
      <c r="B3" s="94">
        <f>TEXT(C6,"mmmm yyyy")</f>
        <v/>
      </c>
      <c r="F3" s="1" t="n"/>
      <c r="G3" s="50" t="n"/>
      <c r="H3" s="50" t="n"/>
      <c r="I3" s="54" t="inlineStr">
        <is>
          <t>BUDGET</t>
        </is>
      </c>
      <c r="J3" s="54" t="inlineStr">
        <is>
          <t>ACTUAL</t>
        </is>
      </c>
      <c r="K3" s="1" t="n"/>
      <c r="L3" s="55">
        <f>J5</f>
        <v/>
      </c>
      <c r="M3" s="50" t="n"/>
      <c r="N3" s="25" t="inlineStr">
        <is>
          <t>BUDGET</t>
        </is>
      </c>
      <c r="O3" s="25" t="inlineStr">
        <is>
          <t>PROGRESS</t>
        </is>
      </c>
      <c r="P3" s="1" t="n"/>
      <c r="Q3" s="56">
        <f>J7</f>
        <v/>
      </c>
      <c r="R3" s="50" t="n"/>
      <c r="S3" s="25" t="inlineStr">
        <is>
          <t>BUDGET</t>
        </is>
      </c>
      <c r="T3" s="25" t="inlineStr">
        <is>
          <t>PROGRESS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>
      <c r="A4" s="1" t="n"/>
      <c r="B4" s="95" t="inlineStr">
        <is>
          <t>Set the budget start date on the Setup sheet.</t>
        </is>
      </c>
      <c r="C4" s="50" t="n"/>
      <c r="D4" s="50" t="n"/>
      <c r="E4" s="50" t="n"/>
      <c r="F4" s="1" t="n"/>
      <c r="G4" s="58" t="inlineStr">
        <is>
          <t>Start balance</t>
        </is>
      </c>
      <c r="I4" s="59">
        <f>C10</f>
        <v/>
      </c>
      <c r="J4" s="59">
        <f>C10</f>
        <v/>
      </c>
      <c r="K4" s="1" t="n"/>
      <c r="L4" s="50" t="n"/>
      <c r="M4" s="50" t="n"/>
      <c r="N4" s="36">
        <f>I5</f>
        <v/>
      </c>
      <c r="O4" s="60">
        <f>IFERROR(J5/I5,0)</f>
        <v/>
      </c>
      <c r="P4" s="1" t="n"/>
      <c r="Q4" s="50" t="n"/>
      <c r="R4" s="50" t="n"/>
      <c r="S4" s="36">
        <f>I7</f>
        <v/>
      </c>
      <c r="T4" s="60">
        <f>IFERROR(J7/I7,0)</f>
        <v/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1" t="n"/>
      <c r="B5" s="61" t="inlineStr">
        <is>
          <t>Month #</t>
        </is>
      </c>
      <c r="C5" s="96" t="n">
        <v>12</v>
      </c>
      <c r="D5" s="50" t="n"/>
      <c r="E5" s="50" t="n"/>
      <c r="F5" s="1" t="n"/>
      <c r="G5" s="62" t="inlineStr">
        <is>
          <t>+ Total income</t>
        </is>
      </c>
      <c r="I5" s="59">
        <f>C14</f>
        <v/>
      </c>
      <c r="J5" s="59">
        <f>D14</f>
        <v/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>
      <c r="A6" s="1" t="n"/>
      <c r="B6" s="61" t="inlineStr">
        <is>
          <t>Start date</t>
        </is>
      </c>
      <c r="C6" s="19">
        <f>EDATE(Setup!$D$5,C5-1)</f>
        <v/>
      </c>
      <c r="D6" s="50" t="n"/>
      <c r="E6" s="50" t="n"/>
      <c r="F6" s="1" t="n"/>
      <c r="G6" s="63" t="inlineStr">
        <is>
          <t>– Total expenses</t>
        </is>
      </c>
      <c r="I6" s="59">
        <f>SUM(C16:C19)</f>
        <v/>
      </c>
      <c r="J6" s="59">
        <f>SUM(D16:D19)</f>
        <v/>
      </c>
      <c r="K6" s="1" t="n"/>
      <c r="L6" s="64" t="inlineStr">
        <is>
          <t>EXPENSES</t>
        </is>
      </c>
      <c r="M6" s="22" t="n"/>
      <c r="N6" s="22" t="n"/>
      <c r="O6" s="22" t="n"/>
      <c r="P6" s="1" t="n"/>
      <c r="Q6" s="65" t="inlineStr">
        <is>
          <t>LEFT TO SPEND</t>
        </is>
      </c>
      <c r="R6" s="9" t="n"/>
      <c r="S6" s="9" t="n"/>
      <c r="T6" s="9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>
      <c r="A7" s="1" t="n"/>
      <c r="B7" s="61" t="inlineStr">
        <is>
          <t>End date</t>
        </is>
      </c>
      <c r="C7" s="19">
        <f>EDATE(C6,1)-1</f>
        <v/>
      </c>
      <c r="D7" s="50" t="n"/>
      <c r="E7" s="50" t="n"/>
      <c r="F7" s="1" t="n"/>
      <c r="G7" s="66" t="inlineStr">
        <is>
          <t>– Total savings</t>
        </is>
      </c>
      <c r="I7" s="59">
        <f>C15</f>
        <v/>
      </c>
      <c r="J7" s="59">
        <f>D15</f>
        <v/>
      </c>
      <c r="K7" s="1" t="n"/>
      <c r="L7" s="67">
        <f>J6</f>
        <v/>
      </c>
      <c r="M7" s="50" t="n"/>
      <c r="N7" s="25" t="inlineStr">
        <is>
          <t>BUDGET</t>
        </is>
      </c>
      <c r="O7" s="25" t="inlineStr">
        <is>
          <t>PROGRESS</t>
        </is>
      </c>
      <c r="P7" s="1" t="n"/>
      <c r="Q7" s="68">
        <f>J9</f>
        <v/>
      </c>
      <c r="R7" s="50" t="n"/>
      <c r="S7" s="25" t="inlineStr">
        <is>
          <t>BUDGET</t>
        </is>
      </c>
      <c r="T7" s="25" t="inlineStr">
        <is>
          <t>PROGRESS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>
      <c r="A8" s="1" t="n"/>
      <c r="B8" s="61" t="inlineStr">
        <is>
          <t>Days</t>
        </is>
      </c>
      <c r="C8" s="97">
        <f>C7-C6+1</f>
        <v/>
      </c>
      <c r="D8" s="50" t="n"/>
      <c r="E8" s="50" t="n"/>
      <c r="F8" s="1" t="n"/>
      <c r="G8" s="70" t="inlineStr">
        <is>
          <t>End balance</t>
        </is>
      </c>
      <c r="I8" s="71">
        <f>I4+I5-I6-I7</f>
        <v/>
      </c>
      <c r="J8" s="71">
        <f>J4+J5-J6-J7</f>
        <v/>
      </c>
      <c r="K8" s="1" t="n"/>
      <c r="L8" s="50" t="n"/>
      <c r="M8" s="50" t="n"/>
      <c r="N8" s="36">
        <f>I6</f>
        <v/>
      </c>
      <c r="O8" s="60">
        <f>IFERROR(J6/I6,0)</f>
        <v/>
      </c>
      <c r="P8" s="1" t="n"/>
      <c r="Q8" s="50" t="n"/>
      <c r="R8" s="50" t="n"/>
      <c r="S8" s="36">
        <f>I9</f>
        <v/>
      </c>
      <c r="T8" s="60">
        <f>IFERROR(J9/I9,0)</f>
        <v/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>
      <c r="A9" s="1" t="n"/>
      <c r="B9" s="61" t="inlineStr">
        <is>
          <t>Start balance override</t>
        </is>
      </c>
      <c r="C9" s="16" t="n"/>
      <c r="D9" s="69" t="inlineStr">
        <is>
          <t>← leave blank to roll over</t>
        </is>
      </c>
      <c r="E9" s="50" t="n"/>
      <c r="F9" s="1" t="n"/>
      <c r="G9" s="72" t="inlineStr">
        <is>
          <t>Left to spend</t>
        </is>
      </c>
      <c r="I9" s="73">
        <f>I5-I6-I7</f>
        <v/>
      </c>
      <c r="J9" s="73">
        <f>J5-J6-J7</f>
        <v/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>
      <c r="A10" s="1" t="n"/>
      <c r="B10" s="61" t="inlineStr">
        <is>
          <t>Start balance</t>
        </is>
      </c>
      <c r="C10" s="74">
        <f>IF(C9&lt;&gt;"",C9,'Nov'!J8)</f>
        <v/>
      </c>
      <c r="D10" s="50" t="n"/>
      <c r="E10" s="50" t="n"/>
      <c r="F10" s="1" t="n"/>
      <c r="G10" s="50" t="n"/>
      <c r="H10" s="50" t="n"/>
      <c r="I10" s="50" t="n"/>
      <c r="J10" s="50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>
      <c r="A12" s="1" t="n"/>
      <c r="B12" s="8" t="inlineStr">
        <is>
          <t>BUDGET vs ACTUAL</t>
        </is>
      </c>
      <c r="C12" s="9" t="n"/>
      <c r="D12" s="9" t="n"/>
      <c r="E12" s="9" t="n"/>
      <c r="F12" s="1" t="n"/>
      <c r="G12" s="8" t="inlineStr">
        <is>
          <t>BUDGET vs ACTUAL</t>
        </is>
      </c>
      <c r="H12" s="9" t="n"/>
      <c r="I12" s="9" t="n"/>
      <c r="J12" s="9" t="n"/>
      <c r="K12" s="1" t="n"/>
      <c r="L12" s="21" t="inlineStr">
        <is>
          <t>EXPENSES BREAKDOWN</t>
        </is>
      </c>
      <c r="M12" s="22" t="n"/>
      <c r="N12" s="22" t="n"/>
      <c r="O12" s="22" t="n"/>
      <c r="P12" s="1" t="n"/>
      <c r="Q12" s="8" t="inlineStr">
        <is>
          <t>VARIABLE EXPENSES</t>
        </is>
      </c>
      <c r="R12" s="9" t="n"/>
      <c r="S12" s="9" t="n"/>
      <c r="T12" s="9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>
      <c r="A13" s="1" t="n"/>
      <c r="B13" s="75" t="inlineStr">
        <is>
          <t>CATEGORY</t>
        </is>
      </c>
      <c r="C13" s="54" t="inlineStr">
        <is>
          <t>BUDGET</t>
        </is>
      </c>
      <c r="D13" s="54" t="inlineStr">
        <is>
          <t>ACTUAL</t>
        </is>
      </c>
      <c r="E13" s="54" t="inlineStr">
        <is>
          <t>PROGRESS</t>
        </is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</row>
    <row r="14">
      <c r="A14" s="1" t="n"/>
      <c r="B14" s="57" t="inlineStr">
        <is>
          <t>Income</t>
        </is>
      </c>
      <c r="C14" s="59">
        <f>C30</f>
        <v/>
      </c>
      <c r="D14" s="59">
        <f>D30</f>
        <v/>
      </c>
      <c r="E14" s="60">
        <f>IFERROR(D14/C14,0)</f>
        <v/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>
      <c r="A15" s="1" t="n"/>
      <c r="B15" s="76" t="inlineStr">
        <is>
          <t>Savings</t>
        </is>
      </c>
      <c r="C15" s="59">
        <f>H30</f>
        <v/>
      </c>
      <c r="D15" s="59">
        <f>I30</f>
        <v/>
      </c>
      <c r="E15" s="60">
        <f>IFERROR(D15/C15,0)</f>
        <v/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</row>
    <row r="16">
      <c r="A16" s="1" t="n"/>
      <c r="B16" s="77" t="inlineStr">
        <is>
          <t>Bills</t>
        </is>
      </c>
      <c r="C16" s="59">
        <f>M30</f>
        <v/>
      </c>
      <c r="D16" s="59">
        <f>N30</f>
        <v/>
      </c>
      <c r="E16" s="60">
        <f>IFERROR(D16/C16,0)</f>
        <v/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</row>
    <row r="17">
      <c r="A17" s="1" t="n"/>
      <c r="B17" s="78" t="inlineStr">
        <is>
          <t>Debt</t>
        </is>
      </c>
      <c r="C17" s="59">
        <f>R30</f>
        <v/>
      </c>
      <c r="D17" s="59">
        <f>S30</f>
        <v/>
      </c>
      <c r="E17" s="60">
        <f>IFERROR(D17/C17,0)</f>
        <v/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</row>
    <row r="18">
      <c r="A18" s="1" t="n"/>
      <c r="B18" s="79" t="inlineStr">
        <is>
          <t>Subscriptions</t>
        </is>
      </c>
      <c r="C18" s="59">
        <f>C51</f>
        <v/>
      </c>
      <c r="D18" s="59">
        <f>D51</f>
        <v/>
      </c>
      <c r="E18" s="60">
        <f>IFERROR(D18/C18,0)</f>
        <v/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</row>
    <row r="19">
      <c r="A19" s="1" t="n"/>
      <c r="B19" s="72" t="inlineStr">
        <is>
          <t>Variable Exp.</t>
        </is>
      </c>
      <c r="C19" s="59">
        <f>H51</f>
        <v/>
      </c>
      <c r="D19" s="59">
        <f>I51</f>
        <v/>
      </c>
      <c r="E19" s="60">
        <f>IFERROR(D19/C19,0)</f>
        <v/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</row>
    <row r="20">
      <c r="A20" s="1" t="n"/>
      <c r="B20" s="14" t="inlineStr">
        <is>
          <t>REMAINING BUDGET (expenses)</t>
        </is>
      </c>
      <c r="E20" s="80">
        <f>SUM(C16:C19)-SUM(D16:D19)</f>
        <v/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</row>
    <row r="22">
      <c r="A22" s="1" t="n"/>
      <c r="B22" s="20" t="inlineStr">
        <is>
          <t>Pink text = over budget (expenses) or below target (income &amp; savings).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</row>
    <row r="23">
      <c r="A23" s="1" t="n"/>
      <c r="B23" s="20" t="inlineStr">
        <is>
          <t>Actual = paid items in Payments + Manual Log entries in this period.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</row>
    <row r="27">
      <c r="A27" s="1" t="n"/>
      <c r="B27" s="10" t="inlineStr">
        <is>
          <t>INCOME</t>
        </is>
      </c>
      <c r="C27" s="11" t="n"/>
      <c r="D27" s="11" t="n"/>
      <c r="E27" s="11" t="n"/>
      <c r="F27" s="1" t="n"/>
      <c r="G27" s="29" t="inlineStr">
        <is>
          <t>SAVINGS</t>
        </is>
      </c>
      <c r="H27" s="30" t="n"/>
      <c r="I27" s="30" t="n"/>
      <c r="J27" s="30" t="n"/>
      <c r="K27" s="1" t="n"/>
      <c r="L27" s="21" t="inlineStr">
        <is>
          <t>BILLS</t>
        </is>
      </c>
      <c r="M27" s="22" t="n"/>
      <c r="N27" s="22" t="n"/>
      <c r="O27" s="22" t="n"/>
      <c r="P27" s="1" t="n"/>
      <c r="Q27" s="81" t="inlineStr">
        <is>
          <t>DEBT</t>
        </is>
      </c>
      <c r="R27" s="82" t="n"/>
      <c r="S27" s="82" t="n"/>
      <c r="T27" s="82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</row>
    <row r="28" ht="24" customHeight="1">
      <c r="A28" s="1" t="n"/>
      <c r="B28" s="83">
        <f>D30</f>
        <v/>
      </c>
      <c r="C28" s="50" t="n"/>
      <c r="D28" s="50" t="n"/>
      <c r="E28" s="50" t="n"/>
      <c r="F28" s="1" t="n"/>
      <c r="G28" s="84">
        <f>I30</f>
        <v/>
      </c>
      <c r="H28" s="50" t="n"/>
      <c r="I28" s="50" t="n"/>
      <c r="J28" s="50" t="n"/>
      <c r="K28" s="1" t="n"/>
      <c r="L28" s="85">
        <f>N30</f>
        <v/>
      </c>
      <c r="M28" s="50" t="n"/>
      <c r="N28" s="50" t="n"/>
      <c r="O28" s="50" t="n"/>
      <c r="P28" s="1" t="n"/>
      <c r="Q28" s="86">
        <f>S30</f>
        <v/>
      </c>
      <c r="R28" s="50" t="n"/>
      <c r="S28" s="50" t="n"/>
      <c r="T28" s="50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>
      <c r="A29" s="1" t="n"/>
      <c r="B29" s="75" t="inlineStr">
        <is>
          <t>SUB-CATEGORY</t>
        </is>
      </c>
      <c r="C29" s="54" t="inlineStr">
        <is>
          <t>BUDGET</t>
        </is>
      </c>
      <c r="D29" s="54" t="inlineStr">
        <is>
          <t>ACTUAL</t>
        </is>
      </c>
      <c r="E29" s="54" t="inlineStr">
        <is>
          <t>DIFF</t>
        </is>
      </c>
      <c r="F29" s="1" t="n"/>
      <c r="G29" s="75" t="inlineStr">
        <is>
          <t>SUB-CATEGORY</t>
        </is>
      </c>
      <c r="H29" s="54" t="inlineStr">
        <is>
          <t>BUDGET</t>
        </is>
      </c>
      <c r="I29" s="54" t="inlineStr">
        <is>
          <t>ACTUAL</t>
        </is>
      </c>
      <c r="J29" s="54" t="inlineStr">
        <is>
          <t>DIFF</t>
        </is>
      </c>
      <c r="K29" s="1" t="n"/>
      <c r="L29" s="75" t="inlineStr">
        <is>
          <t>SUB-CATEGORY</t>
        </is>
      </c>
      <c r="M29" s="54" t="inlineStr">
        <is>
          <t>BUDGET</t>
        </is>
      </c>
      <c r="N29" s="54" t="inlineStr">
        <is>
          <t>ACTUAL</t>
        </is>
      </c>
      <c r="O29" s="54" t="inlineStr">
        <is>
          <t>REMAINING</t>
        </is>
      </c>
      <c r="P29" s="1" t="n"/>
      <c r="Q29" s="75" t="inlineStr">
        <is>
          <t>SUB-CATEGORY</t>
        </is>
      </c>
      <c r="R29" s="54" t="inlineStr">
        <is>
          <t>BUDGET</t>
        </is>
      </c>
      <c r="S29" s="54" t="inlineStr">
        <is>
          <t>ACTUAL</t>
        </is>
      </c>
      <c r="T29" s="54" t="inlineStr">
        <is>
          <t>REMAINING</t>
        </is>
      </c>
      <c r="U29" s="1" t="n"/>
      <c r="V29" s="1">
        <f>MAX(1,ROUNDUP(($C$7-$C$6+1)/31,0))</f>
        <v/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</row>
    <row r="30">
      <c r="A30" s="1" t="n"/>
      <c r="B30" s="87" t="inlineStr">
        <is>
          <t>TOTAL</t>
        </is>
      </c>
      <c r="C30" s="88">
        <f>SUM(C31:C40)</f>
        <v/>
      </c>
      <c r="D30" s="88">
        <f>SUM(D31:D40)</f>
        <v/>
      </c>
      <c r="E30" s="88">
        <f>SUM(E31:E40)</f>
        <v/>
      </c>
      <c r="F30" s="1" t="n"/>
      <c r="G30" s="87" t="inlineStr">
        <is>
          <t>TOTAL</t>
        </is>
      </c>
      <c r="H30" s="88">
        <f>SUM(H31:H40)</f>
        <v/>
      </c>
      <c r="I30" s="88">
        <f>SUM(I31:I40)</f>
        <v/>
      </c>
      <c r="J30" s="88">
        <f>SUM(J31:J40)</f>
        <v/>
      </c>
      <c r="K30" s="1" t="n"/>
      <c r="L30" s="87" t="inlineStr">
        <is>
          <t>TOTAL</t>
        </is>
      </c>
      <c r="M30" s="88">
        <f>SUM(M31:M45)</f>
        <v/>
      </c>
      <c r="N30" s="88">
        <f>SUM(N31:N45)</f>
        <v/>
      </c>
      <c r="O30" s="88">
        <f>SUM(O31:O45)</f>
        <v/>
      </c>
      <c r="P30" s="1" t="n"/>
      <c r="Q30" s="87" t="inlineStr">
        <is>
          <t>TOTAL</t>
        </is>
      </c>
      <c r="R30" s="88">
        <f>SUM(R31:R40)</f>
        <v/>
      </c>
      <c r="S30" s="88">
        <f>SUM(S31:S40)</f>
        <v/>
      </c>
      <c r="T30" s="88">
        <f>SUM(T31:T40)</f>
        <v/>
      </c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</row>
    <row r="31">
      <c r="A31" s="1" t="n"/>
      <c r="B31" s="35">
        <f>IF(AC31="","",INDEX(Setup!$D$25:$D$84,AC31))</f>
        <v/>
      </c>
      <c r="C31" s="36">
        <f>IF(AC31="","",COUNTIFS(INDEX(Calc!$B$2:$BB$61,AC31,0),"&gt;="&amp;$C$6,INDEX(Calc!$B$2:$BB$61,AC31,0),"&lt;"&amp;($C$7+1))*INDEX(Setup!$E$25:$E$84,AC31))</f>
        <v/>
      </c>
      <c r="D31" s="36">
        <f>IF(B31="","",SUMIFS(Payments!$Q$6:$Q$1205,Payments!$I$6:$I$1205,"Income",Payments!$E$6:$E$1205,B31,Payments!$P$6:$P$1205,"&gt;="&amp;$C$6,Payments!$P$6:$P$1205,"&lt;="&amp;$C$7)+SUMIFS('Manual Log'!$E$6:$E$1005,'Manual Log'!$C$6:$C$1005,"Income",'Manual Log'!$D$6:$D$1005,B31,'Manual Log'!$B$6:$B$1005,"&gt;="&amp;$C$6,'Manual Log'!$B$6:$B$1005,"&lt;="&amp;$C$7))</f>
        <v/>
      </c>
      <c r="E31" s="36">
        <f>IF(B31="","",D31-C31)</f>
        <v/>
      </c>
      <c r="F31" s="1" t="n"/>
      <c r="G31" s="35">
        <f>IF(AD31="","",INDEX(Setup!$D$25:$D$84,AD31))</f>
        <v/>
      </c>
      <c r="H31" s="36">
        <f>IF(AD31="","",COUNTIFS(INDEX(Calc!$B$2:$BB$61,AD31,0),"&gt;="&amp;$C$6,INDEX(Calc!$B$2:$BB$61,AD31,0),"&lt;"&amp;($C$7+1))*INDEX(Setup!$E$25:$E$84,AD31))</f>
        <v/>
      </c>
      <c r="I31" s="36">
        <f>IF(G31="","",SUMIFS(Payments!$Q$6:$Q$1205,Payments!$I$6:$I$1205,"Savings",Payments!$E$6:$E$1205,G31,Payments!$P$6:$P$1205,"&gt;="&amp;$C$6,Payments!$P$6:$P$1205,"&lt;="&amp;$C$7)+SUMIFS('Manual Log'!$E$6:$E$1005,'Manual Log'!$C$6:$C$1005,"Savings",'Manual Log'!$D$6:$D$1005,G31,'Manual Log'!$B$6:$B$1005,"&gt;="&amp;$C$6,'Manual Log'!$B$6:$B$1005,"&lt;="&amp;$C$7))</f>
        <v/>
      </c>
      <c r="J31" s="36">
        <f>IF(G31="","",I31-H31)</f>
        <v/>
      </c>
      <c r="K31" s="1" t="n"/>
      <c r="L31" s="35">
        <f>IF(AE31="","",INDEX(Setup!$D$25:$D$84,AE31))</f>
        <v/>
      </c>
      <c r="M31" s="36">
        <f>IF(AE31="","",COUNTIFS(INDEX(Calc!$B$2:$BB$61,AE31,0),"&gt;="&amp;$C$6,INDEX(Calc!$B$2:$BB$61,AE31,0),"&lt;"&amp;($C$7+1))*INDEX(Setup!$E$25:$E$84,AE31))</f>
        <v/>
      </c>
      <c r="N31" s="36">
        <f>IF(L31="","",SUMIFS(Payments!$Q$6:$Q$1205,Payments!$I$6:$I$1205,"Bills",Payments!$E$6:$E$1205,L31,Payments!$P$6:$P$1205,"&gt;="&amp;$C$6,Payments!$P$6:$P$1205,"&lt;="&amp;$C$7)+SUMIFS('Manual Log'!$E$6:$E$1005,'Manual Log'!$C$6:$C$1005,"Bills",'Manual Log'!$D$6:$D$1005,L31,'Manual Log'!$B$6:$B$1005,"&gt;="&amp;$C$6,'Manual Log'!$B$6:$B$1005,"&lt;="&amp;$C$7))</f>
        <v/>
      </c>
      <c r="O31" s="36">
        <f>IF(L31="","",M31-N31)</f>
        <v/>
      </c>
      <c r="P31" s="1" t="n"/>
      <c r="Q31" s="35">
        <f>IF(AF31="","",INDEX(Setup!$D$25:$D$84,AF31))</f>
        <v/>
      </c>
      <c r="R31" s="36">
        <f>IF(AF31="","",COUNTIFS(INDEX(Calc!$B$2:$BB$61,AF31,0),"&gt;="&amp;$C$6,INDEX(Calc!$B$2:$BB$61,AF31,0),"&lt;"&amp;($C$7+1))*INDEX(Setup!$E$25:$E$84,AF31))</f>
        <v/>
      </c>
      <c r="S31" s="36">
        <f>IF(Q31="","",SUMIFS(Payments!$Q$6:$Q$1205,Payments!$I$6:$I$1205,"Debt",Payments!$E$6:$E$1205,Q31,Payments!$P$6:$P$1205,"&gt;="&amp;$C$6,Payments!$P$6:$P$1205,"&lt;="&amp;$C$7)+SUMIFS('Manual Log'!$E$6:$E$1005,'Manual Log'!$C$6:$C$1005,"Debt",'Manual Log'!$D$6:$D$1005,Q31,'Manual Log'!$B$6:$B$1005,"&gt;="&amp;$C$6,'Manual Log'!$B$6:$B$1005,"&lt;="&amp;$C$7))</f>
        <v/>
      </c>
      <c r="T31" s="36">
        <f>IF(Q31="","",R31-S31)</f>
        <v/>
      </c>
      <c r="U31" s="1" t="n"/>
      <c r="V31" s="1">
        <f>IF($C$6+0*$V$29&gt;$C$7,"",$C$6+0*$V$29)</f>
        <v/>
      </c>
      <c r="W31" s="1">
        <f>IF(V31="","",SUMIFS(Payments!$Q$6:$Q$1205,Payments!$I$6:$I$1205,"&lt;&gt;Income",Payments!$I$6:$I$1205,"&lt;&gt;Savings",Payments!$P$6:$P$1205,"&gt;="&amp;V31,Payments!$P$6:$P$1205,"&lt;"&amp;(V31+$V$29),Payments!$P$6:$P$1205,"&lt;="&amp;$C$7)+SUMIFS('Manual Log'!$E$6:$E$1005,'Manual Log'!$C$6:$C$1005,"&lt;&gt;Income",'Manual Log'!$C$6:$C$1005,"&lt;&gt;Savings",'Manual Log'!$C$6:$C$1005,"&lt;&gt;Transfer",'Manual Log'!$B$6:$B$1005,"&gt;="&amp;V31,'Manual Log'!$B$6:$B$1005,"&lt;"&amp;(V31+$V$29),'Manual Log'!$B$6:$B$1005,"&lt;="&amp;$C$7))</f>
        <v/>
      </c>
      <c r="X31" s="1">
        <f>IF(V31="","",TEXT(V31,"ddd d mmm"))</f>
        <v/>
      </c>
      <c r="Y31" s="1">
        <f>L31</f>
        <v/>
      </c>
      <c r="Z31" s="1">
        <f>N31</f>
        <v/>
      </c>
      <c r="AA31" s="1">
        <f>IF(OR(Y31="",N(Z31)&lt;=0),"",Z31+ROW()/1000000)</f>
        <v/>
      </c>
      <c r="AB31" s="1" t="n"/>
      <c r="AC31" s="1">
        <f>IFERROR(MATCH("Income|1",Setup!$L$25:$L$84,0),"")</f>
        <v/>
      </c>
      <c r="AD31" s="1">
        <f>IFERROR(MATCH("Savings|1",Setup!$L$25:$L$84,0),"")</f>
        <v/>
      </c>
      <c r="AE31" s="1">
        <f>IFERROR(MATCH("Bills|1",Setup!$L$25:$L$84,0),"")</f>
        <v/>
      </c>
      <c r="AF31">
        <f>IFERROR(MATCH("Debt|1",Setup!$L$25:$L$84,0),"")</f>
        <v/>
      </c>
    </row>
    <row r="32">
      <c r="A32" s="1" t="n"/>
      <c r="B32" s="35">
        <f>IF(AC32="","",INDEX(Setup!$D$25:$D$84,AC32))</f>
        <v/>
      </c>
      <c r="C32" s="36">
        <f>IF(AC32="","",COUNTIFS(INDEX(Calc!$B$2:$BB$61,AC32,0),"&gt;="&amp;$C$6,INDEX(Calc!$B$2:$BB$61,AC32,0),"&lt;"&amp;($C$7+1))*INDEX(Setup!$E$25:$E$84,AC32))</f>
        <v/>
      </c>
      <c r="D32" s="36">
        <f>IF(B32="","",SUMIFS(Payments!$Q$6:$Q$1205,Payments!$I$6:$I$1205,"Income",Payments!$E$6:$E$1205,B32,Payments!$P$6:$P$1205,"&gt;="&amp;$C$6,Payments!$P$6:$P$1205,"&lt;="&amp;$C$7)+SUMIFS('Manual Log'!$E$6:$E$1005,'Manual Log'!$C$6:$C$1005,"Income",'Manual Log'!$D$6:$D$1005,B32,'Manual Log'!$B$6:$B$1005,"&gt;="&amp;$C$6,'Manual Log'!$B$6:$B$1005,"&lt;="&amp;$C$7))</f>
        <v/>
      </c>
      <c r="E32" s="36">
        <f>IF(B32="","",D32-C32)</f>
        <v/>
      </c>
      <c r="F32" s="1" t="n"/>
      <c r="G32" s="35">
        <f>IF(AD32="","",INDEX(Setup!$D$25:$D$84,AD32))</f>
        <v/>
      </c>
      <c r="H32" s="36">
        <f>IF(AD32="","",COUNTIFS(INDEX(Calc!$B$2:$BB$61,AD32,0),"&gt;="&amp;$C$6,INDEX(Calc!$B$2:$BB$61,AD32,0),"&lt;"&amp;($C$7+1))*INDEX(Setup!$E$25:$E$84,AD32))</f>
        <v/>
      </c>
      <c r="I32" s="36">
        <f>IF(G32="","",SUMIFS(Payments!$Q$6:$Q$1205,Payments!$I$6:$I$1205,"Savings",Payments!$E$6:$E$1205,G32,Payments!$P$6:$P$1205,"&gt;="&amp;$C$6,Payments!$P$6:$P$1205,"&lt;="&amp;$C$7)+SUMIFS('Manual Log'!$E$6:$E$1005,'Manual Log'!$C$6:$C$1005,"Savings",'Manual Log'!$D$6:$D$1005,G32,'Manual Log'!$B$6:$B$1005,"&gt;="&amp;$C$6,'Manual Log'!$B$6:$B$1005,"&lt;="&amp;$C$7))</f>
        <v/>
      </c>
      <c r="J32" s="36">
        <f>IF(G32="","",I32-H32)</f>
        <v/>
      </c>
      <c r="K32" s="1" t="n"/>
      <c r="L32" s="35">
        <f>IF(AE32="","",INDEX(Setup!$D$25:$D$84,AE32))</f>
        <v/>
      </c>
      <c r="M32" s="36">
        <f>IF(AE32="","",COUNTIFS(INDEX(Calc!$B$2:$BB$61,AE32,0),"&gt;="&amp;$C$6,INDEX(Calc!$B$2:$BB$61,AE32,0),"&lt;"&amp;($C$7+1))*INDEX(Setup!$E$25:$E$84,AE32))</f>
        <v/>
      </c>
      <c r="N32" s="36">
        <f>IF(L32="","",SUMIFS(Payments!$Q$6:$Q$1205,Payments!$I$6:$I$1205,"Bills",Payments!$E$6:$E$1205,L32,Payments!$P$6:$P$1205,"&gt;="&amp;$C$6,Payments!$P$6:$P$1205,"&lt;="&amp;$C$7)+SUMIFS('Manual Log'!$E$6:$E$1005,'Manual Log'!$C$6:$C$1005,"Bills",'Manual Log'!$D$6:$D$1005,L32,'Manual Log'!$B$6:$B$1005,"&gt;="&amp;$C$6,'Manual Log'!$B$6:$B$1005,"&lt;="&amp;$C$7))</f>
        <v/>
      </c>
      <c r="O32" s="36">
        <f>IF(L32="","",M32-N32)</f>
        <v/>
      </c>
      <c r="P32" s="1" t="n"/>
      <c r="Q32" s="35">
        <f>IF(AF32="","",INDEX(Setup!$D$25:$D$84,AF32))</f>
        <v/>
      </c>
      <c r="R32" s="36">
        <f>IF(AF32="","",COUNTIFS(INDEX(Calc!$B$2:$BB$61,AF32,0),"&gt;="&amp;$C$6,INDEX(Calc!$B$2:$BB$61,AF32,0),"&lt;"&amp;($C$7+1))*INDEX(Setup!$E$25:$E$84,AF32))</f>
        <v/>
      </c>
      <c r="S32" s="36">
        <f>IF(Q32="","",SUMIFS(Payments!$Q$6:$Q$1205,Payments!$I$6:$I$1205,"Debt",Payments!$E$6:$E$1205,Q32,Payments!$P$6:$P$1205,"&gt;="&amp;$C$6,Payments!$P$6:$P$1205,"&lt;="&amp;$C$7)+SUMIFS('Manual Log'!$E$6:$E$1005,'Manual Log'!$C$6:$C$1005,"Debt",'Manual Log'!$D$6:$D$1005,Q32,'Manual Log'!$B$6:$B$1005,"&gt;="&amp;$C$6,'Manual Log'!$B$6:$B$1005,"&lt;="&amp;$C$7))</f>
        <v/>
      </c>
      <c r="T32" s="36">
        <f>IF(Q32="","",R32-S32)</f>
        <v/>
      </c>
      <c r="U32" s="1" t="n"/>
      <c r="V32" s="1">
        <f>IF($C$6+1*$V$29&gt;$C$7,"",$C$6+1*$V$29)</f>
        <v/>
      </c>
      <c r="W32" s="1">
        <f>IF(V32="","",SUMIFS(Payments!$Q$6:$Q$1205,Payments!$I$6:$I$1205,"&lt;&gt;Income",Payments!$I$6:$I$1205,"&lt;&gt;Savings",Payments!$P$6:$P$1205,"&gt;="&amp;V32,Payments!$P$6:$P$1205,"&lt;"&amp;(V32+$V$29),Payments!$P$6:$P$1205,"&lt;="&amp;$C$7)+SUMIFS('Manual Log'!$E$6:$E$1005,'Manual Log'!$C$6:$C$1005,"&lt;&gt;Income",'Manual Log'!$C$6:$C$1005,"&lt;&gt;Savings",'Manual Log'!$C$6:$C$1005,"&lt;&gt;Transfer",'Manual Log'!$B$6:$B$1005,"&gt;="&amp;V32,'Manual Log'!$B$6:$B$1005,"&lt;"&amp;(V32+$V$29),'Manual Log'!$B$6:$B$1005,"&lt;="&amp;$C$7))</f>
        <v/>
      </c>
      <c r="X32" s="1">
        <f>IF(V32="","",TEXT(V32,"ddd d mmm"))</f>
        <v/>
      </c>
      <c r="Y32" s="1">
        <f>L32</f>
        <v/>
      </c>
      <c r="Z32" s="1">
        <f>N32</f>
        <v/>
      </c>
      <c r="AA32" s="1">
        <f>IF(OR(Y32="",N(Z32)&lt;=0),"",Z32+ROW()/1000000)</f>
        <v/>
      </c>
      <c r="AB32" s="1" t="n"/>
      <c r="AC32" s="1">
        <f>IFERROR(MATCH("Income|2",Setup!$L$25:$L$84,0),"")</f>
        <v/>
      </c>
      <c r="AD32" s="1">
        <f>IFERROR(MATCH("Savings|2",Setup!$L$25:$L$84,0),"")</f>
        <v/>
      </c>
      <c r="AE32" s="1">
        <f>IFERROR(MATCH("Bills|2",Setup!$L$25:$L$84,0),"")</f>
        <v/>
      </c>
      <c r="AF32">
        <f>IFERROR(MATCH("Debt|2",Setup!$L$25:$L$84,0),"")</f>
        <v/>
      </c>
    </row>
    <row r="33">
      <c r="A33" s="1" t="n"/>
      <c r="B33" s="35">
        <f>IF(AC33="","",INDEX(Setup!$D$25:$D$84,AC33))</f>
        <v/>
      </c>
      <c r="C33" s="36">
        <f>IF(AC33="","",COUNTIFS(INDEX(Calc!$B$2:$BB$61,AC33,0),"&gt;="&amp;$C$6,INDEX(Calc!$B$2:$BB$61,AC33,0),"&lt;"&amp;($C$7+1))*INDEX(Setup!$E$25:$E$84,AC33))</f>
        <v/>
      </c>
      <c r="D33" s="36">
        <f>IF(B33="","",SUMIFS(Payments!$Q$6:$Q$1205,Payments!$I$6:$I$1205,"Income",Payments!$E$6:$E$1205,B33,Payments!$P$6:$P$1205,"&gt;="&amp;$C$6,Payments!$P$6:$P$1205,"&lt;="&amp;$C$7)+SUMIFS('Manual Log'!$E$6:$E$1005,'Manual Log'!$C$6:$C$1005,"Income",'Manual Log'!$D$6:$D$1005,B33,'Manual Log'!$B$6:$B$1005,"&gt;="&amp;$C$6,'Manual Log'!$B$6:$B$1005,"&lt;="&amp;$C$7))</f>
        <v/>
      </c>
      <c r="E33" s="36">
        <f>IF(B33="","",D33-C33)</f>
        <v/>
      </c>
      <c r="F33" s="1" t="n"/>
      <c r="G33" s="35">
        <f>IF(AD33="","",INDEX(Setup!$D$25:$D$84,AD33))</f>
        <v/>
      </c>
      <c r="H33" s="36">
        <f>IF(AD33="","",COUNTIFS(INDEX(Calc!$B$2:$BB$61,AD33,0),"&gt;="&amp;$C$6,INDEX(Calc!$B$2:$BB$61,AD33,0),"&lt;"&amp;($C$7+1))*INDEX(Setup!$E$25:$E$84,AD33))</f>
        <v/>
      </c>
      <c r="I33" s="36">
        <f>IF(G33="","",SUMIFS(Payments!$Q$6:$Q$1205,Payments!$I$6:$I$1205,"Savings",Payments!$E$6:$E$1205,G33,Payments!$P$6:$P$1205,"&gt;="&amp;$C$6,Payments!$P$6:$P$1205,"&lt;="&amp;$C$7)+SUMIFS('Manual Log'!$E$6:$E$1005,'Manual Log'!$C$6:$C$1005,"Savings",'Manual Log'!$D$6:$D$1005,G33,'Manual Log'!$B$6:$B$1005,"&gt;="&amp;$C$6,'Manual Log'!$B$6:$B$1005,"&lt;="&amp;$C$7))</f>
        <v/>
      </c>
      <c r="J33" s="36">
        <f>IF(G33="","",I33-H33)</f>
        <v/>
      </c>
      <c r="K33" s="1" t="n"/>
      <c r="L33" s="35">
        <f>IF(AE33="","",INDEX(Setup!$D$25:$D$84,AE33))</f>
        <v/>
      </c>
      <c r="M33" s="36">
        <f>IF(AE33="","",COUNTIFS(INDEX(Calc!$B$2:$BB$61,AE33,0),"&gt;="&amp;$C$6,INDEX(Calc!$B$2:$BB$61,AE33,0),"&lt;"&amp;($C$7+1))*INDEX(Setup!$E$25:$E$84,AE33))</f>
        <v/>
      </c>
      <c r="N33" s="36">
        <f>IF(L33="","",SUMIFS(Payments!$Q$6:$Q$1205,Payments!$I$6:$I$1205,"Bills",Payments!$E$6:$E$1205,L33,Payments!$P$6:$P$1205,"&gt;="&amp;$C$6,Payments!$P$6:$P$1205,"&lt;="&amp;$C$7)+SUMIFS('Manual Log'!$E$6:$E$1005,'Manual Log'!$C$6:$C$1005,"Bills",'Manual Log'!$D$6:$D$1005,L33,'Manual Log'!$B$6:$B$1005,"&gt;="&amp;$C$6,'Manual Log'!$B$6:$B$1005,"&lt;="&amp;$C$7))</f>
        <v/>
      </c>
      <c r="O33" s="36">
        <f>IF(L33="","",M33-N33)</f>
        <v/>
      </c>
      <c r="P33" s="1" t="n"/>
      <c r="Q33" s="35">
        <f>IF(AF33="","",INDEX(Setup!$D$25:$D$84,AF33))</f>
        <v/>
      </c>
      <c r="R33" s="36">
        <f>IF(AF33="","",COUNTIFS(INDEX(Calc!$B$2:$BB$61,AF33,0),"&gt;="&amp;$C$6,INDEX(Calc!$B$2:$BB$61,AF33,0),"&lt;"&amp;($C$7+1))*INDEX(Setup!$E$25:$E$84,AF33))</f>
        <v/>
      </c>
      <c r="S33" s="36">
        <f>IF(Q33="","",SUMIFS(Payments!$Q$6:$Q$1205,Payments!$I$6:$I$1205,"Debt",Payments!$E$6:$E$1205,Q33,Payments!$P$6:$P$1205,"&gt;="&amp;$C$6,Payments!$P$6:$P$1205,"&lt;="&amp;$C$7)+SUMIFS('Manual Log'!$E$6:$E$1005,'Manual Log'!$C$6:$C$1005,"Debt",'Manual Log'!$D$6:$D$1005,Q33,'Manual Log'!$B$6:$B$1005,"&gt;="&amp;$C$6,'Manual Log'!$B$6:$B$1005,"&lt;="&amp;$C$7))</f>
        <v/>
      </c>
      <c r="T33" s="36">
        <f>IF(Q33="","",R33-S33)</f>
        <v/>
      </c>
      <c r="U33" s="1" t="n"/>
      <c r="V33" s="1">
        <f>IF($C$6+2*$V$29&gt;$C$7,"",$C$6+2*$V$29)</f>
        <v/>
      </c>
      <c r="W33" s="1">
        <f>IF(V33="","",SUMIFS(Payments!$Q$6:$Q$1205,Payments!$I$6:$I$1205,"&lt;&gt;Income",Payments!$I$6:$I$1205,"&lt;&gt;Savings",Payments!$P$6:$P$1205,"&gt;="&amp;V33,Payments!$P$6:$P$1205,"&lt;"&amp;(V33+$V$29),Payments!$P$6:$P$1205,"&lt;="&amp;$C$7)+SUMIFS('Manual Log'!$E$6:$E$1005,'Manual Log'!$C$6:$C$1005,"&lt;&gt;Income",'Manual Log'!$C$6:$C$1005,"&lt;&gt;Savings",'Manual Log'!$C$6:$C$1005,"&lt;&gt;Transfer",'Manual Log'!$B$6:$B$1005,"&gt;="&amp;V33,'Manual Log'!$B$6:$B$1005,"&lt;"&amp;(V33+$V$29),'Manual Log'!$B$6:$B$1005,"&lt;="&amp;$C$7))</f>
        <v/>
      </c>
      <c r="X33" s="1">
        <f>IF(V33="","",TEXT(V33,"ddd d mmm"))</f>
        <v/>
      </c>
      <c r="Y33" s="1">
        <f>L33</f>
        <v/>
      </c>
      <c r="Z33" s="1">
        <f>N33</f>
        <v/>
      </c>
      <c r="AA33" s="1">
        <f>IF(OR(Y33="",N(Z33)&lt;=0),"",Z33+ROW()/1000000)</f>
        <v/>
      </c>
      <c r="AB33" s="1" t="n"/>
      <c r="AC33" s="1">
        <f>IFERROR(MATCH("Income|3",Setup!$L$25:$L$84,0),"")</f>
        <v/>
      </c>
      <c r="AD33" s="1">
        <f>IFERROR(MATCH("Savings|3",Setup!$L$25:$L$84,0),"")</f>
        <v/>
      </c>
      <c r="AE33" s="1">
        <f>IFERROR(MATCH("Bills|3",Setup!$L$25:$L$84,0),"")</f>
        <v/>
      </c>
      <c r="AF33">
        <f>IFERROR(MATCH("Debt|3",Setup!$L$25:$L$84,0),"")</f>
        <v/>
      </c>
    </row>
    <row r="34">
      <c r="A34" s="1" t="n"/>
      <c r="B34" s="35">
        <f>IF(AC34="","",INDEX(Setup!$D$25:$D$84,AC34))</f>
        <v/>
      </c>
      <c r="C34" s="36">
        <f>IF(AC34="","",COUNTIFS(INDEX(Calc!$B$2:$BB$61,AC34,0),"&gt;="&amp;$C$6,INDEX(Calc!$B$2:$BB$61,AC34,0),"&lt;"&amp;($C$7+1))*INDEX(Setup!$E$25:$E$84,AC34))</f>
        <v/>
      </c>
      <c r="D34" s="36">
        <f>IF(B34="","",SUMIFS(Payments!$Q$6:$Q$1205,Payments!$I$6:$I$1205,"Income",Payments!$E$6:$E$1205,B34,Payments!$P$6:$P$1205,"&gt;="&amp;$C$6,Payments!$P$6:$P$1205,"&lt;="&amp;$C$7)+SUMIFS('Manual Log'!$E$6:$E$1005,'Manual Log'!$C$6:$C$1005,"Income",'Manual Log'!$D$6:$D$1005,B34,'Manual Log'!$B$6:$B$1005,"&gt;="&amp;$C$6,'Manual Log'!$B$6:$B$1005,"&lt;="&amp;$C$7))</f>
        <v/>
      </c>
      <c r="E34" s="36">
        <f>IF(B34="","",D34-C34)</f>
        <v/>
      </c>
      <c r="F34" s="1" t="n"/>
      <c r="G34" s="35">
        <f>IF(AD34="","",INDEX(Setup!$D$25:$D$84,AD34))</f>
        <v/>
      </c>
      <c r="H34" s="36">
        <f>IF(AD34="","",COUNTIFS(INDEX(Calc!$B$2:$BB$61,AD34,0),"&gt;="&amp;$C$6,INDEX(Calc!$B$2:$BB$61,AD34,0),"&lt;"&amp;($C$7+1))*INDEX(Setup!$E$25:$E$84,AD34))</f>
        <v/>
      </c>
      <c r="I34" s="36">
        <f>IF(G34="","",SUMIFS(Payments!$Q$6:$Q$1205,Payments!$I$6:$I$1205,"Savings",Payments!$E$6:$E$1205,G34,Payments!$P$6:$P$1205,"&gt;="&amp;$C$6,Payments!$P$6:$P$1205,"&lt;="&amp;$C$7)+SUMIFS('Manual Log'!$E$6:$E$1005,'Manual Log'!$C$6:$C$1005,"Savings",'Manual Log'!$D$6:$D$1005,G34,'Manual Log'!$B$6:$B$1005,"&gt;="&amp;$C$6,'Manual Log'!$B$6:$B$1005,"&lt;="&amp;$C$7))</f>
        <v/>
      </c>
      <c r="J34" s="36">
        <f>IF(G34="","",I34-H34)</f>
        <v/>
      </c>
      <c r="K34" s="1" t="n"/>
      <c r="L34" s="35">
        <f>IF(AE34="","",INDEX(Setup!$D$25:$D$84,AE34))</f>
        <v/>
      </c>
      <c r="M34" s="36">
        <f>IF(AE34="","",COUNTIFS(INDEX(Calc!$B$2:$BB$61,AE34,0),"&gt;="&amp;$C$6,INDEX(Calc!$B$2:$BB$61,AE34,0),"&lt;"&amp;($C$7+1))*INDEX(Setup!$E$25:$E$84,AE34))</f>
        <v/>
      </c>
      <c r="N34" s="36">
        <f>IF(L34="","",SUMIFS(Payments!$Q$6:$Q$1205,Payments!$I$6:$I$1205,"Bills",Payments!$E$6:$E$1205,L34,Payments!$P$6:$P$1205,"&gt;="&amp;$C$6,Payments!$P$6:$P$1205,"&lt;="&amp;$C$7)+SUMIFS('Manual Log'!$E$6:$E$1005,'Manual Log'!$C$6:$C$1005,"Bills",'Manual Log'!$D$6:$D$1005,L34,'Manual Log'!$B$6:$B$1005,"&gt;="&amp;$C$6,'Manual Log'!$B$6:$B$1005,"&lt;="&amp;$C$7))</f>
        <v/>
      </c>
      <c r="O34" s="36">
        <f>IF(L34="","",M34-N34)</f>
        <v/>
      </c>
      <c r="P34" s="1" t="n"/>
      <c r="Q34" s="35">
        <f>IF(AF34="","",INDEX(Setup!$D$25:$D$84,AF34))</f>
        <v/>
      </c>
      <c r="R34" s="36">
        <f>IF(AF34="","",COUNTIFS(INDEX(Calc!$B$2:$BB$61,AF34,0),"&gt;="&amp;$C$6,INDEX(Calc!$B$2:$BB$61,AF34,0),"&lt;"&amp;($C$7+1))*INDEX(Setup!$E$25:$E$84,AF34))</f>
        <v/>
      </c>
      <c r="S34" s="36">
        <f>IF(Q34="","",SUMIFS(Payments!$Q$6:$Q$1205,Payments!$I$6:$I$1205,"Debt",Payments!$E$6:$E$1205,Q34,Payments!$P$6:$P$1205,"&gt;="&amp;$C$6,Payments!$P$6:$P$1205,"&lt;="&amp;$C$7)+SUMIFS('Manual Log'!$E$6:$E$1005,'Manual Log'!$C$6:$C$1005,"Debt",'Manual Log'!$D$6:$D$1005,Q34,'Manual Log'!$B$6:$B$1005,"&gt;="&amp;$C$6,'Manual Log'!$B$6:$B$1005,"&lt;="&amp;$C$7))</f>
        <v/>
      </c>
      <c r="T34" s="36">
        <f>IF(Q34="","",R34-S34)</f>
        <v/>
      </c>
      <c r="U34" s="1" t="n"/>
      <c r="V34" s="1">
        <f>IF($C$6+3*$V$29&gt;$C$7,"",$C$6+3*$V$29)</f>
        <v/>
      </c>
      <c r="W34" s="1">
        <f>IF(V34="","",SUMIFS(Payments!$Q$6:$Q$1205,Payments!$I$6:$I$1205,"&lt;&gt;Income",Payments!$I$6:$I$1205,"&lt;&gt;Savings",Payments!$P$6:$P$1205,"&gt;="&amp;V34,Payments!$P$6:$P$1205,"&lt;"&amp;(V34+$V$29),Payments!$P$6:$P$1205,"&lt;="&amp;$C$7)+SUMIFS('Manual Log'!$E$6:$E$1005,'Manual Log'!$C$6:$C$1005,"&lt;&gt;Income",'Manual Log'!$C$6:$C$1005,"&lt;&gt;Savings",'Manual Log'!$C$6:$C$1005,"&lt;&gt;Transfer",'Manual Log'!$B$6:$B$1005,"&gt;="&amp;V34,'Manual Log'!$B$6:$B$1005,"&lt;"&amp;(V34+$V$29),'Manual Log'!$B$6:$B$1005,"&lt;="&amp;$C$7))</f>
        <v/>
      </c>
      <c r="X34" s="1">
        <f>IF(V34="","",TEXT(V34,"ddd d mmm"))</f>
        <v/>
      </c>
      <c r="Y34" s="1">
        <f>L34</f>
        <v/>
      </c>
      <c r="Z34" s="1">
        <f>N34</f>
        <v/>
      </c>
      <c r="AA34" s="1">
        <f>IF(OR(Y34="",N(Z34)&lt;=0),"",Z34+ROW()/1000000)</f>
        <v/>
      </c>
      <c r="AB34" s="1" t="n"/>
      <c r="AC34" s="1">
        <f>IFERROR(MATCH("Income|4",Setup!$L$25:$L$84,0),"")</f>
        <v/>
      </c>
      <c r="AD34" s="1">
        <f>IFERROR(MATCH("Savings|4",Setup!$L$25:$L$84,0),"")</f>
        <v/>
      </c>
      <c r="AE34" s="1">
        <f>IFERROR(MATCH("Bills|4",Setup!$L$25:$L$84,0),"")</f>
        <v/>
      </c>
      <c r="AF34">
        <f>IFERROR(MATCH("Debt|4",Setup!$L$25:$L$84,0),"")</f>
        <v/>
      </c>
    </row>
    <row r="35">
      <c r="A35" s="1" t="n"/>
      <c r="B35" s="35">
        <f>IF(AC35="","",INDEX(Setup!$D$25:$D$84,AC35))</f>
        <v/>
      </c>
      <c r="C35" s="36">
        <f>IF(AC35="","",COUNTIFS(INDEX(Calc!$B$2:$BB$61,AC35,0),"&gt;="&amp;$C$6,INDEX(Calc!$B$2:$BB$61,AC35,0),"&lt;"&amp;($C$7+1))*INDEX(Setup!$E$25:$E$84,AC35))</f>
        <v/>
      </c>
      <c r="D35" s="36">
        <f>IF(B35="","",SUMIFS(Payments!$Q$6:$Q$1205,Payments!$I$6:$I$1205,"Income",Payments!$E$6:$E$1205,B35,Payments!$P$6:$P$1205,"&gt;="&amp;$C$6,Payments!$P$6:$P$1205,"&lt;="&amp;$C$7)+SUMIFS('Manual Log'!$E$6:$E$1005,'Manual Log'!$C$6:$C$1005,"Income",'Manual Log'!$D$6:$D$1005,B35,'Manual Log'!$B$6:$B$1005,"&gt;="&amp;$C$6,'Manual Log'!$B$6:$B$1005,"&lt;="&amp;$C$7))</f>
        <v/>
      </c>
      <c r="E35" s="36">
        <f>IF(B35="","",D35-C35)</f>
        <v/>
      </c>
      <c r="F35" s="1" t="n"/>
      <c r="G35" s="35">
        <f>IF(AD35="","",INDEX(Setup!$D$25:$D$84,AD35))</f>
        <v/>
      </c>
      <c r="H35" s="36">
        <f>IF(AD35="","",COUNTIFS(INDEX(Calc!$B$2:$BB$61,AD35,0),"&gt;="&amp;$C$6,INDEX(Calc!$B$2:$BB$61,AD35,0),"&lt;"&amp;($C$7+1))*INDEX(Setup!$E$25:$E$84,AD35))</f>
        <v/>
      </c>
      <c r="I35" s="36">
        <f>IF(G35="","",SUMIFS(Payments!$Q$6:$Q$1205,Payments!$I$6:$I$1205,"Savings",Payments!$E$6:$E$1205,G35,Payments!$P$6:$P$1205,"&gt;="&amp;$C$6,Payments!$P$6:$P$1205,"&lt;="&amp;$C$7)+SUMIFS('Manual Log'!$E$6:$E$1005,'Manual Log'!$C$6:$C$1005,"Savings",'Manual Log'!$D$6:$D$1005,G35,'Manual Log'!$B$6:$B$1005,"&gt;="&amp;$C$6,'Manual Log'!$B$6:$B$1005,"&lt;="&amp;$C$7))</f>
        <v/>
      </c>
      <c r="J35" s="36">
        <f>IF(G35="","",I35-H35)</f>
        <v/>
      </c>
      <c r="K35" s="1" t="n"/>
      <c r="L35" s="35">
        <f>IF(AE35="","",INDEX(Setup!$D$25:$D$84,AE35))</f>
        <v/>
      </c>
      <c r="M35" s="36">
        <f>IF(AE35="","",COUNTIFS(INDEX(Calc!$B$2:$BB$61,AE35,0),"&gt;="&amp;$C$6,INDEX(Calc!$B$2:$BB$61,AE35,0),"&lt;"&amp;($C$7+1))*INDEX(Setup!$E$25:$E$84,AE35))</f>
        <v/>
      </c>
      <c r="N35" s="36">
        <f>IF(L35="","",SUMIFS(Payments!$Q$6:$Q$1205,Payments!$I$6:$I$1205,"Bills",Payments!$E$6:$E$1205,L35,Payments!$P$6:$P$1205,"&gt;="&amp;$C$6,Payments!$P$6:$P$1205,"&lt;="&amp;$C$7)+SUMIFS('Manual Log'!$E$6:$E$1005,'Manual Log'!$C$6:$C$1005,"Bills",'Manual Log'!$D$6:$D$1005,L35,'Manual Log'!$B$6:$B$1005,"&gt;="&amp;$C$6,'Manual Log'!$B$6:$B$1005,"&lt;="&amp;$C$7))</f>
        <v/>
      </c>
      <c r="O35" s="36">
        <f>IF(L35="","",M35-N35)</f>
        <v/>
      </c>
      <c r="P35" s="1" t="n"/>
      <c r="Q35" s="35">
        <f>IF(AF35="","",INDEX(Setup!$D$25:$D$84,AF35))</f>
        <v/>
      </c>
      <c r="R35" s="36">
        <f>IF(AF35="","",COUNTIFS(INDEX(Calc!$B$2:$BB$61,AF35,0),"&gt;="&amp;$C$6,INDEX(Calc!$B$2:$BB$61,AF35,0),"&lt;"&amp;($C$7+1))*INDEX(Setup!$E$25:$E$84,AF35))</f>
        <v/>
      </c>
      <c r="S35" s="36">
        <f>IF(Q35="","",SUMIFS(Payments!$Q$6:$Q$1205,Payments!$I$6:$I$1205,"Debt",Payments!$E$6:$E$1205,Q35,Payments!$P$6:$P$1205,"&gt;="&amp;$C$6,Payments!$P$6:$P$1205,"&lt;="&amp;$C$7)+SUMIFS('Manual Log'!$E$6:$E$1005,'Manual Log'!$C$6:$C$1005,"Debt",'Manual Log'!$D$6:$D$1005,Q35,'Manual Log'!$B$6:$B$1005,"&gt;="&amp;$C$6,'Manual Log'!$B$6:$B$1005,"&lt;="&amp;$C$7))</f>
        <v/>
      </c>
      <c r="T35" s="36">
        <f>IF(Q35="","",R35-S35)</f>
        <v/>
      </c>
      <c r="U35" s="1" t="n"/>
      <c r="V35" s="1">
        <f>IF($C$6+4*$V$29&gt;$C$7,"",$C$6+4*$V$29)</f>
        <v/>
      </c>
      <c r="W35" s="1">
        <f>IF(V35="","",SUMIFS(Payments!$Q$6:$Q$1205,Payments!$I$6:$I$1205,"&lt;&gt;Income",Payments!$I$6:$I$1205,"&lt;&gt;Savings",Payments!$P$6:$P$1205,"&gt;="&amp;V35,Payments!$P$6:$P$1205,"&lt;"&amp;(V35+$V$29),Payments!$P$6:$P$1205,"&lt;="&amp;$C$7)+SUMIFS('Manual Log'!$E$6:$E$1005,'Manual Log'!$C$6:$C$1005,"&lt;&gt;Income",'Manual Log'!$C$6:$C$1005,"&lt;&gt;Savings",'Manual Log'!$C$6:$C$1005,"&lt;&gt;Transfer",'Manual Log'!$B$6:$B$1005,"&gt;="&amp;V35,'Manual Log'!$B$6:$B$1005,"&lt;"&amp;(V35+$V$29),'Manual Log'!$B$6:$B$1005,"&lt;="&amp;$C$7))</f>
        <v/>
      </c>
      <c r="X35" s="1">
        <f>IF(V35="","",TEXT(V35,"ddd d mmm"))</f>
        <v/>
      </c>
      <c r="Y35" s="1">
        <f>L35</f>
        <v/>
      </c>
      <c r="Z35" s="1">
        <f>N35</f>
        <v/>
      </c>
      <c r="AA35" s="1">
        <f>IF(OR(Y35="",N(Z35)&lt;=0),"",Z35+ROW()/1000000)</f>
        <v/>
      </c>
      <c r="AB35" s="1" t="n"/>
      <c r="AC35" s="1">
        <f>IFERROR(MATCH("Income|5",Setup!$L$25:$L$84,0),"")</f>
        <v/>
      </c>
      <c r="AD35" s="1">
        <f>IFERROR(MATCH("Savings|5",Setup!$L$25:$L$84,0),"")</f>
        <v/>
      </c>
      <c r="AE35" s="1">
        <f>IFERROR(MATCH("Bills|5",Setup!$L$25:$L$84,0),"")</f>
        <v/>
      </c>
      <c r="AF35">
        <f>IFERROR(MATCH("Debt|5",Setup!$L$25:$L$84,0),"")</f>
        <v/>
      </c>
    </row>
    <row r="36">
      <c r="A36" s="1" t="n"/>
      <c r="B36" s="35">
        <f>IF(AC36="","",INDEX(Setup!$D$25:$D$84,AC36))</f>
        <v/>
      </c>
      <c r="C36" s="36">
        <f>IF(AC36="","",COUNTIFS(INDEX(Calc!$B$2:$BB$61,AC36,0),"&gt;="&amp;$C$6,INDEX(Calc!$B$2:$BB$61,AC36,0),"&lt;"&amp;($C$7+1))*INDEX(Setup!$E$25:$E$84,AC36))</f>
        <v/>
      </c>
      <c r="D36" s="36">
        <f>IF(B36="","",SUMIFS(Payments!$Q$6:$Q$1205,Payments!$I$6:$I$1205,"Income",Payments!$E$6:$E$1205,B36,Payments!$P$6:$P$1205,"&gt;="&amp;$C$6,Payments!$P$6:$P$1205,"&lt;="&amp;$C$7)+SUMIFS('Manual Log'!$E$6:$E$1005,'Manual Log'!$C$6:$C$1005,"Income",'Manual Log'!$D$6:$D$1005,B36,'Manual Log'!$B$6:$B$1005,"&gt;="&amp;$C$6,'Manual Log'!$B$6:$B$1005,"&lt;="&amp;$C$7))</f>
        <v/>
      </c>
      <c r="E36" s="36">
        <f>IF(B36="","",D36-C36)</f>
        <v/>
      </c>
      <c r="F36" s="1" t="n"/>
      <c r="G36" s="35">
        <f>IF(AD36="","",INDEX(Setup!$D$25:$D$84,AD36))</f>
        <v/>
      </c>
      <c r="H36" s="36">
        <f>IF(AD36="","",COUNTIFS(INDEX(Calc!$B$2:$BB$61,AD36,0),"&gt;="&amp;$C$6,INDEX(Calc!$B$2:$BB$61,AD36,0),"&lt;"&amp;($C$7+1))*INDEX(Setup!$E$25:$E$84,AD36))</f>
        <v/>
      </c>
      <c r="I36" s="36">
        <f>IF(G36="","",SUMIFS(Payments!$Q$6:$Q$1205,Payments!$I$6:$I$1205,"Savings",Payments!$E$6:$E$1205,G36,Payments!$P$6:$P$1205,"&gt;="&amp;$C$6,Payments!$P$6:$P$1205,"&lt;="&amp;$C$7)+SUMIFS('Manual Log'!$E$6:$E$1005,'Manual Log'!$C$6:$C$1005,"Savings",'Manual Log'!$D$6:$D$1005,G36,'Manual Log'!$B$6:$B$1005,"&gt;="&amp;$C$6,'Manual Log'!$B$6:$B$1005,"&lt;="&amp;$C$7))</f>
        <v/>
      </c>
      <c r="J36" s="36">
        <f>IF(G36="","",I36-H36)</f>
        <v/>
      </c>
      <c r="K36" s="1" t="n"/>
      <c r="L36" s="35">
        <f>IF(AE36="","",INDEX(Setup!$D$25:$D$84,AE36))</f>
        <v/>
      </c>
      <c r="M36" s="36">
        <f>IF(AE36="","",COUNTIFS(INDEX(Calc!$B$2:$BB$61,AE36,0),"&gt;="&amp;$C$6,INDEX(Calc!$B$2:$BB$61,AE36,0),"&lt;"&amp;($C$7+1))*INDEX(Setup!$E$25:$E$84,AE36))</f>
        <v/>
      </c>
      <c r="N36" s="36">
        <f>IF(L36="","",SUMIFS(Payments!$Q$6:$Q$1205,Payments!$I$6:$I$1205,"Bills",Payments!$E$6:$E$1205,L36,Payments!$P$6:$P$1205,"&gt;="&amp;$C$6,Payments!$P$6:$P$1205,"&lt;="&amp;$C$7)+SUMIFS('Manual Log'!$E$6:$E$1005,'Manual Log'!$C$6:$C$1005,"Bills",'Manual Log'!$D$6:$D$1005,L36,'Manual Log'!$B$6:$B$1005,"&gt;="&amp;$C$6,'Manual Log'!$B$6:$B$1005,"&lt;="&amp;$C$7))</f>
        <v/>
      </c>
      <c r="O36" s="36">
        <f>IF(L36="","",M36-N36)</f>
        <v/>
      </c>
      <c r="P36" s="1" t="n"/>
      <c r="Q36" s="35">
        <f>IF(AF36="","",INDEX(Setup!$D$25:$D$84,AF36))</f>
        <v/>
      </c>
      <c r="R36" s="36">
        <f>IF(AF36="","",COUNTIFS(INDEX(Calc!$B$2:$BB$61,AF36,0),"&gt;="&amp;$C$6,INDEX(Calc!$B$2:$BB$61,AF36,0),"&lt;"&amp;($C$7+1))*INDEX(Setup!$E$25:$E$84,AF36))</f>
        <v/>
      </c>
      <c r="S36" s="36">
        <f>IF(Q36="","",SUMIFS(Payments!$Q$6:$Q$1205,Payments!$I$6:$I$1205,"Debt",Payments!$E$6:$E$1205,Q36,Payments!$P$6:$P$1205,"&gt;="&amp;$C$6,Payments!$P$6:$P$1205,"&lt;="&amp;$C$7)+SUMIFS('Manual Log'!$E$6:$E$1005,'Manual Log'!$C$6:$C$1005,"Debt",'Manual Log'!$D$6:$D$1005,Q36,'Manual Log'!$B$6:$B$1005,"&gt;="&amp;$C$6,'Manual Log'!$B$6:$B$1005,"&lt;="&amp;$C$7))</f>
        <v/>
      </c>
      <c r="T36" s="36">
        <f>IF(Q36="","",R36-S36)</f>
        <v/>
      </c>
      <c r="U36" s="1" t="n"/>
      <c r="V36" s="1">
        <f>IF($C$6+5*$V$29&gt;$C$7,"",$C$6+5*$V$29)</f>
        <v/>
      </c>
      <c r="W36" s="1">
        <f>IF(V36="","",SUMIFS(Payments!$Q$6:$Q$1205,Payments!$I$6:$I$1205,"&lt;&gt;Income",Payments!$I$6:$I$1205,"&lt;&gt;Savings",Payments!$P$6:$P$1205,"&gt;="&amp;V36,Payments!$P$6:$P$1205,"&lt;"&amp;(V36+$V$29),Payments!$P$6:$P$1205,"&lt;="&amp;$C$7)+SUMIFS('Manual Log'!$E$6:$E$1005,'Manual Log'!$C$6:$C$1005,"&lt;&gt;Income",'Manual Log'!$C$6:$C$1005,"&lt;&gt;Savings",'Manual Log'!$C$6:$C$1005,"&lt;&gt;Transfer",'Manual Log'!$B$6:$B$1005,"&gt;="&amp;V36,'Manual Log'!$B$6:$B$1005,"&lt;"&amp;(V36+$V$29),'Manual Log'!$B$6:$B$1005,"&lt;="&amp;$C$7))</f>
        <v/>
      </c>
      <c r="X36" s="1">
        <f>IF(V36="","",TEXT(V36,"ddd d mmm"))</f>
        <v/>
      </c>
      <c r="Y36" s="1">
        <f>L36</f>
        <v/>
      </c>
      <c r="Z36" s="1">
        <f>N36</f>
        <v/>
      </c>
      <c r="AA36" s="1">
        <f>IF(OR(Y36="",N(Z36)&lt;=0),"",Z36+ROW()/1000000)</f>
        <v/>
      </c>
      <c r="AB36" s="1" t="n"/>
      <c r="AC36" s="1">
        <f>IFERROR(MATCH("Income|6",Setup!$L$25:$L$84,0),"")</f>
        <v/>
      </c>
      <c r="AD36" s="1">
        <f>IFERROR(MATCH("Savings|6",Setup!$L$25:$L$84,0),"")</f>
        <v/>
      </c>
      <c r="AE36" s="1">
        <f>IFERROR(MATCH("Bills|6",Setup!$L$25:$L$84,0),"")</f>
        <v/>
      </c>
      <c r="AF36">
        <f>IFERROR(MATCH("Debt|6",Setup!$L$25:$L$84,0),"")</f>
        <v/>
      </c>
    </row>
    <row r="37">
      <c r="A37" s="1" t="n"/>
      <c r="B37" s="35">
        <f>IF(AC37="","",INDEX(Setup!$D$25:$D$84,AC37))</f>
        <v/>
      </c>
      <c r="C37" s="36">
        <f>IF(AC37="","",COUNTIFS(INDEX(Calc!$B$2:$BB$61,AC37,0),"&gt;="&amp;$C$6,INDEX(Calc!$B$2:$BB$61,AC37,0),"&lt;"&amp;($C$7+1))*INDEX(Setup!$E$25:$E$84,AC37))</f>
        <v/>
      </c>
      <c r="D37" s="36">
        <f>IF(B37="","",SUMIFS(Payments!$Q$6:$Q$1205,Payments!$I$6:$I$1205,"Income",Payments!$E$6:$E$1205,B37,Payments!$P$6:$P$1205,"&gt;="&amp;$C$6,Payments!$P$6:$P$1205,"&lt;="&amp;$C$7)+SUMIFS('Manual Log'!$E$6:$E$1005,'Manual Log'!$C$6:$C$1005,"Income",'Manual Log'!$D$6:$D$1005,B37,'Manual Log'!$B$6:$B$1005,"&gt;="&amp;$C$6,'Manual Log'!$B$6:$B$1005,"&lt;="&amp;$C$7))</f>
        <v/>
      </c>
      <c r="E37" s="36">
        <f>IF(B37="","",D37-C37)</f>
        <v/>
      </c>
      <c r="F37" s="1" t="n"/>
      <c r="G37" s="35">
        <f>IF(AD37="","",INDEX(Setup!$D$25:$D$84,AD37))</f>
        <v/>
      </c>
      <c r="H37" s="36">
        <f>IF(AD37="","",COUNTIFS(INDEX(Calc!$B$2:$BB$61,AD37,0),"&gt;="&amp;$C$6,INDEX(Calc!$B$2:$BB$61,AD37,0),"&lt;"&amp;($C$7+1))*INDEX(Setup!$E$25:$E$84,AD37))</f>
        <v/>
      </c>
      <c r="I37" s="36">
        <f>IF(G37="","",SUMIFS(Payments!$Q$6:$Q$1205,Payments!$I$6:$I$1205,"Savings",Payments!$E$6:$E$1205,G37,Payments!$P$6:$P$1205,"&gt;="&amp;$C$6,Payments!$P$6:$P$1205,"&lt;="&amp;$C$7)+SUMIFS('Manual Log'!$E$6:$E$1005,'Manual Log'!$C$6:$C$1005,"Savings",'Manual Log'!$D$6:$D$1005,G37,'Manual Log'!$B$6:$B$1005,"&gt;="&amp;$C$6,'Manual Log'!$B$6:$B$1005,"&lt;="&amp;$C$7))</f>
        <v/>
      </c>
      <c r="J37" s="36">
        <f>IF(G37="","",I37-H37)</f>
        <v/>
      </c>
      <c r="K37" s="1" t="n"/>
      <c r="L37" s="35">
        <f>IF(AE37="","",INDEX(Setup!$D$25:$D$84,AE37))</f>
        <v/>
      </c>
      <c r="M37" s="36">
        <f>IF(AE37="","",COUNTIFS(INDEX(Calc!$B$2:$BB$61,AE37,0),"&gt;="&amp;$C$6,INDEX(Calc!$B$2:$BB$61,AE37,0),"&lt;"&amp;($C$7+1))*INDEX(Setup!$E$25:$E$84,AE37))</f>
        <v/>
      </c>
      <c r="N37" s="36">
        <f>IF(L37="","",SUMIFS(Payments!$Q$6:$Q$1205,Payments!$I$6:$I$1205,"Bills",Payments!$E$6:$E$1205,L37,Payments!$P$6:$P$1205,"&gt;="&amp;$C$6,Payments!$P$6:$P$1205,"&lt;="&amp;$C$7)+SUMIFS('Manual Log'!$E$6:$E$1005,'Manual Log'!$C$6:$C$1005,"Bills",'Manual Log'!$D$6:$D$1005,L37,'Manual Log'!$B$6:$B$1005,"&gt;="&amp;$C$6,'Manual Log'!$B$6:$B$1005,"&lt;="&amp;$C$7))</f>
        <v/>
      </c>
      <c r="O37" s="36">
        <f>IF(L37="","",M37-N37)</f>
        <v/>
      </c>
      <c r="P37" s="1" t="n"/>
      <c r="Q37" s="35">
        <f>IF(AF37="","",INDEX(Setup!$D$25:$D$84,AF37))</f>
        <v/>
      </c>
      <c r="R37" s="36">
        <f>IF(AF37="","",COUNTIFS(INDEX(Calc!$B$2:$BB$61,AF37,0),"&gt;="&amp;$C$6,INDEX(Calc!$B$2:$BB$61,AF37,0),"&lt;"&amp;($C$7+1))*INDEX(Setup!$E$25:$E$84,AF37))</f>
        <v/>
      </c>
      <c r="S37" s="36">
        <f>IF(Q37="","",SUMIFS(Payments!$Q$6:$Q$1205,Payments!$I$6:$I$1205,"Debt",Payments!$E$6:$E$1205,Q37,Payments!$P$6:$P$1205,"&gt;="&amp;$C$6,Payments!$P$6:$P$1205,"&lt;="&amp;$C$7)+SUMIFS('Manual Log'!$E$6:$E$1005,'Manual Log'!$C$6:$C$1005,"Debt",'Manual Log'!$D$6:$D$1005,Q37,'Manual Log'!$B$6:$B$1005,"&gt;="&amp;$C$6,'Manual Log'!$B$6:$B$1005,"&lt;="&amp;$C$7))</f>
        <v/>
      </c>
      <c r="T37" s="36">
        <f>IF(Q37="","",R37-S37)</f>
        <v/>
      </c>
      <c r="U37" s="1" t="n"/>
      <c r="V37" s="1">
        <f>IF($C$6+6*$V$29&gt;$C$7,"",$C$6+6*$V$29)</f>
        <v/>
      </c>
      <c r="W37" s="1">
        <f>IF(V37="","",SUMIFS(Payments!$Q$6:$Q$1205,Payments!$I$6:$I$1205,"&lt;&gt;Income",Payments!$I$6:$I$1205,"&lt;&gt;Savings",Payments!$P$6:$P$1205,"&gt;="&amp;V37,Payments!$P$6:$P$1205,"&lt;"&amp;(V37+$V$29),Payments!$P$6:$P$1205,"&lt;="&amp;$C$7)+SUMIFS('Manual Log'!$E$6:$E$1005,'Manual Log'!$C$6:$C$1005,"&lt;&gt;Income",'Manual Log'!$C$6:$C$1005,"&lt;&gt;Savings",'Manual Log'!$C$6:$C$1005,"&lt;&gt;Transfer",'Manual Log'!$B$6:$B$1005,"&gt;="&amp;V37,'Manual Log'!$B$6:$B$1005,"&lt;"&amp;(V37+$V$29),'Manual Log'!$B$6:$B$1005,"&lt;="&amp;$C$7))</f>
        <v/>
      </c>
      <c r="X37" s="1">
        <f>IF(V37="","",TEXT(V37,"ddd d mmm"))</f>
        <v/>
      </c>
      <c r="Y37" s="1">
        <f>L37</f>
        <v/>
      </c>
      <c r="Z37" s="1">
        <f>N37</f>
        <v/>
      </c>
      <c r="AA37" s="1">
        <f>IF(OR(Y37="",N(Z37)&lt;=0),"",Z37+ROW()/1000000)</f>
        <v/>
      </c>
      <c r="AB37" s="1" t="n"/>
      <c r="AC37" s="1">
        <f>IFERROR(MATCH("Income|7",Setup!$L$25:$L$84,0),"")</f>
        <v/>
      </c>
      <c r="AD37" s="1">
        <f>IFERROR(MATCH("Savings|7",Setup!$L$25:$L$84,0),"")</f>
        <v/>
      </c>
      <c r="AE37" s="1">
        <f>IFERROR(MATCH("Bills|7",Setup!$L$25:$L$84,0),"")</f>
        <v/>
      </c>
      <c r="AF37">
        <f>IFERROR(MATCH("Debt|7",Setup!$L$25:$L$84,0),"")</f>
        <v/>
      </c>
    </row>
    <row r="38">
      <c r="A38" s="1" t="n"/>
      <c r="B38" s="35">
        <f>IF(AC38="","",INDEX(Setup!$D$25:$D$84,AC38))</f>
        <v/>
      </c>
      <c r="C38" s="36">
        <f>IF(AC38="","",COUNTIFS(INDEX(Calc!$B$2:$BB$61,AC38,0),"&gt;="&amp;$C$6,INDEX(Calc!$B$2:$BB$61,AC38,0),"&lt;"&amp;($C$7+1))*INDEX(Setup!$E$25:$E$84,AC38))</f>
        <v/>
      </c>
      <c r="D38" s="36">
        <f>IF(B38="","",SUMIFS(Payments!$Q$6:$Q$1205,Payments!$I$6:$I$1205,"Income",Payments!$E$6:$E$1205,B38,Payments!$P$6:$P$1205,"&gt;="&amp;$C$6,Payments!$P$6:$P$1205,"&lt;="&amp;$C$7)+SUMIFS('Manual Log'!$E$6:$E$1005,'Manual Log'!$C$6:$C$1005,"Income",'Manual Log'!$D$6:$D$1005,B38,'Manual Log'!$B$6:$B$1005,"&gt;="&amp;$C$6,'Manual Log'!$B$6:$B$1005,"&lt;="&amp;$C$7))</f>
        <v/>
      </c>
      <c r="E38" s="36">
        <f>IF(B38="","",D38-C38)</f>
        <v/>
      </c>
      <c r="F38" s="1" t="n"/>
      <c r="G38" s="35">
        <f>IF(AD38="","",INDEX(Setup!$D$25:$D$84,AD38))</f>
        <v/>
      </c>
      <c r="H38" s="36">
        <f>IF(AD38="","",COUNTIFS(INDEX(Calc!$B$2:$BB$61,AD38,0),"&gt;="&amp;$C$6,INDEX(Calc!$B$2:$BB$61,AD38,0),"&lt;"&amp;($C$7+1))*INDEX(Setup!$E$25:$E$84,AD38))</f>
        <v/>
      </c>
      <c r="I38" s="36">
        <f>IF(G38="","",SUMIFS(Payments!$Q$6:$Q$1205,Payments!$I$6:$I$1205,"Savings",Payments!$E$6:$E$1205,G38,Payments!$P$6:$P$1205,"&gt;="&amp;$C$6,Payments!$P$6:$P$1205,"&lt;="&amp;$C$7)+SUMIFS('Manual Log'!$E$6:$E$1005,'Manual Log'!$C$6:$C$1005,"Savings",'Manual Log'!$D$6:$D$1005,G38,'Manual Log'!$B$6:$B$1005,"&gt;="&amp;$C$6,'Manual Log'!$B$6:$B$1005,"&lt;="&amp;$C$7))</f>
        <v/>
      </c>
      <c r="J38" s="36">
        <f>IF(G38="","",I38-H38)</f>
        <v/>
      </c>
      <c r="K38" s="1" t="n"/>
      <c r="L38" s="35">
        <f>IF(AE38="","",INDEX(Setup!$D$25:$D$84,AE38))</f>
        <v/>
      </c>
      <c r="M38" s="36">
        <f>IF(AE38="","",COUNTIFS(INDEX(Calc!$B$2:$BB$61,AE38,0),"&gt;="&amp;$C$6,INDEX(Calc!$B$2:$BB$61,AE38,0),"&lt;"&amp;($C$7+1))*INDEX(Setup!$E$25:$E$84,AE38))</f>
        <v/>
      </c>
      <c r="N38" s="36">
        <f>IF(L38="","",SUMIFS(Payments!$Q$6:$Q$1205,Payments!$I$6:$I$1205,"Bills",Payments!$E$6:$E$1205,L38,Payments!$P$6:$P$1205,"&gt;="&amp;$C$6,Payments!$P$6:$P$1205,"&lt;="&amp;$C$7)+SUMIFS('Manual Log'!$E$6:$E$1005,'Manual Log'!$C$6:$C$1005,"Bills",'Manual Log'!$D$6:$D$1005,L38,'Manual Log'!$B$6:$B$1005,"&gt;="&amp;$C$6,'Manual Log'!$B$6:$B$1005,"&lt;="&amp;$C$7))</f>
        <v/>
      </c>
      <c r="O38" s="36">
        <f>IF(L38="","",M38-N38)</f>
        <v/>
      </c>
      <c r="P38" s="1" t="n"/>
      <c r="Q38" s="35">
        <f>IF(AF38="","",INDEX(Setup!$D$25:$D$84,AF38))</f>
        <v/>
      </c>
      <c r="R38" s="36">
        <f>IF(AF38="","",COUNTIFS(INDEX(Calc!$B$2:$BB$61,AF38,0),"&gt;="&amp;$C$6,INDEX(Calc!$B$2:$BB$61,AF38,0),"&lt;"&amp;($C$7+1))*INDEX(Setup!$E$25:$E$84,AF38))</f>
        <v/>
      </c>
      <c r="S38" s="36">
        <f>IF(Q38="","",SUMIFS(Payments!$Q$6:$Q$1205,Payments!$I$6:$I$1205,"Debt",Payments!$E$6:$E$1205,Q38,Payments!$P$6:$P$1205,"&gt;="&amp;$C$6,Payments!$P$6:$P$1205,"&lt;="&amp;$C$7)+SUMIFS('Manual Log'!$E$6:$E$1005,'Manual Log'!$C$6:$C$1005,"Debt",'Manual Log'!$D$6:$D$1005,Q38,'Manual Log'!$B$6:$B$1005,"&gt;="&amp;$C$6,'Manual Log'!$B$6:$B$1005,"&lt;="&amp;$C$7))</f>
        <v/>
      </c>
      <c r="T38" s="36">
        <f>IF(Q38="","",R38-S38)</f>
        <v/>
      </c>
      <c r="U38" s="1" t="n"/>
      <c r="V38" s="1">
        <f>IF($C$6+7*$V$29&gt;$C$7,"",$C$6+7*$V$29)</f>
        <v/>
      </c>
      <c r="W38" s="1">
        <f>IF(V38="","",SUMIFS(Payments!$Q$6:$Q$1205,Payments!$I$6:$I$1205,"&lt;&gt;Income",Payments!$I$6:$I$1205,"&lt;&gt;Savings",Payments!$P$6:$P$1205,"&gt;="&amp;V38,Payments!$P$6:$P$1205,"&lt;"&amp;(V38+$V$29),Payments!$P$6:$P$1205,"&lt;="&amp;$C$7)+SUMIFS('Manual Log'!$E$6:$E$1005,'Manual Log'!$C$6:$C$1005,"&lt;&gt;Income",'Manual Log'!$C$6:$C$1005,"&lt;&gt;Savings",'Manual Log'!$C$6:$C$1005,"&lt;&gt;Transfer",'Manual Log'!$B$6:$B$1005,"&gt;="&amp;V38,'Manual Log'!$B$6:$B$1005,"&lt;"&amp;(V38+$V$29),'Manual Log'!$B$6:$B$1005,"&lt;="&amp;$C$7))</f>
        <v/>
      </c>
      <c r="X38" s="1">
        <f>IF(V38="","",TEXT(V38,"ddd d mmm"))</f>
        <v/>
      </c>
      <c r="Y38" s="1">
        <f>L38</f>
        <v/>
      </c>
      <c r="Z38" s="1">
        <f>N38</f>
        <v/>
      </c>
      <c r="AA38" s="1">
        <f>IF(OR(Y38="",N(Z38)&lt;=0),"",Z38+ROW()/1000000)</f>
        <v/>
      </c>
      <c r="AB38" s="1" t="n"/>
      <c r="AC38" s="1">
        <f>IFERROR(MATCH("Income|8",Setup!$L$25:$L$84,0),"")</f>
        <v/>
      </c>
      <c r="AD38" s="1">
        <f>IFERROR(MATCH("Savings|8",Setup!$L$25:$L$84,0),"")</f>
        <v/>
      </c>
      <c r="AE38" s="1">
        <f>IFERROR(MATCH("Bills|8",Setup!$L$25:$L$84,0),"")</f>
        <v/>
      </c>
      <c r="AF38">
        <f>IFERROR(MATCH("Debt|8",Setup!$L$25:$L$84,0),"")</f>
        <v/>
      </c>
    </row>
    <row r="39">
      <c r="A39" s="1" t="n"/>
      <c r="B39" s="35">
        <f>IF(AC39="","",INDEX(Setup!$D$25:$D$84,AC39))</f>
        <v/>
      </c>
      <c r="C39" s="36">
        <f>IF(AC39="","",COUNTIFS(INDEX(Calc!$B$2:$BB$61,AC39,0),"&gt;="&amp;$C$6,INDEX(Calc!$B$2:$BB$61,AC39,0),"&lt;"&amp;($C$7+1))*INDEX(Setup!$E$25:$E$84,AC39))</f>
        <v/>
      </c>
      <c r="D39" s="36">
        <f>IF(B39="","",SUMIFS(Payments!$Q$6:$Q$1205,Payments!$I$6:$I$1205,"Income",Payments!$E$6:$E$1205,B39,Payments!$P$6:$P$1205,"&gt;="&amp;$C$6,Payments!$P$6:$P$1205,"&lt;="&amp;$C$7)+SUMIFS('Manual Log'!$E$6:$E$1005,'Manual Log'!$C$6:$C$1005,"Income",'Manual Log'!$D$6:$D$1005,B39,'Manual Log'!$B$6:$B$1005,"&gt;="&amp;$C$6,'Manual Log'!$B$6:$B$1005,"&lt;="&amp;$C$7))</f>
        <v/>
      </c>
      <c r="E39" s="36">
        <f>IF(B39="","",D39-C39)</f>
        <v/>
      </c>
      <c r="F39" s="1" t="n"/>
      <c r="G39" s="35">
        <f>IF(AD39="","",INDEX(Setup!$D$25:$D$84,AD39))</f>
        <v/>
      </c>
      <c r="H39" s="36">
        <f>IF(AD39="","",COUNTIFS(INDEX(Calc!$B$2:$BB$61,AD39,0),"&gt;="&amp;$C$6,INDEX(Calc!$B$2:$BB$61,AD39,0),"&lt;"&amp;($C$7+1))*INDEX(Setup!$E$25:$E$84,AD39))</f>
        <v/>
      </c>
      <c r="I39" s="36">
        <f>IF(G39="","",SUMIFS(Payments!$Q$6:$Q$1205,Payments!$I$6:$I$1205,"Savings",Payments!$E$6:$E$1205,G39,Payments!$P$6:$P$1205,"&gt;="&amp;$C$6,Payments!$P$6:$P$1205,"&lt;="&amp;$C$7)+SUMIFS('Manual Log'!$E$6:$E$1005,'Manual Log'!$C$6:$C$1005,"Savings",'Manual Log'!$D$6:$D$1005,G39,'Manual Log'!$B$6:$B$1005,"&gt;="&amp;$C$6,'Manual Log'!$B$6:$B$1005,"&lt;="&amp;$C$7))</f>
        <v/>
      </c>
      <c r="J39" s="36">
        <f>IF(G39="","",I39-H39)</f>
        <v/>
      </c>
      <c r="K39" s="1" t="n"/>
      <c r="L39" s="35">
        <f>IF(AE39="","",INDEX(Setup!$D$25:$D$84,AE39))</f>
        <v/>
      </c>
      <c r="M39" s="36">
        <f>IF(AE39="","",COUNTIFS(INDEX(Calc!$B$2:$BB$61,AE39,0),"&gt;="&amp;$C$6,INDEX(Calc!$B$2:$BB$61,AE39,0),"&lt;"&amp;($C$7+1))*INDEX(Setup!$E$25:$E$84,AE39))</f>
        <v/>
      </c>
      <c r="N39" s="36">
        <f>IF(L39="","",SUMIFS(Payments!$Q$6:$Q$1205,Payments!$I$6:$I$1205,"Bills",Payments!$E$6:$E$1205,L39,Payments!$P$6:$P$1205,"&gt;="&amp;$C$6,Payments!$P$6:$P$1205,"&lt;="&amp;$C$7)+SUMIFS('Manual Log'!$E$6:$E$1005,'Manual Log'!$C$6:$C$1005,"Bills",'Manual Log'!$D$6:$D$1005,L39,'Manual Log'!$B$6:$B$1005,"&gt;="&amp;$C$6,'Manual Log'!$B$6:$B$1005,"&lt;="&amp;$C$7))</f>
        <v/>
      </c>
      <c r="O39" s="36">
        <f>IF(L39="","",M39-N39)</f>
        <v/>
      </c>
      <c r="P39" s="1" t="n"/>
      <c r="Q39" s="35">
        <f>IF(AF39="","",INDEX(Setup!$D$25:$D$84,AF39))</f>
        <v/>
      </c>
      <c r="R39" s="36">
        <f>IF(AF39="","",COUNTIFS(INDEX(Calc!$B$2:$BB$61,AF39,0),"&gt;="&amp;$C$6,INDEX(Calc!$B$2:$BB$61,AF39,0),"&lt;"&amp;($C$7+1))*INDEX(Setup!$E$25:$E$84,AF39))</f>
        <v/>
      </c>
      <c r="S39" s="36">
        <f>IF(Q39="","",SUMIFS(Payments!$Q$6:$Q$1205,Payments!$I$6:$I$1205,"Debt",Payments!$E$6:$E$1205,Q39,Payments!$P$6:$P$1205,"&gt;="&amp;$C$6,Payments!$P$6:$P$1205,"&lt;="&amp;$C$7)+SUMIFS('Manual Log'!$E$6:$E$1005,'Manual Log'!$C$6:$C$1005,"Debt",'Manual Log'!$D$6:$D$1005,Q39,'Manual Log'!$B$6:$B$1005,"&gt;="&amp;$C$6,'Manual Log'!$B$6:$B$1005,"&lt;="&amp;$C$7))</f>
        <v/>
      </c>
      <c r="T39" s="36">
        <f>IF(Q39="","",R39-S39)</f>
        <v/>
      </c>
      <c r="U39" s="1" t="n"/>
      <c r="V39" s="1">
        <f>IF($C$6+8*$V$29&gt;$C$7,"",$C$6+8*$V$29)</f>
        <v/>
      </c>
      <c r="W39" s="1">
        <f>IF(V39="","",SUMIFS(Payments!$Q$6:$Q$1205,Payments!$I$6:$I$1205,"&lt;&gt;Income",Payments!$I$6:$I$1205,"&lt;&gt;Savings",Payments!$P$6:$P$1205,"&gt;="&amp;V39,Payments!$P$6:$P$1205,"&lt;"&amp;(V39+$V$29),Payments!$P$6:$P$1205,"&lt;="&amp;$C$7)+SUMIFS('Manual Log'!$E$6:$E$1005,'Manual Log'!$C$6:$C$1005,"&lt;&gt;Income",'Manual Log'!$C$6:$C$1005,"&lt;&gt;Savings",'Manual Log'!$C$6:$C$1005,"&lt;&gt;Transfer",'Manual Log'!$B$6:$B$1005,"&gt;="&amp;V39,'Manual Log'!$B$6:$B$1005,"&lt;"&amp;(V39+$V$29),'Manual Log'!$B$6:$B$1005,"&lt;="&amp;$C$7))</f>
        <v/>
      </c>
      <c r="X39" s="1">
        <f>IF(V39="","",TEXT(V39,"ddd d mmm"))</f>
        <v/>
      </c>
      <c r="Y39" s="1">
        <f>L39</f>
        <v/>
      </c>
      <c r="Z39" s="1">
        <f>N39</f>
        <v/>
      </c>
      <c r="AA39" s="1">
        <f>IF(OR(Y39="",N(Z39)&lt;=0),"",Z39+ROW()/1000000)</f>
        <v/>
      </c>
      <c r="AB39" s="1" t="n"/>
      <c r="AC39" s="1">
        <f>IFERROR(MATCH("Income|9",Setup!$L$25:$L$84,0),"")</f>
        <v/>
      </c>
      <c r="AD39" s="1">
        <f>IFERROR(MATCH("Savings|9",Setup!$L$25:$L$84,0),"")</f>
        <v/>
      </c>
      <c r="AE39" s="1">
        <f>IFERROR(MATCH("Bills|9",Setup!$L$25:$L$84,0),"")</f>
        <v/>
      </c>
      <c r="AF39">
        <f>IFERROR(MATCH("Debt|9",Setup!$L$25:$L$84,0),"")</f>
        <v/>
      </c>
    </row>
    <row r="40">
      <c r="A40" s="1" t="n"/>
      <c r="B40" s="35">
        <f>IF(AC40="","",INDEX(Setup!$D$25:$D$84,AC40))</f>
        <v/>
      </c>
      <c r="C40" s="36">
        <f>IF(AC40="","",COUNTIFS(INDEX(Calc!$B$2:$BB$61,AC40,0),"&gt;="&amp;$C$6,INDEX(Calc!$B$2:$BB$61,AC40,0),"&lt;"&amp;($C$7+1))*INDEX(Setup!$E$25:$E$84,AC40))</f>
        <v/>
      </c>
      <c r="D40" s="36">
        <f>IF(B40="","",SUMIFS(Payments!$Q$6:$Q$1205,Payments!$I$6:$I$1205,"Income",Payments!$E$6:$E$1205,B40,Payments!$P$6:$P$1205,"&gt;="&amp;$C$6,Payments!$P$6:$P$1205,"&lt;="&amp;$C$7)+SUMIFS('Manual Log'!$E$6:$E$1005,'Manual Log'!$C$6:$C$1005,"Income",'Manual Log'!$D$6:$D$1005,B40,'Manual Log'!$B$6:$B$1005,"&gt;="&amp;$C$6,'Manual Log'!$B$6:$B$1005,"&lt;="&amp;$C$7))</f>
        <v/>
      </c>
      <c r="E40" s="36">
        <f>IF(B40="","",D40-C40)</f>
        <v/>
      </c>
      <c r="F40" s="1" t="n"/>
      <c r="G40" s="35">
        <f>IF(AD40="","",INDEX(Setup!$D$25:$D$84,AD40))</f>
        <v/>
      </c>
      <c r="H40" s="36">
        <f>IF(AD40="","",COUNTIFS(INDEX(Calc!$B$2:$BB$61,AD40,0),"&gt;="&amp;$C$6,INDEX(Calc!$B$2:$BB$61,AD40,0),"&lt;"&amp;($C$7+1))*INDEX(Setup!$E$25:$E$84,AD40))</f>
        <v/>
      </c>
      <c r="I40" s="36">
        <f>IF(G40="","",SUMIFS(Payments!$Q$6:$Q$1205,Payments!$I$6:$I$1205,"Savings",Payments!$E$6:$E$1205,G40,Payments!$P$6:$P$1205,"&gt;="&amp;$C$6,Payments!$P$6:$P$1205,"&lt;="&amp;$C$7)+SUMIFS('Manual Log'!$E$6:$E$1005,'Manual Log'!$C$6:$C$1005,"Savings",'Manual Log'!$D$6:$D$1005,G40,'Manual Log'!$B$6:$B$1005,"&gt;="&amp;$C$6,'Manual Log'!$B$6:$B$1005,"&lt;="&amp;$C$7))</f>
        <v/>
      </c>
      <c r="J40" s="36">
        <f>IF(G40="","",I40-H40)</f>
        <v/>
      </c>
      <c r="K40" s="1" t="n"/>
      <c r="L40" s="35">
        <f>IF(AE40="","",INDEX(Setup!$D$25:$D$84,AE40))</f>
        <v/>
      </c>
      <c r="M40" s="36">
        <f>IF(AE40="","",COUNTIFS(INDEX(Calc!$B$2:$BB$61,AE40,0),"&gt;="&amp;$C$6,INDEX(Calc!$B$2:$BB$61,AE40,0),"&lt;"&amp;($C$7+1))*INDEX(Setup!$E$25:$E$84,AE40))</f>
        <v/>
      </c>
      <c r="N40" s="36">
        <f>IF(L40="","",SUMIFS(Payments!$Q$6:$Q$1205,Payments!$I$6:$I$1205,"Bills",Payments!$E$6:$E$1205,L40,Payments!$P$6:$P$1205,"&gt;="&amp;$C$6,Payments!$P$6:$P$1205,"&lt;="&amp;$C$7)+SUMIFS('Manual Log'!$E$6:$E$1005,'Manual Log'!$C$6:$C$1005,"Bills",'Manual Log'!$D$6:$D$1005,L40,'Manual Log'!$B$6:$B$1005,"&gt;="&amp;$C$6,'Manual Log'!$B$6:$B$1005,"&lt;="&amp;$C$7))</f>
        <v/>
      </c>
      <c r="O40" s="36">
        <f>IF(L40="","",M40-N40)</f>
        <v/>
      </c>
      <c r="P40" s="1" t="n"/>
      <c r="Q40" s="35">
        <f>IF(AF40="","",INDEX(Setup!$D$25:$D$84,AF40))</f>
        <v/>
      </c>
      <c r="R40" s="36">
        <f>IF(AF40="","",COUNTIFS(INDEX(Calc!$B$2:$BB$61,AF40,0),"&gt;="&amp;$C$6,INDEX(Calc!$B$2:$BB$61,AF40,0),"&lt;"&amp;($C$7+1))*INDEX(Setup!$E$25:$E$84,AF40))</f>
        <v/>
      </c>
      <c r="S40" s="36">
        <f>IF(Q40="","",SUMIFS(Payments!$Q$6:$Q$1205,Payments!$I$6:$I$1205,"Debt",Payments!$E$6:$E$1205,Q40,Payments!$P$6:$P$1205,"&gt;="&amp;$C$6,Payments!$P$6:$P$1205,"&lt;="&amp;$C$7)+SUMIFS('Manual Log'!$E$6:$E$1005,'Manual Log'!$C$6:$C$1005,"Debt",'Manual Log'!$D$6:$D$1005,Q40,'Manual Log'!$B$6:$B$1005,"&gt;="&amp;$C$6,'Manual Log'!$B$6:$B$1005,"&lt;="&amp;$C$7))</f>
        <v/>
      </c>
      <c r="T40" s="36">
        <f>IF(Q40="","",R40-S40)</f>
        <v/>
      </c>
      <c r="U40" s="1" t="n"/>
      <c r="V40" s="1">
        <f>IF($C$6+9*$V$29&gt;$C$7,"",$C$6+9*$V$29)</f>
        <v/>
      </c>
      <c r="W40" s="1">
        <f>IF(V40="","",SUMIFS(Payments!$Q$6:$Q$1205,Payments!$I$6:$I$1205,"&lt;&gt;Income",Payments!$I$6:$I$1205,"&lt;&gt;Savings",Payments!$P$6:$P$1205,"&gt;="&amp;V40,Payments!$P$6:$P$1205,"&lt;"&amp;(V40+$V$29),Payments!$P$6:$P$1205,"&lt;="&amp;$C$7)+SUMIFS('Manual Log'!$E$6:$E$1005,'Manual Log'!$C$6:$C$1005,"&lt;&gt;Income",'Manual Log'!$C$6:$C$1005,"&lt;&gt;Savings",'Manual Log'!$C$6:$C$1005,"&lt;&gt;Transfer",'Manual Log'!$B$6:$B$1005,"&gt;="&amp;V40,'Manual Log'!$B$6:$B$1005,"&lt;"&amp;(V40+$V$29),'Manual Log'!$B$6:$B$1005,"&lt;="&amp;$C$7))</f>
        <v/>
      </c>
      <c r="X40" s="1">
        <f>IF(V40="","",TEXT(V40,"ddd d mmm"))</f>
        <v/>
      </c>
      <c r="Y40" s="1">
        <f>L40</f>
        <v/>
      </c>
      <c r="Z40" s="1">
        <f>N40</f>
        <v/>
      </c>
      <c r="AA40" s="1">
        <f>IF(OR(Y40="",N(Z40)&lt;=0),"",Z40+ROW()/1000000)</f>
        <v/>
      </c>
      <c r="AB40" s="1" t="n"/>
      <c r="AC40" s="1">
        <f>IFERROR(MATCH("Income|10",Setup!$L$25:$L$84,0),"")</f>
        <v/>
      </c>
      <c r="AD40" s="1">
        <f>IFERROR(MATCH("Savings|10",Setup!$L$25:$L$84,0),"")</f>
        <v/>
      </c>
      <c r="AE40" s="1">
        <f>IFERROR(MATCH("Bills|10",Setup!$L$25:$L$84,0),"")</f>
        <v/>
      </c>
      <c r="AF40">
        <f>IFERROR(MATCH("Debt|10",Setup!$L$25:$L$84,0),"")</f>
        <v/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35">
        <f>IF(AE41="","",INDEX(Setup!$D$25:$D$84,AE41))</f>
        <v/>
      </c>
      <c r="M41" s="36">
        <f>IF(AE41="","",COUNTIFS(INDEX(Calc!$B$2:$BB$61,AE41,0),"&gt;="&amp;$C$6,INDEX(Calc!$B$2:$BB$61,AE41,0),"&lt;"&amp;($C$7+1))*INDEX(Setup!$E$25:$E$84,AE41))</f>
        <v/>
      </c>
      <c r="N41" s="36">
        <f>IF(L41="","",SUMIFS(Payments!$Q$6:$Q$1205,Payments!$I$6:$I$1205,"Bills",Payments!$E$6:$E$1205,L41,Payments!$P$6:$P$1205,"&gt;="&amp;$C$6,Payments!$P$6:$P$1205,"&lt;="&amp;$C$7)+SUMIFS('Manual Log'!$E$6:$E$1005,'Manual Log'!$C$6:$C$1005,"Bills",'Manual Log'!$D$6:$D$1005,L41,'Manual Log'!$B$6:$B$1005,"&gt;="&amp;$C$6,'Manual Log'!$B$6:$B$1005,"&lt;="&amp;$C$7))</f>
        <v/>
      </c>
      <c r="O41" s="36">
        <f>IF(L41="","",M41-N41)</f>
        <v/>
      </c>
      <c r="P41" s="1" t="n"/>
      <c r="Q41" s="1" t="n"/>
      <c r="R41" s="1" t="n"/>
      <c r="S41" s="1" t="n"/>
      <c r="T41" s="1" t="n"/>
      <c r="U41" s="1" t="n"/>
      <c r="V41" s="1">
        <f>IF($C$6+10*$V$29&gt;$C$7,"",$C$6+10*$V$29)</f>
        <v/>
      </c>
      <c r="W41" s="1">
        <f>IF(V41="","",SUMIFS(Payments!$Q$6:$Q$1205,Payments!$I$6:$I$1205,"&lt;&gt;Income",Payments!$I$6:$I$1205,"&lt;&gt;Savings",Payments!$P$6:$P$1205,"&gt;="&amp;V41,Payments!$P$6:$P$1205,"&lt;"&amp;(V41+$V$29),Payments!$P$6:$P$1205,"&lt;="&amp;$C$7)+SUMIFS('Manual Log'!$E$6:$E$1005,'Manual Log'!$C$6:$C$1005,"&lt;&gt;Income",'Manual Log'!$C$6:$C$1005,"&lt;&gt;Savings",'Manual Log'!$C$6:$C$1005,"&lt;&gt;Transfer",'Manual Log'!$B$6:$B$1005,"&gt;="&amp;V41,'Manual Log'!$B$6:$B$1005,"&lt;"&amp;(V41+$V$29),'Manual Log'!$B$6:$B$1005,"&lt;="&amp;$C$7))</f>
        <v/>
      </c>
      <c r="X41" s="1">
        <f>IF(V41="","",TEXT(V41,"ddd d mmm"))</f>
        <v/>
      </c>
      <c r="Y41" s="1">
        <f>L41</f>
        <v/>
      </c>
      <c r="Z41" s="1">
        <f>N41</f>
        <v/>
      </c>
      <c r="AA41" s="1">
        <f>IF(OR(Y41="",N(Z41)&lt;=0),"",Z41+ROW()/1000000)</f>
        <v/>
      </c>
      <c r="AB41" s="1" t="n"/>
      <c r="AC41" s="1" t="n"/>
      <c r="AD41" s="1" t="n"/>
      <c r="AE41" s="1">
        <f>IFERROR(MATCH("Bills|11",Setup!$L$25:$L$84,0),"")</f>
        <v/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35">
        <f>IF(AE42="","",INDEX(Setup!$D$25:$D$84,AE42))</f>
        <v/>
      </c>
      <c r="M42" s="36">
        <f>IF(AE42="","",COUNTIFS(INDEX(Calc!$B$2:$BB$61,AE42,0),"&gt;="&amp;$C$6,INDEX(Calc!$B$2:$BB$61,AE42,0),"&lt;"&amp;($C$7+1))*INDEX(Setup!$E$25:$E$84,AE42))</f>
        <v/>
      </c>
      <c r="N42" s="36">
        <f>IF(L42="","",SUMIFS(Payments!$Q$6:$Q$1205,Payments!$I$6:$I$1205,"Bills",Payments!$E$6:$E$1205,L42,Payments!$P$6:$P$1205,"&gt;="&amp;$C$6,Payments!$P$6:$P$1205,"&lt;="&amp;$C$7)+SUMIFS('Manual Log'!$E$6:$E$1005,'Manual Log'!$C$6:$C$1005,"Bills",'Manual Log'!$D$6:$D$1005,L42,'Manual Log'!$B$6:$B$1005,"&gt;="&amp;$C$6,'Manual Log'!$B$6:$B$1005,"&lt;="&amp;$C$7))</f>
        <v/>
      </c>
      <c r="O42" s="36">
        <f>IF(L42="","",M42-N42)</f>
        <v/>
      </c>
      <c r="P42" s="1" t="n"/>
      <c r="Q42" s="1" t="n"/>
      <c r="R42" s="1" t="n"/>
      <c r="S42" s="1" t="n"/>
      <c r="T42" s="1" t="n"/>
      <c r="U42" s="1" t="n"/>
      <c r="V42" s="1">
        <f>IF($C$6+11*$V$29&gt;$C$7,"",$C$6+11*$V$29)</f>
        <v/>
      </c>
      <c r="W42" s="1">
        <f>IF(V42="","",SUMIFS(Payments!$Q$6:$Q$1205,Payments!$I$6:$I$1205,"&lt;&gt;Income",Payments!$I$6:$I$1205,"&lt;&gt;Savings",Payments!$P$6:$P$1205,"&gt;="&amp;V42,Payments!$P$6:$P$1205,"&lt;"&amp;(V42+$V$29),Payments!$P$6:$P$1205,"&lt;="&amp;$C$7)+SUMIFS('Manual Log'!$E$6:$E$1005,'Manual Log'!$C$6:$C$1005,"&lt;&gt;Income",'Manual Log'!$C$6:$C$1005,"&lt;&gt;Savings",'Manual Log'!$C$6:$C$1005,"&lt;&gt;Transfer",'Manual Log'!$B$6:$B$1005,"&gt;="&amp;V42,'Manual Log'!$B$6:$B$1005,"&lt;"&amp;(V42+$V$29),'Manual Log'!$B$6:$B$1005,"&lt;="&amp;$C$7))</f>
        <v/>
      </c>
      <c r="X42" s="1">
        <f>IF(V42="","",TEXT(V42,"ddd d mmm"))</f>
        <v/>
      </c>
      <c r="Y42" s="1">
        <f>L42</f>
        <v/>
      </c>
      <c r="Z42" s="1">
        <f>N42</f>
        <v/>
      </c>
      <c r="AA42" s="1">
        <f>IF(OR(Y42="",N(Z42)&lt;=0),"",Z42+ROW()/1000000)</f>
        <v/>
      </c>
      <c r="AB42" s="1" t="n"/>
      <c r="AC42" s="1" t="n"/>
      <c r="AD42" s="1" t="n"/>
      <c r="AE42" s="1">
        <f>IFERROR(MATCH("Bills|12",Setup!$L$25:$L$84,0),"")</f>
        <v/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35">
        <f>IF(AE43="","",INDEX(Setup!$D$25:$D$84,AE43))</f>
        <v/>
      </c>
      <c r="M43" s="36">
        <f>IF(AE43="","",COUNTIFS(INDEX(Calc!$B$2:$BB$61,AE43,0),"&gt;="&amp;$C$6,INDEX(Calc!$B$2:$BB$61,AE43,0),"&lt;"&amp;($C$7+1))*INDEX(Setup!$E$25:$E$84,AE43))</f>
        <v/>
      </c>
      <c r="N43" s="36">
        <f>IF(L43="","",SUMIFS(Payments!$Q$6:$Q$1205,Payments!$I$6:$I$1205,"Bills",Payments!$E$6:$E$1205,L43,Payments!$P$6:$P$1205,"&gt;="&amp;$C$6,Payments!$P$6:$P$1205,"&lt;="&amp;$C$7)+SUMIFS('Manual Log'!$E$6:$E$1005,'Manual Log'!$C$6:$C$1005,"Bills",'Manual Log'!$D$6:$D$1005,L43,'Manual Log'!$B$6:$B$1005,"&gt;="&amp;$C$6,'Manual Log'!$B$6:$B$1005,"&lt;="&amp;$C$7))</f>
        <v/>
      </c>
      <c r="O43" s="36">
        <f>IF(L43="","",M43-N43)</f>
        <v/>
      </c>
      <c r="P43" s="1" t="n"/>
      <c r="Q43" s="1" t="n"/>
      <c r="R43" s="1" t="n"/>
      <c r="S43" s="1" t="n"/>
      <c r="T43" s="1" t="n"/>
      <c r="U43" s="1" t="n"/>
      <c r="V43" s="1">
        <f>IF($C$6+12*$V$29&gt;$C$7,"",$C$6+12*$V$29)</f>
        <v/>
      </c>
      <c r="W43" s="1">
        <f>IF(V43="","",SUMIFS(Payments!$Q$6:$Q$1205,Payments!$I$6:$I$1205,"&lt;&gt;Income",Payments!$I$6:$I$1205,"&lt;&gt;Savings",Payments!$P$6:$P$1205,"&gt;="&amp;V43,Payments!$P$6:$P$1205,"&lt;"&amp;(V43+$V$29),Payments!$P$6:$P$1205,"&lt;="&amp;$C$7)+SUMIFS('Manual Log'!$E$6:$E$1005,'Manual Log'!$C$6:$C$1005,"&lt;&gt;Income",'Manual Log'!$C$6:$C$1005,"&lt;&gt;Savings",'Manual Log'!$C$6:$C$1005,"&lt;&gt;Transfer",'Manual Log'!$B$6:$B$1005,"&gt;="&amp;V43,'Manual Log'!$B$6:$B$1005,"&lt;"&amp;(V43+$V$29),'Manual Log'!$B$6:$B$1005,"&lt;="&amp;$C$7))</f>
        <v/>
      </c>
      <c r="X43" s="1">
        <f>IF(V43="","",TEXT(V43,"ddd d mmm"))</f>
        <v/>
      </c>
      <c r="Y43" s="1">
        <f>L43</f>
        <v/>
      </c>
      <c r="Z43" s="1">
        <f>N43</f>
        <v/>
      </c>
      <c r="AA43" s="1">
        <f>IF(OR(Y43="",N(Z43)&lt;=0),"",Z43+ROW()/1000000)</f>
        <v/>
      </c>
      <c r="AB43" s="1" t="n"/>
      <c r="AC43" s="1" t="n"/>
      <c r="AD43" s="1" t="n"/>
      <c r="AE43" s="1">
        <f>IFERROR(MATCH("Bills|13",Setup!$L$25:$L$84,0),"")</f>
        <v/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35">
        <f>IF(AE44="","",INDEX(Setup!$D$25:$D$84,AE44))</f>
        <v/>
      </c>
      <c r="M44" s="36">
        <f>IF(AE44="","",COUNTIFS(INDEX(Calc!$B$2:$BB$61,AE44,0),"&gt;="&amp;$C$6,INDEX(Calc!$B$2:$BB$61,AE44,0),"&lt;"&amp;($C$7+1))*INDEX(Setup!$E$25:$E$84,AE44))</f>
        <v/>
      </c>
      <c r="N44" s="36">
        <f>IF(L44="","",SUMIFS(Payments!$Q$6:$Q$1205,Payments!$I$6:$I$1205,"Bills",Payments!$E$6:$E$1205,L44,Payments!$P$6:$P$1205,"&gt;="&amp;$C$6,Payments!$P$6:$P$1205,"&lt;="&amp;$C$7)+SUMIFS('Manual Log'!$E$6:$E$1005,'Manual Log'!$C$6:$C$1005,"Bills",'Manual Log'!$D$6:$D$1005,L44,'Manual Log'!$B$6:$B$1005,"&gt;="&amp;$C$6,'Manual Log'!$B$6:$B$1005,"&lt;="&amp;$C$7))</f>
        <v/>
      </c>
      <c r="O44" s="36">
        <f>IF(L44="","",M44-N44)</f>
        <v/>
      </c>
      <c r="P44" s="1" t="n"/>
      <c r="Q44" s="1" t="n"/>
      <c r="R44" s="1" t="n"/>
      <c r="S44" s="1" t="n"/>
      <c r="T44" s="1" t="n"/>
      <c r="U44" s="1" t="n"/>
      <c r="V44" s="1">
        <f>IF($C$6+13*$V$29&gt;$C$7,"",$C$6+13*$V$29)</f>
        <v/>
      </c>
      <c r="W44" s="1">
        <f>IF(V44="","",SUMIFS(Payments!$Q$6:$Q$1205,Payments!$I$6:$I$1205,"&lt;&gt;Income",Payments!$I$6:$I$1205,"&lt;&gt;Savings",Payments!$P$6:$P$1205,"&gt;="&amp;V44,Payments!$P$6:$P$1205,"&lt;"&amp;(V44+$V$29),Payments!$P$6:$P$1205,"&lt;="&amp;$C$7)+SUMIFS('Manual Log'!$E$6:$E$1005,'Manual Log'!$C$6:$C$1005,"&lt;&gt;Income",'Manual Log'!$C$6:$C$1005,"&lt;&gt;Savings",'Manual Log'!$C$6:$C$1005,"&lt;&gt;Transfer",'Manual Log'!$B$6:$B$1005,"&gt;="&amp;V44,'Manual Log'!$B$6:$B$1005,"&lt;"&amp;(V44+$V$29),'Manual Log'!$B$6:$B$1005,"&lt;="&amp;$C$7))</f>
        <v/>
      </c>
      <c r="X44" s="1">
        <f>IF(V44="","",TEXT(V44,"ddd d mmm"))</f>
        <v/>
      </c>
      <c r="Y44" s="1">
        <f>L44</f>
        <v/>
      </c>
      <c r="Z44" s="1">
        <f>N44</f>
        <v/>
      </c>
      <c r="AA44" s="1">
        <f>IF(OR(Y44="",N(Z44)&lt;=0),"",Z44+ROW()/1000000)</f>
        <v/>
      </c>
      <c r="AB44" s="1" t="n"/>
      <c r="AC44" s="1" t="n"/>
      <c r="AD44" s="1" t="n"/>
      <c r="AE44" s="1">
        <f>IFERROR(MATCH("Bills|14",Setup!$L$25:$L$84,0),"")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35">
        <f>IF(AE45="","",INDEX(Setup!$D$25:$D$84,AE45))</f>
        <v/>
      </c>
      <c r="M45" s="36">
        <f>IF(AE45="","",COUNTIFS(INDEX(Calc!$B$2:$BB$61,AE45,0),"&gt;="&amp;$C$6,INDEX(Calc!$B$2:$BB$61,AE45,0),"&lt;"&amp;($C$7+1))*INDEX(Setup!$E$25:$E$84,AE45))</f>
        <v/>
      </c>
      <c r="N45" s="36">
        <f>IF(L45="","",SUMIFS(Payments!$Q$6:$Q$1205,Payments!$I$6:$I$1205,"Bills",Payments!$E$6:$E$1205,L45,Payments!$P$6:$P$1205,"&gt;="&amp;$C$6,Payments!$P$6:$P$1205,"&lt;="&amp;$C$7)+SUMIFS('Manual Log'!$E$6:$E$1005,'Manual Log'!$C$6:$C$1005,"Bills",'Manual Log'!$D$6:$D$1005,L45,'Manual Log'!$B$6:$B$1005,"&gt;="&amp;$C$6,'Manual Log'!$B$6:$B$1005,"&lt;="&amp;$C$7))</f>
        <v/>
      </c>
      <c r="O45" s="36">
        <f>IF(L45="","",M45-N45)</f>
        <v/>
      </c>
      <c r="P45" s="1" t="n"/>
      <c r="Q45" s="1" t="n"/>
      <c r="R45" s="1" t="n"/>
      <c r="S45" s="1" t="n"/>
      <c r="T45" s="1" t="n"/>
      <c r="U45" s="1" t="n"/>
      <c r="V45" s="1">
        <f>IF($C$6+14*$V$29&gt;$C$7,"",$C$6+14*$V$29)</f>
        <v/>
      </c>
      <c r="W45" s="1">
        <f>IF(V45="","",SUMIFS(Payments!$Q$6:$Q$1205,Payments!$I$6:$I$1205,"&lt;&gt;Income",Payments!$I$6:$I$1205,"&lt;&gt;Savings",Payments!$P$6:$P$1205,"&gt;="&amp;V45,Payments!$P$6:$P$1205,"&lt;"&amp;(V45+$V$29),Payments!$P$6:$P$1205,"&lt;="&amp;$C$7)+SUMIFS('Manual Log'!$E$6:$E$1005,'Manual Log'!$C$6:$C$1005,"&lt;&gt;Income",'Manual Log'!$C$6:$C$1005,"&lt;&gt;Savings",'Manual Log'!$C$6:$C$1005,"&lt;&gt;Transfer",'Manual Log'!$B$6:$B$1005,"&gt;="&amp;V45,'Manual Log'!$B$6:$B$1005,"&lt;"&amp;(V45+$V$29),'Manual Log'!$B$6:$B$1005,"&lt;="&amp;$C$7))</f>
        <v/>
      </c>
      <c r="X45" s="1">
        <f>IF(V45="","",TEXT(V45,"ddd d mmm"))</f>
        <v/>
      </c>
      <c r="Y45" s="1">
        <f>L45</f>
        <v/>
      </c>
      <c r="Z45" s="1">
        <f>N45</f>
        <v/>
      </c>
      <c r="AA45" s="1">
        <f>IF(OR(Y45="",N(Z45)&lt;=0),"",Z45+ROW()/1000000)</f>
        <v/>
      </c>
      <c r="AB45" s="1" t="n"/>
      <c r="AC45" s="1" t="n"/>
      <c r="AD45" s="1" t="n"/>
      <c r="AE45" s="1">
        <f>IFERROR(MATCH("Bills|15",Setup!$L$25:$L$84,0),"")</f>
        <v/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>
        <f>IF($C$6+15*$V$29&gt;$C$7,"",$C$6+15*$V$29)</f>
        <v/>
      </c>
      <c r="W46" s="1">
        <f>IF(V46="","",SUMIFS(Payments!$Q$6:$Q$1205,Payments!$I$6:$I$1205,"&lt;&gt;Income",Payments!$I$6:$I$1205,"&lt;&gt;Savings",Payments!$P$6:$P$1205,"&gt;="&amp;V46,Payments!$P$6:$P$1205,"&lt;"&amp;(V46+$V$29),Payments!$P$6:$P$1205,"&lt;="&amp;$C$7)+SUMIFS('Manual Log'!$E$6:$E$1005,'Manual Log'!$C$6:$C$1005,"&lt;&gt;Income",'Manual Log'!$C$6:$C$1005,"&lt;&gt;Savings",'Manual Log'!$C$6:$C$1005,"&lt;&gt;Transfer",'Manual Log'!$B$6:$B$1005,"&gt;="&amp;V46,'Manual Log'!$B$6:$B$1005,"&lt;"&amp;(V46+$V$29),'Manual Log'!$B$6:$B$1005,"&lt;="&amp;$C$7))</f>
        <v/>
      </c>
      <c r="X46" s="1">
        <f>IF(V46="","",TEXT(V46,"ddd d mmm"))</f>
        <v/>
      </c>
      <c r="Y46" s="1">
        <f>Q31</f>
        <v/>
      </c>
      <c r="Z46" s="1">
        <f>S31</f>
        <v/>
      </c>
      <c r="AA46" s="1">
        <f>IF(OR(Y46="",N(Z46)&lt;=0),"",Z46+ROW()/1000000)</f>
        <v/>
      </c>
      <c r="AB46" s="1" t="n"/>
      <c r="AC46" s="1" t="n"/>
      <c r="AD46" s="1" t="n"/>
      <c r="AE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>
        <f>IF($C$6+16*$V$29&gt;$C$7,"",$C$6+16*$V$29)</f>
        <v/>
      </c>
      <c r="W47" s="1">
        <f>IF(V47="","",SUMIFS(Payments!$Q$6:$Q$1205,Payments!$I$6:$I$1205,"&lt;&gt;Income",Payments!$I$6:$I$1205,"&lt;&gt;Savings",Payments!$P$6:$P$1205,"&gt;="&amp;V47,Payments!$P$6:$P$1205,"&lt;"&amp;(V47+$V$29),Payments!$P$6:$P$1205,"&lt;="&amp;$C$7)+SUMIFS('Manual Log'!$E$6:$E$1005,'Manual Log'!$C$6:$C$1005,"&lt;&gt;Income",'Manual Log'!$C$6:$C$1005,"&lt;&gt;Savings",'Manual Log'!$C$6:$C$1005,"&lt;&gt;Transfer",'Manual Log'!$B$6:$B$1005,"&gt;="&amp;V47,'Manual Log'!$B$6:$B$1005,"&lt;"&amp;(V47+$V$29),'Manual Log'!$B$6:$B$1005,"&lt;="&amp;$C$7))</f>
        <v/>
      </c>
      <c r="X47" s="1">
        <f>IF(V47="","",TEXT(V47,"ddd d mmm"))</f>
        <v/>
      </c>
      <c r="Y47" s="1">
        <f>Q32</f>
        <v/>
      </c>
      <c r="Z47" s="1">
        <f>S32</f>
        <v/>
      </c>
      <c r="AA47" s="1">
        <f>IF(OR(Y47="",N(Z47)&lt;=0),"",Z47+ROW()/1000000)</f>
        <v/>
      </c>
      <c r="AB47" s="1" t="n"/>
      <c r="AC47" s="1" t="n"/>
      <c r="AD47" s="1" t="n"/>
      <c r="AE47" s="1" t="n"/>
    </row>
    <row r="48">
      <c r="A48" s="1" t="n"/>
      <c r="B48" s="89" t="inlineStr">
        <is>
          <t>SUBSCRIPTIONS</t>
        </is>
      </c>
      <c r="C48" s="90" t="n"/>
      <c r="D48" s="90" t="n"/>
      <c r="E48" s="90" t="n"/>
      <c r="F48" s="1" t="n"/>
      <c r="G48" s="8" t="inlineStr">
        <is>
          <t>VARIABLE EXPENSES</t>
        </is>
      </c>
      <c r="H48" s="9" t="n"/>
      <c r="I48" s="9" t="n"/>
      <c r="J48" s="9" t="n"/>
      <c r="K48" s="1" t="n"/>
      <c r="L48" s="21" t="inlineStr">
        <is>
          <t>HIGHEST TO LOWEST EXPENSES</t>
        </is>
      </c>
      <c r="M48" s="22" t="n"/>
      <c r="N48" s="22" t="n"/>
      <c r="O48" s="22" t="n"/>
      <c r="P48" s="1" t="n"/>
      <c r="Q48" s="8" t="inlineStr">
        <is>
          <t>DAILY SPENDING</t>
        </is>
      </c>
      <c r="R48" s="9" t="n"/>
      <c r="S48" s="9" t="n"/>
      <c r="T48" s="9" t="n"/>
      <c r="U48" s="1" t="n"/>
      <c r="V48" s="1">
        <f>IF($C$6+17*$V$29&gt;$C$7,"",$C$6+17*$V$29)</f>
        <v/>
      </c>
      <c r="W48" s="1">
        <f>IF(V48="","",SUMIFS(Payments!$Q$6:$Q$1205,Payments!$I$6:$I$1205,"&lt;&gt;Income",Payments!$I$6:$I$1205,"&lt;&gt;Savings",Payments!$P$6:$P$1205,"&gt;="&amp;V48,Payments!$P$6:$P$1205,"&lt;"&amp;(V48+$V$29),Payments!$P$6:$P$1205,"&lt;="&amp;$C$7)+SUMIFS('Manual Log'!$E$6:$E$1005,'Manual Log'!$C$6:$C$1005,"&lt;&gt;Income",'Manual Log'!$C$6:$C$1005,"&lt;&gt;Savings",'Manual Log'!$C$6:$C$1005,"&lt;&gt;Transfer",'Manual Log'!$B$6:$B$1005,"&gt;="&amp;V48,'Manual Log'!$B$6:$B$1005,"&lt;"&amp;(V48+$V$29),'Manual Log'!$B$6:$B$1005,"&lt;="&amp;$C$7))</f>
        <v/>
      </c>
      <c r="X48" s="1">
        <f>IF(V48="","",TEXT(V48,"ddd d mmm"))</f>
        <v/>
      </c>
      <c r="Y48" s="1">
        <f>Q33</f>
        <v/>
      </c>
      <c r="Z48" s="1">
        <f>S33</f>
        <v/>
      </c>
      <c r="AA48" s="1">
        <f>IF(OR(Y48="",N(Z48)&lt;=0),"",Z48+ROW()/1000000)</f>
        <v/>
      </c>
      <c r="AB48" s="1" t="n"/>
      <c r="AC48" s="1" t="n"/>
      <c r="AD48" s="1" t="n"/>
      <c r="AE48" s="1" t="n"/>
    </row>
    <row r="49" ht="24" customHeight="1">
      <c r="A49" s="1" t="n"/>
      <c r="B49" s="91">
        <f>D51</f>
        <v/>
      </c>
      <c r="C49" s="50" t="n"/>
      <c r="D49" s="50" t="n"/>
      <c r="E49" s="50" t="n"/>
      <c r="F49" s="1" t="n"/>
      <c r="G49" s="92">
        <f>I51</f>
        <v/>
      </c>
      <c r="H49" s="50" t="n"/>
      <c r="I49" s="50" t="n"/>
      <c r="J49" s="50" t="n"/>
      <c r="K49" s="1" t="n"/>
      <c r="L49" s="85">
        <f>J6</f>
        <v/>
      </c>
      <c r="M49" s="50" t="n"/>
      <c r="N49" s="50" t="n"/>
      <c r="O49" s="50" t="n"/>
      <c r="P49" s="1" t="n"/>
      <c r="Q49" s="1" t="n"/>
      <c r="R49" s="1" t="n"/>
      <c r="S49" s="1" t="n"/>
      <c r="T49" s="1" t="n"/>
      <c r="U49" s="1" t="n"/>
      <c r="V49" s="1">
        <f>IF($C$6+18*$V$29&gt;$C$7,"",$C$6+18*$V$29)</f>
        <v/>
      </c>
      <c r="W49" s="1">
        <f>IF(V49="","",SUMIFS(Payments!$Q$6:$Q$1205,Payments!$I$6:$I$1205,"&lt;&gt;Income",Payments!$I$6:$I$1205,"&lt;&gt;Savings",Payments!$P$6:$P$1205,"&gt;="&amp;V49,Payments!$P$6:$P$1205,"&lt;"&amp;(V49+$V$29),Payments!$P$6:$P$1205,"&lt;="&amp;$C$7)+SUMIFS('Manual Log'!$E$6:$E$1005,'Manual Log'!$C$6:$C$1005,"&lt;&gt;Income",'Manual Log'!$C$6:$C$1005,"&lt;&gt;Savings",'Manual Log'!$C$6:$C$1005,"&lt;&gt;Transfer",'Manual Log'!$B$6:$B$1005,"&gt;="&amp;V49,'Manual Log'!$B$6:$B$1005,"&lt;"&amp;(V49+$V$29),'Manual Log'!$B$6:$B$1005,"&lt;="&amp;$C$7))</f>
        <v/>
      </c>
      <c r="X49" s="1">
        <f>IF(V49="","",TEXT(V49,"ddd d mmm"))</f>
        <v/>
      </c>
      <c r="Y49" s="1">
        <f>Q34</f>
        <v/>
      </c>
      <c r="Z49" s="1">
        <f>S34</f>
        <v/>
      </c>
      <c r="AA49" s="1">
        <f>IF(OR(Y49="",N(Z49)&lt;=0),"",Z49+ROW()/1000000)</f>
        <v/>
      </c>
      <c r="AB49" s="1" t="n"/>
      <c r="AC49" s="1" t="n"/>
      <c r="AD49" s="1" t="n"/>
      <c r="AE49" s="1" t="n"/>
    </row>
    <row r="50">
      <c r="A50" s="1" t="n"/>
      <c r="B50" s="75" t="inlineStr">
        <is>
          <t>SUB-CATEGORY</t>
        </is>
      </c>
      <c r="C50" s="54" t="inlineStr">
        <is>
          <t>BUDGET</t>
        </is>
      </c>
      <c r="D50" s="54" t="inlineStr">
        <is>
          <t>ACTUAL</t>
        </is>
      </c>
      <c r="E50" s="54" t="inlineStr">
        <is>
          <t>REMAINING</t>
        </is>
      </c>
      <c r="F50" s="1" t="n"/>
      <c r="G50" s="75" t="inlineStr">
        <is>
          <t>SUB-CATEGORY</t>
        </is>
      </c>
      <c r="H50" s="54" t="inlineStr">
        <is>
          <t>BUDGET</t>
        </is>
      </c>
      <c r="I50" s="54" t="inlineStr">
        <is>
          <t>ACTUAL</t>
        </is>
      </c>
      <c r="J50" s="54" t="inlineStr">
        <is>
          <t>REMAINING</t>
        </is>
      </c>
      <c r="K50" s="1" t="n"/>
      <c r="L50" s="75" t="inlineStr">
        <is>
          <t>CATEGORY</t>
        </is>
      </c>
      <c r="M50" s="54" t="inlineStr">
        <is>
          <t>AMOUNT</t>
        </is>
      </c>
      <c r="N50" s="54" t="inlineStr">
        <is>
          <t>% OF TOTAL</t>
        </is>
      </c>
      <c r="O50" s="54" t="inlineStr"/>
      <c r="P50" s="1" t="n"/>
      <c r="Q50" s="1" t="n"/>
      <c r="R50" s="1" t="n"/>
      <c r="S50" s="1" t="n"/>
      <c r="T50" s="1" t="n"/>
      <c r="U50" s="1" t="n"/>
      <c r="V50" s="1">
        <f>IF($C$6+19*$V$29&gt;$C$7,"",$C$6+19*$V$29)</f>
        <v/>
      </c>
      <c r="W50" s="1">
        <f>IF(V50="","",SUMIFS(Payments!$Q$6:$Q$1205,Payments!$I$6:$I$1205,"&lt;&gt;Income",Payments!$I$6:$I$1205,"&lt;&gt;Savings",Payments!$P$6:$P$1205,"&gt;="&amp;V50,Payments!$P$6:$P$1205,"&lt;"&amp;(V50+$V$29),Payments!$P$6:$P$1205,"&lt;="&amp;$C$7)+SUMIFS('Manual Log'!$E$6:$E$1005,'Manual Log'!$C$6:$C$1005,"&lt;&gt;Income",'Manual Log'!$C$6:$C$1005,"&lt;&gt;Savings",'Manual Log'!$C$6:$C$1005,"&lt;&gt;Transfer",'Manual Log'!$B$6:$B$1005,"&gt;="&amp;V50,'Manual Log'!$B$6:$B$1005,"&lt;"&amp;(V50+$V$29),'Manual Log'!$B$6:$B$1005,"&lt;="&amp;$C$7))</f>
        <v/>
      </c>
      <c r="X50" s="1">
        <f>IF(V50="","",TEXT(V50,"ddd d mmm"))</f>
        <v/>
      </c>
      <c r="Y50" s="1">
        <f>Q35</f>
        <v/>
      </c>
      <c r="Z50" s="1">
        <f>S35</f>
        <v/>
      </c>
      <c r="AA50" s="1">
        <f>IF(OR(Y50="",N(Z50)&lt;=0),"",Z50+ROW()/1000000)</f>
        <v/>
      </c>
      <c r="AB50" s="1" t="n"/>
      <c r="AC50" s="1" t="n"/>
      <c r="AD50" s="1" t="n"/>
      <c r="AE50" s="1" t="n"/>
    </row>
    <row r="51">
      <c r="A51" s="1" t="n"/>
      <c r="B51" s="87" t="inlineStr">
        <is>
          <t>TOTAL</t>
        </is>
      </c>
      <c r="C51" s="88">
        <f>SUM(C52:C61)</f>
        <v/>
      </c>
      <c r="D51" s="88">
        <f>SUM(D52:D61)</f>
        <v/>
      </c>
      <c r="E51" s="88">
        <f>SUM(E52:E61)</f>
        <v/>
      </c>
      <c r="F51" s="1" t="n"/>
      <c r="G51" s="87" t="inlineStr">
        <is>
          <t>TOTAL</t>
        </is>
      </c>
      <c r="H51" s="88">
        <f>SUM(H52:H66)</f>
        <v/>
      </c>
      <c r="I51" s="88">
        <f>SUM(I52:I66)</f>
        <v/>
      </c>
      <c r="J51" s="88">
        <f>SUM(J52:J66)</f>
        <v/>
      </c>
      <c r="K51" s="1" t="n"/>
      <c r="L51" s="35">
        <f>IFERROR(INDEX($Y$31:$Y$80,MATCH(LARGE($AA$31:$AA$80,1),$AA$31:$AA$80,0)),"")</f>
        <v/>
      </c>
      <c r="M51" s="36">
        <f>IFERROR(INDEX($Z$31:$Z$80,MATCH(LARGE($AA$31:$AA$80,1),$AA$31:$AA$80,0)),"")</f>
        <v/>
      </c>
      <c r="N51" s="93">
        <f>IFERROR(M51/$J$6,"")</f>
        <v/>
      </c>
      <c r="O51" s="50" t="n"/>
      <c r="P51" s="1" t="n"/>
      <c r="Q51" s="1" t="n"/>
      <c r="R51" s="1" t="n"/>
      <c r="S51" s="1" t="n"/>
      <c r="T51" s="1" t="n"/>
      <c r="U51" s="1" t="n"/>
      <c r="V51" s="1">
        <f>IF($C$6+20*$V$29&gt;$C$7,"",$C$6+20*$V$29)</f>
        <v/>
      </c>
      <c r="W51" s="1">
        <f>IF(V51="","",SUMIFS(Payments!$Q$6:$Q$1205,Payments!$I$6:$I$1205,"&lt;&gt;Income",Payments!$I$6:$I$1205,"&lt;&gt;Savings",Payments!$P$6:$P$1205,"&gt;="&amp;V51,Payments!$P$6:$P$1205,"&lt;"&amp;(V51+$V$29),Payments!$P$6:$P$1205,"&lt;="&amp;$C$7)+SUMIFS('Manual Log'!$E$6:$E$1005,'Manual Log'!$C$6:$C$1005,"&lt;&gt;Income",'Manual Log'!$C$6:$C$1005,"&lt;&gt;Savings",'Manual Log'!$C$6:$C$1005,"&lt;&gt;Transfer",'Manual Log'!$B$6:$B$1005,"&gt;="&amp;V51,'Manual Log'!$B$6:$B$1005,"&lt;"&amp;(V51+$V$29),'Manual Log'!$B$6:$B$1005,"&lt;="&amp;$C$7))</f>
        <v/>
      </c>
      <c r="X51" s="1">
        <f>IF(V51="","",TEXT(V51,"ddd d mmm"))</f>
        <v/>
      </c>
      <c r="Y51" s="1">
        <f>Q36</f>
        <v/>
      </c>
      <c r="Z51" s="1">
        <f>S36</f>
        <v/>
      </c>
      <c r="AA51" s="1">
        <f>IF(OR(Y51="",N(Z51)&lt;=0),"",Z51+ROW()/1000000)</f>
        <v/>
      </c>
      <c r="AB51" s="1" t="n"/>
      <c r="AC51" s="1" t="n"/>
      <c r="AD51" s="1" t="n"/>
      <c r="AE51" s="1" t="n"/>
    </row>
    <row r="52">
      <c r="A52" s="1" t="n"/>
      <c r="B52" s="35">
        <f>IF(AG52="","",INDEX(Setup!$D$25:$D$84,AG52))</f>
        <v/>
      </c>
      <c r="C52" s="36">
        <f>IF(AG52="","",COUNTIFS(INDEX(Calc!$B$2:$BB$61,AG52,0),"&gt;="&amp;$C$6,INDEX(Calc!$B$2:$BB$61,AG52,0),"&lt;"&amp;($C$7+1))*INDEX(Setup!$E$25:$E$84,AG52))</f>
        <v/>
      </c>
      <c r="D52" s="36">
        <f>IF(B52="","",SUMIFS(Payments!$Q$6:$Q$1205,Payments!$I$6:$I$1205,"Subscriptions",Payments!$E$6:$E$1205,B52,Payments!$P$6:$P$1205,"&gt;="&amp;$C$6,Payments!$P$6:$P$1205,"&lt;="&amp;$C$7)+SUMIFS('Manual Log'!$E$6:$E$1005,'Manual Log'!$C$6:$C$1005,"Subscriptions",'Manual Log'!$D$6:$D$1005,B52,'Manual Log'!$B$6:$B$1005,"&gt;="&amp;$C$6,'Manual Log'!$B$6:$B$1005,"&lt;="&amp;$C$7))</f>
        <v/>
      </c>
      <c r="E52" s="36">
        <f>IF(B52="","",C52-D52)</f>
        <v/>
      </c>
      <c r="F52" s="1" t="n"/>
      <c r="G52" s="35">
        <f>IF(Setup!$I$6="","",Setup!$I$6)</f>
        <v/>
      </c>
      <c r="H52" s="36">
        <f>IF(G52="","",Setup!$J$6)</f>
        <v/>
      </c>
      <c r="I52" s="36">
        <f>IF(G52="","",SUMIFS(Payments!$Q$6:$Q$1205,Payments!$I$6:$I$1205,"Variable Exp",Payments!$E$6:$E$1205,G52,Payments!$P$6:$P$1205,"&gt;="&amp;$C$6,Payments!$P$6:$P$1205,"&lt;="&amp;$C$7)+SUMIFS('Manual Log'!$E$6:$E$1005,'Manual Log'!$C$6:$C$1005,"Variable Exp",'Manual Log'!$D$6:$D$1005,G52,'Manual Log'!$B$6:$B$1005,"&gt;="&amp;$C$6,'Manual Log'!$B$6:$B$1005,"&lt;="&amp;$C$7))</f>
        <v/>
      </c>
      <c r="J52" s="36">
        <f>IF(G52="","",H52-I52)</f>
        <v/>
      </c>
      <c r="K52" s="1" t="n"/>
      <c r="L52" s="35">
        <f>IFERROR(INDEX($Y$31:$Y$80,MATCH(LARGE($AA$31:$AA$80,2),$AA$31:$AA$80,0)),"")</f>
        <v/>
      </c>
      <c r="M52" s="36">
        <f>IFERROR(INDEX($Z$31:$Z$80,MATCH(LARGE($AA$31:$AA$80,2),$AA$31:$AA$80,0)),"")</f>
        <v/>
      </c>
      <c r="N52" s="93">
        <f>IFERROR(M52/$J$6,"")</f>
        <v/>
      </c>
      <c r="O52" s="50" t="n"/>
      <c r="P52" s="1" t="n"/>
      <c r="Q52" s="1" t="n"/>
      <c r="R52" s="1" t="n"/>
      <c r="S52" s="1" t="n"/>
      <c r="T52" s="1" t="n"/>
      <c r="U52" s="1" t="n"/>
      <c r="V52" s="1">
        <f>IF($C$6+21*$V$29&gt;$C$7,"",$C$6+21*$V$29)</f>
        <v/>
      </c>
      <c r="W52" s="1">
        <f>IF(V52="","",SUMIFS(Payments!$Q$6:$Q$1205,Payments!$I$6:$I$1205,"&lt;&gt;Income",Payments!$I$6:$I$1205,"&lt;&gt;Savings",Payments!$P$6:$P$1205,"&gt;="&amp;V52,Payments!$P$6:$P$1205,"&lt;"&amp;(V52+$V$29),Payments!$P$6:$P$1205,"&lt;="&amp;$C$7)+SUMIFS('Manual Log'!$E$6:$E$1005,'Manual Log'!$C$6:$C$1005,"&lt;&gt;Income",'Manual Log'!$C$6:$C$1005,"&lt;&gt;Savings",'Manual Log'!$C$6:$C$1005,"&lt;&gt;Transfer",'Manual Log'!$B$6:$B$1005,"&gt;="&amp;V52,'Manual Log'!$B$6:$B$1005,"&lt;"&amp;(V52+$V$29),'Manual Log'!$B$6:$B$1005,"&lt;="&amp;$C$7))</f>
        <v/>
      </c>
      <c r="X52" s="1">
        <f>IF(V52="","",TEXT(V52,"ddd d mmm"))</f>
        <v/>
      </c>
      <c r="Y52" s="1">
        <f>Q37</f>
        <v/>
      </c>
      <c r="Z52" s="1">
        <f>S37</f>
        <v/>
      </c>
      <c r="AA52" s="1">
        <f>IF(OR(Y52="",N(Z52)&lt;=0),"",Z52+ROW()/1000000)</f>
        <v/>
      </c>
      <c r="AB52" s="1" t="n"/>
      <c r="AC52" s="1" t="n"/>
      <c r="AD52" s="1" t="n"/>
      <c r="AE52" s="1" t="n"/>
      <c r="AG52">
        <f>IFERROR(MATCH("Subscriptions|1",Setup!$L$25:$L$84,0),"")</f>
        <v/>
      </c>
    </row>
    <row r="53">
      <c r="A53" s="1" t="n"/>
      <c r="B53" s="35">
        <f>IF(AG53="","",INDEX(Setup!$D$25:$D$84,AG53))</f>
        <v/>
      </c>
      <c r="C53" s="36">
        <f>IF(AG53="","",COUNTIFS(INDEX(Calc!$B$2:$BB$61,AG53,0),"&gt;="&amp;$C$6,INDEX(Calc!$B$2:$BB$61,AG53,0),"&lt;"&amp;($C$7+1))*INDEX(Setup!$E$25:$E$84,AG53))</f>
        <v/>
      </c>
      <c r="D53" s="36">
        <f>IF(B53="","",SUMIFS(Payments!$Q$6:$Q$1205,Payments!$I$6:$I$1205,"Subscriptions",Payments!$E$6:$E$1205,B53,Payments!$P$6:$P$1205,"&gt;="&amp;$C$6,Payments!$P$6:$P$1205,"&lt;="&amp;$C$7)+SUMIFS('Manual Log'!$E$6:$E$1005,'Manual Log'!$C$6:$C$1005,"Subscriptions",'Manual Log'!$D$6:$D$1005,B53,'Manual Log'!$B$6:$B$1005,"&gt;="&amp;$C$6,'Manual Log'!$B$6:$B$1005,"&lt;="&amp;$C$7))</f>
        <v/>
      </c>
      <c r="E53" s="36">
        <f>IF(B53="","",C53-D53)</f>
        <v/>
      </c>
      <c r="F53" s="1" t="n"/>
      <c r="G53" s="35">
        <f>IF(Setup!$I$7="","",Setup!$I$7)</f>
        <v/>
      </c>
      <c r="H53" s="36">
        <f>IF(G53="","",Setup!$J$7)</f>
        <v/>
      </c>
      <c r="I53" s="36">
        <f>IF(G53="","",SUMIFS(Payments!$Q$6:$Q$1205,Payments!$I$6:$I$1205,"Variable Exp",Payments!$E$6:$E$1205,G53,Payments!$P$6:$P$1205,"&gt;="&amp;$C$6,Payments!$P$6:$P$1205,"&lt;="&amp;$C$7)+SUMIFS('Manual Log'!$E$6:$E$1005,'Manual Log'!$C$6:$C$1005,"Variable Exp",'Manual Log'!$D$6:$D$1005,G53,'Manual Log'!$B$6:$B$1005,"&gt;="&amp;$C$6,'Manual Log'!$B$6:$B$1005,"&lt;="&amp;$C$7))</f>
        <v/>
      </c>
      <c r="J53" s="36">
        <f>IF(G53="","",H53-I53)</f>
        <v/>
      </c>
      <c r="K53" s="1" t="n"/>
      <c r="L53" s="35">
        <f>IFERROR(INDEX($Y$31:$Y$80,MATCH(LARGE($AA$31:$AA$80,3),$AA$31:$AA$80,0)),"")</f>
        <v/>
      </c>
      <c r="M53" s="36">
        <f>IFERROR(INDEX($Z$31:$Z$80,MATCH(LARGE($AA$31:$AA$80,3),$AA$31:$AA$80,0)),"")</f>
        <v/>
      </c>
      <c r="N53" s="93">
        <f>IFERROR(M53/$J$6,"")</f>
        <v/>
      </c>
      <c r="O53" s="50" t="n"/>
      <c r="P53" s="1" t="n"/>
      <c r="Q53" s="1" t="n"/>
      <c r="R53" s="1" t="n"/>
      <c r="S53" s="1" t="n"/>
      <c r="T53" s="1" t="n"/>
      <c r="U53" s="1" t="n"/>
      <c r="V53" s="1">
        <f>IF($C$6+22*$V$29&gt;$C$7,"",$C$6+22*$V$29)</f>
        <v/>
      </c>
      <c r="W53" s="1">
        <f>IF(V53="","",SUMIFS(Payments!$Q$6:$Q$1205,Payments!$I$6:$I$1205,"&lt;&gt;Income",Payments!$I$6:$I$1205,"&lt;&gt;Savings",Payments!$P$6:$P$1205,"&gt;="&amp;V53,Payments!$P$6:$P$1205,"&lt;"&amp;(V53+$V$29),Payments!$P$6:$P$1205,"&lt;="&amp;$C$7)+SUMIFS('Manual Log'!$E$6:$E$1005,'Manual Log'!$C$6:$C$1005,"&lt;&gt;Income",'Manual Log'!$C$6:$C$1005,"&lt;&gt;Savings",'Manual Log'!$C$6:$C$1005,"&lt;&gt;Transfer",'Manual Log'!$B$6:$B$1005,"&gt;="&amp;V53,'Manual Log'!$B$6:$B$1005,"&lt;"&amp;(V53+$V$29),'Manual Log'!$B$6:$B$1005,"&lt;="&amp;$C$7))</f>
        <v/>
      </c>
      <c r="X53" s="1">
        <f>IF(V53="","",TEXT(V53,"ddd d mmm"))</f>
        <v/>
      </c>
      <c r="Y53" s="1">
        <f>Q38</f>
        <v/>
      </c>
      <c r="Z53" s="1">
        <f>S38</f>
        <v/>
      </c>
      <c r="AA53" s="1">
        <f>IF(OR(Y53="",N(Z53)&lt;=0),"",Z53+ROW()/1000000)</f>
        <v/>
      </c>
      <c r="AB53" s="1" t="n"/>
      <c r="AC53" s="1" t="n"/>
      <c r="AD53" s="1" t="n"/>
      <c r="AE53" s="1" t="n"/>
      <c r="AG53">
        <f>IFERROR(MATCH("Subscriptions|2",Setup!$L$25:$L$84,0),"")</f>
        <v/>
      </c>
    </row>
    <row r="54">
      <c r="A54" s="1" t="n"/>
      <c r="B54" s="35">
        <f>IF(AG54="","",INDEX(Setup!$D$25:$D$84,AG54))</f>
        <v/>
      </c>
      <c r="C54" s="36">
        <f>IF(AG54="","",COUNTIFS(INDEX(Calc!$B$2:$BB$61,AG54,0),"&gt;="&amp;$C$6,INDEX(Calc!$B$2:$BB$61,AG54,0),"&lt;"&amp;($C$7+1))*INDEX(Setup!$E$25:$E$84,AG54))</f>
        <v/>
      </c>
      <c r="D54" s="36">
        <f>IF(B54="","",SUMIFS(Payments!$Q$6:$Q$1205,Payments!$I$6:$I$1205,"Subscriptions",Payments!$E$6:$E$1205,B54,Payments!$P$6:$P$1205,"&gt;="&amp;$C$6,Payments!$P$6:$P$1205,"&lt;="&amp;$C$7)+SUMIFS('Manual Log'!$E$6:$E$1005,'Manual Log'!$C$6:$C$1005,"Subscriptions",'Manual Log'!$D$6:$D$1005,B54,'Manual Log'!$B$6:$B$1005,"&gt;="&amp;$C$6,'Manual Log'!$B$6:$B$1005,"&lt;="&amp;$C$7))</f>
        <v/>
      </c>
      <c r="E54" s="36">
        <f>IF(B54="","",C54-D54)</f>
        <v/>
      </c>
      <c r="F54" s="1" t="n"/>
      <c r="G54" s="35">
        <f>IF(Setup!$I$8="","",Setup!$I$8)</f>
        <v/>
      </c>
      <c r="H54" s="36">
        <f>IF(G54="","",Setup!$J$8)</f>
        <v/>
      </c>
      <c r="I54" s="36">
        <f>IF(G54="","",SUMIFS(Payments!$Q$6:$Q$1205,Payments!$I$6:$I$1205,"Variable Exp",Payments!$E$6:$E$1205,G54,Payments!$P$6:$P$1205,"&gt;="&amp;$C$6,Payments!$P$6:$P$1205,"&lt;="&amp;$C$7)+SUMIFS('Manual Log'!$E$6:$E$1005,'Manual Log'!$C$6:$C$1005,"Variable Exp",'Manual Log'!$D$6:$D$1005,G54,'Manual Log'!$B$6:$B$1005,"&gt;="&amp;$C$6,'Manual Log'!$B$6:$B$1005,"&lt;="&amp;$C$7))</f>
        <v/>
      </c>
      <c r="J54" s="36">
        <f>IF(G54="","",H54-I54)</f>
        <v/>
      </c>
      <c r="K54" s="1" t="n"/>
      <c r="L54" s="35">
        <f>IFERROR(INDEX($Y$31:$Y$80,MATCH(LARGE($AA$31:$AA$80,4),$AA$31:$AA$80,0)),"")</f>
        <v/>
      </c>
      <c r="M54" s="36">
        <f>IFERROR(INDEX($Z$31:$Z$80,MATCH(LARGE($AA$31:$AA$80,4),$AA$31:$AA$80,0)),"")</f>
        <v/>
      </c>
      <c r="N54" s="93">
        <f>IFERROR(M54/$J$6,"")</f>
        <v/>
      </c>
      <c r="O54" s="50" t="n"/>
      <c r="P54" s="1" t="n"/>
      <c r="Q54" s="1" t="n"/>
      <c r="R54" s="1" t="n"/>
      <c r="S54" s="1" t="n"/>
      <c r="T54" s="1" t="n"/>
      <c r="U54" s="1" t="n"/>
      <c r="V54" s="1">
        <f>IF($C$6+23*$V$29&gt;$C$7,"",$C$6+23*$V$29)</f>
        <v/>
      </c>
      <c r="W54" s="1">
        <f>IF(V54="","",SUMIFS(Payments!$Q$6:$Q$1205,Payments!$I$6:$I$1205,"&lt;&gt;Income",Payments!$I$6:$I$1205,"&lt;&gt;Savings",Payments!$P$6:$P$1205,"&gt;="&amp;V54,Payments!$P$6:$P$1205,"&lt;"&amp;(V54+$V$29),Payments!$P$6:$P$1205,"&lt;="&amp;$C$7)+SUMIFS('Manual Log'!$E$6:$E$1005,'Manual Log'!$C$6:$C$1005,"&lt;&gt;Income",'Manual Log'!$C$6:$C$1005,"&lt;&gt;Savings",'Manual Log'!$C$6:$C$1005,"&lt;&gt;Transfer",'Manual Log'!$B$6:$B$1005,"&gt;="&amp;V54,'Manual Log'!$B$6:$B$1005,"&lt;"&amp;(V54+$V$29),'Manual Log'!$B$6:$B$1005,"&lt;="&amp;$C$7))</f>
        <v/>
      </c>
      <c r="X54" s="1">
        <f>IF(V54="","",TEXT(V54,"ddd d mmm"))</f>
        <v/>
      </c>
      <c r="Y54" s="1">
        <f>Q39</f>
        <v/>
      </c>
      <c r="Z54" s="1">
        <f>S39</f>
        <v/>
      </c>
      <c r="AA54" s="1">
        <f>IF(OR(Y54="",N(Z54)&lt;=0),"",Z54+ROW()/1000000)</f>
        <v/>
      </c>
      <c r="AB54" s="1" t="n"/>
      <c r="AC54" s="1" t="n"/>
      <c r="AD54" s="1" t="n"/>
      <c r="AE54" s="1" t="n"/>
      <c r="AG54">
        <f>IFERROR(MATCH("Subscriptions|3",Setup!$L$25:$L$84,0),"")</f>
        <v/>
      </c>
    </row>
    <row r="55">
      <c r="A55" s="1" t="n"/>
      <c r="B55" s="35">
        <f>IF(AG55="","",INDEX(Setup!$D$25:$D$84,AG55))</f>
        <v/>
      </c>
      <c r="C55" s="36">
        <f>IF(AG55="","",COUNTIFS(INDEX(Calc!$B$2:$BB$61,AG55,0),"&gt;="&amp;$C$6,INDEX(Calc!$B$2:$BB$61,AG55,0),"&lt;"&amp;($C$7+1))*INDEX(Setup!$E$25:$E$84,AG55))</f>
        <v/>
      </c>
      <c r="D55" s="36">
        <f>IF(B55="","",SUMIFS(Payments!$Q$6:$Q$1205,Payments!$I$6:$I$1205,"Subscriptions",Payments!$E$6:$E$1205,B55,Payments!$P$6:$P$1205,"&gt;="&amp;$C$6,Payments!$P$6:$P$1205,"&lt;="&amp;$C$7)+SUMIFS('Manual Log'!$E$6:$E$1005,'Manual Log'!$C$6:$C$1005,"Subscriptions",'Manual Log'!$D$6:$D$1005,B55,'Manual Log'!$B$6:$B$1005,"&gt;="&amp;$C$6,'Manual Log'!$B$6:$B$1005,"&lt;="&amp;$C$7))</f>
        <v/>
      </c>
      <c r="E55" s="36">
        <f>IF(B55="","",C55-D55)</f>
        <v/>
      </c>
      <c r="F55" s="1" t="n"/>
      <c r="G55" s="35">
        <f>IF(Setup!$I$9="","",Setup!$I$9)</f>
        <v/>
      </c>
      <c r="H55" s="36">
        <f>IF(G55="","",Setup!$J$9)</f>
        <v/>
      </c>
      <c r="I55" s="36">
        <f>IF(G55="","",SUMIFS(Payments!$Q$6:$Q$1205,Payments!$I$6:$I$1205,"Variable Exp",Payments!$E$6:$E$1205,G55,Payments!$P$6:$P$1205,"&gt;="&amp;$C$6,Payments!$P$6:$P$1205,"&lt;="&amp;$C$7)+SUMIFS('Manual Log'!$E$6:$E$1005,'Manual Log'!$C$6:$C$1005,"Variable Exp",'Manual Log'!$D$6:$D$1005,G55,'Manual Log'!$B$6:$B$1005,"&gt;="&amp;$C$6,'Manual Log'!$B$6:$B$1005,"&lt;="&amp;$C$7))</f>
        <v/>
      </c>
      <c r="J55" s="36">
        <f>IF(G55="","",H55-I55)</f>
        <v/>
      </c>
      <c r="K55" s="1" t="n"/>
      <c r="L55" s="35">
        <f>IFERROR(INDEX($Y$31:$Y$80,MATCH(LARGE($AA$31:$AA$80,5),$AA$31:$AA$80,0)),"")</f>
        <v/>
      </c>
      <c r="M55" s="36">
        <f>IFERROR(INDEX($Z$31:$Z$80,MATCH(LARGE($AA$31:$AA$80,5),$AA$31:$AA$80,0)),"")</f>
        <v/>
      </c>
      <c r="N55" s="93">
        <f>IFERROR(M55/$J$6,"")</f>
        <v/>
      </c>
      <c r="O55" s="50" t="n"/>
      <c r="P55" s="1" t="n"/>
      <c r="Q55" s="1" t="n"/>
      <c r="R55" s="1" t="n"/>
      <c r="S55" s="1" t="n"/>
      <c r="T55" s="1" t="n"/>
      <c r="U55" s="1" t="n"/>
      <c r="V55" s="1">
        <f>IF($C$6+24*$V$29&gt;$C$7,"",$C$6+24*$V$29)</f>
        <v/>
      </c>
      <c r="W55" s="1">
        <f>IF(V55="","",SUMIFS(Payments!$Q$6:$Q$1205,Payments!$I$6:$I$1205,"&lt;&gt;Income",Payments!$I$6:$I$1205,"&lt;&gt;Savings",Payments!$P$6:$P$1205,"&gt;="&amp;V55,Payments!$P$6:$P$1205,"&lt;"&amp;(V55+$V$29),Payments!$P$6:$P$1205,"&lt;="&amp;$C$7)+SUMIFS('Manual Log'!$E$6:$E$1005,'Manual Log'!$C$6:$C$1005,"&lt;&gt;Income",'Manual Log'!$C$6:$C$1005,"&lt;&gt;Savings",'Manual Log'!$C$6:$C$1005,"&lt;&gt;Transfer",'Manual Log'!$B$6:$B$1005,"&gt;="&amp;V55,'Manual Log'!$B$6:$B$1005,"&lt;"&amp;(V55+$V$29),'Manual Log'!$B$6:$B$1005,"&lt;="&amp;$C$7))</f>
        <v/>
      </c>
      <c r="X55" s="1">
        <f>IF(V55="","",TEXT(V55,"ddd d mmm"))</f>
        <v/>
      </c>
      <c r="Y55" s="1">
        <f>Q40</f>
        <v/>
      </c>
      <c r="Z55" s="1">
        <f>S40</f>
        <v/>
      </c>
      <c r="AA55" s="1">
        <f>IF(OR(Y55="",N(Z55)&lt;=0),"",Z55+ROW()/1000000)</f>
        <v/>
      </c>
      <c r="AB55" s="1" t="n"/>
      <c r="AC55" s="1" t="n"/>
      <c r="AD55" s="1" t="n"/>
      <c r="AE55" s="1" t="n"/>
      <c r="AG55">
        <f>IFERROR(MATCH("Subscriptions|4",Setup!$L$25:$L$84,0),"")</f>
        <v/>
      </c>
    </row>
    <row r="56">
      <c r="A56" s="1" t="n"/>
      <c r="B56" s="35">
        <f>IF(AG56="","",INDEX(Setup!$D$25:$D$84,AG56))</f>
        <v/>
      </c>
      <c r="C56" s="36">
        <f>IF(AG56="","",COUNTIFS(INDEX(Calc!$B$2:$BB$61,AG56,0),"&gt;="&amp;$C$6,INDEX(Calc!$B$2:$BB$61,AG56,0),"&lt;"&amp;($C$7+1))*INDEX(Setup!$E$25:$E$84,AG56))</f>
        <v/>
      </c>
      <c r="D56" s="36">
        <f>IF(B56="","",SUMIFS(Payments!$Q$6:$Q$1205,Payments!$I$6:$I$1205,"Subscriptions",Payments!$E$6:$E$1205,B56,Payments!$P$6:$P$1205,"&gt;="&amp;$C$6,Payments!$P$6:$P$1205,"&lt;="&amp;$C$7)+SUMIFS('Manual Log'!$E$6:$E$1005,'Manual Log'!$C$6:$C$1005,"Subscriptions",'Manual Log'!$D$6:$D$1005,B56,'Manual Log'!$B$6:$B$1005,"&gt;="&amp;$C$6,'Manual Log'!$B$6:$B$1005,"&lt;="&amp;$C$7))</f>
        <v/>
      </c>
      <c r="E56" s="36">
        <f>IF(B56="","",C56-D56)</f>
        <v/>
      </c>
      <c r="F56" s="1" t="n"/>
      <c r="G56" s="35">
        <f>IF(Setup!$I$10="","",Setup!$I$10)</f>
        <v/>
      </c>
      <c r="H56" s="36">
        <f>IF(G56="","",Setup!$J$10)</f>
        <v/>
      </c>
      <c r="I56" s="36">
        <f>IF(G56="","",SUMIFS(Payments!$Q$6:$Q$1205,Payments!$I$6:$I$1205,"Variable Exp",Payments!$E$6:$E$1205,G56,Payments!$P$6:$P$1205,"&gt;="&amp;$C$6,Payments!$P$6:$P$1205,"&lt;="&amp;$C$7)+SUMIFS('Manual Log'!$E$6:$E$1005,'Manual Log'!$C$6:$C$1005,"Variable Exp",'Manual Log'!$D$6:$D$1005,G56,'Manual Log'!$B$6:$B$1005,"&gt;="&amp;$C$6,'Manual Log'!$B$6:$B$1005,"&lt;="&amp;$C$7))</f>
        <v/>
      </c>
      <c r="J56" s="36">
        <f>IF(G56="","",H56-I56)</f>
        <v/>
      </c>
      <c r="K56" s="1" t="n"/>
      <c r="L56" s="35">
        <f>IFERROR(INDEX($Y$31:$Y$80,MATCH(LARGE($AA$31:$AA$80,6),$AA$31:$AA$80,0)),"")</f>
        <v/>
      </c>
      <c r="M56" s="36">
        <f>IFERROR(INDEX($Z$31:$Z$80,MATCH(LARGE($AA$31:$AA$80,6),$AA$31:$AA$80,0)),"")</f>
        <v/>
      </c>
      <c r="N56" s="93">
        <f>IFERROR(M56/$J$6,"")</f>
        <v/>
      </c>
      <c r="O56" s="50" t="n"/>
      <c r="P56" s="1" t="n"/>
      <c r="Q56" s="1" t="n"/>
      <c r="R56" s="1" t="n"/>
      <c r="S56" s="1" t="n"/>
      <c r="T56" s="1" t="n"/>
      <c r="U56" s="1" t="n"/>
      <c r="V56" s="1">
        <f>IF($C$6+25*$V$29&gt;$C$7,"",$C$6+25*$V$29)</f>
        <v/>
      </c>
      <c r="W56" s="1">
        <f>IF(V56="","",SUMIFS(Payments!$Q$6:$Q$1205,Payments!$I$6:$I$1205,"&lt;&gt;Income",Payments!$I$6:$I$1205,"&lt;&gt;Savings",Payments!$P$6:$P$1205,"&gt;="&amp;V56,Payments!$P$6:$P$1205,"&lt;"&amp;(V56+$V$29),Payments!$P$6:$P$1205,"&lt;="&amp;$C$7)+SUMIFS('Manual Log'!$E$6:$E$1005,'Manual Log'!$C$6:$C$1005,"&lt;&gt;Income",'Manual Log'!$C$6:$C$1005,"&lt;&gt;Savings",'Manual Log'!$C$6:$C$1005,"&lt;&gt;Transfer",'Manual Log'!$B$6:$B$1005,"&gt;="&amp;V56,'Manual Log'!$B$6:$B$1005,"&lt;"&amp;(V56+$V$29),'Manual Log'!$B$6:$B$1005,"&lt;="&amp;$C$7))</f>
        <v/>
      </c>
      <c r="X56" s="1">
        <f>IF(V56="","",TEXT(V56,"ddd d mmm"))</f>
        <v/>
      </c>
      <c r="Y56" s="1">
        <f>B52</f>
        <v/>
      </c>
      <c r="Z56" s="1">
        <f>D52</f>
        <v/>
      </c>
      <c r="AA56" s="1">
        <f>IF(OR(Y56="",N(Z56)&lt;=0),"",Z56+ROW()/1000000)</f>
        <v/>
      </c>
      <c r="AB56" s="1" t="n"/>
      <c r="AC56" s="1" t="n"/>
      <c r="AD56" s="1" t="n"/>
      <c r="AE56" s="1" t="n"/>
      <c r="AG56">
        <f>IFERROR(MATCH("Subscriptions|5",Setup!$L$25:$L$84,0),"")</f>
        <v/>
      </c>
    </row>
    <row r="57">
      <c r="A57" s="1" t="n"/>
      <c r="B57" s="35">
        <f>IF(AG57="","",INDEX(Setup!$D$25:$D$84,AG57))</f>
        <v/>
      </c>
      <c r="C57" s="36">
        <f>IF(AG57="","",COUNTIFS(INDEX(Calc!$B$2:$BB$61,AG57,0),"&gt;="&amp;$C$6,INDEX(Calc!$B$2:$BB$61,AG57,0),"&lt;"&amp;($C$7+1))*INDEX(Setup!$E$25:$E$84,AG57))</f>
        <v/>
      </c>
      <c r="D57" s="36">
        <f>IF(B57="","",SUMIFS(Payments!$Q$6:$Q$1205,Payments!$I$6:$I$1205,"Subscriptions",Payments!$E$6:$E$1205,B57,Payments!$P$6:$P$1205,"&gt;="&amp;$C$6,Payments!$P$6:$P$1205,"&lt;="&amp;$C$7)+SUMIFS('Manual Log'!$E$6:$E$1005,'Manual Log'!$C$6:$C$1005,"Subscriptions",'Manual Log'!$D$6:$D$1005,B57,'Manual Log'!$B$6:$B$1005,"&gt;="&amp;$C$6,'Manual Log'!$B$6:$B$1005,"&lt;="&amp;$C$7))</f>
        <v/>
      </c>
      <c r="E57" s="36">
        <f>IF(B57="","",C57-D57)</f>
        <v/>
      </c>
      <c r="F57" s="1" t="n"/>
      <c r="G57" s="35">
        <f>IF(Setup!$I$11="","",Setup!$I$11)</f>
        <v/>
      </c>
      <c r="H57" s="36">
        <f>IF(G57="","",Setup!$J$11)</f>
        <v/>
      </c>
      <c r="I57" s="36">
        <f>IF(G57="","",SUMIFS(Payments!$Q$6:$Q$1205,Payments!$I$6:$I$1205,"Variable Exp",Payments!$E$6:$E$1205,G57,Payments!$P$6:$P$1205,"&gt;="&amp;$C$6,Payments!$P$6:$P$1205,"&lt;="&amp;$C$7)+SUMIFS('Manual Log'!$E$6:$E$1005,'Manual Log'!$C$6:$C$1005,"Variable Exp",'Manual Log'!$D$6:$D$1005,G57,'Manual Log'!$B$6:$B$1005,"&gt;="&amp;$C$6,'Manual Log'!$B$6:$B$1005,"&lt;="&amp;$C$7))</f>
        <v/>
      </c>
      <c r="J57" s="36">
        <f>IF(G57="","",H57-I57)</f>
        <v/>
      </c>
      <c r="K57" s="1" t="n"/>
      <c r="L57" s="35">
        <f>IFERROR(INDEX($Y$31:$Y$80,MATCH(LARGE($AA$31:$AA$80,7),$AA$31:$AA$80,0)),"")</f>
        <v/>
      </c>
      <c r="M57" s="36">
        <f>IFERROR(INDEX($Z$31:$Z$80,MATCH(LARGE($AA$31:$AA$80,7),$AA$31:$AA$80,0)),"")</f>
        <v/>
      </c>
      <c r="N57" s="93">
        <f>IFERROR(M57/$J$6,"")</f>
        <v/>
      </c>
      <c r="O57" s="50" t="n"/>
      <c r="P57" s="1" t="n"/>
      <c r="Q57" s="1" t="n"/>
      <c r="R57" s="1" t="n"/>
      <c r="S57" s="1" t="n"/>
      <c r="T57" s="1" t="n"/>
      <c r="U57" s="1" t="n"/>
      <c r="V57" s="1">
        <f>IF($C$6+26*$V$29&gt;$C$7,"",$C$6+26*$V$29)</f>
        <v/>
      </c>
      <c r="W57" s="1">
        <f>IF(V57="","",SUMIFS(Payments!$Q$6:$Q$1205,Payments!$I$6:$I$1205,"&lt;&gt;Income",Payments!$I$6:$I$1205,"&lt;&gt;Savings",Payments!$P$6:$P$1205,"&gt;="&amp;V57,Payments!$P$6:$P$1205,"&lt;"&amp;(V57+$V$29),Payments!$P$6:$P$1205,"&lt;="&amp;$C$7)+SUMIFS('Manual Log'!$E$6:$E$1005,'Manual Log'!$C$6:$C$1005,"&lt;&gt;Income",'Manual Log'!$C$6:$C$1005,"&lt;&gt;Savings",'Manual Log'!$C$6:$C$1005,"&lt;&gt;Transfer",'Manual Log'!$B$6:$B$1005,"&gt;="&amp;V57,'Manual Log'!$B$6:$B$1005,"&lt;"&amp;(V57+$V$29),'Manual Log'!$B$6:$B$1005,"&lt;="&amp;$C$7))</f>
        <v/>
      </c>
      <c r="X57" s="1">
        <f>IF(V57="","",TEXT(V57,"ddd d mmm"))</f>
        <v/>
      </c>
      <c r="Y57" s="1">
        <f>B53</f>
        <v/>
      </c>
      <c r="Z57" s="1">
        <f>D53</f>
        <v/>
      </c>
      <c r="AA57" s="1">
        <f>IF(OR(Y57="",N(Z57)&lt;=0),"",Z57+ROW()/1000000)</f>
        <v/>
      </c>
      <c r="AB57" s="1" t="n"/>
      <c r="AC57" s="1" t="n"/>
      <c r="AD57" s="1" t="n"/>
      <c r="AE57" s="1" t="n"/>
      <c r="AG57">
        <f>IFERROR(MATCH("Subscriptions|6",Setup!$L$25:$L$84,0),"")</f>
        <v/>
      </c>
    </row>
    <row r="58">
      <c r="A58" s="1" t="n"/>
      <c r="B58" s="35">
        <f>IF(AG58="","",INDEX(Setup!$D$25:$D$84,AG58))</f>
        <v/>
      </c>
      <c r="C58" s="36">
        <f>IF(AG58="","",COUNTIFS(INDEX(Calc!$B$2:$BB$61,AG58,0),"&gt;="&amp;$C$6,INDEX(Calc!$B$2:$BB$61,AG58,0),"&lt;"&amp;($C$7+1))*INDEX(Setup!$E$25:$E$84,AG58))</f>
        <v/>
      </c>
      <c r="D58" s="36">
        <f>IF(B58="","",SUMIFS(Payments!$Q$6:$Q$1205,Payments!$I$6:$I$1205,"Subscriptions",Payments!$E$6:$E$1205,B58,Payments!$P$6:$P$1205,"&gt;="&amp;$C$6,Payments!$P$6:$P$1205,"&lt;="&amp;$C$7)+SUMIFS('Manual Log'!$E$6:$E$1005,'Manual Log'!$C$6:$C$1005,"Subscriptions",'Manual Log'!$D$6:$D$1005,B58,'Manual Log'!$B$6:$B$1005,"&gt;="&amp;$C$6,'Manual Log'!$B$6:$B$1005,"&lt;="&amp;$C$7))</f>
        <v/>
      </c>
      <c r="E58" s="36">
        <f>IF(B58="","",C58-D58)</f>
        <v/>
      </c>
      <c r="F58" s="1" t="n"/>
      <c r="G58" s="35">
        <f>IF(Setup!$I$12="","",Setup!$I$12)</f>
        <v/>
      </c>
      <c r="H58" s="36">
        <f>IF(G58="","",Setup!$J$12)</f>
        <v/>
      </c>
      <c r="I58" s="36">
        <f>IF(G58="","",SUMIFS(Payments!$Q$6:$Q$1205,Payments!$I$6:$I$1205,"Variable Exp",Payments!$E$6:$E$1205,G58,Payments!$P$6:$P$1205,"&gt;="&amp;$C$6,Payments!$P$6:$P$1205,"&lt;="&amp;$C$7)+SUMIFS('Manual Log'!$E$6:$E$1005,'Manual Log'!$C$6:$C$1005,"Variable Exp",'Manual Log'!$D$6:$D$1005,G58,'Manual Log'!$B$6:$B$1005,"&gt;="&amp;$C$6,'Manual Log'!$B$6:$B$1005,"&lt;="&amp;$C$7))</f>
        <v/>
      </c>
      <c r="J58" s="36">
        <f>IF(G58="","",H58-I58)</f>
        <v/>
      </c>
      <c r="K58" s="1" t="n"/>
      <c r="L58" s="35">
        <f>IFERROR(INDEX($Y$31:$Y$80,MATCH(LARGE($AA$31:$AA$80,8),$AA$31:$AA$80,0)),"")</f>
        <v/>
      </c>
      <c r="M58" s="36">
        <f>IFERROR(INDEX($Z$31:$Z$80,MATCH(LARGE($AA$31:$AA$80,8),$AA$31:$AA$80,0)),"")</f>
        <v/>
      </c>
      <c r="N58" s="93">
        <f>IFERROR(M58/$J$6,"")</f>
        <v/>
      </c>
      <c r="O58" s="50" t="n"/>
      <c r="P58" s="1" t="n"/>
      <c r="Q58" s="1" t="n"/>
      <c r="R58" s="1" t="n"/>
      <c r="S58" s="1" t="n"/>
      <c r="T58" s="1" t="n"/>
      <c r="U58" s="1" t="n"/>
      <c r="V58" s="1">
        <f>IF($C$6+27*$V$29&gt;$C$7,"",$C$6+27*$V$29)</f>
        <v/>
      </c>
      <c r="W58" s="1">
        <f>IF(V58="","",SUMIFS(Payments!$Q$6:$Q$1205,Payments!$I$6:$I$1205,"&lt;&gt;Income",Payments!$I$6:$I$1205,"&lt;&gt;Savings",Payments!$P$6:$P$1205,"&gt;="&amp;V58,Payments!$P$6:$P$1205,"&lt;"&amp;(V58+$V$29),Payments!$P$6:$P$1205,"&lt;="&amp;$C$7)+SUMIFS('Manual Log'!$E$6:$E$1005,'Manual Log'!$C$6:$C$1005,"&lt;&gt;Income",'Manual Log'!$C$6:$C$1005,"&lt;&gt;Savings",'Manual Log'!$C$6:$C$1005,"&lt;&gt;Transfer",'Manual Log'!$B$6:$B$1005,"&gt;="&amp;V58,'Manual Log'!$B$6:$B$1005,"&lt;"&amp;(V58+$V$29),'Manual Log'!$B$6:$B$1005,"&lt;="&amp;$C$7))</f>
        <v/>
      </c>
      <c r="X58" s="1">
        <f>IF(V58="","",TEXT(V58,"ddd d mmm"))</f>
        <v/>
      </c>
      <c r="Y58" s="1">
        <f>B54</f>
        <v/>
      </c>
      <c r="Z58" s="1">
        <f>D54</f>
        <v/>
      </c>
      <c r="AA58" s="1">
        <f>IF(OR(Y58="",N(Z58)&lt;=0),"",Z58+ROW()/1000000)</f>
        <v/>
      </c>
      <c r="AB58" s="1" t="n"/>
      <c r="AC58" s="1" t="n"/>
      <c r="AD58" s="1" t="n"/>
      <c r="AE58" s="1" t="n"/>
      <c r="AG58">
        <f>IFERROR(MATCH("Subscriptions|7",Setup!$L$25:$L$84,0),"")</f>
        <v/>
      </c>
    </row>
    <row r="59">
      <c r="A59" s="1" t="n"/>
      <c r="B59" s="35">
        <f>IF(AG59="","",INDEX(Setup!$D$25:$D$84,AG59))</f>
        <v/>
      </c>
      <c r="C59" s="36">
        <f>IF(AG59="","",COUNTIFS(INDEX(Calc!$B$2:$BB$61,AG59,0),"&gt;="&amp;$C$6,INDEX(Calc!$B$2:$BB$61,AG59,0),"&lt;"&amp;($C$7+1))*INDEX(Setup!$E$25:$E$84,AG59))</f>
        <v/>
      </c>
      <c r="D59" s="36">
        <f>IF(B59="","",SUMIFS(Payments!$Q$6:$Q$1205,Payments!$I$6:$I$1205,"Subscriptions",Payments!$E$6:$E$1205,B59,Payments!$P$6:$P$1205,"&gt;="&amp;$C$6,Payments!$P$6:$P$1205,"&lt;="&amp;$C$7)+SUMIFS('Manual Log'!$E$6:$E$1005,'Manual Log'!$C$6:$C$1005,"Subscriptions",'Manual Log'!$D$6:$D$1005,B59,'Manual Log'!$B$6:$B$1005,"&gt;="&amp;$C$6,'Manual Log'!$B$6:$B$1005,"&lt;="&amp;$C$7))</f>
        <v/>
      </c>
      <c r="E59" s="36">
        <f>IF(B59="","",C59-D59)</f>
        <v/>
      </c>
      <c r="F59" s="1" t="n"/>
      <c r="G59" s="35">
        <f>IF(Setup!$I$13="","",Setup!$I$13)</f>
        <v/>
      </c>
      <c r="H59" s="36">
        <f>IF(G59="","",Setup!$J$13)</f>
        <v/>
      </c>
      <c r="I59" s="36">
        <f>IF(G59="","",SUMIFS(Payments!$Q$6:$Q$1205,Payments!$I$6:$I$1205,"Variable Exp",Payments!$E$6:$E$1205,G59,Payments!$P$6:$P$1205,"&gt;="&amp;$C$6,Payments!$P$6:$P$1205,"&lt;="&amp;$C$7)+SUMIFS('Manual Log'!$E$6:$E$1005,'Manual Log'!$C$6:$C$1005,"Variable Exp",'Manual Log'!$D$6:$D$1005,G59,'Manual Log'!$B$6:$B$1005,"&gt;="&amp;$C$6,'Manual Log'!$B$6:$B$1005,"&lt;="&amp;$C$7))</f>
        <v/>
      </c>
      <c r="J59" s="36">
        <f>IF(G59="","",H59-I59)</f>
        <v/>
      </c>
      <c r="K59" s="1" t="n"/>
      <c r="L59" s="35">
        <f>IFERROR(INDEX($Y$31:$Y$80,MATCH(LARGE($AA$31:$AA$80,9),$AA$31:$AA$80,0)),"")</f>
        <v/>
      </c>
      <c r="M59" s="36">
        <f>IFERROR(INDEX($Z$31:$Z$80,MATCH(LARGE($AA$31:$AA$80,9),$AA$31:$AA$80,0)),"")</f>
        <v/>
      </c>
      <c r="N59" s="93">
        <f>IFERROR(M59/$J$6,"")</f>
        <v/>
      </c>
      <c r="O59" s="50" t="n"/>
      <c r="P59" s="1" t="n"/>
      <c r="Q59" s="1" t="n"/>
      <c r="R59" s="1" t="n"/>
      <c r="S59" s="1" t="n"/>
      <c r="T59" s="1" t="n"/>
      <c r="U59" s="1" t="n"/>
      <c r="V59" s="1">
        <f>IF($C$6+28*$V$29&gt;$C$7,"",$C$6+28*$V$29)</f>
        <v/>
      </c>
      <c r="W59" s="1">
        <f>IF(V59="","",SUMIFS(Payments!$Q$6:$Q$1205,Payments!$I$6:$I$1205,"&lt;&gt;Income",Payments!$I$6:$I$1205,"&lt;&gt;Savings",Payments!$P$6:$P$1205,"&gt;="&amp;V59,Payments!$P$6:$P$1205,"&lt;"&amp;(V59+$V$29),Payments!$P$6:$P$1205,"&lt;="&amp;$C$7)+SUMIFS('Manual Log'!$E$6:$E$1005,'Manual Log'!$C$6:$C$1005,"&lt;&gt;Income",'Manual Log'!$C$6:$C$1005,"&lt;&gt;Savings",'Manual Log'!$C$6:$C$1005,"&lt;&gt;Transfer",'Manual Log'!$B$6:$B$1005,"&gt;="&amp;V59,'Manual Log'!$B$6:$B$1005,"&lt;"&amp;(V59+$V$29),'Manual Log'!$B$6:$B$1005,"&lt;="&amp;$C$7))</f>
        <v/>
      </c>
      <c r="X59" s="1">
        <f>IF(V59="","",TEXT(V59,"ddd d mmm"))</f>
        <v/>
      </c>
      <c r="Y59" s="1">
        <f>B55</f>
        <v/>
      </c>
      <c r="Z59" s="1">
        <f>D55</f>
        <v/>
      </c>
      <c r="AA59" s="1">
        <f>IF(OR(Y59="",N(Z59)&lt;=0),"",Z59+ROW()/1000000)</f>
        <v/>
      </c>
      <c r="AB59" s="1" t="n"/>
      <c r="AC59" s="1" t="n"/>
      <c r="AD59" s="1" t="n"/>
      <c r="AE59" s="1" t="n"/>
      <c r="AG59">
        <f>IFERROR(MATCH("Subscriptions|8",Setup!$L$25:$L$84,0),"")</f>
        <v/>
      </c>
    </row>
    <row r="60">
      <c r="A60" s="1" t="n"/>
      <c r="B60" s="35">
        <f>IF(AG60="","",INDEX(Setup!$D$25:$D$84,AG60))</f>
        <v/>
      </c>
      <c r="C60" s="36">
        <f>IF(AG60="","",COUNTIFS(INDEX(Calc!$B$2:$BB$61,AG60,0),"&gt;="&amp;$C$6,INDEX(Calc!$B$2:$BB$61,AG60,0),"&lt;"&amp;($C$7+1))*INDEX(Setup!$E$25:$E$84,AG60))</f>
        <v/>
      </c>
      <c r="D60" s="36">
        <f>IF(B60="","",SUMIFS(Payments!$Q$6:$Q$1205,Payments!$I$6:$I$1205,"Subscriptions",Payments!$E$6:$E$1205,B60,Payments!$P$6:$P$1205,"&gt;="&amp;$C$6,Payments!$P$6:$P$1205,"&lt;="&amp;$C$7)+SUMIFS('Manual Log'!$E$6:$E$1005,'Manual Log'!$C$6:$C$1005,"Subscriptions",'Manual Log'!$D$6:$D$1005,B60,'Manual Log'!$B$6:$B$1005,"&gt;="&amp;$C$6,'Manual Log'!$B$6:$B$1005,"&lt;="&amp;$C$7))</f>
        <v/>
      </c>
      <c r="E60" s="36">
        <f>IF(B60="","",C60-D60)</f>
        <v/>
      </c>
      <c r="F60" s="1" t="n"/>
      <c r="G60" s="35">
        <f>IF(Setup!$I$14="","",Setup!$I$14)</f>
        <v/>
      </c>
      <c r="H60" s="36">
        <f>IF(G60="","",Setup!$J$14)</f>
        <v/>
      </c>
      <c r="I60" s="36">
        <f>IF(G60="","",SUMIFS(Payments!$Q$6:$Q$1205,Payments!$I$6:$I$1205,"Variable Exp",Payments!$E$6:$E$1205,G60,Payments!$P$6:$P$1205,"&gt;="&amp;$C$6,Payments!$P$6:$P$1205,"&lt;="&amp;$C$7)+SUMIFS('Manual Log'!$E$6:$E$1005,'Manual Log'!$C$6:$C$1005,"Variable Exp",'Manual Log'!$D$6:$D$1005,G60,'Manual Log'!$B$6:$B$1005,"&gt;="&amp;$C$6,'Manual Log'!$B$6:$B$1005,"&lt;="&amp;$C$7))</f>
        <v/>
      </c>
      <c r="J60" s="36">
        <f>IF(G60="","",H60-I60)</f>
        <v/>
      </c>
      <c r="K60" s="1" t="n"/>
      <c r="L60" s="35">
        <f>IFERROR(INDEX($Y$31:$Y$80,MATCH(LARGE($AA$31:$AA$80,10),$AA$31:$AA$80,0)),"")</f>
        <v/>
      </c>
      <c r="M60" s="36">
        <f>IFERROR(INDEX($Z$31:$Z$80,MATCH(LARGE($AA$31:$AA$80,10),$AA$31:$AA$80,0)),"")</f>
        <v/>
      </c>
      <c r="N60" s="93">
        <f>IFERROR(M60/$J$6,"")</f>
        <v/>
      </c>
      <c r="O60" s="50" t="n"/>
      <c r="P60" s="1" t="n"/>
      <c r="Q60" s="1" t="n"/>
      <c r="R60" s="1" t="n"/>
      <c r="S60" s="1" t="n"/>
      <c r="T60" s="1" t="n"/>
      <c r="U60" s="1" t="n"/>
      <c r="V60" s="1">
        <f>IF($C$6+29*$V$29&gt;$C$7,"",$C$6+29*$V$29)</f>
        <v/>
      </c>
      <c r="W60" s="1">
        <f>IF(V60="","",SUMIFS(Payments!$Q$6:$Q$1205,Payments!$I$6:$I$1205,"&lt;&gt;Income",Payments!$I$6:$I$1205,"&lt;&gt;Savings",Payments!$P$6:$P$1205,"&gt;="&amp;V60,Payments!$P$6:$P$1205,"&lt;"&amp;(V60+$V$29),Payments!$P$6:$P$1205,"&lt;="&amp;$C$7)+SUMIFS('Manual Log'!$E$6:$E$1005,'Manual Log'!$C$6:$C$1005,"&lt;&gt;Income",'Manual Log'!$C$6:$C$1005,"&lt;&gt;Savings",'Manual Log'!$C$6:$C$1005,"&lt;&gt;Transfer",'Manual Log'!$B$6:$B$1005,"&gt;="&amp;V60,'Manual Log'!$B$6:$B$1005,"&lt;"&amp;(V60+$V$29),'Manual Log'!$B$6:$B$1005,"&lt;="&amp;$C$7))</f>
        <v/>
      </c>
      <c r="X60" s="1">
        <f>IF(V60="","",TEXT(V60,"ddd d mmm"))</f>
        <v/>
      </c>
      <c r="Y60" s="1">
        <f>B56</f>
        <v/>
      </c>
      <c r="Z60" s="1">
        <f>D56</f>
        <v/>
      </c>
      <c r="AA60" s="1">
        <f>IF(OR(Y60="",N(Z60)&lt;=0),"",Z60+ROW()/1000000)</f>
        <v/>
      </c>
      <c r="AB60" s="1" t="n"/>
      <c r="AC60" s="1" t="n"/>
      <c r="AD60" s="1" t="n"/>
      <c r="AE60" s="1" t="n"/>
      <c r="AG60">
        <f>IFERROR(MATCH("Subscriptions|9",Setup!$L$25:$L$84,0),"")</f>
        <v/>
      </c>
    </row>
    <row r="61">
      <c r="A61" s="1" t="n"/>
      <c r="B61" s="35">
        <f>IF(AG61="","",INDEX(Setup!$D$25:$D$84,AG61))</f>
        <v/>
      </c>
      <c r="C61" s="36">
        <f>IF(AG61="","",COUNTIFS(INDEX(Calc!$B$2:$BB$61,AG61,0),"&gt;="&amp;$C$6,INDEX(Calc!$B$2:$BB$61,AG61,0),"&lt;"&amp;($C$7+1))*INDEX(Setup!$E$25:$E$84,AG61))</f>
        <v/>
      </c>
      <c r="D61" s="36">
        <f>IF(B61="","",SUMIFS(Payments!$Q$6:$Q$1205,Payments!$I$6:$I$1205,"Subscriptions",Payments!$E$6:$E$1205,B61,Payments!$P$6:$P$1205,"&gt;="&amp;$C$6,Payments!$P$6:$P$1205,"&lt;="&amp;$C$7)+SUMIFS('Manual Log'!$E$6:$E$1005,'Manual Log'!$C$6:$C$1005,"Subscriptions",'Manual Log'!$D$6:$D$1005,B61,'Manual Log'!$B$6:$B$1005,"&gt;="&amp;$C$6,'Manual Log'!$B$6:$B$1005,"&lt;="&amp;$C$7))</f>
        <v/>
      </c>
      <c r="E61" s="36">
        <f>IF(B61="","",C61-D61)</f>
        <v/>
      </c>
      <c r="F61" s="1" t="n"/>
      <c r="G61" s="35">
        <f>IF(Setup!$I$15="","",Setup!$I$15)</f>
        <v/>
      </c>
      <c r="H61" s="36">
        <f>IF(G61="","",Setup!$J$15)</f>
        <v/>
      </c>
      <c r="I61" s="36">
        <f>IF(G61="","",SUMIFS(Payments!$Q$6:$Q$1205,Payments!$I$6:$I$1205,"Variable Exp",Payments!$E$6:$E$1205,G61,Payments!$P$6:$P$1205,"&gt;="&amp;$C$6,Payments!$P$6:$P$1205,"&lt;="&amp;$C$7)+SUMIFS('Manual Log'!$E$6:$E$1005,'Manual Log'!$C$6:$C$1005,"Variable Exp",'Manual Log'!$D$6:$D$1005,G61,'Manual Log'!$B$6:$B$1005,"&gt;="&amp;$C$6,'Manual Log'!$B$6:$B$1005,"&lt;="&amp;$C$7))</f>
        <v/>
      </c>
      <c r="J61" s="36">
        <f>IF(G61="","",H61-I61)</f>
        <v/>
      </c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>
        <f>IF($C$6+30*$V$29&gt;$C$7,"",$C$6+30*$V$29)</f>
        <v/>
      </c>
      <c r="W61" s="1">
        <f>IF(V61="","",SUMIFS(Payments!$Q$6:$Q$1205,Payments!$I$6:$I$1205,"&lt;&gt;Income",Payments!$I$6:$I$1205,"&lt;&gt;Savings",Payments!$P$6:$P$1205,"&gt;="&amp;V61,Payments!$P$6:$P$1205,"&lt;"&amp;(V61+$V$29),Payments!$P$6:$P$1205,"&lt;="&amp;$C$7)+SUMIFS('Manual Log'!$E$6:$E$1005,'Manual Log'!$C$6:$C$1005,"&lt;&gt;Income",'Manual Log'!$C$6:$C$1005,"&lt;&gt;Savings",'Manual Log'!$C$6:$C$1005,"&lt;&gt;Transfer",'Manual Log'!$B$6:$B$1005,"&gt;="&amp;V61,'Manual Log'!$B$6:$B$1005,"&lt;"&amp;(V61+$V$29),'Manual Log'!$B$6:$B$1005,"&lt;="&amp;$C$7))</f>
        <v/>
      </c>
      <c r="X61" s="1">
        <f>IF(V61="","",TEXT(V61,"ddd d mmm"))</f>
        <v/>
      </c>
      <c r="Y61" s="1">
        <f>B57</f>
        <v/>
      </c>
      <c r="Z61" s="1">
        <f>D57</f>
        <v/>
      </c>
      <c r="AA61" s="1">
        <f>IF(OR(Y61="",N(Z61)&lt;=0),"",Z61+ROW()/1000000)</f>
        <v/>
      </c>
      <c r="AB61" s="1" t="n"/>
      <c r="AC61" s="1" t="n"/>
      <c r="AD61" s="1" t="n"/>
      <c r="AE61" s="1" t="n"/>
      <c r="AG61">
        <f>IFERROR(MATCH("Subscriptions|10",Setup!$L$25:$L$84,0),"")</f>
        <v/>
      </c>
    </row>
    <row r="62">
      <c r="A62" s="1" t="n"/>
      <c r="B62" s="1" t="n"/>
      <c r="C62" s="1" t="n"/>
      <c r="D62" s="1" t="n"/>
      <c r="E62" s="1" t="n"/>
      <c r="F62" s="1" t="n"/>
      <c r="G62" s="35">
        <f>IF(Setup!$I$16="","",Setup!$I$16)</f>
        <v/>
      </c>
      <c r="H62" s="36">
        <f>IF(G62="","",Setup!$J$16)</f>
        <v/>
      </c>
      <c r="I62" s="36">
        <f>IF(G62="","",SUMIFS(Payments!$Q$6:$Q$1205,Payments!$I$6:$I$1205,"Variable Exp",Payments!$E$6:$E$1205,G62,Payments!$P$6:$P$1205,"&gt;="&amp;$C$6,Payments!$P$6:$P$1205,"&lt;="&amp;$C$7)+SUMIFS('Manual Log'!$E$6:$E$1005,'Manual Log'!$C$6:$C$1005,"Variable Exp",'Manual Log'!$D$6:$D$1005,G62,'Manual Log'!$B$6:$B$1005,"&gt;="&amp;$C$6,'Manual Log'!$B$6:$B$1005,"&lt;="&amp;$C$7))</f>
        <v/>
      </c>
      <c r="J62" s="36">
        <f>IF(G62="","",H62-I62)</f>
        <v/>
      </c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>
        <f>B58</f>
        <v/>
      </c>
      <c r="Z62" s="1">
        <f>D58</f>
        <v/>
      </c>
      <c r="AA62" s="1">
        <f>IF(OR(Y62="",N(Z62)&lt;=0),"",Z62+ROW()/1000000)</f>
        <v/>
      </c>
      <c r="AB62" s="1" t="n"/>
      <c r="AC62" s="1" t="n"/>
      <c r="AD62" s="1" t="n"/>
      <c r="AE62" s="1" t="n"/>
    </row>
    <row r="63">
      <c r="A63" s="1" t="n"/>
      <c r="B63" s="1" t="n"/>
      <c r="C63" s="1" t="n"/>
      <c r="D63" s="1" t="n"/>
      <c r="E63" s="1" t="n"/>
      <c r="F63" s="1" t="n"/>
      <c r="G63" s="35">
        <f>IF(Setup!$I$17="","",Setup!$I$17)</f>
        <v/>
      </c>
      <c r="H63" s="36">
        <f>IF(G63="","",Setup!$J$17)</f>
        <v/>
      </c>
      <c r="I63" s="36">
        <f>IF(G63="","",SUMIFS(Payments!$Q$6:$Q$1205,Payments!$I$6:$I$1205,"Variable Exp",Payments!$E$6:$E$1205,G63,Payments!$P$6:$P$1205,"&gt;="&amp;$C$6,Payments!$P$6:$P$1205,"&lt;="&amp;$C$7)+SUMIFS('Manual Log'!$E$6:$E$1005,'Manual Log'!$C$6:$C$1005,"Variable Exp",'Manual Log'!$D$6:$D$1005,G63,'Manual Log'!$B$6:$B$1005,"&gt;="&amp;$C$6,'Manual Log'!$B$6:$B$1005,"&lt;="&amp;$C$7))</f>
        <v/>
      </c>
      <c r="J63" s="36">
        <f>IF(G63="","",H63-I63)</f>
        <v/>
      </c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>
        <f>B59</f>
        <v/>
      </c>
      <c r="Z63" s="1">
        <f>D59</f>
        <v/>
      </c>
      <c r="AA63" s="1">
        <f>IF(OR(Y63="",N(Z63)&lt;=0),"",Z63+ROW()/1000000)</f>
        <v/>
      </c>
      <c r="AB63" s="1" t="n"/>
      <c r="AC63" s="1" t="n"/>
      <c r="AD63" s="1" t="n"/>
      <c r="AE63" s="1" t="n"/>
    </row>
    <row r="64">
      <c r="A64" s="1" t="n"/>
      <c r="B64" s="1" t="n"/>
      <c r="C64" s="1" t="n"/>
      <c r="D64" s="1" t="n"/>
      <c r="E64" s="1" t="n"/>
      <c r="F64" s="1" t="n"/>
      <c r="G64" s="35">
        <f>IF(Setup!$I$18="","",Setup!$I$18)</f>
        <v/>
      </c>
      <c r="H64" s="36">
        <f>IF(G64="","",Setup!$J$18)</f>
        <v/>
      </c>
      <c r="I64" s="36">
        <f>IF(G64="","",SUMIFS(Payments!$Q$6:$Q$1205,Payments!$I$6:$I$1205,"Variable Exp",Payments!$E$6:$E$1205,G64,Payments!$P$6:$P$1205,"&gt;="&amp;$C$6,Payments!$P$6:$P$1205,"&lt;="&amp;$C$7)+SUMIFS('Manual Log'!$E$6:$E$1005,'Manual Log'!$C$6:$C$1005,"Variable Exp",'Manual Log'!$D$6:$D$1005,G64,'Manual Log'!$B$6:$B$1005,"&gt;="&amp;$C$6,'Manual Log'!$B$6:$B$1005,"&lt;="&amp;$C$7))</f>
        <v/>
      </c>
      <c r="J64" s="36">
        <f>IF(G64="","",H64-I64)</f>
        <v/>
      </c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>
        <f>B60</f>
        <v/>
      </c>
      <c r="Z64" s="1">
        <f>D60</f>
        <v/>
      </c>
      <c r="AA64" s="1">
        <f>IF(OR(Y64="",N(Z64)&lt;=0),"",Z64+ROW()/1000000)</f>
        <v/>
      </c>
      <c r="AB64" s="1" t="n"/>
      <c r="AC64" s="1" t="n"/>
      <c r="AD64" s="1" t="n"/>
      <c r="AE64" s="1" t="n"/>
    </row>
    <row r="65">
      <c r="A65" s="1" t="n"/>
      <c r="B65" s="1" t="n"/>
      <c r="C65" s="1" t="n"/>
      <c r="D65" s="1" t="n"/>
      <c r="E65" s="1" t="n"/>
      <c r="F65" s="1" t="n"/>
      <c r="G65" s="35">
        <f>IF(Setup!$I$19="","",Setup!$I$19)</f>
        <v/>
      </c>
      <c r="H65" s="36">
        <f>IF(G65="","",Setup!$J$19)</f>
        <v/>
      </c>
      <c r="I65" s="36">
        <f>IF(G65="","",SUMIFS(Payments!$Q$6:$Q$1205,Payments!$I$6:$I$1205,"Variable Exp",Payments!$E$6:$E$1205,G65,Payments!$P$6:$P$1205,"&gt;="&amp;$C$6,Payments!$P$6:$P$1205,"&lt;="&amp;$C$7)+SUMIFS('Manual Log'!$E$6:$E$1005,'Manual Log'!$C$6:$C$1005,"Variable Exp",'Manual Log'!$D$6:$D$1005,G65,'Manual Log'!$B$6:$B$1005,"&gt;="&amp;$C$6,'Manual Log'!$B$6:$B$1005,"&lt;="&amp;$C$7))</f>
        <v/>
      </c>
      <c r="J65" s="36">
        <f>IF(G65="","",H65-I65)</f>
        <v/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>
        <f>B61</f>
        <v/>
      </c>
      <c r="Z65" s="1">
        <f>D61</f>
        <v/>
      </c>
      <c r="AA65" s="1">
        <f>IF(OR(Y65="",N(Z65)&lt;=0),"",Z65+ROW()/1000000)</f>
        <v/>
      </c>
      <c r="AB65" s="1" t="n"/>
      <c r="AC65" s="1" t="n"/>
      <c r="AD65" s="1" t="n"/>
      <c r="AE65" s="1" t="n"/>
    </row>
    <row r="66">
      <c r="A66" s="1" t="n"/>
      <c r="B66" s="1" t="n"/>
      <c r="C66" s="1" t="n"/>
      <c r="D66" s="1" t="n"/>
      <c r="E66" s="1" t="n"/>
      <c r="F66" s="1" t="n"/>
      <c r="G66" s="35">
        <f>IF(Setup!$I$20="","",Setup!$I$20)</f>
        <v/>
      </c>
      <c r="H66" s="36">
        <f>IF(G66="","",Setup!$J$20)</f>
        <v/>
      </c>
      <c r="I66" s="36">
        <f>IF(G66="","",SUMIFS(Payments!$Q$6:$Q$1205,Payments!$I$6:$I$1205,"Variable Exp",Payments!$E$6:$E$1205,G66,Payments!$P$6:$P$1205,"&gt;="&amp;$C$6,Payments!$P$6:$P$1205,"&lt;="&amp;$C$7)+SUMIFS('Manual Log'!$E$6:$E$1005,'Manual Log'!$C$6:$C$1005,"Variable Exp",'Manual Log'!$D$6:$D$1005,G66,'Manual Log'!$B$6:$B$1005,"&gt;="&amp;$C$6,'Manual Log'!$B$6:$B$1005,"&lt;="&amp;$C$7))</f>
        <v/>
      </c>
      <c r="J66" s="36">
        <f>IF(G66="","",H66-I66)</f>
        <v/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>
        <f>G52</f>
        <v/>
      </c>
      <c r="Z66" s="1">
        <f>I52</f>
        <v/>
      </c>
      <c r="AA66" s="1">
        <f>IF(OR(Y66="",N(Z66)&lt;=0),"",Z66+ROW()/1000000)</f>
        <v/>
      </c>
      <c r="AB66" s="1" t="n"/>
      <c r="AC66" s="1" t="n"/>
      <c r="AD66" s="1" t="n"/>
      <c r="AE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>
        <f>G53</f>
        <v/>
      </c>
      <c r="Z67" s="1">
        <f>I53</f>
        <v/>
      </c>
      <c r="AA67" s="1">
        <f>IF(OR(Y67="",N(Z67)&lt;=0),"",Z67+ROW()/1000000)</f>
        <v/>
      </c>
      <c r="AB67" s="1" t="n"/>
      <c r="AC67" s="1" t="n"/>
      <c r="AD67" s="1" t="n"/>
      <c r="AE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>
        <f>G54</f>
        <v/>
      </c>
      <c r="Z68" s="1">
        <f>I54</f>
        <v/>
      </c>
      <c r="AA68" s="1">
        <f>IF(OR(Y68="",N(Z68)&lt;=0),"",Z68+ROW()/1000000)</f>
        <v/>
      </c>
      <c r="AB68" s="1" t="n"/>
      <c r="AC68" s="1" t="n"/>
      <c r="AD68" s="1" t="n"/>
      <c r="AE68" s="1" t="n"/>
    </row>
    <row r="69">
      <c r="Y69">
        <f>G55</f>
        <v/>
      </c>
      <c r="Z69">
        <f>I55</f>
        <v/>
      </c>
      <c r="AA69">
        <f>IF(OR(Y69="",N(Z69)&lt;=0),"",Z69+ROW()/1000000)</f>
        <v/>
      </c>
    </row>
    <row r="70">
      <c r="Y70">
        <f>G56</f>
        <v/>
      </c>
      <c r="Z70">
        <f>I56</f>
        <v/>
      </c>
      <c r="AA70">
        <f>IF(OR(Y70="",N(Z70)&lt;=0),"",Z70+ROW()/1000000)</f>
        <v/>
      </c>
    </row>
    <row r="71">
      <c r="Y71">
        <f>G57</f>
        <v/>
      </c>
      <c r="Z71">
        <f>I57</f>
        <v/>
      </c>
      <c r="AA71">
        <f>IF(OR(Y71="",N(Z71)&lt;=0),"",Z71+ROW()/1000000)</f>
        <v/>
      </c>
    </row>
    <row r="72">
      <c r="Y72">
        <f>G58</f>
        <v/>
      </c>
      <c r="Z72">
        <f>I58</f>
        <v/>
      </c>
      <c r="AA72">
        <f>IF(OR(Y72="",N(Z72)&lt;=0),"",Z72+ROW()/1000000)</f>
        <v/>
      </c>
    </row>
    <row r="73">
      <c r="Y73">
        <f>G59</f>
        <v/>
      </c>
      <c r="Z73">
        <f>I59</f>
        <v/>
      </c>
      <c r="AA73">
        <f>IF(OR(Y73="",N(Z73)&lt;=0),"",Z73+ROW()/1000000)</f>
        <v/>
      </c>
    </row>
    <row r="74">
      <c r="Y74">
        <f>G60</f>
        <v/>
      </c>
      <c r="Z74">
        <f>I60</f>
        <v/>
      </c>
      <c r="AA74">
        <f>IF(OR(Y74="",N(Z74)&lt;=0),"",Z74+ROW()/1000000)</f>
        <v/>
      </c>
    </row>
    <row r="75">
      <c r="Y75">
        <f>G61</f>
        <v/>
      </c>
      <c r="Z75">
        <f>I61</f>
        <v/>
      </c>
      <c r="AA75">
        <f>IF(OR(Y75="",N(Z75)&lt;=0),"",Z75+ROW()/1000000)</f>
        <v/>
      </c>
    </row>
    <row r="76">
      <c r="Y76">
        <f>G62</f>
        <v/>
      </c>
      <c r="Z76">
        <f>I62</f>
        <v/>
      </c>
      <c r="AA76">
        <f>IF(OR(Y76="",N(Z76)&lt;=0),"",Z76+ROW()/1000000)</f>
        <v/>
      </c>
    </row>
    <row r="77">
      <c r="Y77">
        <f>G63</f>
        <v/>
      </c>
      <c r="Z77">
        <f>I63</f>
        <v/>
      </c>
      <c r="AA77">
        <f>IF(OR(Y77="",N(Z77)&lt;=0),"",Z77+ROW()/1000000)</f>
        <v/>
      </c>
    </row>
    <row r="78">
      <c r="Y78">
        <f>G64</f>
        <v/>
      </c>
      <c r="Z78">
        <f>I64</f>
        <v/>
      </c>
      <c r="AA78">
        <f>IF(OR(Y78="",N(Z78)&lt;=0),"",Z78+ROW()/1000000)</f>
        <v/>
      </c>
    </row>
    <row r="79">
      <c r="Y79">
        <f>G65</f>
        <v/>
      </c>
      <c r="Z79">
        <f>I65</f>
        <v/>
      </c>
      <c r="AA79">
        <f>IF(OR(Y79="",N(Z79)&lt;=0),"",Z79+ROW()/1000000)</f>
        <v/>
      </c>
    </row>
    <row r="80">
      <c r="Y80">
        <f>G66</f>
        <v/>
      </c>
      <c r="Z80">
        <f>I66</f>
        <v/>
      </c>
      <c r="AA80">
        <f>IF(OR(Y80="",N(Z80)&lt;=0),"",Z80+ROW()/1000000)</f>
        <v/>
      </c>
    </row>
  </sheetData>
  <mergeCells count="36">
    <mergeCell ref="Q27:T27"/>
    <mergeCell ref="B49:E49"/>
    <mergeCell ref="Q48:T48"/>
    <mergeCell ref="L6:O6"/>
    <mergeCell ref="Q2:T2"/>
    <mergeCell ref="G8:H8"/>
    <mergeCell ref="L49:O49"/>
    <mergeCell ref="L27:O27"/>
    <mergeCell ref="G7:H7"/>
    <mergeCell ref="L48:O48"/>
    <mergeCell ref="Q7:R8"/>
    <mergeCell ref="G12:J12"/>
    <mergeCell ref="L2:O2"/>
    <mergeCell ref="G2:J2"/>
    <mergeCell ref="B3:E3"/>
    <mergeCell ref="G6:H6"/>
    <mergeCell ref="Q12:T12"/>
    <mergeCell ref="G27:J27"/>
    <mergeCell ref="Q28:T28"/>
    <mergeCell ref="B20:D20"/>
    <mergeCell ref="B27:E27"/>
    <mergeCell ref="L28:O28"/>
    <mergeCell ref="G48:J48"/>
    <mergeCell ref="L7:M8"/>
    <mergeCell ref="Q3:R4"/>
    <mergeCell ref="B12:E12"/>
    <mergeCell ref="B48:E48"/>
    <mergeCell ref="G5:H5"/>
    <mergeCell ref="L12:O12"/>
    <mergeCell ref="G28:J28"/>
    <mergeCell ref="G4:H4"/>
    <mergeCell ref="L3:M4"/>
    <mergeCell ref="G49:J49"/>
    <mergeCell ref="Q6:T6"/>
    <mergeCell ref="G9:H9"/>
    <mergeCell ref="B28:E28"/>
  </mergeCells>
  <conditionalFormatting sqref="E14">
    <cfRule type="dataBar" priority="1">
      <dataBar showValue="1">
        <cfvo type="num" val="0"/>
        <cfvo type="num" val="1"/>
        <color rgb="0035D6BE"/>
      </dataBar>
    </cfRule>
  </conditionalFormatting>
  <conditionalFormatting sqref="D14">
    <cfRule type="expression" priority="2" dxfId="11" stopIfTrue="0">
      <formula>D14&lt;C14</formula>
    </cfRule>
  </conditionalFormatting>
  <conditionalFormatting sqref="E15">
    <cfRule type="dataBar" priority="3">
      <dataBar showValue="1">
        <cfvo type="num" val="0"/>
        <cfvo type="num" val="1"/>
        <color rgb="00FFB224"/>
      </dataBar>
    </cfRule>
  </conditionalFormatting>
  <conditionalFormatting sqref="D15">
    <cfRule type="expression" priority="4" dxfId="11" stopIfTrue="0">
      <formula>D15&lt;C15</formula>
    </cfRule>
  </conditionalFormatting>
  <conditionalFormatting sqref="E16">
    <cfRule type="dataBar" priority="5">
      <dataBar showValue="1">
        <cfvo type="num" val="0"/>
        <cfvo type="num" val="1"/>
        <color rgb="00FF7AB8"/>
      </dataBar>
    </cfRule>
  </conditionalFormatting>
  <conditionalFormatting sqref="D16">
    <cfRule type="expression" priority="6" dxfId="11" stopIfTrue="0">
      <formula>D16&gt;C16</formula>
    </cfRule>
  </conditionalFormatting>
  <conditionalFormatting sqref="E17">
    <cfRule type="dataBar" priority="7">
      <dataBar showValue="1">
        <cfvo type="num" val="0"/>
        <cfvo type="num" val="1"/>
        <color rgb="00FF4F8B"/>
      </dataBar>
    </cfRule>
  </conditionalFormatting>
  <conditionalFormatting sqref="D17">
    <cfRule type="expression" priority="8" dxfId="11" stopIfTrue="0">
      <formula>D17&gt;C17</formula>
    </cfRule>
  </conditionalFormatting>
  <conditionalFormatting sqref="E18">
    <cfRule type="dataBar" priority="9">
      <dataBar showValue="1">
        <cfvo type="num" val="0"/>
        <cfvo type="num" val="1"/>
        <color rgb="00F6A6D1"/>
      </dataBar>
    </cfRule>
  </conditionalFormatting>
  <conditionalFormatting sqref="D18">
    <cfRule type="expression" priority="10" dxfId="11" stopIfTrue="0">
      <formula>D18&gt;C18</formula>
    </cfRule>
  </conditionalFormatting>
  <conditionalFormatting sqref="E19">
    <cfRule type="dataBar" priority="11">
      <dataBar showValue="1">
        <cfvo type="num" val="0"/>
        <cfvo type="num" val="1"/>
        <color rgb="009D8CF7"/>
      </dataBar>
    </cfRule>
  </conditionalFormatting>
  <conditionalFormatting sqref="D19">
    <cfRule type="expression" priority="12" dxfId="11" stopIfTrue="0">
      <formula>D19&gt;C19</formula>
    </cfRule>
  </conditionalFormatting>
  <conditionalFormatting sqref="E20">
    <cfRule type="expression" priority="13" dxfId="10" stopIfTrue="0">
      <formula>E20&lt;0</formula>
    </cfRule>
  </conditionalFormatting>
  <conditionalFormatting sqref="D31:D40">
    <cfRule type="expression" priority="14" dxfId="11" stopIfTrue="0">
      <formula>AND(ISNUMBER(D31),D31&lt;C31)</formula>
    </cfRule>
  </conditionalFormatting>
  <conditionalFormatting sqref="E30:E40">
    <cfRule type="expression" priority="15" dxfId="10" stopIfTrue="0">
      <formula>AND(ISNUMBER(E30),E30&lt;0)</formula>
    </cfRule>
  </conditionalFormatting>
  <conditionalFormatting sqref="I31:I40">
    <cfRule type="expression" priority="16" dxfId="11" stopIfTrue="0">
      <formula>AND(ISNUMBER(I31),I31&lt;H31)</formula>
    </cfRule>
  </conditionalFormatting>
  <conditionalFormatting sqref="J30:J40">
    <cfRule type="expression" priority="17" dxfId="10" stopIfTrue="0">
      <formula>AND(ISNUMBER(J30),J30&lt;0)</formula>
    </cfRule>
  </conditionalFormatting>
  <conditionalFormatting sqref="N31:N45">
    <cfRule type="expression" priority="18" dxfId="11" stopIfTrue="0">
      <formula>AND(ISNUMBER(N31),N31&gt;M31)</formula>
    </cfRule>
  </conditionalFormatting>
  <conditionalFormatting sqref="O30:O45">
    <cfRule type="expression" priority="19" dxfId="10" stopIfTrue="0">
      <formula>AND(ISNUMBER(O30),O30&lt;0)</formula>
    </cfRule>
  </conditionalFormatting>
  <conditionalFormatting sqref="S31:S40">
    <cfRule type="expression" priority="20" dxfId="11" stopIfTrue="0">
      <formula>AND(ISNUMBER(S31),S31&gt;R31)</formula>
    </cfRule>
  </conditionalFormatting>
  <conditionalFormatting sqref="T30:T40">
    <cfRule type="expression" priority="21" dxfId="10" stopIfTrue="0">
      <formula>AND(ISNUMBER(T30),T30&lt;0)</formula>
    </cfRule>
  </conditionalFormatting>
  <conditionalFormatting sqref="D52:D61">
    <cfRule type="expression" priority="22" dxfId="11" stopIfTrue="0">
      <formula>AND(ISNUMBER(D52),D52&gt;C52)</formula>
    </cfRule>
  </conditionalFormatting>
  <conditionalFormatting sqref="E51:E61">
    <cfRule type="expression" priority="23" dxfId="10" stopIfTrue="0">
      <formula>AND(ISNUMBER(E51),E51&lt;0)</formula>
    </cfRule>
  </conditionalFormatting>
  <conditionalFormatting sqref="I52:I66">
    <cfRule type="expression" priority="24" dxfId="11" stopIfTrue="0">
      <formula>AND(ISNUMBER(I52),I52&gt;H52)</formula>
    </cfRule>
  </conditionalFormatting>
  <conditionalFormatting sqref="J51:J66">
    <cfRule type="expression" priority="25" dxfId="10" stopIfTrue="0">
      <formula>AND(ISNUMBER(J51),J51&lt;0)</formula>
    </cfRule>
  </conditionalFormatting>
  <conditionalFormatting sqref="N51">
    <cfRule type="dataBar" priority="26">
      <dataBar showValue="1">
        <cfvo type="num" val="0"/>
        <cfvo type="num" val="1"/>
        <color rgb="00FF7AB8"/>
      </dataBar>
    </cfRule>
  </conditionalFormatting>
  <conditionalFormatting sqref="N52">
    <cfRule type="dataBar" priority="27">
      <dataBar showValue="1">
        <cfvo type="num" val="0"/>
        <cfvo type="num" val="1"/>
        <color rgb="00FF7AB8"/>
      </dataBar>
    </cfRule>
  </conditionalFormatting>
  <conditionalFormatting sqref="N53">
    <cfRule type="dataBar" priority="28">
      <dataBar showValue="1">
        <cfvo type="num" val="0"/>
        <cfvo type="num" val="1"/>
        <color rgb="00FF7AB8"/>
      </dataBar>
    </cfRule>
  </conditionalFormatting>
  <conditionalFormatting sqref="N54">
    <cfRule type="dataBar" priority="29">
      <dataBar showValue="1">
        <cfvo type="num" val="0"/>
        <cfvo type="num" val="1"/>
        <color rgb="00FF7AB8"/>
      </dataBar>
    </cfRule>
  </conditionalFormatting>
  <conditionalFormatting sqref="N55">
    <cfRule type="dataBar" priority="30">
      <dataBar showValue="1">
        <cfvo type="num" val="0"/>
        <cfvo type="num" val="1"/>
        <color rgb="00FF7AB8"/>
      </dataBar>
    </cfRule>
  </conditionalFormatting>
  <conditionalFormatting sqref="N56">
    <cfRule type="dataBar" priority="31">
      <dataBar showValue="1">
        <cfvo type="num" val="0"/>
        <cfvo type="num" val="1"/>
        <color rgb="00FF7AB8"/>
      </dataBar>
    </cfRule>
  </conditionalFormatting>
  <conditionalFormatting sqref="N57">
    <cfRule type="dataBar" priority="32">
      <dataBar showValue="1">
        <cfvo type="num" val="0"/>
        <cfvo type="num" val="1"/>
        <color rgb="00FF7AB8"/>
      </dataBar>
    </cfRule>
  </conditionalFormatting>
  <conditionalFormatting sqref="N58">
    <cfRule type="dataBar" priority="33">
      <dataBar showValue="1">
        <cfvo type="num" val="0"/>
        <cfvo type="num" val="1"/>
        <color rgb="00FF7AB8"/>
      </dataBar>
    </cfRule>
  </conditionalFormatting>
  <conditionalFormatting sqref="N59">
    <cfRule type="dataBar" priority="34">
      <dataBar showValue="1">
        <cfvo type="num" val="0"/>
        <cfvo type="num" val="1"/>
        <color rgb="00FF7AB8"/>
      </dataBar>
    </cfRule>
  </conditionalFormatting>
  <conditionalFormatting sqref="N60">
    <cfRule type="dataBar" priority="35">
      <dataBar showValue="1">
        <cfvo type="num" val="0"/>
        <cfvo type="num" val="1"/>
        <color rgb="00FF7AB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FFB224"/>
    <outlinePr summaryBelow="1" summaryRight="1"/>
    <pageSetUpPr/>
  </sheetPr>
  <dimension ref="A1:AB150"/>
  <sheetViews>
    <sheetView showGridLines="0" zoomScale="8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1" min="1" max="1"/>
    <col width="22" customWidth="1" style="1" min="2" max="2"/>
    <col width="11" customWidth="1" style="1" min="3" max="3"/>
    <col width="11" customWidth="1" style="1" min="4" max="4"/>
    <col width="11" customWidth="1" style="1" min="5" max="5"/>
    <col width="11" customWidth="1" style="1" min="6" max="6"/>
    <col width="11" customWidth="1" style="1" min="7" max="7"/>
    <col width="11" customWidth="1" style="1" min="8" max="8"/>
    <col width="11" customWidth="1" style="1" min="9" max="9"/>
    <col width="11" customWidth="1" style="1" min="10" max="10"/>
    <col width="11" customWidth="1" style="1" min="11" max="11"/>
    <col width="11" customWidth="1" style="1" min="12" max="12"/>
    <col width="11" customWidth="1" style="1" min="13" max="13"/>
    <col width="11" customWidth="1" style="1" min="14" max="14"/>
    <col width="13" customWidth="1" style="1" min="15" max="15"/>
    <col width="12" customWidth="1" style="1" min="16" max="16"/>
    <col width="13" customWidth="1" style="1" min="17" max="17"/>
    <col width="11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n"/>
      <c r="B2" s="6" t="inlineStr">
        <is>
          <t>ANNUAL BREAKDOWN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n"/>
      <c r="B3" s="7">
        <f>TEXT(Jan!C6,"mmm yyyy")&amp;" – "&amp;TEXT(Dec!C7,"mmm yyyy")&amp;"   ·   actual totals pulled from the 12 monthly tabs"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n"/>
      <c r="B5" s="8" t="inlineStr">
        <is>
          <t>ALL CATEGORIES — ACTUAL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n"/>
      <c r="B6" s="75" t="inlineStr">
        <is>
          <t>CATEGORY</t>
        </is>
      </c>
      <c r="C6" s="54">
        <f>TEXT(Jan!$C$6,"mmm")</f>
        <v/>
      </c>
      <c r="D6" s="54">
        <f>TEXT(Feb!$C$6,"mmm")</f>
        <v/>
      </c>
      <c r="E6" s="54">
        <f>TEXT(Mar!$C$6,"mmm")</f>
        <v/>
      </c>
      <c r="F6" s="54">
        <f>TEXT(Apr!$C$6,"mmm")</f>
        <v/>
      </c>
      <c r="G6" s="54">
        <f>TEXT(May!$C$6,"mmm")</f>
        <v/>
      </c>
      <c r="H6" s="54">
        <f>TEXT(Jun!$C$6,"mmm")</f>
        <v/>
      </c>
      <c r="I6" s="54">
        <f>TEXT(Jul!$C$6,"mmm")</f>
        <v/>
      </c>
      <c r="J6" s="54">
        <f>TEXT(Aug!$C$6,"mmm")</f>
        <v/>
      </c>
      <c r="K6" s="54">
        <f>TEXT(Sep!$C$6,"mmm")</f>
        <v/>
      </c>
      <c r="L6" s="54">
        <f>TEXT(Oct!$C$6,"mmm")</f>
        <v/>
      </c>
      <c r="M6" s="54">
        <f>TEXT(Nov!$C$6,"mmm")</f>
        <v/>
      </c>
      <c r="N6" s="54">
        <f>TEXT(Dec!$C$6,"mmm")</f>
        <v/>
      </c>
      <c r="O6" s="54" t="inlineStr">
        <is>
          <t>TOTAL</t>
        </is>
      </c>
      <c r="P6" s="54" t="inlineStr">
        <is>
          <t>AVERAGE</t>
        </is>
      </c>
      <c r="Q6" s="54" t="inlineStr">
        <is>
          <t>BUDGET</t>
        </is>
      </c>
      <c r="R6" s="54" t="inlineStr">
        <is>
          <t>% USED</t>
        </is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n"/>
      <c r="B7" s="57" t="inlineStr">
        <is>
          <t>Income</t>
        </is>
      </c>
      <c r="C7" s="98">
        <f>Jan!D14</f>
        <v/>
      </c>
      <c r="D7" s="98">
        <f>Feb!D14</f>
        <v/>
      </c>
      <c r="E7" s="98">
        <f>Mar!D14</f>
        <v/>
      </c>
      <c r="F7" s="98">
        <f>Apr!D14</f>
        <v/>
      </c>
      <c r="G7" s="98">
        <f>May!D14</f>
        <v/>
      </c>
      <c r="H7" s="98">
        <f>Jun!D14</f>
        <v/>
      </c>
      <c r="I7" s="98">
        <f>Jul!D14</f>
        <v/>
      </c>
      <c r="J7" s="98">
        <f>Aug!D14</f>
        <v/>
      </c>
      <c r="K7" s="98">
        <f>Sep!D14</f>
        <v/>
      </c>
      <c r="L7" s="98">
        <f>Oct!D14</f>
        <v/>
      </c>
      <c r="M7" s="98">
        <f>Nov!D14</f>
        <v/>
      </c>
      <c r="N7" s="98">
        <f>Dec!D14</f>
        <v/>
      </c>
      <c r="O7" s="99">
        <f>SUM(C7:N7)</f>
        <v/>
      </c>
      <c r="P7" s="100">
        <f>IFERROR(O7/MAX(1,COUNTIF(C7:N7,"&gt;0")),0)</f>
        <v/>
      </c>
      <c r="Q7" s="100">
        <f>Jan!C14+Feb!C14+Mar!C14+Apr!C14+May!C14+Jun!C14+Jul!C14+Aug!C14+Sep!C14+Oct!C14+Nov!C14+Dec!C14</f>
        <v/>
      </c>
      <c r="R7" s="101">
        <f>IFERROR(O7/Q7,0)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n"/>
      <c r="B8" s="76" t="inlineStr">
        <is>
          <t>Savings</t>
        </is>
      </c>
      <c r="C8" s="98">
        <f>Jan!D15</f>
        <v/>
      </c>
      <c r="D8" s="98">
        <f>Feb!D15</f>
        <v/>
      </c>
      <c r="E8" s="98">
        <f>Mar!D15</f>
        <v/>
      </c>
      <c r="F8" s="98">
        <f>Apr!D15</f>
        <v/>
      </c>
      <c r="G8" s="98">
        <f>May!D15</f>
        <v/>
      </c>
      <c r="H8" s="98">
        <f>Jun!D15</f>
        <v/>
      </c>
      <c r="I8" s="98">
        <f>Jul!D15</f>
        <v/>
      </c>
      <c r="J8" s="98">
        <f>Aug!D15</f>
        <v/>
      </c>
      <c r="K8" s="98">
        <f>Sep!D15</f>
        <v/>
      </c>
      <c r="L8" s="98">
        <f>Oct!D15</f>
        <v/>
      </c>
      <c r="M8" s="98">
        <f>Nov!D15</f>
        <v/>
      </c>
      <c r="N8" s="98">
        <f>Dec!D15</f>
        <v/>
      </c>
      <c r="O8" s="99">
        <f>SUM(C8:N8)</f>
        <v/>
      </c>
      <c r="P8" s="100">
        <f>IFERROR(O8/MAX(1,COUNTIF(C8:N8,"&gt;0")),0)</f>
        <v/>
      </c>
      <c r="Q8" s="100">
        <f>Jan!C15+Feb!C15+Mar!C15+Apr!C15+May!C15+Jun!C15+Jul!C15+Aug!C15+Sep!C15+Oct!C15+Nov!C15+Dec!C15</f>
        <v/>
      </c>
      <c r="R8" s="101">
        <f>IFERROR(O8/Q8,0)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n"/>
      <c r="B9" s="77" t="inlineStr">
        <is>
          <t>Bills</t>
        </is>
      </c>
      <c r="C9" s="98">
        <f>Jan!D16</f>
        <v/>
      </c>
      <c r="D9" s="98">
        <f>Feb!D16</f>
        <v/>
      </c>
      <c r="E9" s="98">
        <f>Mar!D16</f>
        <v/>
      </c>
      <c r="F9" s="98">
        <f>Apr!D16</f>
        <v/>
      </c>
      <c r="G9" s="98">
        <f>May!D16</f>
        <v/>
      </c>
      <c r="H9" s="98">
        <f>Jun!D16</f>
        <v/>
      </c>
      <c r="I9" s="98">
        <f>Jul!D16</f>
        <v/>
      </c>
      <c r="J9" s="98">
        <f>Aug!D16</f>
        <v/>
      </c>
      <c r="K9" s="98">
        <f>Sep!D16</f>
        <v/>
      </c>
      <c r="L9" s="98">
        <f>Oct!D16</f>
        <v/>
      </c>
      <c r="M9" s="98">
        <f>Nov!D16</f>
        <v/>
      </c>
      <c r="N9" s="98">
        <f>Dec!D16</f>
        <v/>
      </c>
      <c r="O9" s="99">
        <f>SUM(C9:N9)</f>
        <v/>
      </c>
      <c r="P9" s="100">
        <f>IFERROR(O9/MAX(1,COUNTIF(C9:N9,"&gt;0")),0)</f>
        <v/>
      </c>
      <c r="Q9" s="100">
        <f>Jan!C16+Feb!C16+Mar!C16+Apr!C16+May!C16+Jun!C16+Jul!C16+Aug!C16+Sep!C16+Oct!C16+Nov!C16+Dec!C16</f>
        <v/>
      </c>
      <c r="R9" s="101">
        <f>IFERROR(O9/Q9,0)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n"/>
      <c r="B10" s="78" t="inlineStr">
        <is>
          <t>Debt</t>
        </is>
      </c>
      <c r="C10" s="98">
        <f>Jan!D17</f>
        <v/>
      </c>
      <c r="D10" s="98">
        <f>Feb!D17</f>
        <v/>
      </c>
      <c r="E10" s="98">
        <f>Mar!D17</f>
        <v/>
      </c>
      <c r="F10" s="98">
        <f>Apr!D17</f>
        <v/>
      </c>
      <c r="G10" s="98">
        <f>May!D17</f>
        <v/>
      </c>
      <c r="H10" s="98">
        <f>Jun!D17</f>
        <v/>
      </c>
      <c r="I10" s="98">
        <f>Jul!D17</f>
        <v/>
      </c>
      <c r="J10" s="98">
        <f>Aug!D17</f>
        <v/>
      </c>
      <c r="K10" s="98">
        <f>Sep!D17</f>
        <v/>
      </c>
      <c r="L10" s="98">
        <f>Oct!D17</f>
        <v/>
      </c>
      <c r="M10" s="98">
        <f>Nov!D17</f>
        <v/>
      </c>
      <c r="N10" s="98">
        <f>Dec!D17</f>
        <v/>
      </c>
      <c r="O10" s="99">
        <f>SUM(C10:N10)</f>
        <v/>
      </c>
      <c r="P10" s="100">
        <f>IFERROR(O10/MAX(1,COUNTIF(C10:N10,"&gt;0")),0)</f>
        <v/>
      </c>
      <c r="Q10" s="100">
        <f>Jan!C17+Feb!C17+Mar!C17+Apr!C17+May!C17+Jun!C17+Jul!C17+Aug!C17+Sep!C17+Oct!C17+Nov!C17+Dec!C17</f>
        <v/>
      </c>
      <c r="R10" s="101">
        <f>IFERROR(O10/Q10,0)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n"/>
      <c r="B11" s="79" t="inlineStr">
        <is>
          <t>Subscriptions</t>
        </is>
      </c>
      <c r="C11" s="98">
        <f>Jan!D18</f>
        <v/>
      </c>
      <c r="D11" s="98">
        <f>Feb!D18</f>
        <v/>
      </c>
      <c r="E11" s="98">
        <f>Mar!D18</f>
        <v/>
      </c>
      <c r="F11" s="98">
        <f>Apr!D18</f>
        <v/>
      </c>
      <c r="G11" s="98">
        <f>May!D18</f>
        <v/>
      </c>
      <c r="H11" s="98">
        <f>Jun!D18</f>
        <v/>
      </c>
      <c r="I11" s="98">
        <f>Jul!D18</f>
        <v/>
      </c>
      <c r="J11" s="98">
        <f>Aug!D18</f>
        <v/>
      </c>
      <c r="K11" s="98">
        <f>Sep!D18</f>
        <v/>
      </c>
      <c r="L11" s="98">
        <f>Oct!D18</f>
        <v/>
      </c>
      <c r="M11" s="98">
        <f>Nov!D18</f>
        <v/>
      </c>
      <c r="N11" s="98">
        <f>Dec!D18</f>
        <v/>
      </c>
      <c r="O11" s="99">
        <f>SUM(C11:N11)</f>
        <v/>
      </c>
      <c r="P11" s="100">
        <f>IFERROR(O11/MAX(1,COUNTIF(C11:N11,"&gt;0")),0)</f>
        <v/>
      </c>
      <c r="Q11" s="100">
        <f>Jan!C18+Feb!C18+Mar!C18+Apr!C18+May!C18+Jun!C18+Jul!C18+Aug!C18+Sep!C18+Oct!C18+Nov!C18+Dec!C18</f>
        <v/>
      </c>
      <c r="R11" s="101">
        <f>IFERROR(O11/Q11,0)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n"/>
      <c r="B12" s="72" t="inlineStr">
        <is>
          <t>Variable Exp.</t>
        </is>
      </c>
      <c r="C12" s="98">
        <f>Jan!D19</f>
        <v/>
      </c>
      <c r="D12" s="98">
        <f>Feb!D19</f>
        <v/>
      </c>
      <c r="E12" s="98">
        <f>Mar!D19</f>
        <v/>
      </c>
      <c r="F12" s="98">
        <f>Apr!D19</f>
        <v/>
      </c>
      <c r="G12" s="98">
        <f>May!D19</f>
        <v/>
      </c>
      <c r="H12" s="98">
        <f>Jun!D19</f>
        <v/>
      </c>
      <c r="I12" s="98">
        <f>Jul!D19</f>
        <v/>
      </c>
      <c r="J12" s="98">
        <f>Aug!D19</f>
        <v/>
      </c>
      <c r="K12" s="98">
        <f>Sep!D19</f>
        <v/>
      </c>
      <c r="L12" s="98">
        <f>Oct!D19</f>
        <v/>
      </c>
      <c r="M12" s="98">
        <f>Nov!D19</f>
        <v/>
      </c>
      <c r="N12" s="98">
        <f>Dec!D19</f>
        <v/>
      </c>
      <c r="O12" s="99">
        <f>SUM(C12:N12)</f>
        <v/>
      </c>
      <c r="P12" s="100">
        <f>IFERROR(O12/MAX(1,COUNTIF(C12:N12,"&gt;0")),0)</f>
        <v/>
      </c>
      <c r="Q12" s="100">
        <f>Jan!C19+Feb!C19+Mar!C19+Apr!C19+May!C19+Jun!C19+Jul!C19+Aug!C19+Sep!C19+Oct!C19+Nov!C19+Dec!C19</f>
        <v/>
      </c>
      <c r="R12" s="101">
        <f>IFERROR(O12/Q12,0)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n"/>
      <c r="B13" s="102" t="inlineStr">
        <is>
          <t>TOTAL EXPENSES</t>
        </is>
      </c>
      <c r="C13" s="103">
        <f>SUM(C9:C12)</f>
        <v/>
      </c>
      <c r="D13" s="103">
        <f>SUM(D9:D12)</f>
        <v/>
      </c>
      <c r="E13" s="103">
        <f>SUM(E9:E12)</f>
        <v/>
      </c>
      <c r="F13" s="103">
        <f>SUM(F9:F12)</f>
        <v/>
      </c>
      <c r="G13" s="103">
        <f>SUM(G9:G12)</f>
        <v/>
      </c>
      <c r="H13" s="103">
        <f>SUM(H9:H12)</f>
        <v/>
      </c>
      <c r="I13" s="103">
        <f>SUM(I9:I12)</f>
        <v/>
      </c>
      <c r="J13" s="103">
        <f>SUM(J9:J12)</f>
        <v/>
      </c>
      <c r="K13" s="103">
        <f>SUM(K9:K12)</f>
        <v/>
      </c>
      <c r="L13" s="103">
        <f>SUM(L9:L12)</f>
        <v/>
      </c>
      <c r="M13" s="103">
        <f>SUM(M9:M12)</f>
        <v/>
      </c>
      <c r="N13" s="103">
        <f>SUM(N9:N12)</f>
        <v/>
      </c>
      <c r="O13" s="103">
        <f>SUM(O9:O12)</f>
        <v/>
      </c>
      <c r="P13" s="103">
        <f>SUM(P9:P12)</f>
        <v/>
      </c>
      <c r="Q13" s="103">
        <f>SUM(Q9:Q12)</f>
        <v/>
      </c>
      <c r="R13" s="104">
        <f>IFERROR(O13/Q13,0)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n"/>
      <c r="B14" s="105" t="inlineStr">
        <is>
          <t>NET (income – exp. – savings)</t>
        </is>
      </c>
      <c r="C14" s="106">
        <f>C7-C8-C13</f>
        <v/>
      </c>
      <c r="D14" s="106">
        <f>D7-D8-D13</f>
        <v/>
      </c>
      <c r="E14" s="106">
        <f>E7-E8-E13</f>
        <v/>
      </c>
      <c r="F14" s="106">
        <f>F7-F8-F13</f>
        <v/>
      </c>
      <c r="G14" s="106">
        <f>G7-G8-G13</f>
        <v/>
      </c>
      <c r="H14" s="106">
        <f>H7-H8-H13</f>
        <v/>
      </c>
      <c r="I14" s="106">
        <f>I7-I8-I13</f>
        <v/>
      </c>
      <c r="J14" s="106">
        <f>J7-J8-J13</f>
        <v/>
      </c>
      <c r="K14" s="106">
        <f>K7-K8-K13</f>
        <v/>
      </c>
      <c r="L14" s="106">
        <f>L7-L8-L13</f>
        <v/>
      </c>
      <c r="M14" s="106">
        <f>M7-M8-M13</f>
        <v/>
      </c>
      <c r="N14" s="106">
        <f>N7-N8-N13</f>
        <v/>
      </c>
      <c r="O14" s="106">
        <f>O7-O8-O13</f>
        <v/>
      </c>
      <c r="P14" s="106">
        <f>P7-P8-P13</f>
        <v/>
      </c>
      <c r="Q14" s="106">
        <f>Q7-Q8-Q13</f>
        <v/>
      </c>
      <c r="R14" s="107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n"/>
      <c r="B16" s="21" t="inlineStr">
        <is>
          <t>MONTHLY EXPENSES BY CATEGORY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1" t="n"/>
      <c r="L16" s="8" t="inlineStr">
        <is>
          <t>WHERE THE MONEY WENT</t>
        </is>
      </c>
      <c r="M16" s="9" t="n"/>
      <c r="N16" s="9" t="n"/>
      <c r="O16" s="9" t="n"/>
      <c r="P16" s="9" t="n"/>
      <c r="Q16" s="9" t="n"/>
      <c r="R16" s="9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>
      <c r="A34" s="1" t="n"/>
      <c r="B34" s="10" t="inlineStr">
        <is>
          <t>INCOME — BY MONTH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>
      <c r="A35" s="1" t="n"/>
      <c r="B35" s="75" t="inlineStr">
        <is>
          <t>CATEGORY</t>
        </is>
      </c>
      <c r="C35" s="54">
        <f>TEXT(Jan!$C$6,"mmm")</f>
        <v/>
      </c>
      <c r="D35" s="54">
        <f>TEXT(Feb!$C$6,"mmm")</f>
        <v/>
      </c>
      <c r="E35" s="54">
        <f>TEXT(Mar!$C$6,"mmm")</f>
        <v/>
      </c>
      <c r="F35" s="54">
        <f>TEXT(Apr!$C$6,"mmm")</f>
        <v/>
      </c>
      <c r="G35" s="54">
        <f>TEXT(May!$C$6,"mmm")</f>
        <v/>
      </c>
      <c r="H35" s="54">
        <f>TEXT(Jun!$C$6,"mmm")</f>
        <v/>
      </c>
      <c r="I35" s="54">
        <f>TEXT(Jul!$C$6,"mmm")</f>
        <v/>
      </c>
      <c r="J35" s="54">
        <f>TEXT(Aug!$C$6,"mmm")</f>
        <v/>
      </c>
      <c r="K35" s="54">
        <f>TEXT(Sep!$C$6,"mmm")</f>
        <v/>
      </c>
      <c r="L35" s="54">
        <f>TEXT(Oct!$C$6,"mmm")</f>
        <v/>
      </c>
      <c r="M35" s="54">
        <f>TEXT(Nov!$C$6,"mmm")</f>
        <v/>
      </c>
      <c r="N35" s="54">
        <f>TEXT(Dec!$C$6,"mmm")</f>
        <v/>
      </c>
      <c r="O35" s="54" t="inlineStr">
        <is>
          <t>TOTAL</t>
        </is>
      </c>
      <c r="P35" s="54" t="inlineStr">
        <is>
          <t>AVERAGE</t>
        </is>
      </c>
      <c r="Q35" s="54" t="inlineStr">
        <is>
          <t>BUDGET</t>
        </is>
      </c>
      <c r="R35" s="54" t="inlineStr">
        <is>
          <t>% USED</t>
        </is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>
      <c r="A36" s="1" t="n"/>
      <c r="B36" s="87" t="inlineStr">
        <is>
          <t>TOTAL</t>
        </is>
      </c>
      <c r="C36" s="108">
        <f>SUM(C37:C46)</f>
        <v/>
      </c>
      <c r="D36" s="108">
        <f>SUM(D37:D46)</f>
        <v/>
      </c>
      <c r="E36" s="108">
        <f>SUM(E37:E46)</f>
        <v/>
      </c>
      <c r="F36" s="108">
        <f>SUM(F37:F46)</f>
        <v/>
      </c>
      <c r="G36" s="108">
        <f>SUM(G37:G46)</f>
        <v/>
      </c>
      <c r="H36" s="108">
        <f>SUM(H37:H46)</f>
        <v/>
      </c>
      <c r="I36" s="108">
        <f>SUM(I37:I46)</f>
        <v/>
      </c>
      <c r="J36" s="108">
        <f>SUM(J37:J46)</f>
        <v/>
      </c>
      <c r="K36" s="108">
        <f>SUM(K37:K46)</f>
        <v/>
      </c>
      <c r="L36" s="108">
        <f>SUM(L37:L46)</f>
        <v/>
      </c>
      <c r="M36" s="108">
        <f>SUM(M37:M46)</f>
        <v/>
      </c>
      <c r="N36" s="108">
        <f>SUM(N37:N46)</f>
        <v/>
      </c>
      <c r="O36" s="108">
        <f>SUM(O37:O46)</f>
        <v/>
      </c>
      <c r="P36" s="108">
        <f>SUM(P37:P46)</f>
        <v/>
      </c>
      <c r="Q36" s="108">
        <f>SUM(Q37:Q46)</f>
        <v/>
      </c>
      <c r="R36" s="101">
        <f>IFERROR(O36/Q36,0)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>
      <c r="A37" s="1" t="n"/>
      <c r="B37" s="35">
        <f>Jan!B31</f>
        <v/>
      </c>
      <c r="C37" s="98">
        <f>Jan!D31</f>
        <v/>
      </c>
      <c r="D37" s="98">
        <f>Feb!D31</f>
        <v/>
      </c>
      <c r="E37" s="98">
        <f>Mar!D31</f>
        <v/>
      </c>
      <c r="F37" s="98">
        <f>Apr!D31</f>
        <v/>
      </c>
      <c r="G37" s="98">
        <f>May!D31</f>
        <v/>
      </c>
      <c r="H37" s="98">
        <f>Jun!D31</f>
        <v/>
      </c>
      <c r="I37" s="98">
        <f>Jul!D31</f>
        <v/>
      </c>
      <c r="J37" s="98">
        <f>Aug!D31</f>
        <v/>
      </c>
      <c r="K37" s="98">
        <f>Sep!D31</f>
        <v/>
      </c>
      <c r="L37" s="98">
        <f>Oct!D31</f>
        <v/>
      </c>
      <c r="M37" s="98">
        <f>Nov!D31</f>
        <v/>
      </c>
      <c r="N37" s="98">
        <f>Dec!D31</f>
        <v/>
      </c>
      <c r="O37" s="108">
        <f>IF($B37="","",SUM(C37:N37))</f>
        <v/>
      </c>
      <c r="P37" s="100">
        <f>IF($B37="","",IFERROR(O37/MAX(1,COUNTIF(C37:N37,"&gt;0")),0))</f>
        <v/>
      </c>
      <c r="Q37" s="100">
        <f>IF($B37="","",N(Jan!C31)+N(Feb!C31)+N(Mar!C31)+N(Apr!C31)+N(May!C31)+N(Jun!C31)+N(Jul!C31)+N(Aug!C31)+N(Sep!C31)+N(Oct!C31)+N(Nov!C31)+N(Dec!C31))</f>
        <v/>
      </c>
      <c r="R37" s="109">
        <f>IF($B37="","",IFERROR(O37/Q37,0))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>
      <c r="A38" s="1" t="n"/>
      <c r="B38" s="35">
        <f>Jan!B32</f>
        <v/>
      </c>
      <c r="C38" s="98">
        <f>Jan!D32</f>
        <v/>
      </c>
      <c r="D38" s="98">
        <f>Feb!D32</f>
        <v/>
      </c>
      <c r="E38" s="98">
        <f>Mar!D32</f>
        <v/>
      </c>
      <c r="F38" s="98">
        <f>Apr!D32</f>
        <v/>
      </c>
      <c r="G38" s="98">
        <f>May!D32</f>
        <v/>
      </c>
      <c r="H38" s="98">
        <f>Jun!D32</f>
        <v/>
      </c>
      <c r="I38" s="98">
        <f>Jul!D32</f>
        <v/>
      </c>
      <c r="J38" s="98">
        <f>Aug!D32</f>
        <v/>
      </c>
      <c r="K38" s="98">
        <f>Sep!D32</f>
        <v/>
      </c>
      <c r="L38" s="98">
        <f>Oct!D32</f>
        <v/>
      </c>
      <c r="M38" s="98">
        <f>Nov!D32</f>
        <v/>
      </c>
      <c r="N38" s="98">
        <f>Dec!D32</f>
        <v/>
      </c>
      <c r="O38" s="108">
        <f>IF($B38="","",SUM(C38:N38))</f>
        <v/>
      </c>
      <c r="P38" s="100">
        <f>IF($B38="","",IFERROR(O38/MAX(1,COUNTIF(C38:N38,"&gt;0")),0))</f>
        <v/>
      </c>
      <c r="Q38" s="100">
        <f>IF($B38="","",N(Jan!C32)+N(Feb!C32)+N(Mar!C32)+N(Apr!C32)+N(May!C32)+N(Jun!C32)+N(Jul!C32)+N(Aug!C32)+N(Sep!C32)+N(Oct!C32)+N(Nov!C32)+N(Dec!C32))</f>
        <v/>
      </c>
      <c r="R38" s="109">
        <f>IF($B38="","",IFERROR(O38/Q38,0))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>
      <c r="A39" s="1" t="n"/>
      <c r="B39" s="35">
        <f>Jan!B33</f>
        <v/>
      </c>
      <c r="C39" s="98">
        <f>Jan!D33</f>
        <v/>
      </c>
      <c r="D39" s="98">
        <f>Feb!D33</f>
        <v/>
      </c>
      <c r="E39" s="98">
        <f>Mar!D33</f>
        <v/>
      </c>
      <c r="F39" s="98">
        <f>Apr!D33</f>
        <v/>
      </c>
      <c r="G39" s="98">
        <f>May!D33</f>
        <v/>
      </c>
      <c r="H39" s="98">
        <f>Jun!D33</f>
        <v/>
      </c>
      <c r="I39" s="98">
        <f>Jul!D33</f>
        <v/>
      </c>
      <c r="J39" s="98">
        <f>Aug!D33</f>
        <v/>
      </c>
      <c r="K39" s="98">
        <f>Sep!D33</f>
        <v/>
      </c>
      <c r="L39" s="98">
        <f>Oct!D33</f>
        <v/>
      </c>
      <c r="M39" s="98">
        <f>Nov!D33</f>
        <v/>
      </c>
      <c r="N39" s="98">
        <f>Dec!D33</f>
        <v/>
      </c>
      <c r="O39" s="108">
        <f>IF($B39="","",SUM(C39:N39))</f>
        <v/>
      </c>
      <c r="P39" s="100">
        <f>IF($B39="","",IFERROR(O39/MAX(1,COUNTIF(C39:N39,"&gt;0")),0))</f>
        <v/>
      </c>
      <c r="Q39" s="100">
        <f>IF($B39="","",N(Jan!C33)+N(Feb!C33)+N(Mar!C33)+N(Apr!C33)+N(May!C33)+N(Jun!C33)+N(Jul!C33)+N(Aug!C33)+N(Sep!C33)+N(Oct!C33)+N(Nov!C33)+N(Dec!C33))</f>
        <v/>
      </c>
      <c r="R39" s="109">
        <f>IF($B39="","",IFERROR(O39/Q39,0))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>
      <c r="A40" s="1" t="n"/>
      <c r="B40" s="35">
        <f>Jan!B34</f>
        <v/>
      </c>
      <c r="C40" s="98">
        <f>Jan!D34</f>
        <v/>
      </c>
      <c r="D40" s="98">
        <f>Feb!D34</f>
        <v/>
      </c>
      <c r="E40" s="98">
        <f>Mar!D34</f>
        <v/>
      </c>
      <c r="F40" s="98">
        <f>Apr!D34</f>
        <v/>
      </c>
      <c r="G40" s="98">
        <f>May!D34</f>
        <v/>
      </c>
      <c r="H40" s="98">
        <f>Jun!D34</f>
        <v/>
      </c>
      <c r="I40" s="98">
        <f>Jul!D34</f>
        <v/>
      </c>
      <c r="J40" s="98">
        <f>Aug!D34</f>
        <v/>
      </c>
      <c r="K40" s="98">
        <f>Sep!D34</f>
        <v/>
      </c>
      <c r="L40" s="98">
        <f>Oct!D34</f>
        <v/>
      </c>
      <c r="M40" s="98">
        <f>Nov!D34</f>
        <v/>
      </c>
      <c r="N40" s="98">
        <f>Dec!D34</f>
        <v/>
      </c>
      <c r="O40" s="108">
        <f>IF($B40="","",SUM(C40:N40))</f>
        <v/>
      </c>
      <c r="P40" s="100">
        <f>IF($B40="","",IFERROR(O40/MAX(1,COUNTIF(C40:N40,"&gt;0")),0))</f>
        <v/>
      </c>
      <c r="Q40" s="100">
        <f>IF($B40="","",N(Jan!C34)+N(Feb!C34)+N(Mar!C34)+N(Apr!C34)+N(May!C34)+N(Jun!C34)+N(Jul!C34)+N(Aug!C34)+N(Sep!C34)+N(Oct!C34)+N(Nov!C34)+N(Dec!C34))</f>
        <v/>
      </c>
      <c r="R40" s="109">
        <f>IF($B40="","",IFERROR(O40/Q40,0))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>
      <c r="A41" s="1" t="n"/>
      <c r="B41" s="35">
        <f>Jan!B35</f>
        <v/>
      </c>
      <c r="C41" s="98">
        <f>Jan!D35</f>
        <v/>
      </c>
      <c r="D41" s="98">
        <f>Feb!D35</f>
        <v/>
      </c>
      <c r="E41" s="98">
        <f>Mar!D35</f>
        <v/>
      </c>
      <c r="F41" s="98">
        <f>Apr!D35</f>
        <v/>
      </c>
      <c r="G41" s="98">
        <f>May!D35</f>
        <v/>
      </c>
      <c r="H41" s="98">
        <f>Jun!D35</f>
        <v/>
      </c>
      <c r="I41" s="98">
        <f>Jul!D35</f>
        <v/>
      </c>
      <c r="J41" s="98">
        <f>Aug!D35</f>
        <v/>
      </c>
      <c r="K41" s="98">
        <f>Sep!D35</f>
        <v/>
      </c>
      <c r="L41" s="98">
        <f>Oct!D35</f>
        <v/>
      </c>
      <c r="M41" s="98">
        <f>Nov!D35</f>
        <v/>
      </c>
      <c r="N41" s="98">
        <f>Dec!D35</f>
        <v/>
      </c>
      <c r="O41" s="108">
        <f>IF($B41="","",SUM(C41:N41))</f>
        <v/>
      </c>
      <c r="P41" s="100">
        <f>IF($B41="","",IFERROR(O41/MAX(1,COUNTIF(C41:N41,"&gt;0")),0))</f>
        <v/>
      </c>
      <c r="Q41" s="100">
        <f>IF($B41="","",N(Jan!C35)+N(Feb!C35)+N(Mar!C35)+N(Apr!C35)+N(May!C35)+N(Jun!C35)+N(Jul!C35)+N(Aug!C35)+N(Sep!C35)+N(Oct!C35)+N(Nov!C35)+N(Dec!C35))</f>
        <v/>
      </c>
      <c r="R41" s="109">
        <f>IF($B41="","",IFERROR(O41/Q41,0))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>
      <c r="A42" s="1" t="n"/>
      <c r="B42" s="35">
        <f>Jan!B36</f>
        <v/>
      </c>
      <c r="C42" s="98">
        <f>Jan!D36</f>
        <v/>
      </c>
      <c r="D42" s="98">
        <f>Feb!D36</f>
        <v/>
      </c>
      <c r="E42" s="98">
        <f>Mar!D36</f>
        <v/>
      </c>
      <c r="F42" s="98">
        <f>Apr!D36</f>
        <v/>
      </c>
      <c r="G42" s="98">
        <f>May!D36</f>
        <v/>
      </c>
      <c r="H42" s="98">
        <f>Jun!D36</f>
        <v/>
      </c>
      <c r="I42" s="98">
        <f>Jul!D36</f>
        <v/>
      </c>
      <c r="J42" s="98">
        <f>Aug!D36</f>
        <v/>
      </c>
      <c r="K42" s="98">
        <f>Sep!D36</f>
        <v/>
      </c>
      <c r="L42" s="98">
        <f>Oct!D36</f>
        <v/>
      </c>
      <c r="M42" s="98">
        <f>Nov!D36</f>
        <v/>
      </c>
      <c r="N42" s="98">
        <f>Dec!D36</f>
        <v/>
      </c>
      <c r="O42" s="108">
        <f>IF($B42="","",SUM(C42:N42))</f>
        <v/>
      </c>
      <c r="P42" s="100">
        <f>IF($B42="","",IFERROR(O42/MAX(1,COUNTIF(C42:N42,"&gt;0")),0))</f>
        <v/>
      </c>
      <c r="Q42" s="100">
        <f>IF($B42="","",N(Jan!C36)+N(Feb!C36)+N(Mar!C36)+N(Apr!C36)+N(May!C36)+N(Jun!C36)+N(Jul!C36)+N(Aug!C36)+N(Sep!C36)+N(Oct!C36)+N(Nov!C36)+N(Dec!C36))</f>
        <v/>
      </c>
      <c r="R42" s="109">
        <f>IF($B42="","",IFERROR(O42/Q42,0))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>
      <c r="A43" s="1" t="n"/>
      <c r="B43" s="35">
        <f>Jan!B37</f>
        <v/>
      </c>
      <c r="C43" s="98">
        <f>Jan!D37</f>
        <v/>
      </c>
      <c r="D43" s="98">
        <f>Feb!D37</f>
        <v/>
      </c>
      <c r="E43" s="98">
        <f>Mar!D37</f>
        <v/>
      </c>
      <c r="F43" s="98">
        <f>Apr!D37</f>
        <v/>
      </c>
      <c r="G43" s="98">
        <f>May!D37</f>
        <v/>
      </c>
      <c r="H43" s="98">
        <f>Jun!D37</f>
        <v/>
      </c>
      <c r="I43" s="98">
        <f>Jul!D37</f>
        <v/>
      </c>
      <c r="J43" s="98">
        <f>Aug!D37</f>
        <v/>
      </c>
      <c r="K43" s="98">
        <f>Sep!D37</f>
        <v/>
      </c>
      <c r="L43" s="98">
        <f>Oct!D37</f>
        <v/>
      </c>
      <c r="M43" s="98">
        <f>Nov!D37</f>
        <v/>
      </c>
      <c r="N43" s="98">
        <f>Dec!D37</f>
        <v/>
      </c>
      <c r="O43" s="108">
        <f>IF($B43="","",SUM(C43:N43))</f>
        <v/>
      </c>
      <c r="P43" s="100">
        <f>IF($B43="","",IFERROR(O43/MAX(1,COUNTIF(C43:N43,"&gt;0")),0))</f>
        <v/>
      </c>
      <c r="Q43" s="100">
        <f>IF($B43="","",N(Jan!C37)+N(Feb!C37)+N(Mar!C37)+N(Apr!C37)+N(May!C37)+N(Jun!C37)+N(Jul!C37)+N(Aug!C37)+N(Sep!C37)+N(Oct!C37)+N(Nov!C37)+N(Dec!C37))</f>
        <v/>
      </c>
      <c r="R43" s="109">
        <f>IF($B43="","",IFERROR(O43/Q43,0))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>
      <c r="A44" s="1" t="n"/>
      <c r="B44" s="35">
        <f>Jan!B38</f>
        <v/>
      </c>
      <c r="C44" s="98">
        <f>Jan!D38</f>
        <v/>
      </c>
      <c r="D44" s="98">
        <f>Feb!D38</f>
        <v/>
      </c>
      <c r="E44" s="98">
        <f>Mar!D38</f>
        <v/>
      </c>
      <c r="F44" s="98">
        <f>Apr!D38</f>
        <v/>
      </c>
      <c r="G44" s="98">
        <f>May!D38</f>
        <v/>
      </c>
      <c r="H44" s="98">
        <f>Jun!D38</f>
        <v/>
      </c>
      <c r="I44" s="98">
        <f>Jul!D38</f>
        <v/>
      </c>
      <c r="J44" s="98">
        <f>Aug!D38</f>
        <v/>
      </c>
      <c r="K44" s="98">
        <f>Sep!D38</f>
        <v/>
      </c>
      <c r="L44" s="98">
        <f>Oct!D38</f>
        <v/>
      </c>
      <c r="M44" s="98">
        <f>Nov!D38</f>
        <v/>
      </c>
      <c r="N44" s="98">
        <f>Dec!D38</f>
        <v/>
      </c>
      <c r="O44" s="108">
        <f>IF($B44="","",SUM(C44:N44))</f>
        <v/>
      </c>
      <c r="P44" s="100">
        <f>IF($B44="","",IFERROR(O44/MAX(1,COUNTIF(C44:N44,"&gt;0")),0))</f>
        <v/>
      </c>
      <c r="Q44" s="100">
        <f>IF($B44="","",N(Jan!C38)+N(Feb!C38)+N(Mar!C38)+N(Apr!C38)+N(May!C38)+N(Jun!C38)+N(Jul!C38)+N(Aug!C38)+N(Sep!C38)+N(Oct!C38)+N(Nov!C38)+N(Dec!C38))</f>
        <v/>
      </c>
      <c r="R44" s="109">
        <f>IF($B44="","",IFERROR(O44/Q44,0))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>
      <c r="A45" s="1" t="n"/>
      <c r="B45" s="35">
        <f>Jan!B39</f>
        <v/>
      </c>
      <c r="C45" s="98">
        <f>Jan!D39</f>
        <v/>
      </c>
      <c r="D45" s="98">
        <f>Feb!D39</f>
        <v/>
      </c>
      <c r="E45" s="98">
        <f>Mar!D39</f>
        <v/>
      </c>
      <c r="F45" s="98">
        <f>Apr!D39</f>
        <v/>
      </c>
      <c r="G45" s="98">
        <f>May!D39</f>
        <v/>
      </c>
      <c r="H45" s="98">
        <f>Jun!D39</f>
        <v/>
      </c>
      <c r="I45" s="98">
        <f>Jul!D39</f>
        <v/>
      </c>
      <c r="J45" s="98">
        <f>Aug!D39</f>
        <v/>
      </c>
      <c r="K45" s="98">
        <f>Sep!D39</f>
        <v/>
      </c>
      <c r="L45" s="98">
        <f>Oct!D39</f>
        <v/>
      </c>
      <c r="M45" s="98">
        <f>Nov!D39</f>
        <v/>
      </c>
      <c r="N45" s="98">
        <f>Dec!D39</f>
        <v/>
      </c>
      <c r="O45" s="108">
        <f>IF($B45="","",SUM(C45:N45))</f>
        <v/>
      </c>
      <c r="P45" s="100">
        <f>IF($B45="","",IFERROR(O45/MAX(1,COUNTIF(C45:N45,"&gt;0")),0))</f>
        <v/>
      </c>
      <c r="Q45" s="100">
        <f>IF($B45="","",N(Jan!C39)+N(Feb!C39)+N(Mar!C39)+N(Apr!C39)+N(May!C39)+N(Jun!C39)+N(Jul!C39)+N(Aug!C39)+N(Sep!C39)+N(Oct!C39)+N(Nov!C39)+N(Dec!C39))</f>
        <v/>
      </c>
      <c r="R45" s="109">
        <f>IF($B45="","",IFERROR(O45/Q45,0))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>
      <c r="A46" s="1" t="n"/>
      <c r="B46" s="35">
        <f>Jan!B40</f>
        <v/>
      </c>
      <c r="C46" s="98">
        <f>Jan!D40</f>
        <v/>
      </c>
      <c r="D46" s="98">
        <f>Feb!D40</f>
        <v/>
      </c>
      <c r="E46" s="98">
        <f>Mar!D40</f>
        <v/>
      </c>
      <c r="F46" s="98">
        <f>Apr!D40</f>
        <v/>
      </c>
      <c r="G46" s="98">
        <f>May!D40</f>
        <v/>
      </c>
      <c r="H46" s="98">
        <f>Jun!D40</f>
        <v/>
      </c>
      <c r="I46" s="98">
        <f>Jul!D40</f>
        <v/>
      </c>
      <c r="J46" s="98">
        <f>Aug!D40</f>
        <v/>
      </c>
      <c r="K46" s="98">
        <f>Sep!D40</f>
        <v/>
      </c>
      <c r="L46" s="98">
        <f>Oct!D40</f>
        <v/>
      </c>
      <c r="M46" s="98">
        <f>Nov!D40</f>
        <v/>
      </c>
      <c r="N46" s="98">
        <f>Dec!D40</f>
        <v/>
      </c>
      <c r="O46" s="108">
        <f>IF($B46="","",SUM(C46:N46))</f>
        <v/>
      </c>
      <c r="P46" s="100">
        <f>IF($B46="","",IFERROR(O46/MAX(1,COUNTIF(C46:N46,"&gt;0")),0))</f>
        <v/>
      </c>
      <c r="Q46" s="100">
        <f>IF($B46="","",N(Jan!C40)+N(Feb!C40)+N(Mar!C40)+N(Apr!C40)+N(May!C40)+N(Jun!C40)+N(Jul!C40)+N(Aug!C40)+N(Sep!C40)+N(Oct!C40)+N(Nov!C40)+N(Dec!C40))</f>
        <v/>
      </c>
      <c r="R46" s="109">
        <f>IF($B46="","",IFERROR(O46/Q46,0))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>
      <c r="A48" s="1" t="n"/>
      <c r="B48" s="29" t="inlineStr">
        <is>
          <t>SAVINGS — BY MONTH</t>
        </is>
      </c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>
      <c r="A49" s="1" t="n"/>
      <c r="B49" s="75" t="inlineStr">
        <is>
          <t>CATEGORY</t>
        </is>
      </c>
      <c r="C49" s="54">
        <f>TEXT(Jan!$C$6,"mmm")</f>
        <v/>
      </c>
      <c r="D49" s="54">
        <f>TEXT(Feb!$C$6,"mmm")</f>
        <v/>
      </c>
      <c r="E49" s="54">
        <f>TEXT(Mar!$C$6,"mmm")</f>
        <v/>
      </c>
      <c r="F49" s="54">
        <f>TEXT(Apr!$C$6,"mmm")</f>
        <v/>
      </c>
      <c r="G49" s="54">
        <f>TEXT(May!$C$6,"mmm")</f>
        <v/>
      </c>
      <c r="H49" s="54">
        <f>TEXT(Jun!$C$6,"mmm")</f>
        <v/>
      </c>
      <c r="I49" s="54">
        <f>TEXT(Jul!$C$6,"mmm")</f>
        <v/>
      </c>
      <c r="J49" s="54">
        <f>TEXT(Aug!$C$6,"mmm")</f>
        <v/>
      </c>
      <c r="K49" s="54">
        <f>TEXT(Sep!$C$6,"mmm")</f>
        <v/>
      </c>
      <c r="L49" s="54">
        <f>TEXT(Oct!$C$6,"mmm")</f>
        <v/>
      </c>
      <c r="M49" s="54">
        <f>TEXT(Nov!$C$6,"mmm")</f>
        <v/>
      </c>
      <c r="N49" s="54">
        <f>TEXT(Dec!$C$6,"mmm")</f>
        <v/>
      </c>
      <c r="O49" s="54" t="inlineStr">
        <is>
          <t>TOTAL</t>
        </is>
      </c>
      <c r="P49" s="54" t="inlineStr">
        <is>
          <t>AVERAGE</t>
        </is>
      </c>
      <c r="Q49" s="54" t="inlineStr">
        <is>
          <t>BUDGET</t>
        </is>
      </c>
      <c r="R49" s="54" t="inlineStr">
        <is>
          <t>% USED</t>
        </is>
      </c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>
      <c r="A50" s="1" t="n"/>
      <c r="B50" s="87" t="inlineStr">
        <is>
          <t>TOTAL</t>
        </is>
      </c>
      <c r="C50" s="108">
        <f>SUM(C51:C60)</f>
        <v/>
      </c>
      <c r="D50" s="108">
        <f>SUM(D51:D60)</f>
        <v/>
      </c>
      <c r="E50" s="108">
        <f>SUM(E51:E60)</f>
        <v/>
      </c>
      <c r="F50" s="108">
        <f>SUM(F51:F60)</f>
        <v/>
      </c>
      <c r="G50" s="108">
        <f>SUM(G51:G60)</f>
        <v/>
      </c>
      <c r="H50" s="108">
        <f>SUM(H51:H60)</f>
        <v/>
      </c>
      <c r="I50" s="108">
        <f>SUM(I51:I60)</f>
        <v/>
      </c>
      <c r="J50" s="108">
        <f>SUM(J51:J60)</f>
        <v/>
      </c>
      <c r="K50" s="108">
        <f>SUM(K51:K60)</f>
        <v/>
      </c>
      <c r="L50" s="108">
        <f>SUM(L51:L60)</f>
        <v/>
      </c>
      <c r="M50" s="108">
        <f>SUM(M51:M60)</f>
        <v/>
      </c>
      <c r="N50" s="108">
        <f>SUM(N51:N60)</f>
        <v/>
      </c>
      <c r="O50" s="108">
        <f>SUM(O51:O60)</f>
        <v/>
      </c>
      <c r="P50" s="108">
        <f>SUM(P51:P60)</f>
        <v/>
      </c>
      <c r="Q50" s="108">
        <f>SUM(Q51:Q60)</f>
        <v/>
      </c>
      <c r="R50" s="101">
        <f>IFERROR(O50/Q50,0)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>
      <c r="A51" s="1" t="n"/>
      <c r="B51" s="35">
        <f>Jan!G31</f>
        <v/>
      </c>
      <c r="C51" s="98">
        <f>Jan!I31</f>
        <v/>
      </c>
      <c r="D51" s="98">
        <f>Feb!I31</f>
        <v/>
      </c>
      <c r="E51" s="98">
        <f>Mar!I31</f>
        <v/>
      </c>
      <c r="F51" s="98">
        <f>Apr!I31</f>
        <v/>
      </c>
      <c r="G51" s="98">
        <f>May!I31</f>
        <v/>
      </c>
      <c r="H51" s="98">
        <f>Jun!I31</f>
        <v/>
      </c>
      <c r="I51" s="98">
        <f>Jul!I31</f>
        <v/>
      </c>
      <c r="J51" s="98">
        <f>Aug!I31</f>
        <v/>
      </c>
      <c r="K51" s="98">
        <f>Sep!I31</f>
        <v/>
      </c>
      <c r="L51" s="98">
        <f>Oct!I31</f>
        <v/>
      </c>
      <c r="M51" s="98">
        <f>Nov!I31</f>
        <v/>
      </c>
      <c r="N51" s="98">
        <f>Dec!I31</f>
        <v/>
      </c>
      <c r="O51" s="108">
        <f>IF($B51="","",SUM(C51:N51))</f>
        <v/>
      </c>
      <c r="P51" s="100">
        <f>IF($B51="","",IFERROR(O51/MAX(1,COUNTIF(C51:N51,"&gt;0")),0))</f>
        <v/>
      </c>
      <c r="Q51" s="100">
        <f>IF($B51="","",N(Jan!H31)+N(Feb!H31)+N(Mar!H31)+N(Apr!H31)+N(May!H31)+N(Jun!H31)+N(Jul!H31)+N(Aug!H31)+N(Sep!H31)+N(Oct!H31)+N(Nov!H31)+N(Dec!H31))</f>
        <v/>
      </c>
      <c r="R51" s="109">
        <f>IF($B51="","",IFERROR(O51/Q51,0))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>
      <c r="A52" s="1" t="n"/>
      <c r="B52" s="35">
        <f>Jan!G32</f>
        <v/>
      </c>
      <c r="C52" s="98">
        <f>Jan!I32</f>
        <v/>
      </c>
      <c r="D52" s="98">
        <f>Feb!I32</f>
        <v/>
      </c>
      <c r="E52" s="98">
        <f>Mar!I32</f>
        <v/>
      </c>
      <c r="F52" s="98">
        <f>Apr!I32</f>
        <v/>
      </c>
      <c r="G52" s="98">
        <f>May!I32</f>
        <v/>
      </c>
      <c r="H52" s="98">
        <f>Jun!I32</f>
        <v/>
      </c>
      <c r="I52" s="98">
        <f>Jul!I32</f>
        <v/>
      </c>
      <c r="J52" s="98">
        <f>Aug!I32</f>
        <v/>
      </c>
      <c r="K52" s="98">
        <f>Sep!I32</f>
        <v/>
      </c>
      <c r="L52" s="98">
        <f>Oct!I32</f>
        <v/>
      </c>
      <c r="M52" s="98">
        <f>Nov!I32</f>
        <v/>
      </c>
      <c r="N52" s="98">
        <f>Dec!I32</f>
        <v/>
      </c>
      <c r="O52" s="108">
        <f>IF($B52="","",SUM(C52:N52))</f>
        <v/>
      </c>
      <c r="P52" s="100">
        <f>IF($B52="","",IFERROR(O52/MAX(1,COUNTIF(C52:N52,"&gt;0")),0))</f>
        <v/>
      </c>
      <c r="Q52" s="100">
        <f>IF($B52="","",N(Jan!H32)+N(Feb!H32)+N(Mar!H32)+N(Apr!H32)+N(May!H32)+N(Jun!H32)+N(Jul!H32)+N(Aug!H32)+N(Sep!H32)+N(Oct!H32)+N(Nov!H32)+N(Dec!H32))</f>
        <v/>
      </c>
      <c r="R52" s="109">
        <f>IF($B52="","",IFERROR(O52/Q52,0))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>
      <c r="A53" s="1" t="n"/>
      <c r="B53" s="35">
        <f>Jan!G33</f>
        <v/>
      </c>
      <c r="C53" s="98">
        <f>Jan!I33</f>
        <v/>
      </c>
      <c r="D53" s="98">
        <f>Feb!I33</f>
        <v/>
      </c>
      <c r="E53" s="98">
        <f>Mar!I33</f>
        <v/>
      </c>
      <c r="F53" s="98">
        <f>Apr!I33</f>
        <v/>
      </c>
      <c r="G53" s="98">
        <f>May!I33</f>
        <v/>
      </c>
      <c r="H53" s="98">
        <f>Jun!I33</f>
        <v/>
      </c>
      <c r="I53" s="98">
        <f>Jul!I33</f>
        <v/>
      </c>
      <c r="J53" s="98">
        <f>Aug!I33</f>
        <v/>
      </c>
      <c r="K53" s="98">
        <f>Sep!I33</f>
        <v/>
      </c>
      <c r="L53" s="98">
        <f>Oct!I33</f>
        <v/>
      </c>
      <c r="M53" s="98">
        <f>Nov!I33</f>
        <v/>
      </c>
      <c r="N53" s="98">
        <f>Dec!I33</f>
        <v/>
      </c>
      <c r="O53" s="108">
        <f>IF($B53="","",SUM(C53:N53))</f>
        <v/>
      </c>
      <c r="P53" s="100">
        <f>IF($B53="","",IFERROR(O53/MAX(1,COUNTIF(C53:N53,"&gt;0")),0))</f>
        <v/>
      </c>
      <c r="Q53" s="100">
        <f>IF($B53="","",N(Jan!H33)+N(Feb!H33)+N(Mar!H33)+N(Apr!H33)+N(May!H33)+N(Jun!H33)+N(Jul!H33)+N(Aug!H33)+N(Sep!H33)+N(Oct!H33)+N(Nov!H33)+N(Dec!H33))</f>
        <v/>
      </c>
      <c r="R53" s="109">
        <f>IF($B53="","",IFERROR(O53/Q53,0))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>
      <c r="A54" s="1" t="n"/>
      <c r="B54" s="35">
        <f>Jan!G34</f>
        <v/>
      </c>
      <c r="C54" s="98">
        <f>Jan!I34</f>
        <v/>
      </c>
      <c r="D54" s="98">
        <f>Feb!I34</f>
        <v/>
      </c>
      <c r="E54" s="98">
        <f>Mar!I34</f>
        <v/>
      </c>
      <c r="F54" s="98">
        <f>Apr!I34</f>
        <v/>
      </c>
      <c r="G54" s="98">
        <f>May!I34</f>
        <v/>
      </c>
      <c r="H54" s="98">
        <f>Jun!I34</f>
        <v/>
      </c>
      <c r="I54" s="98">
        <f>Jul!I34</f>
        <v/>
      </c>
      <c r="J54" s="98">
        <f>Aug!I34</f>
        <v/>
      </c>
      <c r="K54" s="98">
        <f>Sep!I34</f>
        <v/>
      </c>
      <c r="L54" s="98">
        <f>Oct!I34</f>
        <v/>
      </c>
      <c r="M54" s="98">
        <f>Nov!I34</f>
        <v/>
      </c>
      <c r="N54" s="98">
        <f>Dec!I34</f>
        <v/>
      </c>
      <c r="O54" s="108">
        <f>IF($B54="","",SUM(C54:N54))</f>
        <v/>
      </c>
      <c r="P54" s="100">
        <f>IF($B54="","",IFERROR(O54/MAX(1,COUNTIF(C54:N54,"&gt;0")),0))</f>
        <v/>
      </c>
      <c r="Q54" s="100">
        <f>IF($B54="","",N(Jan!H34)+N(Feb!H34)+N(Mar!H34)+N(Apr!H34)+N(May!H34)+N(Jun!H34)+N(Jul!H34)+N(Aug!H34)+N(Sep!H34)+N(Oct!H34)+N(Nov!H34)+N(Dec!H34))</f>
        <v/>
      </c>
      <c r="R54" s="109">
        <f>IF($B54="","",IFERROR(O54/Q54,0))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>
      <c r="A55" s="1" t="n"/>
      <c r="B55" s="35">
        <f>Jan!G35</f>
        <v/>
      </c>
      <c r="C55" s="98">
        <f>Jan!I35</f>
        <v/>
      </c>
      <c r="D55" s="98">
        <f>Feb!I35</f>
        <v/>
      </c>
      <c r="E55" s="98">
        <f>Mar!I35</f>
        <v/>
      </c>
      <c r="F55" s="98">
        <f>Apr!I35</f>
        <v/>
      </c>
      <c r="G55" s="98">
        <f>May!I35</f>
        <v/>
      </c>
      <c r="H55" s="98">
        <f>Jun!I35</f>
        <v/>
      </c>
      <c r="I55" s="98">
        <f>Jul!I35</f>
        <v/>
      </c>
      <c r="J55" s="98">
        <f>Aug!I35</f>
        <v/>
      </c>
      <c r="K55" s="98">
        <f>Sep!I35</f>
        <v/>
      </c>
      <c r="L55" s="98">
        <f>Oct!I35</f>
        <v/>
      </c>
      <c r="M55" s="98">
        <f>Nov!I35</f>
        <v/>
      </c>
      <c r="N55" s="98">
        <f>Dec!I35</f>
        <v/>
      </c>
      <c r="O55" s="108">
        <f>IF($B55="","",SUM(C55:N55))</f>
        <v/>
      </c>
      <c r="P55" s="100">
        <f>IF($B55="","",IFERROR(O55/MAX(1,COUNTIF(C55:N55,"&gt;0")),0))</f>
        <v/>
      </c>
      <c r="Q55" s="100">
        <f>IF($B55="","",N(Jan!H35)+N(Feb!H35)+N(Mar!H35)+N(Apr!H35)+N(May!H35)+N(Jun!H35)+N(Jul!H35)+N(Aug!H35)+N(Sep!H35)+N(Oct!H35)+N(Nov!H35)+N(Dec!H35))</f>
        <v/>
      </c>
      <c r="R55" s="109">
        <f>IF($B55="","",IFERROR(O55/Q55,0))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>
      <c r="A56" s="1" t="n"/>
      <c r="B56" s="35">
        <f>Jan!G36</f>
        <v/>
      </c>
      <c r="C56" s="98">
        <f>Jan!I36</f>
        <v/>
      </c>
      <c r="D56" s="98">
        <f>Feb!I36</f>
        <v/>
      </c>
      <c r="E56" s="98">
        <f>Mar!I36</f>
        <v/>
      </c>
      <c r="F56" s="98">
        <f>Apr!I36</f>
        <v/>
      </c>
      <c r="G56" s="98">
        <f>May!I36</f>
        <v/>
      </c>
      <c r="H56" s="98">
        <f>Jun!I36</f>
        <v/>
      </c>
      <c r="I56" s="98">
        <f>Jul!I36</f>
        <v/>
      </c>
      <c r="J56" s="98">
        <f>Aug!I36</f>
        <v/>
      </c>
      <c r="K56" s="98">
        <f>Sep!I36</f>
        <v/>
      </c>
      <c r="L56" s="98">
        <f>Oct!I36</f>
        <v/>
      </c>
      <c r="M56" s="98">
        <f>Nov!I36</f>
        <v/>
      </c>
      <c r="N56" s="98">
        <f>Dec!I36</f>
        <v/>
      </c>
      <c r="O56" s="108">
        <f>IF($B56="","",SUM(C56:N56))</f>
        <v/>
      </c>
      <c r="P56" s="100">
        <f>IF($B56="","",IFERROR(O56/MAX(1,COUNTIF(C56:N56,"&gt;0")),0))</f>
        <v/>
      </c>
      <c r="Q56" s="100">
        <f>IF($B56="","",N(Jan!H36)+N(Feb!H36)+N(Mar!H36)+N(Apr!H36)+N(May!H36)+N(Jun!H36)+N(Jul!H36)+N(Aug!H36)+N(Sep!H36)+N(Oct!H36)+N(Nov!H36)+N(Dec!H36))</f>
        <v/>
      </c>
      <c r="R56" s="109">
        <f>IF($B56="","",IFERROR(O56/Q56,0))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>
      <c r="A57" s="1" t="n"/>
      <c r="B57" s="35">
        <f>Jan!G37</f>
        <v/>
      </c>
      <c r="C57" s="98">
        <f>Jan!I37</f>
        <v/>
      </c>
      <c r="D57" s="98">
        <f>Feb!I37</f>
        <v/>
      </c>
      <c r="E57" s="98">
        <f>Mar!I37</f>
        <v/>
      </c>
      <c r="F57" s="98">
        <f>Apr!I37</f>
        <v/>
      </c>
      <c r="G57" s="98">
        <f>May!I37</f>
        <v/>
      </c>
      <c r="H57" s="98">
        <f>Jun!I37</f>
        <v/>
      </c>
      <c r="I57" s="98">
        <f>Jul!I37</f>
        <v/>
      </c>
      <c r="J57" s="98">
        <f>Aug!I37</f>
        <v/>
      </c>
      <c r="K57" s="98">
        <f>Sep!I37</f>
        <v/>
      </c>
      <c r="L57" s="98">
        <f>Oct!I37</f>
        <v/>
      </c>
      <c r="M57" s="98">
        <f>Nov!I37</f>
        <v/>
      </c>
      <c r="N57" s="98">
        <f>Dec!I37</f>
        <v/>
      </c>
      <c r="O57" s="108">
        <f>IF($B57="","",SUM(C57:N57))</f>
        <v/>
      </c>
      <c r="P57" s="100">
        <f>IF($B57="","",IFERROR(O57/MAX(1,COUNTIF(C57:N57,"&gt;0")),0))</f>
        <v/>
      </c>
      <c r="Q57" s="100">
        <f>IF($B57="","",N(Jan!H37)+N(Feb!H37)+N(Mar!H37)+N(Apr!H37)+N(May!H37)+N(Jun!H37)+N(Jul!H37)+N(Aug!H37)+N(Sep!H37)+N(Oct!H37)+N(Nov!H37)+N(Dec!H37))</f>
        <v/>
      </c>
      <c r="R57" s="109">
        <f>IF($B57="","",IFERROR(O57/Q57,0))</f>
        <v/>
      </c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>
      <c r="A58" s="1" t="n"/>
      <c r="B58" s="35">
        <f>Jan!G38</f>
        <v/>
      </c>
      <c r="C58" s="98">
        <f>Jan!I38</f>
        <v/>
      </c>
      <c r="D58" s="98">
        <f>Feb!I38</f>
        <v/>
      </c>
      <c r="E58" s="98">
        <f>Mar!I38</f>
        <v/>
      </c>
      <c r="F58" s="98">
        <f>Apr!I38</f>
        <v/>
      </c>
      <c r="G58" s="98">
        <f>May!I38</f>
        <v/>
      </c>
      <c r="H58" s="98">
        <f>Jun!I38</f>
        <v/>
      </c>
      <c r="I58" s="98">
        <f>Jul!I38</f>
        <v/>
      </c>
      <c r="J58" s="98">
        <f>Aug!I38</f>
        <v/>
      </c>
      <c r="K58" s="98">
        <f>Sep!I38</f>
        <v/>
      </c>
      <c r="L58" s="98">
        <f>Oct!I38</f>
        <v/>
      </c>
      <c r="M58" s="98">
        <f>Nov!I38</f>
        <v/>
      </c>
      <c r="N58" s="98">
        <f>Dec!I38</f>
        <v/>
      </c>
      <c r="O58" s="108">
        <f>IF($B58="","",SUM(C58:N58))</f>
        <v/>
      </c>
      <c r="P58" s="100">
        <f>IF($B58="","",IFERROR(O58/MAX(1,COUNTIF(C58:N58,"&gt;0")),0))</f>
        <v/>
      </c>
      <c r="Q58" s="100">
        <f>IF($B58="","",N(Jan!H38)+N(Feb!H38)+N(Mar!H38)+N(Apr!H38)+N(May!H38)+N(Jun!H38)+N(Jul!H38)+N(Aug!H38)+N(Sep!H38)+N(Oct!H38)+N(Nov!H38)+N(Dec!H38))</f>
        <v/>
      </c>
      <c r="R58" s="109">
        <f>IF($B58="","",IFERROR(O58/Q58,0))</f>
        <v/>
      </c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>
      <c r="A59" s="1" t="n"/>
      <c r="B59" s="35">
        <f>Jan!G39</f>
        <v/>
      </c>
      <c r="C59" s="98">
        <f>Jan!I39</f>
        <v/>
      </c>
      <c r="D59" s="98">
        <f>Feb!I39</f>
        <v/>
      </c>
      <c r="E59" s="98">
        <f>Mar!I39</f>
        <v/>
      </c>
      <c r="F59" s="98">
        <f>Apr!I39</f>
        <v/>
      </c>
      <c r="G59" s="98">
        <f>May!I39</f>
        <v/>
      </c>
      <c r="H59" s="98">
        <f>Jun!I39</f>
        <v/>
      </c>
      <c r="I59" s="98">
        <f>Jul!I39</f>
        <v/>
      </c>
      <c r="J59" s="98">
        <f>Aug!I39</f>
        <v/>
      </c>
      <c r="K59" s="98">
        <f>Sep!I39</f>
        <v/>
      </c>
      <c r="L59" s="98">
        <f>Oct!I39</f>
        <v/>
      </c>
      <c r="M59" s="98">
        <f>Nov!I39</f>
        <v/>
      </c>
      <c r="N59" s="98">
        <f>Dec!I39</f>
        <v/>
      </c>
      <c r="O59" s="108">
        <f>IF($B59="","",SUM(C59:N59))</f>
        <v/>
      </c>
      <c r="P59" s="100">
        <f>IF($B59="","",IFERROR(O59/MAX(1,COUNTIF(C59:N59,"&gt;0")),0))</f>
        <v/>
      </c>
      <c r="Q59" s="100">
        <f>IF($B59="","",N(Jan!H39)+N(Feb!H39)+N(Mar!H39)+N(Apr!H39)+N(May!H39)+N(Jun!H39)+N(Jul!H39)+N(Aug!H39)+N(Sep!H39)+N(Oct!H39)+N(Nov!H39)+N(Dec!H39))</f>
        <v/>
      </c>
      <c r="R59" s="109">
        <f>IF($B59="","",IFERROR(O59/Q59,0))</f>
        <v/>
      </c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>
      <c r="A60" s="1" t="n"/>
      <c r="B60" s="35">
        <f>Jan!G40</f>
        <v/>
      </c>
      <c r="C60" s="98">
        <f>Jan!I40</f>
        <v/>
      </c>
      <c r="D60" s="98">
        <f>Feb!I40</f>
        <v/>
      </c>
      <c r="E60" s="98">
        <f>Mar!I40</f>
        <v/>
      </c>
      <c r="F60" s="98">
        <f>Apr!I40</f>
        <v/>
      </c>
      <c r="G60" s="98">
        <f>May!I40</f>
        <v/>
      </c>
      <c r="H60" s="98">
        <f>Jun!I40</f>
        <v/>
      </c>
      <c r="I60" s="98">
        <f>Jul!I40</f>
        <v/>
      </c>
      <c r="J60" s="98">
        <f>Aug!I40</f>
        <v/>
      </c>
      <c r="K60" s="98">
        <f>Sep!I40</f>
        <v/>
      </c>
      <c r="L60" s="98">
        <f>Oct!I40</f>
        <v/>
      </c>
      <c r="M60" s="98">
        <f>Nov!I40</f>
        <v/>
      </c>
      <c r="N60" s="98">
        <f>Dec!I40</f>
        <v/>
      </c>
      <c r="O60" s="108">
        <f>IF($B60="","",SUM(C60:N60))</f>
        <v/>
      </c>
      <c r="P60" s="100">
        <f>IF($B60="","",IFERROR(O60/MAX(1,COUNTIF(C60:N60,"&gt;0")),0))</f>
        <v/>
      </c>
      <c r="Q60" s="100">
        <f>IF($B60="","",N(Jan!H40)+N(Feb!H40)+N(Mar!H40)+N(Apr!H40)+N(May!H40)+N(Jun!H40)+N(Jul!H40)+N(Aug!H40)+N(Sep!H40)+N(Oct!H40)+N(Nov!H40)+N(Dec!H40))</f>
        <v/>
      </c>
      <c r="R60" s="109">
        <f>IF($B60="","",IFERROR(O60/Q60,0))</f>
        <v/>
      </c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>
      <c r="A62" s="1" t="n"/>
      <c r="B62" s="21" t="inlineStr">
        <is>
          <t>BILLS — BY MONTH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>
      <c r="A63" s="1" t="n"/>
      <c r="B63" s="75" t="inlineStr">
        <is>
          <t>CATEGORY</t>
        </is>
      </c>
      <c r="C63" s="54">
        <f>TEXT(Jan!$C$6,"mmm")</f>
        <v/>
      </c>
      <c r="D63" s="54">
        <f>TEXT(Feb!$C$6,"mmm")</f>
        <v/>
      </c>
      <c r="E63" s="54">
        <f>TEXT(Mar!$C$6,"mmm")</f>
        <v/>
      </c>
      <c r="F63" s="54">
        <f>TEXT(Apr!$C$6,"mmm")</f>
        <v/>
      </c>
      <c r="G63" s="54">
        <f>TEXT(May!$C$6,"mmm")</f>
        <v/>
      </c>
      <c r="H63" s="54">
        <f>TEXT(Jun!$C$6,"mmm")</f>
        <v/>
      </c>
      <c r="I63" s="54">
        <f>TEXT(Jul!$C$6,"mmm")</f>
        <v/>
      </c>
      <c r="J63" s="54">
        <f>TEXT(Aug!$C$6,"mmm")</f>
        <v/>
      </c>
      <c r="K63" s="54">
        <f>TEXT(Sep!$C$6,"mmm")</f>
        <v/>
      </c>
      <c r="L63" s="54">
        <f>TEXT(Oct!$C$6,"mmm")</f>
        <v/>
      </c>
      <c r="M63" s="54">
        <f>TEXT(Nov!$C$6,"mmm")</f>
        <v/>
      </c>
      <c r="N63" s="54">
        <f>TEXT(Dec!$C$6,"mmm")</f>
        <v/>
      </c>
      <c r="O63" s="54" t="inlineStr">
        <is>
          <t>TOTAL</t>
        </is>
      </c>
      <c r="P63" s="54" t="inlineStr">
        <is>
          <t>AVERAGE</t>
        </is>
      </c>
      <c r="Q63" s="54" t="inlineStr">
        <is>
          <t>BUDGET</t>
        </is>
      </c>
      <c r="R63" s="54" t="inlineStr">
        <is>
          <t>% USED</t>
        </is>
      </c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>
      <c r="A64" s="1" t="n"/>
      <c r="B64" s="87" t="inlineStr">
        <is>
          <t>TOTAL</t>
        </is>
      </c>
      <c r="C64" s="108">
        <f>SUM(C65:C79)</f>
        <v/>
      </c>
      <c r="D64" s="108">
        <f>SUM(D65:D79)</f>
        <v/>
      </c>
      <c r="E64" s="108">
        <f>SUM(E65:E79)</f>
        <v/>
      </c>
      <c r="F64" s="108">
        <f>SUM(F65:F79)</f>
        <v/>
      </c>
      <c r="G64" s="108">
        <f>SUM(G65:G79)</f>
        <v/>
      </c>
      <c r="H64" s="108">
        <f>SUM(H65:H79)</f>
        <v/>
      </c>
      <c r="I64" s="108">
        <f>SUM(I65:I79)</f>
        <v/>
      </c>
      <c r="J64" s="108">
        <f>SUM(J65:J79)</f>
        <v/>
      </c>
      <c r="K64" s="108">
        <f>SUM(K65:K79)</f>
        <v/>
      </c>
      <c r="L64" s="108">
        <f>SUM(L65:L79)</f>
        <v/>
      </c>
      <c r="M64" s="108">
        <f>SUM(M65:M79)</f>
        <v/>
      </c>
      <c r="N64" s="108">
        <f>SUM(N65:N79)</f>
        <v/>
      </c>
      <c r="O64" s="108">
        <f>SUM(O65:O79)</f>
        <v/>
      </c>
      <c r="P64" s="108">
        <f>SUM(P65:P79)</f>
        <v/>
      </c>
      <c r="Q64" s="108">
        <f>SUM(Q65:Q79)</f>
        <v/>
      </c>
      <c r="R64" s="101">
        <f>IFERROR(O64/Q64,0)</f>
        <v/>
      </c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>
      <c r="A65" s="1" t="n"/>
      <c r="B65" s="35">
        <f>Jan!L31</f>
        <v/>
      </c>
      <c r="C65" s="98">
        <f>Jan!N31</f>
        <v/>
      </c>
      <c r="D65" s="98">
        <f>Feb!N31</f>
        <v/>
      </c>
      <c r="E65" s="98">
        <f>Mar!N31</f>
        <v/>
      </c>
      <c r="F65" s="98">
        <f>Apr!N31</f>
        <v/>
      </c>
      <c r="G65" s="98">
        <f>May!N31</f>
        <v/>
      </c>
      <c r="H65" s="98">
        <f>Jun!N31</f>
        <v/>
      </c>
      <c r="I65" s="98">
        <f>Jul!N31</f>
        <v/>
      </c>
      <c r="J65" s="98">
        <f>Aug!N31</f>
        <v/>
      </c>
      <c r="K65" s="98">
        <f>Sep!N31</f>
        <v/>
      </c>
      <c r="L65" s="98">
        <f>Oct!N31</f>
        <v/>
      </c>
      <c r="M65" s="98">
        <f>Nov!N31</f>
        <v/>
      </c>
      <c r="N65" s="98">
        <f>Dec!N31</f>
        <v/>
      </c>
      <c r="O65" s="108">
        <f>IF($B65="","",SUM(C65:N65))</f>
        <v/>
      </c>
      <c r="P65" s="100">
        <f>IF($B65="","",IFERROR(O65/MAX(1,COUNTIF(C65:N65,"&gt;0")),0))</f>
        <v/>
      </c>
      <c r="Q65" s="100">
        <f>IF($B65="","",N(Jan!M31)+N(Feb!M31)+N(Mar!M31)+N(Apr!M31)+N(May!M31)+N(Jun!M31)+N(Jul!M31)+N(Aug!M31)+N(Sep!M31)+N(Oct!M31)+N(Nov!M31)+N(Dec!M31))</f>
        <v/>
      </c>
      <c r="R65" s="109">
        <f>IF($B65="","",IFERROR(O65/Q65,0))</f>
        <v/>
      </c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>
      <c r="A66" s="1" t="n"/>
      <c r="B66" s="35">
        <f>Jan!L32</f>
        <v/>
      </c>
      <c r="C66" s="98">
        <f>Jan!N32</f>
        <v/>
      </c>
      <c r="D66" s="98">
        <f>Feb!N32</f>
        <v/>
      </c>
      <c r="E66" s="98">
        <f>Mar!N32</f>
        <v/>
      </c>
      <c r="F66" s="98">
        <f>Apr!N32</f>
        <v/>
      </c>
      <c r="G66" s="98">
        <f>May!N32</f>
        <v/>
      </c>
      <c r="H66" s="98">
        <f>Jun!N32</f>
        <v/>
      </c>
      <c r="I66" s="98">
        <f>Jul!N32</f>
        <v/>
      </c>
      <c r="J66" s="98">
        <f>Aug!N32</f>
        <v/>
      </c>
      <c r="K66" s="98">
        <f>Sep!N32</f>
        <v/>
      </c>
      <c r="L66" s="98">
        <f>Oct!N32</f>
        <v/>
      </c>
      <c r="M66" s="98">
        <f>Nov!N32</f>
        <v/>
      </c>
      <c r="N66" s="98">
        <f>Dec!N32</f>
        <v/>
      </c>
      <c r="O66" s="108">
        <f>IF($B66="","",SUM(C66:N66))</f>
        <v/>
      </c>
      <c r="P66" s="100">
        <f>IF($B66="","",IFERROR(O66/MAX(1,COUNTIF(C66:N66,"&gt;0")),0))</f>
        <v/>
      </c>
      <c r="Q66" s="100">
        <f>IF($B66="","",N(Jan!M32)+N(Feb!M32)+N(Mar!M32)+N(Apr!M32)+N(May!M32)+N(Jun!M32)+N(Jul!M32)+N(Aug!M32)+N(Sep!M32)+N(Oct!M32)+N(Nov!M32)+N(Dec!M32))</f>
        <v/>
      </c>
      <c r="R66" s="109">
        <f>IF($B66="","",IFERROR(O66/Q66,0))</f>
        <v/>
      </c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>
      <c r="A67" s="1" t="n"/>
      <c r="B67" s="35">
        <f>Jan!L33</f>
        <v/>
      </c>
      <c r="C67" s="98">
        <f>Jan!N33</f>
        <v/>
      </c>
      <c r="D67" s="98">
        <f>Feb!N33</f>
        <v/>
      </c>
      <c r="E67" s="98">
        <f>Mar!N33</f>
        <v/>
      </c>
      <c r="F67" s="98">
        <f>Apr!N33</f>
        <v/>
      </c>
      <c r="G67" s="98">
        <f>May!N33</f>
        <v/>
      </c>
      <c r="H67" s="98">
        <f>Jun!N33</f>
        <v/>
      </c>
      <c r="I67" s="98">
        <f>Jul!N33</f>
        <v/>
      </c>
      <c r="J67" s="98">
        <f>Aug!N33</f>
        <v/>
      </c>
      <c r="K67" s="98">
        <f>Sep!N33</f>
        <v/>
      </c>
      <c r="L67" s="98">
        <f>Oct!N33</f>
        <v/>
      </c>
      <c r="M67" s="98">
        <f>Nov!N33</f>
        <v/>
      </c>
      <c r="N67" s="98">
        <f>Dec!N33</f>
        <v/>
      </c>
      <c r="O67" s="108">
        <f>IF($B67="","",SUM(C67:N67))</f>
        <v/>
      </c>
      <c r="P67" s="100">
        <f>IF($B67="","",IFERROR(O67/MAX(1,COUNTIF(C67:N67,"&gt;0")),0))</f>
        <v/>
      </c>
      <c r="Q67" s="100">
        <f>IF($B67="","",N(Jan!M33)+N(Feb!M33)+N(Mar!M33)+N(Apr!M33)+N(May!M33)+N(Jun!M33)+N(Jul!M33)+N(Aug!M33)+N(Sep!M33)+N(Oct!M33)+N(Nov!M33)+N(Dec!M33))</f>
        <v/>
      </c>
      <c r="R67" s="109">
        <f>IF($B67="","",IFERROR(O67/Q67,0))</f>
        <v/>
      </c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>
      <c r="A68" s="1" t="n"/>
      <c r="B68" s="35">
        <f>Jan!L34</f>
        <v/>
      </c>
      <c r="C68" s="98">
        <f>Jan!N34</f>
        <v/>
      </c>
      <c r="D68" s="98">
        <f>Feb!N34</f>
        <v/>
      </c>
      <c r="E68" s="98">
        <f>Mar!N34</f>
        <v/>
      </c>
      <c r="F68" s="98">
        <f>Apr!N34</f>
        <v/>
      </c>
      <c r="G68" s="98">
        <f>May!N34</f>
        <v/>
      </c>
      <c r="H68" s="98">
        <f>Jun!N34</f>
        <v/>
      </c>
      <c r="I68" s="98">
        <f>Jul!N34</f>
        <v/>
      </c>
      <c r="J68" s="98">
        <f>Aug!N34</f>
        <v/>
      </c>
      <c r="K68" s="98">
        <f>Sep!N34</f>
        <v/>
      </c>
      <c r="L68" s="98">
        <f>Oct!N34</f>
        <v/>
      </c>
      <c r="M68" s="98">
        <f>Nov!N34</f>
        <v/>
      </c>
      <c r="N68" s="98">
        <f>Dec!N34</f>
        <v/>
      </c>
      <c r="O68" s="108">
        <f>IF($B68="","",SUM(C68:N68))</f>
        <v/>
      </c>
      <c r="P68" s="100">
        <f>IF($B68="","",IFERROR(O68/MAX(1,COUNTIF(C68:N68,"&gt;0")),0))</f>
        <v/>
      </c>
      <c r="Q68" s="100">
        <f>IF($B68="","",N(Jan!M34)+N(Feb!M34)+N(Mar!M34)+N(Apr!M34)+N(May!M34)+N(Jun!M34)+N(Jul!M34)+N(Aug!M34)+N(Sep!M34)+N(Oct!M34)+N(Nov!M34)+N(Dec!M34))</f>
        <v/>
      </c>
      <c r="R68" s="109">
        <f>IF($B68="","",IFERROR(O68/Q68,0))</f>
        <v/>
      </c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>
      <c r="A69" s="1" t="n"/>
      <c r="B69" s="35">
        <f>Jan!L35</f>
        <v/>
      </c>
      <c r="C69" s="98">
        <f>Jan!N35</f>
        <v/>
      </c>
      <c r="D69" s="98">
        <f>Feb!N35</f>
        <v/>
      </c>
      <c r="E69" s="98">
        <f>Mar!N35</f>
        <v/>
      </c>
      <c r="F69" s="98">
        <f>Apr!N35</f>
        <v/>
      </c>
      <c r="G69" s="98">
        <f>May!N35</f>
        <v/>
      </c>
      <c r="H69" s="98">
        <f>Jun!N35</f>
        <v/>
      </c>
      <c r="I69" s="98">
        <f>Jul!N35</f>
        <v/>
      </c>
      <c r="J69" s="98">
        <f>Aug!N35</f>
        <v/>
      </c>
      <c r="K69" s="98">
        <f>Sep!N35</f>
        <v/>
      </c>
      <c r="L69" s="98">
        <f>Oct!N35</f>
        <v/>
      </c>
      <c r="M69" s="98">
        <f>Nov!N35</f>
        <v/>
      </c>
      <c r="N69" s="98">
        <f>Dec!N35</f>
        <v/>
      </c>
      <c r="O69" s="108">
        <f>IF($B69="","",SUM(C69:N69))</f>
        <v/>
      </c>
      <c r="P69" s="100">
        <f>IF($B69="","",IFERROR(O69/MAX(1,COUNTIF(C69:N69,"&gt;0")),0))</f>
        <v/>
      </c>
      <c r="Q69" s="100">
        <f>IF($B69="","",N(Jan!M35)+N(Feb!M35)+N(Mar!M35)+N(Apr!M35)+N(May!M35)+N(Jun!M35)+N(Jul!M35)+N(Aug!M35)+N(Sep!M35)+N(Oct!M35)+N(Nov!M35)+N(Dec!M35))</f>
        <v/>
      </c>
      <c r="R69" s="109">
        <f>IF($B69="","",IFERROR(O69/Q69,0))</f>
        <v/>
      </c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>
      <c r="A70" s="1" t="n"/>
      <c r="B70" s="35">
        <f>Jan!L36</f>
        <v/>
      </c>
      <c r="C70" s="98">
        <f>Jan!N36</f>
        <v/>
      </c>
      <c r="D70" s="98">
        <f>Feb!N36</f>
        <v/>
      </c>
      <c r="E70" s="98">
        <f>Mar!N36</f>
        <v/>
      </c>
      <c r="F70" s="98">
        <f>Apr!N36</f>
        <v/>
      </c>
      <c r="G70" s="98">
        <f>May!N36</f>
        <v/>
      </c>
      <c r="H70" s="98">
        <f>Jun!N36</f>
        <v/>
      </c>
      <c r="I70" s="98">
        <f>Jul!N36</f>
        <v/>
      </c>
      <c r="J70" s="98">
        <f>Aug!N36</f>
        <v/>
      </c>
      <c r="K70" s="98">
        <f>Sep!N36</f>
        <v/>
      </c>
      <c r="L70" s="98">
        <f>Oct!N36</f>
        <v/>
      </c>
      <c r="M70" s="98">
        <f>Nov!N36</f>
        <v/>
      </c>
      <c r="N70" s="98">
        <f>Dec!N36</f>
        <v/>
      </c>
      <c r="O70" s="108">
        <f>IF($B70="","",SUM(C70:N70))</f>
        <v/>
      </c>
      <c r="P70" s="100">
        <f>IF($B70="","",IFERROR(O70/MAX(1,COUNTIF(C70:N70,"&gt;0")),0))</f>
        <v/>
      </c>
      <c r="Q70" s="100">
        <f>IF($B70="","",N(Jan!M36)+N(Feb!M36)+N(Mar!M36)+N(Apr!M36)+N(May!M36)+N(Jun!M36)+N(Jul!M36)+N(Aug!M36)+N(Sep!M36)+N(Oct!M36)+N(Nov!M36)+N(Dec!M36))</f>
        <v/>
      </c>
      <c r="R70" s="109">
        <f>IF($B70="","",IFERROR(O70/Q70,0))</f>
        <v/>
      </c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>
      <c r="A71" s="1" t="n"/>
      <c r="B71" s="35">
        <f>Jan!L37</f>
        <v/>
      </c>
      <c r="C71" s="98">
        <f>Jan!N37</f>
        <v/>
      </c>
      <c r="D71" s="98">
        <f>Feb!N37</f>
        <v/>
      </c>
      <c r="E71" s="98">
        <f>Mar!N37</f>
        <v/>
      </c>
      <c r="F71" s="98">
        <f>Apr!N37</f>
        <v/>
      </c>
      <c r="G71" s="98">
        <f>May!N37</f>
        <v/>
      </c>
      <c r="H71" s="98">
        <f>Jun!N37</f>
        <v/>
      </c>
      <c r="I71" s="98">
        <f>Jul!N37</f>
        <v/>
      </c>
      <c r="J71" s="98">
        <f>Aug!N37</f>
        <v/>
      </c>
      <c r="K71" s="98">
        <f>Sep!N37</f>
        <v/>
      </c>
      <c r="L71" s="98">
        <f>Oct!N37</f>
        <v/>
      </c>
      <c r="M71" s="98">
        <f>Nov!N37</f>
        <v/>
      </c>
      <c r="N71" s="98">
        <f>Dec!N37</f>
        <v/>
      </c>
      <c r="O71" s="108">
        <f>IF($B71="","",SUM(C71:N71))</f>
        <v/>
      </c>
      <c r="P71" s="100">
        <f>IF($B71="","",IFERROR(O71/MAX(1,COUNTIF(C71:N71,"&gt;0")),0))</f>
        <v/>
      </c>
      <c r="Q71" s="100">
        <f>IF($B71="","",N(Jan!M37)+N(Feb!M37)+N(Mar!M37)+N(Apr!M37)+N(May!M37)+N(Jun!M37)+N(Jul!M37)+N(Aug!M37)+N(Sep!M37)+N(Oct!M37)+N(Nov!M37)+N(Dec!M37))</f>
        <v/>
      </c>
      <c r="R71" s="109">
        <f>IF($B71="","",IFERROR(O71/Q71,0))</f>
        <v/>
      </c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>
      <c r="A72" s="1" t="n"/>
      <c r="B72" s="35">
        <f>Jan!L38</f>
        <v/>
      </c>
      <c r="C72" s="98">
        <f>Jan!N38</f>
        <v/>
      </c>
      <c r="D72" s="98">
        <f>Feb!N38</f>
        <v/>
      </c>
      <c r="E72" s="98">
        <f>Mar!N38</f>
        <v/>
      </c>
      <c r="F72" s="98">
        <f>Apr!N38</f>
        <v/>
      </c>
      <c r="G72" s="98">
        <f>May!N38</f>
        <v/>
      </c>
      <c r="H72" s="98">
        <f>Jun!N38</f>
        <v/>
      </c>
      <c r="I72" s="98">
        <f>Jul!N38</f>
        <v/>
      </c>
      <c r="J72" s="98">
        <f>Aug!N38</f>
        <v/>
      </c>
      <c r="K72" s="98">
        <f>Sep!N38</f>
        <v/>
      </c>
      <c r="L72" s="98">
        <f>Oct!N38</f>
        <v/>
      </c>
      <c r="M72" s="98">
        <f>Nov!N38</f>
        <v/>
      </c>
      <c r="N72" s="98">
        <f>Dec!N38</f>
        <v/>
      </c>
      <c r="O72" s="108">
        <f>IF($B72="","",SUM(C72:N72))</f>
        <v/>
      </c>
      <c r="P72" s="100">
        <f>IF($B72="","",IFERROR(O72/MAX(1,COUNTIF(C72:N72,"&gt;0")),0))</f>
        <v/>
      </c>
      <c r="Q72" s="100">
        <f>IF($B72="","",N(Jan!M38)+N(Feb!M38)+N(Mar!M38)+N(Apr!M38)+N(May!M38)+N(Jun!M38)+N(Jul!M38)+N(Aug!M38)+N(Sep!M38)+N(Oct!M38)+N(Nov!M38)+N(Dec!M38))</f>
        <v/>
      </c>
      <c r="R72" s="109">
        <f>IF($B72="","",IFERROR(O72/Q72,0))</f>
        <v/>
      </c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>
      <c r="A73" s="1" t="n"/>
      <c r="B73" s="35">
        <f>Jan!L39</f>
        <v/>
      </c>
      <c r="C73" s="98">
        <f>Jan!N39</f>
        <v/>
      </c>
      <c r="D73" s="98">
        <f>Feb!N39</f>
        <v/>
      </c>
      <c r="E73" s="98">
        <f>Mar!N39</f>
        <v/>
      </c>
      <c r="F73" s="98">
        <f>Apr!N39</f>
        <v/>
      </c>
      <c r="G73" s="98">
        <f>May!N39</f>
        <v/>
      </c>
      <c r="H73" s="98">
        <f>Jun!N39</f>
        <v/>
      </c>
      <c r="I73" s="98">
        <f>Jul!N39</f>
        <v/>
      </c>
      <c r="J73" s="98">
        <f>Aug!N39</f>
        <v/>
      </c>
      <c r="K73" s="98">
        <f>Sep!N39</f>
        <v/>
      </c>
      <c r="L73" s="98">
        <f>Oct!N39</f>
        <v/>
      </c>
      <c r="M73" s="98">
        <f>Nov!N39</f>
        <v/>
      </c>
      <c r="N73" s="98">
        <f>Dec!N39</f>
        <v/>
      </c>
      <c r="O73" s="108">
        <f>IF($B73="","",SUM(C73:N73))</f>
        <v/>
      </c>
      <c r="P73" s="100">
        <f>IF($B73="","",IFERROR(O73/MAX(1,COUNTIF(C73:N73,"&gt;0")),0))</f>
        <v/>
      </c>
      <c r="Q73" s="100">
        <f>IF($B73="","",N(Jan!M39)+N(Feb!M39)+N(Mar!M39)+N(Apr!M39)+N(May!M39)+N(Jun!M39)+N(Jul!M39)+N(Aug!M39)+N(Sep!M39)+N(Oct!M39)+N(Nov!M39)+N(Dec!M39))</f>
        <v/>
      </c>
      <c r="R73" s="109">
        <f>IF($B73="","",IFERROR(O73/Q73,0))</f>
        <v/>
      </c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>
      <c r="A74" s="1" t="n"/>
      <c r="B74" s="35">
        <f>Jan!L40</f>
        <v/>
      </c>
      <c r="C74" s="98">
        <f>Jan!N40</f>
        <v/>
      </c>
      <c r="D74" s="98">
        <f>Feb!N40</f>
        <v/>
      </c>
      <c r="E74" s="98">
        <f>Mar!N40</f>
        <v/>
      </c>
      <c r="F74" s="98">
        <f>Apr!N40</f>
        <v/>
      </c>
      <c r="G74" s="98">
        <f>May!N40</f>
        <v/>
      </c>
      <c r="H74" s="98">
        <f>Jun!N40</f>
        <v/>
      </c>
      <c r="I74" s="98">
        <f>Jul!N40</f>
        <v/>
      </c>
      <c r="J74" s="98">
        <f>Aug!N40</f>
        <v/>
      </c>
      <c r="K74" s="98">
        <f>Sep!N40</f>
        <v/>
      </c>
      <c r="L74" s="98">
        <f>Oct!N40</f>
        <v/>
      </c>
      <c r="M74" s="98">
        <f>Nov!N40</f>
        <v/>
      </c>
      <c r="N74" s="98">
        <f>Dec!N40</f>
        <v/>
      </c>
      <c r="O74" s="108">
        <f>IF($B74="","",SUM(C74:N74))</f>
        <v/>
      </c>
      <c r="P74" s="100">
        <f>IF($B74="","",IFERROR(O74/MAX(1,COUNTIF(C74:N74,"&gt;0")),0))</f>
        <v/>
      </c>
      <c r="Q74" s="100">
        <f>IF($B74="","",N(Jan!M40)+N(Feb!M40)+N(Mar!M40)+N(Apr!M40)+N(May!M40)+N(Jun!M40)+N(Jul!M40)+N(Aug!M40)+N(Sep!M40)+N(Oct!M40)+N(Nov!M40)+N(Dec!M40))</f>
        <v/>
      </c>
      <c r="R74" s="109">
        <f>IF($B74="","",IFERROR(O74/Q74,0))</f>
        <v/>
      </c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>
      <c r="A75" s="1" t="n"/>
      <c r="B75" s="35">
        <f>Jan!L41</f>
        <v/>
      </c>
      <c r="C75" s="98">
        <f>Jan!N41</f>
        <v/>
      </c>
      <c r="D75" s="98">
        <f>Feb!N41</f>
        <v/>
      </c>
      <c r="E75" s="98">
        <f>Mar!N41</f>
        <v/>
      </c>
      <c r="F75" s="98">
        <f>Apr!N41</f>
        <v/>
      </c>
      <c r="G75" s="98">
        <f>May!N41</f>
        <v/>
      </c>
      <c r="H75" s="98">
        <f>Jun!N41</f>
        <v/>
      </c>
      <c r="I75" s="98">
        <f>Jul!N41</f>
        <v/>
      </c>
      <c r="J75" s="98">
        <f>Aug!N41</f>
        <v/>
      </c>
      <c r="K75" s="98">
        <f>Sep!N41</f>
        <v/>
      </c>
      <c r="L75" s="98">
        <f>Oct!N41</f>
        <v/>
      </c>
      <c r="M75" s="98">
        <f>Nov!N41</f>
        <v/>
      </c>
      <c r="N75" s="98">
        <f>Dec!N41</f>
        <v/>
      </c>
      <c r="O75" s="108">
        <f>IF($B75="","",SUM(C75:N75))</f>
        <v/>
      </c>
      <c r="P75" s="100">
        <f>IF($B75="","",IFERROR(O75/MAX(1,COUNTIF(C75:N75,"&gt;0")),0))</f>
        <v/>
      </c>
      <c r="Q75" s="100">
        <f>IF($B75="","",N(Jan!M41)+N(Feb!M41)+N(Mar!M41)+N(Apr!M41)+N(May!M41)+N(Jun!M41)+N(Jul!M41)+N(Aug!M41)+N(Sep!M41)+N(Oct!M41)+N(Nov!M41)+N(Dec!M41))</f>
        <v/>
      </c>
      <c r="R75" s="109">
        <f>IF($B75="","",IFERROR(O75/Q75,0))</f>
        <v/>
      </c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>
      <c r="A76" s="1" t="n"/>
      <c r="B76" s="35">
        <f>Jan!L42</f>
        <v/>
      </c>
      <c r="C76" s="98">
        <f>Jan!N42</f>
        <v/>
      </c>
      <c r="D76" s="98">
        <f>Feb!N42</f>
        <v/>
      </c>
      <c r="E76" s="98">
        <f>Mar!N42</f>
        <v/>
      </c>
      <c r="F76" s="98">
        <f>Apr!N42</f>
        <v/>
      </c>
      <c r="G76" s="98">
        <f>May!N42</f>
        <v/>
      </c>
      <c r="H76" s="98">
        <f>Jun!N42</f>
        <v/>
      </c>
      <c r="I76" s="98">
        <f>Jul!N42</f>
        <v/>
      </c>
      <c r="J76" s="98">
        <f>Aug!N42</f>
        <v/>
      </c>
      <c r="K76" s="98">
        <f>Sep!N42</f>
        <v/>
      </c>
      <c r="L76" s="98">
        <f>Oct!N42</f>
        <v/>
      </c>
      <c r="M76" s="98">
        <f>Nov!N42</f>
        <v/>
      </c>
      <c r="N76" s="98">
        <f>Dec!N42</f>
        <v/>
      </c>
      <c r="O76" s="108">
        <f>IF($B76="","",SUM(C76:N76))</f>
        <v/>
      </c>
      <c r="P76" s="100">
        <f>IF($B76="","",IFERROR(O76/MAX(1,COUNTIF(C76:N76,"&gt;0")),0))</f>
        <v/>
      </c>
      <c r="Q76" s="100">
        <f>IF($B76="","",N(Jan!M42)+N(Feb!M42)+N(Mar!M42)+N(Apr!M42)+N(May!M42)+N(Jun!M42)+N(Jul!M42)+N(Aug!M42)+N(Sep!M42)+N(Oct!M42)+N(Nov!M42)+N(Dec!M42))</f>
        <v/>
      </c>
      <c r="R76" s="109">
        <f>IF($B76="","",IFERROR(O76/Q76,0))</f>
        <v/>
      </c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>
      <c r="A77" s="1" t="n"/>
      <c r="B77" s="35">
        <f>Jan!L43</f>
        <v/>
      </c>
      <c r="C77" s="98">
        <f>Jan!N43</f>
        <v/>
      </c>
      <c r="D77" s="98">
        <f>Feb!N43</f>
        <v/>
      </c>
      <c r="E77" s="98">
        <f>Mar!N43</f>
        <v/>
      </c>
      <c r="F77" s="98">
        <f>Apr!N43</f>
        <v/>
      </c>
      <c r="G77" s="98">
        <f>May!N43</f>
        <v/>
      </c>
      <c r="H77" s="98">
        <f>Jun!N43</f>
        <v/>
      </c>
      <c r="I77" s="98">
        <f>Jul!N43</f>
        <v/>
      </c>
      <c r="J77" s="98">
        <f>Aug!N43</f>
        <v/>
      </c>
      <c r="K77" s="98">
        <f>Sep!N43</f>
        <v/>
      </c>
      <c r="L77" s="98">
        <f>Oct!N43</f>
        <v/>
      </c>
      <c r="M77" s="98">
        <f>Nov!N43</f>
        <v/>
      </c>
      <c r="N77" s="98">
        <f>Dec!N43</f>
        <v/>
      </c>
      <c r="O77" s="108">
        <f>IF($B77="","",SUM(C77:N77))</f>
        <v/>
      </c>
      <c r="P77" s="100">
        <f>IF($B77="","",IFERROR(O77/MAX(1,COUNTIF(C77:N77,"&gt;0")),0))</f>
        <v/>
      </c>
      <c r="Q77" s="100">
        <f>IF($B77="","",N(Jan!M43)+N(Feb!M43)+N(Mar!M43)+N(Apr!M43)+N(May!M43)+N(Jun!M43)+N(Jul!M43)+N(Aug!M43)+N(Sep!M43)+N(Oct!M43)+N(Nov!M43)+N(Dec!M43))</f>
        <v/>
      </c>
      <c r="R77" s="109">
        <f>IF($B77="","",IFERROR(O77/Q77,0))</f>
        <v/>
      </c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>
      <c r="A78" s="1" t="n"/>
      <c r="B78" s="35">
        <f>Jan!L44</f>
        <v/>
      </c>
      <c r="C78" s="98">
        <f>Jan!N44</f>
        <v/>
      </c>
      <c r="D78" s="98">
        <f>Feb!N44</f>
        <v/>
      </c>
      <c r="E78" s="98">
        <f>Mar!N44</f>
        <v/>
      </c>
      <c r="F78" s="98">
        <f>Apr!N44</f>
        <v/>
      </c>
      <c r="G78" s="98">
        <f>May!N44</f>
        <v/>
      </c>
      <c r="H78" s="98">
        <f>Jun!N44</f>
        <v/>
      </c>
      <c r="I78" s="98">
        <f>Jul!N44</f>
        <v/>
      </c>
      <c r="J78" s="98">
        <f>Aug!N44</f>
        <v/>
      </c>
      <c r="K78" s="98">
        <f>Sep!N44</f>
        <v/>
      </c>
      <c r="L78" s="98">
        <f>Oct!N44</f>
        <v/>
      </c>
      <c r="M78" s="98">
        <f>Nov!N44</f>
        <v/>
      </c>
      <c r="N78" s="98">
        <f>Dec!N44</f>
        <v/>
      </c>
      <c r="O78" s="108">
        <f>IF($B78="","",SUM(C78:N78))</f>
        <v/>
      </c>
      <c r="P78" s="100">
        <f>IF($B78="","",IFERROR(O78/MAX(1,COUNTIF(C78:N78,"&gt;0")),0))</f>
        <v/>
      </c>
      <c r="Q78" s="100">
        <f>IF($B78="","",N(Jan!M44)+N(Feb!M44)+N(Mar!M44)+N(Apr!M44)+N(May!M44)+N(Jun!M44)+N(Jul!M44)+N(Aug!M44)+N(Sep!M44)+N(Oct!M44)+N(Nov!M44)+N(Dec!M44))</f>
        <v/>
      </c>
      <c r="R78" s="109">
        <f>IF($B78="","",IFERROR(O78/Q78,0))</f>
        <v/>
      </c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>
      <c r="A79" s="1" t="n"/>
      <c r="B79" s="35">
        <f>Jan!L45</f>
        <v/>
      </c>
      <c r="C79" s="98">
        <f>Jan!N45</f>
        <v/>
      </c>
      <c r="D79" s="98">
        <f>Feb!N45</f>
        <v/>
      </c>
      <c r="E79" s="98">
        <f>Mar!N45</f>
        <v/>
      </c>
      <c r="F79" s="98">
        <f>Apr!N45</f>
        <v/>
      </c>
      <c r="G79" s="98">
        <f>May!N45</f>
        <v/>
      </c>
      <c r="H79" s="98">
        <f>Jun!N45</f>
        <v/>
      </c>
      <c r="I79" s="98">
        <f>Jul!N45</f>
        <v/>
      </c>
      <c r="J79" s="98">
        <f>Aug!N45</f>
        <v/>
      </c>
      <c r="K79" s="98">
        <f>Sep!N45</f>
        <v/>
      </c>
      <c r="L79" s="98">
        <f>Oct!N45</f>
        <v/>
      </c>
      <c r="M79" s="98">
        <f>Nov!N45</f>
        <v/>
      </c>
      <c r="N79" s="98">
        <f>Dec!N45</f>
        <v/>
      </c>
      <c r="O79" s="108">
        <f>IF($B79="","",SUM(C79:N79))</f>
        <v/>
      </c>
      <c r="P79" s="100">
        <f>IF($B79="","",IFERROR(O79/MAX(1,COUNTIF(C79:N79,"&gt;0")),0))</f>
        <v/>
      </c>
      <c r="Q79" s="100">
        <f>IF($B79="","",N(Jan!M45)+N(Feb!M45)+N(Mar!M45)+N(Apr!M45)+N(May!M45)+N(Jun!M45)+N(Jul!M45)+N(Aug!M45)+N(Sep!M45)+N(Oct!M45)+N(Nov!M45)+N(Dec!M45))</f>
        <v/>
      </c>
      <c r="R79" s="109">
        <f>IF($B79="","",IFERROR(O79/Q79,0))</f>
        <v/>
      </c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>
      <c r="A81" s="1" t="n"/>
      <c r="B81" s="81" t="inlineStr">
        <is>
          <t>DEBT — BY MONTH</t>
        </is>
      </c>
      <c r="C81" s="82" t="n"/>
      <c r="D81" s="82" t="n"/>
      <c r="E81" s="82" t="n"/>
      <c r="F81" s="82" t="n"/>
      <c r="G81" s="82" t="n"/>
      <c r="H81" s="82" t="n"/>
      <c r="I81" s="82" t="n"/>
      <c r="J81" s="82" t="n"/>
      <c r="K81" s="82" t="n"/>
      <c r="L81" s="82" t="n"/>
      <c r="M81" s="82" t="n"/>
      <c r="N81" s="82" t="n"/>
      <c r="O81" s="82" t="n"/>
      <c r="P81" s="82" t="n"/>
      <c r="Q81" s="82" t="n"/>
      <c r="R81" s="82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>
      <c r="A82" s="1" t="n"/>
      <c r="B82" s="75" t="inlineStr">
        <is>
          <t>CATEGORY</t>
        </is>
      </c>
      <c r="C82" s="54">
        <f>TEXT(Jan!$C$6,"mmm")</f>
        <v/>
      </c>
      <c r="D82" s="54">
        <f>TEXT(Feb!$C$6,"mmm")</f>
        <v/>
      </c>
      <c r="E82" s="54">
        <f>TEXT(Mar!$C$6,"mmm")</f>
        <v/>
      </c>
      <c r="F82" s="54">
        <f>TEXT(Apr!$C$6,"mmm")</f>
        <v/>
      </c>
      <c r="G82" s="54">
        <f>TEXT(May!$C$6,"mmm")</f>
        <v/>
      </c>
      <c r="H82" s="54">
        <f>TEXT(Jun!$C$6,"mmm")</f>
        <v/>
      </c>
      <c r="I82" s="54">
        <f>TEXT(Jul!$C$6,"mmm")</f>
        <v/>
      </c>
      <c r="J82" s="54">
        <f>TEXT(Aug!$C$6,"mmm")</f>
        <v/>
      </c>
      <c r="K82" s="54">
        <f>TEXT(Sep!$C$6,"mmm")</f>
        <v/>
      </c>
      <c r="L82" s="54">
        <f>TEXT(Oct!$C$6,"mmm")</f>
        <v/>
      </c>
      <c r="M82" s="54">
        <f>TEXT(Nov!$C$6,"mmm")</f>
        <v/>
      </c>
      <c r="N82" s="54">
        <f>TEXT(Dec!$C$6,"mmm")</f>
        <v/>
      </c>
      <c r="O82" s="54" t="inlineStr">
        <is>
          <t>TOTAL</t>
        </is>
      </c>
      <c r="P82" s="54" t="inlineStr">
        <is>
          <t>AVERAGE</t>
        </is>
      </c>
      <c r="Q82" s="54" t="inlineStr">
        <is>
          <t>BUDGET</t>
        </is>
      </c>
      <c r="R82" s="54" t="inlineStr">
        <is>
          <t>% USED</t>
        </is>
      </c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>
      <c r="A83" s="1" t="n"/>
      <c r="B83" s="87" t="inlineStr">
        <is>
          <t>TOTAL</t>
        </is>
      </c>
      <c r="C83" s="108">
        <f>SUM(C84:C93)</f>
        <v/>
      </c>
      <c r="D83" s="108">
        <f>SUM(D84:D93)</f>
        <v/>
      </c>
      <c r="E83" s="108">
        <f>SUM(E84:E93)</f>
        <v/>
      </c>
      <c r="F83" s="108">
        <f>SUM(F84:F93)</f>
        <v/>
      </c>
      <c r="G83" s="108">
        <f>SUM(G84:G93)</f>
        <v/>
      </c>
      <c r="H83" s="108">
        <f>SUM(H84:H93)</f>
        <v/>
      </c>
      <c r="I83" s="108">
        <f>SUM(I84:I93)</f>
        <v/>
      </c>
      <c r="J83" s="108">
        <f>SUM(J84:J93)</f>
        <v/>
      </c>
      <c r="K83" s="108">
        <f>SUM(K84:K93)</f>
        <v/>
      </c>
      <c r="L83" s="108">
        <f>SUM(L84:L93)</f>
        <v/>
      </c>
      <c r="M83" s="108">
        <f>SUM(M84:M93)</f>
        <v/>
      </c>
      <c r="N83" s="108">
        <f>SUM(N84:N93)</f>
        <v/>
      </c>
      <c r="O83" s="108">
        <f>SUM(O84:O93)</f>
        <v/>
      </c>
      <c r="P83" s="108">
        <f>SUM(P84:P93)</f>
        <v/>
      </c>
      <c r="Q83" s="108">
        <f>SUM(Q84:Q93)</f>
        <v/>
      </c>
      <c r="R83" s="101">
        <f>IFERROR(O83/Q83,0)</f>
        <v/>
      </c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>
      <c r="A84" s="1" t="n"/>
      <c r="B84" s="35">
        <f>Jan!Q31</f>
        <v/>
      </c>
      <c r="C84" s="98">
        <f>Jan!S31</f>
        <v/>
      </c>
      <c r="D84" s="98">
        <f>Feb!S31</f>
        <v/>
      </c>
      <c r="E84" s="98">
        <f>Mar!S31</f>
        <v/>
      </c>
      <c r="F84" s="98">
        <f>Apr!S31</f>
        <v/>
      </c>
      <c r="G84" s="98">
        <f>May!S31</f>
        <v/>
      </c>
      <c r="H84" s="98">
        <f>Jun!S31</f>
        <v/>
      </c>
      <c r="I84" s="98">
        <f>Jul!S31</f>
        <v/>
      </c>
      <c r="J84" s="98">
        <f>Aug!S31</f>
        <v/>
      </c>
      <c r="K84" s="98">
        <f>Sep!S31</f>
        <v/>
      </c>
      <c r="L84" s="98">
        <f>Oct!S31</f>
        <v/>
      </c>
      <c r="M84" s="98">
        <f>Nov!S31</f>
        <v/>
      </c>
      <c r="N84" s="98">
        <f>Dec!S31</f>
        <v/>
      </c>
      <c r="O84" s="108">
        <f>IF($B84="","",SUM(C84:N84))</f>
        <v/>
      </c>
      <c r="P84" s="100">
        <f>IF($B84="","",IFERROR(O84/MAX(1,COUNTIF(C84:N84,"&gt;0")),0))</f>
        <v/>
      </c>
      <c r="Q84" s="100">
        <f>IF($B84="","",N(Jan!R31)+N(Feb!R31)+N(Mar!R31)+N(Apr!R31)+N(May!R31)+N(Jun!R31)+N(Jul!R31)+N(Aug!R31)+N(Sep!R31)+N(Oct!R31)+N(Nov!R31)+N(Dec!R31))</f>
        <v/>
      </c>
      <c r="R84" s="109">
        <f>IF($B84="","",IFERROR(O84/Q84,0))</f>
        <v/>
      </c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>
      <c r="A85" s="1" t="n"/>
      <c r="B85" s="35">
        <f>Jan!Q32</f>
        <v/>
      </c>
      <c r="C85" s="98">
        <f>Jan!S32</f>
        <v/>
      </c>
      <c r="D85" s="98">
        <f>Feb!S32</f>
        <v/>
      </c>
      <c r="E85" s="98">
        <f>Mar!S32</f>
        <v/>
      </c>
      <c r="F85" s="98">
        <f>Apr!S32</f>
        <v/>
      </c>
      <c r="G85" s="98">
        <f>May!S32</f>
        <v/>
      </c>
      <c r="H85" s="98">
        <f>Jun!S32</f>
        <v/>
      </c>
      <c r="I85" s="98">
        <f>Jul!S32</f>
        <v/>
      </c>
      <c r="J85" s="98">
        <f>Aug!S32</f>
        <v/>
      </c>
      <c r="K85" s="98">
        <f>Sep!S32</f>
        <v/>
      </c>
      <c r="L85" s="98">
        <f>Oct!S32</f>
        <v/>
      </c>
      <c r="M85" s="98">
        <f>Nov!S32</f>
        <v/>
      </c>
      <c r="N85" s="98">
        <f>Dec!S32</f>
        <v/>
      </c>
      <c r="O85" s="108">
        <f>IF($B85="","",SUM(C85:N85))</f>
        <v/>
      </c>
      <c r="P85" s="100">
        <f>IF($B85="","",IFERROR(O85/MAX(1,COUNTIF(C85:N85,"&gt;0")),0))</f>
        <v/>
      </c>
      <c r="Q85" s="100">
        <f>IF($B85="","",N(Jan!R32)+N(Feb!R32)+N(Mar!R32)+N(Apr!R32)+N(May!R32)+N(Jun!R32)+N(Jul!R32)+N(Aug!R32)+N(Sep!R32)+N(Oct!R32)+N(Nov!R32)+N(Dec!R32))</f>
        <v/>
      </c>
      <c r="R85" s="109">
        <f>IF($B85="","",IFERROR(O85/Q85,0))</f>
        <v/>
      </c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>
      <c r="A86" s="1" t="n"/>
      <c r="B86" s="35">
        <f>Jan!Q33</f>
        <v/>
      </c>
      <c r="C86" s="98">
        <f>Jan!S33</f>
        <v/>
      </c>
      <c r="D86" s="98">
        <f>Feb!S33</f>
        <v/>
      </c>
      <c r="E86" s="98">
        <f>Mar!S33</f>
        <v/>
      </c>
      <c r="F86" s="98">
        <f>Apr!S33</f>
        <v/>
      </c>
      <c r="G86" s="98">
        <f>May!S33</f>
        <v/>
      </c>
      <c r="H86" s="98">
        <f>Jun!S33</f>
        <v/>
      </c>
      <c r="I86" s="98">
        <f>Jul!S33</f>
        <v/>
      </c>
      <c r="J86" s="98">
        <f>Aug!S33</f>
        <v/>
      </c>
      <c r="K86" s="98">
        <f>Sep!S33</f>
        <v/>
      </c>
      <c r="L86" s="98">
        <f>Oct!S33</f>
        <v/>
      </c>
      <c r="M86" s="98">
        <f>Nov!S33</f>
        <v/>
      </c>
      <c r="N86" s="98">
        <f>Dec!S33</f>
        <v/>
      </c>
      <c r="O86" s="108">
        <f>IF($B86="","",SUM(C86:N86))</f>
        <v/>
      </c>
      <c r="P86" s="100">
        <f>IF($B86="","",IFERROR(O86/MAX(1,COUNTIF(C86:N86,"&gt;0")),0))</f>
        <v/>
      </c>
      <c r="Q86" s="100">
        <f>IF($B86="","",N(Jan!R33)+N(Feb!R33)+N(Mar!R33)+N(Apr!R33)+N(May!R33)+N(Jun!R33)+N(Jul!R33)+N(Aug!R33)+N(Sep!R33)+N(Oct!R33)+N(Nov!R33)+N(Dec!R33))</f>
        <v/>
      </c>
      <c r="R86" s="109">
        <f>IF($B86="","",IFERROR(O86/Q86,0))</f>
        <v/>
      </c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>
      <c r="A87" s="1" t="n"/>
      <c r="B87" s="35">
        <f>Jan!Q34</f>
        <v/>
      </c>
      <c r="C87" s="98">
        <f>Jan!S34</f>
        <v/>
      </c>
      <c r="D87" s="98">
        <f>Feb!S34</f>
        <v/>
      </c>
      <c r="E87" s="98">
        <f>Mar!S34</f>
        <v/>
      </c>
      <c r="F87" s="98">
        <f>Apr!S34</f>
        <v/>
      </c>
      <c r="G87" s="98">
        <f>May!S34</f>
        <v/>
      </c>
      <c r="H87" s="98">
        <f>Jun!S34</f>
        <v/>
      </c>
      <c r="I87" s="98">
        <f>Jul!S34</f>
        <v/>
      </c>
      <c r="J87" s="98">
        <f>Aug!S34</f>
        <v/>
      </c>
      <c r="K87" s="98">
        <f>Sep!S34</f>
        <v/>
      </c>
      <c r="L87" s="98">
        <f>Oct!S34</f>
        <v/>
      </c>
      <c r="M87" s="98">
        <f>Nov!S34</f>
        <v/>
      </c>
      <c r="N87" s="98">
        <f>Dec!S34</f>
        <v/>
      </c>
      <c r="O87" s="108">
        <f>IF($B87="","",SUM(C87:N87))</f>
        <v/>
      </c>
      <c r="P87" s="100">
        <f>IF($B87="","",IFERROR(O87/MAX(1,COUNTIF(C87:N87,"&gt;0")),0))</f>
        <v/>
      </c>
      <c r="Q87" s="100">
        <f>IF($B87="","",N(Jan!R34)+N(Feb!R34)+N(Mar!R34)+N(Apr!R34)+N(May!R34)+N(Jun!R34)+N(Jul!R34)+N(Aug!R34)+N(Sep!R34)+N(Oct!R34)+N(Nov!R34)+N(Dec!R34))</f>
        <v/>
      </c>
      <c r="R87" s="109">
        <f>IF($B87="","",IFERROR(O87/Q87,0))</f>
        <v/>
      </c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>
      <c r="A88" s="1" t="n"/>
      <c r="B88" s="35">
        <f>Jan!Q35</f>
        <v/>
      </c>
      <c r="C88" s="98">
        <f>Jan!S35</f>
        <v/>
      </c>
      <c r="D88" s="98">
        <f>Feb!S35</f>
        <v/>
      </c>
      <c r="E88" s="98">
        <f>Mar!S35</f>
        <v/>
      </c>
      <c r="F88" s="98">
        <f>Apr!S35</f>
        <v/>
      </c>
      <c r="G88" s="98">
        <f>May!S35</f>
        <v/>
      </c>
      <c r="H88" s="98">
        <f>Jun!S35</f>
        <v/>
      </c>
      <c r="I88" s="98">
        <f>Jul!S35</f>
        <v/>
      </c>
      <c r="J88" s="98">
        <f>Aug!S35</f>
        <v/>
      </c>
      <c r="K88" s="98">
        <f>Sep!S35</f>
        <v/>
      </c>
      <c r="L88" s="98">
        <f>Oct!S35</f>
        <v/>
      </c>
      <c r="M88" s="98">
        <f>Nov!S35</f>
        <v/>
      </c>
      <c r="N88" s="98">
        <f>Dec!S35</f>
        <v/>
      </c>
      <c r="O88" s="108">
        <f>IF($B88="","",SUM(C88:N88))</f>
        <v/>
      </c>
      <c r="P88" s="100">
        <f>IF($B88="","",IFERROR(O88/MAX(1,COUNTIF(C88:N88,"&gt;0")),0))</f>
        <v/>
      </c>
      <c r="Q88" s="100">
        <f>IF($B88="","",N(Jan!R35)+N(Feb!R35)+N(Mar!R35)+N(Apr!R35)+N(May!R35)+N(Jun!R35)+N(Jul!R35)+N(Aug!R35)+N(Sep!R35)+N(Oct!R35)+N(Nov!R35)+N(Dec!R35))</f>
        <v/>
      </c>
      <c r="R88" s="109">
        <f>IF($B88="","",IFERROR(O88/Q88,0))</f>
        <v/>
      </c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>
      <c r="A89" s="1" t="n"/>
      <c r="B89" s="35">
        <f>Jan!Q36</f>
        <v/>
      </c>
      <c r="C89" s="98">
        <f>Jan!S36</f>
        <v/>
      </c>
      <c r="D89" s="98">
        <f>Feb!S36</f>
        <v/>
      </c>
      <c r="E89" s="98">
        <f>Mar!S36</f>
        <v/>
      </c>
      <c r="F89" s="98">
        <f>Apr!S36</f>
        <v/>
      </c>
      <c r="G89" s="98">
        <f>May!S36</f>
        <v/>
      </c>
      <c r="H89" s="98">
        <f>Jun!S36</f>
        <v/>
      </c>
      <c r="I89" s="98">
        <f>Jul!S36</f>
        <v/>
      </c>
      <c r="J89" s="98">
        <f>Aug!S36</f>
        <v/>
      </c>
      <c r="K89" s="98">
        <f>Sep!S36</f>
        <v/>
      </c>
      <c r="L89" s="98">
        <f>Oct!S36</f>
        <v/>
      </c>
      <c r="M89" s="98">
        <f>Nov!S36</f>
        <v/>
      </c>
      <c r="N89" s="98">
        <f>Dec!S36</f>
        <v/>
      </c>
      <c r="O89" s="108">
        <f>IF($B89="","",SUM(C89:N89))</f>
        <v/>
      </c>
      <c r="P89" s="100">
        <f>IF($B89="","",IFERROR(O89/MAX(1,COUNTIF(C89:N89,"&gt;0")),0))</f>
        <v/>
      </c>
      <c r="Q89" s="100">
        <f>IF($B89="","",N(Jan!R36)+N(Feb!R36)+N(Mar!R36)+N(Apr!R36)+N(May!R36)+N(Jun!R36)+N(Jul!R36)+N(Aug!R36)+N(Sep!R36)+N(Oct!R36)+N(Nov!R36)+N(Dec!R36))</f>
        <v/>
      </c>
      <c r="R89" s="109">
        <f>IF($B89="","",IFERROR(O89/Q89,0))</f>
        <v/>
      </c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>
      <c r="A90" s="1" t="n"/>
      <c r="B90" s="35">
        <f>Jan!Q37</f>
        <v/>
      </c>
      <c r="C90" s="98">
        <f>Jan!S37</f>
        <v/>
      </c>
      <c r="D90" s="98">
        <f>Feb!S37</f>
        <v/>
      </c>
      <c r="E90" s="98">
        <f>Mar!S37</f>
        <v/>
      </c>
      <c r="F90" s="98">
        <f>Apr!S37</f>
        <v/>
      </c>
      <c r="G90" s="98">
        <f>May!S37</f>
        <v/>
      </c>
      <c r="H90" s="98">
        <f>Jun!S37</f>
        <v/>
      </c>
      <c r="I90" s="98">
        <f>Jul!S37</f>
        <v/>
      </c>
      <c r="J90" s="98">
        <f>Aug!S37</f>
        <v/>
      </c>
      <c r="K90" s="98">
        <f>Sep!S37</f>
        <v/>
      </c>
      <c r="L90" s="98">
        <f>Oct!S37</f>
        <v/>
      </c>
      <c r="M90" s="98">
        <f>Nov!S37</f>
        <v/>
      </c>
      <c r="N90" s="98">
        <f>Dec!S37</f>
        <v/>
      </c>
      <c r="O90" s="108">
        <f>IF($B90="","",SUM(C90:N90))</f>
        <v/>
      </c>
      <c r="P90" s="100">
        <f>IF($B90="","",IFERROR(O90/MAX(1,COUNTIF(C90:N90,"&gt;0")),0))</f>
        <v/>
      </c>
      <c r="Q90" s="100">
        <f>IF($B90="","",N(Jan!R37)+N(Feb!R37)+N(Mar!R37)+N(Apr!R37)+N(May!R37)+N(Jun!R37)+N(Jul!R37)+N(Aug!R37)+N(Sep!R37)+N(Oct!R37)+N(Nov!R37)+N(Dec!R37))</f>
        <v/>
      </c>
      <c r="R90" s="109">
        <f>IF($B90="","",IFERROR(O90/Q90,0))</f>
        <v/>
      </c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>
      <c r="A91" s="1" t="n"/>
      <c r="B91" s="35">
        <f>Jan!Q38</f>
        <v/>
      </c>
      <c r="C91" s="98">
        <f>Jan!S38</f>
        <v/>
      </c>
      <c r="D91" s="98">
        <f>Feb!S38</f>
        <v/>
      </c>
      <c r="E91" s="98">
        <f>Mar!S38</f>
        <v/>
      </c>
      <c r="F91" s="98">
        <f>Apr!S38</f>
        <v/>
      </c>
      <c r="G91" s="98">
        <f>May!S38</f>
        <v/>
      </c>
      <c r="H91" s="98">
        <f>Jun!S38</f>
        <v/>
      </c>
      <c r="I91" s="98">
        <f>Jul!S38</f>
        <v/>
      </c>
      <c r="J91" s="98">
        <f>Aug!S38</f>
        <v/>
      </c>
      <c r="K91" s="98">
        <f>Sep!S38</f>
        <v/>
      </c>
      <c r="L91" s="98">
        <f>Oct!S38</f>
        <v/>
      </c>
      <c r="M91" s="98">
        <f>Nov!S38</f>
        <v/>
      </c>
      <c r="N91" s="98">
        <f>Dec!S38</f>
        <v/>
      </c>
      <c r="O91" s="108">
        <f>IF($B91="","",SUM(C91:N91))</f>
        <v/>
      </c>
      <c r="P91" s="100">
        <f>IF($B91="","",IFERROR(O91/MAX(1,COUNTIF(C91:N91,"&gt;0")),0))</f>
        <v/>
      </c>
      <c r="Q91" s="100">
        <f>IF($B91="","",N(Jan!R38)+N(Feb!R38)+N(Mar!R38)+N(Apr!R38)+N(May!R38)+N(Jun!R38)+N(Jul!R38)+N(Aug!R38)+N(Sep!R38)+N(Oct!R38)+N(Nov!R38)+N(Dec!R38))</f>
        <v/>
      </c>
      <c r="R91" s="109">
        <f>IF($B91="","",IFERROR(O91/Q91,0))</f>
        <v/>
      </c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>
      <c r="A92" s="1" t="n"/>
      <c r="B92" s="35">
        <f>Jan!Q39</f>
        <v/>
      </c>
      <c r="C92" s="98">
        <f>Jan!S39</f>
        <v/>
      </c>
      <c r="D92" s="98">
        <f>Feb!S39</f>
        <v/>
      </c>
      <c r="E92" s="98">
        <f>Mar!S39</f>
        <v/>
      </c>
      <c r="F92" s="98">
        <f>Apr!S39</f>
        <v/>
      </c>
      <c r="G92" s="98">
        <f>May!S39</f>
        <v/>
      </c>
      <c r="H92" s="98">
        <f>Jun!S39</f>
        <v/>
      </c>
      <c r="I92" s="98">
        <f>Jul!S39</f>
        <v/>
      </c>
      <c r="J92" s="98">
        <f>Aug!S39</f>
        <v/>
      </c>
      <c r="K92" s="98">
        <f>Sep!S39</f>
        <v/>
      </c>
      <c r="L92" s="98">
        <f>Oct!S39</f>
        <v/>
      </c>
      <c r="M92" s="98">
        <f>Nov!S39</f>
        <v/>
      </c>
      <c r="N92" s="98">
        <f>Dec!S39</f>
        <v/>
      </c>
      <c r="O92" s="108">
        <f>IF($B92="","",SUM(C92:N92))</f>
        <v/>
      </c>
      <c r="P92" s="100">
        <f>IF($B92="","",IFERROR(O92/MAX(1,COUNTIF(C92:N92,"&gt;0")),0))</f>
        <v/>
      </c>
      <c r="Q92" s="100">
        <f>IF($B92="","",N(Jan!R39)+N(Feb!R39)+N(Mar!R39)+N(Apr!R39)+N(May!R39)+N(Jun!R39)+N(Jul!R39)+N(Aug!R39)+N(Sep!R39)+N(Oct!R39)+N(Nov!R39)+N(Dec!R39))</f>
        <v/>
      </c>
      <c r="R92" s="109">
        <f>IF($B92="","",IFERROR(O92/Q92,0))</f>
        <v/>
      </c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>
      <c r="A93" s="1" t="n"/>
      <c r="B93" s="35">
        <f>Jan!Q40</f>
        <v/>
      </c>
      <c r="C93" s="98">
        <f>Jan!S40</f>
        <v/>
      </c>
      <c r="D93" s="98">
        <f>Feb!S40</f>
        <v/>
      </c>
      <c r="E93" s="98">
        <f>Mar!S40</f>
        <v/>
      </c>
      <c r="F93" s="98">
        <f>Apr!S40</f>
        <v/>
      </c>
      <c r="G93" s="98">
        <f>May!S40</f>
        <v/>
      </c>
      <c r="H93" s="98">
        <f>Jun!S40</f>
        <v/>
      </c>
      <c r="I93" s="98">
        <f>Jul!S40</f>
        <v/>
      </c>
      <c r="J93" s="98">
        <f>Aug!S40</f>
        <v/>
      </c>
      <c r="K93" s="98">
        <f>Sep!S40</f>
        <v/>
      </c>
      <c r="L93" s="98">
        <f>Oct!S40</f>
        <v/>
      </c>
      <c r="M93" s="98">
        <f>Nov!S40</f>
        <v/>
      </c>
      <c r="N93" s="98">
        <f>Dec!S40</f>
        <v/>
      </c>
      <c r="O93" s="108">
        <f>IF($B93="","",SUM(C93:N93))</f>
        <v/>
      </c>
      <c r="P93" s="100">
        <f>IF($B93="","",IFERROR(O93/MAX(1,COUNTIF(C93:N93,"&gt;0")),0))</f>
        <v/>
      </c>
      <c r="Q93" s="100">
        <f>IF($B93="","",N(Jan!R40)+N(Feb!R40)+N(Mar!R40)+N(Apr!R40)+N(May!R40)+N(Jun!R40)+N(Jul!R40)+N(Aug!R40)+N(Sep!R40)+N(Oct!R40)+N(Nov!R40)+N(Dec!R40))</f>
        <v/>
      </c>
      <c r="R93" s="109">
        <f>IF($B93="","",IFERROR(O93/Q93,0))</f>
        <v/>
      </c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>
      <c r="A95" s="1" t="n"/>
      <c r="B95" s="89" t="inlineStr">
        <is>
          <t>SUBSCRIPTIONS — BY MONTH</t>
        </is>
      </c>
      <c r="C95" s="90" t="n"/>
      <c r="D95" s="90" t="n"/>
      <c r="E95" s="90" t="n"/>
      <c r="F95" s="90" t="n"/>
      <c r="G95" s="90" t="n"/>
      <c r="H95" s="90" t="n"/>
      <c r="I95" s="90" t="n"/>
      <c r="J95" s="90" t="n"/>
      <c r="K95" s="90" t="n"/>
      <c r="L95" s="90" t="n"/>
      <c r="M95" s="90" t="n"/>
      <c r="N95" s="90" t="n"/>
      <c r="O95" s="90" t="n"/>
      <c r="P95" s="90" t="n"/>
      <c r="Q95" s="90" t="n"/>
      <c r="R95" s="90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>
      <c r="A96" s="1" t="n"/>
      <c r="B96" s="75" t="inlineStr">
        <is>
          <t>CATEGORY</t>
        </is>
      </c>
      <c r="C96" s="54">
        <f>TEXT(Jan!$C$6,"mmm")</f>
        <v/>
      </c>
      <c r="D96" s="54">
        <f>TEXT(Feb!$C$6,"mmm")</f>
        <v/>
      </c>
      <c r="E96" s="54">
        <f>TEXT(Mar!$C$6,"mmm")</f>
        <v/>
      </c>
      <c r="F96" s="54">
        <f>TEXT(Apr!$C$6,"mmm")</f>
        <v/>
      </c>
      <c r="G96" s="54">
        <f>TEXT(May!$C$6,"mmm")</f>
        <v/>
      </c>
      <c r="H96" s="54">
        <f>TEXT(Jun!$C$6,"mmm")</f>
        <v/>
      </c>
      <c r="I96" s="54">
        <f>TEXT(Jul!$C$6,"mmm")</f>
        <v/>
      </c>
      <c r="J96" s="54">
        <f>TEXT(Aug!$C$6,"mmm")</f>
        <v/>
      </c>
      <c r="K96" s="54">
        <f>TEXT(Sep!$C$6,"mmm")</f>
        <v/>
      </c>
      <c r="L96" s="54">
        <f>TEXT(Oct!$C$6,"mmm")</f>
        <v/>
      </c>
      <c r="M96" s="54">
        <f>TEXT(Nov!$C$6,"mmm")</f>
        <v/>
      </c>
      <c r="N96" s="54">
        <f>TEXT(Dec!$C$6,"mmm")</f>
        <v/>
      </c>
      <c r="O96" s="54" t="inlineStr">
        <is>
          <t>TOTAL</t>
        </is>
      </c>
      <c r="P96" s="54" t="inlineStr">
        <is>
          <t>AVERAGE</t>
        </is>
      </c>
      <c r="Q96" s="54" t="inlineStr">
        <is>
          <t>BUDGET</t>
        </is>
      </c>
      <c r="R96" s="54" t="inlineStr">
        <is>
          <t>% USED</t>
        </is>
      </c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>
      <c r="A97" s="1" t="n"/>
      <c r="B97" s="87" t="inlineStr">
        <is>
          <t>TOTAL</t>
        </is>
      </c>
      <c r="C97" s="108">
        <f>SUM(C98:C107)</f>
        <v/>
      </c>
      <c r="D97" s="108">
        <f>SUM(D98:D107)</f>
        <v/>
      </c>
      <c r="E97" s="108">
        <f>SUM(E98:E107)</f>
        <v/>
      </c>
      <c r="F97" s="108">
        <f>SUM(F98:F107)</f>
        <v/>
      </c>
      <c r="G97" s="108">
        <f>SUM(G98:G107)</f>
        <v/>
      </c>
      <c r="H97" s="108">
        <f>SUM(H98:H107)</f>
        <v/>
      </c>
      <c r="I97" s="108">
        <f>SUM(I98:I107)</f>
        <v/>
      </c>
      <c r="J97" s="108">
        <f>SUM(J98:J107)</f>
        <v/>
      </c>
      <c r="K97" s="108">
        <f>SUM(K98:K107)</f>
        <v/>
      </c>
      <c r="L97" s="108">
        <f>SUM(L98:L107)</f>
        <v/>
      </c>
      <c r="M97" s="108">
        <f>SUM(M98:M107)</f>
        <v/>
      </c>
      <c r="N97" s="108">
        <f>SUM(N98:N107)</f>
        <v/>
      </c>
      <c r="O97" s="108">
        <f>SUM(O98:O107)</f>
        <v/>
      </c>
      <c r="P97" s="108">
        <f>SUM(P98:P107)</f>
        <v/>
      </c>
      <c r="Q97" s="108">
        <f>SUM(Q98:Q107)</f>
        <v/>
      </c>
      <c r="R97" s="101">
        <f>IFERROR(O97/Q97,0)</f>
        <v/>
      </c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>
      <c r="A98" s="1" t="n"/>
      <c r="B98" s="35">
        <f>Jan!B52</f>
        <v/>
      </c>
      <c r="C98" s="98">
        <f>Jan!D52</f>
        <v/>
      </c>
      <c r="D98" s="98">
        <f>Feb!D52</f>
        <v/>
      </c>
      <c r="E98" s="98">
        <f>Mar!D52</f>
        <v/>
      </c>
      <c r="F98" s="98">
        <f>Apr!D52</f>
        <v/>
      </c>
      <c r="G98" s="98">
        <f>May!D52</f>
        <v/>
      </c>
      <c r="H98" s="98">
        <f>Jun!D52</f>
        <v/>
      </c>
      <c r="I98" s="98">
        <f>Jul!D52</f>
        <v/>
      </c>
      <c r="J98" s="98">
        <f>Aug!D52</f>
        <v/>
      </c>
      <c r="K98" s="98">
        <f>Sep!D52</f>
        <v/>
      </c>
      <c r="L98" s="98">
        <f>Oct!D52</f>
        <v/>
      </c>
      <c r="M98" s="98">
        <f>Nov!D52</f>
        <v/>
      </c>
      <c r="N98" s="98">
        <f>Dec!D52</f>
        <v/>
      </c>
      <c r="O98" s="108">
        <f>IF($B98="","",SUM(C98:N98))</f>
        <v/>
      </c>
      <c r="P98" s="100">
        <f>IF($B98="","",IFERROR(O98/MAX(1,COUNTIF(C98:N98,"&gt;0")),0))</f>
        <v/>
      </c>
      <c r="Q98" s="100">
        <f>IF($B98="","",N(Jan!C52)+N(Feb!C52)+N(Mar!C52)+N(Apr!C52)+N(May!C52)+N(Jun!C52)+N(Jul!C52)+N(Aug!C52)+N(Sep!C52)+N(Oct!C52)+N(Nov!C52)+N(Dec!C52))</f>
        <v/>
      </c>
      <c r="R98" s="109">
        <f>IF($B98="","",IFERROR(O98/Q98,0))</f>
        <v/>
      </c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>
      <c r="A99" s="1" t="n"/>
      <c r="B99" s="35">
        <f>Jan!B53</f>
        <v/>
      </c>
      <c r="C99" s="98">
        <f>Jan!D53</f>
        <v/>
      </c>
      <c r="D99" s="98">
        <f>Feb!D53</f>
        <v/>
      </c>
      <c r="E99" s="98">
        <f>Mar!D53</f>
        <v/>
      </c>
      <c r="F99" s="98">
        <f>Apr!D53</f>
        <v/>
      </c>
      <c r="G99" s="98">
        <f>May!D53</f>
        <v/>
      </c>
      <c r="H99" s="98">
        <f>Jun!D53</f>
        <v/>
      </c>
      <c r="I99" s="98">
        <f>Jul!D53</f>
        <v/>
      </c>
      <c r="J99" s="98">
        <f>Aug!D53</f>
        <v/>
      </c>
      <c r="K99" s="98">
        <f>Sep!D53</f>
        <v/>
      </c>
      <c r="L99" s="98">
        <f>Oct!D53</f>
        <v/>
      </c>
      <c r="M99" s="98">
        <f>Nov!D53</f>
        <v/>
      </c>
      <c r="N99" s="98">
        <f>Dec!D53</f>
        <v/>
      </c>
      <c r="O99" s="108">
        <f>IF($B99="","",SUM(C99:N99))</f>
        <v/>
      </c>
      <c r="P99" s="100">
        <f>IF($B99="","",IFERROR(O99/MAX(1,COUNTIF(C99:N99,"&gt;0")),0))</f>
        <v/>
      </c>
      <c r="Q99" s="100">
        <f>IF($B99="","",N(Jan!C53)+N(Feb!C53)+N(Mar!C53)+N(Apr!C53)+N(May!C53)+N(Jun!C53)+N(Jul!C53)+N(Aug!C53)+N(Sep!C53)+N(Oct!C53)+N(Nov!C53)+N(Dec!C53))</f>
        <v/>
      </c>
      <c r="R99" s="109">
        <f>IF($B99="","",IFERROR(O99/Q99,0))</f>
        <v/>
      </c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>
      <c r="A100" s="1" t="n"/>
      <c r="B100" s="35">
        <f>Jan!B54</f>
        <v/>
      </c>
      <c r="C100" s="98">
        <f>Jan!D54</f>
        <v/>
      </c>
      <c r="D100" s="98">
        <f>Feb!D54</f>
        <v/>
      </c>
      <c r="E100" s="98">
        <f>Mar!D54</f>
        <v/>
      </c>
      <c r="F100" s="98">
        <f>Apr!D54</f>
        <v/>
      </c>
      <c r="G100" s="98">
        <f>May!D54</f>
        <v/>
      </c>
      <c r="H100" s="98">
        <f>Jun!D54</f>
        <v/>
      </c>
      <c r="I100" s="98">
        <f>Jul!D54</f>
        <v/>
      </c>
      <c r="J100" s="98">
        <f>Aug!D54</f>
        <v/>
      </c>
      <c r="K100" s="98">
        <f>Sep!D54</f>
        <v/>
      </c>
      <c r="L100" s="98">
        <f>Oct!D54</f>
        <v/>
      </c>
      <c r="M100" s="98">
        <f>Nov!D54</f>
        <v/>
      </c>
      <c r="N100" s="98">
        <f>Dec!D54</f>
        <v/>
      </c>
      <c r="O100" s="108">
        <f>IF($B100="","",SUM(C100:N100))</f>
        <v/>
      </c>
      <c r="P100" s="100">
        <f>IF($B100="","",IFERROR(O100/MAX(1,COUNTIF(C100:N100,"&gt;0")),0))</f>
        <v/>
      </c>
      <c r="Q100" s="100">
        <f>IF($B100="","",N(Jan!C54)+N(Feb!C54)+N(Mar!C54)+N(Apr!C54)+N(May!C54)+N(Jun!C54)+N(Jul!C54)+N(Aug!C54)+N(Sep!C54)+N(Oct!C54)+N(Nov!C54)+N(Dec!C54))</f>
        <v/>
      </c>
      <c r="R100" s="109">
        <f>IF($B100="","",IFERROR(O100/Q100,0))</f>
        <v/>
      </c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>
      <c r="A101" s="1" t="n"/>
      <c r="B101" s="35">
        <f>Jan!B55</f>
        <v/>
      </c>
      <c r="C101" s="98">
        <f>Jan!D55</f>
        <v/>
      </c>
      <c r="D101" s="98">
        <f>Feb!D55</f>
        <v/>
      </c>
      <c r="E101" s="98">
        <f>Mar!D55</f>
        <v/>
      </c>
      <c r="F101" s="98">
        <f>Apr!D55</f>
        <v/>
      </c>
      <c r="G101" s="98">
        <f>May!D55</f>
        <v/>
      </c>
      <c r="H101" s="98">
        <f>Jun!D55</f>
        <v/>
      </c>
      <c r="I101" s="98">
        <f>Jul!D55</f>
        <v/>
      </c>
      <c r="J101" s="98">
        <f>Aug!D55</f>
        <v/>
      </c>
      <c r="K101" s="98">
        <f>Sep!D55</f>
        <v/>
      </c>
      <c r="L101" s="98">
        <f>Oct!D55</f>
        <v/>
      </c>
      <c r="M101" s="98">
        <f>Nov!D55</f>
        <v/>
      </c>
      <c r="N101" s="98">
        <f>Dec!D55</f>
        <v/>
      </c>
      <c r="O101" s="108">
        <f>IF($B101="","",SUM(C101:N101))</f>
        <v/>
      </c>
      <c r="P101" s="100">
        <f>IF($B101="","",IFERROR(O101/MAX(1,COUNTIF(C101:N101,"&gt;0")),0))</f>
        <v/>
      </c>
      <c r="Q101" s="100">
        <f>IF($B101="","",N(Jan!C55)+N(Feb!C55)+N(Mar!C55)+N(Apr!C55)+N(May!C55)+N(Jun!C55)+N(Jul!C55)+N(Aug!C55)+N(Sep!C55)+N(Oct!C55)+N(Nov!C55)+N(Dec!C55))</f>
        <v/>
      </c>
      <c r="R101" s="109">
        <f>IF($B101="","",IFERROR(O101/Q101,0))</f>
        <v/>
      </c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>
      <c r="A102" s="1" t="n"/>
      <c r="B102" s="35">
        <f>Jan!B56</f>
        <v/>
      </c>
      <c r="C102" s="98">
        <f>Jan!D56</f>
        <v/>
      </c>
      <c r="D102" s="98">
        <f>Feb!D56</f>
        <v/>
      </c>
      <c r="E102" s="98">
        <f>Mar!D56</f>
        <v/>
      </c>
      <c r="F102" s="98">
        <f>Apr!D56</f>
        <v/>
      </c>
      <c r="G102" s="98">
        <f>May!D56</f>
        <v/>
      </c>
      <c r="H102" s="98">
        <f>Jun!D56</f>
        <v/>
      </c>
      <c r="I102" s="98">
        <f>Jul!D56</f>
        <v/>
      </c>
      <c r="J102" s="98">
        <f>Aug!D56</f>
        <v/>
      </c>
      <c r="K102" s="98">
        <f>Sep!D56</f>
        <v/>
      </c>
      <c r="L102" s="98">
        <f>Oct!D56</f>
        <v/>
      </c>
      <c r="M102" s="98">
        <f>Nov!D56</f>
        <v/>
      </c>
      <c r="N102" s="98">
        <f>Dec!D56</f>
        <v/>
      </c>
      <c r="O102" s="108">
        <f>IF($B102="","",SUM(C102:N102))</f>
        <v/>
      </c>
      <c r="P102" s="100">
        <f>IF($B102="","",IFERROR(O102/MAX(1,COUNTIF(C102:N102,"&gt;0")),0))</f>
        <v/>
      </c>
      <c r="Q102" s="100">
        <f>IF($B102="","",N(Jan!C56)+N(Feb!C56)+N(Mar!C56)+N(Apr!C56)+N(May!C56)+N(Jun!C56)+N(Jul!C56)+N(Aug!C56)+N(Sep!C56)+N(Oct!C56)+N(Nov!C56)+N(Dec!C56))</f>
        <v/>
      </c>
      <c r="R102" s="109">
        <f>IF($B102="","",IFERROR(O102/Q102,0))</f>
        <v/>
      </c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>
      <c r="A103" s="1" t="n"/>
      <c r="B103" s="35">
        <f>Jan!B57</f>
        <v/>
      </c>
      <c r="C103" s="98">
        <f>Jan!D57</f>
        <v/>
      </c>
      <c r="D103" s="98">
        <f>Feb!D57</f>
        <v/>
      </c>
      <c r="E103" s="98">
        <f>Mar!D57</f>
        <v/>
      </c>
      <c r="F103" s="98">
        <f>Apr!D57</f>
        <v/>
      </c>
      <c r="G103" s="98">
        <f>May!D57</f>
        <v/>
      </c>
      <c r="H103" s="98">
        <f>Jun!D57</f>
        <v/>
      </c>
      <c r="I103" s="98">
        <f>Jul!D57</f>
        <v/>
      </c>
      <c r="J103" s="98">
        <f>Aug!D57</f>
        <v/>
      </c>
      <c r="K103" s="98">
        <f>Sep!D57</f>
        <v/>
      </c>
      <c r="L103" s="98">
        <f>Oct!D57</f>
        <v/>
      </c>
      <c r="M103" s="98">
        <f>Nov!D57</f>
        <v/>
      </c>
      <c r="N103" s="98">
        <f>Dec!D57</f>
        <v/>
      </c>
      <c r="O103" s="108">
        <f>IF($B103="","",SUM(C103:N103))</f>
        <v/>
      </c>
      <c r="P103" s="100">
        <f>IF($B103="","",IFERROR(O103/MAX(1,COUNTIF(C103:N103,"&gt;0")),0))</f>
        <v/>
      </c>
      <c r="Q103" s="100">
        <f>IF($B103="","",N(Jan!C57)+N(Feb!C57)+N(Mar!C57)+N(Apr!C57)+N(May!C57)+N(Jun!C57)+N(Jul!C57)+N(Aug!C57)+N(Sep!C57)+N(Oct!C57)+N(Nov!C57)+N(Dec!C57))</f>
        <v/>
      </c>
      <c r="R103" s="109">
        <f>IF($B103="","",IFERROR(O103/Q103,0))</f>
        <v/>
      </c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>
      <c r="A104" s="1" t="n"/>
      <c r="B104" s="35">
        <f>Jan!B58</f>
        <v/>
      </c>
      <c r="C104" s="98">
        <f>Jan!D58</f>
        <v/>
      </c>
      <c r="D104" s="98">
        <f>Feb!D58</f>
        <v/>
      </c>
      <c r="E104" s="98">
        <f>Mar!D58</f>
        <v/>
      </c>
      <c r="F104" s="98">
        <f>Apr!D58</f>
        <v/>
      </c>
      <c r="G104" s="98">
        <f>May!D58</f>
        <v/>
      </c>
      <c r="H104" s="98">
        <f>Jun!D58</f>
        <v/>
      </c>
      <c r="I104" s="98">
        <f>Jul!D58</f>
        <v/>
      </c>
      <c r="J104" s="98">
        <f>Aug!D58</f>
        <v/>
      </c>
      <c r="K104" s="98">
        <f>Sep!D58</f>
        <v/>
      </c>
      <c r="L104" s="98">
        <f>Oct!D58</f>
        <v/>
      </c>
      <c r="M104" s="98">
        <f>Nov!D58</f>
        <v/>
      </c>
      <c r="N104" s="98">
        <f>Dec!D58</f>
        <v/>
      </c>
      <c r="O104" s="108">
        <f>IF($B104="","",SUM(C104:N104))</f>
        <v/>
      </c>
      <c r="P104" s="100">
        <f>IF($B104="","",IFERROR(O104/MAX(1,COUNTIF(C104:N104,"&gt;0")),0))</f>
        <v/>
      </c>
      <c r="Q104" s="100">
        <f>IF($B104="","",N(Jan!C58)+N(Feb!C58)+N(Mar!C58)+N(Apr!C58)+N(May!C58)+N(Jun!C58)+N(Jul!C58)+N(Aug!C58)+N(Sep!C58)+N(Oct!C58)+N(Nov!C58)+N(Dec!C58))</f>
        <v/>
      </c>
      <c r="R104" s="109">
        <f>IF($B104="","",IFERROR(O104/Q104,0))</f>
        <v/>
      </c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>
      <c r="A105" s="1" t="n"/>
      <c r="B105" s="35">
        <f>Jan!B59</f>
        <v/>
      </c>
      <c r="C105" s="98">
        <f>Jan!D59</f>
        <v/>
      </c>
      <c r="D105" s="98">
        <f>Feb!D59</f>
        <v/>
      </c>
      <c r="E105" s="98">
        <f>Mar!D59</f>
        <v/>
      </c>
      <c r="F105" s="98">
        <f>Apr!D59</f>
        <v/>
      </c>
      <c r="G105" s="98">
        <f>May!D59</f>
        <v/>
      </c>
      <c r="H105" s="98">
        <f>Jun!D59</f>
        <v/>
      </c>
      <c r="I105" s="98">
        <f>Jul!D59</f>
        <v/>
      </c>
      <c r="J105" s="98">
        <f>Aug!D59</f>
        <v/>
      </c>
      <c r="K105" s="98">
        <f>Sep!D59</f>
        <v/>
      </c>
      <c r="L105" s="98">
        <f>Oct!D59</f>
        <v/>
      </c>
      <c r="M105" s="98">
        <f>Nov!D59</f>
        <v/>
      </c>
      <c r="N105" s="98">
        <f>Dec!D59</f>
        <v/>
      </c>
      <c r="O105" s="108">
        <f>IF($B105="","",SUM(C105:N105))</f>
        <v/>
      </c>
      <c r="P105" s="100">
        <f>IF($B105="","",IFERROR(O105/MAX(1,COUNTIF(C105:N105,"&gt;0")),0))</f>
        <v/>
      </c>
      <c r="Q105" s="100">
        <f>IF($B105="","",N(Jan!C59)+N(Feb!C59)+N(Mar!C59)+N(Apr!C59)+N(May!C59)+N(Jun!C59)+N(Jul!C59)+N(Aug!C59)+N(Sep!C59)+N(Oct!C59)+N(Nov!C59)+N(Dec!C59))</f>
        <v/>
      </c>
      <c r="R105" s="109">
        <f>IF($B105="","",IFERROR(O105/Q105,0))</f>
        <v/>
      </c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>
      <c r="A106" s="1" t="n"/>
      <c r="B106" s="35">
        <f>Jan!B60</f>
        <v/>
      </c>
      <c r="C106" s="98">
        <f>Jan!D60</f>
        <v/>
      </c>
      <c r="D106" s="98">
        <f>Feb!D60</f>
        <v/>
      </c>
      <c r="E106" s="98">
        <f>Mar!D60</f>
        <v/>
      </c>
      <c r="F106" s="98">
        <f>Apr!D60</f>
        <v/>
      </c>
      <c r="G106" s="98">
        <f>May!D60</f>
        <v/>
      </c>
      <c r="H106" s="98">
        <f>Jun!D60</f>
        <v/>
      </c>
      <c r="I106" s="98">
        <f>Jul!D60</f>
        <v/>
      </c>
      <c r="J106" s="98">
        <f>Aug!D60</f>
        <v/>
      </c>
      <c r="K106" s="98">
        <f>Sep!D60</f>
        <v/>
      </c>
      <c r="L106" s="98">
        <f>Oct!D60</f>
        <v/>
      </c>
      <c r="M106" s="98">
        <f>Nov!D60</f>
        <v/>
      </c>
      <c r="N106" s="98">
        <f>Dec!D60</f>
        <v/>
      </c>
      <c r="O106" s="108">
        <f>IF($B106="","",SUM(C106:N106))</f>
        <v/>
      </c>
      <c r="P106" s="100">
        <f>IF($B106="","",IFERROR(O106/MAX(1,COUNTIF(C106:N106,"&gt;0")),0))</f>
        <v/>
      </c>
      <c r="Q106" s="100">
        <f>IF($B106="","",N(Jan!C60)+N(Feb!C60)+N(Mar!C60)+N(Apr!C60)+N(May!C60)+N(Jun!C60)+N(Jul!C60)+N(Aug!C60)+N(Sep!C60)+N(Oct!C60)+N(Nov!C60)+N(Dec!C60))</f>
        <v/>
      </c>
      <c r="R106" s="109">
        <f>IF($B106="","",IFERROR(O106/Q106,0))</f>
        <v/>
      </c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>
      <c r="A107" s="1" t="n"/>
      <c r="B107" s="35">
        <f>Jan!B61</f>
        <v/>
      </c>
      <c r="C107" s="98">
        <f>Jan!D61</f>
        <v/>
      </c>
      <c r="D107" s="98">
        <f>Feb!D61</f>
        <v/>
      </c>
      <c r="E107" s="98">
        <f>Mar!D61</f>
        <v/>
      </c>
      <c r="F107" s="98">
        <f>Apr!D61</f>
        <v/>
      </c>
      <c r="G107" s="98">
        <f>May!D61</f>
        <v/>
      </c>
      <c r="H107" s="98">
        <f>Jun!D61</f>
        <v/>
      </c>
      <c r="I107" s="98">
        <f>Jul!D61</f>
        <v/>
      </c>
      <c r="J107" s="98">
        <f>Aug!D61</f>
        <v/>
      </c>
      <c r="K107" s="98">
        <f>Sep!D61</f>
        <v/>
      </c>
      <c r="L107" s="98">
        <f>Oct!D61</f>
        <v/>
      </c>
      <c r="M107" s="98">
        <f>Nov!D61</f>
        <v/>
      </c>
      <c r="N107" s="98">
        <f>Dec!D61</f>
        <v/>
      </c>
      <c r="O107" s="108">
        <f>IF($B107="","",SUM(C107:N107))</f>
        <v/>
      </c>
      <c r="P107" s="100">
        <f>IF($B107="","",IFERROR(O107/MAX(1,COUNTIF(C107:N107,"&gt;0")),0))</f>
        <v/>
      </c>
      <c r="Q107" s="100">
        <f>IF($B107="","",N(Jan!C61)+N(Feb!C61)+N(Mar!C61)+N(Apr!C61)+N(May!C61)+N(Jun!C61)+N(Jul!C61)+N(Aug!C61)+N(Sep!C61)+N(Oct!C61)+N(Nov!C61)+N(Dec!C61))</f>
        <v/>
      </c>
      <c r="R107" s="109">
        <f>IF($B107="","",IFERROR(O107/Q107,0))</f>
        <v/>
      </c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>
      <c r="A109" s="1" t="n"/>
      <c r="B109" s="8" t="inlineStr">
        <is>
          <t>VARIABLE EXPENSES — BY MONTH</t>
        </is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>
      <c r="A110" s="1" t="n"/>
      <c r="B110" s="75" t="inlineStr">
        <is>
          <t>CATEGORY</t>
        </is>
      </c>
      <c r="C110" s="54">
        <f>TEXT(Jan!$C$6,"mmm")</f>
        <v/>
      </c>
      <c r="D110" s="54">
        <f>TEXT(Feb!$C$6,"mmm")</f>
        <v/>
      </c>
      <c r="E110" s="54">
        <f>TEXT(Mar!$C$6,"mmm")</f>
        <v/>
      </c>
      <c r="F110" s="54">
        <f>TEXT(Apr!$C$6,"mmm")</f>
        <v/>
      </c>
      <c r="G110" s="54">
        <f>TEXT(May!$C$6,"mmm")</f>
        <v/>
      </c>
      <c r="H110" s="54">
        <f>TEXT(Jun!$C$6,"mmm")</f>
        <v/>
      </c>
      <c r="I110" s="54">
        <f>TEXT(Jul!$C$6,"mmm")</f>
        <v/>
      </c>
      <c r="J110" s="54">
        <f>TEXT(Aug!$C$6,"mmm")</f>
        <v/>
      </c>
      <c r="K110" s="54">
        <f>TEXT(Sep!$C$6,"mmm")</f>
        <v/>
      </c>
      <c r="L110" s="54">
        <f>TEXT(Oct!$C$6,"mmm")</f>
        <v/>
      </c>
      <c r="M110" s="54">
        <f>TEXT(Nov!$C$6,"mmm")</f>
        <v/>
      </c>
      <c r="N110" s="54">
        <f>TEXT(Dec!$C$6,"mmm")</f>
        <v/>
      </c>
      <c r="O110" s="54" t="inlineStr">
        <is>
          <t>TOTAL</t>
        </is>
      </c>
      <c r="P110" s="54" t="inlineStr">
        <is>
          <t>AVERAGE</t>
        </is>
      </c>
      <c r="Q110" s="54" t="inlineStr">
        <is>
          <t>BUDGET</t>
        </is>
      </c>
      <c r="R110" s="54" t="inlineStr">
        <is>
          <t>% USED</t>
        </is>
      </c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>
      <c r="A111" s="1" t="n"/>
      <c r="B111" s="87" t="inlineStr">
        <is>
          <t>TOTAL</t>
        </is>
      </c>
      <c r="C111" s="108">
        <f>SUM(C112:C126)</f>
        <v/>
      </c>
      <c r="D111" s="108">
        <f>SUM(D112:D126)</f>
        <v/>
      </c>
      <c r="E111" s="108">
        <f>SUM(E112:E126)</f>
        <v/>
      </c>
      <c r="F111" s="108">
        <f>SUM(F112:F126)</f>
        <v/>
      </c>
      <c r="G111" s="108">
        <f>SUM(G112:G126)</f>
        <v/>
      </c>
      <c r="H111" s="108">
        <f>SUM(H112:H126)</f>
        <v/>
      </c>
      <c r="I111" s="108">
        <f>SUM(I112:I126)</f>
        <v/>
      </c>
      <c r="J111" s="108">
        <f>SUM(J112:J126)</f>
        <v/>
      </c>
      <c r="K111" s="108">
        <f>SUM(K112:K126)</f>
        <v/>
      </c>
      <c r="L111" s="108">
        <f>SUM(L112:L126)</f>
        <v/>
      </c>
      <c r="M111" s="108">
        <f>SUM(M112:M126)</f>
        <v/>
      </c>
      <c r="N111" s="108">
        <f>SUM(N112:N126)</f>
        <v/>
      </c>
      <c r="O111" s="108">
        <f>SUM(O112:O126)</f>
        <v/>
      </c>
      <c r="P111" s="108">
        <f>SUM(P112:P126)</f>
        <v/>
      </c>
      <c r="Q111" s="108">
        <f>SUM(Q112:Q126)</f>
        <v/>
      </c>
      <c r="R111" s="101">
        <f>IFERROR(O111/Q111,0)</f>
        <v/>
      </c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>
      <c r="A112" s="1" t="n"/>
      <c r="B112" s="35">
        <f>Jan!G52</f>
        <v/>
      </c>
      <c r="C112" s="98">
        <f>Jan!I52</f>
        <v/>
      </c>
      <c r="D112" s="98">
        <f>Feb!I52</f>
        <v/>
      </c>
      <c r="E112" s="98">
        <f>Mar!I52</f>
        <v/>
      </c>
      <c r="F112" s="98">
        <f>Apr!I52</f>
        <v/>
      </c>
      <c r="G112" s="98">
        <f>May!I52</f>
        <v/>
      </c>
      <c r="H112" s="98">
        <f>Jun!I52</f>
        <v/>
      </c>
      <c r="I112" s="98">
        <f>Jul!I52</f>
        <v/>
      </c>
      <c r="J112" s="98">
        <f>Aug!I52</f>
        <v/>
      </c>
      <c r="K112" s="98">
        <f>Sep!I52</f>
        <v/>
      </c>
      <c r="L112" s="98">
        <f>Oct!I52</f>
        <v/>
      </c>
      <c r="M112" s="98">
        <f>Nov!I52</f>
        <v/>
      </c>
      <c r="N112" s="98">
        <f>Dec!I52</f>
        <v/>
      </c>
      <c r="O112" s="108">
        <f>IF($B112="","",SUM(C112:N112))</f>
        <v/>
      </c>
      <c r="P112" s="100">
        <f>IF($B112="","",IFERROR(O112/MAX(1,COUNTIF(C112:N112,"&gt;0")),0))</f>
        <v/>
      </c>
      <c r="Q112" s="100">
        <f>IF($B112="","",N(Jan!H52)+N(Feb!H52)+N(Mar!H52)+N(Apr!H52)+N(May!H52)+N(Jun!H52)+N(Jul!H52)+N(Aug!H52)+N(Sep!H52)+N(Oct!H52)+N(Nov!H52)+N(Dec!H52))</f>
        <v/>
      </c>
      <c r="R112" s="109">
        <f>IF($B112="","",IFERROR(O112/Q112,0))</f>
        <v/>
      </c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>
      <c r="A113" s="1" t="n"/>
      <c r="B113" s="35">
        <f>Jan!G53</f>
        <v/>
      </c>
      <c r="C113" s="98">
        <f>Jan!I53</f>
        <v/>
      </c>
      <c r="D113" s="98">
        <f>Feb!I53</f>
        <v/>
      </c>
      <c r="E113" s="98">
        <f>Mar!I53</f>
        <v/>
      </c>
      <c r="F113" s="98">
        <f>Apr!I53</f>
        <v/>
      </c>
      <c r="G113" s="98">
        <f>May!I53</f>
        <v/>
      </c>
      <c r="H113" s="98">
        <f>Jun!I53</f>
        <v/>
      </c>
      <c r="I113" s="98">
        <f>Jul!I53</f>
        <v/>
      </c>
      <c r="J113" s="98">
        <f>Aug!I53</f>
        <v/>
      </c>
      <c r="K113" s="98">
        <f>Sep!I53</f>
        <v/>
      </c>
      <c r="L113" s="98">
        <f>Oct!I53</f>
        <v/>
      </c>
      <c r="M113" s="98">
        <f>Nov!I53</f>
        <v/>
      </c>
      <c r="N113" s="98">
        <f>Dec!I53</f>
        <v/>
      </c>
      <c r="O113" s="108">
        <f>IF($B113="","",SUM(C113:N113))</f>
        <v/>
      </c>
      <c r="P113" s="100">
        <f>IF($B113="","",IFERROR(O113/MAX(1,COUNTIF(C113:N113,"&gt;0")),0))</f>
        <v/>
      </c>
      <c r="Q113" s="100">
        <f>IF($B113="","",N(Jan!H53)+N(Feb!H53)+N(Mar!H53)+N(Apr!H53)+N(May!H53)+N(Jun!H53)+N(Jul!H53)+N(Aug!H53)+N(Sep!H53)+N(Oct!H53)+N(Nov!H53)+N(Dec!H53))</f>
        <v/>
      </c>
      <c r="R113" s="109">
        <f>IF($B113="","",IFERROR(O113/Q113,0))</f>
        <v/>
      </c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>
      <c r="A114" s="1" t="n"/>
      <c r="B114" s="35">
        <f>Jan!G54</f>
        <v/>
      </c>
      <c r="C114" s="98">
        <f>Jan!I54</f>
        <v/>
      </c>
      <c r="D114" s="98">
        <f>Feb!I54</f>
        <v/>
      </c>
      <c r="E114" s="98">
        <f>Mar!I54</f>
        <v/>
      </c>
      <c r="F114" s="98">
        <f>Apr!I54</f>
        <v/>
      </c>
      <c r="G114" s="98">
        <f>May!I54</f>
        <v/>
      </c>
      <c r="H114" s="98">
        <f>Jun!I54</f>
        <v/>
      </c>
      <c r="I114" s="98">
        <f>Jul!I54</f>
        <v/>
      </c>
      <c r="J114" s="98">
        <f>Aug!I54</f>
        <v/>
      </c>
      <c r="K114" s="98">
        <f>Sep!I54</f>
        <v/>
      </c>
      <c r="L114" s="98">
        <f>Oct!I54</f>
        <v/>
      </c>
      <c r="M114" s="98">
        <f>Nov!I54</f>
        <v/>
      </c>
      <c r="N114" s="98">
        <f>Dec!I54</f>
        <v/>
      </c>
      <c r="O114" s="108">
        <f>IF($B114="","",SUM(C114:N114))</f>
        <v/>
      </c>
      <c r="P114" s="100">
        <f>IF($B114="","",IFERROR(O114/MAX(1,COUNTIF(C114:N114,"&gt;0")),0))</f>
        <v/>
      </c>
      <c r="Q114" s="100">
        <f>IF($B114="","",N(Jan!H54)+N(Feb!H54)+N(Mar!H54)+N(Apr!H54)+N(May!H54)+N(Jun!H54)+N(Jul!H54)+N(Aug!H54)+N(Sep!H54)+N(Oct!H54)+N(Nov!H54)+N(Dec!H54))</f>
        <v/>
      </c>
      <c r="R114" s="109">
        <f>IF($B114="","",IFERROR(O114/Q114,0))</f>
        <v/>
      </c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>
      <c r="A115" s="1" t="n"/>
      <c r="B115" s="35">
        <f>Jan!G55</f>
        <v/>
      </c>
      <c r="C115" s="98">
        <f>Jan!I55</f>
        <v/>
      </c>
      <c r="D115" s="98">
        <f>Feb!I55</f>
        <v/>
      </c>
      <c r="E115" s="98">
        <f>Mar!I55</f>
        <v/>
      </c>
      <c r="F115" s="98">
        <f>Apr!I55</f>
        <v/>
      </c>
      <c r="G115" s="98">
        <f>May!I55</f>
        <v/>
      </c>
      <c r="H115" s="98">
        <f>Jun!I55</f>
        <v/>
      </c>
      <c r="I115" s="98">
        <f>Jul!I55</f>
        <v/>
      </c>
      <c r="J115" s="98">
        <f>Aug!I55</f>
        <v/>
      </c>
      <c r="K115" s="98">
        <f>Sep!I55</f>
        <v/>
      </c>
      <c r="L115" s="98">
        <f>Oct!I55</f>
        <v/>
      </c>
      <c r="M115" s="98">
        <f>Nov!I55</f>
        <v/>
      </c>
      <c r="N115" s="98">
        <f>Dec!I55</f>
        <v/>
      </c>
      <c r="O115" s="108">
        <f>IF($B115="","",SUM(C115:N115))</f>
        <v/>
      </c>
      <c r="P115" s="100">
        <f>IF($B115="","",IFERROR(O115/MAX(1,COUNTIF(C115:N115,"&gt;0")),0))</f>
        <v/>
      </c>
      <c r="Q115" s="100">
        <f>IF($B115="","",N(Jan!H55)+N(Feb!H55)+N(Mar!H55)+N(Apr!H55)+N(May!H55)+N(Jun!H55)+N(Jul!H55)+N(Aug!H55)+N(Sep!H55)+N(Oct!H55)+N(Nov!H55)+N(Dec!H55))</f>
        <v/>
      </c>
      <c r="R115" s="109">
        <f>IF($B115="","",IFERROR(O115/Q115,0))</f>
        <v/>
      </c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>
      <c r="A116" s="1" t="n"/>
      <c r="B116" s="35">
        <f>Jan!G56</f>
        <v/>
      </c>
      <c r="C116" s="98">
        <f>Jan!I56</f>
        <v/>
      </c>
      <c r="D116" s="98">
        <f>Feb!I56</f>
        <v/>
      </c>
      <c r="E116" s="98">
        <f>Mar!I56</f>
        <v/>
      </c>
      <c r="F116" s="98">
        <f>Apr!I56</f>
        <v/>
      </c>
      <c r="G116" s="98">
        <f>May!I56</f>
        <v/>
      </c>
      <c r="H116" s="98">
        <f>Jun!I56</f>
        <v/>
      </c>
      <c r="I116" s="98">
        <f>Jul!I56</f>
        <v/>
      </c>
      <c r="J116" s="98">
        <f>Aug!I56</f>
        <v/>
      </c>
      <c r="K116" s="98">
        <f>Sep!I56</f>
        <v/>
      </c>
      <c r="L116" s="98">
        <f>Oct!I56</f>
        <v/>
      </c>
      <c r="M116" s="98">
        <f>Nov!I56</f>
        <v/>
      </c>
      <c r="N116" s="98">
        <f>Dec!I56</f>
        <v/>
      </c>
      <c r="O116" s="108">
        <f>IF($B116="","",SUM(C116:N116))</f>
        <v/>
      </c>
      <c r="P116" s="100">
        <f>IF($B116="","",IFERROR(O116/MAX(1,COUNTIF(C116:N116,"&gt;0")),0))</f>
        <v/>
      </c>
      <c r="Q116" s="100">
        <f>IF($B116="","",N(Jan!H56)+N(Feb!H56)+N(Mar!H56)+N(Apr!H56)+N(May!H56)+N(Jun!H56)+N(Jul!H56)+N(Aug!H56)+N(Sep!H56)+N(Oct!H56)+N(Nov!H56)+N(Dec!H56))</f>
        <v/>
      </c>
      <c r="R116" s="109">
        <f>IF($B116="","",IFERROR(O116/Q116,0))</f>
        <v/>
      </c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>
      <c r="A117" s="1" t="n"/>
      <c r="B117" s="35">
        <f>Jan!G57</f>
        <v/>
      </c>
      <c r="C117" s="98">
        <f>Jan!I57</f>
        <v/>
      </c>
      <c r="D117" s="98">
        <f>Feb!I57</f>
        <v/>
      </c>
      <c r="E117" s="98">
        <f>Mar!I57</f>
        <v/>
      </c>
      <c r="F117" s="98">
        <f>Apr!I57</f>
        <v/>
      </c>
      <c r="G117" s="98">
        <f>May!I57</f>
        <v/>
      </c>
      <c r="H117" s="98">
        <f>Jun!I57</f>
        <v/>
      </c>
      <c r="I117" s="98">
        <f>Jul!I57</f>
        <v/>
      </c>
      <c r="J117" s="98">
        <f>Aug!I57</f>
        <v/>
      </c>
      <c r="K117" s="98">
        <f>Sep!I57</f>
        <v/>
      </c>
      <c r="L117" s="98">
        <f>Oct!I57</f>
        <v/>
      </c>
      <c r="M117" s="98">
        <f>Nov!I57</f>
        <v/>
      </c>
      <c r="N117" s="98">
        <f>Dec!I57</f>
        <v/>
      </c>
      <c r="O117" s="108">
        <f>IF($B117="","",SUM(C117:N117))</f>
        <v/>
      </c>
      <c r="P117" s="100">
        <f>IF($B117="","",IFERROR(O117/MAX(1,COUNTIF(C117:N117,"&gt;0")),0))</f>
        <v/>
      </c>
      <c r="Q117" s="100">
        <f>IF($B117="","",N(Jan!H57)+N(Feb!H57)+N(Mar!H57)+N(Apr!H57)+N(May!H57)+N(Jun!H57)+N(Jul!H57)+N(Aug!H57)+N(Sep!H57)+N(Oct!H57)+N(Nov!H57)+N(Dec!H57))</f>
        <v/>
      </c>
      <c r="R117" s="109">
        <f>IF($B117="","",IFERROR(O117/Q117,0))</f>
        <v/>
      </c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>
      <c r="A118" s="1" t="n"/>
      <c r="B118" s="35">
        <f>Jan!G58</f>
        <v/>
      </c>
      <c r="C118" s="98">
        <f>Jan!I58</f>
        <v/>
      </c>
      <c r="D118" s="98">
        <f>Feb!I58</f>
        <v/>
      </c>
      <c r="E118" s="98">
        <f>Mar!I58</f>
        <v/>
      </c>
      <c r="F118" s="98">
        <f>Apr!I58</f>
        <v/>
      </c>
      <c r="G118" s="98">
        <f>May!I58</f>
        <v/>
      </c>
      <c r="H118" s="98">
        <f>Jun!I58</f>
        <v/>
      </c>
      <c r="I118" s="98">
        <f>Jul!I58</f>
        <v/>
      </c>
      <c r="J118" s="98">
        <f>Aug!I58</f>
        <v/>
      </c>
      <c r="K118" s="98">
        <f>Sep!I58</f>
        <v/>
      </c>
      <c r="L118" s="98">
        <f>Oct!I58</f>
        <v/>
      </c>
      <c r="M118" s="98">
        <f>Nov!I58</f>
        <v/>
      </c>
      <c r="N118" s="98">
        <f>Dec!I58</f>
        <v/>
      </c>
      <c r="O118" s="108">
        <f>IF($B118="","",SUM(C118:N118))</f>
        <v/>
      </c>
      <c r="P118" s="100">
        <f>IF($B118="","",IFERROR(O118/MAX(1,COUNTIF(C118:N118,"&gt;0")),0))</f>
        <v/>
      </c>
      <c r="Q118" s="100">
        <f>IF($B118="","",N(Jan!H58)+N(Feb!H58)+N(Mar!H58)+N(Apr!H58)+N(May!H58)+N(Jun!H58)+N(Jul!H58)+N(Aug!H58)+N(Sep!H58)+N(Oct!H58)+N(Nov!H58)+N(Dec!H58))</f>
        <v/>
      </c>
      <c r="R118" s="109">
        <f>IF($B118="","",IFERROR(O118/Q118,0))</f>
        <v/>
      </c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>
      <c r="A119" s="1" t="n"/>
      <c r="B119" s="35">
        <f>Jan!G59</f>
        <v/>
      </c>
      <c r="C119" s="98">
        <f>Jan!I59</f>
        <v/>
      </c>
      <c r="D119" s="98">
        <f>Feb!I59</f>
        <v/>
      </c>
      <c r="E119" s="98">
        <f>Mar!I59</f>
        <v/>
      </c>
      <c r="F119" s="98">
        <f>Apr!I59</f>
        <v/>
      </c>
      <c r="G119" s="98">
        <f>May!I59</f>
        <v/>
      </c>
      <c r="H119" s="98">
        <f>Jun!I59</f>
        <v/>
      </c>
      <c r="I119" s="98">
        <f>Jul!I59</f>
        <v/>
      </c>
      <c r="J119" s="98">
        <f>Aug!I59</f>
        <v/>
      </c>
      <c r="K119" s="98">
        <f>Sep!I59</f>
        <v/>
      </c>
      <c r="L119" s="98">
        <f>Oct!I59</f>
        <v/>
      </c>
      <c r="M119" s="98">
        <f>Nov!I59</f>
        <v/>
      </c>
      <c r="N119" s="98">
        <f>Dec!I59</f>
        <v/>
      </c>
      <c r="O119" s="108">
        <f>IF($B119="","",SUM(C119:N119))</f>
        <v/>
      </c>
      <c r="P119" s="100">
        <f>IF($B119="","",IFERROR(O119/MAX(1,COUNTIF(C119:N119,"&gt;0")),0))</f>
        <v/>
      </c>
      <c r="Q119" s="100">
        <f>IF($B119="","",N(Jan!H59)+N(Feb!H59)+N(Mar!H59)+N(Apr!H59)+N(May!H59)+N(Jun!H59)+N(Jul!H59)+N(Aug!H59)+N(Sep!H59)+N(Oct!H59)+N(Nov!H59)+N(Dec!H59))</f>
        <v/>
      </c>
      <c r="R119" s="109">
        <f>IF($B119="","",IFERROR(O119/Q119,0))</f>
        <v/>
      </c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>
      <c r="A120" s="1" t="n"/>
      <c r="B120" s="35">
        <f>Jan!G60</f>
        <v/>
      </c>
      <c r="C120" s="98">
        <f>Jan!I60</f>
        <v/>
      </c>
      <c r="D120" s="98">
        <f>Feb!I60</f>
        <v/>
      </c>
      <c r="E120" s="98">
        <f>Mar!I60</f>
        <v/>
      </c>
      <c r="F120" s="98">
        <f>Apr!I60</f>
        <v/>
      </c>
      <c r="G120" s="98">
        <f>May!I60</f>
        <v/>
      </c>
      <c r="H120" s="98">
        <f>Jun!I60</f>
        <v/>
      </c>
      <c r="I120" s="98">
        <f>Jul!I60</f>
        <v/>
      </c>
      <c r="J120" s="98">
        <f>Aug!I60</f>
        <v/>
      </c>
      <c r="K120" s="98">
        <f>Sep!I60</f>
        <v/>
      </c>
      <c r="L120" s="98">
        <f>Oct!I60</f>
        <v/>
      </c>
      <c r="M120" s="98">
        <f>Nov!I60</f>
        <v/>
      </c>
      <c r="N120" s="98">
        <f>Dec!I60</f>
        <v/>
      </c>
      <c r="O120" s="108">
        <f>IF($B120="","",SUM(C120:N120))</f>
        <v/>
      </c>
      <c r="P120" s="100">
        <f>IF($B120="","",IFERROR(O120/MAX(1,COUNTIF(C120:N120,"&gt;0")),0))</f>
        <v/>
      </c>
      <c r="Q120" s="100">
        <f>IF($B120="","",N(Jan!H60)+N(Feb!H60)+N(Mar!H60)+N(Apr!H60)+N(May!H60)+N(Jun!H60)+N(Jul!H60)+N(Aug!H60)+N(Sep!H60)+N(Oct!H60)+N(Nov!H60)+N(Dec!H60))</f>
        <v/>
      </c>
      <c r="R120" s="109">
        <f>IF($B120="","",IFERROR(O120/Q120,0))</f>
        <v/>
      </c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>
      <c r="A121" s="1" t="n"/>
      <c r="B121" s="35">
        <f>Jan!G61</f>
        <v/>
      </c>
      <c r="C121" s="98">
        <f>Jan!I61</f>
        <v/>
      </c>
      <c r="D121" s="98">
        <f>Feb!I61</f>
        <v/>
      </c>
      <c r="E121" s="98">
        <f>Mar!I61</f>
        <v/>
      </c>
      <c r="F121" s="98">
        <f>Apr!I61</f>
        <v/>
      </c>
      <c r="G121" s="98">
        <f>May!I61</f>
        <v/>
      </c>
      <c r="H121" s="98">
        <f>Jun!I61</f>
        <v/>
      </c>
      <c r="I121" s="98">
        <f>Jul!I61</f>
        <v/>
      </c>
      <c r="J121" s="98">
        <f>Aug!I61</f>
        <v/>
      </c>
      <c r="K121" s="98">
        <f>Sep!I61</f>
        <v/>
      </c>
      <c r="L121" s="98">
        <f>Oct!I61</f>
        <v/>
      </c>
      <c r="M121" s="98">
        <f>Nov!I61</f>
        <v/>
      </c>
      <c r="N121" s="98">
        <f>Dec!I61</f>
        <v/>
      </c>
      <c r="O121" s="108">
        <f>IF($B121="","",SUM(C121:N121))</f>
        <v/>
      </c>
      <c r="P121" s="100">
        <f>IF($B121="","",IFERROR(O121/MAX(1,COUNTIF(C121:N121,"&gt;0")),0))</f>
        <v/>
      </c>
      <c r="Q121" s="100">
        <f>IF($B121="","",N(Jan!H61)+N(Feb!H61)+N(Mar!H61)+N(Apr!H61)+N(May!H61)+N(Jun!H61)+N(Jul!H61)+N(Aug!H61)+N(Sep!H61)+N(Oct!H61)+N(Nov!H61)+N(Dec!H61))</f>
        <v/>
      </c>
      <c r="R121" s="109">
        <f>IF($B121="","",IFERROR(O121/Q121,0))</f>
        <v/>
      </c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>
      <c r="A122" s="1" t="n"/>
      <c r="B122" s="35">
        <f>Jan!G62</f>
        <v/>
      </c>
      <c r="C122" s="98">
        <f>Jan!I62</f>
        <v/>
      </c>
      <c r="D122" s="98">
        <f>Feb!I62</f>
        <v/>
      </c>
      <c r="E122" s="98">
        <f>Mar!I62</f>
        <v/>
      </c>
      <c r="F122" s="98">
        <f>Apr!I62</f>
        <v/>
      </c>
      <c r="G122" s="98">
        <f>May!I62</f>
        <v/>
      </c>
      <c r="H122" s="98">
        <f>Jun!I62</f>
        <v/>
      </c>
      <c r="I122" s="98">
        <f>Jul!I62</f>
        <v/>
      </c>
      <c r="J122" s="98">
        <f>Aug!I62</f>
        <v/>
      </c>
      <c r="K122" s="98">
        <f>Sep!I62</f>
        <v/>
      </c>
      <c r="L122" s="98">
        <f>Oct!I62</f>
        <v/>
      </c>
      <c r="M122" s="98">
        <f>Nov!I62</f>
        <v/>
      </c>
      <c r="N122" s="98">
        <f>Dec!I62</f>
        <v/>
      </c>
      <c r="O122" s="108">
        <f>IF($B122="","",SUM(C122:N122))</f>
        <v/>
      </c>
      <c r="P122" s="100">
        <f>IF($B122="","",IFERROR(O122/MAX(1,COUNTIF(C122:N122,"&gt;0")),0))</f>
        <v/>
      </c>
      <c r="Q122" s="100">
        <f>IF($B122="","",N(Jan!H62)+N(Feb!H62)+N(Mar!H62)+N(Apr!H62)+N(May!H62)+N(Jun!H62)+N(Jul!H62)+N(Aug!H62)+N(Sep!H62)+N(Oct!H62)+N(Nov!H62)+N(Dec!H62))</f>
        <v/>
      </c>
      <c r="R122" s="109">
        <f>IF($B122="","",IFERROR(O122/Q122,0))</f>
        <v/>
      </c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>
      <c r="A123" s="1" t="n"/>
      <c r="B123" s="35">
        <f>Jan!G63</f>
        <v/>
      </c>
      <c r="C123" s="98">
        <f>Jan!I63</f>
        <v/>
      </c>
      <c r="D123" s="98">
        <f>Feb!I63</f>
        <v/>
      </c>
      <c r="E123" s="98">
        <f>Mar!I63</f>
        <v/>
      </c>
      <c r="F123" s="98">
        <f>Apr!I63</f>
        <v/>
      </c>
      <c r="G123" s="98">
        <f>May!I63</f>
        <v/>
      </c>
      <c r="H123" s="98">
        <f>Jun!I63</f>
        <v/>
      </c>
      <c r="I123" s="98">
        <f>Jul!I63</f>
        <v/>
      </c>
      <c r="J123" s="98">
        <f>Aug!I63</f>
        <v/>
      </c>
      <c r="K123" s="98">
        <f>Sep!I63</f>
        <v/>
      </c>
      <c r="L123" s="98">
        <f>Oct!I63</f>
        <v/>
      </c>
      <c r="M123" s="98">
        <f>Nov!I63</f>
        <v/>
      </c>
      <c r="N123" s="98">
        <f>Dec!I63</f>
        <v/>
      </c>
      <c r="O123" s="108">
        <f>IF($B123="","",SUM(C123:N123))</f>
        <v/>
      </c>
      <c r="P123" s="100">
        <f>IF($B123="","",IFERROR(O123/MAX(1,COUNTIF(C123:N123,"&gt;0")),0))</f>
        <v/>
      </c>
      <c r="Q123" s="100">
        <f>IF($B123="","",N(Jan!H63)+N(Feb!H63)+N(Mar!H63)+N(Apr!H63)+N(May!H63)+N(Jun!H63)+N(Jul!H63)+N(Aug!H63)+N(Sep!H63)+N(Oct!H63)+N(Nov!H63)+N(Dec!H63))</f>
        <v/>
      </c>
      <c r="R123" s="109">
        <f>IF($B123="","",IFERROR(O123/Q123,0))</f>
        <v/>
      </c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>
      <c r="A124" s="1" t="n"/>
      <c r="B124" s="35">
        <f>Jan!G64</f>
        <v/>
      </c>
      <c r="C124" s="98">
        <f>Jan!I64</f>
        <v/>
      </c>
      <c r="D124" s="98">
        <f>Feb!I64</f>
        <v/>
      </c>
      <c r="E124" s="98">
        <f>Mar!I64</f>
        <v/>
      </c>
      <c r="F124" s="98">
        <f>Apr!I64</f>
        <v/>
      </c>
      <c r="G124" s="98">
        <f>May!I64</f>
        <v/>
      </c>
      <c r="H124" s="98">
        <f>Jun!I64</f>
        <v/>
      </c>
      <c r="I124" s="98">
        <f>Jul!I64</f>
        <v/>
      </c>
      <c r="J124" s="98">
        <f>Aug!I64</f>
        <v/>
      </c>
      <c r="K124" s="98">
        <f>Sep!I64</f>
        <v/>
      </c>
      <c r="L124" s="98">
        <f>Oct!I64</f>
        <v/>
      </c>
      <c r="M124" s="98">
        <f>Nov!I64</f>
        <v/>
      </c>
      <c r="N124" s="98">
        <f>Dec!I64</f>
        <v/>
      </c>
      <c r="O124" s="108">
        <f>IF($B124="","",SUM(C124:N124))</f>
        <v/>
      </c>
      <c r="P124" s="100">
        <f>IF($B124="","",IFERROR(O124/MAX(1,COUNTIF(C124:N124,"&gt;0")),0))</f>
        <v/>
      </c>
      <c r="Q124" s="100">
        <f>IF($B124="","",N(Jan!H64)+N(Feb!H64)+N(Mar!H64)+N(Apr!H64)+N(May!H64)+N(Jun!H64)+N(Jul!H64)+N(Aug!H64)+N(Sep!H64)+N(Oct!H64)+N(Nov!H64)+N(Dec!H64))</f>
        <v/>
      </c>
      <c r="R124" s="109">
        <f>IF($B124="","",IFERROR(O124/Q124,0))</f>
        <v/>
      </c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>
      <c r="A125" s="1" t="n"/>
      <c r="B125" s="35">
        <f>Jan!G65</f>
        <v/>
      </c>
      <c r="C125" s="98">
        <f>Jan!I65</f>
        <v/>
      </c>
      <c r="D125" s="98">
        <f>Feb!I65</f>
        <v/>
      </c>
      <c r="E125" s="98">
        <f>Mar!I65</f>
        <v/>
      </c>
      <c r="F125" s="98">
        <f>Apr!I65</f>
        <v/>
      </c>
      <c r="G125" s="98">
        <f>May!I65</f>
        <v/>
      </c>
      <c r="H125" s="98">
        <f>Jun!I65</f>
        <v/>
      </c>
      <c r="I125" s="98">
        <f>Jul!I65</f>
        <v/>
      </c>
      <c r="J125" s="98">
        <f>Aug!I65</f>
        <v/>
      </c>
      <c r="K125" s="98">
        <f>Sep!I65</f>
        <v/>
      </c>
      <c r="L125" s="98">
        <f>Oct!I65</f>
        <v/>
      </c>
      <c r="M125" s="98">
        <f>Nov!I65</f>
        <v/>
      </c>
      <c r="N125" s="98">
        <f>Dec!I65</f>
        <v/>
      </c>
      <c r="O125" s="108">
        <f>IF($B125="","",SUM(C125:N125))</f>
        <v/>
      </c>
      <c r="P125" s="100">
        <f>IF($B125="","",IFERROR(O125/MAX(1,COUNTIF(C125:N125,"&gt;0")),0))</f>
        <v/>
      </c>
      <c r="Q125" s="100">
        <f>IF($B125="","",N(Jan!H65)+N(Feb!H65)+N(Mar!H65)+N(Apr!H65)+N(May!H65)+N(Jun!H65)+N(Jul!H65)+N(Aug!H65)+N(Sep!H65)+N(Oct!H65)+N(Nov!H65)+N(Dec!H65))</f>
        <v/>
      </c>
      <c r="R125" s="109">
        <f>IF($B125="","",IFERROR(O125/Q125,0))</f>
        <v/>
      </c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>
      <c r="A126" s="1" t="n"/>
      <c r="B126" s="35">
        <f>Jan!G66</f>
        <v/>
      </c>
      <c r="C126" s="98">
        <f>Jan!I66</f>
        <v/>
      </c>
      <c r="D126" s="98">
        <f>Feb!I66</f>
        <v/>
      </c>
      <c r="E126" s="98">
        <f>Mar!I66</f>
        <v/>
      </c>
      <c r="F126" s="98">
        <f>Apr!I66</f>
        <v/>
      </c>
      <c r="G126" s="98">
        <f>May!I66</f>
        <v/>
      </c>
      <c r="H126" s="98">
        <f>Jun!I66</f>
        <v/>
      </c>
      <c r="I126" s="98">
        <f>Jul!I66</f>
        <v/>
      </c>
      <c r="J126" s="98">
        <f>Aug!I66</f>
        <v/>
      </c>
      <c r="K126" s="98">
        <f>Sep!I66</f>
        <v/>
      </c>
      <c r="L126" s="98">
        <f>Oct!I66</f>
        <v/>
      </c>
      <c r="M126" s="98">
        <f>Nov!I66</f>
        <v/>
      </c>
      <c r="N126" s="98">
        <f>Dec!I66</f>
        <v/>
      </c>
      <c r="O126" s="108">
        <f>IF($B126="","",SUM(C126:N126))</f>
        <v/>
      </c>
      <c r="P126" s="100">
        <f>IF($B126="","",IFERROR(O126/MAX(1,COUNTIF(C126:N126,"&gt;0")),0))</f>
        <v/>
      </c>
      <c r="Q126" s="100">
        <f>IF($B126="","",N(Jan!H66)+N(Feb!H66)+N(Mar!H66)+N(Apr!H66)+N(May!H66)+N(Jun!H66)+N(Jul!H66)+N(Aug!H66)+N(Sep!H66)+N(Oct!H66)+N(Nov!H66)+N(Dec!H66))</f>
        <v/>
      </c>
      <c r="R126" s="109">
        <f>IF($B126="","",IFERROR(O126/Q126,0))</f>
        <v/>
      </c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</sheetData>
  <mergeCells count="10">
    <mergeCell ref="B109:R109"/>
    <mergeCell ref="B48:R48"/>
    <mergeCell ref="B34:R34"/>
    <mergeCell ref="B62:R62"/>
    <mergeCell ref="B81:R81"/>
    <mergeCell ref="B95:R95"/>
    <mergeCell ref="B5:R5"/>
    <mergeCell ref="L16:R16"/>
    <mergeCell ref="B2:J2"/>
    <mergeCell ref="B16:J16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FF7AB8"/>
    <outlinePr summaryBelow="1" summaryRight="1"/>
    <pageSetUpPr/>
  </sheetPr>
  <dimension ref="A1:AI45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style="1" min="1" max="1"/>
    <col width="15" customWidth="1" style="1" min="2" max="2"/>
    <col width="9" customWidth="1" style="1" min="3" max="3"/>
    <col hidden="1" width="3" customWidth="1" style="1" min="4" max="4"/>
    <col width="15" customWidth="1" style="1" min="5" max="5"/>
    <col width="9" customWidth="1" style="1" min="6" max="6"/>
    <col hidden="1" width="3" customWidth="1" style="1" min="7" max="7"/>
    <col width="15" customWidth="1" style="1" min="8" max="8"/>
    <col width="9" customWidth="1" style="1" min="9" max="9"/>
    <col hidden="1" width="3" customWidth="1" style="1" min="10" max="10"/>
    <col width="15" customWidth="1" style="1" min="11" max="11"/>
    <col width="9" customWidth="1" style="1" min="12" max="12"/>
    <col hidden="1" width="3" customWidth="1" style="1" min="13" max="13"/>
    <col width="15" customWidth="1" style="1" min="14" max="14"/>
    <col width="9" customWidth="1" style="1" min="15" max="15"/>
    <col hidden="1" width="3" customWidth="1" style="1" min="16" max="16"/>
    <col width="15" customWidth="1" style="1" min="17" max="17"/>
    <col width="9" customWidth="1" style="1" min="18" max="18"/>
    <col hidden="1" width="3" customWidth="1" style="1" min="19" max="19"/>
    <col width="15" customWidth="1" style="1" min="20" max="20"/>
    <col width="9" customWidth="1" style="1" min="21" max="21"/>
    <col hidden="1" width="3" customWidth="1" style="1" min="22" max="22"/>
    <col width="2" customWidth="1" style="1" min="23" max="23"/>
    <col width="14" customWidth="1" style="1" min="24" max="24"/>
    <col width="12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>
      <c r="A2" s="1" t="n"/>
      <c r="B2" s="2">
        <f>TEXT(R2,"mmmm yyyy")</f>
        <v/>
      </c>
      <c r="C2" s="1" t="n"/>
      <c r="D2" s="1" t="n"/>
      <c r="E2" s="1" t="n"/>
      <c r="F2" s="1" t="n"/>
      <c r="G2" s="1" t="n"/>
      <c r="H2" s="1" t="n"/>
      <c r="I2" s="1" t="n"/>
      <c r="J2" s="1" t="n"/>
      <c r="K2" s="61" t="inlineStr">
        <is>
          <t>Any date in month</t>
        </is>
      </c>
      <c r="N2" s="13" t="n">
        <v>46266</v>
      </c>
      <c r="O2" s="1" t="n"/>
      <c r="P2" s="61" t="inlineStr">
        <is>
          <t>Month start</t>
        </is>
      </c>
      <c r="R2" s="110">
        <f>DATE(YEAR(N2),MONTH(N2),1)</f>
        <v/>
      </c>
      <c r="S2" s="1" t="n"/>
      <c r="T2" s="1" t="n"/>
      <c r="U2" s="1" t="n"/>
      <c r="V2" s="1" t="n"/>
      <c r="W2" s="1" t="n"/>
      <c r="X2" s="111" t="inlineStr">
        <is>
          <t>INCOME</t>
        </is>
      </c>
      <c r="Y2" s="112" t="inlineStr">
        <is>
          <t>BILLS &amp; SUBS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61" t="inlineStr">
        <is>
          <t>Week starts on</t>
        </is>
      </c>
      <c r="N3" s="18" t="inlineStr">
        <is>
          <t>Sunday</t>
        </is>
      </c>
      <c r="O3" s="1" t="n"/>
      <c r="P3" s="61" t="inlineStr">
        <is>
          <t>Grid start</t>
        </is>
      </c>
      <c r="R3" s="110">
        <f>R2-MOD(WEEKDAY(R2,IF(N3="Monday",2,1))-1,7)</f>
        <v/>
      </c>
      <c r="S3" s="1" t="n"/>
      <c r="T3" s="1" t="n"/>
      <c r="U3" s="1" t="n"/>
      <c r="V3" s="1" t="n"/>
      <c r="W3" s="1" t="n"/>
      <c r="X3" s="113" t="inlineStr">
        <is>
          <t>DEBT</t>
        </is>
      </c>
      <c r="Y3" s="114" t="inlineStr">
        <is>
          <t>SAVINGS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>
      <c r="A4" s="1" t="n"/>
      <c r="B4" s="20" t="inlineStr">
        <is>
          <t>Items come from Payments · paid = grey · small number by each date = projected end-of-day balance</t>
        </is>
      </c>
      <c r="K4" s="61" t="inlineStr">
        <is>
          <t>Start balance (optional)</t>
        </is>
      </c>
      <c r="N4" s="16" t="n"/>
      <c r="O4" s="1" t="n"/>
      <c r="P4" s="61" t="inlineStr">
        <is>
          <t>Start balance</t>
        </is>
      </c>
      <c r="R4" s="115">
        <f>IF(N4&lt;&gt;"",N4,Setup!$D$6+SUMIFS(Payments!$U$6:$U$1205,Payments!$I$6:$I$1205,"Income",Payments!$P$6:$P$1205,"&gt;="&amp;Setup!$D$5,Payments!$P$6:$P$1205,"&lt;"&amp;R3)-SUMIFS(Payments!$U$6:$U$1205,Payments!$I$6:$I$1205,"&lt;&gt;Income",Payments!$P$6:$P$1205,"&gt;="&amp;Setup!$D$5,Payments!$P$6:$P$1205,"&lt;"&amp;R3))</f>
        <v/>
      </c>
      <c r="S4" s="1" t="n"/>
      <c r="T4" s="1" t="n"/>
      <c r="U4" s="1" t="n"/>
      <c r="V4" s="1" t="n"/>
      <c r="W4" s="1" t="n"/>
      <c r="X4" s="116" t="inlineStr">
        <is>
          <t>PAID</t>
        </is>
      </c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>
      <c r="A6" s="1" t="n"/>
      <c r="B6" s="65">
        <f>UPPER(TEXT($R$3+0,"dddd"))</f>
        <v/>
      </c>
      <c r="C6" s="117" t="n"/>
      <c r="D6" s="1" t="n"/>
      <c r="E6" s="65">
        <f>UPPER(TEXT($R$3+1,"dddd"))</f>
        <v/>
      </c>
      <c r="F6" s="117" t="n"/>
      <c r="G6" s="1" t="n"/>
      <c r="H6" s="65">
        <f>UPPER(TEXT($R$3+2,"dddd"))</f>
        <v/>
      </c>
      <c r="I6" s="117" t="n"/>
      <c r="J6" s="1" t="n"/>
      <c r="K6" s="65">
        <f>UPPER(TEXT($R$3+3,"dddd"))</f>
        <v/>
      </c>
      <c r="L6" s="117" t="n"/>
      <c r="M6" s="1" t="n"/>
      <c r="N6" s="65">
        <f>UPPER(TEXT($R$3+4,"dddd"))</f>
        <v/>
      </c>
      <c r="O6" s="117" t="n"/>
      <c r="P6" s="1" t="n"/>
      <c r="Q6" s="65">
        <f>UPPER(TEXT($R$3+5,"dddd"))</f>
        <v/>
      </c>
      <c r="R6" s="117" t="n"/>
      <c r="S6" s="1" t="n"/>
      <c r="T6" s="65">
        <f>UPPER(TEXT($R$3+6,"dddd"))</f>
        <v/>
      </c>
      <c r="U6" s="117" t="n"/>
      <c r="V6" s="1" t="n"/>
      <c r="W6" s="1" t="n"/>
      <c r="X6" s="8" t="inlineStr">
        <is>
          <t>WEEKLY BALANCE</t>
        </is>
      </c>
      <c r="Y6" s="9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</row>
    <row r="7" ht="18" customHeight="1">
      <c r="A7" s="1" t="n"/>
      <c r="B7" s="118">
        <f>DAY(D7)</f>
        <v/>
      </c>
      <c r="C7" s="119">
        <f>IF(MONTH(D7)&lt;&gt;MONTH($R$2),"",$R$4+SUMIFS(Payments!$U$6:$U$1205,Payments!$I$6:$I$1205,"Income",Payments!$P$6:$P$1205,"&gt;="&amp;$R$3,Payments!$P$6:$P$1205,"&lt;="&amp;D7)-SUMIFS(Payments!$U$6:$U$1205,Payments!$I$6:$I$1205,"&lt;&gt;Income",Payments!$P$6:$P$1205,"&gt;="&amp;$R$3,Payments!$P$6:$P$1205,"&lt;="&amp;D7))</f>
        <v/>
      </c>
      <c r="D7" s="120">
        <f>$R$3+0</f>
        <v/>
      </c>
      <c r="E7" s="118">
        <f>DAY(G7)</f>
        <v/>
      </c>
      <c r="F7" s="119">
        <f>IF(MONTH(G7)&lt;&gt;MONTH($R$2),"",$R$4+SUMIFS(Payments!$U$6:$U$1205,Payments!$I$6:$I$1205,"Income",Payments!$P$6:$P$1205,"&gt;="&amp;$R$3,Payments!$P$6:$P$1205,"&lt;="&amp;G7)-SUMIFS(Payments!$U$6:$U$1205,Payments!$I$6:$I$1205,"&lt;&gt;Income",Payments!$P$6:$P$1205,"&gt;="&amp;$R$3,Payments!$P$6:$P$1205,"&lt;="&amp;G7))</f>
        <v/>
      </c>
      <c r="G7" s="120">
        <f>$R$3+1</f>
        <v/>
      </c>
      <c r="H7" s="118">
        <f>DAY(J7)</f>
        <v/>
      </c>
      <c r="I7" s="119">
        <f>IF(MONTH(J7)&lt;&gt;MONTH($R$2),"",$R$4+SUMIFS(Payments!$U$6:$U$1205,Payments!$I$6:$I$1205,"Income",Payments!$P$6:$P$1205,"&gt;="&amp;$R$3,Payments!$P$6:$P$1205,"&lt;="&amp;J7)-SUMIFS(Payments!$U$6:$U$1205,Payments!$I$6:$I$1205,"&lt;&gt;Income",Payments!$P$6:$P$1205,"&gt;="&amp;$R$3,Payments!$P$6:$P$1205,"&lt;="&amp;J7))</f>
        <v/>
      </c>
      <c r="J7" s="120">
        <f>$R$3+2</f>
        <v/>
      </c>
      <c r="K7" s="118">
        <f>DAY(M7)</f>
        <v/>
      </c>
      <c r="L7" s="119">
        <f>IF(MONTH(M7)&lt;&gt;MONTH($R$2),"",$R$4+SUMIFS(Payments!$U$6:$U$1205,Payments!$I$6:$I$1205,"Income",Payments!$P$6:$P$1205,"&gt;="&amp;$R$3,Payments!$P$6:$P$1205,"&lt;="&amp;M7)-SUMIFS(Payments!$U$6:$U$1205,Payments!$I$6:$I$1205,"&lt;&gt;Income",Payments!$P$6:$P$1205,"&gt;="&amp;$R$3,Payments!$P$6:$P$1205,"&lt;="&amp;M7))</f>
        <v/>
      </c>
      <c r="M7" s="120">
        <f>$R$3+3</f>
        <v/>
      </c>
      <c r="N7" s="118">
        <f>DAY(P7)</f>
        <v/>
      </c>
      <c r="O7" s="119">
        <f>IF(MONTH(P7)&lt;&gt;MONTH($R$2),"",$R$4+SUMIFS(Payments!$U$6:$U$1205,Payments!$I$6:$I$1205,"Income",Payments!$P$6:$P$1205,"&gt;="&amp;$R$3,Payments!$P$6:$P$1205,"&lt;="&amp;P7)-SUMIFS(Payments!$U$6:$U$1205,Payments!$I$6:$I$1205,"&lt;&gt;Income",Payments!$P$6:$P$1205,"&gt;="&amp;$R$3,Payments!$P$6:$P$1205,"&lt;="&amp;P7))</f>
        <v/>
      </c>
      <c r="P7" s="120">
        <f>$R$3+4</f>
        <v/>
      </c>
      <c r="Q7" s="118">
        <f>DAY(S7)</f>
        <v/>
      </c>
      <c r="R7" s="119">
        <f>IF(MONTH(S7)&lt;&gt;MONTH($R$2),"",$R$4+SUMIFS(Payments!$U$6:$U$1205,Payments!$I$6:$I$1205,"Income",Payments!$P$6:$P$1205,"&gt;="&amp;$R$3,Payments!$P$6:$P$1205,"&lt;="&amp;S7)-SUMIFS(Payments!$U$6:$U$1205,Payments!$I$6:$I$1205,"&lt;&gt;Income",Payments!$P$6:$P$1205,"&gt;="&amp;$R$3,Payments!$P$6:$P$1205,"&lt;="&amp;S7))</f>
        <v/>
      </c>
      <c r="S7" s="120">
        <f>$R$3+5</f>
        <v/>
      </c>
      <c r="T7" s="118">
        <f>DAY(V7)</f>
        <v/>
      </c>
      <c r="U7" s="119">
        <f>IF(MONTH(V7)&lt;&gt;MONTH($R$2),"",$R$4+SUMIFS(Payments!$U$6:$U$1205,Payments!$I$6:$I$1205,"Income",Payments!$P$6:$P$1205,"&gt;="&amp;$R$3,Payments!$P$6:$P$1205,"&lt;="&amp;V7)-SUMIFS(Payments!$U$6:$U$1205,Payments!$I$6:$I$1205,"&lt;&gt;Income",Payments!$P$6:$P$1205,"&gt;="&amp;$R$3,Payments!$P$6:$P$1205,"&lt;="&amp;V7))</f>
        <v/>
      </c>
      <c r="V7" s="120">
        <f>$R$3+6</f>
        <v/>
      </c>
      <c r="W7" s="1" t="n"/>
      <c r="X7" s="121">
        <f>"WEEK 1"</f>
        <v/>
      </c>
      <c r="Y7" s="112">
        <f>TEXT($D$7,"d mmm")&amp;" – "&amp;TEXT($V$7,"d mmm")</f>
        <v/>
      </c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>
      <c r="A8" s="1" t="n"/>
      <c r="B8" s="122">
        <f>IF(D8="","",INDEX(Payments!$E$6:$E$1205,D8))</f>
        <v/>
      </c>
      <c r="C8" s="123">
        <f>IF(D8="","",INDEX(Payments!$U$6:$U$1205,D8))</f>
        <v/>
      </c>
      <c r="D8" s="1">
        <f>IFERROR(_xlfn.AGGREGATE(15,6,(ROW(Payments!$P$6:$P$1205)-5)/(Payments!$P$6:$P$1205=D$7),1),"")</f>
        <v/>
      </c>
      <c r="E8" s="122">
        <f>IF(G8="","",INDEX(Payments!$E$6:$E$1205,G8))</f>
        <v/>
      </c>
      <c r="F8" s="123">
        <f>IF(G8="","",INDEX(Payments!$U$6:$U$1205,G8))</f>
        <v/>
      </c>
      <c r="G8" s="1">
        <f>IFERROR(_xlfn.AGGREGATE(15,6,(ROW(Payments!$P$6:$P$1205)-5)/(Payments!$P$6:$P$1205=G$7),1),"")</f>
        <v/>
      </c>
      <c r="H8" s="122">
        <f>IF(J8="","",INDEX(Payments!$E$6:$E$1205,J8))</f>
        <v/>
      </c>
      <c r="I8" s="123">
        <f>IF(J8="","",INDEX(Payments!$U$6:$U$1205,J8))</f>
        <v/>
      </c>
      <c r="J8" s="1">
        <f>IFERROR(_xlfn.AGGREGATE(15,6,(ROW(Payments!$P$6:$P$1205)-5)/(Payments!$P$6:$P$1205=J$7),1),"")</f>
        <v/>
      </c>
      <c r="K8" s="122">
        <f>IF(M8="","",INDEX(Payments!$E$6:$E$1205,M8))</f>
        <v/>
      </c>
      <c r="L8" s="123">
        <f>IF(M8="","",INDEX(Payments!$U$6:$U$1205,M8))</f>
        <v/>
      </c>
      <c r="M8" s="1">
        <f>IFERROR(_xlfn.AGGREGATE(15,6,(ROW(Payments!$P$6:$P$1205)-5)/(Payments!$P$6:$P$1205=M$7),1),"")</f>
        <v/>
      </c>
      <c r="N8" s="122">
        <f>IF(P8="","",INDEX(Payments!$E$6:$E$1205,P8))</f>
        <v/>
      </c>
      <c r="O8" s="123">
        <f>IF(P8="","",INDEX(Payments!$U$6:$U$1205,P8))</f>
        <v/>
      </c>
      <c r="P8" s="1">
        <f>IFERROR(_xlfn.AGGREGATE(15,6,(ROW(Payments!$P$6:$P$1205)-5)/(Payments!$P$6:$P$1205=P$7),1),"")</f>
        <v/>
      </c>
      <c r="Q8" s="122">
        <f>IF(S8="","",INDEX(Payments!$E$6:$E$1205,S8))</f>
        <v/>
      </c>
      <c r="R8" s="123">
        <f>IF(S8="","",INDEX(Payments!$U$6:$U$1205,S8))</f>
        <v/>
      </c>
      <c r="S8" s="1">
        <f>IFERROR(_xlfn.AGGREGATE(15,6,(ROW(Payments!$P$6:$P$1205)-5)/(Payments!$P$6:$P$1205=S$7),1),"")</f>
        <v/>
      </c>
      <c r="T8" s="122">
        <f>IF(V8="","",INDEX(Payments!$E$6:$E$1205,V8))</f>
        <v/>
      </c>
      <c r="U8" s="123">
        <f>IF(V8="","",INDEX(Payments!$U$6:$U$1205,V8))</f>
        <v/>
      </c>
      <c r="V8" s="1">
        <f>IFERROR(_xlfn.AGGREGATE(15,6,(ROW(Payments!$P$6:$P$1205)-5)/(Payments!$P$6:$P$1205=V$7),1),"")</f>
        <v/>
      </c>
      <c r="W8" s="1" t="n"/>
      <c r="X8" s="124" t="inlineStr">
        <is>
          <t>+ Income</t>
        </is>
      </c>
      <c r="Y8" s="98">
        <f>SUMIFS(Payments!$U$6:$U$1205,Payments!$I$6:$I$1205,"Income",Payments!$P$6:$P$1205,"&gt;="&amp;$D$7,Payments!$P$6:$P$1205,"&lt;="&amp;$V$7)</f>
        <v/>
      </c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>
      <c r="A9" s="1" t="n"/>
      <c r="B9" s="122">
        <f>IF(D9="","",INDEX(Payments!$E$6:$E$1205,D9))</f>
        <v/>
      </c>
      <c r="C9" s="123">
        <f>IF(D9="","",INDEX(Payments!$U$6:$U$1205,D9))</f>
        <v/>
      </c>
      <c r="D9" s="1">
        <f>IFERROR(_xlfn.AGGREGATE(15,6,(ROW(Payments!$P$6:$P$1205)-5)/(Payments!$P$6:$P$1205=D$7),2),"")</f>
        <v/>
      </c>
      <c r="E9" s="122">
        <f>IF(G9="","",INDEX(Payments!$E$6:$E$1205,G9))</f>
        <v/>
      </c>
      <c r="F9" s="123">
        <f>IF(G9="","",INDEX(Payments!$U$6:$U$1205,G9))</f>
        <v/>
      </c>
      <c r="G9" s="1">
        <f>IFERROR(_xlfn.AGGREGATE(15,6,(ROW(Payments!$P$6:$P$1205)-5)/(Payments!$P$6:$P$1205=G$7),2),"")</f>
        <v/>
      </c>
      <c r="H9" s="122">
        <f>IF(J9="","",INDEX(Payments!$E$6:$E$1205,J9))</f>
        <v/>
      </c>
      <c r="I9" s="123">
        <f>IF(J9="","",INDEX(Payments!$U$6:$U$1205,J9))</f>
        <v/>
      </c>
      <c r="J9" s="1">
        <f>IFERROR(_xlfn.AGGREGATE(15,6,(ROW(Payments!$P$6:$P$1205)-5)/(Payments!$P$6:$P$1205=J$7),2),"")</f>
        <v/>
      </c>
      <c r="K9" s="122">
        <f>IF(M9="","",INDEX(Payments!$E$6:$E$1205,M9))</f>
        <v/>
      </c>
      <c r="L9" s="123">
        <f>IF(M9="","",INDEX(Payments!$U$6:$U$1205,M9))</f>
        <v/>
      </c>
      <c r="M9" s="1">
        <f>IFERROR(_xlfn.AGGREGATE(15,6,(ROW(Payments!$P$6:$P$1205)-5)/(Payments!$P$6:$P$1205=M$7),2),"")</f>
        <v/>
      </c>
      <c r="N9" s="122">
        <f>IF(P9="","",INDEX(Payments!$E$6:$E$1205,P9))</f>
        <v/>
      </c>
      <c r="O9" s="123">
        <f>IF(P9="","",INDEX(Payments!$U$6:$U$1205,P9))</f>
        <v/>
      </c>
      <c r="P9" s="1">
        <f>IFERROR(_xlfn.AGGREGATE(15,6,(ROW(Payments!$P$6:$P$1205)-5)/(Payments!$P$6:$P$1205=P$7),2),"")</f>
        <v/>
      </c>
      <c r="Q9" s="122">
        <f>IF(S9="","",INDEX(Payments!$E$6:$E$1205,S9))</f>
        <v/>
      </c>
      <c r="R9" s="123">
        <f>IF(S9="","",INDEX(Payments!$U$6:$U$1205,S9))</f>
        <v/>
      </c>
      <c r="S9" s="1">
        <f>IFERROR(_xlfn.AGGREGATE(15,6,(ROW(Payments!$P$6:$P$1205)-5)/(Payments!$P$6:$P$1205=S$7),2),"")</f>
        <v/>
      </c>
      <c r="T9" s="122">
        <f>IF(V9="","",INDEX(Payments!$E$6:$E$1205,V9))</f>
        <v/>
      </c>
      <c r="U9" s="123">
        <f>IF(V9="","",INDEX(Payments!$U$6:$U$1205,V9))</f>
        <v/>
      </c>
      <c r="V9" s="1">
        <f>IFERROR(_xlfn.AGGREGATE(15,6,(ROW(Payments!$P$6:$P$1205)-5)/(Payments!$P$6:$P$1205=V$7),2),"")</f>
        <v/>
      </c>
      <c r="W9" s="1" t="n"/>
      <c r="X9" s="125" t="inlineStr">
        <is>
          <t>– Bills &amp; Subs</t>
        </is>
      </c>
      <c r="Y9" s="98">
        <f>SUMIFS(Payments!$U$6:$U$1205,Payments!$I$6:$I$1205,"Bills",Payments!$P$6:$P$1205,"&gt;="&amp;$D$7,Payments!$P$6:$P$1205,"&lt;="&amp;$V$7)+SUMIFS(Payments!$U$6:$U$1205,Payments!$I$6:$I$1205,"Subscriptions",Payments!$P$6:$P$1205,"&gt;="&amp;$D$7,Payments!$P$6:$P$1205,"&lt;="&amp;$V$7)</f>
        <v/>
      </c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>
      <c r="A10" s="1" t="n"/>
      <c r="B10" s="122">
        <f>IF(D10="","",INDEX(Payments!$E$6:$E$1205,D10))</f>
        <v/>
      </c>
      <c r="C10" s="123">
        <f>IF(D10="","",INDEX(Payments!$U$6:$U$1205,D10))</f>
        <v/>
      </c>
      <c r="D10" s="1">
        <f>IFERROR(_xlfn.AGGREGATE(15,6,(ROW(Payments!$P$6:$P$1205)-5)/(Payments!$P$6:$P$1205=D$7),3),"")</f>
        <v/>
      </c>
      <c r="E10" s="122">
        <f>IF(G10="","",INDEX(Payments!$E$6:$E$1205,G10))</f>
        <v/>
      </c>
      <c r="F10" s="123">
        <f>IF(G10="","",INDEX(Payments!$U$6:$U$1205,G10))</f>
        <v/>
      </c>
      <c r="G10" s="1">
        <f>IFERROR(_xlfn.AGGREGATE(15,6,(ROW(Payments!$P$6:$P$1205)-5)/(Payments!$P$6:$P$1205=G$7),3),"")</f>
        <v/>
      </c>
      <c r="H10" s="122">
        <f>IF(J10="","",INDEX(Payments!$E$6:$E$1205,J10))</f>
        <v/>
      </c>
      <c r="I10" s="123">
        <f>IF(J10="","",INDEX(Payments!$U$6:$U$1205,J10))</f>
        <v/>
      </c>
      <c r="J10" s="1">
        <f>IFERROR(_xlfn.AGGREGATE(15,6,(ROW(Payments!$P$6:$P$1205)-5)/(Payments!$P$6:$P$1205=J$7),3),"")</f>
        <v/>
      </c>
      <c r="K10" s="122">
        <f>IF(M10="","",INDEX(Payments!$E$6:$E$1205,M10))</f>
        <v/>
      </c>
      <c r="L10" s="123">
        <f>IF(M10="","",INDEX(Payments!$U$6:$U$1205,M10))</f>
        <v/>
      </c>
      <c r="M10" s="1">
        <f>IFERROR(_xlfn.AGGREGATE(15,6,(ROW(Payments!$P$6:$P$1205)-5)/(Payments!$P$6:$P$1205=M$7),3),"")</f>
        <v/>
      </c>
      <c r="N10" s="122">
        <f>IF(P10="","",INDEX(Payments!$E$6:$E$1205,P10))</f>
        <v/>
      </c>
      <c r="O10" s="123">
        <f>IF(P10="","",INDEX(Payments!$U$6:$U$1205,P10))</f>
        <v/>
      </c>
      <c r="P10" s="1">
        <f>IFERROR(_xlfn.AGGREGATE(15,6,(ROW(Payments!$P$6:$P$1205)-5)/(Payments!$P$6:$P$1205=P$7),3),"")</f>
        <v/>
      </c>
      <c r="Q10" s="122">
        <f>IF(S10="","",INDEX(Payments!$E$6:$E$1205,S10))</f>
        <v/>
      </c>
      <c r="R10" s="123">
        <f>IF(S10="","",INDEX(Payments!$U$6:$U$1205,S10))</f>
        <v/>
      </c>
      <c r="S10" s="1">
        <f>IFERROR(_xlfn.AGGREGATE(15,6,(ROW(Payments!$P$6:$P$1205)-5)/(Payments!$P$6:$P$1205=S$7),3),"")</f>
        <v/>
      </c>
      <c r="T10" s="122">
        <f>IF(V10="","",INDEX(Payments!$E$6:$E$1205,V10))</f>
        <v/>
      </c>
      <c r="U10" s="123">
        <f>IF(V10="","",INDEX(Payments!$U$6:$U$1205,V10))</f>
        <v/>
      </c>
      <c r="V10" s="1">
        <f>IFERROR(_xlfn.AGGREGATE(15,6,(ROW(Payments!$P$6:$P$1205)-5)/(Payments!$P$6:$P$1205=V$7),3),"")</f>
        <v/>
      </c>
      <c r="W10" s="1" t="n"/>
      <c r="X10" s="126" t="inlineStr">
        <is>
          <t>– Debt</t>
        </is>
      </c>
      <c r="Y10" s="98">
        <f>SUMIFS(Payments!$U$6:$U$1205,Payments!$I$6:$I$1205,"Debt",Payments!$P$6:$P$1205,"&gt;="&amp;$D$7,Payments!$P$6:$P$1205,"&lt;="&amp;$V$7)</f>
        <v/>
      </c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>
      <c r="A11" s="1" t="n"/>
      <c r="B11" s="122">
        <f>IF(D11="","",INDEX(Payments!$E$6:$E$1205,D11))</f>
        <v/>
      </c>
      <c r="C11" s="123">
        <f>IF(D11="","",INDEX(Payments!$U$6:$U$1205,D11))</f>
        <v/>
      </c>
      <c r="D11" s="1">
        <f>IFERROR(_xlfn.AGGREGATE(15,6,(ROW(Payments!$P$6:$P$1205)-5)/(Payments!$P$6:$P$1205=D$7),4),"")</f>
        <v/>
      </c>
      <c r="E11" s="122">
        <f>IF(G11="","",INDEX(Payments!$E$6:$E$1205,G11))</f>
        <v/>
      </c>
      <c r="F11" s="123">
        <f>IF(G11="","",INDEX(Payments!$U$6:$U$1205,G11))</f>
        <v/>
      </c>
      <c r="G11" s="1">
        <f>IFERROR(_xlfn.AGGREGATE(15,6,(ROW(Payments!$P$6:$P$1205)-5)/(Payments!$P$6:$P$1205=G$7),4),"")</f>
        <v/>
      </c>
      <c r="H11" s="122">
        <f>IF(J11="","",INDEX(Payments!$E$6:$E$1205,J11))</f>
        <v/>
      </c>
      <c r="I11" s="123">
        <f>IF(J11="","",INDEX(Payments!$U$6:$U$1205,J11))</f>
        <v/>
      </c>
      <c r="J11" s="1">
        <f>IFERROR(_xlfn.AGGREGATE(15,6,(ROW(Payments!$P$6:$P$1205)-5)/(Payments!$P$6:$P$1205=J$7),4),"")</f>
        <v/>
      </c>
      <c r="K11" s="122">
        <f>IF(M11="","",INDEX(Payments!$E$6:$E$1205,M11))</f>
        <v/>
      </c>
      <c r="L11" s="123">
        <f>IF(M11="","",INDEX(Payments!$U$6:$U$1205,M11))</f>
        <v/>
      </c>
      <c r="M11" s="1">
        <f>IFERROR(_xlfn.AGGREGATE(15,6,(ROW(Payments!$P$6:$P$1205)-5)/(Payments!$P$6:$P$1205=M$7),4),"")</f>
        <v/>
      </c>
      <c r="N11" s="122">
        <f>IF(P11="","",INDEX(Payments!$E$6:$E$1205,P11))</f>
        <v/>
      </c>
      <c r="O11" s="123">
        <f>IF(P11="","",INDEX(Payments!$U$6:$U$1205,P11))</f>
        <v/>
      </c>
      <c r="P11" s="1">
        <f>IFERROR(_xlfn.AGGREGATE(15,6,(ROW(Payments!$P$6:$P$1205)-5)/(Payments!$P$6:$P$1205=P$7),4),"")</f>
        <v/>
      </c>
      <c r="Q11" s="122">
        <f>IF(S11="","",INDEX(Payments!$E$6:$E$1205,S11))</f>
        <v/>
      </c>
      <c r="R11" s="123">
        <f>IF(S11="","",INDEX(Payments!$U$6:$U$1205,S11))</f>
        <v/>
      </c>
      <c r="S11" s="1">
        <f>IFERROR(_xlfn.AGGREGATE(15,6,(ROW(Payments!$P$6:$P$1205)-5)/(Payments!$P$6:$P$1205=S$7),4),"")</f>
        <v/>
      </c>
      <c r="T11" s="122">
        <f>IF(V11="","",INDEX(Payments!$E$6:$E$1205,V11))</f>
        <v/>
      </c>
      <c r="U11" s="123">
        <f>IF(V11="","",INDEX(Payments!$U$6:$U$1205,V11))</f>
        <v/>
      </c>
      <c r="V11" s="1">
        <f>IFERROR(_xlfn.AGGREGATE(15,6,(ROW(Payments!$P$6:$P$1205)-5)/(Payments!$P$6:$P$1205=V$7),4),"")</f>
        <v/>
      </c>
      <c r="W11" s="1" t="n"/>
      <c r="X11" s="127" t="inlineStr">
        <is>
          <t>– Savings</t>
        </is>
      </c>
      <c r="Y11" s="98">
        <f>SUMIFS(Payments!$U$6:$U$1205,Payments!$I$6:$I$1205,"Savings",Payments!$P$6:$P$1205,"&gt;="&amp;$D$7,Payments!$P$6:$P$1205,"&lt;="&amp;$V$7)</f>
        <v/>
      </c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>
      <c r="A12" s="1" t="n"/>
      <c r="B12" s="128">
        <f>IF(D12="","",INDEX(Payments!$E$6:$E$1205,D12))</f>
        <v/>
      </c>
      <c r="C12" s="129">
        <f>IF(D12="","",INDEX(Payments!$U$6:$U$1205,D12))</f>
        <v/>
      </c>
      <c r="D12" s="1">
        <f>IFERROR(_xlfn.AGGREGATE(15,6,(ROW(Payments!$P$6:$P$1205)-5)/(Payments!$P$6:$P$1205=D$7),5),"")</f>
        <v/>
      </c>
      <c r="E12" s="128">
        <f>IF(G12="","",INDEX(Payments!$E$6:$E$1205,G12))</f>
        <v/>
      </c>
      <c r="F12" s="129">
        <f>IF(G12="","",INDEX(Payments!$U$6:$U$1205,G12))</f>
        <v/>
      </c>
      <c r="G12" s="1">
        <f>IFERROR(_xlfn.AGGREGATE(15,6,(ROW(Payments!$P$6:$P$1205)-5)/(Payments!$P$6:$P$1205=G$7),5),"")</f>
        <v/>
      </c>
      <c r="H12" s="128">
        <f>IF(J12="","",INDEX(Payments!$E$6:$E$1205,J12))</f>
        <v/>
      </c>
      <c r="I12" s="129">
        <f>IF(J12="","",INDEX(Payments!$U$6:$U$1205,J12))</f>
        <v/>
      </c>
      <c r="J12" s="1">
        <f>IFERROR(_xlfn.AGGREGATE(15,6,(ROW(Payments!$P$6:$P$1205)-5)/(Payments!$P$6:$P$1205=J$7),5),"")</f>
        <v/>
      </c>
      <c r="K12" s="128">
        <f>IF(M12="","",INDEX(Payments!$E$6:$E$1205,M12))</f>
        <v/>
      </c>
      <c r="L12" s="129">
        <f>IF(M12="","",INDEX(Payments!$U$6:$U$1205,M12))</f>
        <v/>
      </c>
      <c r="M12" s="1">
        <f>IFERROR(_xlfn.AGGREGATE(15,6,(ROW(Payments!$P$6:$P$1205)-5)/(Payments!$P$6:$P$1205=M$7),5),"")</f>
        <v/>
      </c>
      <c r="N12" s="128">
        <f>IF(P12="","",INDEX(Payments!$E$6:$E$1205,P12))</f>
        <v/>
      </c>
      <c r="O12" s="129">
        <f>IF(P12="","",INDEX(Payments!$U$6:$U$1205,P12))</f>
        <v/>
      </c>
      <c r="P12" s="1">
        <f>IFERROR(_xlfn.AGGREGATE(15,6,(ROW(Payments!$P$6:$P$1205)-5)/(Payments!$P$6:$P$1205=P$7),5),"")</f>
        <v/>
      </c>
      <c r="Q12" s="128">
        <f>IF(S12="","",INDEX(Payments!$E$6:$E$1205,S12))</f>
        <v/>
      </c>
      <c r="R12" s="129">
        <f>IF(S12="","",INDEX(Payments!$U$6:$U$1205,S12))</f>
        <v/>
      </c>
      <c r="S12" s="1">
        <f>IFERROR(_xlfn.AGGREGATE(15,6,(ROW(Payments!$P$6:$P$1205)-5)/(Payments!$P$6:$P$1205=S$7),5),"")</f>
        <v/>
      </c>
      <c r="T12" s="128">
        <f>IF(V12="","",INDEX(Payments!$E$6:$E$1205,V12))</f>
        <v/>
      </c>
      <c r="U12" s="129">
        <f>IF(V12="","",INDEX(Payments!$U$6:$U$1205,V12))</f>
        <v/>
      </c>
      <c r="V12" s="1">
        <f>IFERROR(_xlfn.AGGREGATE(15,6,(ROW(Payments!$P$6:$P$1205)-5)/(Payments!$P$6:$P$1205=V$7),5),"")</f>
        <v/>
      </c>
      <c r="W12" s="1" t="n"/>
      <c r="X12" s="130" t="inlineStr">
        <is>
          <t>End balance</t>
        </is>
      </c>
      <c r="Y12" s="131">
        <f>$R$4+SUMIFS(Payments!$U$6:$U$1205,Payments!$I$6:$I$1205,"Income",Payments!$P$6:$P$1205,"&gt;="&amp;$R$3,Payments!$P$6:$P$1205,"&lt;="&amp;$V$7)-SUMIFS(Payments!$U$6:$U$1205,Payments!$I$6:$I$1205,"&lt;&gt;Income",Payments!$P$6:$P$1205,"&gt;="&amp;$R$3,Payments!$P$6:$P$1205,"&lt;="&amp;$V$7)</f>
        <v/>
      </c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18" customHeight="1">
      <c r="A13" s="1" t="n"/>
      <c r="B13" s="118">
        <f>DAY(D13)</f>
        <v/>
      </c>
      <c r="C13" s="119">
        <f>IF(MONTH(D13)&lt;&gt;MONTH($R$2),"",$R$4+SUMIFS(Payments!$U$6:$U$1205,Payments!$I$6:$I$1205,"Income",Payments!$P$6:$P$1205,"&gt;="&amp;$R$3,Payments!$P$6:$P$1205,"&lt;="&amp;D13)-SUMIFS(Payments!$U$6:$U$1205,Payments!$I$6:$I$1205,"&lt;&gt;Income",Payments!$P$6:$P$1205,"&gt;="&amp;$R$3,Payments!$P$6:$P$1205,"&lt;="&amp;D13))</f>
        <v/>
      </c>
      <c r="D13" s="120">
        <f>$R$3+7</f>
        <v/>
      </c>
      <c r="E13" s="118">
        <f>DAY(G13)</f>
        <v/>
      </c>
      <c r="F13" s="119">
        <f>IF(MONTH(G13)&lt;&gt;MONTH($R$2),"",$R$4+SUMIFS(Payments!$U$6:$U$1205,Payments!$I$6:$I$1205,"Income",Payments!$P$6:$P$1205,"&gt;="&amp;$R$3,Payments!$P$6:$P$1205,"&lt;="&amp;G13)-SUMIFS(Payments!$U$6:$U$1205,Payments!$I$6:$I$1205,"&lt;&gt;Income",Payments!$P$6:$P$1205,"&gt;="&amp;$R$3,Payments!$P$6:$P$1205,"&lt;="&amp;G13))</f>
        <v/>
      </c>
      <c r="G13" s="120">
        <f>$R$3+8</f>
        <v/>
      </c>
      <c r="H13" s="118">
        <f>DAY(J13)</f>
        <v/>
      </c>
      <c r="I13" s="119">
        <f>IF(MONTH(J13)&lt;&gt;MONTH($R$2),"",$R$4+SUMIFS(Payments!$U$6:$U$1205,Payments!$I$6:$I$1205,"Income",Payments!$P$6:$P$1205,"&gt;="&amp;$R$3,Payments!$P$6:$P$1205,"&lt;="&amp;J13)-SUMIFS(Payments!$U$6:$U$1205,Payments!$I$6:$I$1205,"&lt;&gt;Income",Payments!$P$6:$P$1205,"&gt;="&amp;$R$3,Payments!$P$6:$P$1205,"&lt;="&amp;J13))</f>
        <v/>
      </c>
      <c r="J13" s="120">
        <f>$R$3+9</f>
        <v/>
      </c>
      <c r="K13" s="118">
        <f>DAY(M13)</f>
        <v/>
      </c>
      <c r="L13" s="119">
        <f>IF(MONTH(M13)&lt;&gt;MONTH($R$2),"",$R$4+SUMIFS(Payments!$U$6:$U$1205,Payments!$I$6:$I$1205,"Income",Payments!$P$6:$P$1205,"&gt;="&amp;$R$3,Payments!$P$6:$P$1205,"&lt;="&amp;M13)-SUMIFS(Payments!$U$6:$U$1205,Payments!$I$6:$I$1205,"&lt;&gt;Income",Payments!$P$6:$P$1205,"&gt;="&amp;$R$3,Payments!$P$6:$P$1205,"&lt;="&amp;M13))</f>
        <v/>
      </c>
      <c r="M13" s="120">
        <f>$R$3+10</f>
        <v/>
      </c>
      <c r="N13" s="118">
        <f>DAY(P13)</f>
        <v/>
      </c>
      <c r="O13" s="119">
        <f>IF(MONTH(P13)&lt;&gt;MONTH($R$2),"",$R$4+SUMIFS(Payments!$U$6:$U$1205,Payments!$I$6:$I$1205,"Income",Payments!$P$6:$P$1205,"&gt;="&amp;$R$3,Payments!$P$6:$P$1205,"&lt;="&amp;P13)-SUMIFS(Payments!$U$6:$U$1205,Payments!$I$6:$I$1205,"&lt;&gt;Income",Payments!$P$6:$P$1205,"&gt;="&amp;$R$3,Payments!$P$6:$P$1205,"&lt;="&amp;P13))</f>
        <v/>
      </c>
      <c r="P13" s="120">
        <f>$R$3+11</f>
        <v/>
      </c>
      <c r="Q13" s="118">
        <f>DAY(S13)</f>
        <v/>
      </c>
      <c r="R13" s="119">
        <f>IF(MONTH(S13)&lt;&gt;MONTH($R$2),"",$R$4+SUMIFS(Payments!$U$6:$U$1205,Payments!$I$6:$I$1205,"Income",Payments!$P$6:$P$1205,"&gt;="&amp;$R$3,Payments!$P$6:$P$1205,"&lt;="&amp;S13)-SUMIFS(Payments!$U$6:$U$1205,Payments!$I$6:$I$1205,"&lt;&gt;Income",Payments!$P$6:$P$1205,"&gt;="&amp;$R$3,Payments!$P$6:$P$1205,"&lt;="&amp;S13))</f>
        <v/>
      </c>
      <c r="S13" s="120">
        <f>$R$3+12</f>
        <v/>
      </c>
      <c r="T13" s="118">
        <f>DAY(V13)</f>
        <v/>
      </c>
      <c r="U13" s="119">
        <f>IF(MONTH(V13)&lt;&gt;MONTH($R$2),"",$R$4+SUMIFS(Payments!$U$6:$U$1205,Payments!$I$6:$I$1205,"Income",Payments!$P$6:$P$1205,"&gt;="&amp;$R$3,Payments!$P$6:$P$1205,"&lt;="&amp;V13)-SUMIFS(Payments!$U$6:$U$1205,Payments!$I$6:$I$1205,"&lt;&gt;Income",Payments!$P$6:$P$1205,"&gt;="&amp;$R$3,Payments!$P$6:$P$1205,"&lt;="&amp;V13))</f>
        <v/>
      </c>
      <c r="V13" s="120">
        <f>$R$3+13</f>
        <v/>
      </c>
      <c r="W13" s="1" t="n"/>
      <c r="X13" s="121">
        <f>"WEEK 2"</f>
        <v/>
      </c>
      <c r="Y13" s="112">
        <f>TEXT($D$13,"d mmm")&amp;" – "&amp;TEXT($V$13,"d mmm")</f>
        <v/>
      </c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>
      <c r="A14" s="1" t="n"/>
      <c r="B14" s="122">
        <f>IF(D14="","",INDEX(Payments!$E$6:$E$1205,D14))</f>
        <v/>
      </c>
      <c r="C14" s="123">
        <f>IF(D14="","",INDEX(Payments!$U$6:$U$1205,D14))</f>
        <v/>
      </c>
      <c r="D14" s="1">
        <f>IFERROR(_xlfn.AGGREGATE(15,6,(ROW(Payments!$P$6:$P$1205)-5)/(Payments!$P$6:$P$1205=D$13),1),"")</f>
        <v/>
      </c>
      <c r="E14" s="122">
        <f>IF(G14="","",INDEX(Payments!$E$6:$E$1205,G14))</f>
        <v/>
      </c>
      <c r="F14" s="123">
        <f>IF(G14="","",INDEX(Payments!$U$6:$U$1205,G14))</f>
        <v/>
      </c>
      <c r="G14" s="1">
        <f>IFERROR(_xlfn.AGGREGATE(15,6,(ROW(Payments!$P$6:$P$1205)-5)/(Payments!$P$6:$P$1205=G$13),1),"")</f>
        <v/>
      </c>
      <c r="H14" s="122">
        <f>IF(J14="","",INDEX(Payments!$E$6:$E$1205,J14))</f>
        <v/>
      </c>
      <c r="I14" s="123">
        <f>IF(J14="","",INDEX(Payments!$U$6:$U$1205,J14))</f>
        <v/>
      </c>
      <c r="J14" s="1">
        <f>IFERROR(_xlfn.AGGREGATE(15,6,(ROW(Payments!$P$6:$P$1205)-5)/(Payments!$P$6:$P$1205=J$13),1),"")</f>
        <v/>
      </c>
      <c r="K14" s="122">
        <f>IF(M14="","",INDEX(Payments!$E$6:$E$1205,M14))</f>
        <v/>
      </c>
      <c r="L14" s="123">
        <f>IF(M14="","",INDEX(Payments!$U$6:$U$1205,M14))</f>
        <v/>
      </c>
      <c r="M14" s="1">
        <f>IFERROR(_xlfn.AGGREGATE(15,6,(ROW(Payments!$P$6:$P$1205)-5)/(Payments!$P$6:$P$1205=M$13),1),"")</f>
        <v/>
      </c>
      <c r="N14" s="122">
        <f>IF(P14="","",INDEX(Payments!$E$6:$E$1205,P14))</f>
        <v/>
      </c>
      <c r="O14" s="123">
        <f>IF(P14="","",INDEX(Payments!$U$6:$U$1205,P14))</f>
        <v/>
      </c>
      <c r="P14" s="1">
        <f>IFERROR(_xlfn.AGGREGATE(15,6,(ROW(Payments!$P$6:$P$1205)-5)/(Payments!$P$6:$P$1205=P$13),1),"")</f>
        <v/>
      </c>
      <c r="Q14" s="122">
        <f>IF(S14="","",INDEX(Payments!$E$6:$E$1205,S14))</f>
        <v/>
      </c>
      <c r="R14" s="123">
        <f>IF(S14="","",INDEX(Payments!$U$6:$U$1205,S14))</f>
        <v/>
      </c>
      <c r="S14" s="1">
        <f>IFERROR(_xlfn.AGGREGATE(15,6,(ROW(Payments!$P$6:$P$1205)-5)/(Payments!$P$6:$P$1205=S$13),1),"")</f>
        <v/>
      </c>
      <c r="T14" s="122">
        <f>IF(V14="","",INDEX(Payments!$E$6:$E$1205,V14))</f>
        <v/>
      </c>
      <c r="U14" s="123">
        <f>IF(V14="","",INDEX(Payments!$U$6:$U$1205,V14))</f>
        <v/>
      </c>
      <c r="V14" s="1">
        <f>IFERROR(_xlfn.AGGREGATE(15,6,(ROW(Payments!$P$6:$P$1205)-5)/(Payments!$P$6:$P$1205=V$13),1),"")</f>
        <v/>
      </c>
      <c r="W14" s="1" t="n"/>
      <c r="X14" s="124" t="inlineStr">
        <is>
          <t>+ Income</t>
        </is>
      </c>
      <c r="Y14" s="98">
        <f>SUMIFS(Payments!$U$6:$U$1205,Payments!$I$6:$I$1205,"Income",Payments!$P$6:$P$1205,"&gt;="&amp;$D$13,Payments!$P$6:$P$1205,"&lt;="&amp;$V$13)</f>
        <v/>
      </c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>
      <c r="A15" s="1" t="n"/>
      <c r="B15" s="122">
        <f>IF(D15="","",INDEX(Payments!$E$6:$E$1205,D15))</f>
        <v/>
      </c>
      <c r="C15" s="123">
        <f>IF(D15="","",INDEX(Payments!$U$6:$U$1205,D15))</f>
        <v/>
      </c>
      <c r="D15" s="1">
        <f>IFERROR(_xlfn.AGGREGATE(15,6,(ROW(Payments!$P$6:$P$1205)-5)/(Payments!$P$6:$P$1205=D$13),2),"")</f>
        <v/>
      </c>
      <c r="E15" s="122">
        <f>IF(G15="","",INDEX(Payments!$E$6:$E$1205,G15))</f>
        <v/>
      </c>
      <c r="F15" s="123">
        <f>IF(G15="","",INDEX(Payments!$U$6:$U$1205,G15))</f>
        <v/>
      </c>
      <c r="G15" s="1">
        <f>IFERROR(_xlfn.AGGREGATE(15,6,(ROW(Payments!$P$6:$P$1205)-5)/(Payments!$P$6:$P$1205=G$13),2),"")</f>
        <v/>
      </c>
      <c r="H15" s="122">
        <f>IF(J15="","",INDEX(Payments!$E$6:$E$1205,J15))</f>
        <v/>
      </c>
      <c r="I15" s="123">
        <f>IF(J15="","",INDEX(Payments!$U$6:$U$1205,J15))</f>
        <v/>
      </c>
      <c r="J15" s="1">
        <f>IFERROR(_xlfn.AGGREGATE(15,6,(ROW(Payments!$P$6:$P$1205)-5)/(Payments!$P$6:$P$1205=J$13),2),"")</f>
        <v/>
      </c>
      <c r="K15" s="122">
        <f>IF(M15="","",INDEX(Payments!$E$6:$E$1205,M15))</f>
        <v/>
      </c>
      <c r="L15" s="123">
        <f>IF(M15="","",INDEX(Payments!$U$6:$U$1205,M15))</f>
        <v/>
      </c>
      <c r="M15" s="1">
        <f>IFERROR(_xlfn.AGGREGATE(15,6,(ROW(Payments!$P$6:$P$1205)-5)/(Payments!$P$6:$P$1205=M$13),2),"")</f>
        <v/>
      </c>
      <c r="N15" s="122">
        <f>IF(P15="","",INDEX(Payments!$E$6:$E$1205,P15))</f>
        <v/>
      </c>
      <c r="O15" s="123">
        <f>IF(P15="","",INDEX(Payments!$U$6:$U$1205,P15))</f>
        <v/>
      </c>
      <c r="P15" s="1">
        <f>IFERROR(_xlfn.AGGREGATE(15,6,(ROW(Payments!$P$6:$P$1205)-5)/(Payments!$P$6:$P$1205=P$13),2),"")</f>
        <v/>
      </c>
      <c r="Q15" s="122">
        <f>IF(S15="","",INDEX(Payments!$E$6:$E$1205,S15))</f>
        <v/>
      </c>
      <c r="R15" s="123">
        <f>IF(S15="","",INDEX(Payments!$U$6:$U$1205,S15))</f>
        <v/>
      </c>
      <c r="S15" s="1">
        <f>IFERROR(_xlfn.AGGREGATE(15,6,(ROW(Payments!$P$6:$P$1205)-5)/(Payments!$P$6:$P$1205=S$13),2),"")</f>
        <v/>
      </c>
      <c r="T15" s="122">
        <f>IF(V15="","",INDEX(Payments!$E$6:$E$1205,V15))</f>
        <v/>
      </c>
      <c r="U15" s="123">
        <f>IF(V15="","",INDEX(Payments!$U$6:$U$1205,V15))</f>
        <v/>
      </c>
      <c r="V15" s="1">
        <f>IFERROR(_xlfn.AGGREGATE(15,6,(ROW(Payments!$P$6:$P$1205)-5)/(Payments!$P$6:$P$1205=V$13),2),"")</f>
        <v/>
      </c>
      <c r="W15" s="1" t="n"/>
      <c r="X15" s="125" t="inlineStr">
        <is>
          <t>– Bills &amp; Subs</t>
        </is>
      </c>
      <c r="Y15" s="98">
        <f>SUMIFS(Payments!$U$6:$U$1205,Payments!$I$6:$I$1205,"Bills",Payments!$P$6:$P$1205,"&gt;="&amp;$D$13,Payments!$P$6:$P$1205,"&lt;="&amp;$V$13)+SUMIFS(Payments!$U$6:$U$1205,Payments!$I$6:$I$1205,"Subscriptions",Payments!$P$6:$P$1205,"&gt;="&amp;$D$13,Payments!$P$6:$P$1205,"&lt;="&amp;$V$13)</f>
        <v/>
      </c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>
      <c r="A16" s="1" t="n"/>
      <c r="B16" s="122">
        <f>IF(D16="","",INDEX(Payments!$E$6:$E$1205,D16))</f>
        <v/>
      </c>
      <c r="C16" s="123">
        <f>IF(D16="","",INDEX(Payments!$U$6:$U$1205,D16))</f>
        <v/>
      </c>
      <c r="D16" s="1">
        <f>IFERROR(_xlfn.AGGREGATE(15,6,(ROW(Payments!$P$6:$P$1205)-5)/(Payments!$P$6:$P$1205=D$13),3),"")</f>
        <v/>
      </c>
      <c r="E16" s="122">
        <f>IF(G16="","",INDEX(Payments!$E$6:$E$1205,G16))</f>
        <v/>
      </c>
      <c r="F16" s="123">
        <f>IF(G16="","",INDEX(Payments!$U$6:$U$1205,G16))</f>
        <v/>
      </c>
      <c r="G16" s="1">
        <f>IFERROR(_xlfn.AGGREGATE(15,6,(ROW(Payments!$P$6:$P$1205)-5)/(Payments!$P$6:$P$1205=G$13),3),"")</f>
        <v/>
      </c>
      <c r="H16" s="122">
        <f>IF(J16="","",INDEX(Payments!$E$6:$E$1205,J16))</f>
        <v/>
      </c>
      <c r="I16" s="123">
        <f>IF(J16="","",INDEX(Payments!$U$6:$U$1205,J16))</f>
        <v/>
      </c>
      <c r="J16" s="1">
        <f>IFERROR(_xlfn.AGGREGATE(15,6,(ROW(Payments!$P$6:$P$1205)-5)/(Payments!$P$6:$P$1205=J$13),3),"")</f>
        <v/>
      </c>
      <c r="K16" s="122">
        <f>IF(M16="","",INDEX(Payments!$E$6:$E$1205,M16))</f>
        <v/>
      </c>
      <c r="L16" s="123">
        <f>IF(M16="","",INDEX(Payments!$U$6:$U$1205,M16))</f>
        <v/>
      </c>
      <c r="M16" s="1">
        <f>IFERROR(_xlfn.AGGREGATE(15,6,(ROW(Payments!$P$6:$P$1205)-5)/(Payments!$P$6:$P$1205=M$13),3),"")</f>
        <v/>
      </c>
      <c r="N16" s="122">
        <f>IF(P16="","",INDEX(Payments!$E$6:$E$1205,P16))</f>
        <v/>
      </c>
      <c r="O16" s="123">
        <f>IF(P16="","",INDEX(Payments!$U$6:$U$1205,P16))</f>
        <v/>
      </c>
      <c r="P16" s="1">
        <f>IFERROR(_xlfn.AGGREGATE(15,6,(ROW(Payments!$P$6:$P$1205)-5)/(Payments!$P$6:$P$1205=P$13),3),"")</f>
        <v/>
      </c>
      <c r="Q16" s="122">
        <f>IF(S16="","",INDEX(Payments!$E$6:$E$1205,S16))</f>
        <v/>
      </c>
      <c r="R16" s="123">
        <f>IF(S16="","",INDEX(Payments!$U$6:$U$1205,S16))</f>
        <v/>
      </c>
      <c r="S16" s="1">
        <f>IFERROR(_xlfn.AGGREGATE(15,6,(ROW(Payments!$P$6:$P$1205)-5)/(Payments!$P$6:$P$1205=S$13),3),"")</f>
        <v/>
      </c>
      <c r="T16" s="122">
        <f>IF(V16="","",INDEX(Payments!$E$6:$E$1205,V16))</f>
        <v/>
      </c>
      <c r="U16" s="123">
        <f>IF(V16="","",INDEX(Payments!$U$6:$U$1205,V16))</f>
        <v/>
      </c>
      <c r="V16" s="1">
        <f>IFERROR(_xlfn.AGGREGATE(15,6,(ROW(Payments!$P$6:$P$1205)-5)/(Payments!$P$6:$P$1205=V$13),3),"")</f>
        <v/>
      </c>
      <c r="W16" s="1" t="n"/>
      <c r="X16" s="126" t="inlineStr">
        <is>
          <t>– Debt</t>
        </is>
      </c>
      <c r="Y16" s="98">
        <f>SUMIFS(Payments!$U$6:$U$1205,Payments!$I$6:$I$1205,"Debt",Payments!$P$6:$P$1205,"&gt;="&amp;$D$13,Payments!$P$6:$P$1205,"&lt;="&amp;$V$13)</f>
        <v/>
      </c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>
      <c r="A17" s="1" t="n"/>
      <c r="B17" s="122">
        <f>IF(D17="","",INDEX(Payments!$E$6:$E$1205,D17))</f>
        <v/>
      </c>
      <c r="C17" s="123">
        <f>IF(D17="","",INDEX(Payments!$U$6:$U$1205,D17))</f>
        <v/>
      </c>
      <c r="D17" s="1">
        <f>IFERROR(_xlfn.AGGREGATE(15,6,(ROW(Payments!$P$6:$P$1205)-5)/(Payments!$P$6:$P$1205=D$13),4),"")</f>
        <v/>
      </c>
      <c r="E17" s="122">
        <f>IF(G17="","",INDEX(Payments!$E$6:$E$1205,G17))</f>
        <v/>
      </c>
      <c r="F17" s="123">
        <f>IF(G17="","",INDEX(Payments!$U$6:$U$1205,G17))</f>
        <v/>
      </c>
      <c r="G17" s="1">
        <f>IFERROR(_xlfn.AGGREGATE(15,6,(ROW(Payments!$P$6:$P$1205)-5)/(Payments!$P$6:$P$1205=G$13),4),"")</f>
        <v/>
      </c>
      <c r="H17" s="122">
        <f>IF(J17="","",INDEX(Payments!$E$6:$E$1205,J17))</f>
        <v/>
      </c>
      <c r="I17" s="123">
        <f>IF(J17="","",INDEX(Payments!$U$6:$U$1205,J17))</f>
        <v/>
      </c>
      <c r="J17" s="1">
        <f>IFERROR(_xlfn.AGGREGATE(15,6,(ROW(Payments!$P$6:$P$1205)-5)/(Payments!$P$6:$P$1205=J$13),4),"")</f>
        <v/>
      </c>
      <c r="K17" s="122">
        <f>IF(M17="","",INDEX(Payments!$E$6:$E$1205,M17))</f>
        <v/>
      </c>
      <c r="L17" s="123">
        <f>IF(M17="","",INDEX(Payments!$U$6:$U$1205,M17))</f>
        <v/>
      </c>
      <c r="M17" s="1">
        <f>IFERROR(_xlfn.AGGREGATE(15,6,(ROW(Payments!$P$6:$P$1205)-5)/(Payments!$P$6:$P$1205=M$13),4),"")</f>
        <v/>
      </c>
      <c r="N17" s="122">
        <f>IF(P17="","",INDEX(Payments!$E$6:$E$1205,P17))</f>
        <v/>
      </c>
      <c r="O17" s="123">
        <f>IF(P17="","",INDEX(Payments!$U$6:$U$1205,P17))</f>
        <v/>
      </c>
      <c r="P17" s="1">
        <f>IFERROR(_xlfn.AGGREGATE(15,6,(ROW(Payments!$P$6:$P$1205)-5)/(Payments!$P$6:$P$1205=P$13),4),"")</f>
        <v/>
      </c>
      <c r="Q17" s="122">
        <f>IF(S17="","",INDEX(Payments!$E$6:$E$1205,S17))</f>
        <v/>
      </c>
      <c r="R17" s="123">
        <f>IF(S17="","",INDEX(Payments!$U$6:$U$1205,S17))</f>
        <v/>
      </c>
      <c r="S17" s="1">
        <f>IFERROR(_xlfn.AGGREGATE(15,6,(ROW(Payments!$P$6:$P$1205)-5)/(Payments!$P$6:$P$1205=S$13),4),"")</f>
        <v/>
      </c>
      <c r="T17" s="122">
        <f>IF(V17="","",INDEX(Payments!$E$6:$E$1205,V17))</f>
        <v/>
      </c>
      <c r="U17" s="123">
        <f>IF(V17="","",INDEX(Payments!$U$6:$U$1205,V17))</f>
        <v/>
      </c>
      <c r="V17" s="1">
        <f>IFERROR(_xlfn.AGGREGATE(15,6,(ROW(Payments!$P$6:$P$1205)-5)/(Payments!$P$6:$P$1205=V$13),4),"")</f>
        <v/>
      </c>
      <c r="W17" s="1" t="n"/>
      <c r="X17" s="127" t="inlineStr">
        <is>
          <t>– Savings</t>
        </is>
      </c>
      <c r="Y17" s="98">
        <f>SUMIFS(Payments!$U$6:$U$1205,Payments!$I$6:$I$1205,"Savings",Payments!$P$6:$P$1205,"&gt;="&amp;$D$13,Payments!$P$6:$P$1205,"&lt;="&amp;$V$13)</f>
        <v/>
      </c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>
      <c r="A18" s="1" t="n"/>
      <c r="B18" s="128">
        <f>IF(D18="","",INDEX(Payments!$E$6:$E$1205,D18))</f>
        <v/>
      </c>
      <c r="C18" s="129">
        <f>IF(D18="","",INDEX(Payments!$U$6:$U$1205,D18))</f>
        <v/>
      </c>
      <c r="D18" s="1">
        <f>IFERROR(_xlfn.AGGREGATE(15,6,(ROW(Payments!$P$6:$P$1205)-5)/(Payments!$P$6:$P$1205=D$13),5),"")</f>
        <v/>
      </c>
      <c r="E18" s="128">
        <f>IF(G18="","",INDEX(Payments!$E$6:$E$1205,G18))</f>
        <v/>
      </c>
      <c r="F18" s="129">
        <f>IF(G18="","",INDEX(Payments!$U$6:$U$1205,G18))</f>
        <v/>
      </c>
      <c r="G18" s="1">
        <f>IFERROR(_xlfn.AGGREGATE(15,6,(ROW(Payments!$P$6:$P$1205)-5)/(Payments!$P$6:$P$1205=G$13),5),"")</f>
        <v/>
      </c>
      <c r="H18" s="128">
        <f>IF(J18="","",INDEX(Payments!$E$6:$E$1205,J18))</f>
        <v/>
      </c>
      <c r="I18" s="129">
        <f>IF(J18="","",INDEX(Payments!$U$6:$U$1205,J18))</f>
        <v/>
      </c>
      <c r="J18" s="1">
        <f>IFERROR(_xlfn.AGGREGATE(15,6,(ROW(Payments!$P$6:$P$1205)-5)/(Payments!$P$6:$P$1205=J$13),5),"")</f>
        <v/>
      </c>
      <c r="K18" s="128">
        <f>IF(M18="","",INDEX(Payments!$E$6:$E$1205,M18))</f>
        <v/>
      </c>
      <c r="L18" s="129">
        <f>IF(M18="","",INDEX(Payments!$U$6:$U$1205,M18))</f>
        <v/>
      </c>
      <c r="M18" s="1">
        <f>IFERROR(_xlfn.AGGREGATE(15,6,(ROW(Payments!$P$6:$P$1205)-5)/(Payments!$P$6:$P$1205=M$13),5),"")</f>
        <v/>
      </c>
      <c r="N18" s="128">
        <f>IF(P18="","",INDEX(Payments!$E$6:$E$1205,P18))</f>
        <v/>
      </c>
      <c r="O18" s="129">
        <f>IF(P18="","",INDEX(Payments!$U$6:$U$1205,P18))</f>
        <v/>
      </c>
      <c r="P18" s="1">
        <f>IFERROR(_xlfn.AGGREGATE(15,6,(ROW(Payments!$P$6:$P$1205)-5)/(Payments!$P$6:$P$1205=P$13),5),"")</f>
        <v/>
      </c>
      <c r="Q18" s="128">
        <f>IF(S18="","",INDEX(Payments!$E$6:$E$1205,S18))</f>
        <v/>
      </c>
      <c r="R18" s="129">
        <f>IF(S18="","",INDEX(Payments!$U$6:$U$1205,S18))</f>
        <v/>
      </c>
      <c r="S18" s="1">
        <f>IFERROR(_xlfn.AGGREGATE(15,6,(ROW(Payments!$P$6:$P$1205)-5)/(Payments!$P$6:$P$1205=S$13),5),"")</f>
        <v/>
      </c>
      <c r="T18" s="128">
        <f>IF(V18="","",INDEX(Payments!$E$6:$E$1205,V18))</f>
        <v/>
      </c>
      <c r="U18" s="129">
        <f>IF(V18="","",INDEX(Payments!$U$6:$U$1205,V18))</f>
        <v/>
      </c>
      <c r="V18" s="1">
        <f>IFERROR(_xlfn.AGGREGATE(15,6,(ROW(Payments!$P$6:$P$1205)-5)/(Payments!$P$6:$P$1205=V$13),5),"")</f>
        <v/>
      </c>
      <c r="W18" s="1" t="n"/>
      <c r="X18" s="130" t="inlineStr">
        <is>
          <t>End balance</t>
        </is>
      </c>
      <c r="Y18" s="131">
        <f>$R$4+SUMIFS(Payments!$U$6:$U$1205,Payments!$I$6:$I$1205,"Income",Payments!$P$6:$P$1205,"&gt;="&amp;$R$3,Payments!$P$6:$P$1205,"&lt;="&amp;$V$13)-SUMIFS(Payments!$U$6:$U$1205,Payments!$I$6:$I$1205,"&lt;&gt;Income",Payments!$P$6:$P$1205,"&gt;="&amp;$R$3,Payments!$P$6:$P$1205,"&lt;="&amp;$V$13)</f>
        <v/>
      </c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18" customHeight="1">
      <c r="A19" s="1" t="n"/>
      <c r="B19" s="118">
        <f>DAY(D19)</f>
        <v/>
      </c>
      <c r="C19" s="119">
        <f>IF(MONTH(D19)&lt;&gt;MONTH($R$2),"",$R$4+SUMIFS(Payments!$U$6:$U$1205,Payments!$I$6:$I$1205,"Income",Payments!$P$6:$P$1205,"&gt;="&amp;$R$3,Payments!$P$6:$P$1205,"&lt;="&amp;D19)-SUMIFS(Payments!$U$6:$U$1205,Payments!$I$6:$I$1205,"&lt;&gt;Income",Payments!$P$6:$P$1205,"&gt;="&amp;$R$3,Payments!$P$6:$P$1205,"&lt;="&amp;D19))</f>
        <v/>
      </c>
      <c r="D19" s="120">
        <f>$R$3+14</f>
        <v/>
      </c>
      <c r="E19" s="118">
        <f>DAY(G19)</f>
        <v/>
      </c>
      <c r="F19" s="119">
        <f>IF(MONTH(G19)&lt;&gt;MONTH($R$2),"",$R$4+SUMIFS(Payments!$U$6:$U$1205,Payments!$I$6:$I$1205,"Income",Payments!$P$6:$P$1205,"&gt;="&amp;$R$3,Payments!$P$6:$P$1205,"&lt;="&amp;G19)-SUMIFS(Payments!$U$6:$U$1205,Payments!$I$6:$I$1205,"&lt;&gt;Income",Payments!$P$6:$P$1205,"&gt;="&amp;$R$3,Payments!$P$6:$P$1205,"&lt;="&amp;G19))</f>
        <v/>
      </c>
      <c r="G19" s="120">
        <f>$R$3+15</f>
        <v/>
      </c>
      <c r="H19" s="118">
        <f>DAY(J19)</f>
        <v/>
      </c>
      <c r="I19" s="119">
        <f>IF(MONTH(J19)&lt;&gt;MONTH($R$2),"",$R$4+SUMIFS(Payments!$U$6:$U$1205,Payments!$I$6:$I$1205,"Income",Payments!$P$6:$P$1205,"&gt;="&amp;$R$3,Payments!$P$6:$P$1205,"&lt;="&amp;J19)-SUMIFS(Payments!$U$6:$U$1205,Payments!$I$6:$I$1205,"&lt;&gt;Income",Payments!$P$6:$P$1205,"&gt;="&amp;$R$3,Payments!$P$6:$P$1205,"&lt;="&amp;J19))</f>
        <v/>
      </c>
      <c r="J19" s="120">
        <f>$R$3+16</f>
        <v/>
      </c>
      <c r="K19" s="118">
        <f>DAY(M19)</f>
        <v/>
      </c>
      <c r="L19" s="119">
        <f>IF(MONTH(M19)&lt;&gt;MONTH($R$2),"",$R$4+SUMIFS(Payments!$U$6:$U$1205,Payments!$I$6:$I$1205,"Income",Payments!$P$6:$P$1205,"&gt;="&amp;$R$3,Payments!$P$6:$P$1205,"&lt;="&amp;M19)-SUMIFS(Payments!$U$6:$U$1205,Payments!$I$6:$I$1205,"&lt;&gt;Income",Payments!$P$6:$P$1205,"&gt;="&amp;$R$3,Payments!$P$6:$P$1205,"&lt;="&amp;M19))</f>
        <v/>
      </c>
      <c r="M19" s="120">
        <f>$R$3+17</f>
        <v/>
      </c>
      <c r="N19" s="118">
        <f>DAY(P19)</f>
        <v/>
      </c>
      <c r="O19" s="119">
        <f>IF(MONTH(P19)&lt;&gt;MONTH($R$2),"",$R$4+SUMIFS(Payments!$U$6:$U$1205,Payments!$I$6:$I$1205,"Income",Payments!$P$6:$P$1205,"&gt;="&amp;$R$3,Payments!$P$6:$P$1205,"&lt;="&amp;P19)-SUMIFS(Payments!$U$6:$U$1205,Payments!$I$6:$I$1205,"&lt;&gt;Income",Payments!$P$6:$P$1205,"&gt;="&amp;$R$3,Payments!$P$6:$P$1205,"&lt;="&amp;P19))</f>
        <v/>
      </c>
      <c r="P19" s="120">
        <f>$R$3+18</f>
        <v/>
      </c>
      <c r="Q19" s="118">
        <f>DAY(S19)</f>
        <v/>
      </c>
      <c r="R19" s="119">
        <f>IF(MONTH(S19)&lt;&gt;MONTH($R$2),"",$R$4+SUMIFS(Payments!$U$6:$U$1205,Payments!$I$6:$I$1205,"Income",Payments!$P$6:$P$1205,"&gt;="&amp;$R$3,Payments!$P$6:$P$1205,"&lt;="&amp;S19)-SUMIFS(Payments!$U$6:$U$1205,Payments!$I$6:$I$1205,"&lt;&gt;Income",Payments!$P$6:$P$1205,"&gt;="&amp;$R$3,Payments!$P$6:$P$1205,"&lt;="&amp;S19))</f>
        <v/>
      </c>
      <c r="S19" s="120">
        <f>$R$3+19</f>
        <v/>
      </c>
      <c r="T19" s="118">
        <f>DAY(V19)</f>
        <v/>
      </c>
      <c r="U19" s="119">
        <f>IF(MONTH(V19)&lt;&gt;MONTH($R$2),"",$R$4+SUMIFS(Payments!$U$6:$U$1205,Payments!$I$6:$I$1205,"Income",Payments!$P$6:$P$1205,"&gt;="&amp;$R$3,Payments!$P$6:$P$1205,"&lt;="&amp;V19)-SUMIFS(Payments!$U$6:$U$1205,Payments!$I$6:$I$1205,"&lt;&gt;Income",Payments!$P$6:$P$1205,"&gt;="&amp;$R$3,Payments!$P$6:$P$1205,"&lt;="&amp;V19))</f>
        <v/>
      </c>
      <c r="V19" s="120">
        <f>$R$3+20</f>
        <v/>
      </c>
      <c r="W19" s="1" t="n"/>
      <c r="X19" s="121">
        <f>"WEEK 3"</f>
        <v/>
      </c>
      <c r="Y19" s="112">
        <f>TEXT($D$19,"d mmm")&amp;" – "&amp;TEXT($V$19,"d mmm")</f>
        <v/>
      </c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>
      <c r="A20" s="1" t="n"/>
      <c r="B20" s="122">
        <f>IF(D20="","",INDEX(Payments!$E$6:$E$1205,D20))</f>
        <v/>
      </c>
      <c r="C20" s="123">
        <f>IF(D20="","",INDEX(Payments!$U$6:$U$1205,D20))</f>
        <v/>
      </c>
      <c r="D20" s="1">
        <f>IFERROR(_xlfn.AGGREGATE(15,6,(ROW(Payments!$P$6:$P$1205)-5)/(Payments!$P$6:$P$1205=D$19),1),"")</f>
        <v/>
      </c>
      <c r="E20" s="122">
        <f>IF(G20="","",INDEX(Payments!$E$6:$E$1205,G20))</f>
        <v/>
      </c>
      <c r="F20" s="123">
        <f>IF(G20="","",INDEX(Payments!$U$6:$U$1205,G20))</f>
        <v/>
      </c>
      <c r="G20" s="1">
        <f>IFERROR(_xlfn.AGGREGATE(15,6,(ROW(Payments!$P$6:$P$1205)-5)/(Payments!$P$6:$P$1205=G$19),1),"")</f>
        <v/>
      </c>
      <c r="H20" s="122">
        <f>IF(J20="","",INDEX(Payments!$E$6:$E$1205,J20))</f>
        <v/>
      </c>
      <c r="I20" s="123">
        <f>IF(J20="","",INDEX(Payments!$U$6:$U$1205,J20))</f>
        <v/>
      </c>
      <c r="J20" s="1">
        <f>IFERROR(_xlfn.AGGREGATE(15,6,(ROW(Payments!$P$6:$P$1205)-5)/(Payments!$P$6:$P$1205=J$19),1),"")</f>
        <v/>
      </c>
      <c r="K20" s="122">
        <f>IF(M20="","",INDEX(Payments!$E$6:$E$1205,M20))</f>
        <v/>
      </c>
      <c r="L20" s="123">
        <f>IF(M20="","",INDEX(Payments!$U$6:$U$1205,M20))</f>
        <v/>
      </c>
      <c r="M20" s="1">
        <f>IFERROR(_xlfn.AGGREGATE(15,6,(ROW(Payments!$P$6:$P$1205)-5)/(Payments!$P$6:$P$1205=M$19),1),"")</f>
        <v/>
      </c>
      <c r="N20" s="122">
        <f>IF(P20="","",INDEX(Payments!$E$6:$E$1205,P20))</f>
        <v/>
      </c>
      <c r="O20" s="123">
        <f>IF(P20="","",INDEX(Payments!$U$6:$U$1205,P20))</f>
        <v/>
      </c>
      <c r="P20" s="1">
        <f>IFERROR(_xlfn.AGGREGATE(15,6,(ROW(Payments!$P$6:$P$1205)-5)/(Payments!$P$6:$P$1205=P$19),1),"")</f>
        <v/>
      </c>
      <c r="Q20" s="122">
        <f>IF(S20="","",INDEX(Payments!$E$6:$E$1205,S20))</f>
        <v/>
      </c>
      <c r="R20" s="123">
        <f>IF(S20="","",INDEX(Payments!$U$6:$U$1205,S20))</f>
        <v/>
      </c>
      <c r="S20" s="1">
        <f>IFERROR(_xlfn.AGGREGATE(15,6,(ROW(Payments!$P$6:$P$1205)-5)/(Payments!$P$6:$P$1205=S$19),1),"")</f>
        <v/>
      </c>
      <c r="T20" s="122">
        <f>IF(V20="","",INDEX(Payments!$E$6:$E$1205,V20))</f>
        <v/>
      </c>
      <c r="U20" s="123">
        <f>IF(V20="","",INDEX(Payments!$U$6:$U$1205,V20))</f>
        <v/>
      </c>
      <c r="V20" s="1">
        <f>IFERROR(_xlfn.AGGREGATE(15,6,(ROW(Payments!$P$6:$P$1205)-5)/(Payments!$P$6:$P$1205=V$19),1),"")</f>
        <v/>
      </c>
      <c r="W20" s="1" t="n"/>
      <c r="X20" s="124" t="inlineStr">
        <is>
          <t>+ Income</t>
        </is>
      </c>
      <c r="Y20" s="98">
        <f>SUMIFS(Payments!$U$6:$U$1205,Payments!$I$6:$I$1205,"Income",Payments!$P$6:$P$1205,"&gt;="&amp;$D$19,Payments!$P$6:$P$1205,"&lt;="&amp;$V$19)</f>
        <v/>
      </c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>
      <c r="A21" s="1" t="n"/>
      <c r="B21" s="122">
        <f>IF(D21="","",INDEX(Payments!$E$6:$E$1205,D21))</f>
        <v/>
      </c>
      <c r="C21" s="123">
        <f>IF(D21="","",INDEX(Payments!$U$6:$U$1205,D21))</f>
        <v/>
      </c>
      <c r="D21" s="1">
        <f>IFERROR(_xlfn.AGGREGATE(15,6,(ROW(Payments!$P$6:$P$1205)-5)/(Payments!$P$6:$P$1205=D$19),2),"")</f>
        <v/>
      </c>
      <c r="E21" s="122">
        <f>IF(G21="","",INDEX(Payments!$E$6:$E$1205,G21))</f>
        <v/>
      </c>
      <c r="F21" s="123">
        <f>IF(G21="","",INDEX(Payments!$U$6:$U$1205,G21))</f>
        <v/>
      </c>
      <c r="G21" s="1">
        <f>IFERROR(_xlfn.AGGREGATE(15,6,(ROW(Payments!$P$6:$P$1205)-5)/(Payments!$P$6:$P$1205=G$19),2),"")</f>
        <v/>
      </c>
      <c r="H21" s="122">
        <f>IF(J21="","",INDEX(Payments!$E$6:$E$1205,J21))</f>
        <v/>
      </c>
      <c r="I21" s="123">
        <f>IF(J21="","",INDEX(Payments!$U$6:$U$1205,J21))</f>
        <v/>
      </c>
      <c r="J21" s="1">
        <f>IFERROR(_xlfn.AGGREGATE(15,6,(ROW(Payments!$P$6:$P$1205)-5)/(Payments!$P$6:$P$1205=J$19),2),"")</f>
        <v/>
      </c>
      <c r="K21" s="122">
        <f>IF(M21="","",INDEX(Payments!$E$6:$E$1205,M21))</f>
        <v/>
      </c>
      <c r="L21" s="123">
        <f>IF(M21="","",INDEX(Payments!$U$6:$U$1205,M21))</f>
        <v/>
      </c>
      <c r="M21" s="1">
        <f>IFERROR(_xlfn.AGGREGATE(15,6,(ROW(Payments!$P$6:$P$1205)-5)/(Payments!$P$6:$P$1205=M$19),2),"")</f>
        <v/>
      </c>
      <c r="N21" s="122">
        <f>IF(P21="","",INDEX(Payments!$E$6:$E$1205,P21))</f>
        <v/>
      </c>
      <c r="O21" s="123">
        <f>IF(P21="","",INDEX(Payments!$U$6:$U$1205,P21))</f>
        <v/>
      </c>
      <c r="P21" s="1">
        <f>IFERROR(_xlfn.AGGREGATE(15,6,(ROW(Payments!$P$6:$P$1205)-5)/(Payments!$P$6:$P$1205=P$19),2),"")</f>
        <v/>
      </c>
      <c r="Q21" s="122">
        <f>IF(S21="","",INDEX(Payments!$E$6:$E$1205,S21))</f>
        <v/>
      </c>
      <c r="R21" s="123">
        <f>IF(S21="","",INDEX(Payments!$U$6:$U$1205,S21))</f>
        <v/>
      </c>
      <c r="S21" s="1">
        <f>IFERROR(_xlfn.AGGREGATE(15,6,(ROW(Payments!$P$6:$P$1205)-5)/(Payments!$P$6:$P$1205=S$19),2),"")</f>
        <v/>
      </c>
      <c r="T21" s="122">
        <f>IF(V21="","",INDEX(Payments!$E$6:$E$1205,V21))</f>
        <v/>
      </c>
      <c r="U21" s="123">
        <f>IF(V21="","",INDEX(Payments!$U$6:$U$1205,V21))</f>
        <v/>
      </c>
      <c r="V21" s="1">
        <f>IFERROR(_xlfn.AGGREGATE(15,6,(ROW(Payments!$P$6:$P$1205)-5)/(Payments!$P$6:$P$1205=V$19),2),"")</f>
        <v/>
      </c>
      <c r="W21" s="1" t="n"/>
      <c r="X21" s="125" t="inlineStr">
        <is>
          <t>– Bills &amp; Subs</t>
        </is>
      </c>
      <c r="Y21" s="98">
        <f>SUMIFS(Payments!$U$6:$U$1205,Payments!$I$6:$I$1205,"Bills",Payments!$P$6:$P$1205,"&gt;="&amp;$D$19,Payments!$P$6:$P$1205,"&lt;="&amp;$V$19)+SUMIFS(Payments!$U$6:$U$1205,Payments!$I$6:$I$1205,"Subscriptions",Payments!$P$6:$P$1205,"&gt;="&amp;$D$19,Payments!$P$6:$P$1205,"&lt;="&amp;$V$19)</f>
        <v/>
      </c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>
      <c r="A22" s="1" t="n"/>
      <c r="B22" s="122">
        <f>IF(D22="","",INDEX(Payments!$E$6:$E$1205,D22))</f>
        <v/>
      </c>
      <c r="C22" s="123">
        <f>IF(D22="","",INDEX(Payments!$U$6:$U$1205,D22))</f>
        <v/>
      </c>
      <c r="D22" s="1">
        <f>IFERROR(_xlfn.AGGREGATE(15,6,(ROW(Payments!$P$6:$P$1205)-5)/(Payments!$P$6:$P$1205=D$19),3),"")</f>
        <v/>
      </c>
      <c r="E22" s="122">
        <f>IF(G22="","",INDEX(Payments!$E$6:$E$1205,G22))</f>
        <v/>
      </c>
      <c r="F22" s="123">
        <f>IF(G22="","",INDEX(Payments!$U$6:$U$1205,G22))</f>
        <v/>
      </c>
      <c r="G22" s="1">
        <f>IFERROR(_xlfn.AGGREGATE(15,6,(ROW(Payments!$P$6:$P$1205)-5)/(Payments!$P$6:$P$1205=G$19),3),"")</f>
        <v/>
      </c>
      <c r="H22" s="122">
        <f>IF(J22="","",INDEX(Payments!$E$6:$E$1205,J22))</f>
        <v/>
      </c>
      <c r="I22" s="123">
        <f>IF(J22="","",INDEX(Payments!$U$6:$U$1205,J22))</f>
        <v/>
      </c>
      <c r="J22" s="1">
        <f>IFERROR(_xlfn.AGGREGATE(15,6,(ROW(Payments!$P$6:$P$1205)-5)/(Payments!$P$6:$P$1205=J$19),3),"")</f>
        <v/>
      </c>
      <c r="K22" s="122">
        <f>IF(M22="","",INDEX(Payments!$E$6:$E$1205,M22))</f>
        <v/>
      </c>
      <c r="L22" s="123">
        <f>IF(M22="","",INDEX(Payments!$U$6:$U$1205,M22))</f>
        <v/>
      </c>
      <c r="M22" s="1">
        <f>IFERROR(_xlfn.AGGREGATE(15,6,(ROW(Payments!$P$6:$P$1205)-5)/(Payments!$P$6:$P$1205=M$19),3),"")</f>
        <v/>
      </c>
      <c r="N22" s="122">
        <f>IF(P22="","",INDEX(Payments!$E$6:$E$1205,P22))</f>
        <v/>
      </c>
      <c r="O22" s="123">
        <f>IF(P22="","",INDEX(Payments!$U$6:$U$1205,P22))</f>
        <v/>
      </c>
      <c r="P22" s="1">
        <f>IFERROR(_xlfn.AGGREGATE(15,6,(ROW(Payments!$P$6:$P$1205)-5)/(Payments!$P$6:$P$1205=P$19),3),"")</f>
        <v/>
      </c>
      <c r="Q22" s="122">
        <f>IF(S22="","",INDEX(Payments!$E$6:$E$1205,S22))</f>
        <v/>
      </c>
      <c r="R22" s="123">
        <f>IF(S22="","",INDEX(Payments!$U$6:$U$1205,S22))</f>
        <v/>
      </c>
      <c r="S22" s="1">
        <f>IFERROR(_xlfn.AGGREGATE(15,6,(ROW(Payments!$P$6:$P$1205)-5)/(Payments!$P$6:$P$1205=S$19),3),"")</f>
        <v/>
      </c>
      <c r="T22" s="122">
        <f>IF(V22="","",INDEX(Payments!$E$6:$E$1205,V22))</f>
        <v/>
      </c>
      <c r="U22" s="123">
        <f>IF(V22="","",INDEX(Payments!$U$6:$U$1205,V22))</f>
        <v/>
      </c>
      <c r="V22" s="1">
        <f>IFERROR(_xlfn.AGGREGATE(15,6,(ROW(Payments!$P$6:$P$1205)-5)/(Payments!$P$6:$P$1205=V$19),3),"")</f>
        <v/>
      </c>
      <c r="W22" s="1" t="n"/>
      <c r="X22" s="126" t="inlineStr">
        <is>
          <t>– Debt</t>
        </is>
      </c>
      <c r="Y22" s="98">
        <f>SUMIFS(Payments!$U$6:$U$1205,Payments!$I$6:$I$1205,"Debt",Payments!$P$6:$P$1205,"&gt;="&amp;$D$19,Payments!$P$6:$P$1205,"&lt;="&amp;$V$19)</f>
        <v/>
      </c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>
      <c r="A23" s="1" t="n"/>
      <c r="B23" s="122">
        <f>IF(D23="","",INDEX(Payments!$E$6:$E$1205,D23))</f>
        <v/>
      </c>
      <c r="C23" s="123">
        <f>IF(D23="","",INDEX(Payments!$U$6:$U$1205,D23))</f>
        <v/>
      </c>
      <c r="D23" s="1">
        <f>IFERROR(_xlfn.AGGREGATE(15,6,(ROW(Payments!$P$6:$P$1205)-5)/(Payments!$P$6:$P$1205=D$19),4),"")</f>
        <v/>
      </c>
      <c r="E23" s="122">
        <f>IF(G23="","",INDEX(Payments!$E$6:$E$1205,G23))</f>
        <v/>
      </c>
      <c r="F23" s="123">
        <f>IF(G23="","",INDEX(Payments!$U$6:$U$1205,G23))</f>
        <v/>
      </c>
      <c r="G23" s="1">
        <f>IFERROR(_xlfn.AGGREGATE(15,6,(ROW(Payments!$P$6:$P$1205)-5)/(Payments!$P$6:$P$1205=G$19),4),"")</f>
        <v/>
      </c>
      <c r="H23" s="122">
        <f>IF(J23="","",INDEX(Payments!$E$6:$E$1205,J23))</f>
        <v/>
      </c>
      <c r="I23" s="123">
        <f>IF(J23="","",INDEX(Payments!$U$6:$U$1205,J23))</f>
        <v/>
      </c>
      <c r="J23" s="1">
        <f>IFERROR(_xlfn.AGGREGATE(15,6,(ROW(Payments!$P$6:$P$1205)-5)/(Payments!$P$6:$P$1205=J$19),4),"")</f>
        <v/>
      </c>
      <c r="K23" s="122">
        <f>IF(M23="","",INDEX(Payments!$E$6:$E$1205,M23))</f>
        <v/>
      </c>
      <c r="L23" s="123">
        <f>IF(M23="","",INDEX(Payments!$U$6:$U$1205,M23))</f>
        <v/>
      </c>
      <c r="M23" s="1">
        <f>IFERROR(_xlfn.AGGREGATE(15,6,(ROW(Payments!$P$6:$P$1205)-5)/(Payments!$P$6:$P$1205=M$19),4),"")</f>
        <v/>
      </c>
      <c r="N23" s="122">
        <f>IF(P23="","",INDEX(Payments!$E$6:$E$1205,P23))</f>
        <v/>
      </c>
      <c r="O23" s="123">
        <f>IF(P23="","",INDEX(Payments!$U$6:$U$1205,P23))</f>
        <v/>
      </c>
      <c r="P23" s="1">
        <f>IFERROR(_xlfn.AGGREGATE(15,6,(ROW(Payments!$P$6:$P$1205)-5)/(Payments!$P$6:$P$1205=P$19),4),"")</f>
        <v/>
      </c>
      <c r="Q23" s="122">
        <f>IF(S23="","",INDEX(Payments!$E$6:$E$1205,S23))</f>
        <v/>
      </c>
      <c r="R23" s="123">
        <f>IF(S23="","",INDEX(Payments!$U$6:$U$1205,S23))</f>
        <v/>
      </c>
      <c r="S23" s="1">
        <f>IFERROR(_xlfn.AGGREGATE(15,6,(ROW(Payments!$P$6:$P$1205)-5)/(Payments!$P$6:$P$1205=S$19),4),"")</f>
        <v/>
      </c>
      <c r="T23" s="122">
        <f>IF(V23="","",INDEX(Payments!$E$6:$E$1205,V23))</f>
        <v/>
      </c>
      <c r="U23" s="123">
        <f>IF(V23="","",INDEX(Payments!$U$6:$U$1205,V23))</f>
        <v/>
      </c>
      <c r="V23" s="1">
        <f>IFERROR(_xlfn.AGGREGATE(15,6,(ROW(Payments!$P$6:$P$1205)-5)/(Payments!$P$6:$P$1205=V$19),4),"")</f>
        <v/>
      </c>
      <c r="W23" s="1" t="n"/>
      <c r="X23" s="127" t="inlineStr">
        <is>
          <t>– Savings</t>
        </is>
      </c>
      <c r="Y23" s="98">
        <f>SUMIFS(Payments!$U$6:$U$1205,Payments!$I$6:$I$1205,"Savings",Payments!$P$6:$P$1205,"&gt;="&amp;$D$19,Payments!$P$6:$P$1205,"&lt;="&amp;$V$19)</f>
        <v/>
      </c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>
      <c r="A24" s="1" t="n"/>
      <c r="B24" s="128">
        <f>IF(D24="","",INDEX(Payments!$E$6:$E$1205,D24))</f>
        <v/>
      </c>
      <c r="C24" s="129">
        <f>IF(D24="","",INDEX(Payments!$U$6:$U$1205,D24))</f>
        <v/>
      </c>
      <c r="D24" s="1">
        <f>IFERROR(_xlfn.AGGREGATE(15,6,(ROW(Payments!$P$6:$P$1205)-5)/(Payments!$P$6:$P$1205=D$19),5),"")</f>
        <v/>
      </c>
      <c r="E24" s="128">
        <f>IF(G24="","",INDEX(Payments!$E$6:$E$1205,G24))</f>
        <v/>
      </c>
      <c r="F24" s="129">
        <f>IF(G24="","",INDEX(Payments!$U$6:$U$1205,G24))</f>
        <v/>
      </c>
      <c r="G24" s="1">
        <f>IFERROR(_xlfn.AGGREGATE(15,6,(ROW(Payments!$P$6:$P$1205)-5)/(Payments!$P$6:$P$1205=G$19),5),"")</f>
        <v/>
      </c>
      <c r="H24" s="128">
        <f>IF(J24="","",INDEX(Payments!$E$6:$E$1205,J24))</f>
        <v/>
      </c>
      <c r="I24" s="129">
        <f>IF(J24="","",INDEX(Payments!$U$6:$U$1205,J24))</f>
        <v/>
      </c>
      <c r="J24" s="1">
        <f>IFERROR(_xlfn.AGGREGATE(15,6,(ROW(Payments!$P$6:$P$1205)-5)/(Payments!$P$6:$P$1205=J$19),5),"")</f>
        <v/>
      </c>
      <c r="K24" s="128">
        <f>IF(M24="","",INDEX(Payments!$E$6:$E$1205,M24))</f>
        <v/>
      </c>
      <c r="L24" s="129">
        <f>IF(M24="","",INDEX(Payments!$U$6:$U$1205,M24))</f>
        <v/>
      </c>
      <c r="M24" s="1">
        <f>IFERROR(_xlfn.AGGREGATE(15,6,(ROW(Payments!$P$6:$P$1205)-5)/(Payments!$P$6:$P$1205=M$19),5),"")</f>
        <v/>
      </c>
      <c r="N24" s="128">
        <f>IF(P24="","",INDEX(Payments!$E$6:$E$1205,P24))</f>
        <v/>
      </c>
      <c r="O24" s="129">
        <f>IF(P24="","",INDEX(Payments!$U$6:$U$1205,P24))</f>
        <v/>
      </c>
      <c r="P24" s="1">
        <f>IFERROR(_xlfn.AGGREGATE(15,6,(ROW(Payments!$P$6:$P$1205)-5)/(Payments!$P$6:$P$1205=P$19),5),"")</f>
        <v/>
      </c>
      <c r="Q24" s="128">
        <f>IF(S24="","",INDEX(Payments!$E$6:$E$1205,S24))</f>
        <v/>
      </c>
      <c r="R24" s="129">
        <f>IF(S24="","",INDEX(Payments!$U$6:$U$1205,S24))</f>
        <v/>
      </c>
      <c r="S24" s="1">
        <f>IFERROR(_xlfn.AGGREGATE(15,6,(ROW(Payments!$P$6:$P$1205)-5)/(Payments!$P$6:$P$1205=S$19),5),"")</f>
        <v/>
      </c>
      <c r="T24" s="128">
        <f>IF(V24="","",INDEX(Payments!$E$6:$E$1205,V24))</f>
        <v/>
      </c>
      <c r="U24" s="129">
        <f>IF(V24="","",INDEX(Payments!$U$6:$U$1205,V24))</f>
        <v/>
      </c>
      <c r="V24" s="1">
        <f>IFERROR(_xlfn.AGGREGATE(15,6,(ROW(Payments!$P$6:$P$1205)-5)/(Payments!$P$6:$P$1205=V$19),5),"")</f>
        <v/>
      </c>
      <c r="W24" s="1" t="n"/>
      <c r="X24" s="130" t="inlineStr">
        <is>
          <t>End balance</t>
        </is>
      </c>
      <c r="Y24" s="131">
        <f>$R$4+SUMIFS(Payments!$U$6:$U$1205,Payments!$I$6:$I$1205,"Income",Payments!$P$6:$P$1205,"&gt;="&amp;$R$3,Payments!$P$6:$P$1205,"&lt;="&amp;$V$19)-SUMIFS(Payments!$U$6:$U$1205,Payments!$I$6:$I$1205,"&lt;&gt;Income",Payments!$P$6:$P$1205,"&gt;="&amp;$R$3,Payments!$P$6:$P$1205,"&lt;="&amp;$V$19)</f>
        <v/>
      </c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18" customHeight="1">
      <c r="A25" s="1" t="n"/>
      <c r="B25" s="118">
        <f>DAY(D25)</f>
        <v/>
      </c>
      <c r="C25" s="119">
        <f>IF(MONTH(D25)&lt;&gt;MONTH($R$2),"",$R$4+SUMIFS(Payments!$U$6:$U$1205,Payments!$I$6:$I$1205,"Income",Payments!$P$6:$P$1205,"&gt;="&amp;$R$3,Payments!$P$6:$P$1205,"&lt;="&amp;D25)-SUMIFS(Payments!$U$6:$U$1205,Payments!$I$6:$I$1205,"&lt;&gt;Income",Payments!$P$6:$P$1205,"&gt;="&amp;$R$3,Payments!$P$6:$P$1205,"&lt;="&amp;D25))</f>
        <v/>
      </c>
      <c r="D25" s="120">
        <f>$R$3+21</f>
        <v/>
      </c>
      <c r="E25" s="118">
        <f>DAY(G25)</f>
        <v/>
      </c>
      <c r="F25" s="119">
        <f>IF(MONTH(G25)&lt;&gt;MONTH($R$2),"",$R$4+SUMIFS(Payments!$U$6:$U$1205,Payments!$I$6:$I$1205,"Income",Payments!$P$6:$P$1205,"&gt;="&amp;$R$3,Payments!$P$6:$P$1205,"&lt;="&amp;G25)-SUMIFS(Payments!$U$6:$U$1205,Payments!$I$6:$I$1205,"&lt;&gt;Income",Payments!$P$6:$P$1205,"&gt;="&amp;$R$3,Payments!$P$6:$P$1205,"&lt;="&amp;G25))</f>
        <v/>
      </c>
      <c r="G25" s="120">
        <f>$R$3+22</f>
        <v/>
      </c>
      <c r="H25" s="118">
        <f>DAY(J25)</f>
        <v/>
      </c>
      <c r="I25" s="119">
        <f>IF(MONTH(J25)&lt;&gt;MONTH($R$2),"",$R$4+SUMIFS(Payments!$U$6:$U$1205,Payments!$I$6:$I$1205,"Income",Payments!$P$6:$P$1205,"&gt;="&amp;$R$3,Payments!$P$6:$P$1205,"&lt;="&amp;J25)-SUMIFS(Payments!$U$6:$U$1205,Payments!$I$6:$I$1205,"&lt;&gt;Income",Payments!$P$6:$P$1205,"&gt;="&amp;$R$3,Payments!$P$6:$P$1205,"&lt;="&amp;J25))</f>
        <v/>
      </c>
      <c r="J25" s="120">
        <f>$R$3+23</f>
        <v/>
      </c>
      <c r="K25" s="118">
        <f>DAY(M25)</f>
        <v/>
      </c>
      <c r="L25" s="119">
        <f>IF(MONTH(M25)&lt;&gt;MONTH($R$2),"",$R$4+SUMIFS(Payments!$U$6:$U$1205,Payments!$I$6:$I$1205,"Income",Payments!$P$6:$P$1205,"&gt;="&amp;$R$3,Payments!$P$6:$P$1205,"&lt;="&amp;M25)-SUMIFS(Payments!$U$6:$U$1205,Payments!$I$6:$I$1205,"&lt;&gt;Income",Payments!$P$6:$P$1205,"&gt;="&amp;$R$3,Payments!$P$6:$P$1205,"&lt;="&amp;M25))</f>
        <v/>
      </c>
      <c r="M25" s="120">
        <f>$R$3+24</f>
        <v/>
      </c>
      <c r="N25" s="118">
        <f>DAY(P25)</f>
        <v/>
      </c>
      <c r="O25" s="119">
        <f>IF(MONTH(P25)&lt;&gt;MONTH($R$2),"",$R$4+SUMIFS(Payments!$U$6:$U$1205,Payments!$I$6:$I$1205,"Income",Payments!$P$6:$P$1205,"&gt;="&amp;$R$3,Payments!$P$6:$P$1205,"&lt;="&amp;P25)-SUMIFS(Payments!$U$6:$U$1205,Payments!$I$6:$I$1205,"&lt;&gt;Income",Payments!$P$6:$P$1205,"&gt;="&amp;$R$3,Payments!$P$6:$P$1205,"&lt;="&amp;P25))</f>
        <v/>
      </c>
      <c r="P25" s="120">
        <f>$R$3+25</f>
        <v/>
      </c>
      <c r="Q25" s="118">
        <f>DAY(S25)</f>
        <v/>
      </c>
      <c r="R25" s="119">
        <f>IF(MONTH(S25)&lt;&gt;MONTH($R$2),"",$R$4+SUMIFS(Payments!$U$6:$U$1205,Payments!$I$6:$I$1205,"Income",Payments!$P$6:$P$1205,"&gt;="&amp;$R$3,Payments!$P$6:$P$1205,"&lt;="&amp;S25)-SUMIFS(Payments!$U$6:$U$1205,Payments!$I$6:$I$1205,"&lt;&gt;Income",Payments!$P$6:$P$1205,"&gt;="&amp;$R$3,Payments!$P$6:$P$1205,"&lt;="&amp;S25))</f>
        <v/>
      </c>
      <c r="S25" s="120">
        <f>$R$3+26</f>
        <v/>
      </c>
      <c r="T25" s="118">
        <f>DAY(V25)</f>
        <v/>
      </c>
      <c r="U25" s="119">
        <f>IF(MONTH(V25)&lt;&gt;MONTH($R$2),"",$R$4+SUMIFS(Payments!$U$6:$U$1205,Payments!$I$6:$I$1205,"Income",Payments!$P$6:$P$1205,"&gt;="&amp;$R$3,Payments!$P$6:$P$1205,"&lt;="&amp;V25)-SUMIFS(Payments!$U$6:$U$1205,Payments!$I$6:$I$1205,"&lt;&gt;Income",Payments!$P$6:$P$1205,"&gt;="&amp;$R$3,Payments!$P$6:$P$1205,"&lt;="&amp;V25))</f>
        <v/>
      </c>
      <c r="V25" s="120">
        <f>$R$3+27</f>
        <v/>
      </c>
      <c r="W25" s="1" t="n"/>
      <c r="X25" s="121">
        <f>"WEEK 4"</f>
        <v/>
      </c>
      <c r="Y25" s="112">
        <f>TEXT($D$25,"d mmm")&amp;" – "&amp;TEXT($V$25,"d mmm")</f>
        <v/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>
      <c r="A26" s="1" t="n"/>
      <c r="B26" s="122">
        <f>IF(D26="","",INDEX(Payments!$E$6:$E$1205,D26))</f>
        <v/>
      </c>
      <c r="C26" s="123">
        <f>IF(D26="","",INDEX(Payments!$U$6:$U$1205,D26))</f>
        <v/>
      </c>
      <c r="D26" s="1">
        <f>IFERROR(_xlfn.AGGREGATE(15,6,(ROW(Payments!$P$6:$P$1205)-5)/(Payments!$P$6:$P$1205=D$25),1),"")</f>
        <v/>
      </c>
      <c r="E26" s="122">
        <f>IF(G26="","",INDEX(Payments!$E$6:$E$1205,G26))</f>
        <v/>
      </c>
      <c r="F26" s="123">
        <f>IF(G26="","",INDEX(Payments!$U$6:$U$1205,G26))</f>
        <v/>
      </c>
      <c r="G26" s="1">
        <f>IFERROR(_xlfn.AGGREGATE(15,6,(ROW(Payments!$P$6:$P$1205)-5)/(Payments!$P$6:$P$1205=G$25),1),"")</f>
        <v/>
      </c>
      <c r="H26" s="122">
        <f>IF(J26="","",INDEX(Payments!$E$6:$E$1205,J26))</f>
        <v/>
      </c>
      <c r="I26" s="123">
        <f>IF(J26="","",INDEX(Payments!$U$6:$U$1205,J26))</f>
        <v/>
      </c>
      <c r="J26" s="1">
        <f>IFERROR(_xlfn.AGGREGATE(15,6,(ROW(Payments!$P$6:$P$1205)-5)/(Payments!$P$6:$P$1205=J$25),1),"")</f>
        <v/>
      </c>
      <c r="K26" s="122">
        <f>IF(M26="","",INDEX(Payments!$E$6:$E$1205,M26))</f>
        <v/>
      </c>
      <c r="L26" s="123">
        <f>IF(M26="","",INDEX(Payments!$U$6:$U$1205,M26))</f>
        <v/>
      </c>
      <c r="M26" s="1">
        <f>IFERROR(_xlfn.AGGREGATE(15,6,(ROW(Payments!$P$6:$P$1205)-5)/(Payments!$P$6:$P$1205=M$25),1),"")</f>
        <v/>
      </c>
      <c r="N26" s="122">
        <f>IF(P26="","",INDEX(Payments!$E$6:$E$1205,P26))</f>
        <v/>
      </c>
      <c r="O26" s="123">
        <f>IF(P26="","",INDEX(Payments!$U$6:$U$1205,P26))</f>
        <v/>
      </c>
      <c r="P26" s="1">
        <f>IFERROR(_xlfn.AGGREGATE(15,6,(ROW(Payments!$P$6:$P$1205)-5)/(Payments!$P$6:$P$1205=P$25),1),"")</f>
        <v/>
      </c>
      <c r="Q26" s="122">
        <f>IF(S26="","",INDEX(Payments!$E$6:$E$1205,S26))</f>
        <v/>
      </c>
      <c r="R26" s="123">
        <f>IF(S26="","",INDEX(Payments!$U$6:$U$1205,S26))</f>
        <v/>
      </c>
      <c r="S26" s="1">
        <f>IFERROR(_xlfn.AGGREGATE(15,6,(ROW(Payments!$P$6:$P$1205)-5)/(Payments!$P$6:$P$1205=S$25),1),"")</f>
        <v/>
      </c>
      <c r="T26" s="122">
        <f>IF(V26="","",INDEX(Payments!$E$6:$E$1205,V26))</f>
        <v/>
      </c>
      <c r="U26" s="123">
        <f>IF(V26="","",INDEX(Payments!$U$6:$U$1205,V26))</f>
        <v/>
      </c>
      <c r="V26" s="1">
        <f>IFERROR(_xlfn.AGGREGATE(15,6,(ROW(Payments!$P$6:$P$1205)-5)/(Payments!$P$6:$P$1205=V$25),1),"")</f>
        <v/>
      </c>
      <c r="W26" s="1" t="n"/>
      <c r="X26" s="124" t="inlineStr">
        <is>
          <t>+ Income</t>
        </is>
      </c>
      <c r="Y26" s="98">
        <f>SUMIFS(Payments!$U$6:$U$1205,Payments!$I$6:$I$1205,"Income",Payments!$P$6:$P$1205,"&gt;="&amp;$D$25,Payments!$P$6:$P$1205,"&lt;="&amp;$V$25)</f>
        <v/>
      </c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>
      <c r="A27" s="1" t="n"/>
      <c r="B27" s="122">
        <f>IF(D27="","",INDEX(Payments!$E$6:$E$1205,D27))</f>
        <v/>
      </c>
      <c r="C27" s="123">
        <f>IF(D27="","",INDEX(Payments!$U$6:$U$1205,D27))</f>
        <v/>
      </c>
      <c r="D27" s="1">
        <f>IFERROR(_xlfn.AGGREGATE(15,6,(ROW(Payments!$P$6:$P$1205)-5)/(Payments!$P$6:$P$1205=D$25),2),"")</f>
        <v/>
      </c>
      <c r="E27" s="122">
        <f>IF(G27="","",INDEX(Payments!$E$6:$E$1205,G27))</f>
        <v/>
      </c>
      <c r="F27" s="123">
        <f>IF(G27="","",INDEX(Payments!$U$6:$U$1205,G27))</f>
        <v/>
      </c>
      <c r="G27" s="1">
        <f>IFERROR(_xlfn.AGGREGATE(15,6,(ROW(Payments!$P$6:$P$1205)-5)/(Payments!$P$6:$P$1205=G$25),2),"")</f>
        <v/>
      </c>
      <c r="H27" s="122">
        <f>IF(J27="","",INDEX(Payments!$E$6:$E$1205,J27))</f>
        <v/>
      </c>
      <c r="I27" s="123">
        <f>IF(J27="","",INDEX(Payments!$U$6:$U$1205,J27))</f>
        <v/>
      </c>
      <c r="J27" s="1">
        <f>IFERROR(_xlfn.AGGREGATE(15,6,(ROW(Payments!$P$6:$P$1205)-5)/(Payments!$P$6:$P$1205=J$25),2),"")</f>
        <v/>
      </c>
      <c r="K27" s="122">
        <f>IF(M27="","",INDEX(Payments!$E$6:$E$1205,M27))</f>
        <v/>
      </c>
      <c r="L27" s="123">
        <f>IF(M27="","",INDEX(Payments!$U$6:$U$1205,M27))</f>
        <v/>
      </c>
      <c r="M27" s="1">
        <f>IFERROR(_xlfn.AGGREGATE(15,6,(ROW(Payments!$P$6:$P$1205)-5)/(Payments!$P$6:$P$1205=M$25),2),"")</f>
        <v/>
      </c>
      <c r="N27" s="122">
        <f>IF(P27="","",INDEX(Payments!$E$6:$E$1205,P27))</f>
        <v/>
      </c>
      <c r="O27" s="123">
        <f>IF(P27="","",INDEX(Payments!$U$6:$U$1205,P27))</f>
        <v/>
      </c>
      <c r="P27" s="1">
        <f>IFERROR(_xlfn.AGGREGATE(15,6,(ROW(Payments!$P$6:$P$1205)-5)/(Payments!$P$6:$P$1205=P$25),2),"")</f>
        <v/>
      </c>
      <c r="Q27" s="122">
        <f>IF(S27="","",INDEX(Payments!$E$6:$E$1205,S27))</f>
        <v/>
      </c>
      <c r="R27" s="123">
        <f>IF(S27="","",INDEX(Payments!$U$6:$U$1205,S27))</f>
        <v/>
      </c>
      <c r="S27" s="1">
        <f>IFERROR(_xlfn.AGGREGATE(15,6,(ROW(Payments!$P$6:$P$1205)-5)/(Payments!$P$6:$P$1205=S$25),2),"")</f>
        <v/>
      </c>
      <c r="T27" s="122">
        <f>IF(V27="","",INDEX(Payments!$E$6:$E$1205,V27))</f>
        <v/>
      </c>
      <c r="U27" s="123">
        <f>IF(V27="","",INDEX(Payments!$U$6:$U$1205,V27))</f>
        <v/>
      </c>
      <c r="V27" s="1">
        <f>IFERROR(_xlfn.AGGREGATE(15,6,(ROW(Payments!$P$6:$P$1205)-5)/(Payments!$P$6:$P$1205=V$25),2),"")</f>
        <v/>
      </c>
      <c r="W27" s="1" t="n"/>
      <c r="X27" s="125" t="inlineStr">
        <is>
          <t>– Bills &amp; Subs</t>
        </is>
      </c>
      <c r="Y27" s="98">
        <f>SUMIFS(Payments!$U$6:$U$1205,Payments!$I$6:$I$1205,"Bills",Payments!$P$6:$P$1205,"&gt;="&amp;$D$25,Payments!$P$6:$P$1205,"&lt;="&amp;$V$25)+SUMIFS(Payments!$U$6:$U$1205,Payments!$I$6:$I$1205,"Subscriptions",Payments!$P$6:$P$1205,"&gt;="&amp;$D$25,Payments!$P$6:$P$1205,"&lt;="&amp;$V$25)</f>
        <v/>
      </c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>
      <c r="A28" s="1" t="n"/>
      <c r="B28" s="122">
        <f>IF(D28="","",INDEX(Payments!$E$6:$E$1205,D28))</f>
        <v/>
      </c>
      <c r="C28" s="123">
        <f>IF(D28="","",INDEX(Payments!$U$6:$U$1205,D28))</f>
        <v/>
      </c>
      <c r="D28" s="1">
        <f>IFERROR(_xlfn.AGGREGATE(15,6,(ROW(Payments!$P$6:$P$1205)-5)/(Payments!$P$6:$P$1205=D$25),3),"")</f>
        <v/>
      </c>
      <c r="E28" s="122">
        <f>IF(G28="","",INDEX(Payments!$E$6:$E$1205,G28))</f>
        <v/>
      </c>
      <c r="F28" s="123">
        <f>IF(G28="","",INDEX(Payments!$U$6:$U$1205,G28))</f>
        <v/>
      </c>
      <c r="G28" s="1">
        <f>IFERROR(_xlfn.AGGREGATE(15,6,(ROW(Payments!$P$6:$P$1205)-5)/(Payments!$P$6:$P$1205=G$25),3),"")</f>
        <v/>
      </c>
      <c r="H28" s="122">
        <f>IF(J28="","",INDEX(Payments!$E$6:$E$1205,J28))</f>
        <v/>
      </c>
      <c r="I28" s="123">
        <f>IF(J28="","",INDEX(Payments!$U$6:$U$1205,J28))</f>
        <v/>
      </c>
      <c r="J28" s="1">
        <f>IFERROR(_xlfn.AGGREGATE(15,6,(ROW(Payments!$P$6:$P$1205)-5)/(Payments!$P$6:$P$1205=J$25),3),"")</f>
        <v/>
      </c>
      <c r="K28" s="122">
        <f>IF(M28="","",INDEX(Payments!$E$6:$E$1205,M28))</f>
        <v/>
      </c>
      <c r="L28" s="123">
        <f>IF(M28="","",INDEX(Payments!$U$6:$U$1205,M28))</f>
        <v/>
      </c>
      <c r="M28" s="1">
        <f>IFERROR(_xlfn.AGGREGATE(15,6,(ROW(Payments!$P$6:$P$1205)-5)/(Payments!$P$6:$P$1205=M$25),3),"")</f>
        <v/>
      </c>
      <c r="N28" s="122">
        <f>IF(P28="","",INDEX(Payments!$E$6:$E$1205,P28))</f>
        <v/>
      </c>
      <c r="O28" s="123">
        <f>IF(P28="","",INDEX(Payments!$U$6:$U$1205,P28))</f>
        <v/>
      </c>
      <c r="P28" s="1">
        <f>IFERROR(_xlfn.AGGREGATE(15,6,(ROW(Payments!$P$6:$P$1205)-5)/(Payments!$P$6:$P$1205=P$25),3),"")</f>
        <v/>
      </c>
      <c r="Q28" s="122">
        <f>IF(S28="","",INDEX(Payments!$E$6:$E$1205,S28))</f>
        <v/>
      </c>
      <c r="R28" s="123">
        <f>IF(S28="","",INDEX(Payments!$U$6:$U$1205,S28))</f>
        <v/>
      </c>
      <c r="S28" s="1">
        <f>IFERROR(_xlfn.AGGREGATE(15,6,(ROW(Payments!$P$6:$P$1205)-5)/(Payments!$P$6:$P$1205=S$25),3),"")</f>
        <v/>
      </c>
      <c r="T28" s="122">
        <f>IF(V28="","",INDEX(Payments!$E$6:$E$1205,V28))</f>
        <v/>
      </c>
      <c r="U28" s="123">
        <f>IF(V28="","",INDEX(Payments!$U$6:$U$1205,V28))</f>
        <v/>
      </c>
      <c r="V28" s="1">
        <f>IFERROR(_xlfn.AGGREGATE(15,6,(ROW(Payments!$P$6:$P$1205)-5)/(Payments!$P$6:$P$1205=V$25),3),"")</f>
        <v/>
      </c>
      <c r="W28" s="1" t="n"/>
      <c r="X28" s="126" t="inlineStr">
        <is>
          <t>– Debt</t>
        </is>
      </c>
      <c r="Y28" s="98">
        <f>SUMIFS(Payments!$U$6:$U$1205,Payments!$I$6:$I$1205,"Debt",Payments!$P$6:$P$1205,"&gt;="&amp;$D$25,Payments!$P$6:$P$1205,"&lt;="&amp;$V$25)</f>
        <v/>
      </c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>
      <c r="A29" s="1" t="n"/>
      <c r="B29" s="122">
        <f>IF(D29="","",INDEX(Payments!$E$6:$E$1205,D29))</f>
        <v/>
      </c>
      <c r="C29" s="123">
        <f>IF(D29="","",INDEX(Payments!$U$6:$U$1205,D29))</f>
        <v/>
      </c>
      <c r="D29" s="1">
        <f>IFERROR(_xlfn.AGGREGATE(15,6,(ROW(Payments!$P$6:$P$1205)-5)/(Payments!$P$6:$P$1205=D$25),4),"")</f>
        <v/>
      </c>
      <c r="E29" s="122">
        <f>IF(G29="","",INDEX(Payments!$E$6:$E$1205,G29))</f>
        <v/>
      </c>
      <c r="F29" s="123">
        <f>IF(G29="","",INDEX(Payments!$U$6:$U$1205,G29))</f>
        <v/>
      </c>
      <c r="G29" s="1">
        <f>IFERROR(_xlfn.AGGREGATE(15,6,(ROW(Payments!$P$6:$P$1205)-5)/(Payments!$P$6:$P$1205=G$25),4),"")</f>
        <v/>
      </c>
      <c r="H29" s="122">
        <f>IF(J29="","",INDEX(Payments!$E$6:$E$1205,J29))</f>
        <v/>
      </c>
      <c r="I29" s="123">
        <f>IF(J29="","",INDEX(Payments!$U$6:$U$1205,J29))</f>
        <v/>
      </c>
      <c r="J29" s="1">
        <f>IFERROR(_xlfn.AGGREGATE(15,6,(ROW(Payments!$P$6:$P$1205)-5)/(Payments!$P$6:$P$1205=J$25),4),"")</f>
        <v/>
      </c>
      <c r="K29" s="122">
        <f>IF(M29="","",INDEX(Payments!$E$6:$E$1205,M29))</f>
        <v/>
      </c>
      <c r="L29" s="123">
        <f>IF(M29="","",INDEX(Payments!$U$6:$U$1205,M29))</f>
        <v/>
      </c>
      <c r="M29" s="1">
        <f>IFERROR(_xlfn.AGGREGATE(15,6,(ROW(Payments!$P$6:$P$1205)-5)/(Payments!$P$6:$P$1205=M$25),4),"")</f>
        <v/>
      </c>
      <c r="N29" s="122">
        <f>IF(P29="","",INDEX(Payments!$E$6:$E$1205,P29))</f>
        <v/>
      </c>
      <c r="O29" s="123">
        <f>IF(P29="","",INDEX(Payments!$U$6:$U$1205,P29))</f>
        <v/>
      </c>
      <c r="P29" s="1">
        <f>IFERROR(_xlfn.AGGREGATE(15,6,(ROW(Payments!$P$6:$P$1205)-5)/(Payments!$P$6:$P$1205=P$25),4),"")</f>
        <v/>
      </c>
      <c r="Q29" s="122">
        <f>IF(S29="","",INDEX(Payments!$E$6:$E$1205,S29))</f>
        <v/>
      </c>
      <c r="R29" s="123">
        <f>IF(S29="","",INDEX(Payments!$U$6:$U$1205,S29))</f>
        <v/>
      </c>
      <c r="S29" s="1">
        <f>IFERROR(_xlfn.AGGREGATE(15,6,(ROW(Payments!$P$6:$P$1205)-5)/(Payments!$P$6:$P$1205=S$25),4),"")</f>
        <v/>
      </c>
      <c r="T29" s="122">
        <f>IF(V29="","",INDEX(Payments!$E$6:$E$1205,V29))</f>
        <v/>
      </c>
      <c r="U29" s="123">
        <f>IF(V29="","",INDEX(Payments!$U$6:$U$1205,V29))</f>
        <v/>
      </c>
      <c r="V29" s="1">
        <f>IFERROR(_xlfn.AGGREGATE(15,6,(ROW(Payments!$P$6:$P$1205)-5)/(Payments!$P$6:$P$1205=V$25),4),"")</f>
        <v/>
      </c>
      <c r="W29" s="1" t="n"/>
      <c r="X29" s="127" t="inlineStr">
        <is>
          <t>– Savings</t>
        </is>
      </c>
      <c r="Y29" s="98">
        <f>SUMIFS(Payments!$U$6:$U$1205,Payments!$I$6:$I$1205,"Savings",Payments!$P$6:$P$1205,"&gt;="&amp;$D$25,Payments!$P$6:$P$1205,"&lt;="&amp;$V$25)</f>
        <v/>
      </c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>
      <c r="A30" s="1" t="n"/>
      <c r="B30" s="128">
        <f>IF(D30="","",INDEX(Payments!$E$6:$E$1205,D30))</f>
        <v/>
      </c>
      <c r="C30" s="129">
        <f>IF(D30="","",INDEX(Payments!$U$6:$U$1205,D30))</f>
        <v/>
      </c>
      <c r="D30" s="1">
        <f>IFERROR(_xlfn.AGGREGATE(15,6,(ROW(Payments!$P$6:$P$1205)-5)/(Payments!$P$6:$P$1205=D$25),5),"")</f>
        <v/>
      </c>
      <c r="E30" s="128">
        <f>IF(G30="","",INDEX(Payments!$E$6:$E$1205,G30))</f>
        <v/>
      </c>
      <c r="F30" s="129">
        <f>IF(G30="","",INDEX(Payments!$U$6:$U$1205,G30))</f>
        <v/>
      </c>
      <c r="G30" s="1">
        <f>IFERROR(_xlfn.AGGREGATE(15,6,(ROW(Payments!$P$6:$P$1205)-5)/(Payments!$P$6:$P$1205=G$25),5),"")</f>
        <v/>
      </c>
      <c r="H30" s="128">
        <f>IF(J30="","",INDEX(Payments!$E$6:$E$1205,J30))</f>
        <v/>
      </c>
      <c r="I30" s="129">
        <f>IF(J30="","",INDEX(Payments!$U$6:$U$1205,J30))</f>
        <v/>
      </c>
      <c r="J30" s="1">
        <f>IFERROR(_xlfn.AGGREGATE(15,6,(ROW(Payments!$P$6:$P$1205)-5)/(Payments!$P$6:$P$1205=J$25),5),"")</f>
        <v/>
      </c>
      <c r="K30" s="128">
        <f>IF(M30="","",INDEX(Payments!$E$6:$E$1205,M30))</f>
        <v/>
      </c>
      <c r="L30" s="129">
        <f>IF(M30="","",INDEX(Payments!$U$6:$U$1205,M30))</f>
        <v/>
      </c>
      <c r="M30" s="1">
        <f>IFERROR(_xlfn.AGGREGATE(15,6,(ROW(Payments!$P$6:$P$1205)-5)/(Payments!$P$6:$P$1205=M$25),5),"")</f>
        <v/>
      </c>
      <c r="N30" s="128">
        <f>IF(P30="","",INDEX(Payments!$E$6:$E$1205,P30))</f>
        <v/>
      </c>
      <c r="O30" s="129">
        <f>IF(P30="","",INDEX(Payments!$U$6:$U$1205,P30))</f>
        <v/>
      </c>
      <c r="P30" s="1">
        <f>IFERROR(_xlfn.AGGREGATE(15,6,(ROW(Payments!$P$6:$P$1205)-5)/(Payments!$P$6:$P$1205=P$25),5),"")</f>
        <v/>
      </c>
      <c r="Q30" s="128">
        <f>IF(S30="","",INDEX(Payments!$E$6:$E$1205,S30))</f>
        <v/>
      </c>
      <c r="R30" s="129">
        <f>IF(S30="","",INDEX(Payments!$U$6:$U$1205,S30))</f>
        <v/>
      </c>
      <c r="S30" s="1">
        <f>IFERROR(_xlfn.AGGREGATE(15,6,(ROW(Payments!$P$6:$P$1205)-5)/(Payments!$P$6:$P$1205=S$25),5),"")</f>
        <v/>
      </c>
      <c r="T30" s="128">
        <f>IF(V30="","",INDEX(Payments!$E$6:$E$1205,V30))</f>
        <v/>
      </c>
      <c r="U30" s="129">
        <f>IF(V30="","",INDEX(Payments!$U$6:$U$1205,V30))</f>
        <v/>
      </c>
      <c r="V30" s="1">
        <f>IFERROR(_xlfn.AGGREGATE(15,6,(ROW(Payments!$P$6:$P$1205)-5)/(Payments!$P$6:$P$1205=V$25),5),"")</f>
        <v/>
      </c>
      <c r="W30" s="1" t="n"/>
      <c r="X30" s="130" t="inlineStr">
        <is>
          <t>End balance</t>
        </is>
      </c>
      <c r="Y30" s="131">
        <f>$R$4+SUMIFS(Payments!$U$6:$U$1205,Payments!$I$6:$I$1205,"Income",Payments!$P$6:$P$1205,"&gt;="&amp;$R$3,Payments!$P$6:$P$1205,"&lt;="&amp;$V$25)-SUMIFS(Payments!$U$6:$U$1205,Payments!$I$6:$I$1205,"&lt;&gt;Income",Payments!$P$6:$P$1205,"&gt;="&amp;$R$3,Payments!$P$6:$P$1205,"&lt;="&amp;$V$25)</f>
        <v/>
      </c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  <row r="31" ht="18" customHeight="1">
      <c r="A31" s="1" t="n"/>
      <c r="B31" s="118">
        <f>DAY(D31)</f>
        <v/>
      </c>
      <c r="C31" s="119">
        <f>IF(MONTH(D31)&lt;&gt;MONTH($R$2),"",$R$4+SUMIFS(Payments!$U$6:$U$1205,Payments!$I$6:$I$1205,"Income",Payments!$P$6:$P$1205,"&gt;="&amp;$R$3,Payments!$P$6:$P$1205,"&lt;="&amp;D31)-SUMIFS(Payments!$U$6:$U$1205,Payments!$I$6:$I$1205,"&lt;&gt;Income",Payments!$P$6:$P$1205,"&gt;="&amp;$R$3,Payments!$P$6:$P$1205,"&lt;="&amp;D31))</f>
        <v/>
      </c>
      <c r="D31" s="120">
        <f>$R$3+28</f>
        <v/>
      </c>
      <c r="E31" s="118">
        <f>DAY(G31)</f>
        <v/>
      </c>
      <c r="F31" s="119">
        <f>IF(MONTH(G31)&lt;&gt;MONTH($R$2),"",$R$4+SUMIFS(Payments!$U$6:$U$1205,Payments!$I$6:$I$1205,"Income",Payments!$P$6:$P$1205,"&gt;="&amp;$R$3,Payments!$P$6:$P$1205,"&lt;="&amp;G31)-SUMIFS(Payments!$U$6:$U$1205,Payments!$I$6:$I$1205,"&lt;&gt;Income",Payments!$P$6:$P$1205,"&gt;="&amp;$R$3,Payments!$P$6:$P$1205,"&lt;="&amp;G31))</f>
        <v/>
      </c>
      <c r="G31" s="120">
        <f>$R$3+29</f>
        <v/>
      </c>
      <c r="H31" s="118">
        <f>DAY(J31)</f>
        <v/>
      </c>
      <c r="I31" s="119">
        <f>IF(MONTH(J31)&lt;&gt;MONTH($R$2),"",$R$4+SUMIFS(Payments!$U$6:$U$1205,Payments!$I$6:$I$1205,"Income",Payments!$P$6:$P$1205,"&gt;="&amp;$R$3,Payments!$P$6:$P$1205,"&lt;="&amp;J31)-SUMIFS(Payments!$U$6:$U$1205,Payments!$I$6:$I$1205,"&lt;&gt;Income",Payments!$P$6:$P$1205,"&gt;="&amp;$R$3,Payments!$P$6:$P$1205,"&lt;="&amp;J31))</f>
        <v/>
      </c>
      <c r="J31" s="120">
        <f>$R$3+30</f>
        <v/>
      </c>
      <c r="K31" s="118">
        <f>DAY(M31)</f>
        <v/>
      </c>
      <c r="L31" s="119">
        <f>IF(MONTH(M31)&lt;&gt;MONTH($R$2),"",$R$4+SUMIFS(Payments!$U$6:$U$1205,Payments!$I$6:$I$1205,"Income",Payments!$P$6:$P$1205,"&gt;="&amp;$R$3,Payments!$P$6:$P$1205,"&lt;="&amp;M31)-SUMIFS(Payments!$U$6:$U$1205,Payments!$I$6:$I$1205,"&lt;&gt;Income",Payments!$P$6:$P$1205,"&gt;="&amp;$R$3,Payments!$P$6:$P$1205,"&lt;="&amp;M31))</f>
        <v/>
      </c>
      <c r="M31" s="120">
        <f>$R$3+31</f>
        <v/>
      </c>
      <c r="N31" s="118">
        <f>DAY(P31)</f>
        <v/>
      </c>
      <c r="O31" s="119">
        <f>IF(MONTH(P31)&lt;&gt;MONTH($R$2),"",$R$4+SUMIFS(Payments!$U$6:$U$1205,Payments!$I$6:$I$1205,"Income",Payments!$P$6:$P$1205,"&gt;="&amp;$R$3,Payments!$P$6:$P$1205,"&lt;="&amp;P31)-SUMIFS(Payments!$U$6:$U$1205,Payments!$I$6:$I$1205,"&lt;&gt;Income",Payments!$P$6:$P$1205,"&gt;="&amp;$R$3,Payments!$P$6:$P$1205,"&lt;="&amp;P31))</f>
        <v/>
      </c>
      <c r="P31" s="120">
        <f>$R$3+32</f>
        <v/>
      </c>
      <c r="Q31" s="118">
        <f>DAY(S31)</f>
        <v/>
      </c>
      <c r="R31" s="119">
        <f>IF(MONTH(S31)&lt;&gt;MONTH($R$2),"",$R$4+SUMIFS(Payments!$U$6:$U$1205,Payments!$I$6:$I$1205,"Income",Payments!$P$6:$P$1205,"&gt;="&amp;$R$3,Payments!$P$6:$P$1205,"&lt;="&amp;S31)-SUMIFS(Payments!$U$6:$U$1205,Payments!$I$6:$I$1205,"&lt;&gt;Income",Payments!$P$6:$P$1205,"&gt;="&amp;$R$3,Payments!$P$6:$P$1205,"&lt;="&amp;S31))</f>
        <v/>
      </c>
      <c r="S31" s="120">
        <f>$R$3+33</f>
        <v/>
      </c>
      <c r="T31" s="118">
        <f>DAY(V31)</f>
        <v/>
      </c>
      <c r="U31" s="119">
        <f>IF(MONTH(V31)&lt;&gt;MONTH($R$2),"",$R$4+SUMIFS(Payments!$U$6:$U$1205,Payments!$I$6:$I$1205,"Income",Payments!$P$6:$P$1205,"&gt;="&amp;$R$3,Payments!$P$6:$P$1205,"&lt;="&amp;V31)-SUMIFS(Payments!$U$6:$U$1205,Payments!$I$6:$I$1205,"&lt;&gt;Income",Payments!$P$6:$P$1205,"&gt;="&amp;$R$3,Payments!$P$6:$P$1205,"&lt;="&amp;V31))</f>
        <v/>
      </c>
      <c r="V31" s="120">
        <f>$R$3+34</f>
        <v/>
      </c>
      <c r="W31" s="1" t="n"/>
      <c r="X31" s="121">
        <f>"WEEK 5"</f>
        <v/>
      </c>
      <c r="Y31" s="112">
        <f>TEXT($D$31,"d mmm")&amp;" – "&amp;TEXT($V$31,"d mmm")</f>
        <v/>
      </c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>
      <c r="A32" s="1" t="n"/>
      <c r="B32" s="122">
        <f>IF(D32="","",INDEX(Payments!$E$6:$E$1205,D32))</f>
        <v/>
      </c>
      <c r="C32" s="123">
        <f>IF(D32="","",INDEX(Payments!$U$6:$U$1205,D32))</f>
        <v/>
      </c>
      <c r="D32" s="1">
        <f>IFERROR(_xlfn.AGGREGATE(15,6,(ROW(Payments!$P$6:$P$1205)-5)/(Payments!$P$6:$P$1205=D$31),1),"")</f>
        <v/>
      </c>
      <c r="E32" s="122">
        <f>IF(G32="","",INDEX(Payments!$E$6:$E$1205,G32))</f>
        <v/>
      </c>
      <c r="F32" s="123">
        <f>IF(G32="","",INDEX(Payments!$U$6:$U$1205,G32))</f>
        <v/>
      </c>
      <c r="G32" s="1">
        <f>IFERROR(_xlfn.AGGREGATE(15,6,(ROW(Payments!$P$6:$P$1205)-5)/(Payments!$P$6:$P$1205=G$31),1),"")</f>
        <v/>
      </c>
      <c r="H32" s="122">
        <f>IF(J32="","",INDEX(Payments!$E$6:$E$1205,J32))</f>
        <v/>
      </c>
      <c r="I32" s="123">
        <f>IF(J32="","",INDEX(Payments!$U$6:$U$1205,J32))</f>
        <v/>
      </c>
      <c r="J32" s="1">
        <f>IFERROR(_xlfn.AGGREGATE(15,6,(ROW(Payments!$P$6:$P$1205)-5)/(Payments!$P$6:$P$1205=J$31),1),"")</f>
        <v/>
      </c>
      <c r="K32" s="122">
        <f>IF(M32="","",INDEX(Payments!$E$6:$E$1205,M32))</f>
        <v/>
      </c>
      <c r="L32" s="123">
        <f>IF(M32="","",INDEX(Payments!$U$6:$U$1205,M32))</f>
        <v/>
      </c>
      <c r="M32" s="1">
        <f>IFERROR(_xlfn.AGGREGATE(15,6,(ROW(Payments!$P$6:$P$1205)-5)/(Payments!$P$6:$P$1205=M$31),1),"")</f>
        <v/>
      </c>
      <c r="N32" s="122">
        <f>IF(P32="","",INDEX(Payments!$E$6:$E$1205,P32))</f>
        <v/>
      </c>
      <c r="O32" s="123">
        <f>IF(P32="","",INDEX(Payments!$U$6:$U$1205,P32))</f>
        <v/>
      </c>
      <c r="P32" s="1">
        <f>IFERROR(_xlfn.AGGREGATE(15,6,(ROW(Payments!$P$6:$P$1205)-5)/(Payments!$P$6:$P$1205=P$31),1),"")</f>
        <v/>
      </c>
      <c r="Q32" s="122">
        <f>IF(S32="","",INDEX(Payments!$E$6:$E$1205,S32))</f>
        <v/>
      </c>
      <c r="R32" s="123">
        <f>IF(S32="","",INDEX(Payments!$U$6:$U$1205,S32))</f>
        <v/>
      </c>
      <c r="S32" s="1">
        <f>IFERROR(_xlfn.AGGREGATE(15,6,(ROW(Payments!$P$6:$P$1205)-5)/(Payments!$P$6:$P$1205=S$31),1),"")</f>
        <v/>
      </c>
      <c r="T32" s="122">
        <f>IF(V32="","",INDEX(Payments!$E$6:$E$1205,V32))</f>
        <v/>
      </c>
      <c r="U32" s="123">
        <f>IF(V32="","",INDEX(Payments!$U$6:$U$1205,V32))</f>
        <v/>
      </c>
      <c r="V32" s="1">
        <f>IFERROR(_xlfn.AGGREGATE(15,6,(ROW(Payments!$P$6:$P$1205)-5)/(Payments!$P$6:$P$1205=V$31),1),"")</f>
        <v/>
      </c>
      <c r="W32" s="1" t="n"/>
      <c r="X32" s="124" t="inlineStr">
        <is>
          <t>+ Income</t>
        </is>
      </c>
      <c r="Y32" s="98">
        <f>SUMIFS(Payments!$U$6:$U$1205,Payments!$I$6:$I$1205,"Income",Payments!$P$6:$P$1205,"&gt;="&amp;$D$31,Payments!$P$6:$P$1205,"&lt;="&amp;$V$31)</f>
        <v/>
      </c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>
      <c r="A33" s="1" t="n"/>
      <c r="B33" s="122">
        <f>IF(D33="","",INDEX(Payments!$E$6:$E$1205,D33))</f>
        <v/>
      </c>
      <c r="C33" s="123">
        <f>IF(D33="","",INDEX(Payments!$U$6:$U$1205,D33))</f>
        <v/>
      </c>
      <c r="D33" s="1">
        <f>IFERROR(_xlfn.AGGREGATE(15,6,(ROW(Payments!$P$6:$P$1205)-5)/(Payments!$P$6:$P$1205=D$31),2),"")</f>
        <v/>
      </c>
      <c r="E33" s="122">
        <f>IF(G33="","",INDEX(Payments!$E$6:$E$1205,G33))</f>
        <v/>
      </c>
      <c r="F33" s="123">
        <f>IF(G33="","",INDEX(Payments!$U$6:$U$1205,G33))</f>
        <v/>
      </c>
      <c r="G33" s="1">
        <f>IFERROR(_xlfn.AGGREGATE(15,6,(ROW(Payments!$P$6:$P$1205)-5)/(Payments!$P$6:$P$1205=G$31),2),"")</f>
        <v/>
      </c>
      <c r="H33" s="122">
        <f>IF(J33="","",INDEX(Payments!$E$6:$E$1205,J33))</f>
        <v/>
      </c>
      <c r="I33" s="123">
        <f>IF(J33="","",INDEX(Payments!$U$6:$U$1205,J33))</f>
        <v/>
      </c>
      <c r="J33" s="1">
        <f>IFERROR(_xlfn.AGGREGATE(15,6,(ROW(Payments!$P$6:$P$1205)-5)/(Payments!$P$6:$P$1205=J$31),2),"")</f>
        <v/>
      </c>
      <c r="K33" s="122">
        <f>IF(M33="","",INDEX(Payments!$E$6:$E$1205,M33))</f>
        <v/>
      </c>
      <c r="L33" s="123">
        <f>IF(M33="","",INDEX(Payments!$U$6:$U$1205,M33))</f>
        <v/>
      </c>
      <c r="M33" s="1">
        <f>IFERROR(_xlfn.AGGREGATE(15,6,(ROW(Payments!$P$6:$P$1205)-5)/(Payments!$P$6:$P$1205=M$31),2),"")</f>
        <v/>
      </c>
      <c r="N33" s="122">
        <f>IF(P33="","",INDEX(Payments!$E$6:$E$1205,P33))</f>
        <v/>
      </c>
      <c r="O33" s="123">
        <f>IF(P33="","",INDEX(Payments!$U$6:$U$1205,P33))</f>
        <v/>
      </c>
      <c r="P33" s="1">
        <f>IFERROR(_xlfn.AGGREGATE(15,6,(ROW(Payments!$P$6:$P$1205)-5)/(Payments!$P$6:$P$1205=P$31),2),"")</f>
        <v/>
      </c>
      <c r="Q33" s="122">
        <f>IF(S33="","",INDEX(Payments!$E$6:$E$1205,S33))</f>
        <v/>
      </c>
      <c r="R33" s="123">
        <f>IF(S33="","",INDEX(Payments!$U$6:$U$1205,S33))</f>
        <v/>
      </c>
      <c r="S33" s="1">
        <f>IFERROR(_xlfn.AGGREGATE(15,6,(ROW(Payments!$P$6:$P$1205)-5)/(Payments!$P$6:$P$1205=S$31),2),"")</f>
        <v/>
      </c>
      <c r="T33" s="122">
        <f>IF(V33="","",INDEX(Payments!$E$6:$E$1205,V33))</f>
        <v/>
      </c>
      <c r="U33" s="123">
        <f>IF(V33="","",INDEX(Payments!$U$6:$U$1205,V33))</f>
        <v/>
      </c>
      <c r="V33" s="1">
        <f>IFERROR(_xlfn.AGGREGATE(15,6,(ROW(Payments!$P$6:$P$1205)-5)/(Payments!$P$6:$P$1205=V$31),2),"")</f>
        <v/>
      </c>
      <c r="W33" s="1" t="n"/>
      <c r="X33" s="125" t="inlineStr">
        <is>
          <t>– Bills &amp; Subs</t>
        </is>
      </c>
      <c r="Y33" s="98">
        <f>SUMIFS(Payments!$U$6:$U$1205,Payments!$I$6:$I$1205,"Bills",Payments!$P$6:$P$1205,"&gt;="&amp;$D$31,Payments!$P$6:$P$1205,"&lt;="&amp;$V$31)+SUMIFS(Payments!$U$6:$U$1205,Payments!$I$6:$I$1205,"Subscriptions",Payments!$P$6:$P$1205,"&gt;="&amp;$D$31,Payments!$P$6:$P$1205,"&lt;="&amp;$V$31)</f>
        <v/>
      </c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>
      <c r="A34" s="1" t="n"/>
      <c r="B34" s="122">
        <f>IF(D34="","",INDEX(Payments!$E$6:$E$1205,D34))</f>
        <v/>
      </c>
      <c r="C34" s="123">
        <f>IF(D34="","",INDEX(Payments!$U$6:$U$1205,D34))</f>
        <v/>
      </c>
      <c r="D34" s="1">
        <f>IFERROR(_xlfn.AGGREGATE(15,6,(ROW(Payments!$P$6:$P$1205)-5)/(Payments!$P$6:$P$1205=D$31),3),"")</f>
        <v/>
      </c>
      <c r="E34" s="122">
        <f>IF(G34="","",INDEX(Payments!$E$6:$E$1205,G34))</f>
        <v/>
      </c>
      <c r="F34" s="123">
        <f>IF(G34="","",INDEX(Payments!$U$6:$U$1205,G34))</f>
        <v/>
      </c>
      <c r="G34" s="1">
        <f>IFERROR(_xlfn.AGGREGATE(15,6,(ROW(Payments!$P$6:$P$1205)-5)/(Payments!$P$6:$P$1205=G$31),3),"")</f>
        <v/>
      </c>
      <c r="H34" s="122">
        <f>IF(J34="","",INDEX(Payments!$E$6:$E$1205,J34))</f>
        <v/>
      </c>
      <c r="I34" s="123">
        <f>IF(J34="","",INDEX(Payments!$U$6:$U$1205,J34))</f>
        <v/>
      </c>
      <c r="J34" s="1">
        <f>IFERROR(_xlfn.AGGREGATE(15,6,(ROW(Payments!$P$6:$P$1205)-5)/(Payments!$P$6:$P$1205=J$31),3),"")</f>
        <v/>
      </c>
      <c r="K34" s="122">
        <f>IF(M34="","",INDEX(Payments!$E$6:$E$1205,M34))</f>
        <v/>
      </c>
      <c r="L34" s="123">
        <f>IF(M34="","",INDEX(Payments!$U$6:$U$1205,M34))</f>
        <v/>
      </c>
      <c r="M34" s="1">
        <f>IFERROR(_xlfn.AGGREGATE(15,6,(ROW(Payments!$P$6:$P$1205)-5)/(Payments!$P$6:$P$1205=M$31),3),"")</f>
        <v/>
      </c>
      <c r="N34" s="122">
        <f>IF(P34="","",INDEX(Payments!$E$6:$E$1205,P34))</f>
        <v/>
      </c>
      <c r="O34" s="123">
        <f>IF(P34="","",INDEX(Payments!$U$6:$U$1205,P34))</f>
        <v/>
      </c>
      <c r="P34" s="1">
        <f>IFERROR(_xlfn.AGGREGATE(15,6,(ROW(Payments!$P$6:$P$1205)-5)/(Payments!$P$6:$P$1205=P$31),3),"")</f>
        <v/>
      </c>
      <c r="Q34" s="122">
        <f>IF(S34="","",INDEX(Payments!$E$6:$E$1205,S34))</f>
        <v/>
      </c>
      <c r="R34" s="123">
        <f>IF(S34="","",INDEX(Payments!$U$6:$U$1205,S34))</f>
        <v/>
      </c>
      <c r="S34" s="1">
        <f>IFERROR(_xlfn.AGGREGATE(15,6,(ROW(Payments!$P$6:$P$1205)-5)/(Payments!$P$6:$P$1205=S$31),3),"")</f>
        <v/>
      </c>
      <c r="T34" s="122">
        <f>IF(V34="","",INDEX(Payments!$E$6:$E$1205,V34))</f>
        <v/>
      </c>
      <c r="U34" s="123">
        <f>IF(V34="","",INDEX(Payments!$U$6:$U$1205,V34))</f>
        <v/>
      </c>
      <c r="V34" s="1">
        <f>IFERROR(_xlfn.AGGREGATE(15,6,(ROW(Payments!$P$6:$P$1205)-5)/(Payments!$P$6:$P$1205=V$31),3),"")</f>
        <v/>
      </c>
      <c r="W34" s="1" t="n"/>
      <c r="X34" s="126" t="inlineStr">
        <is>
          <t>– Debt</t>
        </is>
      </c>
      <c r="Y34" s="98">
        <f>SUMIFS(Payments!$U$6:$U$1205,Payments!$I$6:$I$1205,"Debt",Payments!$P$6:$P$1205,"&gt;="&amp;$D$31,Payments!$P$6:$P$1205,"&lt;="&amp;$V$31)</f>
        <v/>
      </c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</row>
    <row r="35">
      <c r="A35" s="1" t="n"/>
      <c r="B35" s="122">
        <f>IF(D35="","",INDEX(Payments!$E$6:$E$1205,D35))</f>
        <v/>
      </c>
      <c r="C35" s="123">
        <f>IF(D35="","",INDEX(Payments!$U$6:$U$1205,D35))</f>
        <v/>
      </c>
      <c r="D35" s="1">
        <f>IFERROR(_xlfn.AGGREGATE(15,6,(ROW(Payments!$P$6:$P$1205)-5)/(Payments!$P$6:$P$1205=D$31),4),"")</f>
        <v/>
      </c>
      <c r="E35" s="122">
        <f>IF(G35="","",INDEX(Payments!$E$6:$E$1205,G35))</f>
        <v/>
      </c>
      <c r="F35" s="123">
        <f>IF(G35="","",INDEX(Payments!$U$6:$U$1205,G35))</f>
        <v/>
      </c>
      <c r="G35" s="1">
        <f>IFERROR(_xlfn.AGGREGATE(15,6,(ROW(Payments!$P$6:$P$1205)-5)/(Payments!$P$6:$P$1205=G$31),4),"")</f>
        <v/>
      </c>
      <c r="H35" s="122">
        <f>IF(J35="","",INDEX(Payments!$E$6:$E$1205,J35))</f>
        <v/>
      </c>
      <c r="I35" s="123">
        <f>IF(J35="","",INDEX(Payments!$U$6:$U$1205,J35))</f>
        <v/>
      </c>
      <c r="J35" s="1">
        <f>IFERROR(_xlfn.AGGREGATE(15,6,(ROW(Payments!$P$6:$P$1205)-5)/(Payments!$P$6:$P$1205=J$31),4),"")</f>
        <v/>
      </c>
      <c r="K35" s="122">
        <f>IF(M35="","",INDEX(Payments!$E$6:$E$1205,M35))</f>
        <v/>
      </c>
      <c r="L35" s="123">
        <f>IF(M35="","",INDEX(Payments!$U$6:$U$1205,M35))</f>
        <v/>
      </c>
      <c r="M35" s="1">
        <f>IFERROR(_xlfn.AGGREGATE(15,6,(ROW(Payments!$P$6:$P$1205)-5)/(Payments!$P$6:$P$1205=M$31),4),"")</f>
        <v/>
      </c>
      <c r="N35" s="122">
        <f>IF(P35="","",INDEX(Payments!$E$6:$E$1205,P35))</f>
        <v/>
      </c>
      <c r="O35" s="123">
        <f>IF(P35="","",INDEX(Payments!$U$6:$U$1205,P35))</f>
        <v/>
      </c>
      <c r="P35" s="1">
        <f>IFERROR(_xlfn.AGGREGATE(15,6,(ROW(Payments!$P$6:$P$1205)-5)/(Payments!$P$6:$P$1205=P$31),4),"")</f>
        <v/>
      </c>
      <c r="Q35" s="122">
        <f>IF(S35="","",INDEX(Payments!$E$6:$E$1205,S35))</f>
        <v/>
      </c>
      <c r="R35" s="123">
        <f>IF(S35="","",INDEX(Payments!$U$6:$U$1205,S35))</f>
        <v/>
      </c>
      <c r="S35" s="1">
        <f>IFERROR(_xlfn.AGGREGATE(15,6,(ROW(Payments!$P$6:$P$1205)-5)/(Payments!$P$6:$P$1205=S$31),4),"")</f>
        <v/>
      </c>
      <c r="T35" s="122">
        <f>IF(V35="","",INDEX(Payments!$E$6:$E$1205,V35))</f>
        <v/>
      </c>
      <c r="U35" s="123">
        <f>IF(V35="","",INDEX(Payments!$U$6:$U$1205,V35))</f>
        <v/>
      </c>
      <c r="V35" s="1">
        <f>IFERROR(_xlfn.AGGREGATE(15,6,(ROW(Payments!$P$6:$P$1205)-5)/(Payments!$P$6:$P$1205=V$31),4),"")</f>
        <v/>
      </c>
      <c r="W35" s="1" t="n"/>
      <c r="X35" s="127" t="inlineStr">
        <is>
          <t>– Savings</t>
        </is>
      </c>
      <c r="Y35" s="98">
        <f>SUMIFS(Payments!$U$6:$U$1205,Payments!$I$6:$I$1205,"Savings",Payments!$P$6:$P$1205,"&gt;="&amp;$D$31,Payments!$P$6:$P$1205,"&lt;="&amp;$V$31)</f>
        <v/>
      </c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</row>
    <row r="36">
      <c r="A36" s="1" t="n"/>
      <c r="B36" s="128">
        <f>IF(D36="","",INDEX(Payments!$E$6:$E$1205,D36))</f>
        <v/>
      </c>
      <c r="C36" s="129">
        <f>IF(D36="","",INDEX(Payments!$U$6:$U$1205,D36))</f>
        <v/>
      </c>
      <c r="D36" s="1">
        <f>IFERROR(_xlfn.AGGREGATE(15,6,(ROW(Payments!$P$6:$P$1205)-5)/(Payments!$P$6:$P$1205=D$31),5),"")</f>
        <v/>
      </c>
      <c r="E36" s="128">
        <f>IF(G36="","",INDEX(Payments!$E$6:$E$1205,G36))</f>
        <v/>
      </c>
      <c r="F36" s="129">
        <f>IF(G36="","",INDEX(Payments!$U$6:$U$1205,G36))</f>
        <v/>
      </c>
      <c r="G36" s="1">
        <f>IFERROR(_xlfn.AGGREGATE(15,6,(ROW(Payments!$P$6:$P$1205)-5)/(Payments!$P$6:$P$1205=G$31),5),"")</f>
        <v/>
      </c>
      <c r="H36" s="128">
        <f>IF(J36="","",INDEX(Payments!$E$6:$E$1205,J36))</f>
        <v/>
      </c>
      <c r="I36" s="129">
        <f>IF(J36="","",INDEX(Payments!$U$6:$U$1205,J36))</f>
        <v/>
      </c>
      <c r="J36" s="1">
        <f>IFERROR(_xlfn.AGGREGATE(15,6,(ROW(Payments!$P$6:$P$1205)-5)/(Payments!$P$6:$P$1205=J$31),5),"")</f>
        <v/>
      </c>
      <c r="K36" s="128">
        <f>IF(M36="","",INDEX(Payments!$E$6:$E$1205,M36))</f>
        <v/>
      </c>
      <c r="L36" s="129">
        <f>IF(M36="","",INDEX(Payments!$U$6:$U$1205,M36))</f>
        <v/>
      </c>
      <c r="M36" s="1">
        <f>IFERROR(_xlfn.AGGREGATE(15,6,(ROW(Payments!$P$6:$P$1205)-5)/(Payments!$P$6:$P$1205=M$31),5),"")</f>
        <v/>
      </c>
      <c r="N36" s="128">
        <f>IF(P36="","",INDEX(Payments!$E$6:$E$1205,P36))</f>
        <v/>
      </c>
      <c r="O36" s="129">
        <f>IF(P36="","",INDEX(Payments!$U$6:$U$1205,P36))</f>
        <v/>
      </c>
      <c r="P36" s="1">
        <f>IFERROR(_xlfn.AGGREGATE(15,6,(ROW(Payments!$P$6:$P$1205)-5)/(Payments!$P$6:$P$1205=P$31),5),"")</f>
        <v/>
      </c>
      <c r="Q36" s="128">
        <f>IF(S36="","",INDEX(Payments!$E$6:$E$1205,S36))</f>
        <v/>
      </c>
      <c r="R36" s="129">
        <f>IF(S36="","",INDEX(Payments!$U$6:$U$1205,S36))</f>
        <v/>
      </c>
      <c r="S36" s="1">
        <f>IFERROR(_xlfn.AGGREGATE(15,6,(ROW(Payments!$P$6:$P$1205)-5)/(Payments!$P$6:$P$1205=S$31),5),"")</f>
        <v/>
      </c>
      <c r="T36" s="128">
        <f>IF(V36="","",INDEX(Payments!$E$6:$E$1205,V36))</f>
        <v/>
      </c>
      <c r="U36" s="129">
        <f>IF(V36="","",INDEX(Payments!$U$6:$U$1205,V36))</f>
        <v/>
      </c>
      <c r="V36" s="1">
        <f>IFERROR(_xlfn.AGGREGATE(15,6,(ROW(Payments!$P$6:$P$1205)-5)/(Payments!$P$6:$P$1205=V$31),5),"")</f>
        <v/>
      </c>
      <c r="W36" s="1" t="n"/>
      <c r="X36" s="130" t="inlineStr">
        <is>
          <t>End balance</t>
        </is>
      </c>
      <c r="Y36" s="131">
        <f>$R$4+SUMIFS(Payments!$U$6:$U$1205,Payments!$I$6:$I$1205,"Income",Payments!$P$6:$P$1205,"&gt;="&amp;$R$3,Payments!$P$6:$P$1205,"&lt;="&amp;$V$31)-SUMIFS(Payments!$U$6:$U$1205,Payments!$I$6:$I$1205,"&lt;&gt;Income",Payments!$P$6:$P$1205,"&gt;="&amp;$R$3,Payments!$P$6:$P$1205,"&lt;="&amp;$V$31)</f>
        <v/>
      </c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</row>
    <row r="37" ht="18" customHeight="1">
      <c r="A37" s="1" t="n"/>
      <c r="B37" s="118">
        <f>DAY(D37)</f>
        <v/>
      </c>
      <c r="C37" s="119">
        <f>IF(MONTH(D37)&lt;&gt;MONTH($R$2),"",$R$4+SUMIFS(Payments!$U$6:$U$1205,Payments!$I$6:$I$1205,"Income",Payments!$P$6:$P$1205,"&gt;="&amp;$R$3,Payments!$P$6:$P$1205,"&lt;="&amp;D37)-SUMIFS(Payments!$U$6:$U$1205,Payments!$I$6:$I$1205,"&lt;&gt;Income",Payments!$P$6:$P$1205,"&gt;="&amp;$R$3,Payments!$P$6:$P$1205,"&lt;="&amp;D37))</f>
        <v/>
      </c>
      <c r="D37" s="120">
        <f>$R$3+35</f>
        <v/>
      </c>
      <c r="E37" s="118">
        <f>DAY(G37)</f>
        <v/>
      </c>
      <c r="F37" s="119">
        <f>IF(MONTH(G37)&lt;&gt;MONTH($R$2),"",$R$4+SUMIFS(Payments!$U$6:$U$1205,Payments!$I$6:$I$1205,"Income",Payments!$P$6:$P$1205,"&gt;="&amp;$R$3,Payments!$P$6:$P$1205,"&lt;="&amp;G37)-SUMIFS(Payments!$U$6:$U$1205,Payments!$I$6:$I$1205,"&lt;&gt;Income",Payments!$P$6:$P$1205,"&gt;="&amp;$R$3,Payments!$P$6:$P$1205,"&lt;="&amp;G37))</f>
        <v/>
      </c>
      <c r="G37" s="120">
        <f>$R$3+36</f>
        <v/>
      </c>
      <c r="H37" s="118">
        <f>DAY(J37)</f>
        <v/>
      </c>
      <c r="I37" s="119">
        <f>IF(MONTH(J37)&lt;&gt;MONTH($R$2),"",$R$4+SUMIFS(Payments!$U$6:$U$1205,Payments!$I$6:$I$1205,"Income",Payments!$P$6:$P$1205,"&gt;="&amp;$R$3,Payments!$P$6:$P$1205,"&lt;="&amp;J37)-SUMIFS(Payments!$U$6:$U$1205,Payments!$I$6:$I$1205,"&lt;&gt;Income",Payments!$P$6:$P$1205,"&gt;="&amp;$R$3,Payments!$P$6:$P$1205,"&lt;="&amp;J37))</f>
        <v/>
      </c>
      <c r="J37" s="120">
        <f>$R$3+37</f>
        <v/>
      </c>
      <c r="K37" s="118">
        <f>DAY(M37)</f>
        <v/>
      </c>
      <c r="L37" s="119">
        <f>IF(MONTH(M37)&lt;&gt;MONTH($R$2),"",$R$4+SUMIFS(Payments!$U$6:$U$1205,Payments!$I$6:$I$1205,"Income",Payments!$P$6:$P$1205,"&gt;="&amp;$R$3,Payments!$P$6:$P$1205,"&lt;="&amp;M37)-SUMIFS(Payments!$U$6:$U$1205,Payments!$I$6:$I$1205,"&lt;&gt;Income",Payments!$P$6:$P$1205,"&gt;="&amp;$R$3,Payments!$P$6:$P$1205,"&lt;="&amp;M37))</f>
        <v/>
      </c>
      <c r="M37" s="120">
        <f>$R$3+38</f>
        <v/>
      </c>
      <c r="N37" s="118">
        <f>DAY(P37)</f>
        <v/>
      </c>
      <c r="O37" s="119">
        <f>IF(MONTH(P37)&lt;&gt;MONTH($R$2),"",$R$4+SUMIFS(Payments!$U$6:$U$1205,Payments!$I$6:$I$1205,"Income",Payments!$P$6:$P$1205,"&gt;="&amp;$R$3,Payments!$P$6:$P$1205,"&lt;="&amp;P37)-SUMIFS(Payments!$U$6:$U$1205,Payments!$I$6:$I$1205,"&lt;&gt;Income",Payments!$P$6:$P$1205,"&gt;="&amp;$R$3,Payments!$P$6:$P$1205,"&lt;="&amp;P37))</f>
        <v/>
      </c>
      <c r="P37" s="120">
        <f>$R$3+39</f>
        <v/>
      </c>
      <c r="Q37" s="118">
        <f>DAY(S37)</f>
        <v/>
      </c>
      <c r="R37" s="119">
        <f>IF(MONTH(S37)&lt;&gt;MONTH($R$2),"",$R$4+SUMIFS(Payments!$U$6:$U$1205,Payments!$I$6:$I$1205,"Income",Payments!$P$6:$P$1205,"&gt;="&amp;$R$3,Payments!$P$6:$P$1205,"&lt;="&amp;S37)-SUMIFS(Payments!$U$6:$U$1205,Payments!$I$6:$I$1205,"&lt;&gt;Income",Payments!$P$6:$P$1205,"&gt;="&amp;$R$3,Payments!$P$6:$P$1205,"&lt;="&amp;S37))</f>
        <v/>
      </c>
      <c r="S37" s="120">
        <f>$R$3+40</f>
        <v/>
      </c>
      <c r="T37" s="118">
        <f>DAY(V37)</f>
        <v/>
      </c>
      <c r="U37" s="119">
        <f>IF(MONTH(V37)&lt;&gt;MONTH($R$2),"",$R$4+SUMIFS(Payments!$U$6:$U$1205,Payments!$I$6:$I$1205,"Income",Payments!$P$6:$P$1205,"&gt;="&amp;$R$3,Payments!$P$6:$P$1205,"&lt;="&amp;V37)-SUMIFS(Payments!$U$6:$U$1205,Payments!$I$6:$I$1205,"&lt;&gt;Income",Payments!$P$6:$P$1205,"&gt;="&amp;$R$3,Payments!$P$6:$P$1205,"&lt;="&amp;V37))</f>
        <v/>
      </c>
      <c r="V37" s="120">
        <f>$R$3+41</f>
        <v/>
      </c>
      <c r="W37" s="1" t="n"/>
      <c r="X37" s="121">
        <f>"WEEK 6"</f>
        <v/>
      </c>
      <c r="Y37" s="112">
        <f>TEXT($D$37,"d mmm")&amp;" – "&amp;TEXT($V$37,"d mmm")</f>
        <v/>
      </c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</row>
    <row r="38">
      <c r="A38" s="1" t="n"/>
      <c r="B38" s="122">
        <f>IF(D38="","",INDEX(Payments!$E$6:$E$1205,D38))</f>
        <v/>
      </c>
      <c r="C38" s="123">
        <f>IF(D38="","",INDEX(Payments!$U$6:$U$1205,D38))</f>
        <v/>
      </c>
      <c r="D38" s="1">
        <f>IFERROR(_xlfn.AGGREGATE(15,6,(ROW(Payments!$P$6:$P$1205)-5)/(Payments!$P$6:$P$1205=D$37),1),"")</f>
        <v/>
      </c>
      <c r="E38" s="122">
        <f>IF(G38="","",INDEX(Payments!$E$6:$E$1205,G38))</f>
        <v/>
      </c>
      <c r="F38" s="123">
        <f>IF(G38="","",INDEX(Payments!$U$6:$U$1205,G38))</f>
        <v/>
      </c>
      <c r="G38" s="1">
        <f>IFERROR(_xlfn.AGGREGATE(15,6,(ROW(Payments!$P$6:$P$1205)-5)/(Payments!$P$6:$P$1205=G$37),1),"")</f>
        <v/>
      </c>
      <c r="H38" s="122">
        <f>IF(J38="","",INDEX(Payments!$E$6:$E$1205,J38))</f>
        <v/>
      </c>
      <c r="I38" s="123">
        <f>IF(J38="","",INDEX(Payments!$U$6:$U$1205,J38))</f>
        <v/>
      </c>
      <c r="J38" s="1">
        <f>IFERROR(_xlfn.AGGREGATE(15,6,(ROW(Payments!$P$6:$P$1205)-5)/(Payments!$P$6:$P$1205=J$37),1),"")</f>
        <v/>
      </c>
      <c r="K38" s="122">
        <f>IF(M38="","",INDEX(Payments!$E$6:$E$1205,M38))</f>
        <v/>
      </c>
      <c r="L38" s="123">
        <f>IF(M38="","",INDEX(Payments!$U$6:$U$1205,M38))</f>
        <v/>
      </c>
      <c r="M38" s="1">
        <f>IFERROR(_xlfn.AGGREGATE(15,6,(ROW(Payments!$P$6:$P$1205)-5)/(Payments!$P$6:$P$1205=M$37),1),"")</f>
        <v/>
      </c>
      <c r="N38" s="122">
        <f>IF(P38="","",INDEX(Payments!$E$6:$E$1205,P38))</f>
        <v/>
      </c>
      <c r="O38" s="123">
        <f>IF(P38="","",INDEX(Payments!$U$6:$U$1205,P38))</f>
        <v/>
      </c>
      <c r="P38" s="1">
        <f>IFERROR(_xlfn.AGGREGATE(15,6,(ROW(Payments!$P$6:$P$1205)-5)/(Payments!$P$6:$P$1205=P$37),1),"")</f>
        <v/>
      </c>
      <c r="Q38" s="122">
        <f>IF(S38="","",INDEX(Payments!$E$6:$E$1205,S38))</f>
        <v/>
      </c>
      <c r="R38" s="123">
        <f>IF(S38="","",INDEX(Payments!$U$6:$U$1205,S38))</f>
        <v/>
      </c>
      <c r="S38" s="1">
        <f>IFERROR(_xlfn.AGGREGATE(15,6,(ROW(Payments!$P$6:$P$1205)-5)/(Payments!$P$6:$P$1205=S$37),1),"")</f>
        <v/>
      </c>
      <c r="T38" s="122">
        <f>IF(V38="","",INDEX(Payments!$E$6:$E$1205,V38))</f>
        <v/>
      </c>
      <c r="U38" s="123">
        <f>IF(V38="","",INDEX(Payments!$U$6:$U$1205,V38))</f>
        <v/>
      </c>
      <c r="V38" s="1">
        <f>IFERROR(_xlfn.AGGREGATE(15,6,(ROW(Payments!$P$6:$P$1205)-5)/(Payments!$P$6:$P$1205=V$37),1),"")</f>
        <v/>
      </c>
      <c r="W38" s="1" t="n"/>
      <c r="X38" s="124" t="inlineStr">
        <is>
          <t>+ Income</t>
        </is>
      </c>
      <c r="Y38" s="98">
        <f>SUMIFS(Payments!$U$6:$U$1205,Payments!$I$6:$I$1205,"Income",Payments!$P$6:$P$1205,"&gt;="&amp;$D$37,Payments!$P$6:$P$1205,"&lt;="&amp;$V$37)</f>
        <v/>
      </c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</row>
    <row r="39">
      <c r="A39" s="1" t="n"/>
      <c r="B39" s="122">
        <f>IF(D39="","",INDEX(Payments!$E$6:$E$1205,D39))</f>
        <v/>
      </c>
      <c r="C39" s="123">
        <f>IF(D39="","",INDEX(Payments!$U$6:$U$1205,D39))</f>
        <v/>
      </c>
      <c r="D39" s="1">
        <f>IFERROR(_xlfn.AGGREGATE(15,6,(ROW(Payments!$P$6:$P$1205)-5)/(Payments!$P$6:$P$1205=D$37),2),"")</f>
        <v/>
      </c>
      <c r="E39" s="122">
        <f>IF(G39="","",INDEX(Payments!$E$6:$E$1205,G39))</f>
        <v/>
      </c>
      <c r="F39" s="123">
        <f>IF(G39="","",INDEX(Payments!$U$6:$U$1205,G39))</f>
        <v/>
      </c>
      <c r="G39" s="1">
        <f>IFERROR(_xlfn.AGGREGATE(15,6,(ROW(Payments!$P$6:$P$1205)-5)/(Payments!$P$6:$P$1205=G$37),2),"")</f>
        <v/>
      </c>
      <c r="H39" s="122">
        <f>IF(J39="","",INDEX(Payments!$E$6:$E$1205,J39))</f>
        <v/>
      </c>
      <c r="I39" s="123">
        <f>IF(J39="","",INDEX(Payments!$U$6:$U$1205,J39))</f>
        <v/>
      </c>
      <c r="J39" s="1">
        <f>IFERROR(_xlfn.AGGREGATE(15,6,(ROW(Payments!$P$6:$P$1205)-5)/(Payments!$P$6:$P$1205=J$37),2),"")</f>
        <v/>
      </c>
      <c r="K39" s="122">
        <f>IF(M39="","",INDEX(Payments!$E$6:$E$1205,M39))</f>
        <v/>
      </c>
      <c r="L39" s="123">
        <f>IF(M39="","",INDEX(Payments!$U$6:$U$1205,M39))</f>
        <v/>
      </c>
      <c r="M39" s="1">
        <f>IFERROR(_xlfn.AGGREGATE(15,6,(ROW(Payments!$P$6:$P$1205)-5)/(Payments!$P$6:$P$1205=M$37),2),"")</f>
        <v/>
      </c>
      <c r="N39" s="122">
        <f>IF(P39="","",INDEX(Payments!$E$6:$E$1205,P39))</f>
        <v/>
      </c>
      <c r="O39" s="123">
        <f>IF(P39="","",INDEX(Payments!$U$6:$U$1205,P39))</f>
        <v/>
      </c>
      <c r="P39" s="1">
        <f>IFERROR(_xlfn.AGGREGATE(15,6,(ROW(Payments!$P$6:$P$1205)-5)/(Payments!$P$6:$P$1205=P$37),2),"")</f>
        <v/>
      </c>
      <c r="Q39" s="122">
        <f>IF(S39="","",INDEX(Payments!$E$6:$E$1205,S39))</f>
        <v/>
      </c>
      <c r="R39" s="123">
        <f>IF(S39="","",INDEX(Payments!$U$6:$U$1205,S39))</f>
        <v/>
      </c>
      <c r="S39" s="1">
        <f>IFERROR(_xlfn.AGGREGATE(15,6,(ROW(Payments!$P$6:$P$1205)-5)/(Payments!$P$6:$P$1205=S$37),2),"")</f>
        <v/>
      </c>
      <c r="T39" s="122">
        <f>IF(V39="","",INDEX(Payments!$E$6:$E$1205,V39))</f>
        <v/>
      </c>
      <c r="U39" s="123">
        <f>IF(V39="","",INDEX(Payments!$U$6:$U$1205,V39))</f>
        <v/>
      </c>
      <c r="V39" s="1">
        <f>IFERROR(_xlfn.AGGREGATE(15,6,(ROW(Payments!$P$6:$P$1205)-5)/(Payments!$P$6:$P$1205=V$37),2),"")</f>
        <v/>
      </c>
      <c r="W39" s="1" t="n"/>
      <c r="X39" s="125" t="inlineStr">
        <is>
          <t>– Bills &amp; Subs</t>
        </is>
      </c>
      <c r="Y39" s="98">
        <f>SUMIFS(Payments!$U$6:$U$1205,Payments!$I$6:$I$1205,"Bills",Payments!$P$6:$P$1205,"&gt;="&amp;$D$37,Payments!$P$6:$P$1205,"&lt;="&amp;$V$37)+SUMIFS(Payments!$U$6:$U$1205,Payments!$I$6:$I$1205,"Subscriptions",Payments!$P$6:$P$1205,"&gt;="&amp;$D$37,Payments!$P$6:$P$1205,"&lt;="&amp;$V$37)</f>
        <v/>
      </c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</row>
    <row r="40">
      <c r="A40" s="1" t="n"/>
      <c r="B40" s="122">
        <f>IF(D40="","",INDEX(Payments!$E$6:$E$1205,D40))</f>
        <v/>
      </c>
      <c r="C40" s="123">
        <f>IF(D40="","",INDEX(Payments!$U$6:$U$1205,D40))</f>
        <v/>
      </c>
      <c r="D40" s="1">
        <f>IFERROR(_xlfn.AGGREGATE(15,6,(ROW(Payments!$P$6:$P$1205)-5)/(Payments!$P$6:$P$1205=D$37),3),"")</f>
        <v/>
      </c>
      <c r="E40" s="122">
        <f>IF(G40="","",INDEX(Payments!$E$6:$E$1205,G40))</f>
        <v/>
      </c>
      <c r="F40" s="123">
        <f>IF(G40="","",INDEX(Payments!$U$6:$U$1205,G40))</f>
        <v/>
      </c>
      <c r="G40" s="1">
        <f>IFERROR(_xlfn.AGGREGATE(15,6,(ROW(Payments!$P$6:$P$1205)-5)/(Payments!$P$6:$P$1205=G$37),3),"")</f>
        <v/>
      </c>
      <c r="H40" s="122">
        <f>IF(J40="","",INDEX(Payments!$E$6:$E$1205,J40))</f>
        <v/>
      </c>
      <c r="I40" s="123">
        <f>IF(J40="","",INDEX(Payments!$U$6:$U$1205,J40))</f>
        <v/>
      </c>
      <c r="J40" s="1">
        <f>IFERROR(_xlfn.AGGREGATE(15,6,(ROW(Payments!$P$6:$P$1205)-5)/(Payments!$P$6:$P$1205=J$37),3),"")</f>
        <v/>
      </c>
      <c r="K40" s="122">
        <f>IF(M40="","",INDEX(Payments!$E$6:$E$1205,M40))</f>
        <v/>
      </c>
      <c r="L40" s="123">
        <f>IF(M40="","",INDEX(Payments!$U$6:$U$1205,M40))</f>
        <v/>
      </c>
      <c r="M40" s="1">
        <f>IFERROR(_xlfn.AGGREGATE(15,6,(ROW(Payments!$P$6:$P$1205)-5)/(Payments!$P$6:$P$1205=M$37),3),"")</f>
        <v/>
      </c>
      <c r="N40" s="122">
        <f>IF(P40="","",INDEX(Payments!$E$6:$E$1205,P40))</f>
        <v/>
      </c>
      <c r="O40" s="123">
        <f>IF(P40="","",INDEX(Payments!$U$6:$U$1205,P40))</f>
        <v/>
      </c>
      <c r="P40" s="1">
        <f>IFERROR(_xlfn.AGGREGATE(15,6,(ROW(Payments!$P$6:$P$1205)-5)/(Payments!$P$6:$P$1205=P$37),3),"")</f>
        <v/>
      </c>
      <c r="Q40" s="122">
        <f>IF(S40="","",INDEX(Payments!$E$6:$E$1205,S40))</f>
        <v/>
      </c>
      <c r="R40" s="123">
        <f>IF(S40="","",INDEX(Payments!$U$6:$U$1205,S40))</f>
        <v/>
      </c>
      <c r="S40" s="1">
        <f>IFERROR(_xlfn.AGGREGATE(15,6,(ROW(Payments!$P$6:$P$1205)-5)/(Payments!$P$6:$P$1205=S$37),3),"")</f>
        <v/>
      </c>
      <c r="T40" s="122">
        <f>IF(V40="","",INDEX(Payments!$E$6:$E$1205,V40))</f>
        <v/>
      </c>
      <c r="U40" s="123">
        <f>IF(V40="","",INDEX(Payments!$U$6:$U$1205,V40))</f>
        <v/>
      </c>
      <c r="V40" s="1">
        <f>IFERROR(_xlfn.AGGREGATE(15,6,(ROW(Payments!$P$6:$P$1205)-5)/(Payments!$P$6:$P$1205=V$37),3),"")</f>
        <v/>
      </c>
      <c r="W40" s="1" t="n"/>
      <c r="X40" s="126" t="inlineStr">
        <is>
          <t>– Debt</t>
        </is>
      </c>
      <c r="Y40" s="98">
        <f>SUMIFS(Payments!$U$6:$U$1205,Payments!$I$6:$I$1205,"Debt",Payments!$P$6:$P$1205,"&gt;="&amp;$D$37,Payments!$P$6:$P$1205,"&lt;="&amp;$V$37)</f>
        <v/>
      </c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>
      <c r="A41" s="1" t="n"/>
      <c r="B41" s="122">
        <f>IF(D41="","",INDEX(Payments!$E$6:$E$1205,D41))</f>
        <v/>
      </c>
      <c r="C41" s="123">
        <f>IF(D41="","",INDEX(Payments!$U$6:$U$1205,D41))</f>
        <v/>
      </c>
      <c r="D41" s="1">
        <f>IFERROR(_xlfn.AGGREGATE(15,6,(ROW(Payments!$P$6:$P$1205)-5)/(Payments!$P$6:$P$1205=D$37),4),"")</f>
        <v/>
      </c>
      <c r="E41" s="122">
        <f>IF(G41="","",INDEX(Payments!$E$6:$E$1205,G41))</f>
        <v/>
      </c>
      <c r="F41" s="123">
        <f>IF(G41="","",INDEX(Payments!$U$6:$U$1205,G41))</f>
        <v/>
      </c>
      <c r="G41" s="1">
        <f>IFERROR(_xlfn.AGGREGATE(15,6,(ROW(Payments!$P$6:$P$1205)-5)/(Payments!$P$6:$P$1205=G$37),4),"")</f>
        <v/>
      </c>
      <c r="H41" s="122">
        <f>IF(J41="","",INDEX(Payments!$E$6:$E$1205,J41))</f>
        <v/>
      </c>
      <c r="I41" s="123">
        <f>IF(J41="","",INDEX(Payments!$U$6:$U$1205,J41))</f>
        <v/>
      </c>
      <c r="J41" s="1">
        <f>IFERROR(_xlfn.AGGREGATE(15,6,(ROW(Payments!$P$6:$P$1205)-5)/(Payments!$P$6:$P$1205=J$37),4),"")</f>
        <v/>
      </c>
      <c r="K41" s="122">
        <f>IF(M41="","",INDEX(Payments!$E$6:$E$1205,M41))</f>
        <v/>
      </c>
      <c r="L41" s="123">
        <f>IF(M41="","",INDEX(Payments!$U$6:$U$1205,M41))</f>
        <v/>
      </c>
      <c r="M41" s="1">
        <f>IFERROR(_xlfn.AGGREGATE(15,6,(ROW(Payments!$P$6:$P$1205)-5)/(Payments!$P$6:$P$1205=M$37),4),"")</f>
        <v/>
      </c>
      <c r="N41" s="122">
        <f>IF(P41="","",INDEX(Payments!$E$6:$E$1205,P41))</f>
        <v/>
      </c>
      <c r="O41" s="123">
        <f>IF(P41="","",INDEX(Payments!$U$6:$U$1205,P41))</f>
        <v/>
      </c>
      <c r="P41" s="1">
        <f>IFERROR(_xlfn.AGGREGATE(15,6,(ROW(Payments!$P$6:$P$1205)-5)/(Payments!$P$6:$P$1205=P$37),4),"")</f>
        <v/>
      </c>
      <c r="Q41" s="122">
        <f>IF(S41="","",INDEX(Payments!$E$6:$E$1205,S41))</f>
        <v/>
      </c>
      <c r="R41" s="123">
        <f>IF(S41="","",INDEX(Payments!$U$6:$U$1205,S41))</f>
        <v/>
      </c>
      <c r="S41" s="1">
        <f>IFERROR(_xlfn.AGGREGATE(15,6,(ROW(Payments!$P$6:$P$1205)-5)/(Payments!$P$6:$P$1205=S$37),4),"")</f>
        <v/>
      </c>
      <c r="T41" s="122">
        <f>IF(V41="","",INDEX(Payments!$E$6:$E$1205,V41))</f>
        <v/>
      </c>
      <c r="U41" s="123">
        <f>IF(V41="","",INDEX(Payments!$U$6:$U$1205,V41))</f>
        <v/>
      </c>
      <c r="V41" s="1">
        <f>IFERROR(_xlfn.AGGREGATE(15,6,(ROW(Payments!$P$6:$P$1205)-5)/(Payments!$P$6:$P$1205=V$37),4),"")</f>
        <v/>
      </c>
      <c r="W41" s="1" t="n"/>
      <c r="X41" s="127" t="inlineStr">
        <is>
          <t>– Savings</t>
        </is>
      </c>
      <c r="Y41" s="98">
        <f>SUMIFS(Payments!$U$6:$U$1205,Payments!$I$6:$I$1205,"Savings",Payments!$P$6:$P$1205,"&gt;="&amp;$D$37,Payments!$P$6:$P$1205,"&lt;="&amp;$V$37)</f>
        <v/>
      </c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>
      <c r="A42" s="1" t="n"/>
      <c r="B42" s="128">
        <f>IF(D42="","",INDEX(Payments!$E$6:$E$1205,D42))</f>
        <v/>
      </c>
      <c r="C42" s="129">
        <f>IF(D42="","",INDEX(Payments!$U$6:$U$1205,D42))</f>
        <v/>
      </c>
      <c r="D42" s="1">
        <f>IFERROR(_xlfn.AGGREGATE(15,6,(ROW(Payments!$P$6:$P$1205)-5)/(Payments!$P$6:$P$1205=D$37),5),"")</f>
        <v/>
      </c>
      <c r="E42" s="128">
        <f>IF(G42="","",INDEX(Payments!$E$6:$E$1205,G42))</f>
        <v/>
      </c>
      <c r="F42" s="129">
        <f>IF(G42="","",INDEX(Payments!$U$6:$U$1205,G42))</f>
        <v/>
      </c>
      <c r="G42" s="1">
        <f>IFERROR(_xlfn.AGGREGATE(15,6,(ROW(Payments!$P$6:$P$1205)-5)/(Payments!$P$6:$P$1205=G$37),5),"")</f>
        <v/>
      </c>
      <c r="H42" s="128">
        <f>IF(J42="","",INDEX(Payments!$E$6:$E$1205,J42))</f>
        <v/>
      </c>
      <c r="I42" s="129">
        <f>IF(J42="","",INDEX(Payments!$U$6:$U$1205,J42))</f>
        <v/>
      </c>
      <c r="J42" s="1">
        <f>IFERROR(_xlfn.AGGREGATE(15,6,(ROW(Payments!$P$6:$P$1205)-5)/(Payments!$P$6:$P$1205=J$37),5),"")</f>
        <v/>
      </c>
      <c r="K42" s="128">
        <f>IF(M42="","",INDEX(Payments!$E$6:$E$1205,M42))</f>
        <v/>
      </c>
      <c r="L42" s="129">
        <f>IF(M42="","",INDEX(Payments!$U$6:$U$1205,M42))</f>
        <v/>
      </c>
      <c r="M42" s="1">
        <f>IFERROR(_xlfn.AGGREGATE(15,6,(ROW(Payments!$P$6:$P$1205)-5)/(Payments!$P$6:$P$1205=M$37),5),"")</f>
        <v/>
      </c>
      <c r="N42" s="128">
        <f>IF(P42="","",INDEX(Payments!$E$6:$E$1205,P42))</f>
        <v/>
      </c>
      <c r="O42" s="129">
        <f>IF(P42="","",INDEX(Payments!$U$6:$U$1205,P42))</f>
        <v/>
      </c>
      <c r="P42" s="1">
        <f>IFERROR(_xlfn.AGGREGATE(15,6,(ROW(Payments!$P$6:$P$1205)-5)/(Payments!$P$6:$P$1205=P$37),5),"")</f>
        <v/>
      </c>
      <c r="Q42" s="128">
        <f>IF(S42="","",INDEX(Payments!$E$6:$E$1205,S42))</f>
        <v/>
      </c>
      <c r="R42" s="129">
        <f>IF(S42="","",INDEX(Payments!$U$6:$U$1205,S42))</f>
        <v/>
      </c>
      <c r="S42" s="1">
        <f>IFERROR(_xlfn.AGGREGATE(15,6,(ROW(Payments!$P$6:$P$1205)-5)/(Payments!$P$6:$P$1205=S$37),5),"")</f>
        <v/>
      </c>
      <c r="T42" s="128">
        <f>IF(V42="","",INDEX(Payments!$E$6:$E$1205,V42))</f>
        <v/>
      </c>
      <c r="U42" s="129">
        <f>IF(V42="","",INDEX(Payments!$U$6:$U$1205,V42))</f>
        <v/>
      </c>
      <c r="V42" s="1">
        <f>IFERROR(_xlfn.AGGREGATE(15,6,(ROW(Payments!$P$6:$P$1205)-5)/(Payments!$P$6:$P$1205=V$37),5),"")</f>
        <v/>
      </c>
      <c r="W42" s="1" t="n"/>
      <c r="X42" s="130" t="inlineStr">
        <is>
          <t>End balance</t>
        </is>
      </c>
      <c r="Y42" s="131">
        <f>$R$4+SUMIFS(Payments!$U$6:$U$1205,Payments!$I$6:$I$1205,"Income",Payments!$P$6:$P$1205,"&gt;="&amp;$R$3,Payments!$P$6:$P$1205,"&lt;="&amp;$V$37)-SUMIFS(Payments!$U$6:$U$1205,Payments!$I$6:$I$1205,"&lt;&gt;Income",Payments!$P$6:$P$1205,"&gt;="&amp;$R$3,Payments!$P$6:$P$1205,"&lt;="&amp;$V$37)</f>
        <v/>
      </c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</sheetData>
  <mergeCells count="16">
    <mergeCell ref="P4:Q4"/>
    <mergeCell ref="B6:C6"/>
    <mergeCell ref="P3:Q3"/>
    <mergeCell ref="K2:M2"/>
    <mergeCell ref="E6:F6"/>
    <mergeCell ref="K3:M3"/>
    <mergeCell ref="H6:I6"/>
    <mergeCell ref="X6:Y6"/>
    <mergeCell ref="K4:M4"/>
    <mergeCell ref="N6:O6"/>
    <mergeCell ref="T6:U6"/>
    <mergeCell ref="Q6:R6"/>
    <mergeCell ref="P2:Q2"/>
    <mergeCell ref="B4:J4"/>
    <mergeCell ref="B2:H3"/>
    <mergeCell ref="K6:L6"/>
  </mergeCells>
  <conditionalFormatting sqref="B7">
    <cfRule type="expression" priority="1" dxfId="12" stopIfTrue="0">
      <formula>MONTH(D7)&lt;&gt;MONTH($R$2)</formula>
    </cfRule>
  </conditionalFormatting>
  <conditionalFormatting sqref="E7">
    <cfRule type="expression" priority="2" dxfId="12" stopIfTrue="0">
      <formula>MONTH(G7)&lt;&gt;MONTH($R$2)</formula>
    </cfRule>
  </conditionalFormatting>
  <conditionalFormatting sqref="H7">
    <cfRule type="expression" priority="3" dxfId="12" stopIfTrue="0">
      <formula>MONTH(J7)&lt;&gt;MONTH($R$2)</formula>
    </cfRule>
  </conditionalFormatting>
  <conditionalFormatting sqref="K7">
    <cfRule type="expression" priority="4" dxfId="12" stopIfTrue="0">
      <formula>MONTH(M7)&lt;&gt;MONTH($R$2)</formula>
    </cfRule>
  </conditionalFormatting>
  <conditionalFormatting sqref="N7">
    <cfRule type="expression" priority="5" dxfId="12" stopIfTrue="0">
      <formula>MONTH(P7)&lt;&gt;MONTH($R$2)</formula>
    </cfRule>
  </conditionalFormatting>
  <conditionalFormatting sqref="Q7">
    <cfRule type="expression" priority="6" dxfId="12" stopIfTrue="0">
      <formula>MONTH(S7)&lt;&gt;MONTH($R$2)</formula>
    </cfRule>
  </conditionalFormatting>
  <conditionalFormatting sqref="T7">
    <cfRule type="expression" priority="7" dxfId="12" stopIfTrue="0">
      <formula>MONTH(V7)&lt;&gt;MONTH($R$2)</formula>
    </cfRule>
  </conditionalFormatting>
  <conditionalFormatting sqref="B13">
    <cfRule type="expression" priority="8" dxfId="12" stopIfTrue="0">
      <formula>MONTH(D13)&lt;&gt;MONTH($R$2)</formula>
    </cfRule>
  </conditionalFormatting>
  <conditionalFormatting sqref="E13">
    <cfRule type="expression" priority="9" dxfId="12" stopIfTrue="0">
      <formula>MONTH(G13)&lt;&gt;MONTH($R$2)</formula>
    </cfRule>
  </conditionalFormatting>
  <conditionalFormatting sqref="H13">
    <cfRule type="expression" priority="10" dxfId="12" stopIfTrue="0">
      <formula>MONTH(J13)&lt;&gt;MONTH($R$2)</formula>
    </cfRule>
  </conditionalFormatting>
  <conditionalFormatting sqref="K13">
    <cfRule type="expression" priority="11" dxfId="12" stopIfTrue="0">
      <formula>MONTH(M13)&lt;&gt;MONTH($R$2)</formula>
    </cfRule>
  </conditionalFormatting>
  <conditionalFormatting sqref="N13">
    <cfRule type="expression" priority="12" dxfId="12" stopIfTrue="0">
      <formula>MONTH(P13)&lt;&gt;MONTH($R$2)</formula>
    </cfRule>
  </conditionalFormatting>
  <conditionalFormatting sqref="Q13">
    <cfRule type="expression" priority="13" dxfId="12" stopIfTrue="0">
      <formula>MONTH(S13)&lt;&gt;MONTH($R$2)</formula>
    </cfRule>
  </conditionalFormatting>
  <conditionalFormatting sqref="T13">
    <cfRule type="expression" priority="14" dxfId="12" stopIfTrue="0">
      <formula>MONTH(V13)&lt;&gt;MONTH($R$2)</formula>
    </cfRule>
  </conditionalFormatting>
  <conditionalFormatting sqref="B19">
    <cfRule type="expression" priority="15" dxfId="12" stopIfTrue="0">
      <formula>MONTH(D19)&lt;&gt;MONTH($R$2)</formula>
    </cfRule>
  </conditionalFormatting>
  <conditionalFormatting sqref="E19">
    <cfRule type="expression" priority="16" dxfId="12" stopIfTrue="0">
      <formula>MONTH(G19)&lt;&gt;MONTH($R$2)</formula>
    </cfRule>
  </conditionalFormatting>
  <conditionalFormatting sqref="H19">
    <cfRule type="expression" priority="17" dxfId="12" stopIfTrue="0">
      <formula>MONTH(J19)&lt;&gt;MONTH($R$2)</formula>
    </cfRule>
  </conditionalFormatting>
  <conditionalFormatting sqref="K19">
    <cfRule type="expression" priority="18" dxfId="12" stopIfTrue="0">
      <formula>MONTH(M19)&lt;&gt;MONTH($R$2)</formula>
    </cfRule>
  </conditionalFormatting>
  <conditionalFormatting sqref="N19">
    <cfRule type="expression" priority="19" dxfId="12" stopIfTrue="0">
      <formula>MONTH(P19)&lt;&gt;MONTH($R$2)</formula>
    </cfRule>
  </conditionalFormatting>
  <conditionalFormatting sqref="Q19">
    <cfRule type="expression" priority="20" dxfId="12" stopIfTrue="0">
      <formula>MONTH(S19)&lt;&gt;MONTH($R$2)</formula>
    </cfRule>
  </conditionalFormatting>
  <conditionalFormatting sqref="T19">
    <cfRule type="expression" priority="21" dxfId="12" stopIfTrue="0">
      <formula>MONTH(V19)&lt;&gt;MONTH($R$2)</formula>
    </cfRule>
  </conditionalFormatting>
  <conditionalFormatting sqref="B25">
    <cfRule type="expression" priority="22" dxfId="12" stopIfTrue="0">
      <formula>MONTH(D25)&lt;&gt;MONTH($R$2)</formula>
    </cfRule>
  </conditionalFormatting>
  <conditionalFormatting sqref="E25">
    <cfRule type="expression" priority="23" dxfId="12" stopIfTrue="0">
      <formula>MONTH(G25)&lt;&gt;MONTH($R$2)</formula>
    </cfRule>
  </conditionalFormatting>
  <conditionalFormatting sqref="H25">
    <cfRule type="expression" priority="24" dxfId="12" stopIfTrue="0">
      <formula>MONTH(J25)&lt;&gt;MONTH($R$2)</formula>
    </cfRule>
  </conditionalFormatting>
  <conditionalFormatting sqref="K25">
    <cfRule type="expression" priority="25" dxfId="12" stopIfTrue="0">
      <formula>MONTH(M25)&lt;&gt;MONTH($R$2)</formula>
    </cfRule>
  </conditionalFormatting>
  <conditionalFormatting sqref="N25">
    <cfRule type="expression" priority="26" dxfId="12" stopIfTrue="0">
      <formula>MONTH(P25)&lt;&gt;MONTH($R$2)</formula>
    </cfRule>
  </conditionalFormatting>
  <conditionalFormatting sqref="Q25">
    <cfRule type="expression" priority="27" dxfId="12" stopIfTrue="0">
      <formula>MONTH(S25)&lt;&gt;MONTH($R$2)</formula>
    </cfRule>
  </conditionalFormatting>
  <conditionalFormatting sqref="T25">
    <cfRule type="expression" priority="28" dxfId="12" stopIfTrue="0">
      <formula>MONTH(V25)&lt;&gt;MONTH($R$2)</formula>
    </cfRule>
  </conditionalFormatting>
  <conditionalFormatting sqref="B31">
    <cfRule type="expression" priority="29" dxfId="12" stopIfTrue="0">
      <formula>MONTH(D31)&lt;&gt;MONTH($R$2)</formula>
    </cfRule>
  </conditionalFormatting>
  <conditionalFormatting sqref="E31">
    <cfRule type="expression" priority="30" dxfId="12" stopIfTrue="0">
      <formula>MONTH(G31)&lt;&gt;MONTH($R$2)</formula>
    </cfRule>
  </conditionalFormatting>
  <conditionalFormatting sqref="H31">
    <cfRule type="expression" priority="31" dxfId="12" stopIfTrue="0">
      <formula>MONTH(J31)&lt;&gt;MONTH($R$2)</formula>
    </cfRule>
  </conditionalFormatting>
  <conditionalFormatting sqref="K31">
    <cfRule type="expression" priority="32" dxfId="12" stopIfTrue="0">
      <formula>MONTH(M31)&lt;&gt;MONTH($R$2)</formula>
    </cfRule>
  </conditionalFormatting>
  <conditionalFormatting sqref="N31">
    <cfRule type="expression" priority="33" dxfId="12" stopIfTrue="0">
      <formula>MONTH(P31)&lt;&gt;MONTH($R$2)</formula>
    </cfRule>
  </conditionalFormatting>
  <conditionalFormatting sqref="Q31">
    <cfRule type="expression" priority="34" dxfId="12" stopIfTrue="0">
      <formula>MONTH(S31)&lt;&gt;MONTH($R$2)</formula>
    </cfRule>
  </conditionalFormatting>
  <conditionalFormatting sqref="T31">
    <cfRule type="expression" priority="35" dxfId="12" stopIfTrue="0">
      <formula>MONTH(V31)&lt;&gt;MONTH($R$2)</formula>
    </cfRule>
  </conditionalFormatting>
  <conditionalFormatting sqref="B37">
    <cfRule type="expression" priority="36" dxfId="12" stopIfTrue="0">
      <formula>MONTH(D37)&lt;&gt;MONTH($R$2)</formula>
    </cfRule>
  </conditionalFormatting>
  <conditionalFormatting sqref="E37">
    <cfRule type="expression" priority="37" dxfId="12" stopIfTrue="0">
      <formula>MONTH(G37)&lt;&gt;MONTH($R$2)</formula>
    </cfRule>
  </conditionalFormatting>
  <conditionalFormatting sqref="H37">
    <cfRule type="expression" priority="38" dxfId="12" stopIfTrue="0">
      <formula>MONTH(J37)&lt;&gt;MONTH($R$2)</formula>
    </cfRule>
  </conditionalFormatting>
  <conditionalFormatting sqref="K37">
    <cfRule type="expression" priority="39" dxfId="12" stopIfTrue="0">
      <formula>MONTH(M37)&lt;&gt;MONTH($R$2)</formula>
    </cfRule>
  </conditionalFormatting>
  <conditionalFormatting sqref="N37">
    <cfRule type="expression" priority="40" dxfId="12" stopIfTrue="0">
      <formula>MONTH(P37)&lt;&gt;MONTH($R$2)</formula>
    </cfRule>
  </conditionalFormatting>
  <conditionalFormatting sqref="Q37">
    <cfRule type="expression" priority="41" dxfId="12" stopIfTrue="0">
      <formula>MONTH(S37)&lt;&gt;MONTH($R$2)</formula>
    </cfRule>
  </conditionalFormatting>
  <conditionalFormatting sqref="T37">
    <cfRule type="expression" priority="42" dxfId="12" stopIfTrue="0">
      <formula>MONTH(V37)&lt;&gt;MONTH($R$2)</formula>
    </cfRule>
  </conditionalFormatting>
  <conditionalFormatting sqref="B8:B42">
    <cfRule type="expression" priority="43" dxfId="13" stopIfTrue="1">
      <formula>AND(ISNUMBER($D8),$D8&lt;5000,INDEX(PayAct,$D8)&gt;0)</formula>
    </cfRule>
    <cfRule type="expression" priority="44" dxfId="0" stopIfTrue="0">
      <formula>AND(ISNUMBER($D8),$D8&lt;5000,INDEX(PayCat,$D8)="Income")</formula>
    </cfRule>
    <cfRule type="expression" priority="45" dxfId="3" stopIfTrue="0">
      <formula>AND(ISNUMBER($D8),$D8&lt;5000,INDEX(PayCat,$D8)="Debt")</formula>
    </cfRule>
    <cfRule type="expression" priority="46" dxfId="1" stopIfTrue="0">
      <formula>AND(ISNUMBER($D8),$D8&lt;5000,INDEX(PayCat,$D8)="Savings")</formula>
    </cfRule>
    <cfRule type="expression" priority="47" dxfId="5" stopIfTrue="0">
      <formula>AND(ISNUMBER($D8),$D8&lt;5000,INDEX(PayCat,$D8)="Bills")</formula>
    </cfRule>
    <cfRule type="expression" priority="48" dxfId="5" stopIfTrue="0">
      <formula>AND(ISNUMBER($D8),$D8&lt;5000,INDEX(PayCat,$D8)="Subscriptions")</formula>
    </cfRule>
  </conditionalFormatting>
  <conditionalFormatting sqref="C8:C42">
    <cfRule type="expression" priority="49" dxfId="13" stopIfTrue="1">
      <formula>AND(ISNUMBER($D8),$D8&lt;5000,INDEX(PayAct,$D8)&gt;0)</formula>
    </cfRule>
    <cfRule type="expression" priority="50" dxfId="0" stopIfTrue="0">
      <formula>AND(ISNUMBER($D8),$D8&lt;5000,INDEX(PayCat,$D8)="Income")</formula>
    </cfRule>
    <cfRule type="expression" priority="51" dxfId="3" stopIfTrue="0">
      <formula>AND(ISNUMBER($D8),$D8&lt;5000,INDEX(PayCat,$D8)="Debt")</formula>
    </cfRule>
    <cfRule type="expression" priority="52" dxfId="1" stopIfTrue="0">
      <formula>AND(ISNUMBER($D8),$D8&lt;5000,INDEX(PayCat,$D8)="Savings")</formula>
    </cfRule>
    <cfRule type="expression" priority="53" dxfId="5" stopIfTrue="0">
      <formula>AND(ISNUMBER($D8),$D8&lt;5000,INDEX(PayCat,$D8)="Bills")</formula>
    </cfRule>
    <cfRule type="expression" priority="54" dxfId="5" stopIfTrue="0">
      <formula>AND(ISNUMBER($D8),$D8&lt;5000,INDEX(PayCat,$D8)="Subscriptions")</formula>
    </cfRule>
  </conditionalFormatting>
  <conditionalFormatting sqref="E8:E42">
    <cfRule type="expression" priority="55" dxfId="13" stopIfTrue="1">
      <formula>AND(ISNUMBER($G8),$G8&lt;5000,INDEX(PayAct,$G8)&gt;0)</formula>
    </cfRule>
    <cfRule type="expression" priority="56" dxfId="0" stopIfTrue="0">
      <formula>AND(ISNUMBER($G8),$G8&lt;5000,INDEX(PayCat,$G8)="Income")</formula>
    </cfRule>
    <cfRule type="expression" priority="57" dxfId="3" stopIfTrue="0">
      <formula>AND(ISNUMBER($G8),$G8&lt;5000,INDEX(PayCat,$G8)="Debt")</formula>
    </cfRule>
    <cfRule type="expression" priority="58" dxfId="1" stopIfTrue="0">
      <formula>AND(ISNUMBER($G8),$G8&lt;5000,INDEX(PayCat,$G8)="Savings")</formula>
    </cfRule>
    <cfRule type="expression" priority="59" dxfId="5" stopIfTrue="0">
      <formula>AND(ISNUMBER($G8),$G8&lt;5000,INDEX(PayCat,$G8)="Bills")</formula>
    </cfRule>
    <cfRule type="expression" priority="60" dxfId="5" stopIfTrue="0">
      <formula>AND(ISNUMBER($G8),$G8&lt;5000,INDEX(PayCat,$G8)="Subscriptions")</formula>
    </cfRule>
  </conditionalFormatting>
  <conditionalFormatting sqref="F8:F42">
    <cfRule type="expression" priority="61" dxfId="13" stopIfTrue="1">
      <formula>AND(ISNUMBER($G8),$G8&lt;5000,INDEX(PayAct,$G8)&gt;0)</formula>
    </cfRule>
    <cfRule type="expression" priority="62" dxfId="0" stopIfTrue="0">
      <formula>AND(ISNUMBER($G8),$G8&lt;5000,INDEX(PayCat,$G8)="Income")</formula>
    </cfRule>
    <cfRule type="expression" priority="63" dxfId="3" stopIfTrue="0">
      <formula>AND(ISNUMBER($G8),$G8&lt;5000,INDEX(PayCat,$G8)="Debt")</formula>
    </cfRule>
    <cfRule type="expression" priority="64" dxfId="1" stopIfTrue="0">
      <formula>AND(ISNUMBER($G8),$G8&lt;5000,INDEX(PayCat,$G8)="Savings")</formula>
    </cfRule>
    <cfRule type="expression" priority="65" dxfId="5" stopIfTrue="0">
      <formula>AND(ISNUMBER($G8),$G8&lt;5000,INDEX(PayCat,$G8)="Bills")</formula>
    </cfRule>
    <cfRule type="expression" priority="66" dxfId="5" stopIfTrue="0">
      <formula>AND(ISNUMBER($G8),$G8&lt;5000,INDEX(PayCat,$G8)="Subscriptions")</formula>
    </cfRule>
  </conditionalFormatting>
  <conditionalFormatting sqref="H8:H42">
    <cfRule type="expression" priority="67" dxfId="13" stopIfTrue="1">
      <formula>AND(ISNUMBER($J8),$J8&lt;5000,INDEX(PayAct,$J8)&gt;0)</formula>
    </cfRule>
    <cfRule type="expression" priority="68" dxfId="0" stopIfTrue="0">
      <formula>AND(ISNUMBER($J8),$J8&lt;5000,INDEX(PayCat,$J8)="Income")</formula>
    </cfRule>
    <cfRule type="expression" priority="69" dxfId="3" stopIfTrue="0">
      <formula>AND(ISNUMBER($J8),$J8&lt;5000,INDEX(PayCat,$J8)="Debt")</formula>
    </cfRule>
    <cfRule type="expression" priority="70" dxfId="1" stopIfTrue="0">
      <formula>AND(ISNUMBER($J8),$J8&lt;5000,INDEX(PayCat,$J8)="Savings")</formula>
    </cfRule>
    <cfRule type="expression" priority="71" dxfId="5" stopIfTrue="0">
      <formula>AND(ISNUMBER($J8),$J8&lt;5000,INDEX(PayCat,$J8)="Bills")</formula>
    </cfRule>
    <cfRule type="expression" priority="72" dxfId="5" stopIfTrue="0">
      <formula>AND(ISNUMBER($J8),$J8&lt;5000,INDEX(PayCat,$J8)="Subscriptions")</formula>
    </cfRule>
  </conditionalFormatting>
  <conditionalFormatting sqref="I8:I42">
    <cfRule type="expression" priority="73" dxfId="13" stopIfTrue="1">
      <formula>AND(ISNUMBER($J8),$J8&lt;5000,INDEX(PayAct,$J8)&gt;0)</formula>
    </cfRule>
    <cfRule type="expression" priority="74" dxfId="0" stopIfTrue="0">
      <formula>AND(ISNUMBER($J8),$J8&lt;5000,INDEX(PayCat,$J8)="Income")</formula>
    </cfRule>
    <cfRule type="expression" priority="75" dxfId="3" stopIfTrue="0">
      <formula>AND(ISNUMBER($J8),$J8&lt;5000,INDEX(PayCat,$J8)="Debt")</formula>
    </cfRule>
    <cfRule type="expression" priority="76" dxfId="1" stopIfTrue="0">
      <formula>AND(ISNUMBER($J8),$J8&lt;5000,INDEX(PayCat,$J8)="Savings")</formula>
    </cfRule>
    <cfRule type="expression" priority="77" dxfId="5" stopIfTrue="0">
      <formula>AND(ISNUMBER($J8),$J8&lt;5000,INDEX(PayCat,$J8)="Bills")</formula>
    </cfRule>
    <cfRule type="expression" priority="78" dxfId="5" stopIfTrue="0">
      <formula>AND(ISNUMBER($J8),$J8&lt;5000,INDEX(PayCat,$J8)="Subscriptions")</formula>
    </cfRule>
  </conditionalFormatting>
  <conditionalFormatting sqref="K8:K42">
    <cfRule type="expression" priority="79" dxfId="13" stopIfTrue="1">
      <formula>AND(ISNUMBER($M8),$M8&lt;5000,INDEX(PayAct,$M8)&gt;0)</formula>
    </cfRule>
    <cfRule type="expression" priority="80" dxfId="0" stopIfTrue="0">
      <formula>AND(ISNUMBER($M8),$M8&lt;5000,INDEX(PayCat,$M8)="Income")</formula>
    </cfRule>
    <cfRule type="expression" priority="81" dxfId="3" stopIfTrue="0">
      <formula>AND(ISNUMBER($M8),$M8&lt;5000,INDEX(PayCat,$M8)="Debt")</formula>
    </cfRule>
    <cfRule type="expression" priority="82" dxfId="1" stopIfTrue="0">
      <formula>AND(ISNUMBER($M8),$M8&lt;5000,INDEX(PayCat,$M8)="Savings")</formula>
    </cfRule>
    <cfRule type="expression" priority="83" dxfId="5" stopIfTrue="0">
      <formula>AND(ISNUMBER($M8),$M8&lt;5000,INDEX(PayCat,$M8)="Bills")</formula>
    </cfRule>
    <cfRule type="expression" priority="84" dxfId="5" stopIfTrue="0">
      <formula>AND(ISNUMBER($M8),$M8&lt;5000,INDEX(PayCat,$M8)="Subscriptions")</formula>
    </cfRule>
  </conditionalFormatting>
  <conditionalFormatting sqref="L8:L42">
    <cfRule type="expression" priority="85" dxfId="13" stopIfTrue="1">
      <formula>AND(ISNUMBER($M8),$M8&lt;5000,INDEX(PayAct,$M8)&gt;0)</formula>
    </cfRule>
    <cfRule type="expression" priority="86" dxfId="0" stopIfTrue="0">
      <formula>AND(ISNUMBER($M8),$M8&lt;5000,INDEX(PayCat,$M8)="Income")</formula>
    </cfRule>
    <cfRule type="expression" priority="87" dxfId="3" stopIfTrue="0">
      <formula>AND(ISNUMBER($M8),$M8&lt;5000,INDEX(PayCat,$M8)="Debt")</formula>
    </cfRule>
    <cfRule type="expression" priority="88" dxfId="1" stopIfTrue="0">
      <formula>AND(ISNUMBER($M8),$M8&lt;5000,INDEX(PayCat,$M8)="Savings")</formula>
    </cfRule>
    <cfRule type="expression" priority="89" dxfId="5" stopIfTrue="0">
      <formula>AND(ISNUMBER($M8),$M8&lt;5000,INDEX(PayCat,$M8)="Bills")</formula>
    </cfRule>
    <cfRule type="expression" priority="90" dxfId="5" stopIfTrue="0">
      <formula>AND(ISNUMBER($M8),$M8&lt;5000,INDEX(PayCat,$M8)="Subscriptions")</formula>
    </cfRule>
  </conditionalFormatting>
  <conditionalFormatting sqref="N8:N42">
    <cfRule type="expression" priority="91" dxfId="13" stopIfTrue="1">
      <formula>AND(ISNUMBER($P8),$P8&lt;5000,INDEX(PayAct,$P8)&gt;0)</formula>
    </cfRule>
    <cfRule type="expression" priority="92" dxfId="0" stopIfTrue="0">
      <formula>AND(ISNUMBER($P8),$P8&lt;5000,INDEX(PayCat,$P8)="Income")</formula>
    </cfRule>
    <cfRule type="expression" priority="93" dxfId="3" stopIfTrue="0">
      <formula>AND(ISNUMBER($P8),$P8&lt;5000,INDEX(PayCat,$P8)="Debt")</formula>
    </cfRule>
    <cfRule type="expression" priority="94" dxfId="1" stopIfTrue="0">
      <formula>AND(ISNUMBER($P8),$P8&lt;5000,INDEX(PayCat,$P8)="Savings")</formula>
    </cfRule>
    <cfRule type="expression" priority="95" dxfId="5" stopIfTrue="0">
      <formula>AND(ISNUMBER($P8),$P8&lt;5000,INDEX(PayCat,$P8)="Bills")</formula>
    </cfRule>
    <cfRule type="expression" priority="96" dxfId="5" stopIfTrue="0">
      <formula>AND(ISNUMBER($P8),$P8&lt;5000,INDEX(PayCat,$P8)="Subscriptions")</formula>
    </cfRule>
  </conditionalFormatting>
  <conditionalFormatting sqref="O8:O42">
    <cfRule type="expression" priority="97" dxfId="13" stopIfTrue="1">
      <formula>AND(ISNUMBER($P8),$P8&lt;5000,INDEX(PayAct,$P8)&gt;0)</formula>
    </cfRule>
    <cfRule type="expression" priority="98" dxfId="0" stopIfTrue="0">
      <formula>AND(ISNUMBER($P8),$P8&lt;5000,INDEX(PayCat,$P8)="Income")</formula>
    </cfRule>
    <cfRule type="expression" priority="99" dxfId="3" stopIfTrue="0">
      <formula>AND(ISNUMBER($P8),$P8&lt;5000,INDEX(PayCat,$P8)="Debt")</formula>
    </cfRule>
    <cfRule type="expression" priority="100" dxfId="1" stopIfTrue="0">
      <formula>AND(ISNUMBER($P8),$P8&lt;5000,INDEX(PayCat,$P8)="Savings")</formula>
    </cfRule>
    <cfRule type="expression" priority="101" dxfId="5" stopIfTrue="0">
      <formula>AND(ISNUMBER($P8),$P8&lt;5000,INDEX(PayCat,$P8)="Bills")</formula>
    </cfRule>
    <cfRule type="expression" priority="102" dxfId="5" stopIfTrue="0">
      <formula>AND(ISNUMBER($P8),$P8&lt;5000,INDEX(PayCat,$P8)="Subscriptions")</formula>
    </cfRule>
  </conditionalFormatting>
  <conditionalFormatting sqref="Q8:Q42">
    <cfRule type="expression" priority="103" dxfId="13" stopIfTrue="1">
      <formula>AND(ISNUMBER($S8),$S8&lt;5000,INDEX(PayAct,$S8)&gt;0)</formula>
    </cfRule>
    <cfRule type="expression" priority="104" dxfId="0" stopIfTrue="0">
      <formula>AND(ISNUMBER($S8),$S8&lt;5000,INDEX(PayCat,$S8)="Income")</formula>
    </cfRule>
    <cfRule type="expression" priority="105" dxfId="3" stopIfTrue="0">
      <formula>AND(ISNUMBER($S8),$S8&lt;5000,INDEX(PayCat,$S8)="Debt")</formula>
    </cfRule>
    <cfRule type="expression" priority="106" dxfId="1" stopIfTrue="0">
      <formula>AND(ISNUMBER($S8),$S8&lt;5000,INDEX(PayCat,$S8)="Savings")</formula>
    </cfRule>
    <cfRule type="expression" priority="107" dxfId="5" stopIfTrue="0">
      <formula>AND(ISNUMBER($S8),$S8&lt;5000,INDEX(PayCat,$S8)="Bills")</formula>
    </cfRule>
    <cfRule type="expression" priority="108" dxfId="5" stopIfTrue="0">
      <formula>AND(ISNUMBER($S8),$S8&lt;5000,INDEX(PayCat,$S8)="Subscriptions")</formula>
    </cfRule>
  </conditionalFormatting>
  <conditionalFormatting sqref="R8:R42">
    <cfRule type="expression" priority="109" dxfId="13" stopIfTrue="1">
      <formula>AND(ISNUMBER($S8),$S8&lt;5000,INDEX(PayAct,$S8)&gt;0)</formula>
    </cfRule>
    <cfRule type="expression" priority="110" dxfId="0" stopIfTrue="0">
      <formula>AND(ISNUMBER($S8),$S8&lt;5000,INDEX(PayCat,$S8)="Income")</formula>
    </cfRule>
    <cfRule type="expression" priority="111" dxfId="3" stopIfTrue="0">
      <formula>AND(ISNUMBER($S8),$S8&lt;5000,INDEX(PayCat,$S8)="Debt")</formula>
    </cfRule>
    <cfRule type="expression" priority="112" dxfId="1" stopIfTrue="0">
      <formula>AND(ISNUMBER($S8),$S8&lt;5000,INDEX(PayCat,$S8)="Savings")</formula>
    </cfRule>
    <cfRule type="expression" priority="113" dxfId="5" stopIfTrue="0">
      <formula>AND(ISNUMBER($S8),$S8&lt;5000,INDEX(PayCat,$S8)="Bills")</formula>
    </cfRule>
    <cfRule type="expression" priority="114" dxfId="5" stopIfTrue="0">
      <formula>AND(ISNUMBER($S8),$S8&lt;5000,INDEX(PayCat,$S8)="Subscriptions")</formula>
    </cfRule>
  </conditionalFormatting>
  <conditionalFormatting sqref="T8:T42">
    <cfRule type="expression" priority="115" dxfId="13" stopIfTrue="1">
      <formula>AND(ISNUMBER($V8),$V8&lt;5000,INDEX(PayAct,$V8)&gt;0)</formula>
    </cfRule>
    <cfRule type="expression" priority="116" dxfId="0" stopIfTrue="0">
      <formula>AND(ISNUMBER($V8),$V8&lt;5000,INDEX(PayCat,$V8)="Income")</formula>
    </cfRule>
    <cfRule type="expression" priority="117" dxfId="3" stopIfTrue="0">
      <formula>AND(ISNUMBER($V8),$V8&lt;5000,INDEX(PayCat,$V8)="Debt")</formula>
    </cfRule>
    <cfRule type="expression" priority="118" dxfId="1" stopIfTrue="0">
      <formula>AND(ISNUMBER($V8),$V8&lt;5000,INDEX(PayCat,$V8)="Savings")</formula>
    </cfRule>
    <cfRule type="expression" priority="119" dxfId="5" stopIfTrue="0">
      <formula>AND(ISNUMBER($V8),$V8&lt;5000,INDEX(PayCat,$V8)="Bills")</formula>
    </cfRule>
    <cfRule type="expression" priority="120" dxfId="5" stopIfTrue="0">
      <formula>AND(ISNUMBER($V8),$V8&lt;5000,INDEX(PayCat,$V8)="Subscriptions")</formula>
    </cfRule>
  </conditionalFormatting>
  <conditionalFormatting sqref="U8:U42">
    <cfRule type="expression" priority="121" dxfId="13" stopIfTrue="1">
      <formula>AND(ISNUMBER($V8),$V8&lt;5000,INDEX(PayAct,$V8)&gt;0)</formula>
    </cfRule>
    <cfRule type="expression" priority="122" dxfId="0" stopIfTrue="0">
      <formula>AND(ISNUMBER($V8),$V8&lt;5000,INDEX(PayCat,$V8)="Income")</formula>
    </cfRule>
    <cfRule type="expression" priority="123" dxfId="3" stopIfTrue="0">
      <formula>AND(ISNUMBER($V8),$V8&lt;5000,INDEX(PayCat,$V8)="Debt")</formula>
    </cfRule>
    <cfRule type="expression" priority="124" dxfId="1" stopIfTrue="0">
      <formula>AND(ISNUMBER($V8),$V8&lt;5000,INDEX(PayCat,$V8)="Savings")</formula>
    </cfRule>
    <cfRule type="expression" priority="125" dxfId="5" stopIfTrue="0">
      <formula>AND(ISNUMBER($V8),$V8&lt;5000,INDEX(PayCat,$V8)="Bills")</formula>
    </cfRule>
    <cfRule type="expression" priority="126" dxfId="5" stopIfTrue="0">
      <formula>AND(ISNUMBER($V8),$V8&lt;5000,INDEX(PayCat,$V8)="Subscriptions")</formula>
    </cfRule>
  </conditionalFormatting>
  <dataValidations count="1">
    <dataValidation sqref="N3" showDropDown="0" showInputMessage="0" showErrorMessage="0" allowBlank="1" error="Please pick a value from the list." type="list" errorStyle="warning">
      <formula1>=Lists!$L$2:$L$3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B224"/>
    <outlinePr summaryBelow="1" summaryRight="1"/>
    <pageSetUpPr/>
  </sheetPr>
  <dimension ref="A1:V30"/>
  <sheetViews>
    <sheetView showGridLines="0" zoomScale="90" workbookViewId="0">
      <selection activeCell="A1" sqref="A1"/>
    </sheetView>
  </sheetViews>
  <sheetFormatPr baseColWidth="8" defaultRowHeight="15"/>
  <cols>
    <col width="2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13" customWidth="1" style="1" min="6" max="6"/>
    <col width="13" customWidth="1" style="1" min="7" max="7"/>
    <col width="12" customWidth="1" style="1" min="8" max="8"/>
    <col width="11" customWidth="1" style="1" min="9" max="9"/>
    <col width="10" customWidth="1" style="1" min="10" max="10"/>
    <col width="13" customWidth="1" style="1" min="11" max="11"/>
    <col width="12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27" t="inlineStr">
        <is>
          <t>SINKING FUNDS / SAVINGS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1" t="n"/>
      <c r="B3" s="7" t="inlineStr">
        <is>
          <t>Name each fund exactly like its Savings sub-category in Setup — contributions are pulled automatically from Payments &amp; the Manual Log.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s="1" t="n"/>
      <c r="B4" s="29" t="inlineStr">
        <is>
          <t>SAVINGS GOALS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</row>
    <row r="5">
      <c r="A5" s="1" t="n"/>
      <c r="B5" s="31" t="inlineStr">
        <is>
          <t>FUND</t>
        </is>
      </c>
      <c r="C5" s="31" t="inlineStr">
        <is>
          <t>GOAL</t>
        </is>
      </c>
      <c r="D5" s="31" t="inlineStr">
        <is>
          <t>TARGET DATE</t>
        </is>
      </c>
      <c r="E5" s="31" t="inlineStr">
        <is>
          <t>ALREADY SAVED</t>
        </is>
      </c>
      <c r="F5" s="31" t="inlineStr">
        <is>
          <t>CONTRIBUTIONS</t>
        </is>
      </c>
      <c r="G5" s="31" t="inlineStr">
        <is>
          <t>TOTAL SAVED</t>
        </is>
      </c>
      <c r="H5" s="31" t="inlineStr">
        <is>
          <t>LEFT TO SAVE</t>
        </is>
      </c>
      <c r="I5" s="31" t="inlineStr">
        <is>
          <t>PROGRESS</t>
        </is>
      </c>
      <c r="J5" s="31" t="inlineStr">
        <is>
          <t>MONTHS LEFT</t>
        </is>
      </c>
      <c r="K5" s="31" t="inlineStr">
        <is>
          <t>NEEDED / MONTH</t>
        </is>
      </c>
      <c r="L5" s="31" t="inlineStr">
        <is>
          <t>STATUS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A6" s="1" t="n"/>
      <c r="B6" s="17" t="inlineStr">
        <is>
          <t>Holiday</t>
        </is>
      </c>
      <c r="C6" s="132" t="n">
        <v>2400</v>
      </c>
      <c r="D6" s="13" t="n">
        <v>46357</v>
      </c>
      <c r="E6" s="132" t="n">
        <v>300</v>
      </c>
      <c r="F6" s="133">
        <f>IF(B6="","",SUMIFS(Payments!$Q$6:$Q$1205,Payments!$I$6:$I$1205,"Savings",Payments!$E$6:$E$1205,B6)+SUMIFS('Manual Log'!$E$6:$E$1005,'Manual Log'!$C$6:$C$1005,"Savings",'Manual Log'!$D$6:$D$1005,B6))</f>
        <v/>
      </c>
      <c r="G6" s="134">
        <f>IF(B6="","",N(E6)+F6)</f>
        <v/>
      </c>
      <c r="H6" s="133">
        <f>IF(B6="","",MAX(0,N(C6)-G6))</f>
        <v/>
      </c>
      <c r="I6" s="60">
        <f>IF(OR(B6="",N(C6)=0),"",MIN(1,G6/C6))</f>
        <v/>
      </c>
      <c r="J6" s="135">
        <f>IF(OR(B6="",D6=""),"",MAX(0,DATEDIF(MIN(TODAY(),D6),D6,"m")))</f>
        <v/>
      </c>
      <c r="K6" s="133">
        <f>IF(OR(B6="",J6=""),"",IF(H6=0,0,H6/MAX(1,J6)))</f>
        <v/>
      </c>
      <c r="L6" s="32">
        <f>IF(B6="","",IF(G6&gt;=N(C6),"✓ Reached",IF(AND(D6&lt;&gt;"",D6&lt;TODAY()),"Overdue","Ongoing")))</f>
        <v/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s="1" t="n"/>
      <c r="B7" s="17" t="inlineStr">
        <is>
          <t>Emergency Fund</t>
        </is>
      </c>
      <c r="C7" s="132" t="n">
        <v>10000</v>
      </c>
      <c r="D7" s="13" t="n">
        <v>46568</v>
      </c>
      <c r="E7" s="132" t="n">
        <v>2000</v>
      </c>
      <c r="F7" s="133">
        <f>IF(B7="","",SUMIFS(Payments!$Q$6:$Q$1205,Payments!$I$6:$I$1205,"Savings",Payments!$E$6:$E$1205,B7)+SUMIFS('Manual Log'!$E$6:$E$1005,'Manual Log'!$C$6:$C$1005,"Savings",'Manual Log'!$D$6:$D$1005,B7))</f>
        <v/>
      </c>
      <c r="G7" s="134">
        <f>IF(B7="","",N(E7)+F7)</f>
        <v/>
      </c>
      <c r="H7" s="133">
        <f>IF(B7="","",MAX(0,N(C7)-G7))</f>
        <v/>
      </c>
      <c r="I7" s="60">
        <f>IF(OR(B7="",N(C7)=0),"",MIN(1,G7/C7))</f>
        <v/>
      </c>
      <c r="J7" s="135">
        <f>IF(OR(B7="",D7=""),"",MAX(0,DATEDIF(MIN(TODAY(),D7),D7,"m")))</f>
        <v/>
      </c>
      <c r="K7" s="133">
        <f>IF(OR(B7="",J7=""),"",IF(H7=0,0,H7/MAX(1,J7)))</f>
        <v/>
      </c>
      <c r="L7" s="32">
        <f>IF(B7="","",IF(G7&gt;=N(C7),"✓ Reached",IF(AND(D7&lt;&gt;"",D7&lt;TODAY()),"Overdue","Ongoing")))</f>
        <v/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1" t="n"/>
      <c r="B8" s="17" t="inlineStr">
        <is>
          <t>New Laptop</t>
        </is>
      </c>
      <c r="C8" s="132" t="n">
        <v>1800</v>
      </c>
      <c r="D8" s="13" t="n">
        <v>46326</v>
      </c>
      <c r="E8" s="132" t="n">
        <v>0</v>
      </c>
      <c r="F8" s="133">
        <f>IF(B8="","",SUMIFS(Payments!$Q$6:$Q$1205,Payments!$I$6:$I$1205,"Savings",Payments!$E$6:$E$1205,B8)+SUMIFS('Manual Log'!$E$6:$E$1005,'Manual Log'!$C$6:$C$1005,"Savings",'Manual Log'!$D$6:$D$1005,B8))</f>
        <v/>
      </c>
      <c r="G8" s="134">
        <f>IF(B8="","",N(E8)+F8)</f>
        <v/>
      </c>
      <c r="H8" s="133">
        <f>IF(B8="","",MAX(0,N(C8)-G8))</f>
        <v/>
      </c>
      <c r="I8" s="60">
        <f>IF(OR(B8="",N(C8)=0),"",MIN(1,G8/C8))</f>
        <v/>
      </c>
      <c r="J8" s="135">
        <f>IF(OR(B8="",D8=""),"",MAX(0,DATEDIF(MIN(TODAY(),D8),D8,"m")))</f>
        <v/>
      </c>
      <c r="K8" s="133">
        <f>IF(OR(B8="",J8=""),"",IF(H8=0,0,H8/MAX(1,J8)))</f>
        <v/>
      </c>
      <c r="L8" s="32">
        <f>IF(B8="","",IF(G8&gt;=N(C8),"✓ Reached",IF(AND(D8&lt;&gt;"",D8&lt;TODAY()),"Overdue","Ongoing")))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</row>
    <row r="9">
      <c r="A9" s="1" t="n"/>
      <c r="B9" s="17" t="inlineStr">
        <is>
          <t>Home Repairs</t>
        </is>
      </c>
      <c r="C9" s="132" t="n">
        <v>1500</v>
      </c>
      <c r="D9" s="13" t="n">
        <v>46477</v>
      </c>
      <c r="E9" s="132" t="n">
        <v>200</v>
      </c>
      <c r="F9" s="133">
        <f>IF(B9="","",SUMIFS(Payments!$Q$6:$Q$1205,Payments!$I$6:$I$1205,"Savings",Payments!$E$6:$E$1205,B9)+SUMIFS('Manual Log'!$E$6:$E$1005,'Manual Log'!$C$6:$C$1005,"Savings",'Manual Log'!$D$6:$D$1005,B9))</f>
        <v/>
      </c>
      <c r="G9" s="134">
        <f>IF(B9="","",N(E9)+F9)</f>
        <v/>
      </c>
      <c r="H9" s="133">
        <f>IF(B9="","",MAX(0,N(C9)-G9))</f>
        <v/>
      </c>
      <c r="I9" s="60">
        <f>IF(OR(B9="",N(C9)=0),"",MIN(1,G9/C9))</f>
        <v/>
      </c>
      <c r="J9" s="135">
        <f>IF(OR(B9="",D9=""),"",MAX(0,DATEDIF(MIN(TODAY(),D9),D9,"m")))</f>
        <v/>
      </c>
      <c r="K9" s="133">
        <f>IF(OR(B9="",J9=""),"",IF(H9=0,0,H9/MAX(1,J9)))</f>
        <v/>
      </c>
      <c r="L9" s="32">
        <f>IF(B9="","",IF(G9&gt;=N(C9),"✓ Reached",IF(AND(D9&lt;&gt;"",D9&lt;TODAY()),"Overdue","Ongoing")))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</row>
    <row r="10">
      <c r="A10" s="1" t="n"/>
      <c r="B10" s="17" t="inlineStr">
        <is>
          <t>Wedding</t>
        </is>
      </c>
      <c r="C10" s="132" t="n">
        <v>12000</v>
      </c>
      <c r="D10" s="13" t="n">
        <v>46660</v>
      </c>
      <c r="E10" s="132" t="n">
        <v>3000</v>
      </c>
      <c r="F10" s="133">
        <f>IF(B10="","",SUMIFS(Payments!$Q$6:$Q$1205,Payments!$I$6:$I$1205,"Savings",Payments!$E$6:$E$1205,B10)+SUMIFS('Manual Log'!$E$6:$E$1005,'Manual Log'!$C$6:$C$1005,"Savings",'Manual Log'!$D$6:$D$1005,B10))</f>
        <v/>
      </c>
      <c r="G10" s="134">
        <f>IF(B10="","",N(E10)+F10)</f>
        <v/>
      </c>
      <c r="H10" s="133">
        <f>IF(B10="","",MAX(0,N(C10)-G10))</f>
        <v/>
      </c>
      <c r="I10" s="60">
        <f>IF(OR(B10="",N(C10)=0),"",MIN(1,G10/C10))</f>
        <v/>
      </c>
      <c r="J10" s="135">
        <f>IF(OR(B10="",D10=""),"",MAX(0,DATEDIF(MIN(TODAY(),D10),D10,"m")))</f>
        <v/>
      </c>
      <c r="K10" s="133">
        <f>IF(OR(B10="",J10=""),"",IF(H10=0,0,H10/MAX(1,J10)))</f>
        <v/>
      </c>
      <c r="L10" s="32">
        <f>IF(B10="","",IF(G10&gt;=N(C10),"✓ Reached",IF(AND(D10&lt;&gt;"",D10&lt;TODAY()),"Overdue","Ongoing")))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</row>
    <row r="11">
      <c r="A11" s="1" t="n"/>
      <c r="B11" s="17" t="n"/>
      <c r="C11" s="132" t="n"/>
      <c r="D11" s="13" t="n"/>
      <c r="E11" s="132" t="n"/>
      <c r="F11" s="133">
        <f>IF(B11="","",SUMIFS(Payments!$Q$6:$Q$1205,Payments!$I$6:$I$1205,"Savings",Payments!$E$6:$E$1205,B11)+SUMIFS('Manual Log'!$E$6:$E$1005,'Manual Log'!$C$6:$C$1005,"Savings",'Manual Log'!$D$6:$D$1005,B11))</f>
        <v/>
      </c>
      <c r="G11" s="134">
        <f>IF(B11="","",N(E11)+F11)</f>
        <v/>
      </c>
      <c r="H11" s="133">
        <f>IF(B11="","",MAX(0,N(C11)-G11))</f>
        <v/>
      </c>
      <c r="I11" s="60">
        <f>IF(OR(B11="",N(C11)=0),"",MIN(1,G11/C11))</f>
        <v/>
      </c>
      <c r="J11" s="135">
        <f>IF(OR(B11="",D11=""),"",MAX(0,DATEDIF(MIN(TODAY(),D11),D11,"m")))</f>
        <v/>
      </c>
      <c r="K11" s="133">
        <f>IF(OR(B11="",J11=""),"",IF(H11=0,0,H11/MAX(1,J11)))</f>
        <v/>
      </c>
      <c r="L11" s="32">
        <f>IF(B11="","",IF(G11&gt;=N(C11),"✓ Reached",IF(AND(D11&lt;&gt;"",D11&lt;TODAY()),"Overdue","Ongoing")))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</row>
    <row r="12">
      <c r="A12" s="1" t="n"/>
      <c r="B12" s="17" t="n"/>
      <c r="C12" s="132" t="n"/>
      <c r="D12" s="13" t="n"/>
      <c r="E12" s="132" t="n"/>
      <c r="F12" s="133">
        <f>IF(B12="","",SUMIFS(Payments!$Q$6:$Q$1205,Payments!$I$6:$I$1205,"Savings",Payments!$E$6:$E$1205,B12)+SUMIFS('Manual Log'!$E$6:$E$1005,'Manual Log'!$C$6:$C$1005,"Savings",'Manual Log'!$D$6:$D$1005,B12))</f>
        <v/>
      </c>
      <c r="G12" s="134">
        <f>IF(B12="","",N(E12)+F12)</f>
        <v/>
      </c>
      <c r="H12" s="133">
        <f>IF(B12="","",MAX(0,N(C12)-G12))</f>
        <v/>
      </c>
      <c r="I12" s="60">
        <f>IF(OR(B12="",N(C12)=0),"",MIN(1,G12/C12))</f>
        <v/>
      </c>
      <c r="J12" s="135">
        <f>IF(OR(B12="",D12=""),"",MAX(0,DATEDIF(MIN(TODAY(),D12),D12,"m")))</f>
        <v/>
      </c>
      <c r="K12" s="133">
        <f>IF(OR(B12="",J12=""),"",IF(H12=0,0,H12/MAX(1,J12)))</f>
        <v/>
      </c>
      <c r="L12" s="32">
        <f>IF(B12="","",IF(G12&gt;=N(C12),"✓ Reached",IF(AND(D12&lt;&gt;"",D12&lt;TODAY()),"Overdue","Ongoing")))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s="1" t="n"/>
      <c r="B13" s="17" t="n"/>
      <c r="C13" s="132" t="n"/>
      <c r="D13" s="13" t="n"/>
      <c r="E13" s="132" t="n"/>
      <c r="F13" s="133">
        <f>IF(B13="","",SUMIFS(Payments!$Q$6:$Q$1205,Payments!$I$6:$I$1205,"Savings",Payments!$E$6:$E$1205,B13)+SUMIFS('Manual Log'!$E$6:$E$1005,'Manual Log'!$C$6:$C$1005,"Savings",'Manual Log'!$D$6:$D$1005,B13))</f>
        <v/>
      </c>
      <c r="G13" s="134">
        <f>IF(B13="","",N(E13)+F13)</f>
        <v/>
      </c>
      <c r="H13" s="133">
        <f>IF(B13="","",MAX(0,N(C13)-G13))</f>
        <v/>
      </c>
      <c r="I13" s="60">
        <f>IF(OR(B13="",N(C13)=0),"",MIN(1,G13/C13))</f>
        <v/>
      </c>
      <c r="J13" s="135">
        <f>IF(OR(B13="",D13=""),"",MAX(0,DATEDIF(MIN(TODAY(),D13),D13,"m")))</f>
        <v/>
      </c>
      <c r="K13" s="133">
        <f>IF(OR(B13="",J13=""),"",IF(H13=0,0,H13/MAX(1,J13)))</f>
        <v/>
      </c>
      <c r="L13" s="32">
        <f>IF(B13="","",IF(G13&gt;=N(C13),"✓ Reached",IF(AND(D13&lt;&gt;"",D13&lt;TODAY()),"Overdue","Ongoing")))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</row>
    <row r="14">
      <c r="A14" s="1" t="n"/>
      <c r="B14" s="17" t="n"/>
      <c r="C14" s="132" t="n"/>
      <c r="D14" s="13" t="n"/>
      <c r="E14" s="132" t="n"/>
      <c r="F14" s="133">
        <f>IF(B14="","",SUMIFS(Payments!$Q$6:$Q$1205,Payments!$I$6:$I$1205,"Savings",Payments!$E$6:$E$1205,B14)+SUMIFS('Manual Log'!$E$6:$E$1005,'Manual Log'!$C$6:$C$1005,"Savings",'Manual Log'!$D$6:$D$1005,B14))</f>
        <v/>
      </c>
      <c r="G14" s="134">
        <f>IF(B14="","",N(E14)+F14)</f>
        <v/>
      </c>
      <c r="H14" s="133">
        <f>IF(B14="","",MAX(0,N(C14)-G14))</f>
        <v/>
      </c>
      <c r="I14" s="60">
        <f>IF(OR(B14="",N(C14)=0),"",MIN(1,G14/C14))</f>
        <v/>
      </c>
      <c r="J14" s="135">
        <f>IF(OR(B14="",D14=""),"",MAX(0,DATEDIF(MIN(TODAY(),D14),D14,"m")))</f>
        <v/>
      </c>
      <c r="K14" s="133">
        <f>IF(OR(B14="",J14=""),"",IF(H14=0,0,H14/MAX(1,J14)))</f>
        <v/>
      </c>
      <c r="L14" s="32">
        <f>IF(B14="","",IF(G14&gt;=N(C14),"✓ Reached",IF(AND(D14&lt;&gt;"",D14&lt;TODAY()),"Overdue","Ongoing")))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</row>
    <row r="15">
      <c r="A15" s="1" t="n"/>
      <c r="B15" s="17" t="n"/>
      <c r="C15" s="132" t="n"/>
      <c r="D15" s="13" t="n"/>
      <c r="E15" s="132" t="n"/>
      <c r="F15" s="133">
        <f>IF(B15="","",SUMIFS(Payments!$Q$6:$Q$1205,Payments!$I$6:$I$1205,"Savings",Payments!$E$6:$E$1205,B15)+SUMIFS('Manual Log'!$E$6:$E$1005,'Manual Log'!$C$6:$C$1005,"Savings",'Manual Log'!$D$6:$D$1005,B15))</f>
        <v/>
      </c>
      <c r="G15" s="134">
        <f>IF(B15="","",N(E15)+F15)</f>
        <v/>
      </c>
      <c r="H15" s="133">
        <f>IF(B15="","",MAX(0,N(C15)-G15))</f>
        <v/>
      </c>
      <c r="I15" s="60">
        <f>IF(OR(B15="",N(C15)=0),"",MIN(1,G15/C15))</f>
        <v/>
      </c>
      <c r="J15" s="135">
        <f>IF(OR(B15="",D15=""),"",MAX(0,DATEDIF(MIN(TODAY(),D15),D15,"m")))</f>
        <v/>
      </c>
      <c r="K15" s="133">
        <f>IF(OR(B15="",J15=""),"",IF(H15=0,0,H15/MAX(1,J15)))</f>
        <v/>
      </c>
      <c r="L15" s="32">
        <f>IF(B15="","",IF(G15&gt;=N(C15),"✓ Reached",IF(AND(D15&lt;&gt;"",D15&lt;TODAY()),"Overdue","Ongoing")))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</row>
    <row r="16">
      <c r="A16" s="1" t="n"/>
      <c r="B16" s="17" t="n"/>
      <c r="C16" s="132" t="n"/>
      <c r="D16" s="13" t="n"/>
      <c r="E16" s="132" t="n"/>
      <c r="F16" s="133">
        <f>IF(B16="","",SUMIFS(Payments!$Q$6:$Q$1205,Payments!$I$6:$I$1205,"Savings",Payments!$E$6:$E$1205,B16)+SUMIFS('Manual Log'!$E$6:$E$1005,'Manual Log'!$C$6:$C$1005,"Savings",'Manual Log'!$D$6:$D$1005,B16))</f>
        <v/>
      </c>
      <c r="G16" s="134">
        <f>IF(B16="","",N(E16)+F16)</f>
        <v/>
      </c>
      <c r="H16" s="133">
        <f>IF(B16="","",MAX(0,N(C16)-G16))</f>
        <v/>
      </c>
      <c r="I16" s="60">
        <f>IF(OR(B16="",N(C16)=0),"",MIN(1,G16/C16))</f>
        <v/>
      </c>
      <c r="J16" s="135">
        <f>IF(OR(B16="",D16=""),"",MAX(0,DATEDIF(MIN(TODAY(),D16),D16,"m")))</f>
        <v/>
      </c>
      <c r="K16" s="133">
        <f>IF(OR(B16="",J16=""),"",IF(H16=0,0,H16/MAX(1,J16)))</f>
        <v/>
      </c>
      <c r="L16" s="32">
        <f>IF(B16="","",IF(G16&gt;=N(C16),"✓ Reached",IF(AND(D16&lt;&gt;"",D16&lt;TODAY()),"Overdue","Ongoing")))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</row>
    <row r="17">
      <c r="A17" s="1" t="n"/>
      <c r="B17" s="17" t="n"/>
      <c r="C17" s="132" t="n"/>
      <c r="D17" s="13" t="n"/>
      <c r="E17" s="132" t="n"/>
      <c r="F17" s="133">
        <f>IF(B17="","",SUMIFS(Payments!$Q$6:$Q$1205,Payments!$I$6:$I$1205,"Savings",Payments!$E$6:$E$1205,B17)+SUMIFS('Manual Log'!$E$6:$E$1005,'Manual Log'!$C$6:$C$1005,"Savings",'Manual Log'!$D$6:$D$1005,B17))</f>
        <v/>
      </c>
      <c r="G17" s="134">
        <f>IF(B17="","",N(E17)+F17)</f>
        <v/>
      </c>
      <c r="H17" s="133">
        <f>IF(B17="","",MAX(0,N(C17)-G17))</f>
        <v/>
      </c>
      <c r="I17" s="60">
        <f>IF(OR(B17="",N(C17)=0),"",MIN(1,G17/C17))</f>
        <v/>
      </c>
      <c r="J17" s="135">
        <f>IF(OR(B17="",D17=""),"",MAX(0,DATEDIF(MIN(TODAY(),D17),D17,"m")))</f>
        <v/>
      </c>
      <c r="K17" s="133">
        <f>IF(OR(B17="",J17=""),"",IF(H17=0,0,H17/MAX(1,J17)))</f>
        <v/>
      </c>
      <c r="L17" s="32">
        <f>IF(B17="","",IF(G17&gt;=N(C17),"✓ Reached",IF(AND(D17&lt;&gt;"",D17&lt;TODAY()),"Overdue","Ongoing")))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</row>
    <row r="18">
      <c r="A18" s="1" t="n"/>
      <c r="B18" s="17" t="n"/>
      <c r="C18" s="132" t="n"/>
      <c r="D18" s="13" t="n"/>
      <c r="E18" s="132" t="n"/>
      <c r="F18" s="133">
        <f>IF(B18="","",SUMIFS(Payments!$Q$6:$Q$1205,Payments!$I$6:$I$1205,"Savings",Payments!$E$6:$E$1205,B18)+SUMIFS('Manual Log'!$E$6:$E$1005,'Manual Log'!$C$6:$C$1005,"Savings",'Manual Log'!$D$6:$D$1005,B18))</f>
        <v/>
      </c>
      <c r="G18" s="134">
        <f>IF(B18="","",N(E18)+F18)</f>
        <v/>
      </c>
      <c r="H18" s="133">
        <f>IF(B18="","",MAX(0,N(C18)-G18))</f>
        <v/>
      </c>
      <c r="I18" s="60">
        <f>IF(OR(B18="",N(C18)=0),"",MIN(1,G18/C18))</f>
        <v/>
      </c>
      <c r="J18" s="135">
        <f>IF(OR(B18="",D18=""),"",MAX(0,DATEDIF(MIN(TODAY(),D18),D18,"m")))</f>
        <v/>
      </c>
      <c r="K18" s="133">
        <f>IF(OR(B18="",J18=""),"",IF(H18=0,0,H18/MAX(1,J18)))</f>
        <v/>
      </c>
      <c r="L18" s="32">
        <f>IF(B18="","",IF(G18&gt;=N(C18),"✓ Reached",IF(AND(D18&lt;&gt;"",D18&lt;TODAY()),"Overdue","Ongoing")))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</row>
    <row r="19">
      <c r="A19" s="1" t="n"/>
      <c r="B19" s="17" t="n"/>
      <c r="C19" s="132" t="n"/>
      <c r="D19" s="13" t="n"/>
      <c r="E19" s="132" t="n"/>
      <c r="F19" s="133">
        <f>IF(B19="","",SUMIFS(Payments!$Q$6:$Q$1205,Payments!$I$6:$I$1205,"Savings",Payments!$E$6:$E$1205,B19)+SUMIFS('Manual Log'!$E$6:$E$1005,'Manual Log'!$C$6:$C$1005,"Savings",'Manual Log'!$D$6:$D$1005,B19))</f>
        <v/>
      </c>
      <c r="G19" s="134">
        <f>IF(B19="","",N(E19)+F19)</f>
        <v/>
      </c>
      <c r="H19" s="133">
        <f>IF(B19="","",MAX(0,N(C19)-G19))</f>
        <v/>
      </c>
      <c r="I19" s="60">
        <f>IF(OR(B19="",N(C19)=0),"",MIN(1,G19/C19))</f>
        <v/>
      </c>
      <c r="J19" s="135">
        <f>IF(OR(B19="",D19=""),"",MAX(0,DATEDIF(MIN(TODAY(),D19),D19,"m")))</f>
        <v/>
      </c>
      <c r="K19" s="133">
        <f>IF(OR(B19="",J19=""),"",IF(H19=0,0,H19/MAX(1,J19)))</f>
        <v/>
      </c>
      <c r="L19" s="32">
        <f>IF(B19="","",IF(G19&gt;=N(C19),"✓ Reached",IF(AND(D19&lt;&gt;"",D19&lt;TODAY()),"Overdue","Ongoing")))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</row>
    <row r="20">
      <c r="A20" s="1" t="n"/>
      <c r="B20" s="17" t="n"/>
      <c r="C20" s="132" t="n"/>
      <c r="D20" s="13" t="n"/>
      <c r="E20" s="132" t="n"/>
      <c r="F20" s="133">
        <f>IF(B20="","",SUMIFS(Payments!$Q$6:$Q$1205,Payments!$I$6:$I$1205,"Savings",Payments!$E$6:$E$1205,B20)+SUMIFS('Manual Log'!$E$6:$E$1005,'Manual Log'!$C$6:$C$1005,"Savings",'Manual Log'!$D$6:$D$1005,B20))</f>
        <v/>
      </c>
      <c r="G20" s="134">
        <f>IF(B20="","",N(E20)+F20)</f>
        <v/>
      </c>
      <c r="H20" s="133">
        <f>IF(B20="","",MAX(0,N(C20)-G20))</f>
        <v/>
      </c>
      <c r="I20" s="60">
        <f>IF(OR(B20="",N(C20)=0),"",MIN(1,G20/C20))</f>
        <v/>
      </c>
      <c r="J20" s="135">
        <f>IF(OR(B20="",D20=""),"",MAX(0,DATEDIF(MIN(TODAY(),D20),D20,"m")))</f>
        <v/>
      </c>
      <c r="K20" s="133">
        <f>IF(OR(B20="",J20=""),"",IF(H20=0,0,H20/MAX(1,J20)))</f>
        <v/>
      </c>
      <c r="L20" s="32">
        <f>IF(B20="","",IF(G20&gt;=N(C20),"✓ Reached",IF(AND(D20&lt;&gt;"",D20&lt;TODAY()),"Overdue","Ongoing")))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</row>
    <row r="21">
      <c r="A21" s="1" t="n"/>
      <c r="B21" s="17" t="n"/>
      <c r="C21" s="132" t="n"/>
      <c r="D21" s="13" t="n"/>
      <c r="E21" s="132" t="n"/>
      <c r="F21" s="133">
        <f>IF(B21="","",SUMIFS(Payments!$Q$6:$Q$1205,Payments!$I$6:$I$1205,"Savings",Payments!$E$6:$E$1205,B21)+SUMIFS('Manual Log'!$E$6:$E$1005,'Manual Log'!$C$6:$C$1005,"Savings",'Manual Log'!$D$6:$D$1005,B21))</f>
        <v/>
      </c>
      <c r="G21" s="134">
        <f>IF(B21="","",N(E21)+F21)</f>
        <v/>
      </c>
      <c r="H21" s="133">
        <f>IF(B21="","",MAX(0,N(C21)-G21))</f>
        <v/>
      </c>
      <c r="I21" s="60">
        <f>IF(OR(B21="",N(C21)=0),"",MIN(1,G21/C21))</f>
        <v/>
      </c>
      <c r="J21" s="135">
        <f>IF(OR(B21="",D21=""),"",MAX(0,DATEDIF(MIN(TODAY(),D21),D21,"m")))</f>
        <v/>
      </c>
      <c r="K21" s="133">
        <f>IF(OR(B21="",J21=""),"",IF(H21=0,0,H21/MAX(1,J21)))</f>
        <v/>
      </c>
      <c r="L21" s="32">
        <f>IF(B21="","",IF(G21&gt;=N(C21),"✓ Reached",IF(AND(D21&lt;&gt;"",D21&lt;TODAY()),"Overdue","Ongoing")))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s="1" t="n"/>
      <c r="B22" s="17" t="n"/>
      <c r="C22" s="132" t="n"/>
      <c r="D22" s="13" t="n"/>
      <c r="E22" s="132" t="n"/>
      <c r="F22" s="133">
        <f>IF(B22="","",SUMIFS(Payments!$Q$6:$Q$1205,Payments!$I$6:$I$1205,"Savings",Payments!$E$6:$E$1205,B22)+SUMIFS('Manual Log'!$E$6:$E$1005,'Manual Log'!$C$6:$C$1005,"Savings",'Manual Log'!$D$6:$D$1005,B22))</f>
        <v/>
      </c>
      <c r="G22" s="134">
        <f>IF(B22="","",N(E22)+F22)</f>
        <v/>
      </c>
      <c r="H22" s="133">
        <f>IF(B22="","",MAX(0,N(C22)-G22))</f>
        <v/>
      </c>
      <c r="I22" s="60">
        <f>IF(OR(B22="",N(C22)=0),"",MIN(1,G22/C22))</f>
        <v/>
      </c>
      <c r="J22" s="135">
        <f>IF(OR(B22="",D22=""),"",MAX(0,DATEDIF(MIN(TODAY(),D22),D22,"m")))</f>
        <v/>
      </c>
      <c r="K22" s="133">
        <f>IF(OR(B22="",J22=""),"",IF(H22=0,0,H22/MAX(1,J22)))</f>
        <v/>
      </c>
      <c r="L22" s="32">
        <f>IF(B22="","",IF(G22&gt;=N(C22),"✓ Reached",IF(AND(D22&lt;&gt;"",D22&lt;TODAY()),"Overdue","Ongoing")))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</row>
    <row r="23">
      <c r="A23" s="1" t="n"/>
      <c r="B23" s="17" t="n"/>
      <c r="C23" s="132" t="n"/>
      <c r="D23" s="13" t="n"/>
      <c r="E23" s="132" t="n"/>
      <c r="F23" s="133">
        <f>IF(B23="","",SUMIFS(Payments!$Q$6:$Q$1205,Payments!$I$6:$I$1205,"Savings",Payments!$E$6:$E$1205,B23)+SUMIFS('Manual Log'!$E$6:$E$1005,'Manual Log'!$C$6:$C$1005,"Savings",'Manual Log'!$D$6:$D$1005,B23))</f>
        <v/>
      </c>
      <c r="G23" s="134">
        <f>IF(B23="","",N(E23)+F23)</f>
        <v/>
      </c>
      <c r="H23" s="133">
        <f>IF(B23="","",MAX(0,N(C23)-G23))</f>
        <v/>
      </c>
      <c r="I23" s="60">
        <f>IF(OR(B23="",N(C23)=0),"",MIN(1,G23/C23))</f>
        <v/>
      </c>
      <c r="J23" s="135">
        <f>IF(OR(B23="",D23=""),"",MAX(0,DATEDIF(MIN(TODAY(),D23),D23,"m")))</f>
        <v/>
      </c>
      <c r="K23" s="133">
        <f>IF(OR(B23="",J23=""),"",IF(H23=0,0,H23/MAX(1,J23)))</f>
        <v/>
      </c>
      <c r="L23" s="32">
        <f>IF(B23="","",IF(G23&gt;=N(C23),"✓ Reached",IF(AND(D23&lt;&gt;"",D23&lt;TODAY()),"Overdue","Ongoing")))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</row>
    <row r="24">
      <c r="A24" s="1" t="n"/>
      <c r="B24" s="17" t="n"/>
      <c r="C24" s="132" t="n"/>
      <c r="D24" s="13" t="n"/>
      <c r="E24" s="132" t="n"/>
      <c r="F24" s="133">
        <f>IF(B24="","",SUMIFS(Payments!$Q$6:$Q$1205,Payments!$I$6:$I$1205,"Savings",Payments!$E$6:$E$1205,B24)+SUMIFS('Manual Log'!$E$6:$E$1005,'Manual Log'!$C$6:$C$1005,"Savings",'Manual Log'!$D$6:$D$1005,B24))</f>
        <v/>
      </c>
      <c r="G24" s="134">
        <f>IF(B24="","",N(E24)+F24)</f>
        <v/>
      </c>
      <c r="H24" s="133">
        <f>IF(B24="","",MAX(0,N(C24)-G24))</f>
        <v/>
      </c>
      <c r="I24" s="60">
        <f>IF(OR(B24="",N(C24)=0),"",MIN(1,G24/C24))</f>
        <v/>
      </c>
      <c r="J24" s="135">
        <f>IF(OR(B24="",D24=""),"",MAX(0,DATEDIF(MIN(TODAY(),D24),D24,"m")))</f>
        <v/>
      </c>
      <c r="K24" s="133">
        <f>IF(OR(B24="",J24=""),"",IF(H24=0,0,H24/MAX(1,J24)))</f>
        <v/>
      </c>
      <c r="L24" s="32">
        <f>IF(B24="","",IF(G24&gt;=N(C24),"✓ Reached",IF(AND(D24&lt;&gt;"",D24&lt;TODAY()),"Overdue","Ongoing")))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</row>
    <row r="25">
      <c r="A25" s="1" t="n"/>
      <c r="B25" s="17" t="n"/>
      <c r="C25" s="132" t="n"/>
      <c r="D25" s="13" t="n"/>
      <c r="E25" s="132" t="n"/>
      <c r="F25" s="133">
        <f>IF(B25="","",SUMIFS(Payments!$Q$6:$Q$1205,Payments!$I$6:$I$1205,"Savings",Payments!$E$6:$E$1205,B25)+SUMIFS('Manual Log'!$E$6:$E$1005,'Manual Log'!$C$6:$C$1005,"Savings",'Manual Log'!$D$6:$D$1005,B25))</f>
        <v/>
      </c>
      <c r="G25" s="134">
        <f>IF(B25="","",N(E25)+F25)</f>
        <v/>
      </c>
      <c r="H25" s="133">
        <f>IF(B25="","",MAX(0,N(C25)-G25))</f>
        <v/>
      </c>
      <c r="I25" s="60">
        <f>IF(OR(B25="",N(C25)=0),"",MIN(1,G25/C25))</f>
        <v/>
      </c>
      <c r="J25" s="135">
        <f>IF(OR(B25="",D25=""),"",MAX(0,DATEDIF(MIN(TODAY(),D25),D25,"m")))</f>
        <v/>
      </c>
      <c r="K25" s="133">
        <f>IF(OR(B25="",J25=""),"",IF(H25=0,0,H25/MAX(1,J25)))</f>
        <v/>
      </c>
      <c r="L25" s="32">
        <f>IF(B25="","",IF(G25&gt;=N(C25),"✓ Reached",IF(AND(D25&lt;&gt;"",D25&lt;TODAY()),"Overdue","Ongoing")))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s="1" t="n"/>
      <c r="B27" s="136" t="inlineStr">
        <is>
          <t>TOTAL</t>
        </is>
      </c>
      <c r="C27" s="137">
        <f>SUM(C6:C25)</f>
        <v/>
      </c>
      <c r="D27" s="30" t="n"/>
      <c r="E27" s="137">
        <f>SUM(E6:E25)</f>
        <v/>
      </c>
      <c r="F27" s="137">
        <f>SUM(F6:F25)</f>
        <v/>
      </c>
      <c r="G27" s="137">
        <f>SUM(G6:G25)</f>
        <v/>
      </c>
      <c r="H27" s="137">
        <f>SUM(H6:H25)</f>
        <v/>
      </c>
      <c r="I27" s="138">
        <f>IFERROR(G27/C27,0)</f>
        <v/>
      </c>
      <c r="J27" s="30" t="n"/>
      <c r="K27" s="30" t="n"/>
      <c r="L27" s="30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</row>
  </sheetData>
  <mergeCells count="2">
    <mergeCell ref="B4:L4"/>
    <mergeCell ref="B2:H2"/>
  </mergeCells>
  <conditionalFormatting sqref="I6">
    <cfRule type="dataBar" priority="1">
      <dataBar showValue="1">
        <cfvo type="num" val="0"/>
        <cfvo type="num" val="1"/>
        <color rgb="00FFB224"/>
      </dataBar>
    </cfRule>
  </conditionalFormatting>
  <conditionalFormatting sqref="I7">
    <cfRule type="dataBar" priority="2">
      <dataBar showValue="1">
        <cfvo type="num" val="0"/>
        <cfvo type="num" val="1"/>
        <color rgb="00FFB224"/>
      </dataBar>
    </cfRule>
  </conditionalFormatting>
  <conditionalFormatting sqref="I8">
    <cfRule type="dataBar" priority="3">
      <dataBar showValue="1">
        <cfvo type="num" val="0"/>
        <cfvo type="num" val="1"/>
        <color rgb="00FFB224"/>
      </dataBar>
    </cfRule>
  </conditionalFormatting>
  <conditionalFormatting sqref="I9">
    <cfRule type="dataBar" priority="4">
      <dataBar showValue="1">
        <cfvo type="num" val="0"/>
        <cfvo type="num" val="1"/>
        <color rgb="00FFB224"/>
      </dataBar>
    </cfRule>
  </conditionalFormatting>
  <conditionalFormatting sqref="I10">
    <cfRule type="dataBar" priority="5">
      <dataBar showValue="1">
        <cfvo type="num" val="0"/>
        <cfvo type="num" val="1"/>
        <color rgb="00FFB224"/>
      </dataBar>
    </cfRule>
  </conditionalFormatting>
  <conditionalFormatting sqref="I11">
    <cfRule type="dataBar" priority="6">
      <dataBar showValue="1">
        <cfvo type="num" val="0"/>
        <cfvo type="num" val="1"/>
        <color rgb="00FFB224"/>
      </dataBar>
    </cfRule>
  </conditionalFormatting>
  <conditionalFormatting sqref="I12">
    <cfRule type="dataBar" priority="7">
      <dataBar showValue="1">
        <cfvo type="num" val="0"/>
        <cfvo type="num" val="1"/>
        <color rgb="00FFB224"/>
      </dataBar>
    </cfRule>
  </conditionalFormatting>
  <conditionalFormatting sqref="I13">
    <cfRule type="dataBar" priority="8">
      <dataBar showValue="1">
        <cfvo type="num" val="0"/>
        <cfvo type="num" val="1"/>
        <color rgb="00FFB224"/>
      </dataBar>
    </cfRule>
  </conditionalFormatting>
  <conditionalFormatting sqref="I14">
    <cfRule type="dataBar" priority="9">
      <dataBar showValue="1">
        <cfvo type="num" val="0"/>
        <cfvo type="num" val="1"/>
        <color rgb="00FFB224"/>
      </dataBar>
    </cfRule>
  </conditionalFormatting>
  <conditionalFormatting sqref="I15">
    <cfRule type="dataBar" priority="10">
      <dataBar showValue="1">
        <cfvo type="num" val="0"/>
        <cfvo type="num" val="1"/>
        <color rgb="00FFB224"/>
      </dataBar>
    </cfRule>
  </conditionalFormatting>
  <conditionalFormatting sqref="I16">
    <cfRule type="dataBar" priority="11">
      <dataBar showValue="1">
        <cfvo type="num" val="0"/>
        <cfvo type="num" val="1"/>
        <color rgb="00FFB224"/>
      </dataBar>
    </cfRule>
  </conditionalFormatting>
  <conditionalFormatting sqref="I17">
    <cfRule type="dataBar" priority="12">
      <dataBar showValue="1">
        <cfvo type="num" val="0"/>
        <cfvo type="num" val="1"/>
        <color rgb="00FFB224"/>
      </dataBar>
    </cfRule>
  </conditionalFormatting>
  <conditionalFormatting sqref="I18">
    <cfRule type="dataBar" priority="13">
      <dataBar showValue="1">
        <cfvo type="num" val="0"/>
        <cfvo type="num" val="1"/>
        <color rgb="00FFB224"/>
      </dataBar>
    </cfRule>
  </conditionalFormatting>
  <conditionalFormatting sqref="I19">
    <cfRule type="dataBar" priority="14">
      <dataBar showValue="1">
        <cfvo type="num" val="0"/>
        <cfvo type="num" val="1"/>
        <color rgb="00FFB224"/>
      </dataBar>
    </cfRule>
  </conditionalFormatting>
  <conditionalFormatting sqref="I20">
    <cfRule type="dataBar" priority="15">
      <dataBar showValue="1">
        <cfvo type="num" val="0"/>
        <cfvo type="num" val="1"/>
        <color rgb="00FFB224"/>
      </dataBar>
    </cfRule>
  </conditionalFormatting>
  <conditionalFormatting sqref="I21">
    <cfRule type="dataBar" priority="16">
      <dataBar showValue="1">
        <cfvo type="num" val="0"/>
        <cfvo type="num" val="1"/>
        <color rgb="00FFB224"/>
      </dataBar>
    </cfRule>
  </conditionalFormatting>
  <conditionalFormatting sqref="I22">
    <cfRule type="dataBar" priority="17">
      <dataBar showValue="1">
        <cfvo type="num" val="0"/>
        <cfvo type="num" val="1"/>
        <color rgb="00FFB224"/>
      </dataBar>
    </cfRule>
  </conditionalFormatting>
  <conditionalFormatting sqref="I23">
    <cfRule type="dataBar" priority="18">
      <dataBar showValue="1">
        <cfvo type="num" val="0"/>
        <cfvo type="num" val="1"/>
        <color rgb="00FFB224"/>
      </dataBar>
    </cfRule>
  </conditionalFormatting>
  <conditionalFormatting sqref="I24">
    <cfRule type="dataBar" priority="19">
      <dataBar showValue="1">
        <cfvo type="num" val="0"/>
        <cfvo type="num" val="1"/>
        <color rgb="00FFB224"/>
      </dataBar>
    </cfRule>
  </conditionalFormatting>
  <conditionalFormatting sqref="I25">
    <cfRule type="dataBar" priority="20">
      <dataBar showValue="1">
        <cfvo type="num" val="0"/>
        <cfvo type="num" val="1"/>
        <color rgb="00FFB224"/>
      </dataBar>
    </cfRule>
  </conditionalFormatting>
  <conditionalFormatting sqref="L6:L25">
    <cfRule type="expression" priority="21" dxfId="14" stopIfTrue="0">
      <formula>L6="✓ Reached"</formula>
    </cfRule>
    <cfRule type="expression" priority="22" dxfId="11" stopIfTrue="0">
      <formula>L6="Overdue"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FF4F8B"/>
    <outlinePr summaryBelow="1" summaryRight="1"/>
    <pageSetUpPr/>
  </sheetPr>
  <dimension ref="A1:X45"/>
  <sheetViews>
    <sheetView showGridLines="0" zoomScale="90" workbookViewId="0">
      <selection activeCell="A1" sqref="A1"/>
    </sheetView>
  </sheetViews>
  <sheetFormatPr baseColWidth="8" defaultRowHeight="15"/>
  <cols>
    <col width="2" customWidth="1" style="1" min="1" max="1"/>
    <col width="20" customWidth="1" style="1" min="2" max="2"/>
    <col width="13" customWidth="1" style="1" min="3" max="3"/>
    <col width="10" customWidth="1" style="1" min="4" max="4"/>
    <col width="12" customWidth="1" style="1" min="5" max="5"/>
    <col width="12" customWidth="1" style="1" min="6" max="6"/>
    <col width="10" customWidth="1" style="1" min="7" max="7"/>
    <col width="8" customWidth="1" style="1" min="8" max="8"/>
    <col width="11" customWidth="1" style="1" min="9" max="9"/>
    <col width="11" customWidth="1" style="1" min="10" max="10"/>
    <col width="12" customWidth="1" style="1" min="11" max="11"/>
    <col width="12" customWidth="1" style="1" min="12" max="12"/>
    <col width="11" customWidth="1" style="1" min="13" max="13"/>
    <col width="4" customWidth="1" style="1" min="14" max="14"/>
    <col hidden="1"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/>
      <c r="B2" s="27" t="inlineStr">
        <is>
          <t>DEBT PAYOFF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 s="1" t="n"/>
      <c r="B3" s="7" t="inlineStr">
        <is>
          <t>Pick a method, enter your debts and any extra monthly payment. Freed-up minimums roll into the next debt automatically (snowball effect).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 s="1" t="n"/>
      <c r="B4" s="81" t="inlineStr">
        <is>
          <t>SETTINGS</t>
        </is>
      </c>
      <c r="C4" s="82" t="n"/>
      <c r="D4" s="1" t="n"/>
      <c r="E4" s="8" t="inlineStr">
        <is>
          <t>RESULTS</t>
        </is>
      </c>
      <c r="F4" s="9" t="n"/>
      <c r="G4" s="9" t="n"/>
      <c r="H4" s="9" t="n"/>
      <c r="I4" s="9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 s="1" t="n"/>
      <c r="B5" s="61" t="inlineStr">
        <is>
          <t>Method</t>
        </is>
      </c>
      <c r="C5" s="18" t="inlineStr">
        <is>
          <t>Debt Snowball</t>
        </is>
      </c>
      <c r="D5" s="1" t="n"/>
      <c r="E5" s="61" t="inlineStr">
        <is>
          <t>Debt-free date</t>
        </is>
      </c>
      <c r="G5" s="139">
        <f>IF(MAX(J15:J24)&gt;300,"300+ months",EDATE(C6,MAX(J15:J24)-1))</f>
        <v/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 s="1" t="n"/>
      <c r="B6" s="61" t="inlineStr">
        <is>
          <t>Start month</t>
        </is>
      </c>
      <c r="C6" s="13" t="n">
        <v>46023</v>
      </c>
      <c r="D6" s="1" t="n"/>
      <c r="E6" s="61" t="inlineStr">
        <is>
          <t>Months to debt-free</t>
        </is>
      </c>
      <c r="G6" s="140">
        <f>MAX(J15:J24)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 s="1" t="n"/>
      <c r="B7" s="61" t="inlineStr">
        <is>
          <t>Extra monthly payment</t>
        </is>
      </c>
      <c r="C7" s="132" t="n">
        <v>200</v>
      </c>
      <c r="D7" s="1" t="n"/>
      <c r="E7" s="61" t="inlineStr">
        <is>
          <t>Total interest</t>
        </is>
      </c>
      <c r="G7" s="141">
        <f>SUM(L15:L24)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 s="1" t="n"/>
      <c r="B8" s="1" t="n"/>
      <c r="C8" s="1" t="n"/>
      <c r="D8" s="1" t="n"/>
      <c r="E8" s="61" t="inlineStr">
        <is>
          <t>Total starting debt</t>
        </is>
      </c>
      <c r="G8" s="141">
        <f>SUM(C15:C24)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 s="1" t="n"/>
      <c r="B9" s="1" t="n"/>
      <c r="C9" s="1" t="n"/>
      <c r="D9" s="1" t="n"/>
      <c r="E9" s="61" t="inlineStr">
        <is>
          <t>Monthly payment budget</t>
        </is>
      </c>
      <c r="G9" s="141">
        <f>C12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 s="1" t="n"/>
      <c r="B12" s="61" t="inlineStr">
        <is>
          <t>Monthly budget (min. + extra)</t>
        </is>
      </c>
      <c r="C12" s="141">
        <f>SUM(E15:E24)+N(C7)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 s="1" t="n"/>
      <c r="B13" s="81" t="inlineStr">
        <is>
          <t>YOUR DEBTS  (up to 10)</t>
        </is>
      </c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 s="1" t="n"/>
      <c r="B14" s="142" t="inlineStr">
        <is>
          <t>DEBT</t>
        </is>
      </c>
      <c r="C14" s="142" t="inlineStr">
        <is>
          <t>BALANCE</t>
        </is>
      </c>
      <c r="D14" s="142" t="inlineStr">
        <is>
          <t>APR %</t>
        </is>
      </c>
      <c r="E14" s="142" t="inlineStr">
        <is>
          <t>MIN. PAYMENT</t>
        </is>
      </c>
      <c r="F14" s="142" t="inlineStr">
        <is>
          <t>CREDIT LIMIT</t>
        </is>
      </c>
      <c r="G14" s="142" t="inlineStr">
        <is>
          <t>CUSTOM ORDER</t>
        </is>
      </c>
      <c r="H14" s="142" t="inlineStr">
        <is>
          <t>ORDER</t>
        </is>
      </c>
      <c r="I14" s="142" t="inlineStr">
        <is>
          <t>UTILISATION</t>
        </is>
      </c>
      <c r="J14" s="142" t="inlineStr">
        <is>
          <t>PAYOFF MONTH</t>
        </is>
      </c>
      <c r="K14" s="142" t="inlineStr">
        <is>
          <t>PAYOFF DATE</t>
        </is>
      </c>
      <c r="L14" s="142" t="inlineStr">
        <is>
          <t>TOTAL INTEREST</t>
        </is>
      </c>
      <c r="M14" s="142" t="inlineStr">
        <is>
          <t>PAID OFF %</t>
        </is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 s="1" t="n"/>
      <c r="B15" s="17" t="inlineStr">
        <is>
          <t>Credit Card 1</t>
        </is>
      </c>
      <c r="C15" s="132" t="n">
        <v>3200</v>
      </c>
      <c r="D15" s="143" t="n">
        <v>0.229</v>
      </c>
      <c r="E15" s="132" t="n">
        <v>120</v>
      </c>
      <c r="F15" s="132" t="n">
        <v>5000</v>
      </c>
      <c r="G15" s="144" t="n">
        <v>2</v>
      </c>
      <c r="H15" s="145">
        <f>IF(N(C15)&lt;=0,"",COUNTIF($O$15:$O$24,"&lt;"&amp;O15)+COUNTIF($O$15:O15,O15))</f>
        <v/>
      </c>
      <c r="I15" s="146">
        <f>IF(OR(N(C15)&lt;=0,N(F15)=0),"",C15/F15)</f>
        <v/>
      </c>
      <c r="J15" s="135">
        <f>IF(N(C15)&lt;=0,"",COUNTIF('Debt Schedule'!C$6:C$305,"&gt;0.004")+1)</f>
        <v/>
      </c>
      <c r="K15" s="147">
        <f>IF(J15="","",IF(J15&gt;300,"300+",EDATE($C$6,J15-1)))</f>
        <v/>
      </c>
      <c r="L15" s="133">
        <f>IF(N(C15)&lt;=0,"",SUM('Debt Schedule'!M$6:M$305))</f>
        <v/>
      </c>
      <c r="M15" s="60">
        <f>IF(N(C15)&lt;=0,"",1-INDEX('Debt Schedule'!C$5:C$305,MIN(301,MAX(1,DATEDIF($C$6,MAX($C$6,TODAY()),"m")+1)))/C15)</f>
        <v/>
      </c>
      <c r="N15" s="1" t="n"/>
      <c r="O15" s="1">
        <f>IF(N(C15)&lt;=0,1E+9,CHOOSE(MATCH($C$5,Lists!$J$2:$J$5,0),C15,-D15,N(G15),-IFERROR(C15/F15,0)))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 s="1" t="n"/>
      <c r="B16" s="17" t="inlineStr">
        <is>
          <t>Credit Card 2</t>
        </is>
      </c>
      <c r="C16" s="132" t="n">
        <v>1500</v>
      </c>
      <c r="D16" s="143" t="n">
        <v>0.199</v>
      </c>
      <c r="E16" s="132" t="n">
        <v>50</v>
      </c>
      <c r="F16" s="132" t="n">
        <v>3000</v>
      </c>
      <c r="G16" s="144" t="n">
        <v>1</v>
      </c>
      <c r="H16" s="145">
        <f>IF(N(C16)&lt;=0,"",COUNTIF($O$15:$O$24,"&lt;"&amp;O16)+COUNTIF($O$15:O16,O16))</f>
        <v/>
      </c>
      <c r="I16" s="146">
        <f>IF(OR(N(C16)&lt;=0,N(F16)=0),"",C16/F16)</f>
        <v/>
      </c>
      <c r="J16" s="135">
        <f>IF(N(C16)&lt;=0,"",COUNTIF('Debt Schedule'!D$6:D$305,"&gt;0.004")+1)</f>
        <v/>
      </c>
      <c r="K16" s="147">
        <f>IF(J16="","",IF(J16&gt;300,"300+",EDATE($C$6,J16-1)))</f>
        <v/>
      </c>
      <c r="L16" s="133">
        <f>IF(N(C16)&lt;=0,"",SUM('Debt Schedule'!N$6:N$305))</f>
        <v/>
      </c>
      <c r="M16" s="60">
        <f>IF(N(C16)&lt;=0,"",1-INDEX('Debt Schedule'!D$5:D$305,MIN(301,MAX(1,DATEDIF($C$6,MAX($C$6,TODAY()),"m")+1)))/C16)</f>
        <v/>
      </c>
      <c r="N16" s="1" t="n"/>
      <c r="O16" s="1">
        <f>IF(N(C16)&lt;=0,1E+9,CHOOSE(MATCH($C$5,Lists!$J$2:$J$5,0),C16,-D16,N(G16),-IFERROR(C16/F16,0)))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 s="1" t="n"/>
      <c r="B17" s="17" t="inlineStr">
        <is>
          <t>Capital One</t>
        </is>
      </c>
      <c r="C17" s="132" t="n">
        <v>2400</v>
      </c>
      <c r="D17" s="143" t="n">
        <v>0.249</v>
      </c>
      <c r="E17" s="132" t="n">
        <v>100</v>
      </c>
      <c r="F17" s="132" t="n">
        <v>4000</v>
      </c>
      <c r="G17" s="144" t="n">
        <v>3</v>
      </c>
      <c r="H17" s="145">
        <f>IF(N(C17)&lt;=0,"",COUNTIF($O$15:$O$24,"&lt;"&amp;O17)+COUNTIF($O$15:O17,O17))</f>
        <v/>
      </c>
      <c r="I17" s="146">
        <f>IF(OR(N(C17)&lt;=0,N(F17)=0),"",C17/F17)</f>
        <v/>
      </c>
      <c r="J17" s="135">
        <f>IF(N(C17)&lt;=0,"",COUNTIF('Debt Schedule'!E$6:E$305,"&gt;0.004")+1)</f>
        <v/>
      </c>
      <c r="K17" s="147">
        <f>IF(J17="","",IF(J17&gt;300,"300+",EDATE($C$6,J17-1)))</f>
        <v/>
      </c>
      <c r="L17" s="133">
        <f>IF(N(C17)&lt;=0,"",SUM('Debt Schedule'!O$6:O$305))</f>
        <v/>
      </c>
      <c r="M17" s="60">
        <f>IF(N(C17)&lt;=0,"",1-INDEX('Debt Schedule'!E$5:E$305,MIN(301,MAX(1,DATEDIF($C$6,MAX($C$6,TODAY()),"m")+1)))/C17)</f>
        <v/>
      </c>
      <c r="N17" s="1" t="n"/>
      <c r="O17" s="1">
        <f>IF(N(C17)&lt;=0,1E+9,CHOOSE(MATCH($C$5,Lists!$J$2:$J$5,0),C17,-D17,N(G17),-IFERROR(C17/F17,0)))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 s="1" t="n"/>
      <c r="B18" s="17" t="inlineStr">
        <is>
          <t>Car Loan 1</t>
        </is>
      </c>
      <c r="C18" s="132" t="n">
        <v>8000</v>
      </c>
      <c r="D18" s="143" t="n">
        <v>0.065</v>
      </c>
      <c r="E18" s="132" t="n">
        <v>150</v>
      </c>
      <c r="F18" s="132" t="n"/>
      <c r="G18" s="144" t="n">
        <v>4</v>
      </c>
      <c r="H18" s="145">
        <f>IF(N(C18)&lt;=0,"",COUNTIF($O$15:$O$24,"&lt;"&amp;O18)+COUNTIF($O$15:O18,O18))</f>
        <v/>
      </c>
      <c r="I18" s="146">
        <f>IF(OR(N(C18)&lt;=0,N(F18)=0),"",C18/F18)</f>
        <v/>
      </c>
      <c r="J18" s="135">
        <f>IF(N(C18)&lt;=0,"",COUNTIF('Debt Schedule'!F$6:F$305,"&gt;0.004")+1)</f>
        <v/>
      </c>
      <c r="K18" s="147">
        <f>IF(J18="","",IF(J18&gt;300,"300+",EDATE($C$6,J18-1)))</f>
        <v/>
      </c>
      <c r="L18" s="133">
        <f>IF(N(C18)&lt;=0,"",SUM('Debt Schedule'!P$6:P$305))</f>
        <v/>
      </c>
      <c r="M18" s="60">
        <f>IF(N(C18)&lt;=0,"",1-INDEX('Debt Schedule'!F$5:F$305,MIN(301,MAX(1,DATEDIF($C$6,MAX($C$6,TODAY()),"m")+1)))/C18)</f>
        <v/>
      </c>
      <c r="N18" s="1" t="n"/>
      <c r="O18" s="1">
        <f>IF(N(C18)&lt;=0,1E+9,CHOOSE(MATCH($C$5,Lists!$J$2:$J$5,0),C18,-D18,N(G18),-IFERROR(C18/F18,0)))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 s="1" t="n"/>
      <c r="B19" s="17" t="inlineStr">
        <is>
          <t>Student Loan</t>
        </is>
      </c>
      <c r="C19" s="132" t="n">
        <v>12000</v>
      </c>
      <c r="D19" s="143" t="n">
        <v>0.045</v>
      </c>
      <c r="E19" s="132" t="n">
        <v>60</v>
      </c>
      <c r="F19" s="132" t="n"/>
      <c r="G19" s="144" t="n">
        <v>5</v>
      </c>
      <c r="H19" s="145">
        <f>IF(N(C19)&lt;=0,"",COUNTIF($O$15:$O$24,"&lt;"&amp;O19)+COUNTIF($O$15:O19,O19))</f>
        <v/>
      </c>
      <c r="I19" s="146">
        <f>IF(OR(N(C19)&lt;=0,N(F19)=0),"",C19/F19)</f>
        <v/>
      </c>
      <c r="J19" s="135">
        <f>IF(N(C19)&lt;=0,"",COUNTIF('Debt Schedule'!G$6:G$305,"&gt;0.004")+1)</f>
        <v/>
      </c>
      <c r="K19" s="147">
        <f>IF(J19="","",IF(J19&gt;300,"300+",EDATE($C$6,J19-1)))</f>
        <v/>
      </c>
      <c r="L19" s="133">
        <f>IF(N(C19)&lt;=0,"",SUM('Debt Schedule'!Q$6:Q$305))</f>
        <v/>
      </c>
      <c r="M19" s="60">
        <f>IF(N(C19)&lt;=0,"",1-INDEX('Debt Schedule'!G$5:G$305,MIN(301,MAX(1,DATEDIF($C$6,MAX($C$6,TODAY()),"m")+1)))/C19)</f>
        <v/>
      </c>
      <c r="N19" s="1" t="n"/>
      <c r="O19" s="1">
        <f>IF(N(C19)&lt;=0,1E+9,CHOOSE(MATCH($C$5,Lists!$J$2:$J$5,0),C19,-D19,N(G19),-IFERROR(C19/F19,0)))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 s="1" t="n"/>
      <c r="B20" s="17" t="n"/>
      <c r="C20" s="132" t="n"/>
      <c r="D20" s="143" t="n"/>
      <c r="E20" s="132" t="n"/>
      <c r="F20" s="132" t="n"/>
      <c r="G20" s="144" t="n"/>
      <c r="H20" s="145">
        <f>IF(N(C20)&lt;=0,"",COUNTIF($O$15:$O$24,"&lt;"&amp;O20)+COUNTIF($O$15:O20,O20))</f>
        <v/>
      </c>
      <c r="I20" s="146">
        <f>IF(OR(N(C20)&lt;=0,N(F20)=0),"",C20/F20)</f>
        <v/>
      </c>
      <c r="J20" s="135">
        <f>IF(N(C20)&lt;=0,"",COUNTIF('Debt Schedule'!H$6:H$305,"&gt;0.004")+1)</f>
        <v/>
      </c>
      <c r="K20" s="147">
        <f>IF(J20="","",IF(J20&gt;300,"300+",EDATE($C$6,J20-1)))</f>
        <v/>
      </c>
      <c r="L20" s="133">
        <f>IF(N(C20)&lt;=0,"",SUM('Debt Schedule'!R$6:R$305))</f>
        <v/>
      </c>
      <c r="M20" s="60">
        <f>IF(N(C20)&lt;=0,"",1-INDEX('Debt Schedule'!H$5:H$305,MIN(301,MAX(1,DATEDIF($C$6,MAX($C$6,TODAY()),"m")+1)))/C20)</f>
        <v/>
      </c>
      <c r="N20" s="1" t="n"/>
      <c r="O20" s="1">
        <f>IF(N(C20)&lt;=0,1E+9,CHOOSE(MATCH($C$5,Lists!$J$2:$J$5,0),C20,-D20,N(G20),-IFERROR(C20/F20,0)))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 s="1" t="n"/>
      <c r="B21" s="17" t="n"/>
      <c r="C21" s="132" t="n"/>
      <c r="D21" s="143" t="n"/>
      <c r="E21" s="132" t="n"/>
      <c r="F21" s="132" t="n"/>
      <c r="G21" s="144" t="n"/>
      <c r="H21" s="145">
        <f>IF(N(C21)&lt;=0,"",COUNTIF($O$15:$O$24,"&lt;"&amp;O21)+COUNTIF($O$15:O21,O21))</f>
        <v/>
      </c>
      <c r="I21" s="146">
        <f>IF(OR(N(C21)&lt;=0,N(F21)=0),"",C21/F21)</f>
        <v/>
      </c>
      <c r="J21" s="135">
        <f>IF(N(C21)&lt;=0,"",COUNTIF('Debt Schedule'!I$6:I$305,"&gt;0.004")+1)</f>
        <v/>
      </c>
      <c r="K21" s="147">
        <f>IF(J21="","",IF(J21&gt;300,"300+",EDATE($C$6,J21-1)))</f>
        <v/>
      </c>
      <c r="L21" s="133">
        <f>IF(N(C21)&lt;=0,"",SUM('Debt Schedule'!S$6:S$305))</f>
        <v/>
      </c>
      <c r="M21" s="60">
        <f>IF(N(C21)&lt;=0,"",1-INDEX('Debt Schedule'!I$5:I$305,MIN(301,MAX(1,DATEDIF($C$6,MAX($C$6,TODAY()),"m")+1)))/C21)</f>
        <v/>
      </c>
      <c r="N21" s="1" t="n"/>
      <c r="O21" s="1">
        <f>IF(N(C21)&lt;=0,1E+9,CHOOSE(MATCH($C$5,Lists!$J$2:$J$5,0),C21,-D21,N(G21),-IFERROR(C21/F21,0)))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 s="1" t="n"/>
      <c r="B22" s="17" t="n"/>
      <c r="C22" s="132" t="n"/>
      <c r="D22" s="143" t="n"/>
      <c r="E22" s="132" t="n"/>
      <c r="F22" s="132" t="n"/>
      <c r="G22" s="144" t="n"/>
      <c r="H22" s="145">
        <f>IF(N(C22)&lt;=0,"",COUNTIF($O$15:$O$24,"&lt;"&amp;O22)+COUNTIF($O$15:O22,O22))</f>
        <v/>
      </c>
      <c r="I22" s="146">
        <f>IF(OR(N(C22)&lt;=0,N(F22)=0),"",C22/F22)</f>
        <v/>
      </c>
      <c r="J22" s="135">
        <f>IF(N(C22)&lt;=0,"",COUNTIF('Debt Schedule'!J$6:J$305,"&gt;0.004")+1)</f>
        <v/>
      </c>
      <c r="K22" s="147">
        <f>IF(J22="","",IF(J22&gt;300,"300+",EDATE($C$6,J22-1)))</f>
        <v/>
      </c>
      <c r="L22" s="133">
        <f>IF(N(C22)&lt;=0,"",SUM('Debt Schedule'!T$6:T$305))</f>
        <v/>
      </c>
      <c r="M22" s="60">
        <f>IF(N(C22)&lt;=0,"",1-INDEX('Debt Schedule'!J$5:J$305,MIN(301,MAX(1,DATEDIF($C$6,MAX($C$6,TODAY()),"m")+1)))/C22)</f>
        <v/>
      </c>
      <c r="N22" s="1" t="n"/>
      <c r="O22" s="1">
        <f>IF(N(C22)&lt;=0,1E+9,CHOOSE(MATCH($C$5,Lists!$J$2:$J$5,0),C22,-D22,N(G22),-IFERROR(C22/F22,0)))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 s="1" t="n"/>
      <c r="B23" s="17" t="n"/>
      <c r="C23" s="132" t="n"/>
      <c r="D23" s="143" t="n"/>
      <c r="E23" s="132" t="n"/>
      <c r="F23" s="132" t="n"/>
      <c r="G23" s="144" t="n"/>
      <c r="H23" s="145">
        <f>IF(N(C23)&lt;=0,"",COUNTIF($O$15:$O$24,"&lt;"&amp;O23)+COUNTIF($O$15:O23,O23))</f>
        <v/>
      </c>
      <c r="I23" s="146">
        <f>IF(OR(N(C23)&lt;=0,N(F23)=0),"",C23/F23)</f>
        <v/>
      </c>
      <c r="J23" s="135">
        <f>IF(N(C23)&lt;=0,"",COUNTIF('Debt Schedule'!K$6:K$305,"&gt;0.004")+1)</f>
        <v/>
      </c>
      <c r="K23" s="147">
        <f>IF(J23="","",IF(J23&gt;300,"300+",EDATE($C$6,J23-1)))</f>
        <v/>
      </c>
      <c r="L23" s="133">
        <f>IF(N(C23)&lt;=0,"",SUM('Debt Schedule'!U$6:U$305))</f>
        <v/>
      </c>
      <c r="M23" s="60">
        <f>IF(N(C23)&lt;=0,"",1-INDEX('Debt Schedule'!K$5:K$305,MIN(301,MAX(1,DATEDIF($C$6,MAX($C$6,TODAY()),"m")+1)))/C23)</f>
        <v/>
      </c>
      <c r="N23" s="1" t="n"/>
      <c r="O23" s="1">
        <f>IF(N(C23)&lt;=0,1E+9,CHOOSE(MATCH($C$5,Lists!$J$2:$J$5,0),C23,-D23,N(G23),-IFERROR(C23/F23,0)))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 s="1" t="n"/>
      <c r="B24" s="17" t="n"/>
      <c r="C24" s="132" t="n"/>
      <c r="D24" s="143" t="n"/>
      <c r="E24" s="132" t="n"/>
      <c r="F24" s="132" t="n"/>
      <c r="G24" s="144" t="n"/>
      <c r="H24" s="145">
        <f>IF(N(C24)&lt;=0,"",COUNTIF($O$15:$O$24,"&lt;"&amp;O24)+COUNTIF($O$15:O24,O24))</f>
        <v/>
      </c>
      <c r="I24" s="146">
        <f>IF(OR(N(C24)&lt;=0,N(F24)=0),"",C24/F24)</f>
        <v/>
      </c>
      <c r="J24" s="135">
        <f>IF(N(C24)&lt;=0,"",COUNTIF('Debt Schedule'!L$6:L$305,"&gt;0.004")+1)</f>
        <v/>
      </c>
      <c r="K24" s="147">
        <f>IF(J24="","",IF(J24&gt;300,"300+",EDATE($C$6,J24-1)))</f>
        <v/>
      </c>
      <c r="L24" s="133">
        <f>IF(N(C24)&lt;=0,"",SUM('Debt Schedule'!V$6:V$305))</f>
        <v/>
      </c>
      <c r="M24" s="60">
        <f>IF(N(C24)&lt;=0,"",1-INDEX('Debt Schedule'!L$5:L$305,MIN(301,MAX(1,DATEDIF($C$6,MAX($C$6,TODAY()),"m")+1)))/C24)</f>
        <v/>
      </c>
      <c r="N24" s="1" t="n"/>
      <c r="O24" s="1">
        <f>IF(N(C24)&lt;=0,1E+9,CHOOSE(MATCH($C$5,Lists!$J$2:$J$5,0),C24,-D24,N(G24),-IFERROR(C24/F24,0)))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 s="1" t="n"/>
      <c r="B26" s="20" t="inlineStr">
        <is>
          <t>Snowball = smallest balance first · Avalanche = highest APR first · Custom = your order · Credit Score Focus = highest utilisation first.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 s="1" t="n"/>
      <c r="B28" s="81" t="inlineStr">
        <is>
          <t>TOTAL DEBT OVER TIME (first 10 years)</t>
        </is>
      </c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</sheetData>
  <mergeCells count="15">
    <mergeCell ref="E9:F9"/>
    <mergeCell ref="E6:F6"/>
    <mergeCell ref="E4:I4"/>
    <mergeCell ref="B28:M28"/>
    <mergeCell ref="G6:I6"/>
    <mergeCell ref="G5:I5"/>
    <mergeCell ref="E7:F7"/>
    <mergeCell ref="B2:I2"/>
    <mergeCell ref="E8:F8"/>
    <mergeCell ref="E5:F5"/>
    <mergeCell ref="G8:I8"/>
    <mergeCell ref="G9:I9"/>
    <mergeCell ref="B13:M13"/>
    <mergeCell ref="G7:I7"/>
    <mergeCell ref="B4:C4"/>
  </mergeCells>
  <conditionalFormatting sqref="M15">
    <cfRule type="dataBar" priority="1">
      <dataBar showValue="1">
        <cfvo type="num" val="0"/>
        <cfvo type="num" val="1"/>
        <color rgb="00FF4F8B"/>
      </dataBar>
    </cfRule>
  </conditionalFormatting>
  <conditionalFormatting sqref="M16">
    <cfRule type="dataBar" priority="2">
      <dataBar showValue="1">
        <cfvo type="num" val="0"/>
        <cfvo type="num" val="1"/>
        <color rgb="00FF4F8B"/>
      </dataBar>
    </cfRule>
  </conditionalFormatting>
  <conditionalFormatting sqref="M17">
    <cfRule type="dataBar" priority="3">
      <dataBar showValue="1">
        <cfvo type="num" val="0"/>
        <cfvo type="num" val="1"/>
        <color rgb="00FF4F8B"/>
      </dataBar>
    </cfRule>
  </conditionalFormatting>
  <conditionalFormatting sqref="M18">
    <cfRule type="dataBar" priority="4">
      <dataBar showValue="1">
        <cfvo type="num" val="0"/>
        <cfvo type="num" val="1"/>
        <color rgb="00FF4F8B"/>
      </dataBar>
    </cfRule>
  </conditionalFormatting>
  <conditionalFormatting sqref="M19">
    <cfRule type="dataBar" priority="5">
      <dataBar showValue="1">
        <cfvo type="num" val="0"/>
        <cfvo type="num" val="1"/>
        <color rgb="00FF4F8B"/>
      </dataBar>
    </cfRule>
  </conditionalFormatting>
  <conditionalFormatting sqref="M20">
    <cfRule type="dataBar" priority="6">
      <dataBar showValue="1">
        <cfvo type="num" val="0"/>
        <cfvo type="num" val="1"/>
        <color rgb="00FF4F8B"/>
      </dataBar>
    </cfRule>
  </conditionalFormatting>
  <conditionalFormatting sqref="M21">
    <cfRule type="dataBar" priority="7">
      <dataBar showValue="1">
        <cfvo type="num" val="0"/>
        <cfvo type="num" val="1"/>
        <color rgb="00FF4F8B"/>
      </dataBar>
    </cfRule>
  </conditionalFormatting>
  <conditionalFormatting sqref="M22">
    <cfRule type="dataBar" priority="8">
      <dataBar showValue="1">
        <cfvo type="num" val="0"/>
        <cfvo type="num" val="1"/>
        <color rgb="00FF4F8B"/>
      </dataBar>
    </cfRule>
  </conditionalFormatting>
  <conditionalFormatting sqref="M23">
    <cfRule type="dataBar" priority="9">
      <dataBar showValue="1">
        <cfvo type="num" val="0"/>
        <cfvo type="num" val="1"/>
        <color rgb="00FF4F8B"/>
      </dataBar>
    </cfRule>
  </conditionalFormatting>
  <conditionalFormatting sqref="M24">
    <cfRule type="dataBar" priority="10">
      <dataBar showValue="1">
        <cfvo type="num" val="0"/>
        <cfvo type="num" val="1"/>
        <color rgb="00FF4F8B"/>
      </dataBar>
    </cfRule>
  </conditionalFormatting>
  <dataValidations count="1">
    <dataValidation sqref="C5" showDropDown="0" showInputMessage="0" showErrorMessage="0" allowBlank="1" error="Please pick a value from the list." type="list" errorStyle="warning">
      <formula1>=Lists!$J$2:$J$5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FF4F8B"/>
    <outlinePr summaryBelow="1" summaryRight="1"/>
    <pageSetUpPr/>
  </sheetPr>
  <dimension ref="A1:BC305"/>
  <sheetViews>
    <sheetView showGridLines="0" zoomScale="8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1" min="1" max="1"/>
    <col width="10" customWidth="1" style="1" min="2" max="2"/>
    <col width="10" customWidth="1" style="1" min="3" max="3"/>
    <col width="10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  <col width="10" customWidth="1" style="1" min="9" max="9"/>
    <col width="10" customWidth="1" style="1" min="10" max="10"/>
    <col width="10" customWidth="1" style="1" min="11" max="11"/>
    <col width="10" customWidth="1" style="1" min="12" max="12"/>
    <col width="10" customWidth="1" style="1" min="13" max="13"/>
    <col width="10" customWidth="1" style="1" min="14" max="14"/>
    <col width="10" customWidth="1" style="1" min="15" max="15"/>
    <col width="10" customWidth="1" style="1" min="16" max="16"/>
    <col width="10" customWidth="1" style="1" min="17" max="17"/>
    <col width="10" customWidth="1" style="1" min="18" max="18"/>
    <col width="10" customWidth="1" style="1" min="19" max="19"/>
    <col width="10" customWidth="1" style="1" min="20" max="20"/>
    <col width="10" customWidth="1" style="1" min="21" max="21"/>
    <col width="10" customWidth="1" style="1" min="22" max="22"/>
    <col width="10" customWidth="1" style="1" min="23" max="23"/>
    <col width="10" customWidth="1" style="1" min="24" max="24"/>
    <col width="10" customWidth="1" style="1" min="25" max="25"/>
    <col width="10" customWidth="1" style="1" min="26" max="26"/>
    <col width="10" customWidth="1" style="1" min="27" max="27"/>
    <col width="10" customWidth="1" style="1" min="28" max="28"/>
    <col width="10" customWidth="1" style="1" min="29" max="29"/>
    <col width="10" customWidth="1" style="1" min="30" max="30"/>
    <col width="10" customWidth="1" style="1" min="31" max="31"/>
    <col width="10" customWidth="1" style="1" min="32" max="32"/>
    <col width="10" customWidth="1" style="1" min="33" max="33"/>
    <col width="10" customWidth="1" style="1" min="34" max="34"/>
    <col width="10" customWidth="1" style="1" min="35" max="35"/>
    <col width="10" customWidth="1" style="1" min="36" max="36"/>
    <col width="10" customWidth="1" style="1" min="37" max="37"/>
    <col width="10" customWidth="1" style="1" min="38" max="38"/>
    <col width="10" customWidth="1" style="1" min="39" max="39"/>
    <col width="10" customWidth="1" style="1" min="40" max="40"/>
    <col width="10" customWidth="1" style="1" min="41" max="41"/>
    <col width="10" customWidth="1" style="1" min="42" max="42"/>
    <col width="10" customWidth="1" style="1" min="43" max="43"/>
    <col width="10" customWidth="1" style="1" min="44" max="44"/>
    <col width="10" customWidth="1" style="1" min="45" max="45"/>
    <col width="10" customWidth="1" style="1" min="46" max="46"/>
    <col width="10" customWidth="1" style="1" min="47" max="47"/>
    <col width="10" customWidth="1" style="1" min="48" max="48"/>
    <col width="10" customWidth="1" style="1" min="49" max="49"/>
    <col width="10" customWidth="1" style="1" min="50" max="50"/>
    <col width="10" customWidth="1" style="1" min="51" max="51"/>
    <col width="10" customWidth="1" style="1" min="52" max="52"/>
    <col width="10" customWidth="1" style="1" min="53" max="53"/>
    <col width="10" customWidth="1" style="1" min="54" max="54"/>
    <col width="10" customWidth="1" style="1" min="55" max="55"/>
    <col width="13" customWidth="1" style="1" min="56" max="56"/>
    <col width="13" customWidth="1" style="1" min="57" max="57"/>
    <col width="13" customWidth="1" style="1" min="58" max="58"/>
    <col width="13" customWidth="1" style="1" min="59" max="59"/>
    <col width="13" customWidth="1" style="1" min="60" max="60"/>
    <col width="13" customWidth="1" style="1" min="61" max="61"/>
    <col width="13" customWidth="1" style="1" min="62" max="62"/>
    <col width="13" customWidth="1" style="1" min="63" max="63"/>
    <col width="13" customWidth="1" style="1" min="64" max="64"/>
    <col width="13" customWidth="1" style="1" min="65" max="65"/>
  </cols>
  <sheetData>
    <row r="1">
      <c r="A1" s="148" t="inlineStr">
        <is>
          <t>DEBT SCHEDULE — calculated month by month from the Debt Payoff sheet (no inputs here).</t>
        </is>
      </c>
    </row>
    <row r="2">
      <c r="C2" s="149" t="inlineStr">
        <is>
          <t>BALANCE</t>
        </is>
      </c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150" t="inlineStr">
        <is>
          <t>INTEREST</t>
        </is>
      </c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151" t="inlineStr">
        <is>
          <t>MIN. PAID</t>
        </is>
      </c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152" t="inlineStr">
        <is>
          <t>REMAINING NEED</t>
        </is>
      </c>
      <c r="AH2" s="153" t="n"/>
      <c r="AI2" s="153" t="n"/>
      <c r="AJ2" s="153" t="n"/>
      <c r="AK2" s="153" t="n"/>
      <c r="AL2" s="153" t="n"/>
      <c r="AM2" s="153" t="n"/>
      <c r="AN2" s="153" t="n"/>
      <c r="AO2" s="153" t="n"/>
      <c r="AP2" s="153" t="n"/>
      <c r="AQ2" s="154" t="inlineStr">
        <is>
          <t>TOTAL PAYMENT</t>
        </is>
      </c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</row>
    <row r="3">
      <c r="C3" s="54">
        <f>IF('Debt Payoff'!$B$15="","—",'Debt Payoff'!$B$15)</f>
        <v/>
      </c>
      <c r="D3" s="54">
        <f>IF('Debt Payoff'!$B$16="","—",'Debt Payoff'!$B$16)</f>
        <v/>
      </c>
      <c r="E3" s="54">
        <f>IF('Debt Payoff'!$B$17="","—",'Debt Payoff'!$B$17)</f>
        <v/>
      </c>
      <c r="F3" s="54">
        <f>IF('Debt Payoff'!$B$18="","—",'Debt Payoff'!$B$18)</f>
        <v/>
      </c>
      <c r="G3" s="54">
        <f>IF('Debt Payoff'!$B$19="","—",'Debt Payoff'!$B$19)</f>
        <v/>
      </c>
      <c r="H3" s="54">
        <f>IF('Debt Payoff'!$B$20="","—",'Debt Payoff'!$B$20)</f>
        <v/>
      </c>
      <c r="I3" s="54">
        <f>IF('Debt Payoff'!$B$21="","—",'Debt Payoff'!$B$21)</f>
        <v/>
      </c>
      <c r="J3" s="54">
        <f>IF('Debt Payoff'!$B$22="","—",'Debt Payoff'!$B$22)</f>
        <v/>
      </c>
      <c r="K3" s="54">
        <f>IF('Debt Payoff'!$B$23="","—",'Debt Payoff'!$B$23)</f>
        <v/>
      </c>
      <c r="L3" s="54">
        <f>IF('Debt Payoff'!$B$24="","—",'Debt Payoff'!$B$24)</f>
        <v/>
      </c>
      <c r="M3" s="54">
        <f>IF('Debt Payoff'!$B$15="","—",'Debt Payoff'!$B$15)</f>
        <v/>
      </c>
      <c r="N3" s="54">
        <f>IF('Debt Payoff'!$B$16="","—",'Debt Payoff'!$B$16)</f>
        <v/>
      </c>
      <c r="O3" s="54">
        <f>IF('Debt Payoff'!$B$17="","—",'Debt Payoff'!$B$17)</f>
        <v/>
      </c>
      <c r="P3" s="54">
        <f>IF('Debt Payoff'!$B$18="","—",'Debt Payoff'!$B$18)</f>
        <v/>
      </c>
      <c r="Q3" s="54">
        <f>IF('Debt Payoff'!$B$19="","—",'Debt Payoff'!$B$19)</f>
        <v/>
      </c>
      <c r="R3" s="54">
        <f>IF('Debt Payoff'!$B$20="","—",'Debt Payoff'!$B$20)</f>
        <v/>
      </c>
      <c r="S3" s="54">
        <f>IF('Debt Payoff'!$B$21="","—",'Debt Payoff'!$B$21)</f>
        <v/>
      </c>
      <c r="T3" s="54">
        <f>IF('Debt Payoff'!$B$22="","—",'Debt Payoff'!$B$22)</f>
        <v/>
      </c>
      <c r="U3" s="54">
        <f>IF('Debt Payoff'!$B$23="","—",'Debt Payoff'!$B$23)</f>
        <v/>
      </c>
      <c r="V3" s="54">
        <f>IF('Debt Payoff'!$B$24="","—",'Debt Payoff'!$B$24)</f>
        <v/>
      </c>
      <c r="W3" s="54">
        <f>IF('Debt Payoff'!$B$15="","—",'Debt Payoff'!$B$15)</f>
        <v/>
      </c>
      <c r="X3" s="54">
        <f>IF('Debt Payoff'!$B$16="","—",'Debt Payoff'!$B$16)</f>
        <v/>
      </c>
      <c r="Y3" s="54">
        <f>IF('Debt Payoff'!$B$17="","—",'Debt Payoff'!$B$17)</f>
        <v/>
      </c>
      <c r="Z3" s="54">
        <f>IF('Debt Payoff'!$B$18="","—",'Debt Payoff'!$B$18)</f>
        <v/>
      </c>
      <c r="AA3" s="54">
        <f>IF('Debt Payoff'!$B$19="","—",'Debt Payoff'!$B$19)</f>
        <v/>
      </c>
      <c r="AB3" s="54">
        <f>IF('Debt Payoff'!$B$20="","—",'Debt Payoff'!$B$20)</f>
        <v/>
      </c>
      <c r="AC3" s="54">
        <f>IF('Debt Payoff'!$B$21="","—",'Debt Payoff'!$B$21)</f>
        <v/>
      </c>
      <c r="AD3" s="54">
        <f>IF('Debt Payoff'!$B$22="","—",'Debt Payoff'!$B$22)</f>
        <v/>
      </c>
      <c r="AE3" s="54">
        <f>IF('Debt Payoff'!$B$23="","—",'Debt Payoff'!$B$23)</f>
        <v/>
      </c>
      <c r="AF3" s="54">
        <f>IF('Debt Payoff'!$B$24="","—",'Debt Payoff'!$B$24)</f>
        <v/>
      </c>
      <c r="AG3" s="54">
        <f>IF('Debt Payoff'!$B$15="","—",'Debt Payoff'!$B$15)</f>
        <v/>
      </c>
      <c r="AH3" s="54">
        <f>IF('Debt Payoff'!$B$16="","—",'Debt Payoff'!$B$16)</f>
        <v/>
      </c>
      <c r="AI3" s="54">
        <f>IF('Debt Payoff'!$B$17="","—",'Debt Payoff'!$B$17)</f>
        <v/>
      </c>
      <c r="AJ3" s="54">
        <f>IF('Debt Payoff'!$B$18="","—",'Debt Payoff'!$B$18)</f>
        <v/>
      </c>
      <c r="AK3" s="54">
        <f>IF('Debt Payoff'!$B$19="","—",'Debt Payoff'!$B$19)</f>
        <v/>
      </c>
      <c r="AL3" s="54">
        <f>IF('Debt Payoff'!$B$20="","—",'Debt Payoff'!$B$20)</f>
        <v/>
      </c>
      <c r="AM3" s="54">
        <f>IF('Debt Payoff'!$B$21="","—",'Debt Payoff'!$B$21)</f>
        <v/>
      </c>
      <c r="AN3" s="54">
        <f>IF('Debt Payoff'!$B$22="","—",'Debt Payoff'!$B$22)</f>
        <v/>
      </c>
      <c r="AO3" s="54">
        <f>IF('Debt Payoff'!$B$23="","—",'Debt Payoff'!$B$23)</f>
        <v/>
      </c>
      <c r="AP3" s="54">
        <f>IF('Debt Payoff'!$B$24="","—",'Debt Payoff'!$B$24)</f>
        <v/>
      </c>
      <c r="AQ3" s="54">
        <f>IF('Debt Payoff'!$B$15="","—",'Debt Payoff'!$B$15)</f>
        <v/>
      </c>
      <c r="AR3" s="54">
        <f>IF('Debt Payoff'!$B$16="","—",'Debt Payoff'!$B$16)</f>
        <v/>
      </c>
      <c r="AS3" s="54">
        <f>IF('Debt Payoff'!$B$17="","—",'Debt Payoff'!$B$17)</f>
        <v/>
      </c>
      <c r="AT3" s="54">
        <f>IF('Debt Payoff'!$B$18="","—",'Debt Payoff'!$B$18)</f>
        <v/>
      </c>
      <c r="AU3" s="54">
        <f>IF('Debt Payoff'!$B$19="","—",'Debt Payoff'!$B$19)</f>
        <v/>
      </c>
      <c r="AV3" s="54">
        <f>IF('Debt Payoff'!$B$20="","—",'Debt Payoff'!$B$20)</f>
        <v/>
      </c>
      <c r="AW3" s="54">
        <f>IF('Debt Payoff'!$B$21="","—",'Debt Payoff'!$B$21)</f>
        <v/>
      </c>
      <c r="AX3" s="54">
        <f>IF('Debt Payoff'!$B$22="","—",'Debt Payoff'!$B$22)</f>
        <v/>
      </c>
      <c r="AY3" s="54">
        <f>IF('Debt Payoff'!$B$23="","—",'Debt Payoff'!$B$23)</f>
        <v/>
      </c>
      <c r="AZ3" s="54">
        <f>IF('Debt Payoff'!$B$24="","—",'Debt Payoff'!$B$24)</f>
        <v/>
      </c>
      <c r="BA3" s="54" t="inlineStr">
        <is>
          <t>TOTAL BALANCE</t>
        </is>
      </c>
      <c r="BB3" s="54" t="inlineStr">
        <is>
          <t>TOTAL PAID</t>
        </is>
      </c>
      <c r="BC3" s="54" t="inlineStr">
        <is>
          <t>TOTAL INTEREST</t>
        </is>
      </c>
    </row>
    <row r="4">
      <c r="A4" s="155" t="inlineStr">
        <is>
          <t>Month</t>
        </is>
      </c>
      <c r="B4" s="155" t="inlineStr">
        <is>
          <t>Date / order →</t>
        </is>
      </c>
      <c r="C4" s="156">
        <f>N('Debt Payoff'!$H$15)</f>
        <v/>
      </c>
      <c r="D4" s="156">
        <f>N('Debt Payoff'!$H$16)</f>
        <v/>
      </c>
      <c r="E4" s="156">
        <f>N('Debt Payoff'!$H$17)</f>
        <v/>
      </c>
      <c r="F4" s="156">
        <f>N('Debt Payoff'!$H$18)</f>
        <v/>
      </c>
      <c r="G4" s="156">
        <f>N('Debt Payoff'!$H$19)</f>
        <v/>
      </c>
      <c r="H4" s="156">
        <f>N('Debt Payoff'!$H$20)</f>
        <v/>
      </c>
      <c r="I4" s="156">
        <f>N('Debt Payoff'!$H$21)</f>
        <v/>
      </c>
      <c r="J4" s="156">
        <f>N('Debt Payoff'!$H$22)</f>
        <v/>
      </c>
      <c r="K4" s="156">
        <f>N('Debt Payoff'!$H$23)</f>
        <v/>
      </c>
      <c r="L4" s="156">
        <f>N('Debt Payoff'!$H$24)</f>
        <v/>
      </c>
      <c r="M4" s="156">
        <f>N('Debt Payoff'!$H$15)</f>
        <v/>
      </c>
      <c r="N4" s="156">
        <f>N('Debt Payoff'!$H$16)</f>
        <v/>
      </c>
      <c r="O4" s="156">
        <f>N('Debt Payoff'!$H$17)</f>
        <v/>
      </c>
      <c r="P4" s="156">
        <f>N('Debt Payoff'!$H$18)</f>
        <v/>
      </c>
      <c r="Q4" s="156">
        <f>N('Debt Payoff'!$H$19)</f>
        <v/>
      </c>
      <c r="R4" s="156">
        <f>N('Debt Payoff'!$H$20)</f>
        <v/>
      </c>
      <c r="S4" s="156">
        <f>N('Debt Payoff'!$H$21)</f>
        <v/>
      </c>
      <c r="T4" s="156">
        <f>N('Debt Payoff'!$H$22)</f>
        <v/>
      </c>
      <c r="U4" s="156">
        <f>N('Debt Payoff'!$H$23)</f>
        <v/>
      </c>
      <c r="V4" s="156">
        <f>N('Debt Payoff'!$H$24)</f>
        <v/>
      </c>
      <c r="W4" s="156">
        <f>N('Debt Payoff'!$H$15)</f>
        <v/>
      </c>
      <c r="X4" s="156">
        <f>N('Debt Payoff'!$H$16)</f>
        <v/>
      </c>
      <c r="Y4" s="156">
        <f>N('Debt Payoff'!$H$17)</f>
        <v/>
      </c>
      <c r="Z4" s="156">
        <f>N('Debt Payoff'!$H$18)</f>
        <v/>
      </c>
      <c r="AA4" s="156">
        <f>N('Debt Payoff'!$H$19)</f>
        <v/>
      </c>
      <c r="AB4" s="156">
        <f>N('Debt Payoff'!$H$20)</f>
        <v/>
      </c>
      <c r="AC4" s="156">
        <f>N('Debt Payoff'!$H$21)</f>
        <v/>
      </c>
      <c r="AD4" s="156">
        <f>N('Debt Payoff'!$H$22)</f>
        <v/>
      </c>
      <c r="AE4" s="156">
        <f>N('Debt Payoff'!$H$23)</f>
        <v/>
      </c>
      <c r="AF4" s="156">
        <f>N('Debt Payoff'!$H$24)</f>
        <v/>
      </c>
      <c r="AG4" s="156">
        <f>N('Debt Payoff'!$H$15)</f>
        <v/>
      </c>
      <c r="AH4" s="156">
        <f>N('Debt Payoff'!$H$16)</f>
        <v/>
      </c>
      <c r="AI4" s="156">
        <f>N('Debt Payoff'!$H$17)</f>
        <v/>
      </c>
      <c r="AJ4" s="156">
        <f>N('Debt Payoff'!$H$18)</f>
        <v/>
      </c>
      <c r="AK4" s="156">
        <f>N('Debt Payoff'!$H$19)</f>
        <v/>
      </c>
      <c r="AL4" s="156">
        <f>N('Debt Payoff'!$H$20)</f>
        <v/>
      </c>
      <c r="AM4" s="156">
        <f>N('Debt Payoff'!$H$21)</f>
        <v/>
      </c>
      <c r="AN4" s="156">
        <f>N('Debt Payoff'!$H$22)</f>
        <v/>
      </c>
      <c r="AO4" s="156">
        <f>N('Debt Payoff'!$H$23)</f>
        <v/>
      </c>
      <c r="AP4" s="156">
        <f>N('Debt Payoff'!$H$24)</f>
        <v/>
      </c>
      <c r="AQ4" s="156">
        <f>N('Debt Payoff'!$H$15)</f>
        <v/>
      </c>
      <c r="AR4" s="156">
        <f>N('Debt Payoff'!$H$16)</f>
        <v/>
      </c>
      <c r="AS4" s="156">
        <f>N('Debt Payoff'!$H$17)</f>
        <v/>
      </c>
      <c r="AT4" s="156">
        <f>N('Debt Payoff'!$H$18)</f>
        <v/>
      </c>
      <c r="AU4" s="156">
        <f>N('Debt Payoff'!$H$19)</f>
        <v/>
      </c>
      <c r="AV4" s="156">
        <f>N('Debt Payoff'!$H$20)</f>
        <v/>
      </c>
      <c r="AW4" s="156">
        <f>N('Debt Payoff'!$H$21)</f>
        <v/>
      </c>
      <c r="AX4" s="156">
        <f>N('Debt Payoff'!$H$22)</f>
        <v/>
      </c>
      <c r="AY4" s="156">
        <f>N('Debt Payoff'!$H$23)</f>
        <v/>
      </c>
      <c r="AZ4" s="156">
        <f>N('Debt Payoff'!$H$24)</f>
        <v/>
      </c>
      <c r="BA4" s="25" t="inlineStr">
        <is>
          <t>Total Balance</t>
        </is>
      </c>
      <c r="BB4" s="25" t="inlineStr">
        <is>
          <t>Total Paid</t>
        </is>
      </c>
      <c r="BC4" s="25" t="inlineStr">
        <is>
          <t>Total Interest</t>
        </is>
      </c>
    </row>
    <row r="5">
      <c r="A5" s="157" t="n">
        <v>0</v>
      </c>
      <c r="B5" s="157" t="inlineStr">
        <is>
          <t>Start</t>
        </is>
      </c>
      <c r="C5" s="158">
        <f>N('Debt Payoff'!$C$15)</f>
        <v/>
      </c>
      <c r="D5" s="158">
        <f>N('Debt Payoff'!$C$16)</f>
        <v/>
      </c>
      <c r="E5" s="158">
        <f>N('Debt Payoff'!$C$17)</f>
        <v/>
      </c>
      <c r="F5" s="158">
        <f>N('Debt Payoff'!$C$18)</f>
        <v/>
      </c>
      <c r="G5" s="158">
        <f>N('Debt Payoff'!$C$19)</f>
        <v/>
      </c>
      <c r="H5" s="158">
        <f>N('Debt Payoff'!$C$20)</f>
        <v/>
      </c>
      <c r="I5" s="158">
        <f>N('Debt Payoff'!$C$21)</f>
        <v/>
      </c>
      <c r="J5" s="158">
        <f>N('Debt Payoff'!$C$22)</f>
        <v/>
      </c>
      <c r="K5" s="158">
        <f>N('Debt Payoff'!$C$23)</f>
        <v/>
      </c>
      <c r="L5" s="158">
        <f>N('Debt Payoff'!$C$24)</f>
        <v/>
      </c>
      <c r="BA5" s="158">
        <f>SUM(C5:L5)</f>
        <v/>
      </c>
    </row>
    <row r="6">
      <c r="A6" s="157" t="n">
        <v>1</v>
      </c>
      <c r="B6" s="159">
        <f>EDATE('Debt Payoff'!$C$6,0)</f>
        <v/>
      </c>
      <c r="C6" s="160">
        <f>MAX(0,ROUND(C5+M6-AQ6,2))</f>
        <v/>
      </c>
      <c r="D6" s="160">
        <f>MAX(0,ROUND(D5+N6-AR6,2))</f>
        <v/>
      </c>
      <c r="E6" s="160">
        <f>MAX(0,ROUND(E5+O6-AS6,2))</f>
        <v/>
      </c>
      <c r="F6" s="160">
        <f>MAX(0,ROUND(F5+P6-AT6,2))</f>
        <v/>
      </c>
      <c r="G6" s="160">
        <f>MAX(0,ROUND(G5+Q6-AU6,2))</f>
        <v/>
      </c>
      <c r="H6" s="160">
        <f>MAX(0,ROUND(H5+R6-AV6,2))</f>
        <v/>
      </c>
      <c r="I6" s="160">
        <f>MAX(0,ROUND(I5+S6-AW6,2))</f>
        <v/>
      </c>
      <c r="J6" s="160">
        <f>MAX(0,ROUND(J5+T6-AX6,2))</f>
        <v/>
      </c>
      <c r="K6" s="160">
        <f>MAX(0,ROUND(K5+U6-AY6,2))</f>
        <v/>
      </c>
      <c r="L6" s="160">
        <f>MAX(0,ROUND(L5+V6-AZ6,2))</f>
        <v/>
      </c>
      <c r="M6" s="160">
        <f>C5*N('Debt Payoff'!$D$15)/12</f>
        <v/>
      </c>
      <c r="N6" s="160">
        <f>D5*N('Debt Payoff'!$D$16)/12</f>
        <v/>
      </c>
      <c r="O6" s="160">
        <f>E5*N('Debt Payoff'!$D$17)/12</f>
        <v/>
      </c>
      <c r="P6" s="160">
        <f>F5*N('Debt Payoff'!$D$18)/12</f>
        <v/>
      </c>
      <c r="Q6" s="160">
        <f>G5*N('Debt Payoff'!$D$19)/12</f>
        <v/>
      </c>
      <c r="R6" s="160">
        <f>H5*N('Debt Payoff'!$D$20)/12</f>
        <v/>
      </c>
      <c r="S6" s="160">
        <f>I5*N('Debt Payoff'!$D$21)/12</f>
        <v/>
      </c>
      <c r="T6" s="160">
        <f>J5*N('Debt Payoff'!$D$22)/12</f>
        <v/>
      </c>
      <c r="U6" s="160">
        <f>K5*N('Debt Payoff'!$D$23)/12</f>
        <v/>
      </c>
      <c r="V6" s="160">
        <f>L5*N('Debt Payoff'!$D$24)/12</f>
        <v/>
      </c>
      <c r="W6" s="160">
        <f>MIN(N('Debt Payoff'!$E$15),C5+M6)</f>
        <v/>
      </c>
      <c r="X6" s="160">
        <f>MIN(N('Debt Payoff'!$E$16),D5+N6)</f>
        <v/>
      </c>
      <c r="Y6" s="160">
        <f>MIN(N('Debt Payoff'!$E$17),E5+O6)</f>
        <v/>
      </c>
      <c r="Z6" s="160">
        <f>MIN(N('Debt Payoff'!$E$18),F5+P6)</f>
        <v/>
      </c>
      <c r="AA6" s="160">
        <f>MIN(N('Debt Payoff'!$E$19),G5+Q6)</f>
        <v/>
      </c>
      <c r="AB6" s="160">
        <f>MIN(N('Debt Payoff'!$E$20),H5+R6)</f>
        <v/>
      </c>
      <c r="AC6" s="160">
        <f>MIN(N('Debt Payoff'!$E$21),I5+S6)</f>
        <v/>
      </c>
      <c r="AD6" s="160">
        <f>MIN(N('Debt Payoff'!$E$22),J5+T6)</f>
        <v/>
      </c>
      <c r="AE6" s="160">
        <f>MIN(N('Debt Payoff'!$E$23),K5+U6)</f>
        <v/>
      </c>
      <c r="AF6" s="160">
        <f>MIN(N('Debt Payoff'!$E$24),L5+V6)</f>
        <v/>
      </c>
      <c r="AG6" s="160">
        <f>C5+M6-W6</f>
        <v/>
      </c>
      <c r="AH6" s="160">
        <f>D5+N6-X6</f>
        <v/>
      </c>
      <c r="AI6" s="160">
        <f>E5+O6-Y6</f>
        <v/>
      </c>
      <c r="AJ6" s="160">
        <f>F5+P6-Z6</f>
        <v/>
      </c>
      <c r="AK6" s="160">
        <f>G5+Q6-AA6</f>
        <v/>
      </c>
      <c r="AL6" s="160">
        <f>H5+R6-AB6</f>
        <v/>
      </c>
      <c r="AM6" s="160">
        <f>I5+S6-AC6</f>
        <v/>
      </c>
      <c r="AN6" s="160">
        <f>J5+T6-AD6</f>
        <v/>
      </c>
      <c r="AO6" s="160">
        <f>K5+U6-AE6</f>
        <v/>
      </c>
      <c r="AP6" s="160">
        <f>L5+V6-AF6</f>
        <v/>
      </c>
      <c r="AQ6" s="160">
        <f>W6+MAX(0,MIN(AG6,'Debt Payoff'!$C$12-SUM($W6:$AF6)-SUMIFS($AG6:$AP6,$AG$4:$AP$4,"&lt;"&amp;AG$4)))</f>
        <v/>
      </c>
      <c r="AR6" s="160">
        <f>X6+MAX(0,MIN(AH6,'Debt Payoff'!$C$12-SUM($W6:$AF6)-SUMIFS($AG6:$AP6,$AG$4:$AP$4,"&lt;"&amp;AH$4)))</f>
        <v/>
      </c>
      <c r="AS6" s="160">
        <f>Y6+MAX(0,MIN(AI6,'Debt Payoff'!$C$12-SUM($W6:$AF6)-SUMIFS($AG6:$AP6,$AG$4:$AP$4,"&lt;"&amp;AI$4)))</f>
        <v/>
      </c>
      <c r="AT6" s="160">
        <f>Z6+MAX(0,MIN(AJ6,'Debt Payoff'!$C$12-SUM($W6:$AF6)-SUMIFS($AG6:$AP6,$AG$4:$AP$4,"&lt;"&amp;AJ$4)))</f>
        <v/>
      </c>
      <c r="AU6" s="160">
        <f>AA6+MAX(0,MIN(AK6,'Debt Payoff'!$C$12-SUM($W6:$AF6)-SUMIFS($AG6:$AP6,$AG$4:$AP$4,"&lt;"&amp;AK$4)))</f>
        <v/>
      </c>
      <c r="AV6" s="160">
        <f>AB6+MAX(0,MIN(AL6,'Debt Payoff'!$C$12-SUM($W6:$AF6)-SUMIFS($AG6:$AP6,$AG$4:$AP$4,"&lt;"&amp;AL$4)))</f>
        <v/>
      </c>
      <c r="AW6" s="160">
        <f>AC6+MAX(0,MIN(AM6,'Debt Payoff'!$C$12-SUM($W6:$AF6)-SUMIFS($AG6:$AP6,$AG$4:$AP$4,"&lt;"&amp;AM$4)))</f>
        <v/>
      </c>
      <c r="AX6" s="160">
        <f>AD6+MAX(0,MIN(AN6,'Debt Payoff'!$C$12-SUM($W6:$AF6)-SUMIFS($AG6:$AP6,$AG$4:$AP$4,"&lt;"&amp;AN$4)))</f>
        <v/>
      </c>
      <c r="AY6" s="160">
        <f>AE6+MAX(0,MIN(AO6,'Debt Payoff'!$C$12-SUM($W6:$AF6)-SUMIFS($AG6:$AP6,$AG$4:$AP$4,"&lt;"&amp;AO$4)))</f>
        <v/>
      </c>
      <c r="AZ6" s="160">
        <f>AF6+MAX(0,MIN(AP6,'Debt Payoff'!$C$12-SUM($W6:$AF6)-SUMIFS($AG6:$AP6,$AG$4:$AP$4,"&lt;"&amp;AP$4)))</f>
        <v/>
      </c>
      <c r="BA6" s="160">
        <f>SUM(C6:L6)</f>
        <v/>
      </c>
      <c r="BB6" s="160">
        <f>SUM(AQ6:AZ6)</f>
        <v/>
      </c>
      <c r="BC6" s="160">
        <f>SUM(M6:V6)</f>
        <v/>
      </c>
    </row>
    <row r="7">
      <c r="A7" s="157" t="n">
        <v>2</v>
      </c>
      <c r="B7" s="159">
        <f>EDATE('Debt Payoff'!$C$6,1)</f>
        <v/>
      </c>
      <c r="C7" s="160">
        <f>MAX(0,ROUND(C6+M7-AQ7,2))</f>
        <v/>
      </c>
      <c r="D7" s="160">
        <f>MAX(0,ROUND(D6+N7-AR7,2))</f>
        <v/>
      </c>
      <c r="E7" s="160">
        <f>MAX(0,ROUND(E6+O7-AS7,2))</f>
        <v/>
      </c>
      <c r="F7" s="160">
        <f>MAX(0,ROUND(F6+P7-AT7,2))</f>
        <v/>
      </c>
      <c r="G7" s="160">
        <f>MAX(0,ROUND(G6+Q7-AU7,2))</f>
        <v/>
      </c>
      <c r="H7" s="160">
        <f>MAX(0,ROUND(H6+R7-AV7,2))</f>
        <v/>
      </c>
      <c r="I7" s="160">
        <f>MAX(0,ROUND(I6+S7-AW7,2))</f>
        <v/>
      </c>
      <c r="J7" s="160">
        <f>MAX(0,ROUND(J6+T7-AX7,2))</f>
        <v/>
      </c>
      <c r="K7" s="160">
        <f>MAX(0,ROUND(K6+U7-AY7,2))</f>
        <v/>
      </c>
      <c r="L7" s="160">
        <f>MAX(0,ROUND(L6+V7-AZ7,2))</f>
        <v/>
      </c>
      <c r="M7" s="160">
        <f>C6*N('Debt Payoff'!$D$15)/12</f>
        <v/>
      </c>
      <c r="N7" s="160">
        <f>D6*N('Debt Payoff'!$D$16)/12</f>
        <v/>
      </c>
      <c r="O7" s="160">
        <f>E6*N('Debt Payoff'!$D$17)/12</f>
        <v/>
      </c>
      <c r="P7" s="160">
        <f>F6*N('Debt Payoff'!$D$18)/12</f>
        <v/>
      </c>
      <c r="Q7" s="160">
        <f>G6*N('Debt Payoff'!$D$19)/12</f>
        <v/>
      </c>
      <c r="R7" s="160">
        <f>H6*N('Debt Payoff'!$D$20)/12</f>
        <v/>
      </c>
      <c r="S7" s="160">
        <f>I6*N('Debt Payoff'!$D$21)/12</f>
        <v/>
      </c>
      <c r="T7" s="160">
        <f>J6*N('Debt Payoff'!$D$22)/12</f>
        <v/>
      </c>
      <c r="U7" s="160">
        <f>K6*N('Debt Payoff'!$D$23)/12</f>
        <v/>
      </c>
      <c r="V7" s="160">
        <f>L6*N('Debt Payoff'!$D$24)/12</f>
        <v/>
      </c>
      <c r="W7" s="160">
        <f>MIN(N('Debt Payoff'!$E$15),C6+M7)</f>
        <v/>
      </c>
      <c r="X7" s="160">
        <f>MIN(N('Debt Payoff'!$E$16),D6+N7)</f>
        <v/>
      </c>
      <c r="Y7" s="160">
        <f>MIN(N('Debt Payoff'!$E$17),E6+O7)</f>
        <v/>
      </c>
      <c r="Z7" s="160">
        <f>MIN(N('Debt Payoff'!$E$18),F6+P7)</f>
        <v/>
      </c>
      <c r="AA7" s="160">
        <f>MIN(N('Debt Payoff'!$E$19),G6+Q7)</f>
        <v/>
      </c>
      <c r="AB7" s="160">
        <f>MIN(N('Debt Payoff'!$E$20),H6+R7)</f>
        <v/>
      </c>
      <c r="AC7" s="160">
        <f>MIN(N('Debt Payoff'!$E$21),I6+S7)</f>
        <v/>
      </c>
      <c r="AD7" s="160">
        <f>MIN(N('Debt Payoff'!$E$22),J6+T7)</f>
        <v/>
      </c>
      <c r="AE7" s="160">
        <f>MIN(N('Debt Payoff'!$E$23),K6+U7)</f>
        <v/>
      </c>
      <c r="AF7" s="160">
        <f>MIN(N('Debt Payoff'!$E$24),L6+V7)</f>
        <v/>
      </c>
      <c r="AG7" s="160">
        <f>C6+M7-W7</f>
        <v/>
      </c>
      <c r="AH7" s="160">
        <f>D6+N7-X7</f>
        <v/>
      </c>
      <c r="AI7" s="160">
        <f>E6+O7-Y7</f>
        <v/>
      </c>
      <c r="AJ7" s="160">
        <f>F6+P7-Z7</f>
        <v/>
      </c>
      <c r="AK7" s="160">
        <f>G6+Q7-AA7</f>
        <v/>
      </c>
      <c r="AL7" s="160">
        <f>H6+R7-AB7</f>
        <v/>
      </c>
      <c r="AM7" s="160">
        <f>I6+S7-AC7</f>
        <v/>
      </c>
      <c r="AN7" s="160">
        <f>J6+T7-AD7</f>
        <v/>
      </c>
      <c r="AO7" s="160">
        <f>K6+U7-AE7</f>
        <v/>
      </c>
      <c r="AP7" s="160">
        <f>L6+V7-AF7</f>
        <v/>
      </c>
      <c r="AQ7" s="160">
        <f>W7+MAX(0,MIN(AG7,'Debt Payoff'!$C$12-SUM($W7:$AF7)-SUMIFS($AG7:$AP7,$AG$4:$AP$4,"&lt;"&amp;AG$4)))</f>
        <v/>
      </c>
      <c r="AR7" s="160">
        <f>X7+MAX(0,MIN(AH7,'Debt Payoff'!$C$12-SUM($W7:$AF7)-SUMIFS($AG7:$AP7,$AG$4:$AP$4,"&lt;"&amp;AH$4)))</f>
        <v/>
      </c>
      <c r="AS7" s="160">
        <f>Y7+MAX(0,MIN(AI7,'Debt Payoff'!$C$12-SUM($W7:$AF7)-SUMIFS($AG7:$AP7,$AG$4:$AP$4,"&lt;"&amp;AI$4)))</f>
        <v/>
      </c>
      <c r="AT7" s="160">
        <f>Z7+MAX(0,MIN(AJ7,'Debt Payoff'!$C$12-SUM($W7:$AF7)-SUMIFS($AG7:$AP7,$AG$4:$AP$4,"&lt;"&amp;AJ$4)))</f>
        <v/>
      </c>
      <c r="AU7" s="160">
        <f>AA7+MAX(0,MIN(AK7,'Debt Payoff'!$C$12-SUM($W7:$AF7)-SUMIFS($AG7:$AP7,$AG$4:$AP$4,"&lt;"&amp;AK$4)))</f>
        <v/>
      </c>
      <c r="AV7" s="160">
        <f>AB7+MAX(0,MIN(AL7,'Debt Payoff'!$C$12-SUM($W7:$AF7)-SUMIFS($AG7:$AP7,$AG$4:$AP$4,"&lt;"&amp;AL$4)))</f>
        <v/>
      </c>
      <c r="AW7" s="160">
        <f>AC7+MAX(0,MIN(AM7,'Debt Payoff'!$C$12-SUM($W7:$AF7)-SUMIFS($AG7:$AP7,$AG$4:$AP$4,"&lt;"&amp;AM$4)))</f>
        <v/>
      </c>
      <c r="AX7" s="160">
        <f>AD7+MAX(0,MIN(AN7,'Debt Payoff'!$C$12-SUM($W7:$AF7)-SUMIFS($AG7:$AP7,$AG$4:$AP$4,"&lt;"&amp;AN$4)))</f>
        <v/>
      </c>
      <c r="AY7" s="160">
        <f>AE7+MAX(0,MIN(AO7,'Debt Payoff'!$C$12-SUM($W7:$AF7)-SUMIFS($AG7:$AP7,$AG$4:$AP$4,"&lt;"&amp;AO$4)))</f>
        <v/>
      </c>
      <c r="AZ7" s="160">
        <f>AF7+MAX(0,MIN(AP7,'Debt Payoff'!$C$12-SUM($W7:$AF7)-SUMIFS($AG7:$AP7,$AG$4:$AP$4,"&lt;"&amp;AP$4)))</f>
        <v/>
      </c>
      <c r="BA7" s="160">
        <f>SUM(C7:L7)</f>
        <v/>
      </c>
      <c r="BB7" s="160">
        <f>SUM(AQ7:AZ7)</f>
        <v/>
      </c>
      <c r="BC7" s="160">
        <f>SUM(M7:V7)</f>
        <v/>
      </c>
    </row>
    <row r="8">
      <c r="A8" s="157" t="n">
        <v>3</v>
      </c>
      <c r="B8" s="159">
        <f>EDATE('Debt Payoff'!$C$6,2)</f>
        <v/>
      </c>
      <c r="C8" s="160">
        <f>MAX(0,ROUND(C7+M8-AQ8,2))</f>
        <v/>
      </c>
      <c r="D8" s="160">
        <f>MAX(0,ROUND(D7+N8-AR8,2))</f>
        <v/>
      </c>
      <c r="E8" s="160">
        <f>MAX(0,ROUND(E7+O8-AS8,2))</f>
        <v/>
      </c>
      <c r="F8" s="160">
        <f>MAX(0,ROUND(F7+P8-AT8,2))</f>
        <v/>
      </c>
      <c r="G8" s="160">
        <f>MAX(0,ROUND(G7+Q8-AU8,2))</f>
        <v/>
      </c>
      <c r="H8" s="160">
        <f>MAX(0,ROUND(H7+R8-AV8,2))</f>
        <v/>
      </c>
      <c r="I8" s="160">
        <f>MAX(0,ROUND(I7+S8-AW8,2))</f>
        <v/>
      </c>
      <c r="J8" s="160">
        <f>MAX(0,ROUND(J7+T8-AX8,2))</f>
        <v/>
      </c>
      <c r="K8" s="160">
        <f>MAX(0,ROUND(K7+U8-AY8,2))</f>
        <v/>
      </c>
      <c r="L8" s="160">
        <f>MAX(0,ROUND(L7+V8-AZ8,2))</f>
        <v/>
      </c>
      <c r="M8" s="160">
        <f>C7*N('Debt Payoff'!$D$15)/12</f>
        <v/>
      </c>
      <c r="N8" s="160">
        <f>D7*N('Debt Payoff'!$D$16)/12</f>
        <v/>
      </c>
      <c r="O8" s="160">
        <f>E7*N('Debt Payoff'!$D$17)/12</f>
        <v/>
      </c>
      <c r="P8" s="160">
        <f>F7*N('Debt Payoff'!$D$18)/12</f>
        <v/>
      </c>
      <c r="Q8" s="160">
        <f>G7*N('Debt Payoff'!$D$19)/12</f>
        <v/>
      </c>
      <c r="R8" s="160">
        <f>H7*N('Debt Payoff'!$D$20)/12</f>
        <v/>
      </c>
      <c r="S8" s="160">
        <f>I7*N('Debt Payoff'!$D$21)/12</f>
        <v/>
      </c>
      <c r="T8" s="160">
        <f>J7*N('Debt Payoff'!$D$22)/12</f>
        <v/>
      </c>
      <c r="U8" s="160">
        <f>K7*N('Debt Payoff'!$D$23)/12</f>
        <v/>
      </c>
      <c r="V8" s="160">
        <f>L7*N('Debt Payoff'!$D$24)/12</f>
        <v/>
      </c>
      <c r="W8" s="160">
        <f>MIN(N('Debt Payoff'!$E$15),C7+M8)</f>
        <v/>
      </c>
      <c r="X8" s="160">
        <f>MIN(N('Debt Payoff'!$E$16),D7+N8)</f>
        <v/>
      </c>
      <c r="Y8" s="160">
        <f>MIN(N('Debt Payoff'!$E$17),E7+O8)</f>
        <v/>
      </c>
      <c r="Z8" s="160">
        <f>MIN(N('Debt Payoff'!$E$18),F7+P8)</f>
        <v/>
      </c>
      <c r="AA8" s="160">
        <f>MIN(N('Debt Payoff'!$E$19),G7+Q8)</f>
        <v/>
      </c>
      <c r="AB8" s="160">
        <f>MIN(N('Debt Payoff'!$E$20),H7+R8)</f>
        <v/>
      </c>
      <c r="AC8" s="160">
        <f>MIN(N('Debt Payoff'!$E$21),I7+S8)</f>
        <v/>
      </c>
      <c r="AD8" s="160">
        <f>MIN(N('Debt Payoff'!$E$22),J7+T8)</f>
        <v/>
      </c>
      <c r="AE8" s="160">
        <f>MIN(N('Debt Payoff'!$E$23),K7+U8)</f>
        <v/>
      </c>
      <c r="AF8" s="160">
        <f>MIN(N('Debt Payoff'!$E$24),L7+V8)</f>
        <v/>
      </c>
      <c r="AG8" s="160">
        <f>C7+M8-W8</f>
        <v/>
      </c>
      <c r="AH8" s="160">
        <f>D7+N8-X8</f>
        <v/>
      </c>
      <c r="AI8" s="160">
        <f>E7+O8-Y8</f>
        <v/>
      </c>
      <c r="AJ8" s="160">
        <f>F7+P8-Z8</f>
        <v/>
      </c>
      <c r="AK8" s="160">
        <f>G7+Q8-AA8</f>
        <v/>
      </c>
      <c r="AL8" s="160">
        <f>H7+R8-AB8</f>
        <v/>
      </c>
      <c r="AM8" s="160">
        <f>I7+S8-AC8</f>
        <v/>
      </c>
      <c r="AN8" s="160">
        <f>J7+T8-AD8</f>
        <v/>
      </c>
      <c r="AO8" s="160">
        <f>K7+U8-AE8</f>
        <v/>
      </c>
      <c r="AP8" s="160">
        <f>L7+V8-AF8</f>
        <v/>
      </c>
      <c r="AQ8" s="160">
        <f>W8+MAX(0,MIN(AG8,'Debt Payoff'!$C$12-SUM($W8:$AF8)-SUMIFS($AG8:$AP8,$AG$4:$AP$4,"&lt;"&amp;AG$4)))</f>
        <v/>
      </c>
      <c r="AR8" s="160">
        <f>X8+MAX(0,MIN(AH8,'Debt Payoff'!$C$12-SUM($W8:$AF8)-SUMIFS($AG8:$AP8,$AG$4:$AP$4,"&lt;"&amp;AH$4)))</f>
        <v/>
      </c>
      <c r="AS8" s="160">
        <f>Y8+MAX(0,MIN(AI8,'Debt Payoff'!$C$12-SUM($W8:$AF8)-SUMIFS($AG8:$AP8,$AG$4:$AP$4,"&lt;"&amp;AI$4)))</f>
        <v/>
      </c>
      <c r="AT8" s="160">
        <f>Z8+MAX(0,MIN(AJ8,'Debt Payoff'!$C$12-SUM($W8:$AF8)-SUMIFS($AG8:$AP8,$AG$4:$AP$4,"&lt;"&amp;AJ$4)))</f>
        <v/>
      </c>
      <c r="AU8" s="160">
        <f>AA8+MAX(0,MIN(AK8,'Debt Payoff'!$C$12-SUM($W8:$AF8)-SUMIFS($AG8:$AP8,$AG$4:$AP$4,"&lt;"&amp;AK$4)))</f>
        <v/>
      </c>
      <c r="AV8" s="160">
        <f>AB8+MAX(0,MIN(AL8,'Debt Payoff'!$C$12-SUM($W8:$AF8)-SUMIFS($AG8:$AP8,$AG$4:$AP$4,"&lt;"&amp;AL$4)))</f>
        <v/>
      </c>
      <c r="AW8" s="160">
        <f>AC8+MAX(0,MIN(AM8,'Debt Payoff'!$C$12-SUM($W8:$AF8)-SUMIFS($AG8:$AP8,$AG$4:$AP$4,"&lt;"&amp;AM$4)))</f>
        <v/>
      </c>
      <c r="AX8" s="160">
        <f>AD8+MAX(0,MIN(AN8,'Debt Payoff'!$C$12-SUM($W8:$AF8)-SUMIFS($AG8:$AP8,$AG$4:$AP$4,"&lt;"&amp;AN$4)))</f>
        <v/>
      </c>
      <c r="AY8" s="160">
        <f>AE8+MAX(0,MIN(AO8,'Debt Payoff'!$C$12-SUM($W8:$AF8)-SUMIFS($AG8:$AP8,$AG$4:$AP$4,"&lt;"&amp;AO$4)))</f>
        <v/>
      </c>
      <c r="AZ8" s="160">
        <f>AF8+MAX(0,MIN(AP8,'Debt Payoff'!$C$12-SUM($W8:$AF8)-SUMIFS($AG8:$AP8,$AG$4:$AP$4,"&lt;"&amp;AP$4)))</f>
        <v/>
      </c>
      <c r="BA8" s="160">
        <f>SUM(C8:L8)</f>
        <v/>
      </c>
      <c r="BB8" s="160">
        <f>SUM(AQ8:AZ8)</f>
        <v/>
      </c>
      <c r="BC8" s="160">
        <f>SUM(M8:V8)</f>
        <v/>
      </c>
    </row>
    <row r="9">
      <c r="A9" s="157" t="n">
        <v>4</v>
      </c>
      <c r="B9" s="159">
        <f>EDATE('Debt Payoff'!$C$6,3)</f>
        <v/>
      </c>
      <c r="C9" s="160">
        <f>MAX(0,ROUND(C8+M9-AQ9,2))</f>
        <v/>
      </c>
      <c r="D9" s="160">
        <f>MAX(0,ROUND(D8+N9-AR9,2))</f>
        <v/>
      </c>
      <c r="E9" s="160">
        <f>MAX(0,ROUND(E8+O9-AS9,2))</f>
        <v/>
      </c>
      <c r="F9" s="160">
        <f>MAX(0,ROUND(F8+P9-AT9,2))</f>
        <v/>
      </c>
      <c r="G9" s="160">
        <f>MAX(0,ROUND(G8+Q9-AU9,2))</f>
        <v/>
      </c>
      <c r="H9" s="160">
        <f>MAX(0,ROUND(H8+R9-AV9,2))</f>
        <v/>
      </c>
      <c r="I9" s="160">
        <f>MAX(0,ROUND(I8+S9-AW9,2))</f>
        <v/>
      </c>
      <c r="J9" s="160">
        <f>MAX(0,ROUND(J8+T9-AX9,2))</f>
        <v/>
      </c>
      <c r="K9" s="160">
        <f>MAX(0,ROUND(K8+U9-AY9,2))</f>
        <v/>
      </c>
      <c r="L9" s="160">
        <f>MAX(0,ROUND(L8+V9-AZ9,2))</f>
        <v/>
      </c>
      <c r="M9" s="160">
        <f>C8*N('Debt Payoff'!$D$15)/12</f>
        <v/>
      </c>
      <c r="N9" s="160">
        <f>D8*N('Debt Payoff'!$D$16)/12</f>
        <v/>
      </c>
      <c r="O9" s="160">
        <f>E8*N('Debt Payoff'!$D$17)/12</f>
        <v/>
      </c>
      <c r="P9" s="160">
        <f>F8*N('Debt Payoff'!$D$18)/12</f>
        <v/>
      </c>
      <c r="Q9" s="160">
        <f>G8*N('Debt Payoff'!$D$19)/12</f>
        <v/>
      </c>
      <c r="R9" s="160">
        <f>H8*N('Debt Payoff'!$D$20)/12</f>
        <v/>
      </c>
      <c r="S9" s="160">
        <f>I8*N('Debt Payoff'!$D$21)/12</f>
        <v/>
      </c>
      <c r="T9" s="160">
        <f>J8*N('Debt Payoff'!$D$22)/12</f>
        <v/>
      </c>
      <c r="U9" s="160">
        <f>K8*N('Debt Payoff'!$D$23)/12</f>
        <v/>
      </c>
      <c r="V9" s="160">
        <f>L8*N('Debt Payoff'!$D$24)/12</f>
        <v/>
      </c>
      <c r="W9" s="160">
        <f>MIN(N('Debt Payoff'!$E$15),C8+M9)</f>
        <v/>
      </c>
      <c r="X9" s="160">
        <f>MIN(N('Debt Payoff'!$E$16),D8+N9)</f>
        <v/>
      </c>
      <c r="Y9" s="160">
        <f>MIN(N('Debt Payoff'!$E$17),E8+O9)</f>
        <v/>
      </c>
      <c r="Z9" s="160">
        <f>MIN(N('Debt Payoff'!$E$18),F8+P9)</f>
        <v/>
      </c>
      <c r="AA9" s="160">
        <f>MIN(N('Debt Payoff'!$E$19),G8+Q9)</f>
        <v/>
      </c>
      <c r="AB9" s="160">
        <f>MIN(N('Debt Payoff'!$E$20),H8+R9)</f>
        <v/>
      </c>
      <c r="AC9" s="160">
        <f>MIN(N('Debt Payoff'!$E$21),I8+S9)</f>
        <v/>
      </c>
      <c r="AD9" s="160">
        <f>MIN(N('Debt Payoff'!$E$22),J8+T9)</f>
        <v/>
      </c>
      <c r="AE9" s="160">
        <f>MIN(N('Debt Payoff'!$E$23),K8+U9)</f>
        <v/>
      </c>
      <c r="AF9" s="160">
        <f>MIN(N('Debt Payoff'!$E$24),L8+V9)</f>
        <v/>
      </c>
      <c r="AG9" s="160">
        <f>C8+M9-W9</f>
        <v/>
      </c>
      <c r="AH9" s="160">
        <f>D8+N9-X9</f>
        <v/>
      </c>
      <c r="AI9" s="160">
        <f>E8+O9-Y9</f>
        <v/>
      </c>
      <c r="AJ9" s="160">
        <f>F8+P9-Z9</f>
        <v/>
      </c>
      <c r="AK9" s="160">
        <f>G8+Q9-AA9</f>
        <v/>
      </c>
      <c r="AL9" s="160">
        <f>H8+R9-AB9</f>
        <v/>
      </c>
      <c r="AM9" s="160">
        <f>I8+S9-AC9</f>
        <v/>
      </c>
      <c r="AN9" s="160">
        <f>J8+T9-AD9</f>
        <v/>
      </c>
      <c r="AO9" s="160">
        <f>K8+U9-AE9</f>
        <v/>
      </c>
      <c r="AP9" s="160">
        <f>L8+V9-AF9</f>
        <v/>
      </c>
      <c r="AQ9" s="160">
        <f>W9+MAX(0,MIN(AG9,'Debt Payoff'!$C$12-SUM($W9:$AF9)-SUMIFS($AG9:$AP9,$AG$4:$AP$4,"&lt;"&amp;AG$4)))</f>
        <v/>
      </c>
      <c r="AR9" s="160">
        <f>X9+MAX(0,MIN(AH9,'Debt Payoff'!$C$12-SUM($W9:$AF9)-SUMIFS($AG9:$AP9,$AG$4:$AP$4,"&lt;"&amp;AH$4)))</f>
        <v/>
      </c>
      <c r="AS9" s="160">
        <f>Y9+MAX(0,MIN(AI9,'Debt Payoff'!$C$12-SUM($W9:$AF9)-SUMIFS($AG9:$AP9,$AG$4:$AP$4,"&lt;"&amp;AI$4)))</f>
        <v/>
      </c>
      <c r="AT9" s="160">
        <f>Z9+MAX(0,MIN(AJ9,'Debt Payoff'!$C$12-SUM($W9:$AF9)-SUMIFS($AG9:$AP9,$AG$4:$AP$4,"&lt;"&amp;AJ$4)))</f>
        <v/>
      </c>
      <c r="AU9" s="160">
        <f>AA9+MAX(0,MIN(AK9,'Debt Payoff'!$C$12-SUM($W9:$AF9)-SUMIFS($AG9:$AP9,$AG$4:$AP$4,"&lt;"&amp;AK$4)))</f>
        <v/>
      </c>
      <c r="AV9" s="160">
        <f>AB9+MAX(0,MIN(AL9,'Debt Payoff'!$C$12-SUM($W9:$AF9)-SUMIFS($AG9:$AP9,$AG$4:$AP$4,"&lt;"&amp;AL$4)))</f>
        <v/>
      </c>
      <c r="AW9" s="160">
        <f>AC9+MAX(0,MIN(AM9,'Debt Payoff'!$C$12-SUM($W9:$AF9)-SUMIFS($AG9:$AP9,$AG$4:$AP$4,"&lt;"&amp;AM$4)))</f>
        <v/>
      </c>
      <c r="AX9" s="160">
        <f>AD9+MAX(0,MIN(AN9,'Debt Payoff'!$C$12-SUM($W9:$AF9)-SUMIFS($AG9:$AP9,$AG$4:$AP$4,"&lt;"&amp;AN$4)))</f>
        <v/>
      </c>
      <c r="AY9" s="160">
        <f>AE9+MAX(0,MIN(AO9,'Debt Payoff'!$C$12-SUM($W9:$AF9)-SUMIFS($AG9:$AP9,$AG$4:$AP$4,"&lt;"&amp;AO$4)))</f>
        <v/>
      </c>
      <c r="AZ9" s="160">
        <f>AF9+MAX(0,MIN(AP9,'Debt Payoff'!$C$12-SUM($W9:$AF9)-SUMIFS($AG9:$AP9,$AG$4:$AP$4,"&lt;"&amp;AP$4)))</f>
        <v/>
      </c>
      <c r="BA9" s="160">
        <f>SUM(C9:L9)</f>
        <v/>
      </c>
      <c r="BB9" s="160">
        <f>SUM(AQ9:AZ9)</f>
        <v/>
      </c>
      <c r="BC9" s="160">
        <f>SUM(M9:V9)</f>
        <v/>
      </c>
    </row>
    <row r="10">
      <c r="A10" s="157" t="n">
        <v>5</v>
      </c>
      <c r="B10" s="159">
        <f>EDATE('Debt Payoff'!$C$6,4)</f>
        <v/>
      </c>
      <c r="C10" s="160">
        <f>MAX(0,ROUND(C9+M10-AQ10,2))</f>
        <v/>
      </c>
      <c r="D10" s="160">
        <f>MAX(0,ROUND(D9+N10-AR10,2))</f>
        <v/>
      </c>
      <c r="E10" s="160">
        <f>MAX(0,ROUND(E9+O10-AS10,2))</f>
        <v/>
      </c>
      <c r="F10" s="160">
        <f>MAX(0,ROUND(F9+P10-AT10,2))</f>
        <v/>
      </c>
      <c r="G10" s="160">
        <f>MAX(0,ROUND(G9+Q10-AU10,2))</f>
        <v/>
      </c>
      <c r="H10" s="160">
        <f>MAX(0,ROUND(H9+R10-AV10,2))</f>
        <v/>
      </c>
      <c r="I10" s="160">
        <f>MAX(0,ROUND(I9+S10-AW10,2))</f>
        <v/>
      </c>
      <c r="J10" s="160">
        <f>MAX(0,ROUND(J9+T10-AX10,2))</f>
        <v/>
      </c>
      <c r="K10" s="160">
        <f>MAX(0,ROUND(K9+U10-AY10,2))</f>
        <v/>
      </c>
      <c r="L10" s="160">
        <f>MAX(0,ROUND(L9+V10-AZ10,2))</f>
        <v/>
      </c>
      <c r="M10" s="160">
        <f>C9*N('Debt Payoff'!$D$15)/12</f>
        <v/>
      </c>
      <c r="N10" s="160">
        <f>D9*N('Debt Payoff'!$D$16)/12</f>
        <v/>
      </c>
      <c r="O10" s="160">
        <f>E9*N('Debt Payoff'!$D$17)/12</f>
        <v/>
      </c>
      <c r="P10" s="160">
        <f>F9*N('Debt Payoff'!$D$18)/12</f>
        <v/>
      </c>
      <c r="Q10" s="160">
        <f>G9*N('Debt Payoff'!$D$19)/12</f>
        <v/>
      </c>
      <c r="R10" s="160">
        <f>H9*N('Debt Payoff'!$D$20)/12</f>
        <v/>
      </c>
      <c r="S10" s="160">
        <f>I9*N('Debt Payoff'!$D$21)/12</f>
        <v/>
      </c>
      <c r="T10" s="160">
        <f>J9*N('Debt Payoff'!$D$22)/12</f>
        <v/>
      </c>
      <c r="U10" s="160">
        <f>K9*N('Debt Payoff'!$D$23)/12</f>
        <v/>
      </c>
      <c r="V10" s="160">
        <f>L9*N('Debt Payoff'!$D$24)/12</f>
        <v/>
      </c>
      <c r="W10" s="160">
        <f>MIN(N('Debt Payoff'!$E$15),C9+M10)</f>
        <v/>
      </c>
      <c r="X10" s="160">
        <f>MIN(N('Debt Payoff'!$E$16),D9+N10)</f>
        <v/>
      </c>
      <c r="Y10" s="160">
        <f>MIN(N('Debt Payoff'!$E$17),E9+O10)</f>
        <v/>
      </c>
      <c r="Z10" s="160">
        <f>MIN(N('Debt Payoff'!$E$18),F9+P10)</f>
        <v/>
      </c>
      <c r="AA10" s="160">
        <f>MIN(N('Debt Payoff'!$E$19),G9+Q10)</f>
        <v/>
      </c>
      <c r="AB10" s="160">
        <f>MIN(N('Debt Payoff'!$E$20),H9+R10)</f>
        <v/>
      </c>
      <c r="AC10" s="160">
        <f>MIN(N('Debt Payoff'!$E$21),I9+S10)</f>
        <v/>
      </c>
      <c r="AD10" s="160">
        <f>MIN(N('Debt Payoff'!$E$22),J9+T10)</f>
        <v/>
      </c>
      <c r="AE10" s="160">
        <f>MIN(N('Debt Payoff'!$E$23),K9+U10)</f>
        <v/>
      </c>
      <c r="AF10" s="160">
        <f>MIN(N('Debt Payoff'!$E$24),L9+V10)</f>
        <v/>
      </c>
      <c r="AG10" s="160">
        <f>C9+M10-W10</f>
        <v/>
      </c>
      <c r="AH10" s="160">
        <f>D9+N10-X10</f>
        <v/>
      </c>
      <c r="AI10" s="160">
        <f>E9+O10-Y10</f>
        <v/>
      </c>
      <c r="AJ10" s="160">
        <f>F9+P10-Z10</f>
        <v/>
      </c>
      <c r="AK10" s="160">
        <f>G9+Q10-AA10</f>
        <v/>
      </c>
      <c r="AL10" s="160">
        <f>H9+R10-AB10</f>
        <v/>
      </c>
      <c r="AM10" s="160">
        <f>I9+S10-AC10</f>
        <v/>
      </c>
      <c r="AN10" s="160">
        <f>J9+T10-AD10</f>
        <v/>
      </c>
      <c r="AO10" s="160">
        <f>K9+U10-AE10</f>
        <v/>
      </c>
      <c r="AP10" s="160">
        <f>L9+V10-AF10</f>
        <v/>
      </c>
      <c r="AQ10" s="160">
        <f>W10+MAX(0,MIN(AG10,'Debt Payoff'!$C$12-SUM($W10:$AF10)-SUMIFS($AG10:$AP10,$AG$4:$AP$4,"&lt;"&amp;AG$4)))</f>
        <v/>
      </c>
      <c r="AR10" s="160">
        <f>X10+MAX(0,MIN(AH10,'Debt Payoff'!$C$12-SUM($W10:$AF10)-SUMIFS($AG10:$AP10,$AG$4:$AP$4,"&lt;"&amp;AH$4)))</f>
        <v/>
      </c>
      <c r="AS10" s="160">
        <f>Y10+MAX(0,MIN(AI10,'Debt Payoff'!$C$12-SUM($W10:$AF10)-SUMIFS($AG10:$AP10,$AG$4:$AP$4,"&lt;"&amp;AI$4)))</f>
        <v/>
      </c>
      <c r="AT10" s="160">
        <f>Z10+MAX(0,MIN(AJ10,'Debt Payoff'!$C$12-SUM($W10:$AF10)-SUMIFS($AG10:$AP10,$AG$4:$AP$4,"&lt;"&amp;AJ$4)))</f>
        <v/>
      </c>
      <c r="AU10" s="160">
        <f>AA10+MAX(0,MIN(AK10,'Debt Payoff'!$C$12-SUM($W10:$AF10)-SUMIFS($AG10:$AP10,$AG$4:$AP$4,"&lt;"&amp;AK$4)))</f>
        <v/>
      </c>
      <c r="AV10" s="160">
        <f>AB10+MAX(0,MIN(AL10,'Debt Payoff'!$C$12-SUM($W10:$AF10)-SUMIFS($AG10:$AP10,$AG$4:$AP$4,"&lt;"&amp;AL$4)))</f>
        <v/>
      </c>
      <c r="AW10" s="160">
        <f>AC10+MAX(0,MIN(AM10,'Debt Payoff'!$C$12-SUM($W10:$AF10)-SUMIFS($AG10:$AP10,$AG$4:$AP$4,"&lt;"&amp;AM$4)))</f>
        <v/>
      </c>
      <c r="AX10" s="160">
        <f>AD10+MAX(0,MIN(AN10,'Debt Payoff'!$C$12-SUM($W10:$AF10)-SUMIFS($AG10:$AP10,$AG$4:$AP$4,"&lt;"&amp;AN$4)))</f>
        <v/>
      </c>
      <c r="AY10" s="160">
        <f>AE10+MAX(0,MIN(AO10,'Debt Payoff'!$C$12-SUM($W10:$AF10)-SUMIFS($AG10:$AP10,$AG$4:$AP$4,"&lt;"&amp;AO$4)))</f>
        <v/>
      </c>
      <c r="AZ10" s="160">
        <f>AF10+MAX(0,MIN(AP10,'Debt Payoff'!$C$12-SUM($W10:$AF10)-SUMIFS($AG10:$AP10,$AG$4:$AP$4,"&lt;"&amp;AP$4)))</f>
        <v/>
      </c>
      <c r="BA10" s="160">
        <f>SUM(C10:L10)</f>
        <v/>
      </c>
      <c r="BB10" s="160">
        <f>SUM(AQ10:AZ10)</f>
        <v/>
      </c>
      <c r="BC10" s="160">
        <f>SUM(M10:V10)</f>
        <v/>
      </c>
    </row>
    <row r="11">
      <c r="A11" s="157" t="n">
        <v>6</v>
      </c>
      <c r="B11" s="159">
        <f>EDATE('Debt Payoff'!$C$6,5)</f>
        <v/>
      </c>
      <c r="C11" s="160">
        <f>MAX(0,ROUND(C10+M11-AQ11,2))</f>
        <v/>
      </c>
      <c r="D11" s="160">
        <f>MAX(0,ROUND(D10+N11-AR11,2))</f>
        <v/>
      </c>
      <c r="E11" s="160">
        <f>MAX(0,ROUND(E10+O11-AS11,2))</f>
        <v/>
      </c>
      <c r="F11" s="160">
        <f>MAX(0,ROUND(F10+P11-AT11,2))</f>
        <v/>
      </c>
      <c r="G11" s="160">
        <f>MAX(0,ROUND(G10+Q11-AU11,2))</f>
        <v/>
      </c>
      <c r="H11" s="160">
        <f>MAX(0,ROUND(H10+R11-AV11,2))</f>
        <v/>
      </c>
      <c r="I11" s="160">
        <f>MAX(0,ROUND(I10+S11-AW11,2))</f>
        <v/>
      </c>
      <c r="J11" s="160">
        <f>MAX(0,ROUND(J10+T11-AX11,2))</f>
        <v/>
      </c>
      <c r="K11" s="160">
        <f>MAX(0,ROUND(K10+U11-AY11,2))</f>
        <v/>
      </c>
      <c r="L11" s="160">
        <f>MAX(0,ROUND(L10+V11-AZ11,2))</f>
        <v/>
      </c>
      <c r="M11" s="160">
        <f>C10*N('Debt Payoff'!$D$15)/12</f>
        <v/>
      </c>
      <c r="N11" s="160">
        <f>D10*N('Debt Payoff'!$D$16)/12</f>
        <v/>
      </c>
      <c r="O11" s="160">
        <f>E10*N('Debt Payoff'!$D$17)/12</f>
        <v/>
      </c>
      <c r="P11" s="160">
        <f>F10*N('Debt Payoff'!$D$18)/12</f>
        <v/>
      </c>
      <c r="Q11" s="160">
        <f>G10*N('Debt Payoff'!$D$19)/12</f>
        <v/>
      </c>
      <c r="R11" s="160">
        <f>H10*N('Debt Payoff'!$D$20)/12</f>
        <v/>
      </c>
      <c r="S11" s="160">
        <f>I10*N('Debt Payoff'!$D$21)/12</f>
        <v/>
      </c>
      <c r="T11" s="160">
        <f>J10*N('Debt Payoff'!$D$22)/12</f>
        <v/>
      </c>
      <c r="U11" s="160">
        <f>K10*N('Debt Payoff'!$D$23)/12</f>
        <v/>
      </c>
      <c r="V11" s="160">
        <f>L10*N('Debt Payoff'!$D$24)/12</f>
        <v/>
      </c>
      <c r="W11" s="160">
        <f>MIN(N('Debt Payoff'!$E$15),C10+M11)</f>
        <v/>
      </c>
      <c r="X11" s="160">
        <f>MIN(N('Debt Payoff'!$E$16),D10+N11)</f>
        <v/>
      </c>
      <c r="Y11" s="160">
        <f>MIN(N('Debt Payoff'!$E$17),E10+O11)</f>
        <v/>
      </c>
      <c r="Z11" s="160">
        <f>MIN(N('Debt Payoff'!$E$18),F10+P11)</f>
        <v/>
      </c>
      <c r="AA11" s="160">
        <f>MIN(N('Debt Payoff'!$E$19),G10+Q11)</f>
        <v/>
      </c>
      <c r="AB11" s="160">
        <f>MIN(N('Debt Payoff'!$E$20),H10+R11)</f>
        <v/>
      </c>
      <c r="AC11" s="160">
        <f>MIN(N('Debt Payoff'!$E$21),I10+S11)</f>
        <v/>
      </c>
      <c r="AD11" s="160">
        <f>MIN(N('Debt Payoff'!$E$22),J10+T11)</f>
        <v/>
      </c>
      <c r="AE11" s="160">
        <f>MIN(N('Debt Payoff'!$E$23),K10+U11)</f>
        <v/>
      </c>
      <c r="AF11" s="160">
        <f>MIN(N('Debt Payoff'!$E$24),L10+V11)</f>
        <v/>
      </c>
      <c r="AG11" s="160">
        <f>C10+M11-W11</f>
        <v/>
      </c>
      <c r="AH11" s="160">
        <f>D10+N11-X11</f>
        <v/>
      </c>
      <c r="AI11" s="160">
        <f>E10+O11-Y11</f>
        <v/>
      </c>
      <c r="AJ11" s="160">
        <f>F10+P11-Z11</f>
        <v/>
      </c>
      <c r="AK11" s="160">
        <f>G10+Q11-AA11</f>
        <v/>
      </c>
      <c r="AL11" s="160">
        <f>H10+R11-AB11</f>
        <v/>
      </c>
      <c r="AM11" s="160">
        <f>I10+S11-AC11</f>
        <v/>
      </c>
      <c r="AN11" s="160">
        <f>J10+T11-AD11</f>
        <v/>
      </c>
      <c r="AO11" s="160">
        <f>K10+U11-AE11</f>
        <v/>
      </c>
      <c r="AP11" s="160">
        <f>L10+V11-AF11</f>
        <v/>
      </c>
      <c r="AQ11" s="160">
        <f>W11+MAX(0,MIN(AG11,'Debt Payoff'!$C$12-SUM($W11:$AF11)-SUMIFS($AG11:$AP11,$AG$4:$AP$4,"&lt;"&amp;AG$4)))</f>
        <v/>
      </c>
      <c r="AR11" s="160">
        <f>X11+MAX(0,MIN(AH11,'Debt Payoff'!$C$12-SUM($W11:$AF11)-SUMIFS($AG11:$AP11,$AG$4:$AP$4,"&lt;"&amp;AH$4)))</f>
        <v/>
      </c>
      <c r="AS11" s="160">
        <f>Y11+MAX(0,MIN(AI11,'Debt Payoff'!$C$12-SUM($W11:$AF11)-SUMIFS($AG11:$AP11,$AG$4:$AP$4,"&lt;"&amp;AI$4)))</f>
        <v/>
      </c>
      <c r="AT11" s="160">
        <f>Z11+MAX(0,MIN(AJ11,'Debt Payoff'!$C$12-SUM($W11:$AF11)-SUMIFS($AG11:$AP11,$AG$4:$AP$4,"&lt;"&amp;AJ$4)))</f>
        <v/>
      </c>
      <c r="AU11" s="160">
        <f>AA11+MAX(0,MIN(AK11,'Debt Payoff'!$C$12-SUM($W11:$AF11)-SUMIFS($AG11:$AP11,$AG$4:$AP$4,"&lt;"&amp;AK$4)))</f>
        <v/>
      </c>
      <c r="AV11" s="160">
        <f>AB11+MAX(0,MIN(AL11,'Debt Payoff'!$C$12-SUM($W11:$AF11)-SUMIFS($AG11:$AP11,$AG$4:$AP$4,"&lt;"&amp;AL$4)))</f>
        <v/>
      </c>
      <c r="AW11" s="160">
        <f>AC11+MAX(0,MIN(AM11,'Debt Payoff'!$C$12-SUM($W11:$AF11)-SUMIFS($AG11:$AP11,$AG$4:$AP$4,"&lt;"&amp;AM$4)))</f>
        <v/>
      </c>
      <c r="AX11" s="160">
        <f>AD11+MAX(0,MIN(AN11,'Debt Payoff'!$C$12-SUM($W11:$AF11)-SUMIFS($AG11:$AP11,$AG$4:$AP$4,"&lt;"&amp;AN$4)))</f>
        <v/>
      </c>
      <c r="AY11" s="160">
        <f>AE11+MAX(0,MIN(AO11,'Debt Payoff'!$C$12-SUM($W11:$AF11)-SUMIFS($AG11:$AP11,$AG$4:$AP$4,"&lt;"&amp;AO$4)))</f>
        <v/>
      </c>
      <c r="AZ11" s="160">
        <f>AF11+MAX(0,MIN(AP11,'Debt Payoff'!$C$12-SUM($W11:$AF11)-SUMIFS($AG11:$AP11,$AG$4:$AP$4,"&lt;"&amp;AP$4)))</f>
        <v/>
      </c>
      <c r="BA11" s="160">
        <f>SUM(C11:L11)</f>
        <v/>
      </c>
      <c r="BB11" s="160">
        <f>SUM(AQ11:AZ11)</f>
        <v/>
      </c>
      <c r="BC11" s="160">
        <f>SUM(M11:V11)</f>
        <v/>
      </c>
    </row>
    <row r="12">
      <c r="A12" s="157" t="n">
        <v>7</v>
      </c>
      <c r="B12" s="159">
        <f>EDATE('Debt Payoff'!$C$6,6)</f>
        <v/>
      </c>
      <c r="C12" s="160">
        <f>MAX(0,ROUND(C11+M12-AQ12,2))</f>
        <v/>
      </c>
      <c r="D12" s="160">
        <f>MAX(0,ROUND(D11+N12-AR12,2))</f>
        <v/>
      </c>
      <c r="E12" s="160">
        <f>MAX(0,ROUND(E11+O12-AS12,2))</f>
        <v/>
      </c>
      <c r="F12" s="160">
        <f>MAX(0,ROUND(F11+P12-AT12,2))</f>
        <v/>
      </c>
      <c r="G12" s="160">
        <f>MAX(0,ROUND(G11+Q12-AU12,2))</f>
        <v/>
      </c>
      <c r="H12" s="160">
        <f>MAX(0,ROUND(H11+R12-AV12,2))</f>
        <v/>
      </c>
      <c r="I12" s="160">
        <f>MAX(0,ROUND(I11+S12-AW12,2))</f>
        <v/>
      </c>
      <c r="J12" s="160">
        <f>MAX(0,ROUND(J11+T12-AX12,2))</f>
        <v/>
      </c>
      <c r="K12" s="160">
        <f>MAX(0,ROUND(K11+U12-AY12,2))</f>
        <v/>
      </c>
      <c r="L12" s="160">
        <f>MAX(0,ROUND(L11+V12-AZ12,2))</f>
        <v/>
      </c>
      <c r="M12" s="160">
        <f>C11*N('Debt Payoff'!$D$15)/12</f>
        <v/>
      </c>
      <c r="N12" s="160">
        <f>D11*N('Debt Payoff'!$D$16)/12</f>
        <v/>
      </c>
      <c r="O12" s="160">
        <f>E11*N('Debt Payoff'!$D$17)/12</f>
        <v/>
      </c>
      <c r="P12" s="160">
        <f>F11*N('Debt Payoff'!$D$18)/12</f>
        <v/>
      </c>
      <c r="Q12" s="160">
        <f>G11*N('Debt Payoff'!$D$19)/12</f>
        <v/>
      </c>
      <c r="R12" s="160">
        <f>H11*N('Debt Payoff'!$D$20)/12</f>
        <v/>
      </c>
      <c r="S12" s="160">
        <f>I11*N('Debt Payoff'!$D$21)/12</f>
        <v/>
      </c>
      <c r="T12" s="160">
        <f>J11*N('Debt Payoff'!$D$22)/12</f>
        <v/>
      </c>
      <c r="U12" s="160">
        <f>K11*N('Debt Payoff'!$D$23)/12</f>
        <v/>
      </c>
      <c r="V12" s="160">
        <f>L11*N('Debt Payoff'!$D$24)/12</f>
        <v/>
      </c>
      <c r="W12" s="160">
        <f>MIN(N('Debt Payoff'!$E$15),C11+M12)</f>
        <v/>
      </c>
      <c r="X12" s="160">
        <f>MIN(N('Debt Payoff'!$E$16),D11+N12)</f>
        <v/>
      </c>
      <c r="Y12" s="160">
        <f>MIN(N('Debt Payoff'!$E$17),E11+O12)</f>
        <v/>
      </c>
      <c r="Z12" s="160">
        <f>MIN(N('Debt Payoff'!$E$18),F11+P12)</f>
        <v/>
      </c>
      <c r="AA12" s="160">
        <f>MIN(N('Debt Payoff'!$E$19),G11+Q12)</f>
        <v/>
      </c>
      <c r="AB12" s="160">
        <f>MIN(N('Debt Payoff'!$E$20),H11+R12)</f>
        <v/>
      </c>
      <c r="AC12" s="160">
        <f>MIN(N('Debt Payoff'!$E$21),I11+S12)</f>
        <v/>
      </c>
      <c r="AD12" s="160">
        <f>MIN(N('Debt Payoff'!$E$22),J11+T12)</f>
        <v/>
      </c>
      <c r="AE12" s="160">
        <f>MIN(N('Debt Payoff'!$E$23),K11+U12)</f>
        <v/>
      </c>
      <c r="AF12" s="160">
        <f>MIN(N('Debt Payoff'!$E$24),L11+V12)</f>
        <v/>
      </c>
      <c r="AG12" s="160">
        <f>C11+M12-W12</f>
        <v/>
      </c>
      <c r="AH12" s="160">
        <f>D11+N12-X12</f>
        <v/>
      </c>
      <c r="AI12" s="160">
        <f>E11+O12-Y12</f>
        <v/>
      </c>
      <c r="AJ12" s="160">
        <f>F11+P12-Z12</f>
        <v/>
      </c>
      <c r="AK12" s="160">
        <f>G11+Q12-AA12</f>
        <v/>
      </c>
      <c r="AL12" s="160">
        <f>H11+R12-AB12</f>
        <v/>
      </c>
      <c r="AM12" s="160">
        <f>I11+S12-AC12</f>
        <v/>
      </c>
      <c r="AN12" s="160">
        <f>J11+T12-AD12</f>
        <v/>
      </c>
      <c r="AO12" s="160">
        <f>K11+U12-AE12</f>
        <v/>
      </c>
      <c r="AP12" s="160">
        <f>L11+V12-AF12</f>
        <v/>
      </c>
      <c r="AQ12" s="160">
        <f>W12+MAX(0,MIN(AG12,'Debt Payoff'!$C$12-SUM($W12:$AF12)-SUMIFS($AG12:$AP12,$AG$4:$AP$4,"&lt;"&amp;AG$4)))</f>
        <v/>
      </c>
      <c r="AR12" s="160">
        <f>X12+MAX(0,MIN(AH12,'Debt Payoff'!$C$12-SUM($W12:$AF12)-SUMIFS($AG12:$AP12,$AG$4:$AP$4,"&lt;"&amp;AH$4)))</f>
        <v/>
      </c>
      <c r="AS12" s="160">
        <f>Y12+MAX(0,MIN(AI12,'Debt Payoff'!$C$12-SUM($W12:$AF12)-SUMIFS($AG12:$AP12,$AG$4:$AP$4,"&lt;"&amp;AI$4)))</f>
        <v/>
      </c>
      <c r="AT12" s="160">
        <f>Z12+MAX(0,MIN(AJ12,'Debt Payoff'!$C$12-SUM($W12:$AF12)-SUMIFS($AG12:$AP12,$AG$4:$AP$4,"&lt;"&amp;AJ$4)))</f>
        <v/>
      </c>
      <c r="AU12" s="160">
        <f>AA12+MAX(0,MIN(AK12,'Debt Payoff'!$C$12-SUM($W12:$AF12)-SUMIFS($AG12:$AP12,$AG$4:$AP$4,"&lt;"&amp;AK$4)))</f>
        <v/>
      </c>
      <c r="AV12" s="160">
        <f>AB12+MAX(0,MIN(AL12,'Debt Payoff'!$C$12-SUM($W12:$AF12)-SUMIFS($AG12:$AP12,$AG$4:$AP$4,"&lt;"&amp;AL$4)))</f>
        <v/>
      </c>
      <c r="AW12" s="160">
        <f>AC12+MAX(0,MIN(AM12,'Debt Payoff'!$C$12-SUM($W12:$AF12)-SUMIFS($AG12:$AP12,$AG$4:$AP$4,"&lt;"&amp;AM$4)))</f>
        <v/>
      </c>
      <c r="AX12" s="160">
        <f>AD12+MAX(0,MIN(AN12,'Debt Payoff'!$C$12-SUM($W12:$AF12)-SUMIFS($AG12:$AP12,$AG$4:$AP$4,"&lt;"&amp;AN$4)))</f>
        <v/>
      </c>
      <c r="AY12" s="160">
        <f>AE12+MAX(0,MIN(AO12,'Debt Payoff'!$C$12-SUM($W12:$AF12)-SUMIFS($AG12:$AP12,$AG$4:$AP$4,"&lt;"&amp;AO$4)))</f>
        <v/>
      </c>
      <c r="AZ12" s="160">
        <f>AF12+MAX(0,MIN(AP12,'Debt Payoff'!$C$12-SUM($W12:$AF12)-SUMIFS($AG12:$AP12,$AG$4:$AP$4,"&lt;"&amp;AP$4)))</f>
        <v/>
      </c>
      <c r="BA12" s="160">
        <f>SUM(C12:L12)</f>
        <v/>
      </c>
      <c r="BB12" s="160">
        <f>SUM(AQ12:AZ12)</f>
        <v/>
      </c>
      <c r="BC12" s="160">
        <f>SUM(M12:V12)</f>
        <v/>
      </c>
    </row>
    <row r="13">
      <c r="A13" s="157" t="n">
        <v>8</v>
      </c>
      <c r="B13" s="159">
        <f>EDATE('Debt Payoff'!$C$6,7)</f>
        <v/>
      </c>
      <c r="C13" s="160">
        <f>MAX(0,ROUND(C12+M13-AQ13,2))</f>
        <v/>
      </c>
      <c r="D13" s="160">
        <f>MAX(0,ROUND(D12+N13-AR13,2))</f>
        <v/>
      </c>
      <c r="E13" s="160">
        <f>MAX(0,ROUND(E12+O13-AS13,2))</f>
        <v/>
      </c>
      <c r="F13" s="160">
        <f>MAX(0,ROUND(F12+P13-AT13,2))</f>
        <v/>
      </c>
      <c r="G13" s="160">
        <f>MAX(0,ROUND(G12+Q13-AU13,2))</f>
        <v/>
      </c>
      <c r="H13" s="160">
        <f>MAX(0,ROUND(H12+R13-AV13,2))</f>
        <v/>
      </c>
      <c r="I13" s="160">
        <f>MAX(0,ROUND(I12+S13-AW13,2))</f>
        <v/>
      </c>
      <c r="J13" s="160">
        <f>MAX(0,ROUND(J12+T13-AX13,2))</f>
        <v/>
      </c>
      <c r="K13" s="160">
        <f>MAX(0,ROUND(K12+U13-AY13,2))</f>
        <v/>
      </c>
      <c r="L13" s="160">
        <f>MAX(0,ROUND(L12+V13-AZ13,2))</f>
        <v/>
      </c>
      <c r="M13" s="160">
        <f>C12*N('Debt Payoff'!$D$15)/12</f>
        <v/>
      </c>
      <c r="N13" s="160">
        <f>D12*N('Debt Payoff'!$D$16)/12</f>
        <v/>
      </c>
      <c r="O13" s="160">
        <f>E12*N('Debt Payoff'!$D$17)/12</f>
        <v/>
      </c>
      <c r="P13" s="160">
        <f>F12*N('Debt Payoff'!$D$18)/12</f>
        <v/>
      </c>
      <c r="Q13" s="160">
        <f>G12*N('Debt Payoff'!$D$19)/12</f>
        <v/>
      </c>
      <c r="R13" s="160">
        <f>H12*N('Debt Payoff'!$D$20)/12</f>
        <v/>
      </c>
      <c r="S13" s="160">
        <f>I12*N('Debt Payoff'!$D$21)/12</f>
        <v/>
      </c>
      <c r="T13" s="160">
        <f>J12*N('Debt Payoff'!$D$22)/12</f>
        <v/>
      </c>
      <c r="U13" s="160">
        <f>K12*N('Debt Payoff'!$D$23)/12</f>
        <v/>
      </c>
      <c r="V13" s="160">
        <f>L12*N('Debt Payoff'!$D$24)/12</f>
        <v/>
      </c>
      <c r="W13" s="160">
        <f>MIN(N('Debt Payoff'!$E$15),C12+M13)</f>
        <v/>
      </c>
      <c r="X13" s="160">
        <f>MIN(N('Debt Payoff'!$E$16),D12+N13)</f>
        <v/>
      </c>
      <c r="Y13" s="160">
        <f>MIN(N('Debt Payoff'!$E$17),E12+O13)</f>
        <v/>
      </c>
      <c r="Z13" s="160">
        <f>MIN(N('Debt Payoff'!$E$18),F12+P13)</f>
        <v/>
      </c>
      <c r="AA13" s="160">
        <f>MIN(N('Debt Payoff'!$E$19),G12+Q13)</f>
        <v/>
      </c>
      <c r="AB13" s="160">
        <f>MIN(N('Debt Payoff'!$E$20),H12+R13)</f>
        <v/>
      </c>
      <c r="AC13" s="160">
        <f>MIN(N('Debt Payoff'!$E$21),I12+S13)</f>
        <v/>
      </c>
      <c r="AD13" s="160">
        <f>MIN(N('Debt Payoff'!$E$22),J12+T13)</f>
        <v/>
      </c>
      <c r="AE13" s="160">
        <f>MIN(N('Debt Payoff'!$E$23),K12+U13)</f>
        <v/>
      </c>
      <c r="AF13" s="160">
        <f>MIN(N('Debt Payoff'!$E$24),L12+V13)</f>
        <v/>
      </c>
      <c r="AG13" s="160">
        <f>C12+M13-W13</f>
        <v/>
      </c>
      <c r="AH13" s="160">
        <f>D12+N13-X13</f>
        <v/>
      </c>
      <c r="AI13" s="160">
        <f>E12+O13-Y13</f>
        <v/>
      </c>
      <c r="AJ13" s="160">
        <f>F12+P13-Z13</f>
        <v/>
      </c>
      <c r="AK13" s="160">
        <f>G12+Q13-AA13</f>
        <v/>
      </c>
      <c r="AL13" s="160">
        <f>H12+R13-AB13</f>
        <v/>
      </c>
      <c r="AM13" s="160">
        <f>I12+S13-AC13</f>
        <v/>
      </c>
      <c r="AN13" s="160">
        <f>J12+T13-AD13</f>
        <v/>
      </c>
      <c r="AO13" s="160">
        <f>K12+U13-AE13</f>
        <v/>
      </c>
      <c r="AP13" s="160">
        <f>L12+V13-AF13</f>
        <v/>
      </c>
      <c r="AQ13" s="160">
        <f>W13+MAX(0,MIN(AG13,'Debt Payoff'!$C$12-SUM($W13:$AF13)-SUMIFS($AG13:$AP13,$AG$4:$AP$4,"&lt;"&amp;AG$4)))</f>
        <v/>
      </c>
      <c r="AR13" s="160">
        <f>X13+MAX(0,MIN(AH13,'Debt Payoff'!$C$12-SUM($W13:$AF13)-SUMIFS($AG13:$AP13,$AG$4:$AP$4,"&lt;"&amp;AH$4)))</f>
        <v/>
      </c>
      <c r="AS13" s="160">
        <f>Y13+MAX(0,MIN(AI13,'Debt Payoff'!$C$12-SUM($W13:$AF13)-SUMIFS($AG13:$AP13,$AG$4:$AP$4,"&lt;"&amp;AI$4)))</f>
        <v/>
      </c>
      <c r="AT13" s="160">
        <f>Z13+MAX(0,MIN(AJ13,'Debt Payoff'!$C$12-SUM($W13:$AF13)-SUMIFS($AG13:$AP13,$AG$4:$AP$4,"&lt;"&amp;AJ$4)))</f>
        <v/>
      </c>
      <c r="AU13" s="160">
        <f>AA13+MAX(0,MIN(AK13,'Debt Payoff'!$C$12-SUM($W13:$AF13)-SUMIFS($AG13:$AP13,$AG$4:$AP$4,"&lt;"&amp;AK$4)))</f>
        <v/>
      </c>
      <c r="AV13" s="160">
        <f>AB13+MAX(0,MIN(AL13,'Debt Payoff'!$C$12-SUM($W13:$AF13)-SUMIFS($AG13:$AP13,$AG$4:$AP$4,"&lt;"&amp;AL$4)))</f>
        <v/>
      </c>
      <c r="AW13" s="160">
        <f>AC13+MAX(0,MIN(AM13,'Debt Payoff'!$C$12-SUM($W13:$AF13)-SUMIFS($AG13:$AP13,$AG$4:$AP$4,"&lt;"&amp;AM$4)))</f>
        <v/>
      </c>
      <c r="AX13" s="160">
        <f>AD13+MAX(0,MIN(AN13,'Debt Payoff'!$C$12-SUM($W13:$AF13)-SUMIFS($AG13:$AP13,$AG$4:$AP$4,"&lt;"&amp;AN$4)))</f>
        <v/>
      </c>
      <c r="AY13" s="160">
        <f>AE13+MAX(0,MIN(AO13,'Debt Payoff'!$C$12-SUM($W13:$AF13)-SUMIFS($AG13:$AP13,$AG$4:$AP$4,"&lt;"&amp;AO$4)))</f>
        <v/>
      </c>
      <c r="AZ13" s="160">
        <f>AF13+MAX(0,MIN(AP13,'Debt Payoff'!$C$12-SUM($W13:$AF13)-SUMIFS($AG13:$AP13,$AG$4:$AP$4,"&lt;"&amp;AP$4)))</f>
        <v/>
      </c>
      <c r="BA13" s="160">
        <f>SUM(C13:L13)</f>
        <v/>
      </c>
      <c r="BB13" s="160">
        <f>SUM(AQ13:AZ13)</f>
        <v/>
      </c>
      <c r="BC13" s="160">
        <f>SUM(M13:V13)</f>
        <v/>
      </c>
    </row>
    <row r="14">
      <c r="A14" s="157" t="n">
        <v>9</v>
      </c>
      <c r="B14" s="159">
        <f>EDATE('Debt Payoff'!$C$6,8)</f>
        <v/>
      </c>
      <c r="C14" s="160">
        <f>MAX(0,ROUND(C13+M14-AQ14,2))</f>
        <v/>
      </c>
      <c r="D14" s="160">
        <f>MAX(0,ROUND(D13+N14-AR14,2))</f>
        <v/>
      </c>
      <c r="E14" s="160">
        <f>MAX(0,ROUND(E13+O14-AS14,2))</f>
        <v/>
      </c>
      <c r="F14" s="160">
        <f>MAX(0,ROUND(F13+P14-AT14,2))</f>
        <v/>
      </c>
      <c r="G14" s="160">
        <f>MAX(0,ROUND(G13+Q14-AU14,2))</f>
        <v/>
      </c>
      <c r="H14" s="160">
        <f>MAX(0,ROUND(H13+R14-AV14,2))</f>
        <v/>
      </c>
      <c r="I14" s="160">
        <f>MAX(0,ROUND(I13+S14-AW14,2))</f>
        <v/>
      </c>
      <c r="J14" s="160">
        <f>MAX(0,ROUND(J13+T14-AX14,2))</f>
        <v/>
      </c>
      <c r="K14" s="160">
        <f>MAX(0,ROUND(K13+U14-AY14,2))</f>
        <v/>
      </c>
      <c r="L14" s="160">
        <f>MAX(0,ROUND(L13+V14-AZ14,2))</f>
        <v/>
      </c>
      <c r="M14" s="160">
        <f>C13*N('Debt Payoff'!$D$15)/12</f>
        <v/>
      </c>
      <c r="N14" s="160">
        <f>D13*N('Debt Payoff'!$D$16)/12</f>
        <v/>
      </c>
      <c r="O14" s="160">
        <f>E13*N('Debt Payoff'!$D$17)/12</f>
        <v/>
      </c>
      <c r="P14" s="160">
        <f>F13*N('Debt Payoff'!$D$18)/12</f>
        <v/>
      </c>
      <c r="Q14" s="160">
        <f>G13*N('Debt Payoff'!$D$19)/12</f>
        <v/>
      </c>
      <c r="R14" s="160">
        <f>H13*N('Debt Payoff'!$D$20)/12</f>
        <v/>
      </c>
      <c r="S14" s="160">
        <f>I13*N('Debt Payoff'!$D$21)/12</f>
        <v/>
      </c>
      <c r="T14" s="160">
        <f>J13*N('Debt Payoff'!$D$22)/12</f>
        <v/>
      </c>
      <c r="U14" s="160">
        <f>K13*N('Debt Payoff'!$D$23)/12</f>
        <v/>
      </c>
      <c r="V14" s="160">
        <f>L13*N('Debt Payoff'!$D$24)/12</f>
        <v/>
      </c>
      <c r="W14" s="160">
        <f>MIN(N('Debt Payoff'!$E$15),C13+M14)</f>
        <v/>
      </c>
      <c r="X14" s="160">
        <f>MIN(N('Debt Payoff'!$E$16),D13+N14)</f>
        <v/>
      </c>
      <c r="Y14" s="160">
        <f>MIN(N('Debt Payoff'!$E$17),E13+O14)</f>
        <v/>
      </c>
      <c r="Z14" s="160">
        <f>MIN(N('Debt Payoff'!$E$18),F13+P14)</f>
        <v/>
      </c>
      <c r="AA14" s="160">
        <f>MIN(N('Debt Payoff'!$E$19),G13+Q14)</f>
        <v/>
      </c>
      <c r="AB14" s="160">
        <f>MIN(N('Debt Payoff'!$E$20),H13+R14)</f>
        <v/>
      </c>
      <c r="AC14" s="160">
        <f>MIN(N('Debt Payoff'!$E$21),I13+S14)</f>
        <v/>
      </c>
      <c r="AD14" s="160">
        <f>MIN(N('Debt Payoff'!$E$22),J13+T14)</f>
        <v/>
      </c>
      <c r="AE14" s="160">
        <f>MIN(N('Debt Payoff'!$E$23),K13+U14)</f>
        <v/>
      </c>
      <c r="AF14" s="160">
        <f>MIN(N('Debt Payoff'!$E$24),L13+V14)</f>
        <v/>
      </c>
      <c r="AG14" s="160">
        <f>C13+M14-W14</f>
        <v/>
      </c>
      <c r="AH14" s="160">
        <f>D13+N14-X14</f>
        <v/>
      </c>
      <c r="AI14" s="160">
        <f>E13+O14-Y14</f>
        <v/>
      </c>
      <c r="AJ14" s="160">
        <f>F13+P14-Z14</f>
        <v/>
      </c>
      <c r="AK14" s="160">
        <f>G13+Q14-AA14</f>
        <v/>
      </c>
      <c r="AL14" s="160">
        <f>H13+R14-AB14</f>
        <v/>
      </c>
      <c r="AM14" s="160">
        <f>I13+S14-AC14</f>
        <v/>
      </c>
      <c r="AN14" s="160">
        <f>J13+T14-AD14</f>
        <v/>
      </c>
      <c r="AO14" s="160">
        <f>K13+U14-AE14</f>
        <v/>
      </c>
      <c r="AP14" s="160">
        <f>L13+V14-AF14</f>
        <v/>
      </c>
      <c r="AQ14" s="160">
        <f>W14+MAX(0,MIN(AG14,'Debt Payoff'!$C$12-SUM($W14:$AF14)-SUMIFS($AG14:$AP14,$AG$4:$AP$4,"&lt;"&amp;AG$4)))</f>
        <v/>
      </c>
      <c r="AR14" s="160">
        <f>X14+MAX(0,MIN(AH14,'Debt Payoff'!$C$12-SUM($W14:$AF14)-SUMIFS($AG14:$AP14,$AG$4:$AP$4,"&lt;"&amp;AH$4)))</f>
        <v/>
      </c>
      <c r="AS14" s="160">
        <f>Y14+MAX(0,MIN(AI14,'Debt Payoff'!$C$12-SUM($W14:$AF14)-SUMIFS($AG14:$AP14,$AG$4:$AP$4,"&lt;"&amp;AI$4)))</f>
        <v/>
      </c>
      <c r="AT14" s="160">
        <f>Z14+MAX(0,MIN(AJ14,'Debt Payoff'!$C$12-SUM($W14:$AF14)-SUMIFS($AG14:$AP14,$AG$4:$AP$4,"&lt;"&amp;AJ$4)))</f>
        <v/>
      </c>
      <c r="AU14" s="160">
        <f>AA14+MAX(0,MIN(AK14,'Debt Payoff'!$C$12-SUM($W14:$AF14)-SUMIFS($AG14:$AP14,$AG$4:$AP$4,"&lt;"&amp;AK$4)))</f>
        <v/>
      </c>
      <c r="AV14" s="160">
        <f>AB14+MAX(0,MIN(AL14,'Debt Payoff'!$C$12-SUM($W14:$AF14)-SUMIFS($AG14:$AP14,$AG$4:$AP$4,"&lt;"&amp;AL$4)))</f>
        <v/>
      </c>
      <c r="AW14" s="160">
        <f>AC14+MAX(0,MIN(AM14,'Debt Payoff'!$C$12-SUM($W14:$AF14)-SUMIFS($AG14:$AP14,$AG$4:$AP$4,"&lt;"&amp;AM$4)))</f>
        <v/>
      </c>
      <c r="AX14" s="160">
        <f>AD14+MAX(0,MIN(AN14,'Debt Payoff'!$C$12-SUM($W14:$AF14)-SUMIFS($AG14:$AP14,$AG$4:$AP$4,"&lt;"&amp;AN$4)))</f>
        <v/>
      </c>
      <c r="AY14" s="160">
        <f>AE14+MAX(0,MIN(AO14,'Debt Payoff'!$C$12-SUM($W14:$AF14)-SUMIFS($AG14:$AP14,$AG$4:$AP$4,"&lt;"&amp;AO$4)))</f>
        <v/>
      </c>
      <c r="AZ14" s="160">
        <f>AF14+MAX(0,MIN(AP14,'Debt Payoff'!$C$12-SUM($W14:$AF14)-SUMIFS($AG14:$AP14,$AG$4:$AP$4,"&lt;"&amp;AP$4)))</f>
        <v/>
      </c>
      <c r="BA14" s="160">
        <f>SUM(C14:L14)</f>
        <v/>
      </c>
      <c r="BB14" s="160">
        <f>SUM(AQ14:AZ14)</f>
        <v/>
      </c>
      <c r="BC14" s="160">
        <f>SUM(M14:V14)</f>
        <v/>
      </c>
    </row>
    <row r="15">
      <c r="A15" s="157" t="n">
        <v>10</v>
      </c>
      <c r="B15" s="159">
        <f>EDATE('Debt Payoff'!$C$6,9)</f>
        <v/>
      </c>
      <c r="C15" s="160">
        <f>MAX(0,ROUND(C14+M15-AQ15,2))</f>
        <v/>
      </c>
      <c r="D15" s="160">
        <f>MAX(0,ROUND(D14+N15-AR15,2))</f>
        <v/>
      </c>
      <c r="E15" s="160">
        <f>MAX(0,ROUND(E14+O15-AS15,2))</f>
        <v/>
      </c>
      <c r="F15" s="160">
        <f>MAX(0,ROUND(F14+P15-AT15,2))</f>
        <v/>
      </c>
      <c r="G15" s="160">
        <f>MAX(0,ROUND(G14+Q15-AU15,2))</f>
        <v/>
      </c>
      <c r="H15" s="160">
        <f>MAX(0,ROUND(H14+R15-AV15,2))</f>
        <v/>
      </c>
      <c r="I15" s="160">
        <f>MAX(0,ROUND(I14+S15-AW15,2))</f>
        <v/>
      </c>
      <c r="J15" s="160">
        <f>MAX(0,ROUND(J14+T15-AX15,2))</f>
        <v/>
      </c>
      <c r="K15" s="160">
        <f>MAX(0,ROUND(K14+U15-AY15,2))</f>
        <v/>
      </c>
      <c r="L15" s="160">
        <f>MAX(0,ROUND(L14+V15-AZ15,2))</f>
        <v/>
      </c>
      <c r="M15" s="160">
        <f>C14*N('Debt Payoff'!$D$15)/12</f>
        <v/>
      </c>
      <c r="N15" s="160">
        <f>D14*N('Debt Payoff'!$D$16)/12</f>
        <v/>
      </c>
      <c r="O15" s="160">
        <f>E14*N('Debt Payoff'!$D$17)/12</f>
        <v/>
      </c>
      <c r="P15" s="160">
        <f>F14*N('Debt Payoff'!$D$18)/12</f>
        <v/>
      </c>
      <c r="Q15" s="160">
        <f>G14*N('Debt Payoff'!$D$19)/12</f>
        <v/>
      </c>
      <c r="R15" s="160">
        <f>H14*N('Debt Payoff'!$D$20)/12</f>
        <v/>
      </c>
      <c r="S15" s="160">
        <f>I14*N('Debt Payoff'!$D$21)/12</f>
        <v/>
      </c>
      <c r="T15" s="160">
        <f>J14*N('Debt Payoff'!$D$22)/12</f>
        <v/>
      </c>
      <c r="U15" s="160">
        <f>K14*N('Debt Payoff'!$D$23)/12</f>
        <v/>
      </c>
      <c r="V15" s="160">
        <f>L14*N('Debt Payoff'!$D$24)/12</f>
        <v/>
      </c>
      <c r="W15" s="160">
        <f>MIN(N('Debt Payoff'!$E$15),C14+M15)</f>
        <v/>
      </c>
      <c r="X15" s="160">
        <f>MIN(N('Debt Payoff'!$E$16),D14+N15)</f>
        <v/>
      </c>
      <c r="Y15" s="160">
        <f>MIN(N('Debt Payoff'!$E$17),E14+O15)</f>
        <v/>
      </c>
      <c r="Z15" s="160">
        <f>MIN(N('Debt Payoff'!$E$18),F14+P15)</f>
        <v/>
      </c>
      <c r="AA15" s="160">
        <f>MIN(N('Debt Payoff'!$E$19),G14+Q15)</f>
        <v/>
      </c>
      <c r="AB15" s="160">
        <f>MIN(N('Debt Payoff'!$E$20),H14+R15)</f>
        <v/>
      </c>
      <c r="AC15" s="160">
        <f>MIN(N('Debt Payoff'!$E$21),I14+S15)</f>
        <v/>
      </c>
      <c r="AD15" s="160">
        <f>MIN(N('Debt Payoff'!$E$22),J14+T15)</f>
        <v/>
      </c>
      <c r="AE15" s="160">
        <f>MIN(N('Debt Payoff'!$E$23),K14+U15)</f>
        <v/>
      </c>
      <c r="AF15" s="160">
        <f>MIN(N('Debt Payoff'!$E$24),L14+V15)</f>
        <v/>
      </c>
      <c r="AG15" s="160">
        <f>C14+M15-W15</f>
        <v/>
      </c>
      <c r="AH15" s="160">
        <f>D14+N15-X15</f>
        <v/>
      </c>
      <c r="AI15" s="160">
        <f>E14+O15-Y15</f>
        <v/>
      </c>
      <c r="AJ15" s="160">
        <f>F14+P15-Z15</f>
        <v/>
      </c>
      <c r="AK15" s="160">
        <f>G14+Q15-AA15</f>
        <v/>
      </c>
      <c r="AL15" s="160">
        <f>H14+R15-AB15</f>
        <v/>
      </c>
      <c r="AM15" s="160">
        <f>I14+S15-AC15</f>
        <v/>
      </c>
      <c r="AN15" s="160">
        <f>J14+T15-AD15</f>
        <v/>
      </c>
      <c r="AO15" s="160">
        <f>K14+U15-AE15</f>
        <v/>
      </c>
      <c r="AP15" s="160">
        <f>L14+V15-AF15</f>
        <v/>
      </c>
      <c r="AQ15" s="160">
        <f>W15+MAX(0,MIN(AG15,'Debt Payoff'!$C$12-SUM($W15:$AF15)-SUMIFS($AG15:$AP15,$AG$4:$AP$4,"&lt;"&amp;AG$4)))</f>
        <v/>
      </c>
      <c r="AR15" s="160">
        <f>X15+MAX(0,MIN(AH15,'Debt Payoff'!$C$12-SUM($W15:$AF15)-SUMIFS($AG15:$AP15,$AG$4:$AP$4,"&lt;"&amp;AH$4)))</f>
        <v/>
      </c>
      <c r="AS15" s="160">
        <f>Y15+MAX(0,MIN(AI15,'Debt Payoff'!$C$12-SUM($W15:$AF15)-SUMIFS($AG15:$AP15,$AG$4:$AP$4,"&lt;"&amp;AI$4)))</f>
        <v/>
      </c>
      <c r="AT15" s="160">
        <f>Z15+MAX(0,MIN(AJ15,'Debt Payoff'!$C$12-SUM($W15:$AF15)-SUMIFS($AG15:$AP15,$AG$4:$AP$4,"&lt;"&amp;AJ$4)))</f>
        <v/>
      </c>
      <c r="AU15" s="160">
        <f>AA15+MAX(0,MIN(AK15,'Debt Payoff'!$C$12-SUM($W15:$AF15)-SUMIFS($AG15:$AP15,$AG$4:$AP$4,"&lt;"&amp;AK$4)))</f>
        <v/>
      </c>
      <c r="AV15" s="160">
        <f>AB15+MAX(0,MIN(AL15,'Debt Payoff'!$C$12-SUM($W15:$AF15)-SUMIFS($AG15:$AP15,$AG$4:$AP$4,"&lt;"&amp;AL$4)))</f>
        <v/>
      </c>
      <c r="AW15" s="160">
        <f>AC15+MAX(0,MIN(AM15,'Debt Payoff'!$C$12-SUM($W15:$AF15)-SUMIFS($AG15:$AP15,$AG$4:$AP$4,"&lt;"&amp;AM$4)))</f>
        <v/>
      </c>
      <c r="AX15" s="160">
        <f>AD15+MAX(0,MIN(AN15,'Debt Payoff'!$C$12-SUM($W15:$AF15)-SUMIFS($AG15:$AP15,$AG$4:$AP$4,"&lt;"&amp;AN$4)))</f>
        <v/>
      </c>
      <c r="AY15" s="160">
        <f>AE15+MAX(0,MIN(AO15,'Debt Payoff'!$C$12-SUM($W15:$AF15)-SUMIFS($AG15:$AP15,$AG$4:$AP$4,"&lt;"&amp;AO$4)))</f>
        <v/>
      </c>
      <c r="AZ15" s="160">
        <f>AF15+MAX(0,MIN(AP15,'Debt Payoff'!$C$12-SUM($W15:$AF15)-SUMIFS($AG15:$AP15,$AG$4:$AP$4,"&lt;"&amp;AP$4)))</f>
        <v/>
      </c>
      <c r="BA15" s="160">
        <f>SUM(C15:L15)</f>
        <v/>
      </c>
      <c r="BB15" s="160">
        <f>SUM(AQ15:AZ15)</f>
        <v/>
      </c>
      <c r="BC15" s="160">
        <f>SUM(M15:V15)</f>
        <v/>
      </c>
    </row>
    <row r="16">
      <c r="A16" s="157" t="n">
        <v>11</v>
      </c>
      <c r="B16" s="159">
        <f>EDATE('Debt Payoff'!$C$6,10)</f>
        <v/>
      </c>
      <c r="C16" s="160">
        <f>MAX(0,ROUND(C15+M16-AQ16,2))</f>
        <v/>
      </c>
      <c r="D16" s="160">
        <f>MAX(0,ROUND(D15+N16-AR16,2))</f>
        <v/>
      </c>
      <c r="E16" s="160">
        <f>MAX(0,ROUND(E15+O16-AS16,2))</f>
        <v/>
      </c>
      <c r="F16" s="160">
        <f>MAX(0,ROUND(F15+P16-AT16,2))</f>
        <v/>
      </c>
      <c r="G16" s="160">
        <f>MAX(0,ROUND(G15+Q16-AU16,2))</f>
        <v/>
      </c>
      <c r="H16" s="160">
        <f>MAX(0,ROUND(H15+R16-AV16,2))</f>
        <v/>
      </c>
      <c r="I16" s="160">
        <f>MAX(0,ROUND(I15+S16-AW16,2))</f>
        <v/>
      </c>
      <c r="J16" s="160">
        <f>MAX(0,ROUND(J15+T16-AX16,2))</f>
        <v/>
      </c>
      <c r="K16" s="160">
        <f>MAX(0,ROUND(K15+U16-AY16,2))</f>
        <v/>
      </c>
      <c r="L16" s="160">
        <f>MAX(0,ROUND(L15+V16-AZ16,2))</f>
        <v/>
      </c>
      <c r="M16" s="160">
        <f>C15*N('Debt Payoff'!$D$15)/12</f>
        <v/>
      </c>
      <c r="N16" s="160">
        <f>D15*N('Debt Payoff'!$D$16)/12</f>
        <v/>
      </c>
      <c r="O16" s="160">
        <f>E15*N('Debt Payoff'!$D$17)/12</f>
        <v/>
      </c>
      <c r="P16" s="160">
        <f>F15*N('Debt Payoff'!$D$18)/12</f>
        <v/>
      </c>
      <c r="Q16" s="160">
        <f>G15*N('Debt Payoff'!$D$19)/12</f>
        <v/>
      </c>
      <c r="R16" s="160">
        <f>H15*N('Debt Payoff'!$D$20)/12</f>
        <v/>
      </c>
      <c r="S16" s="160">
        <f>I15*N('Debt Payoff'!$D$21)/12</f>
        <v/>
      </c>
      <c r="T16" s="160">
        <f>J15*N('Debt Payoff'!$D$22)/12</f>
        <v/>
      </c>
      <c r="U16" s="160">
        <f>K15*N('Debt Payoff'!$D$23)/12</f>
        <v/>
      </c>
      <c r="V16" s="160">
        <f>L15*N('Debt Payoff'!$D$24)/12</f>
        <v/>
      </c>
      <c r="W16" s="160">
        <f>MIN(N('Debt Payoff'!$E$15),C15+M16)</f>
        <v/>
      </c>
      <c r="X16" s="160">
        <f>MIN(N('Debt Payoff'!$E$16),D15+N16)</f>
        <v/>
      </c>
      <c r="Y16" s="160">
        <f>MIN(N('Debt Payoff'!$E$17),E15+O16)</f>
        <v/>
      </c>
      <c r="Z16" s="160">
        <f>MIN(N('Debt Payoff'!$E$18),F15+P16)</f>
        <v/>
      </c>
      <c r="AA16" s="160">
        <f>MIN(N('Debt Payoff'!$E$19),G15+Q16)</f>
        <v/>
      </c>
      <c r="AB16" s="160">
        <f>MIN(N('Debt Payoff'!$E$20),H15+R16)</f>
        <v/>
      </c>
      <c r="AC16" s="160">
        <f>MIN(N('Debt Payoff'!$E$21),I15+S16)</f>
        <v/>
      </c>
      <c r="AD16" s="160">
        <f>MIN(N('Debt Payoff'!$E$22),J15+T16)</f>
        <v/>
      </c>
      <c r="AE16" s="160">
        <f>MIN(N('Debt Payoff'!$E$23),K15+U16)</f>
        <v/>
      </c>
      <c r="AF16" s="160">
        <f>MIN(N('Debt Payoff'!$E$24),L15+V16)</f>
        <v/>
      </c>
      <c r="AG16" s="160">
        <f>C15+M16-W16</f>
        <v/>
      </c>
      <c r="AH16" s="160">
        <f>D15+N16-X16</f>
        <v/>
      </c>
      <c r="AI16" s="160">
        <f>E15+O16-Y16</f>
        <v/>
      </c>
      <c r="AJ16" s="160">
        <f>F15+P16-Z16</f>
        <v/>
      </c>
      <c r="AK16" s="160">
        <f>G15+Q16-AA16</f>
        <v/>
      </c>
      <c r="AL16" s="160">
        <f>H15+R16-AB16</f>
        <v/>
      </c>
      <c r="AM16" s="160">
        <f>I15+S16-AC16</f>
        <v/>
      </c>
      <c r="AN16" s="160">
        <f>J15+T16-AD16</f>
        <v/>
      </c>
      <c r="AO16" s="160">
        <f>K15+U16-AE16</f>
        <v/>
      </c>
      <c r="AP16" s="160">
        <f>L15+V16-AF16</f>
        <v/>
      </c>
      <c r="AQ16" s="160">
        <f>W16+MAX(0,MIN(AG16,'Debt Payoff'!$C$12-SUM($W16:$AF16)-SUMIFS($AG16:$AP16,$AG$4:$AP$4,"&lt;"&amp;AG$4)))</f>
        <v/>
      </c>
      <c r="AR16" s="160">
        <f>X16+MAX(0,MIN(AH16,'Debt Payoff'!$C$12-SUM($W16:$AF16)-SUMIFS($AG16:$AP16,$AG$4:$AP$4,"&lt;"&amp;AH$4)))</f>
        <v/>
      </c>
      <c r="AS16" s="160">
        <f>Y16+MAX(0,MIN(AI16,'Debt Payoff'!$C$12-SUM($W16:$AF16)-SUMIFS($AG16:$AP16,$AG$4:$AP$4,"&lt;"&amp;AI$4)))</f>
        <v/>
      </c>
      <c r="AT16" s="160">
        <f>Z16+MAX(0,MIN(AJ16,'Debt Payoff'!$C$12-SUM($W16:$AF16)-SUMIFS($AG16:$AP16,$AG$4:$AP$4,"&lt;"&amp;AJ$4)))</f>
        <v/>
      </c>
      <c r="AU16" s="160">
        <f>AA16+MAX(0,MIN(AK16,'Debt Payoff'!$C$12-SUM($W16:$AF16)-SUMIFS($AG16:$AP16,$AG$4:$AP$4,"&lt;"&amp;AK$4)))</f>
        <v/>
      </c>
      <c r="AV16" s="160">
        <f>AB16+MAX(0,MIN(AL16,'Debt Payoff'!$C$12-SUM($W16:$AF16)-SUMIFS($AG16:$AP16,$AG$4:$AP$4,"&lt;"&amp;AL$4)))</f>
        <v/>
      </c>
      <c r="AW16" s="160">
        <f>AC16+MAX(0,MIN(AM16,'Debt Payoff'!$C$12-SUM($W16:$AF16)-SUMIFS($AG16:$AP16,$AG$4:$AP$4,"&lt;"&amp;AM$4)))</f>
        <v/>
      </c>
      <c r="AX16" s="160">
        <f>AD16+MAX(0,MIN(AN16,'Debt Payoff'!$C$12-SUM($W16:$AF16)-SUMIFS($AG16:$AP16,$AG$4:$AP$4,"&lt;"&amp;AN$4)))</f>
        <v/>
      </c>
      <c r="AY16" s="160">
        <f>AE16+MAX(0,MIN(AO16,'Debt Payoff'!$C$12-SUM($W16:$AF16)-SUMIFS($AG16:$AP16,$AG$4:$AP$4,"&lt;"&amp;AO$4)))</f>
        <v/>
      </c>
      <c r="AZ16" s="160">
        <f>AF16+MAX(0,MIN(AP16,'Debt Payoff'!$C$12-SUM($W16:$AF16)-SUMIFS($AG16:$AP16,$AG$4:$AP$4,"&lt;"&amp;AP$4)))</f>
        <v/>
      </c>
      <c r="BA16" s="160">
        <f>SUM(C16:L16)</f>
        <v/>
      </c>
      <c r="BB16" s="160">
        <f>SUM(AQ16:AZ16)</f>
        <v/>
      </c>
      <c r="BC16" s="160">
        <f>SUM(M16:V16)</f>
        <v/>
      </c>
    </row>
    <row r="17">
      <c r="A17" s="157" t="n">
        <v>12</v>
      </c>
      <c r="B17" s="159">
        <f>EDATE('Debt Payoff'!$C$6,11)</f>
        <v/>
      </c>
      <c r="C17" s="160">
        <f>MAX(0,ROUND(C16+M17-AQ17,2))</f>
        <v/>
      </c>
      <c r="D17" s="160">
        <f>MAX(0,ROUND(D16+N17-AR17,2))</f>
        <v/>
      </c>
      <c r="E17" s="160">
        <f>MAX(0,ROUND(E16+O17-AS17,2))</f>
        <v/>
      </c>
      <c r="F17" s="160">
        <f>MAX(0,ROUND(F16+P17-AT17,2))</f>
        <v/>
      </c>
      <c r="G17" s="160">
        <f>MAX(0,ROUND(G16+Q17-AU17,2))</f>
        <v/>
      </c>
      <c r="H17" s="160">
        <f>MAX(0,ROUND(H16+R17-AV17,2))</f>
        <v/>
      </c>
      <c r="I17" s="160">
        <f>MAX(0,ROUND(I16+S17-AW17,2))</f>
        <v/>
      </c>
      <c r="J17" s="160">
        <f>MAX(0,ROUND(J16+T17-AX17,2))</f>
        <v/>
      </c>
      <c r="K17" s="160">
        <f>MAX(0,ROUND(K16+U17-AY17,2))</f>
        <v/>
      </c>
      <c r="L17" s="160">
        <f>MAX(0,ROUND(L16+V17-AZ17,2))</f>
        <v/>
      </c>
      <c r="M17" s="160">
        <f>C16*N('Debt Payoff'!$D$15)/12</f>
        <v/>
      </c>
      <c r="N17" s="160">
        <f>D16*N('Debt Payoff'!$D$16)/12</f>
        <v/>
      </c>
      <c r="O17" s="160">
        <f>E16*N('Debt Payoff'!$D$17)/12</f>
        <v/>
      </c>
      <c r="P17" s="160">
        <f>F16*N('Debt Payoff'!$D$18)/12</f>
        <v/>
      </c>
      <c r="Q17" s="160">
        <f>G16*N('Debt Payoff'!$D$19)/12</f>
        <v/>
      </c>
      <c r="R17" s="160">
        <f>H16*N('Debt Payoff'!$D$20)/12</f>
        <v/>
      </c>
      <c r="S17" s="160">
        <f>I16*N('Debt Payoff'!$D$21)/12</f>
        <v/>
      </c>
      <c r="T17" s="160">
        <f>J16*N('Debt Payoff'!$D$22)/12</f>
        <v/>
      </c>
      <c r="U17" s="160">
        <f>K16*N('Debt Payoff'!$D$23)/12</f>
        <v/>
      </c>
      <c r="V17" s="160">
        <f>L16*N('Debt Payoff'!$D$24)/12</f>
        <v/>
      </c>
      <c r="W17" s="160">
        <f>MIN(N('Debt Payoff'!$E$15),C16+M17)</f>
        <v/>
      </c>
      <c r="X17" s="160">
        <f>MIN(N('Debt Payoff'!$E$16),D16+N17)</f>
        <v/>
      </c>
      <c r="Y17" s="160">
        <f>MIN(N('Debt Payoff'!$E$17),E16+O17)</f>
        <v/>
      </c>
      <c r="Z17" s="160">
        <f>MIN(N('Debt Payoff'!$E$18),F16+P17)</f>
        <v/>
      </c>
      <c r="AA17" s="160">
        <f>MIN(N('Debt Payoff'!$E$19),G16+Q17)</f>
        <v/>
      </c>
      <c r="AB17" s="160">
        <f>MIN(N('Debt Payoff'!$E$20),H16+R17)</f>
        <v/>
      </c>
      <c r="AC17" s="160">
        <f>MIN(N('Debt Payoff'!$E$21),I16+S17)</f>
        <v/>
      </c>
      <c r="AD17" s="160">
        <f>MIN(N('Debt Payoff'!$E$22),J16+T17)</f>
        <v/>
      </c>
      <c r="AE17" s="160">
        <f>MIN(N('Debt Payoff'!$E$23),K16+U17)</f>
        <v/>
      </c>
      <c r="AF17" s="160">
        <f>MIN(N('Debt Payoff'!$E$24),L16+V17)</f>
        <v/>
      </c>
      <c r="AG17" s="160">
        <f>C16+M17-W17</f>
        <v/>
      </c>
      <c r="AH17" s="160">
        <f>D16+N17-X17</f>
        <v/>
      </c>
      <c r="AI17" s="160">
        <f>E16+O17-Y17</f>
        <v/>
      </c>
      <c r="AJ17" s="160">
        <f>F16+P17-Z17</f>
        <v/>
      </c>
      <c r="AK17" s="160">
        <f>G16+Q17-AA17</f>
        <v/>
      </c>
      <c r="AL17" s="160">
        <f>H16+R17-AB17</f>
        <v/>
      </c>
      <c r="AM17" s="160">
        <f>I16+S17-AC17</f>
        <v/>
      </c>
      <c r="AN17" s="160">
        <f>J16+T17-AD17</f>
        <v/>
      </c>
      <c r="AO17" s="160">
        <f>K16+U17-AE17</f>
        <v/>
      </c>
      <c r="AP17" s="160">
        <f>L16+V17-AF17</f>
        <v/>
      </c>
      <c r="AQ17" s="160">
        <f>W17+MAX(0,MIN(AG17,'Debt Payoff'!$C$12-SUM($W17:$AF17)-SUMIFS($AG17:$AP17,$AG$4:$AP$4,"&lt;"&amp;AG$4)))</f>
        <v/>
      </c>
      <c r="AR17" s="160">
        <f>X17+MAX(0,MIN(AH17,'Debt Payoff'!$C$12-SUM($W17:$AF17)-SUMIFS($AG17:$AP17,$AG$4:$AP$4,"&lt;"&amp;AH$4)))</f>
        <v/>
      </c>
      <c r="AS17" s="160">
        <f>Y17+MAX(0,MIN(AI17,'Debt Payoff'!$C$12-SUM($W17:$AF17)-SUMIFS($AG17:$AP17,$AG$4:$AP$4,"&lt;"&amp;AI$4)))</f>
        <v/>
      </c>
      <c r="AT17" s="160">
        <f>Z17+MAX(0,MIN(AJ17,'Debt Payoff'!$C$12-SUM($W17:$AF17)-SUMIFS($AG17:$AP17,$AG$4:$AP$4,"&lt;"&amp;AJ$4)))</f>
        <v/>
      </c>
      <c r="AU17" s="160">
        <f>AA17+MAX(0,MIN(AK17,'Debt Payoff'!$C$12-SUM($W17:$AF17)-SUMIFS($AG17:$AP17,$AG$4:$AP$4,"&lt;"&amp;AK$4)))</f>
        <v/>
      </c>
      <c r="AV17" s="160">
        <f>AB17+MAX(0,MIN(AL17,'Debt Payoff'!$C$12-SUM($W17:$AF17)-SUMIFS($AG17:$AP17,$AG$4:$AP$4,"&lt;"&amp;AL$4)))</f>
        <v/>
      </c>
      <c r="AW17" s="160">
        <f>AC17+MAX(0,MIN(AM17,'Debt Payoff'!$C$12-SUM($W17:$AF17)-SUMIFS($AG17:$AP17,$AG$4:$AP$4,"&lt;"&amp;AM$4)))</f>
        <v/>
      </c>
      <c r="AX17" s="160">
        <f>AD17+MAX(0,MIN(AN17,'Debt Payoff'!$C$12-SUM($W17:$AF17)-SUMIFS($AG17:$AP17,$AG$4:$AP$4,"&lt;"&amp;AN$4)))</f>
        <v/>
      </c>
      <c r="AY17" s="160">
        <f>AE17+MAX(0,MIN(AO17,'Debt Payoff'!$C$12-SUM($W17:$AF17)-SUMIFS($AG17:$AP17,$AG$4:$AP$4,"&lt;"&amp;AO$4)))</f>
        <v/>
      </c>
      <c r="AZ17" s="160">
        <f>AF17+MAX(0,MIN(AP17,'Debt Payoff'!$C$12-SUM($W17:$AF17)-SUMIFS($AG17:$AP17,$AG$4:$AP$4,"&lt;"&amp;AP$4)))</f>
        <v/>
      </c>
      <c r="BA17" s="160">
        <f>SUM(C17:L17)</f>
        <v/>
      </c>
      <c r="BB17" s="160">
        <f>SUM(AQ17:AZ17)</f>
        <v/>
      </c>
      <c r="BC17" s="160">
        <f>SUM(M17:V17)</f>
        <v/>
      </c>
    </row>
    <row r="18">
      <c r="A18" s="157" t="n">
        <v>13</v>
      </c>
      <c r="B18" s="159">
        <f>EDATE('Debt Payoff'!$C$6,12)</f>
        <v/>
      </c>
      <c r="C18" s="160">
        <f>MAX(0,ROUND(C17+M18-AQ18,2))</f>
        <v/>
      </c>
      <c r="D18" s="160">
        <f>MAX(0,ROUND(D17+N18-AR18,2))</f>
        <v/>
      </c>
      <c r="E18" s="160">
        <f>MAX(0,ROUND(E17+O18-AS18,2))</f>
        <v/>
      </c>
      <c r="F18" s="160">
        <f>MAX(0,ROUND(F17+P18-AT18,2))</f>
        <v/>
      </c>
      <c r="G18" s="160">
        <f>MAX(0,ROUND(G17+Q18-AU18,2))</f>
        <v/>
      </c>
      <c r="H18" s="160">
        <f>MAX(0,ROUND(H17+R18-AV18,2))</f>
        <v/>
      </c>
      <c r="I18" s="160">
        <f>MAX(0,ROUND(I17+S18-AW18,2))</f>
        <v/>
      </c>
      <c r="J18" s="160">
        <f>MAX(0,ROUND(J17+T18-AX18,2))</f>
        <v/>
      </c>
      <c r="K18" s="160">
        <f>MAX(0,ROUND(K17+U18-AY18,2))</f>
        <v/>
      </c>
      <c r="L18" s="160">
        <f>MAX(0,ROUND(L17+V18-AZ18,2))</f>
        <v/>
      </c>
      <c r="M18" s="160">
        <f>C17*N('Debt Payoff'!$D$15)/12</f>
        <v/>
      </c>
      <c r="N18" s="160">
        <f>D17*N('Debt Payoff'!$D$16)/12</f>
        <v/>
      </c>
      <c r="O18" s="160">
        <f>E17*N('Debt Payoff'!$D$17)/12</f>
        <v/>
      </c>
      <c r="P18" s="160">
        <f>F17*N('Debt Payoff'!$D$18)/12</f>
        <v/>
      </c>
      <c r="Q18" s="160">
        <f>G17*N('Debt Payoff'!$D$19)/12</f>
        <v/>
      </c>
      <c r="R18" s="160">
        <f>H17*N('Debt Payoff'!$D$20)/12</f>
        <v/>
      </c>
      <c r="S18" s="160">
        <f>I17*N('Debt Payoff'!$D$21)/12</f>
        <v/>
      </c>
      <c r="T18" s="160">
        <f>J17*N('Debt Payoff'!$D$22)/12</f>
        <v/>
      </c>
      <c r="U18" s="160">
        <f>K17*N('Debt Payoff'!$D$23)/12</f>
        <v/>
      </c>
      <c r="V18" s="160">
        <f>L17*N('Debt Payoff'!$D$24)/12</f>
        <v/>
      </c>
      <c r="W18" s="160">
        <f>MIN(N('Debt Payoff'!$E$15),C17+M18)</f>
        <v/>
      </c>
      <c r="X18" s="160">
        <f>MIN(N('Debt Payoff'!$E$16),D17+N18)</f>
        <v/>
      </c>
      <c r="Y18" s="160">
        <f>MIN(N('Debt Payoff'!$E$17),E17+O18)</f>
        <v/>
      </c>
      <c r="Z18" s="160">
        <f>MIN(N('Debt Payoff'!$E$18),F17+P18)</f>
        <v/>
      </c>
      <c r="AA18" s="160">
        <f>MIN(N('Debt Payoff'!$E$19),G17+Q18)</f>
        <v/>
      </c>
      <c r="AB18" s="160">
        <f>MIN(N('Debt Payoff'!$E$20),H17+R18)</f>
        <v/>
      </c>
      <c r="AC18" s="160">
        <f>MIN(N('Debt Payoff'!$E$21),I17+S18)</f>
        <v/>
      </c>
      <c r="AD18" s="160">
        <f>MIN(N('Debt Payoff'!$E$22),J17+T18)</f>
        <v/>
      </c>
      <c r="AE18" s="160">
        <f>MIN(N('Debt Payoff'!$E$23),K17+U18)</f>
        <v/>
      </c>
      <c r="AF18" s="160">
        <f>MIN(N('Debt Payoff'!$E$24),L17+V18)</f>
        <v/>
      </c>
      <c r="AG18" s="160">
        <f>C17+M18-W18</f>
        <v/>
      </c>
      <c r="AH18" s="160">
        <f>D17+N18-X18</f>
        <v/>
      </c>
      <c r="AI18" s="160">
        <f>E17+O18-Y18</f>
        <v/>
      </c>
      <c r="AJ18" s="160">
        <f>F17+P18-Z18</f>
        <v/>
      </c>
      <c r="AK18" s="160">
        <f>G17+Q18-AA18</f>
        <v/>
      </c>
      <c r="AL18" s="160">
        <f>H17+R18-AB18</f>
        <v/>
      </c>
      <c r="AM18" s="160">
        <f>I17+S18-AC18</f>
        <v/>
      </c>
      <c r="AN18" s="160">
        <f>J17+T18-AD18</f>
        <v/>
      </c>
      <c r="AO18" s="160">
        <f>K17+U18-AE18</f>
        <v/>
      </c>
      <c r="AP18" s="160">
        <f>L17+V18-AF18</f>
        <v/>
      </c>
      <c r="AQ18" s="160">
        <f>W18+MAX(0,MIN(AG18,'Debt Payoff'!$C$12-SUM($W18:$AF18)-SUMIFS($AG18:$AP18,$AG$4:$AP$4,"&lt;"&amp;AG$4)))</f>
        <v/>
      </c>
      <c r="AR18" s="160">
        <f>X18+MAX(0,MIN(AH18,'Debt Payoff'!$C$12-SUM($W18:$AF18)-SUMIFS($AG18:$AP18,$AG$4:$AP$4,"&lt;"&amp;AH$4)))</f>
        <v/>
      </c>
      <c r="AS18" s="160">
        <f>Y18+MAX(0,MIN(AI18,'Debt Payoff'!$C$12-SUM($W18:$AF18)-SUMIFS($AG18:$AP18,$AG$4:$AP$4,"&lt;"&amp;AI$4)))</f>
        <v/>
      </c>
      <c r="AT18" s="160">
        <f>Z18+MAX(0,MIN(AJ18,'Debt Payoff'!$C$12-SUM($W18:$AF18)-SUMIFS($AG18:$AP18,$AG$4:$AP$4,"&lt;"&amp;AJ$4)))</f>
        <v/>
      </c>
      <c r="AU18" s="160">
        <f>AA18+MAX(0,MIN(AK18,'Debt Payoff'!$C$12-SUM($W18:$AF18)-SUMIFS($AG18:$AP18,$AG$4:$AP$4,"&lt;"&amp;AK$4)))</f>
        <v/>
      </c>
      <c r="AV18" s="160">
        <f>AB18+MAX(0,MIN(AL18,'Debt Payoff'!$C$12-SUM($W18:$AF18)-SUMIFS($AG18:$AP18,$AG$4:$AP$4,"&lt;"&amp;AL$4)))</f>
        <v/>
      </c>
      <c r="AW18" s="160">
        <f>AC18+MAX(0,MIN(AM18,'Debt Payoff'!$C$12-SUM($W18:$AF18)-SUMIFS($AG18:$AP18,$AG$4:$AP$4,"&lt;"&amp;AM$4)))</f>
        <v/>
      </c>
      <c r="AX18" s="160">
        <f>AD18+MAX(0,MIN(AN18,'Debt Payoff'!$C$12-SUM($W18:$AF18)-SUMIFS($AG18:$AP18,$AG$4:$AP$4,"&lt;"&amp;AN$4)))</f>
        <v/>
      </c>
      <c r="AY18" s="160">
        <f>AE18+MAX(0,MIN(AO18,'Debt Payoff'!$C$12-SUM($W18:$AF18)-SUMIFS($AG18:$AP18,$AG$4:$AP$4,"&lt;"&amp;AO$4)))</f>
        <v/>
      </c>
      <c r="AZ18" s="160">
        <f>AF18+MAX(0,MIN(AP18,'Debt Payoff'!$C$12-SUM($W18:$AF18)-SUMIFS($AG18:$AP18,$AG$4:$AP$4,"&lt;"&amp;AP$4)))</f>
        <v/>
      </c>
      <c r="BA18" s="160">
        <f>SUM(C18:L18)</f>
        <v/>
      </c>
      <c r="BB18" s="160">
        <f>SUM(AQ18:AZ18)</f>
        <v/>
      </c>
      <c r="BC18" s="160">
        <f>SUM(M18:V18)</f>
        <v/>
      </c>
    </row>
    <row r="19">
      <c r="A19" s="157" t="n">
        <v>14</v>
      </c>
      <c r="B19" s="159">
        <f>EDATE('Debt Payoff'!$C$6,13)</f>
        <v/>
      </c>
      <c r="C19" s="160">
        <f>MAX(0,ROUND(C18+M19-AQ19,2))</f>
        <v/>
      </c>
      <c r="D19" s="160">
        <f>MAX(0,ROUND(D18+N19-AR19,2))</f>
        <v/>
      </c>
      <c r="E19" s="160">
        <f>MAX(0,ROUND(E18+O19-AS19,2))</f>
        <v/>
      </c>
      <c r="F19" s="160">
        <f>MAX(0,ROUND(F18+P19-AT19,2))</f>
        <v/>
      </c>
      <c r="G19" s="160">
        <f>MAX(0,ROUND(G18+Q19-AU19,2))</f>
        <v/>
      </c>
      <c r="H19" s="160">
        <f>MAX(0,ROUND(H18+R19-AV19,2))</f>
        <v/>
      </c>
      <c r="I19" s="160">
        <f>MAX(0,ROUND(I18+S19-AW19,2))</f>
        <v/>
      </c>
      <c r="J19" s="160">
        <f>MAX(0,ROUND(J18+T19-AX19,2))</f>
        <v/>
      </c>
      <c r="K19" s="160">
        <f>MAX(0,ROUND(K18+U19-AY19,2))</f>
        <v/>
      </c>
      <c r="L19" s="160">
        <f>MAX(0,ROUND(L18+V19-AZ19,2))</f>
        <v/>
      </c>
      <c r="M19" s="160">
        <f>C18*N('Debt Payoff'!$D$15)/12</f>
        <v/>
      </c>
      <c r="N19" s="160">
        <f>D18*N('Debt Payoff'!$D$16)/12</f>
        <v/>
      </c>
      <c r="O19" s="160">
        <f>E18*N('Debt Payoff'!$D$17)/12</f>
        <v/>
      </c>
      <c r="P19" s="160">
        <f>F18*N('Debt Payoff'!$D$18)/12</f>
        <v/>
      </c>
      <c r="Q19" s="160">
        <f>G18*N('Debt Payoff'!$D$19)/12</f>
        <v/>
      </c>
      <c r="R19" s="160">
        <f>H18*N('Debt Payoff'!$D$20)/12</f>
        <v/>
      </c>
      <c r="S19" s="160">
        <f>I18*N('Debt Payoff'!$D$21)/12</f>
        <v/>
      </c>
      <c r="T19" s="160">
        <f>J18*N('Debt Payoff'!$D$22)/12</f>
        <v/>
      </c>
      <c r="U19" s="160">
        <f>K18*N('Debt Payoff'!$D$23)/12</f>
        <v/>
      </c>
      <c r="V19" s="160">
        <f>L18*N('Debt Payoff'!$D$24)/12</f>
        <v/>
      </c>
      <c r="W19" s="160">
        <f>MIN(N('Debt Payoff'!$E$15),C18+M19)</f>
        <v/>
      </c>
      <c r="X19" s="160">
        <f>MIN(N('Debt Payoff'!$E$16),D18+N19)</f>
        <v/>
      </c>
      <c r="Y19" s="160">
        <f>MIN(N('Debt Payoff'!$E$17),E18+O19)</f>
        <v/>
      </c>
      <c r="Z19" s="160">
        <f>MIN(N('Debt Payoff'!$E$18),F18+P19)</f>
        <v/>
      </c>
      <c r="AA19" s="160">
        <f>MIN(N('Debt Payoff'!$E$19),G18+Q19)</f>
        <v/>
      </c>
      <c r="AB19" s="160">
        <f>MIN(N('Debt Payoff'!$E$20),H18+R19)</f>
        <v/>
      </c>
      <c r="AC19" s="160">
        <f>MIN(N('Debt Payoff'!$E$21),I18+S19)</f>
        <v/>
      </c>
      <c r="AD19" s="160">
        <f>MIN(N('Debt Payoff'!$E$22),J18+T19)</f>
        <v/>
      </c>
      <c r="AE19" s="160">
        <f>MIN(N('Debt Payoff'!$E$23),K18+U19)</f>
        <v/>
      </c>
      <c r="AF19" s="160">
        <f>MIN(N('Debt Payoff'!$E$24),L18+V19)</f>
        <v/>
      </c>
      <c r="AG19" s="160">
        <f>C18+M19-W19</f>
        <v/>
      </c>
      <c r="AH19" s="160">
        <f>D18+N19-X19</f>
        <v/>
      </c>
      <c r="AI19" s="160">
        <f>E18+O19-Y19</f>
        <v/>
      </c>
      <c r="AJ19" s="160">
        <f>F18+P19-Z19</f>
        <v/>
      </c>
      <c r="AK19" s="160">
        <f>G18+Q19-AA19</f>
        <v/>
      </c>
      <c r="AL19" s="160">
        <f>H18+R19-AB19</f>
        <v/>
      </c>
      <c r="AM19" s="160">
        <f>I18+S19-AC19</f>
        <v/>
      </c>
      <c r="AN19" s="160">
        <f>J18+T19-AD19</f>
        <v/>
      </c>
      <c r="AO19" s="160">
        <f>K18+U19-AE19</f>
        <v/>
      </c>
      <c r="AP19" s="160">
        <f>L18+V19-AF19</f>
        <v/>
      </c>
      <c r="AQ19" s="160">
        <f>W19+MAX(0,MIN(AG19,'Debt Payoff'!$C$12-SUM($W19:$AF19)-SUMIFS($AG19:$AP19,$AG$4:$AP$4,"&lt;"&amp;AG$4)))</f>
        <v/>
      </c>
      <c r="AR19" s="160">
        <f>X19+MAX(0,MIN(AH19,'Debt Payoff'!$C$12-SUM($W19:$AF19)-SUMIFS($AG19:$AP19,$AG$4:$AP$4,"&lt;"&amp;AH$4)))</f>
        <v/>
      </c>
      <c r="AS19" s="160">
        <f>Y19+MAX(0,MIN(AI19,'Debt Payoff'!$C$12-SUM($W19:$AF19)-SUMIFS($AG19:$AP19,$AG$4:$AP$4,"&lt;"&amp;AI$4)))</f>
        <v/>
      </c>
      <c r="AT19" s="160">
        <f>Z19+MAX(0,MIN(AJ19,'Debt Payoff'!$C$12-SUM($W19:$AF19)-SUMIFS($AG19:$AP19,$AG$4:$AP$4,"&lt;"&amp;AJ$4)))</f>
        <v/>
      </c>
      <c r="AU19" s="160">
        <f>AA19+MAX(0,MIN(AK19,'Debt Payoff'!$C$12-SUM($W19:$AF19)-SUMIFS($AG19:$AP19,$AG$4:$AP$4,"&lt;"&amp;AK$4)))</f>
        <v/>
      </c>
      <c r="AV19" s="160">
        <f>AB19+MAX(0,MIN(AL19,'Debt Payoff'!$C$12-SUM($W19:$AF19)-SUMIFS($AG19:$AP19,$AG$4:$AP$4,"&lt;"&amp;AL$4)))</f>
        <v/>
      </c>
      <c r="AW19" s="160">
        <f>AC19+MAX(0,MIN(AM19,'Debt Payoff'!$C$12-SUM($W19:$AF19)-SUMIFS($AG19:$AP19,$AG$4:$AP$4,"&lt;"&amp;AM$4)))</f>
        <v/>
      </c>
      <c r="AX19" s="160">
        <f>AD19+MAX(0,MIN(AN19,'Debt Payoff'!$C$12-SUM($W19:$AF19)-SUMIFS($AG19:$AP19,$AG$4:$AP$4,"&lt;"&amp;AN$4)))</f>
        <v/>
      </c>
      <c r="AY19" s="160">
        <f>AE19+MAX(0,MIN(AO19,'Debt Payoff'!$C$12-SUM($W19:$AF19)-SUMIFS($AG19:$AP19,$AG$4:$AP$4,"&lt;"&amp;AO$4)))</f>
        <v/>
      </c>
      <c r="AZ19" s="160">
        <f>AF19+MAX(0,MIN(AP19,'Debt Payoff'!$C$12-SUM($W19:$AF19)-SUMIFS($AG19:$AP19,$AG$4:$AP$4,"&lt;"&amp;AP$4)))</f>
        <v/>
      </c>
      <c r="BA19" s="160">
        <f>SUM(C19:L19)</f>
        <v/>
      </c>
      <c r="BB19" s="160">
        <f>SUM(AQ19:AZ19)</f>
        <v/>
      </c>
      <c r="BC19" s="160">
        <f>SUM(M19:V19)</f>
        <v/>
      </c>
    </row>
    <row r="20">
      <c r="A20" s="157" t="n">
        <v>15</v>
      </c>
      <c r="B20" s="159">
        <f>EDATE('Debt Payoff'!$C$6,14)</f>
        <v/>
      </c>
      <c r="C20" s="160">
        <f>MAX(0,ROUND(C19+M20-AQ20,2))</f>
        <v/>
      </c>
      <c r="D20" s="160">
        <f>MAX(0,ROUND(D19+N20-AR20,2))</f>
        <v/>
      </c>
      <c r="E20" s="160">
        <f>MAX(0,ROUND(E19+O20-AS20,2))</f>
        <v/>
      </c>
      <c r="F20" s="160">
        <f>MAX(0,ROUND(F19+P20-AT20,2))</f>
        <v/>
      </c>
      <c r="G20" s="160">
        <f>MAX(0,ROUND(G19+Q20-AU20,2))</f>
        <v/>
      </c>
      <c r="H20" s="160">
        <f>MAX(0,ROUND(H19+R20-AV20,2))</f>
        <v/>
      </c>
      <c r="I20" s="160">
        <f>MAX(0,ROUND(I19+S20-AW20,2))</f>
        <v/>
      </c>
      <c r="J20" s="160">
        <f>MAX(0,ROUND(J19+T20-AX20,2))</f>
        <v/>
      </c>
      <c r="K20" s="160">
        <f>MAX(0,ROUND(K19+U20-AY20,2))</f>
        <v/>
      </c>
      <c r="L20" s="160">
        <f>MAX(0,ROUND(L19+V20-AZ20,2))</f>
        <v/>
      </c>
      <c r="M20" s="160">
        <f>C19*N('Debt Payoff'!$D$15)/12</f>
        <v/>
      </c>
      <c r="N20" s="160">
        <f>D19*N('Debt Payoff'!$D$16)/12</f>
        <v/>
      </c>
      <c r="O20" s="160">
        <f>E19*N('Debt Payoff'!$D$17)/12</f>
        <v/>
      </c>
      <c r="P20" s="160">
        <f>F19*N('Debt Payoff'!$D$18)/12</f>
        <v/>
      </c>
      <c r="Q20" s="160">
        <f>G19*N('Debt Payoff'!$D$19)/12</f>
        <v/>
      </c>
      <c r="R20" s="160">
        <f>H19*N('Debt Payoff'!$D$20)/12</f>
        <v/>
      </c>
      <c r="S20" s="160">
        <f>I19*N('Debt Payoff'!$D$21)/12</f>
        <v/>
      </c>
      <c r="T20" s="160">
        <f>J19*N('Debt Payoff'!$D$22)/12</f>
        <v/>
      </c>
      <c r="U20" s="160">
        <f>K19*N('Debt Payoff'!$D$23)/12</f>
        <v/>
      </c>
      <c r="V20" s="160">
        <f>L19*N('Debt Payoff'!$D$24)/12</f>
        <v/>
      </c>
      <c r="W20" s="160">
        <f>MIN(N('Debt Payoff'!$E$15),C19+M20)</f>
        <v/>
      </c>
      <c r="X20" s="160">
        <f>MIN(N('Debt Payoff'!$E$16),D19+N20)</f>
        <v/>
      </c>
      <c r="Y20" s="160">
        <f>MIN(N('Debt Payoff'!$E$17),E19+O20)</f>
        <v/>
      </c>
      <c r="Z20" s="160">
        <f>MIN(N('Debt Payoff'!$E$18),F19+P20)</f>
        <v/>
      </c>
      <c r="AA20" s="160">
        <f>MIN(N('Debt Payoff'!$E$19),G19+Q20)</f>
        <v/>
      </c>
      <c r="AB20" s="160">
        <f>MIN(N('Debt Payoff'!$E$20),H19+R20)</f>
        <v/>
      </c>
      <c r="AC20" s="160">
        <f>MIN(N('Debt Payoff'!$E$21),I19+S20)</f>
        <v/>
      </c>
      <c r="AD20" s="160">
        <f>MIN(N('Debt Payoff'!$E$22),J19+T20)</f>
        <v/>
      </c>
      <c r="AE20" s="160">
        <f>MIN(N('Debt Payoff'!$E$23),K19+U20)</f>
        <v/>
      </c>
      <c r="AF20" s="160">
        <f>MIN(N('Debt Payoff'!$E$24),L19+V20)</f>
        <v/>
      </c>
      <c r="AG20" s="160">
        <f>C19+M20-W20</f>
        <v/>
      </c>
      <c r="AH20" s="160">
        <f>D19+N20-X20</f>
        <v/>
      </c>
      <c r="AI20" s="160">
        <f>E19+O20-Y20</f>
        <v/>
      </c>
      <c r="AJ20" s="160">
        <f>F19+P20-Z20</f>
        <v/>
      </c>
      <c r="AK20" s="160">
        <f>G19+Q20-AA20</f>
        <v/>
      </c>
      <c r="AL20" s="160">
        <f>H19+R20-AB20</f>
        <v/>
      </c>
      <c r="AM20" s="160">
        <f>I19+S20-AC20</f>
        <v/>
      </c>
      <c r="AN20" s="160">
        <f>J19+T20-AD20</f>
        <v/>
      </c>
      <c r="AO20" s="160">
        <f>K19+U20-AE20</f>
        <v/>
      </c>
      <c r="AP20" s="160">
        <f>L19+V20-AF20</f>
        <v/>
      </c>
      <c r="AQ20" s="160">
        <f>W20+MAX(0,MIN(AG20,'Debt Payoff'!$C$12-SUM($W20:$AF20)-SUMIFS($AG20:$AP20,$AG$4:$AP$4,"&lt;"&amp;AG$4)))</f>
        <v/>
      </c>
      <c r="AR20" s="160">
        <f>X20+MAX(0,MIN(AH20,'Debt Payoff'!$C$12-SUM($W20:$AF20)-SUMIFS($AG20:$AP20,$AG$4:$AP$4,"&lt;"&amp;AH$4)))</f>
        <v/>
      </c>
      <c r="AS20" s="160">
        <f>Y20+MAX(0,MIN(AI20,'Debt Payoff'!$C$12-SUM($W20:$AF20)-SUMIFS($AG20:$AP20,$AG$4:$AP$4,"&lt;"&amp;AI$4)))</f>
        <v/>
      </c>
      <c r="AT20" s="160">
        <f>Z20+MAX(0,MIN(AJ20,'Debt Payoff'!$C$12-SUM($W20:$AF20)-SUMIFS($AG20:$AP20,$AG$4:$AP$4,"&lt;"&amp;AJ$4)))</f>
        <v/>
      </c>
      <c r="AU20" s="160">
        <f>AA20+MAX(0,MIN(AK20,'Debt Payoff'!$C$12-SUM($W20:$AF20)-SUMIFS($AG20:$AP20,$AG$4:$AP$4,"&lt;"&amp;AK$4)))</f>
        <v/>
      </c>
      <c r="AV20" s="160">
        <f>AB20+MAX(0,MIN(AL20,'Debt Payoff'!$C$12-SUM($W20:$AF20)-SUMIFS($AG20:$AP20,$AG$4:$AP$4,"&lt;"&amp;AL$4)))</f>
        <v/>
      </c>
      <c r="AW20" s="160">
        <f>AC20+MAX(0,MIN(AM20,'Debt Payoff'!$C$12-SUM($W20:$AF20)-SUMIFS($AG20:$AP20,$AG$4:$AP$4,"&lt;"&amp;AM$4)))</f>
        <v/>
      </c>
      <c r="AX20" s="160">
        <f>AD20+MAX(0,MIN(AN20,'Debt Payoff'!$C$12-SUM($W20:$AF20)-SUMIFS($AG20:$AP20,$AG$4:$AP$4,"&lt;"&amp;AN$4)))</f>
        <v/>
      </c>
      <c r="AY20" s="160">
        <f>AE20+MAX(0,MIN(AO20,'Debt Payoff'!$C$12-SUM($W20:$AF20)-SUMIFS($AG20:$AP20,$AG$4:$AP$4,"&lt;"&amp;AO$4)))</f>
        <v/>
      </c>
      <c r="AZ20" s="160">
        <f>AF20+MAX(0,MIN(AP20,'Debt Payoff'!$C$12-SUM($W20:$AF20)-SUMIFS($AG20:$AP20,$AG$4:$AP$4,"&lt;"&amp;AP$4)))</f>
        <v/>
      </c>
      <c r="BA20" s="160">
        <f>SUM(C20:L20)</f>
        <v/>
      </c>
      <c r="BB20" s="160">
        <f>SUM(AQ20:AZ20)</f>
        <v/>
      </c>
      <c r="BC20" s="160">
        <f>SUM(M20:V20)</f>
        <v/>
      </c>
    </row>
    <row r="21">
      <c r="A21" s="157" t="n">
        <v>16</v>
      </c>
      <c r="B21" s="159">
        <f>EDATE('Debt Payoff'!$C$6,15)</f>
        <v/>
      </c>
      <c r="C21" s="160">
        <f>MAX(0,ROUND(C20+M21-AQ21,2))</f>
        <v/>
      </c>
      <c r="D21" s="160">
        <f>MAX(0,ROUND(D20+N21-AR21,2))</f>
        <v/>
      </c>
      <c r="E21" s="160">
        <f>MAX(0,ROUND(E20+O21-AS21,2))</f>
        <v/>
      </c>
      <c r="F21" s="160">
        <f>MAX(0,ROUND(F20+P21-AT21,2))</f>
        <v/>
      </c>
      <c r="G21" s="160">
        <f>MAX(0,ROUND(G20+Q21-AU21,2))</f>
        <v/>
      </c>
      <c r="H21" s="160">
        <f>MAX(0,ROUND(H20+R21-AV21,2))</f>
        <v/>
      </c>
      <c r="I21" s="160">
        <f>MAX(0,ROUND(I20+S21-AW21,2))</f>
        <v/>
      </c>
      <c r="J21" s="160">
        <f>MAX(0,ROUND(J20+T21-AX21,2))</f>
        <v/>
      </c>
      <c r="K21" s="160">
        <f>MAX(0,ROUND(K20+U21-AY21,2))</f>
        <v/>
      </c>
      <c r="L21" s="160">
        <f>MAX(0,ROUND(L20+V21-AZ21,2))</f>
        <v/>
      </c>
      <c r="M21" s="160">
        <f>C20*N('Debt Payoff'!$D$15)/12</f>
        <v/>
      </c>
      <c r="N21" s="160">
        <f>D20*N('Debt Payoff'!$D$16)/12</f>
        <v/>
      </c>
      <c r="O21" s="160">
        <f>E20*N('Debt Payoff'!$D$17)/12</f>
        <v/>
      </c>
      <c r="P21" s="160">
        <f>F20*N('Debt Payoff'!$D$18)/12</f>
        <v/>
      </c>
      <c r="Q21" s="160">
        <f>G20*N('Debt Payoff'!$D$19)/12</f>
        <v/>
      </c>
      <c r="R21" s="160">
        <f>H20*N('Debt Payoff'!$D$20)/12</f>
        <v/>
      </c>
      <c r="S21" s="160">
        <f>I20*N('Debt Payoff'!$D$21)/12</f>
        <v/>
      </c>
      <c r="T21" s="160">
        <f>J20*N('Debt Payoff'!$D$22)/12</f>
        <v/>
      </c>
      <c r="U21" s="160">
        <f>K20*N('Debt Payoff'!$D$23)/12</f>
        <v/>
      </c>
      <c r="V21" s="160">
        <f>L20*N('Debt Payoff'!$D$24)/12</f>
        <v/>
      </c>
      <c r="W21" s="160">
        <f>MIN(N('Debt Payoff'!$E$15),C20+M21)</f>
        <v/>
      </c>
      <c r="X21" s="160">
        <f>MIN(N('Debt Payoff'!$E$16),D20+N21)</f>
        <v/>
      </c>
      <c r="Y21" s="160">
        <f>MIN(N('Debt Payoff'!$E$17),E20+O21)</f>
        <v/>
      </c>
      <c r="Z21" s="160">
        <f>MIN(N('Debt Payoff'!$E$18),F20+P21)</f>
        <v/>
      </c>
      <c r="AA21" s="160">
        <f>MIN(N('Debt Payoff'!$E$19),G20+Q21)</f>
        <v/>
      </c>
      <c r="AB21" s="160">
        <f>MIN(N('Debt Payoff'!$E$20),H20+R21)</f>
        <v/>
      </c>
      <c r="AC21" s="160">
        <f>MIN(N('Debt Payoff'!$E$21),I20+S21)</f>
        <v/>
      </c>
      <c r="AD21" s="160">
        <f>MIN(N('Debt Payoff'!$E$22),J20+T21)</f>
        <v/>
      </c>
      <c r="AE21" s="160">
        <f>MIN(N('Debt Payoff'!$E$23),K20+U21)</f>
        <v/>
      </c>
      <c r="AF21" s="160">
        <f>MIN(N('Debt Payoff'!$E$24),L20+V21)</f>
        <v/>
      </c>
      <c r="AG21" s="160">
        <f>C20+M21-W21</f>
        <v/>
      </c>
      <c r="AH21" s="160">
        <f>D20+N21-X21</f>
        <v/>
      </c>
      <c r="AI21" s="160">
        <f>E20+O21-Y21</f>
        <v/>
      </c>
      <c r="AJ21" s="160">
        <f>F20+P21-Z21</f>
        <v/>
      </c>
      <c r="AK21" s="160">
        <f>G20+Q21-AA21</f>
        <v/>
      </c>
      <c r="AL21" s="160">
        <f>H20+R21-AB21</f>
        <v/>
      </c>
      <c r="AM21" s="160">
        <f>I20+S21-AC21</f>
        <v/>
      </c>
      <c r="AN21" s="160">
        <f>J20+T21-AD21</f>
        <v/>
      </c>
      <c r="AO21" s="160">
        <f>K20+U21-AE21</f>
        <v/>
      </c>
      <c r="AP21" s="160">
        <f>L20+V21-AF21</f>
        <v/>
      </c>
      <c r="AQ21" s="160">
        <f>W21+MAX(0,MIN(AG21,'Debt Payoff'!$C$12-SUM($W21:$AF21)-SUMIFS($AG21:$AP21,$AG$4:$AP$4,"&lt;"&amp;AG$4)))</f>
        <v/>
      </c>
      <c r="AR21" s="160">
        <f>X21+MAX(0,MIN(AH21,'Debt Payoff'!$C$12-SUM($W21:$AF21)-SUMIFS($AG21:$AP21,$AG$4:$AP$4,"&lt;"&amp;AH$4)))</f>
        <v/>
      </c>
      <c r="AS21" s="160">
        <f>Y21+MAX(0,MIN(AI21,'Debt Payoff'!$C$12-SUM($W21:$AF21)-SUMIFS($AG21:$AP21,$AG$4:$AP$4,"&lt;"&amp;AI$4)))</f>
        <v/>
      </c>
      <c r="AT21" s="160">
        <f>Z21+MAX(0,MIN(AJ21,'Debt Payoff'!$C$12-SUM($W21:$AF21)-SUMIFS($AG21:$AP21,$AG$4:$AP$4,"&lt;"&amp;AJ$4)))</f>
        <v/>
      </c>
      <c r="AU21" s="160">
        <f>AA21+MAX(0,MIN(AK21,'Debt Payoff'!$C$12-SUM($W21:$AF21)-SUMIFS($AG21:$AP21,$AG$4:$AP$4,"&lt;"&amp;AK$4)))</f>
        <v/>
      </c>
      <c r="AV21" s="160">
        <f>AB21+MAX(0,MIN(AL21,'Debt Payoff'!$C$12-SUM($W21:$AF21)-SUMIFS($AG21:$AP21,$AG$4:$AP$4,"&lt;"&amp;AL$4)))</f>
        <v/>
      </c>
      <c r="AW21" s="160">
        <f>AC21+MAX(0,MIN(AM21,'Debt Payoff'!$C$12-SUM($W21:$AF21)-SUMIFS($AG21:$AP21,$AG$4:$AP$4,"&lt;"&amp;AM$4)))</f>
        <v/>
      </c>
      <c r="AX21" s="160">
        <f>AD21+MAX(0,MIN(AN21,'Debt Payoff'!$C$12-SUM($W21:$AF21)-SUMIFS($AG21:$AP21,$AG$4:$AP$4,"&lt;"&amp;AN$4)))</f>
        <v/>
      </c>
      <c r="AY21" s="160">
        <f>AE21+MAX(0,MIN(AO21,'Debt Payoff'!$C$12-SUM($W21:$AF21)-SUMIFS($AG21:$AP21,$AG$4:$AP$4,"&lt;"&amp;AO$4)))</f>
        <v/>
      </c>
      <c r="AZ21" s="160">
        <f>AF21+MAX(0,MIN(AP21,'Debt Payoff'!$C$12-SUM($W21:$AF21)-SUMIFS($AG21:$AP21,$AG$4:$AP$4,"&lt;"&amp;AP$4)))</f>
        <v/>
      </c>
      <c r="BA21" s="160">
        <f>SUM(C21:L21)</f>
        <v/>
      </c>
      <c r="BB21" s="160">
        <f>SUM(AQ21:AZ21)</f>
        <v/>
      </c>
      <c r="BC21" s="160">
        <f>SUM(M21:V21)</f>
        <v/>
      </c>
    </row>
    <row r="22">
      <c r="A22" s="157" t="n">
        <v>17</v>
      </c>
      <c r="B22" s="159">
        <f>EDATE('Debt Payoff'!$C$6,16)</f>
        <v/>
      </c>
      <c r="C22" s="160">
        <f>MAX(0,ROUND(C21+M22-AQ22,2))</f>
        <v/>
      </c>
      <c r="D22" s="160">
        <f>MAX(0,ROUND(D21+N22-AR22,2))</f>
        <v/>
      </c>
      <c r="E22" s="160">
        <f>MAX(0,ROUND(E21+O22-AS22,2))</f>
        <v/>
      </c>
      <c r="F22" s="160">
        <f>MAX(0,ROUND(F21+P22-AT22,2))</f>
        <v/>
      </c>
      <c r="G22" s="160">
        <f>MAX(0,ROUND(G21+Q22-AU22,2))</f>
        <v/>
      </c>
      <c r="H22" s="160">
        <f>MAX(0,ROUND(H21+R22-AV22,2))</f>
        <v/>
      </c>
      <c r="I22" s="160">
        <f>MAX(0,ROUND(I21+S22-AW22,2))</f>
        <v/>
      </c>
      <c r="J22" s="160">
        <f>MAX(0,ROUND(J21+T22-AX22,2))</f>
        <v/>
      </c>
      <c r="K22" s="160">
        <f>MAX(0,ROUND(K21+U22-AY22,2))</f>
        <v/>
      </c>
      <c r="L22" s="160">
        <f>MAX(0,ROUND(L21+V22-AZ22,2))</f>
        <v/>
      </c>
      <c r="M22" s="160">
        <f>C21*N('Debt Payoff'!$D$15)/12</f>
        <v/>
      </c>
      <c r="N22" s="160">
        <f>D21*N('Debt Payoff'!$D$16)/12</f>
        <v/>
      </c>
      <c r="O22" s="160">
        <f>E21*N('Debt Payoff'!$D$17)/12</f>
        <v/>
      </c>
      <c r="P22" s="160">
        <f>F21*N('Debt Payoff'!$D$18)/12</f>
        <v/>
      </c>
      <c r="Q22" s="160">
        <f>G21*N('Debt Payoff'!$D$19)/12</f>
        <v/>
      </c>
      <c r="R22" s="160">
        <f>H21*N('Debt Payoff'!$D$20)/12</f>
        <v/>
      </c>
      <c r="S22" s="160">
        <f>I21*N('Debt Payoff'!$D$21)/12</f>
        <v/>
      </c>
      <c r="T22" s="160">
        <f>J21*N('Debt Payoff'!$D$22)/12</f>
        <v/>
      </c>
      <c r="U22" s="160">
        <f>K21*N('Debt Payoff'!$D$23)/12</f>
        <v/>
      </c>
      <c r="V22" s="160">
        <f>L21*N('Debt Payoff'!$D$24)/12</f>
        <v/>
      </c>
      <c r="W22" s="160">
        <f>MIN(N('Debt Payoff'!$E$15),C21+M22)</f>
        <v/>
      </c>
      <c r="X22" s="160">
        <f>MIN(N('Debt Payoff'!$E$16),D21+N22)</f>
        <v/>
      </c>
      <c r="Y22" s="160">
        <f>MIN(N('Debt Payoff'!$E$17),E21+O22)</f>
        <v/>
      </c>
      <c r="Z22" s="160">
        <f>MIN(N('Debt Payoff'!$E$18),F21+P22)</f>
        <v/>
      </c>
      <c r="AA22" s="160">
        <f>MIN(N('Debt Payoff'!$E$19),G21+Q22)</f>
        <v/>
      </c>
      <c r="AB22" s="160">
        <f>MIN(N('Debt Payoff'!$E$20),H21+R22)</f>
        <v/>
      </c>
      <c r="AC22" s="160">
        <f>MIN(N('Debt Payoff'!$E$21),I21+S22)</f>
        <v/>
      </c>
      <c r="AD22" s="160">
        <f>MIN(N('Debt Payoff'!$E$22),J21+T22)</f>
        <v/>
      </c>
      <c r="AE22" s="160">
        <f>MIN(N('Debt Payoff'!$E$23),K21+U22)</f>
        <v/>
      </c>
      <c r="AF22" s="160">
        <f>MIN(N('Debt Payoff'!$E$24),L21+V22)</f>
        <v/>
      </c>
      <c r="AG22" s="160">
        <f>C21+M22-W22</f>
        <v/>
      </c>
      <c r="AH22" s="160">
        <f>D21+N22-X22</f>
        <v/>
      </c>
      <c r="AI22" s="160">
        <f>E21+O22-Y22</f>
        <v/>
      </c>
      <c r="AJ22" s="160">
        <f>F21+P22-Z22</f>
        <v/>
      </c>
      <c r="AK22" s="160">
        <f>G21+Q22-AA22</f>
        <v/>
      </c>
      <c r="AL22" s="160">
        <f>H21+R22-AB22</f>
        <v/>
      </c>
      <c r="AM22" s="160">
        <f>I21+S22-AC22</f>
        <v/>
      </c>
      <c r="AN22" s="160">
        <f>J21+T22-AD22</f>
        <v/>
      </c>
      <c r="AO22" s="160">
        <f>K21+U22-AE22</f>
        <v/>
      </c>
      <c r="AP22" s="160">
        <f>L21+V22-AF22</f>
        <v/>
      </c>
      <c r="AQ22" s="160">
        <f>W22+MAX(0,MIN(AG22,'Debt Payoff'!$C$12-SUM($W22:$AF22)-SUMIFS($AG22:$AP22,$AG$4:$AP$4,"&lt;"&amp;AG$4)))</f>
        <v/>
      </c>
      <c r="AR22" s="160">
        <f>X22+MAX(0,MIN(AH22,'Debt Payoff'!$C$12-SUM($W22:$AF22)-SUMIFS($AG22:$AP22,$AG$4:$AP$4,"&lt;"&amp;AH$4)))</f>
        <v/>
      </c>
      <c r="AS22" s="160">
        <f>Y22+MAX(0,MIN(AI22,'Debt Payoff'!$C$12-SUM($W22:$AF22)-SUMIFS($AG22:$AP22,$AG$4:$AP$4,"&lt;"&amp;AI$4)))</f>
        <v/>
      </c>
      <c r="AT22" s="160">
        <f>Z22+MAX(0,MIN(AJ22,'Debt Payoff'!$C$12-SUM($W22:$AF22)-SUMIFS($AG22:$AP22,$AG$4:$AP$4,"&lt;"&amp;AJ$4)))</f>
        <v/>
      </c>
      <c r="AU22" s="160">
        <f>AA22+MAX(0,MIN(AK22,'Debt Payoff'!$C$12-SUM($W22:$AF22)-SUMIFS($AG22:$AP22,$AG$4:$AP$4,"&lt;"&amp;AK$4)))</f>
        <v/>
      </c>
      <c r="AV22" s="160">
        <f>AB22+MAX(0,MIN(AL22,'Debt Payoff'!$C$12-SUM($W22:$AF22)-SUMIFS($AG22:$AP22,$AG$4:$AP$4,"&lt;"&amp;AL$4)))</f>
        <v/>
      </c>
      <c r="AW22" s="160">
        <f>AC22+MAX(0,MIN(AM22,'Debt Payoff'!$C$12-SUM($W22:$AF22)-SUMIFS($AG22:$AP22,$AG$4:$AP$4,"&lt;"&amp;AM$4)))</f>
        <v/>
      </c>
      <c r="AX22" s="160">
        <f>AD22+MAX(0,MIN(AN22,'Debt Payoff'!$C$12-SUM($W22:$AF22)-SUMIFS($AG22:$AP22,$AG$4:$AP$4,"&lt;"&amp;AN$4)))</f>
        <v/>
      </c>
      <c r="AY22" s="160">
        <f>AE22+MAX(0,MIN(AO22,'Debt Payoff'!$C$12-SUM($W22:$AF22)-SUMIFS($AG22:$AP22,$AG$4:$AP$4,"&lt;"&amp;AO$4)))</f>
        <v/>
      </c>
      <c r="AZ22" s="160">
        <f>AF22+MAX(0,MIN(AP22,'Debt Payoff'!$C$12-SUM($W22:$AF22)-SUMIFS($AG22:$AP22,$AG$4:$AP$4,"&lt;"&amp;AP$4)))</f>
        <v/>
      </c>
      <c r="BA22" s="160">
        <f>SUM(C22:L22)</f>
        <v/>
      </c>
      <c r="BB22" s="160">
        <f>SUM(AQ22:AZ22)</f>
        <v/>
      </c>
      <c r="BC22" s="160">
        <f>SUM(M22:V22)</f>
        <v/>
      </c>
    </row>
    <row r="23">
      <c r="A23" s="157" t="n">
        <v>18</v>
      </c>
      <c r="B23" s="159">
        <f>EDATE('Debt Payoff'!$C$6,17)</f>
        <v/>
      </c>
      <c r="C23" s="160">
        <f>MAX(0,ROUND(C22+M23-AQ23,2))</f>
        <v/>
      </c>
      <c r="D23" s="160">
        <f>MAX(0,ROUND(D22+N23-AR23,2))</f>
        <v/>
      </c>
      <c r="E23" s="160">
        <f>MAX(0,ROUND(E22+O23-AS23,2))</f>
        <v/>
      </c>
      <c r="F23" s="160">
        <f>MAX(0,ROUND(F22+P23-AT23,2))</f>
        <v/>
      </c>
      <c r="G23" s="160">
        <f>MAX(0,ROUND(G22+Q23-AU23,2))</f>
        <v/>
      </c>
      <c r="H23" s="160">
        <f>MAX(0,ROUND(H22+R23-AV23,2))</f>
        <v/>
      </c>
      <c r="I23" s="160">
        <f>MAX(0,ROUND(I22+S23-AW23,2))</f>
        <v/>
      </c>
      <c r="J23" s="160">
        <f>MAX(0,ROUND(J22+T23-AX23,2))</f>
        <v/>
      </c>
      <c r="K23" s="160">
        <f>MAX(0,ROUND(K22+U23-AY23,2))</f>
        <v/>
      </c>
      <c r="L23" s="160">
        <f>MAX(0,ROUND(L22+V23-AZ23,2))</f>
        <v/>
      </c>
      <c r="M23" s="160">
        <f>C22*N('Debt Payoff'!$D$15)/12</f>
        <v/>
      </c>
      <c r="N23" s="160">
        <f>D22*N('Debt Payoff'!$D$16)/12</f>
        <v/>
      </c>
      <c r="O23" s="160">
        <f>E22*N('Debt Payoff'!$D$17)/12</f>
        <v/>
      </c>
      <c r="P23" s="160">
        <f>F22*N('Debt Payoff'!$D$18)/12</f>
        <v/>
      </c>
      <c r="Q23" s="160">
        <f>G22*N('Debt Payoff'!$D$19)/12</f>
        <v/>
      </c>
      <c r="R23" s="160">
        <f>H22*N('Debt Payoff'!$D$20)/12</f>
        <v/>
      </c>
      <c r="S23" s="160">
        <f>I22*N('Debt Payoff'!$D$21)/12</f>
        <v/>
      </c>
      <c r="T23" s="160">
        <f>J22*N('Debt Payoff'!$D$22)/12</f>
        <v/>
      </c>
      <c r="U23" s="160">
        <f>K22*N('Debt Payoff'!$D$23)/12</f>
        <v/>
      </c>
      <c r="V23" s="160">
        <f>L22*N('Debt Payoff'!$D$24)/12</f>
        <v/>
      </c>
      <c r="W23" s="160">
        <f>MIN(N('Debt Payoff'!$E$15),C22+M23)</f>
        <v/>
      </c>
      <c r="X23" s="160">
        <f>MIN(N('Debt Payoff'!$E$16),D22+N23)</f>
        <v/>
      </c>
      <c r="Y23" s="160">
        <f>MIN(N('Debt Payoff'!$E$17),E22+O23)</f>
        <v/>
      </c>
      <c r="Z23" s="160">
        <f>MIN(N('Debt Payoff'!$E$18),F22+P23)</f>
        <v/>
      </c>
      <c r="AA23" s="160">
        <f>MIN(N('Debt Payoff'!$E$19),G22+Q23)</f>
        <v/>
      </c>
      <c r="AB23" s="160">
        <f>MIN(N('Debt Payoff'!$E$20),H22+R23)</f>
        <v/>
      </c>
      <c r="AC23" s="160">
        <f>MIN(N('Debt Payoff'!$E$21),I22+S23)</f>
        <v/>
      </c>
      <c r="AD23" s="160">
        <f>MIN(N('Debt Payoff'!$E$22),J22+T23)</f>
        <v/>
      </c>
      <c r="AE23" s="160">
        <f>MIN(N('Debt Payoff'!$E$23),K22+U23)</f>
        <v/>
      </c>
      <c r="AF23" s="160">
        <f>MIN(N('Debt Payoff'!$E$24),L22+V23)</f>
        <v/>
      </c>
      <c r="AG23" s="160">
        <f>C22+M23-W23</f>
        <v/>
      </c>
      <c r="AH23" s="160">
        <f>D22+N23-X23</f>
        <v/>
      </c>
      <c r="AI23" s="160">
        <f>E22+O23-Y23</f>
        <v/>
      </c>
      <c r="AJ23" s="160">
        <f>F22+P23-Z23</f>
        <v/>
      </c>
      <c r="AK23" s="160">
        <f>G22+Q23-AA23</f>
        <v/>
      </c>
      <c r="AL23" s="160">
        <f>H22+R23-AB23</f>
        <v/>
      </c>
      <c r="AM23" s="160">
        <f>I22+S23-AC23</f>
        <v/>
      </c>
      <c r="AN23" s="160">
        <f>J22+T23-AD23</f>
        <v/>
      </c>
      <c r="AO23" s="160">
        <f>K22+U23-AE23</f>
        <v/>
      </c>
      <c r="AP23" s="160">
        <f>L22+V23-AF23</f>
        <v/>
      </c>
      <c r="AQ23" s="160">
        <f>W23+MAX(0,MIN(AG23,'Debt Payoff'!$C$12-SUM($W23:$AF23)-SUMIFS($AG23:$AP23,$AG$4:$AP$4,"&lt;"&amp;AG$4)))</f>
        <v/>
      </c>
      <c r="AR23" s="160">
        <f>X23+MAX(0,MIN(AH23,'Debt Payoff'!$C$12-SUM($W23:$AF23)-SUMIFS($AG23:$AP23,$AG$4:$AP$4,"&lt;"&amp;AH$4)))</f>
        <v/>
      </c>
      <c r="AS23" s="160">
        <f>Y23+MAX(0,MIN(AI23,'Debt Payoff'!$C$12-SUM($W23:$AF23)-SUMIFS($AG23:$AP23,$AG$4:$AP$4,"&lt;"&amp;AI$4)))</f>
        <v/>
      </c>
      <c r="AT23" s="160">
        <f>Z23+MAX(0,MIN(AJ23,'Debt Payoff'!$C$12-SUM($W23:$AF23)-SUMIFS($AG23:$AP23,$AG$4:$AP$4,"&lt;"&amp;AJ$4)))</f>
        <v/>
      </c>
      <c r="AU23" s="160">
        <f>AA23+MAX(0,MIN(AK23,'Debt Payoff'!$C$12-SUM($W23:$AF23)-SUMIFS($AG23:$AP23,$AG$4:$AP$4,"&lt;"&amp;AK$4)))</f>
        <v/>
      </c>
      <c r="AV23" s="160">
        <f>AB23+MAX(0,MIN(AL23,'Debt Payoff'!$C$12-SUM($W23:$AF23)-SUMIFS($AG23:$AP23,$AG$4:$AP$4,"&lt;"&amp;AL$4)))</f>
        <v/>
      </c>
      <c r="AW23" s="160">
        <f>AC23+MAX(0,MIN(AM23,'Debt Payoff'!$C$12-SUM($W23:$AF23)-SUMIFS($AG23:$AP23,$AG$4:$AP$4,"&lt;"&amp;AM$4)))</f>
        <v/>
      </c>
      <c r="AX23" s="160">
        <f>AD23+MAX(0,MIN(AN23,'Debt Payoff'!$C$12-SUM($W23:$AF23)-SUMIFS($AG23:$AP23,$AG$4:$AP$4,"&lt;"&amp;AN$4)))</f>
        <v/>
      </c>
      <c r="AY23" s="160">
        <f>AE23+MAX(0,MIN(AO23,'Debt Payoff'!$C$12-SUM($W23:$AF23)-SUMIFS($AG23:$AP23,$AG$4:$AP$4,"&lt;"&amp;AO$4)))</f>
        <v/>
      </c>
      <c r="AZ23" s="160">
        <f>AF23+MAX(0,MIN(AP23,'Debt Payoff'!$C$12-SUM($W23:$AF23)-SUMIFS($AG23:$AP23,$AG$4:$AP$4,"&lt;"&amp;AP$4)))</f>
        <v/>
      </c>
      <c r="BA23" s="160">
        <f>SUM(C23:L23)</f>
        <v/>
      </c>
      <c r="BB23" s="160">
        <f>SUM(AQ23:AZ23)</f>
        <v/>
      </c>
      <c r="BC23" s="160">
        <f>SUM(M23:V23)</f>
        <v/>
      </c>
    </row>
    <row r="24">
      <c r="A24" s="157" t="n">
        <v>19</v>
      </c>
      <c r="B24" s="159">
        <f>EDATE('Debt Payoff'!$C$6,18)</f>
        <v/>
      </c>
      <c r="C24" s="160">
        <f>MAX(0,ROUND(C23+M24-AQ24,2))</f>
        <v/>
      </c>
      <c r="D24" s="160">
        <f>MAX(0,ROUND(D23+N24-AR24,2))</f>
        <v/>
      </c>
      <c r="E24" s="160">
        <f>MAX(0,ROUND(E23+O24-AS24,2))</f>
        <v/>
      </c>
      <c r="F24" s="160">
        <f>MAX(0,ROUND(F23+P24-AT24,2))</f>
        <v/>
      </c>
      <c r="G24" s="160">
        <f>MAX(0,ROUND(G23+Q24-AU24,2))</f>
        <v/>
      </c>
      <c r="H24" s="160">
        <f>MAX(0,ROUND(H23+R24-AV24,2))</f>
        <v/>
      </c>
      <c r="I24" s="160">
        <f>MAX(0,ROUND(I23+S24-AW24,2))</f>
        <v/>
      </c>
      <c r="J24" s="160">
        <f>MAX(0,ROUND(J23+T24-AX24,2))</f>
        <v/>
      </c>
      <c r="K24" s="160">
        <f>MAX(0,ROUND(K23+U24-AY24,2))</f>
        <v/>
      </c>
      <c r="L24" s="160">
        <f>MAX(0,ROUND(L23+V24-AZ24,2))</f>
        <v/>
      </c>
      <c r="M24" s="160">
        <f>C23*N('Debt Payoff'!$D$15)/12</f>
        <v/>
      </c>
      <c r="N24" s="160">
        <f>D23*N('Debt Payoff'!$D$16)/12</f>
        <v/>
      </c>
      <c r="O24" s="160">
        <f>E23*N('Debt Payoff'!$D$17)/12</f>
        <v/>
      </c>
      <c r="P24" s="160">
        <f>F23*N('Debt Payoff'!$D$18)/12</f>
        <v/>
      </c>
      <c r="Q24" s="160">
        <f>G23*N('Debt Payoff'!$D$19)/12</f>
        <v/>
      </c>
      <c r="R24" s="160">
        <f>H23*N('Debt Payoff'!$D$20)/12</f>
        <v/>
      </c>
      <c r="S24" s="160">
        <f>I23*N('Debt Payoff'!$D$21)/12</f>
        <v/>
      </c>
      <c r="T24" s="160">
        <f>J23*N('Debt Payoff'!$D$22)/12</f>
        <v/>
      </c>
      <c r="U24" s="160">
        <f>K23*N('Debt Payoff'!$D$23)/12</f>
        <v/>
      </c>
      <c r="V24" s="160">
        <f>L23*N('Debt Payoff'!$D$24)/12</f>
        <v/>
      </c>
      <c r="W24" s="160">
        <f>MIN(N('Debt Payoff'!$E$15),C23+M24)</f>
        <v/>
      </c>
      <c r="X24" s="160">
        <f>MIN(N('Debt Payoff'!$E$16),D23+N24)</f>
        <v/>
      </c>
      <c r="Y24" s="160">
        <f>MIN(N('Debt Payoff'!$E$17),E23+O24)</f>
        <v/>
      </c>
      <c r="Z24" s="160">
        <f>MIN(N('Debt Payoff'!$E$18),F23+P24)</f>
        <v/>
      </c>
      <c r="AA24" s="160">
        <f>MIN(N('Debt Payoff'!$E$19),G23+Q24)</f>
        <v/>
      </c>
      <c r="AB24" s="160">
        <f>MIN(N('Debt Payoff'!$E$20),H23+R24)</f>
        <v/>
      </c>
      <c r="AC24" s="160">
        <f>MIN(N('Debt Payoff'!$E$21),I23+S24)</f>
        <v/>
      </c>
      <c r="AD24" s="160">
        <f>MIN(N('Debt Payoff'!$E$22),J23+T24)</f>
        <v/>
      </c>
      <c r="AE24" s="160">
        <f>MIN(N('Debt Payoff'!$E$23),K23+U24)</f>
        <v/>
      </c>
      <c r="AF24" s="160">
        <f>MIN(N('Debt Payoff'!$E$24),L23+V24)</f>
        <v/>
      </c>
      <c r="AG24" s="160">
        <f>C23+M24-W24</f>
        <v/>
      </c>
      <c r="AH24" s="160">
        <f>D23+N24-X24</f>
        <v/>
      </c>
      <c r="AI24" s="160">
        <f>E23+O24-Y24</f>
        <v/>
      </c>
      <c r="AJ24" s="160">
        <f>F23+P24-Z24</f>
        <v/>
      </c>
      <c r="AK24" s="160">
        <f>G23+Q24-AA24</f>
        <v/>
      </c>
      <c r="AL24" s="160">
        <f>H23+R24-AB24</f>
        <v/>
      </c>
      <c r="AM24" s="160">
        <f>I23+S24-AC24</f>
        <v/>
      </c>
      <c r="AN24" s="160">
        <f>J23+T24-AD24</f>
        <v/>
      </c>
      <c r="AO24" s="160">
        <f>K23+U24-AE24</f>
        <v/>
      </c>
      <c r="AP24" s="160">
        <f>L23+V24-AF24</f>
        <v/>
      </c>
      <c r="AQ24" s="160">
        <f>W24+MAX(0,MIN(AG24,'Debt Payoff'!$C$12-SUM($W24:$AF24)-SUMIFS($AG24:$AP24,$AG$4:$AP$4,"&lt;"&amp;AG$4)))</f>
        <v/>
      </c>
      <c r="AR24" s="160">
        <f>X24+MAX(0,MIN(AH24,'Debt Payoff'!$C$12-SUM($W24:$AF24)-SUMIFS($AG24:$AP24,$AG$4:$AP$4,"&lt;"&amp;AH$4)))</f>
        <v/>
      </c>
      <c r="AS24" s="160">
        <f>Y24+MAX(0,MIN(AI24,'Debt Payoff'!$C$12-SUM($W24:$AF24)-SUMIFS($AG24:$AP24,$AG$4:$AP$4,"&lt;"&amp;AI$4)))</f>
        <v/>
      </c>
      <c r="AT24" s="160">
        <f>Z24+MAX(0,MIN(AJ24,'Debt Payoff'!$C$12-SUM($W24:$AF24)-SUMIFS($AG24:$AP24,$AG$4:$AP$4,"&lt;"&amp;AJ$4)))</f>
        <v/>
      </c>
      <c r="AU24" s="160">
        <f>AA24+MAX(0,MIN(AK24,'Debt Payoff'!$C$12-SUM($W24:$AF24)-SUMIFS($AG24:$AP24,$AG$4:$AP$4,"&lt;"&amp;AK$4)))</f>
        <v/>
      </c>
      <c r="AV24" s="160">
        <f>AB24+MAX(0,MIN(AL24,'Debt Payoff'!$C$12-SUM($W24:$AF24)-SUMIFS($AG24:$AP24,$AG$4:$AP$4,"&lt;"&amp;AL$4)))</f>
        <v/>
      </c>
      <c r="AW24" s="160">
        <f>AC24+MAX(0,MIN(AM24,'Debt Payoff'!$C$12-SUM($W24:$AF24)-SUMIFS($AG24:$AP24,$AG$4:$AP$4,"&lt;"&amp;AM$4)))</f>
        <v/>
      </c>
      <c r="AX24" s="160">
        <f>AD24+MAX(0,MIN(AN24,'Debt Payoff'!$C$12-SUM($W24:$AF24)-SUMIFS($AG24:$AP24,$AG$4:$AP$4,"&lt;"&amp;AN$4)))</f>
        <v/>
      </c>
      <c r="AY24" s="160">
        <f>AE24+MAX(0,MIN(AO24,'Debt Payoff'!$C$12-SUM($W24:$AF24)-SUMIFS($AG24:$AP24,$AG$4:$AP$4,"&lt;"&amp;AO$4)))</f>
        <v/>
      </c>
      <c r="AZ24" s="160">
        <f>AF24+MAX(0,MIN(AP24,'Debt Payoff'!$C$12-SUM($W24:$AF24)-SUMIFS($AG24:$AP24,$AG$4:$AP$4,"&lt;"&amp;AP$4)))</f>
        <v/>
      </c>
      <c r="BA24" s="160">
        <f>SUM(C24:L24)</f>
        <v/>
      </c>
      <c r="BB24" s="160">
        <f>SUM(AQ24:AZ24)</f>
        <v/>
      </c>
      <c r="BC24" s="160">
        <f>SUM(M24:V24)</f>
        <v/>
      </c>
    </row>
    <row r="25">
      <c r="A25" s="157" t="n">
        <v>20</v>
      </c>
      <c r="B25" s="159">
        <f>EDATE('Debt Payoff'!$C$6,19)</f>
        <v/>
      </c>
      <c r="C25" s="160">
        <f>MAX(0,ROUND(C24+M25-AQ25,2))</f>
        <v/>
      </c>
      <c r="D25" s="160">
        <f>MAX(0,ROUND(D24+N25-AR25,2))</f>
        <v/>
      </c>
      <c r="E25" s="160">
        <f>MAX(0,ROUND(E24+O25-AS25,2))</f>
        <v/>
      </c>
      <c r="F25" s="160">
        <f>MAX(0,ROUND(F24+P25-AT25,2))</f>
        <v/>
      </c>
      <c r="G25" s="160">
        <f>MAX(0,ROUND(G24+Q25-AU25,2))</f>
        <v/>
      </c>
      <c r="H25" s="160">
        <f>MAX(0,ROUND(H24+R25-AV25,2))</f>
        <v/>
      </c>
      <c r="I25" s="160">
        <f>MAX(0,ROUND(I24+S25-AW25,2))</f>
        <v/>
      </c>
      <c r="J25" s="160">
        <f>MAX(0,ROUND(J24+T25-AX25,2))</f>
        <v/>
      </c>
      <c r="K25" s="160">
        <f>MAX(0,ROUND(K24+U25-AY25,2))</f>
        <v/>
      </c>
      <c r="L25" s="160">
        <f>MAX(0,ROUND(L24+V25-AZ25,2))</f>
        <v/>
      </c>
      <c r="M25" s="160">
        <f>C24*N('Debt Payoff'!$D$15)/12</f>
        <v/>
      </c>
      <c r="N25" s="160">
        <f>D24*N('Debt Payoff'!$D$16)/12</f>
        <v/>
      </c>
      <c r="O25" s="160">
        <f>E24*N('Debt Payoff'!$D$17)/12</f>
        <v/>
      </c>
      <c r="P25" s="160">
        <f>F24*N('Debt Payoff'!$D$18)/12</f>
        <v/>
      </c>
      <c r="Q25" s="160">
        <f>G24*N('Debt Payoff'!$D$19)/12</f>
        <v/>
      </c>
      <c r="R25" s="160">
        <f>H24*N('Debt Payoff'!$D$20)/12</f>
        <v/>
      </c>
      <c r="S25" s="160">
        <f>I24*N('Debt Payoff'!$D$21)/12</f>
        <v/>
      </c>
      <c r="T25" s="160">
        <f>J24*N('Debt Payoff'!$D$22)/12</f>
        <v/>
      </c>
      <c r="U25" s="160">
        <f>K24*N('Debt Payoff'!$D$23)/12</f>
        <v/>
      </c>
      <c r="V25" s="160">
        <f>L24*N('Debt Payoff'!$D$24)/12</f>
        <v/>
      </c>
      <c r="W25" s="160">
        <f>MIN(N('Debt Payoff'!$E$15),C24+M25)</f>
        <v/>
      </c>
      <c r="X25" s="160">
        <f>MIN(N('Debt Payoff'!$E$16),D24+N25)</f>
        <v/>
      </c>
      <c r="Y25" s="160">
        <f>MIN(N('Debt Payoff'!$E$17),E24+O25)</f>
        <v/>
      </c>
      <c r="Z25" s="160">
        <f>MIN(N('Debt Payoff'!$E$18),F24+P25)</f>
        <v/>
      </c>
      <c r="AA25" s="160">
        <f>MIN(N('Debt Payoff'!$E$19),G24+Q25)</f>
        <v/>
      </c>
      <c r="AB25" s="160">
        <f>MIN(N('Debt Payoff'!$E$20),H24+R25)</f>
        <v/>
      </c>
      <c r="AC25" s="160">
        <f>MIN(N('Debt Payoff'!$E$21),I24+S25)</f>
        <v/>
      </c>
      <c r="AD25" s="160">
        <f>MIN(N('Debt Payoff'!$E$22),J24+T25)</f>
        <v/>
      </c>
      <c r="AE25" s="160">
        <f>MIN(N('Debt Payoff'!$E$23),K24+U25)</f>
        <v/>
      </c>
      <c r="AF25" s="160">
        <f>MIN(N('Debt Payoff'!$E$24),L24+V25)</f>
        <v/>
      </c>
      <c r="AG25" s="160">
        <f>C24+M25-W25</f>
        <v/>
      </c>
      <c r="AH25" s="160">
        <f>D24+N25-X25</f>
        <v/>
      </c>
      <c r="AI25" s="160">
        <f>E24+O25-Y25</f>
        <v/>
      </c>
      <c r="AJ25" s="160">
        <f>F24+P25-Z25</f>
        <v/>
      </c>
      <c r="AK25" s="160">
        <f>G24+Q25-AA25</f>
        <v/>
      </c>
      <c r="AL25" s="160">
        <f>H24+R25-AB25</f>
        <v/>
      </c>
      <c r="AM25" s="160">
        <f>I24+S25-AC25</f>
        <v/>
      </c>
      <c r="AN25" s="160">
        <f>J24+T25-AD25</f>
        <v/>
      </c>
      <c r="AO25" s="160">
        <f>K24+U25-AE25</f>
        <v/>
      </c>
      <c r="AP25" s="160">
        <f>L24+V25-AF25</f>
        <v/>
      </c>
      <c r="AQ25" s="160">
        <f>W25+MAX(0,MIN(AG25,'Debt Payoff'!$C$12-SUM($W25:$AF25)-SUMIFS($AG25:$AP25,$AG$4:$AP$4,"&lt;"&amp;AG$4)))</f>
        <v/>
      </c>
      <c r="AR25" s="160">
        <f>X25+MAX(0,MIN(AH25,'Debt Payoff'!$C$12-SUM($W25:$AF25)-SUMIFS($AG25:$AP25,$AG$4:$AP$4,"&lt;"&amp;AH$4)))</f>
        <v/>
      </c>
      <c r="AS25" s="160">
        <f>Y25+MAX(0,MIN(AI25,'Debt Payoff'!$C$12-SUM($W25:$AF25)-SUMIFS($AG25:$AP25,$AG$4:$AP$4,"&lt;"&amp;AI$4)))</f>
        <v/>
      </c>
      <c r="AT25" s="160">
        <f>Z25+MAX(0,MIN(AJ25,'Debt Payoff'!$C$12-SUM($W25:$AF25)-SUMIFS($AG25:$AP25,$AG$4:$AP$4,"&lt;"&amp;AJ$4)))</f>
        <v/>
      </c>
      <c r="AU25" s="160">
        <f>AA25+MAX(0,MIN(AK25,'Debt Payoff'!$C$12-SUM($W25:$AF25)-SUMIFS($AG25:$AP25,$AG$4:$AP$4,"&lt;"&amp;AK$4)))</f>
        <v/>
      </c>
      <c r="AV25" s="160">
        <f>AB25+MAX(0,MIN(AL25,'Debt Payoff'!$C$12-SUM($W25:$AF25)-SUMIFS($AG25:$AP25,$AG$4:$AP$4,"&lt;"&amp;AL$4)))</f>
        <v/>
      </c>
      <c r="AW25" s="160">
        <f>AC25+MAX(0,MIN(AM25,'Debt Payoff'!$C$12-SUM($W25:$AF25)-SUMIFS($AG25:$AP25,$AG$4:$AP$4,"&lt;"&amp;AM$4)))</f>
        <v/>
      </c>
      <c r="AX25" s="160">
        <f>AD25+MAX(0,MIN(AN25,'Debt Payoff'!$C$12-SUM($W25:$AF25)-SUMIFS($AG25:$AP25,$AG$4:$AP$4,"&lt;"&amp;AN$4)))</f>
        <v/>
      </c>
      <c r="AY25" s="160">
        <f>AE25+MAX(0,MIN(AO25,'Debt Payoff'!$C$12-SUM($W25:$AF25)-SUMIFS($AG25:$AP25,$AG$4:$AP$4,"&lt;"&amp;AO$4)))</f>
        <v/>
      </c>
      <c r="AZ25" s="160">
        <f>AF25+MAX(0,MIN(AP25,'Debt Payoff'!$C$12-SUM($W25:$AF25)-SUMIFS($AG25:$AP25,$AG$4:$AP$4,"&lt;"&amp;AP$4)))</f>
        <v/>
      </c>
      <c r="BA25" s="160">
        <f>SUM(C25:L25)</f>
        <v/>
      </c>
      <c r="BB25" s="160">
        <f>SUM(AQ25:AZ25)</f>
        <v/>
      </c>
      <c r="BC25" s="160">
        <f>SUM(M25:V25)</f>
        <v/>
      </c>
    </row>
    <row r="26">
      <c r="A26" s="157" t="n">
        <v>21</v>
      </c>
      <c r="B26" s="159">
        <f>EDATE('Debt Payoff'!$C$6,20)</f>
        <v/>
      </c>
      <c r="C26" s="160">
        <f>MAX(0,ROUND(C25+M26-AQ26,2))</f>
        <v/>
      </c>
      <c r="D26" s="160">
        <f>MAX(0,ROUND(D25+N26-AR26,2))</f>
        <v/>
      </c>
      <c r="E26" s="160">
        <f>MAX(0,ROUND(E25+O26-AS26,2))</f>
        <v/>
      </c>
      <c r="F26" s="160">
        <f>MAX(0,ROUND(F25+P26-AT26,2))</f>
        <v/>
      </c>
      <c r="G26" s="160">
        <f>MAX(0,ROUND(G25+Q26-AU26,2))</f>
        <v/>
      </c>
      <c r="H26" s="160">
        <f>MAX(0,ROUND(H25+R26-AV26,2))</f>
        <v/>
      </c>
      <c r="I26" s="160">
        <f>MAX(0,ROUND(I25+S26-AW26,2))</f>
        <v/>
      </c>
      <c r="J26" s="160">
        <f>MAX(0,ROUND(J25+T26-AX26,2))</f>
        <v/>
      </c>
      <c r="K26" s="160">
        <f>MAX(0,ROUND(K25+U26-AY26,2))</f>
        <v/>
      </c>
      <c r="L26" s="160">
        <f>MAX(0,ROUND(L25+V26-AZ26,2))</f>
        <v/>
      </c>
      <c r="M26" s="160">
        <f>C25*N('Debt Payoff'!$D$15)/12</f>
        <v/>
      </c>
      <c r="N26" s="160">
        <f>D25*N('Debt Payoff'!$D$16)/12</f>
        <v/>
      </c>
      <c r="O26" s="160">
        <f>E25*N('Debt Payoff'!$D$17)/12</f>
        <v/>
      </c>
      <c r="P26" s="160">
        <f>F25*N('Debt Payoff'!$D$18)/12</f>
        <v/>
      </c>
      <c r="Q26" s="160">
        <f>G25*N('Debt Payoff'!$D$19)/12</f>
        <v/>
      </c>
      <c r="R26" s="160">
        <f>H25*N('Debt Payoff'!$D$20)/12</f>
        <v/>
      </c>
      <c r="S26" s="160">
        <f>I25*N('Debt Payoff'!$D$21)/12</f>
        <v/>
      </c>
      <c r="T26" s="160">
        <f>J25*N('Debt Payoff'!$D$22)/12</f>
        <v/>
      </c>
      <c r="U26" s="160">
        <f>K25*N('Debt Payoff'!$D$23)/12</f>
        <v/>
      </c>
      <c r="V26" s="160">
        <f>L25*N('Debt Payoff'!$D$24)/12</f>
        <v/>
      </c>
      <c r="W26" s="160">
        <f>MIN(N('Debt Payoff'!$E$15),C25+M26)</f>
        <v/>
      </c>
      <c r="X26" s="160">
        <f>MIN(N('Debt Payoff'!$E$16),D25+N26)</f>
        <v/>
      </c>
      <c r="Y26" s="160">
        <f>MIN(N('Debt Payoff'!$E$17),E25+O26)</f>
        <v/>
      </c>
      <c r="Z26" s="160">
        <f>MIN(N('Debt Payoff'!$E$18),F25+P26)</f>
        <v/>
      </c>
      <c r="AA26" s="160">
        <f>MIN(N('Debt Payoff'!$E$19),G25+Q26)</f>
        <v/>
      </c>
      <c r="AB26" s="160">
        <f>MIN(N('Debt Payoff'!$E$20),H25+R26)</f>
        <v/>
      </c>
      <c r="AC26" s="160">
        <f>MIN(N('Debt Payoff'!$E$21),I25+S26)</f>
        <v/>
      </c>
      <c r="AD26" s="160">
        <f>MIN(N('Debt Payoff'!$E$22),J25+T26)</f>
        <v/>
      </c>
      <c r="AE26" s="160">
        <f>MIN(N('Debt Payoff'!$E$23),K25+U26)</f>
        <v/>
      </c>
      <c r="AF26" s="160">
        <f>MIN(N('Debt Payoff'!$E$24),L25+V26)</f>
        <v/>
      </c>
      <c r="AG26" s="160">
        <f>C25+M26-W26</f>
        <v/>
      </c>
      <c r="AH26" s="160">
        <f>D25+N26-X26</f>
        <v/>
      </c>
      <c r="AI26" s="160">
        <f>E25+O26-Y26</f>
        <v/>
      </c>
      <c r="AJ26" s="160">
        <f>F25+P26-Z26</f>
        <v/>
      </c>
      <c r="AK26" s="160">
        <f>G25+Q26-AA26</f>
        <v/>
      </c>
      <c r="AL26" s="160">
        <f>H25+R26-AB26</f>
        <v/>
      </c>
      <c r="AM26" s="160">
        <f>I25+S26-AC26</f>
        <v/>
      </c>
      <c r="AN26" s="160">
        <f>J25+T26-AD26</f>
        <v/>
      </c>
      <c r="AO26" s="160">
        <f>K25+U26-AE26</f>
        <v/>
      </c>
      <c r="AP26" s="160">
        <f>L25+V26-AF26</f>
        <v/>
      </c>
      <c r="AQ26" s="160">
        <f>W26+MAX(0,MIN(AG26,'Debt Payoff'!$C$12-SUM($W26:$AF26)-SUMIFS($AG26:$AP26,$AG$4:$AP$4,"&lt;"&amp;AG$4)))</f>
        <v/>
      </c>
      <c r="AR26" s="160">
        <f>X26+MAX(0,MIN(AH26,'Debt Payoff'!$C$12-SUM($W26:$AF26)-SUMIFS($AG26:$AP26,$AG$4:$AP$4,"&lt;"&amp;AH$4)))</f>
        <v/>
      </c>
      <c r="AS26" s="160">
        <f>Y26+MAX(0,MIN(AI26,'Debt Payoff'!$C$12-SUM($W26:$AF26)-SUMIFS($AG26:$AP26,$AG$4:$AP$4,"&lt;"&amp;AI$4)))</f>
        <v/>
      </c>
      <c r="AT26" s="160">
        <f>Z26+MAX(0,MIN(AJ26,'Debt Payoff'!$C$12-SUM($W26:$AF26)-SUMIFS($AG26:$AP26,$AG$4:$AP$4,"&lt;"&amp;AJ$4)))</f>
        <v/>
      </c>
      <c r="AU26" s="160">
        <f>AA26+MAX(0,MIN(AK26,'Debt Payoff'!$C$12-SUM($W26:$AF26)-SUMIFS($AG26:$AP26,$AG$4:$AP$4,"&lt;"&amp;AK$4)))</f>
        <v/>
      </c>
      <c r="AV26" s="160">
        <f>AB26+MAX(0,MIN(AL26,'Debt Payoff'!$C$12-SUM($W26:$AF26)-SUMIFS($AG26:$AP26,$AG$4:$AP$4,"&lt;"&amp;AL$4)))</f>
        <v/>
      </c>
      <c r="AW26" s="160">
        <f>AC26+MAX(0,MIN(AM26,'Debt Payoff'!$C$12-SUM($W26:$AF26)-SUMIFS($AG26:$AP26,$AG$4:$AP$4,"&lt;"&amp;AM$4)))</f>
        <v/>
      </c>
      <c r="AX26" s="160">
        <f>AD26+MAX(0,MIN(AN26,'Debt Payoff'!$C$12-SUM($W26:$AF26)-SUMIFS($AG26:$AP26,$AG$4:$AP$4,"&lt;"&amp;AN$4)))</f>
        <v/>
      </c>
      <c r="AY26" s="160">
        <f>AE26+MAX(0,MIN(AO26,'Debt Payoff'!$C$12-SUM($W26:$AF26)-SUMIFS($AG26:$AP26,$AG$4:$AP$4,"&lt;"&amp;AO$4)))</f>
        <v/>
      </c>
      <c r="AZ26" s="160">
        <f>AF26+MAX(0,MIN(AP26,'Debt Payoff'!$C$12-SUM($W26:$AF26)-SUMIFS($AG26:$AP26,$AG$4:$AP$4,"&lt;"&amp;AP$4)))</f>
        <v/>
      </c>
      <c r="BA26" s="160">
        <f>SUM(C26:L26)</f>
        <v/>
      </c>
      <c r="BB26" s="160">
        <f>SUM(AQ26:AZ26)</f>
        <v/>
      </c>
      <c r="BC26" s="160">
        <f>SUM(M26:V26)</f>
        <v/>
      </c>
    </row>
    <row r="27">
      <c r="A27" s="157" t="n">
        <v>22</v>
      </c>
      <c r="B27" s="159">
        <f>EDATE('Debt Payoff'!$C$6,21)</f>
        <v/>
      </c>
      <c r="C27" s="160">
        <f>MAX(0,ROUND(C26+M27-AQ27,2))</f>
        <v/>
      </c>
      <c r="D27" s="160">
        <f>MAX(0,ROUND(D26+N27-AR27,2))</f>
        <v/>
      </c>
      <c r="E27" s="160">
        <f>MAX(0,ROUND(E26+O27-AS27,2))</f>
        <v/>
      </c>
      <c r="F27" s="160">
        <f>MAX(0,ROUND(F26+P27-AT27,2))</f>
        <v/>
      </c>
      <c r="G27" s="160">
        <f>MAX(0,ROUND(G26+Q27-AU27,2))</f>
        <v/>
      </c>
      <c r="H27" s="160">
        <f>MAX(0,ROUND(H26+R27-AV27,2))</f>
        <v/>
      </c>
      <c r="I27" s="160">
        <f>MAX(0,ROUND(I26+S27-AW27,2))</f>
        <v/>
      </c>
      <c r="J27" s="160">
        <f>MAX(0,ROUND(J26+T27-AX27,2))</f>
        <v/>
      </c>
      <c r="K27" s="160">
        <f>MAX(0,ROUND(K26+U27-AY27,2))</f>
        <v/>
      </c>
      <c r="L27" s="160">
        <f>MAX(0,ROUND(L26+V27-AZ27,2))</f>
        <v/>
      </c>
      <c r="M27" s="160">
        <f>C26*N('Debt Payoff'!$D$15)/12</f>
        <v/>
      </c>
      <c r="N27" s="160">
        <f>D26*N('Debt Payoff'!$D$16)/12</f>
        <v/>
      </c>
      <c r="O27" s="160">
        <f>E26*N('Debt Payoff'!$D$17)/12</f>
        <v/>
      </c>
      <c r="P27" s="160">
        <f>F26*N('Debt Payoff'!$D$18)/12</f>
        <v/>
      </c>
      <c r="Q27" s="160">
        <f>G26*N('Debt Payoff'!$D$19)/12</f>
        <v/>
      </c>
      <c r="R27" s="160">
        <f>H26*N('Debt Payoff'!$D$20)/12</f>
        <v/>
      </c>
      <c r="S27" s="160">
        <f>I26*N('Debt Payoff'!$D$21)/12</f>
        <v/>
      </c>
      <c r="T27" s="160">
        <f>J26*N('Debt Payoff'!$D$22)/12</f>
        <v/>
      </c>
      <c r="U27" s="160">
        <f>K26*N('Debt Payoff'!$D$23)/12</f>
        <v/>
      </c>
      <c r="V27" s="160">
        <f>L26*N('Debt Payoff'!$D$24)/12</f>
        <v/>
      </c>
      <c r="W27" s="160">
        <f>MIN(N('Debt Payoff'!$E$15),C26+M27)</f>
        <v/>
      </c>
      <c r="X27" s="160">
        <f>MIN(N('Debt Payoff'!$E$16),D26+N27)</f>
        <v/>
      </c>
      <c r="Y27" s="160">
        <f>MIN(N('Debt Payoff'!$E$17),E26+O27)</f>
        <v/>
      </c>
      <c r="Z27" s="160">
        <f>MIN(N('Debt Payoff'!$E$18),F26+P27)</f>
        <v/>
      </c>
      <c r="AA27" s="160">
        <f>MIN(N('Debt Payoff'!$E$19),G26+Q27)</f>
        <v/>
      </c>
      <c r="AB27" s="160">
        <f>MIN(N('Debt Payoff'!$E$20),H26+R27)</f>
        <v/>
      </c>
      <c r="AC27" s="160">
        <f>MIN(N('Debt Payoff'!$E$21),I26+S27)</f>
        <v/>
      </c>
      <c r="AD27" s="160">
        <f>MIN(N('Debt Payoff'!$E$22),J26+T27)</f>
        <v/>
      </c>
      <c r="AE27" s="160">
        <f>MIN(N('Debt Payoff'!$E$23),K26+U27)</f>
        <v/>
      </c>
      <c r="AF27" s="160">
        <f>MIN(N('Debt Payoff'!$E$24),L26+V27)</f>
        <v/>
      </c>
      <c r="AG27" s="160">
        <f>C26+M27-W27</f>
        <v/>
      </c>
      <c r="AH27" s="160">
        <f>D26+N27-X27</f>
        <v/>
      </c>
      <c r="AI27" s="160">
        <f>E26+O27-Y27</f>
        <v/>
      </c>
      <c r="AJ27" s="160">
        <f>F26+P27-Z27</f>
        <v/>
      </c>
      <c r="AK27" s="160">
        <f>G26+Q27-AA27</f>
        <v/>
      </c>
      <c r="AL27" s="160">
        <f>H26+R27-AB27</f>
        <v/>
      </c>
      <c r="AM27" s="160">
        <f>I26+S27-AC27</f>
        <v/>
      </c>
      <c r="AN27" s="160">
        <f>J26+T27-AD27</f>
        <v/>
      </c>
      <c r="AO27" s="160">
        <f>K26+U27-AE27</f>
        <v/>
      </c>
      <c r="AP27" s="160">
        <f>L26+V27-AF27</f>
        <v/>
      </c>
      <c r="AQ27" s="160">
        <f>W27+MAX(0,MIN(AG27,'Debt Payoff'!$C$12-SUM($W27:$AF27)-SUMIFS($AG27:$AP27,$AG$4:$AP$4,"&lt;"&amp;AG$4)))</f>
        <v/>
      </c>
      <c r="AR27" s="160">
        <f>X27+MAX(0,MIN(AH27,'Debt Payoff'!$C$12-SUM($W27:$AF27)-SUMIFS($AG27:$AP27,$AG$4:$AP$4,"&lt;"&amp;AH$4)))</f>
        <v/>
      </c>
      <c r="AS27" s="160">
        <f>Y27+MAX(0,MIN(AI27,'Debt Payoff'!$C$12-SUM($W27:$AF27)-SUMIFS($AG27:$AP27,$AG$4:$AP$4,"&lt;"&amp;AI$4)))</f>
        <v/>
      </c>
      <c r="AT27" s="160">
        <f>Z27+MAX(0,MIN(AJ27,'Debt Payoff'!$C$12-SUM($W27:$AF27)-SUMIFS($AG27:$AP27,$AG$4:$AP$4,"&lt;"&amp;AJ$4)))</f>
        <v/>
      </c>
      <c r="AU27" s="160">
        <f>AA27+MAX(0,MIN(AK27,'Debt Payoff'!$C$12-SUM($W27:$AF27)-SUMIFS($AG27:$AP27,$AG$4:$AP$4,"&lt;"&amp;AK$4)))</f>
        <v/>
      </c>
      <c r="AV27" s="160">
        <f>AB27+MAX(0,MIN(AL27,'Debt Payoff'!$C$12-SUM($W27:$AF27)-SUMIFS($AG27:$AP27,$AG$4:$AP$4,"&lt;"&amp;AL$4)))</f>
        <v/>
      </c>
      <c r="AW27" s="160">
        <f>AC27+MAX(0,MIN(AM27,'Debt Payoff'!$C$12-SUM($W27:$AF27)-SUMIFS($AG27:$AP27,$AG$4:$AP$4,"&lt;"&amp;AM$4)))</f>
        <v/>
      </c>
      <c r="AX27" s="160">
        <f>AD27+MAX(0,MIN(AN27,'Debt Payoff'!$C$12-SUM($W27:$AF27)-SUMIFS($AG27:$AP27,$AG$4:$AP$4,"&lt;"&amp;AN$4)))</f>
        <v/>
      </c>
      <c r="AY27" s="160">
        <f>AE27+MAX(0,MIN(AO27,'Debt Payoff'!$C$12-SUM($W27:$AF27)-SUMIFS($AG27:$AP27,$AG$4:$AP$4,"&lt;"&amp;AO$4)))</f>
        <v/>
      </c>
      <c r="AZ27" s="160">
        <f>AF27+MAX(0,MIN(AP27,'Debt Payoff'!$C$12-SUM($W27:$AF27)-SUMIFS($AG27:$AP27,$AG$4:$AP$4,"&lt;"&amp;AP$4)))</f>
        <v/>
      </c>
      <c r="BA27" s="160">
        <f>SUM(C27:L27)</f>
        <v/>
      </c>
      <c r="BB27" s="160">
        <f>SUM(AQ27:AZ27)</f>
        <v/>
      </c>
      <c r="BC27" s="160">
        <f>SUM(M27:V27)</f>
        <v/>
      </c>
    </row>
    <row r="28">
      <c r="A28" s="157" t="n">
        <v>23</v>
      </c>
      <c r="B28" s="159">
        <f>EDATE('Debt Payoff'!$C$6,22)</f>
        <v/>
      </c>
      <c r="C28" s="160">
        <f>MAX(0,ROUND(C27+M28-AQ28,2))</f>
        <v/>
      </c>
      <c r="D28" s="160">
        <f>MAX(0,ROUND(D27+N28-AR28,2))</f>
        <v/>
      </c>
      <c r="E28" s="160">
        <f>MAX(0,ROUND(E27+O28-AS28,2))</f>
        <v/>
      </c>
      <c r="F28" s="160">
        <f>MAX(0,ROUND(F27+P28-AT28,2))</f>
        <v/>
      </c>
      <c r="G28" s="160">
        <f>MAX(0,ROUND(G27+Q28-AU28,2))</f>
        <v/>
      </c>
      <c r="H28" s="160">
        <f>MAX(0,ROUND(H27+R28-AV28,2))</f>
        <v/>
      </c>
      <c r="I28" s="160">
        <f>MAX(0,ROUND(I27+S28-AW28,2))</f>
        <v/>
      </c>
      <c r="J28" s="160">
        <f>MAX(0,ROUND(J27+T28-AX28,2))</f>
        <v/>
      </c>
      <c r="K28" s="160">
        <f>MAX(0,ROUND(K27+U28-AY28,2))</f>
        <v/>
      </c>
      <c r="L28" s="160">
        <f>MAX(0,ROUND(L27+V28-AZ28,2))</f>
        <v/>
      </c>
      <c r="M28" s="160">
        <f>C27*N('Debt Payoff'!$D$15)/12</f>
        <v/>
      </c>
      <c r="N28" s="160">
        <f>D27*N('Debt Payoff'!$D$16)/12</f>
        <v/>
      </c>
      <c r="O28" s="160">
        <f>E27*N('Debt Payoff'!$D$17)/12</f>
        <v/>
      </c>
      <c r="P28" s="160">
        <f>F27*N('Debt Payoff'!$D$18)/12</f>
        <v/>
      </c>
      <c r="Q28" s="160">
        <f>G27*N('Debt Payoff'!$D$19)/12</f>
        <v/>
      </c>
      <c r="R28" s="160">
        <f>H27*N('Debt Payoff'!$D$20)/12</f>
        <v/>
      </c>
      <c r="S28" s="160">
        <f>I27*N('Debt Payoff'!$D$21)/12</f>
        <v/>
      </c>
      <c r="T28" s="160">
        <f>J27*N('Debt Payoff'!$D$22)/12</f>
        <v/>
      </c>
      <c r="U28" s="160">
        <f>K27*N('Debt Payoff'!$D$23)/12</f>
        <v/>
      </c>
      <c r="V28" s="160">
        <f>L27*N('Debt Payoff'!$D$24)/12</f>
        <v/>
      </c>
      <c r="W28" s="160">
        <f>MIN(N('Debt Payoff'!$E$15),C27+M28)</f>
        <v/>
      </c>
      <c r="X28" s="160">
        <f>MIN(N('Debt Payoff'!$E$16),D27+N28)</f>
        <v/>
      </c>
      <c r="Y28" s="160">
        <f>MIN(N('Debt Payoff'!$E$17),E27+O28)</f>
        <v/>
      </c>
      <c r="Z28" s="160">
        <f>MIN(N('Debt Payoff'!$E$18),F27+P28)</f>
        <v/>
      </c>
      <c r="AA28" s="160">
        <f>MIN(N('Debt Payoff'!$E$19),G27+Q28)</f>
        <v/>
      </c>
      <c r="AB28" s="160">
        <f>MIN(N('Debt Payoff'!$E$20),H27+R28)</f>
        <v/>
      </c>
      <c r="AC28" s="160">
        <f>MIN(N('Debt Payoff'!$E$21),I27+S28)</f>
        <v/>
      </c>
      <c r="AD28" s="160">
        <f>MIN(N('Debt Payoff'!$E$22),J27+T28)</f>
        <v/>
      </c>
      <c r="AE28" s="160">
        <f>MIN(N('Debt Payoff'!$E$23),K27+U28)</f>
        <v/>
      </c>
      <c r="AF28" s="160">
        <f>MIN(N('Debt Payoff'!$E$24),L27+V28)</f>
        <v/>
      </c>
      <c r="AG28" s="160">
        <f>C27+M28-W28</f>
        <v/>
      </c>
      <c r="AH28" s="160">
        <f>D27+N28-X28</f>
        <v/>
      </c>
      <c r="AI28" s="160">
        <f>E27+O28-Y28</f>
        <v/>
      </c>
      <c r="AJ28" s="160">
        <f>F27+P28-Z28</f>
        <v/>
      </c>
      <c r="AK28" s="160">
        <f>G27+Q28-AA28</f>
        <v/>
      </c>
      <c r="AL28" s="160">
        <f>H27+R28-AB28</f>
        <v/>
      </c>
      <c r="AM28" s="160">
        <f>I27+S28-AC28</f>
        <v/>
      </c>
      <c r="AN28" s="160">
        <f>J27+T28-AD28</f>
        <v/>
      </c>
      <c r="AO28" s="160">
        <f>K27+U28-AE28</f>
        <v/>
      </c>
      <c r="AP28" s="160">
        <f>L27+V28-AF28</f>
        <v/>
      </c>
      <c r="AQ28" s="160">
        <f>W28+MAX(0,MIN(AG28,'Debt Payoff'!$C$12-SUM($W28:$AF28)-SUMIFS($AG28:$AP28,$AG$4:$AP$4,"&lt;"&amp;AG$4)))</f>
        <v/>
      </c>
      <c r="AR28" s="160">
        <f>X28+MAX(0,MIN(AH28,'Debt Payoff'!$C$12-SUM($W28:$AF28)-SUMIFS($AG28:$AP28,$AG$4:$AP$4,"&lt;"&amp;AH$4)))</f>
        <v/>
      </c>
      <c r="AS28" s="160">
        <f>Y28+MAX(0,MIN(AI28,'Debt Payoff'!$C$12-SUM($W28:$AF28)-SUMIFS($AG28:$AP28,$AG$4:$AP$4,"&lt;"&amp;AI$4)))</f>
        <v/>
      </c>
      <c r="AT28" s="160">
        <f>Z28+MAX(0,MIN(AJ28,'Debt Payoff'!$C$12-SUM($W28:$AF28)-SUMIFS($AG28:$AP28,$AG$4:$AP$4,"&lt;"&amp;AJ$4)))</f>
        <v/>
      </c>
      <c r="AU28" s="160">
        <f>AA28+MAX(0,MIN(AK28,'Debt Payoff'!$C$12-SUM($W28:$AF28)-SUMIFS($AG28:$AP28,$AG$4:$AP$4,"&lt;"&amp;AK$4)))</f>
        <v/>
      </c>
      <c r="AV28" s="160">
        <f>AB28+MAX(0,MIN(AL28,'Debt Payoff'!$C$12-SUM($W28:$AF28)-SUMIFS($AG28:$AP28,$AG$4:$AP$4,"&lt;"&amp;AL$4)))</f>
        <v/>
      </c>
      <c r="AW28" s="160">
        <f>AC28+MAX(0,MIN(AM28,'Debt Payoff'!$C$12-SUM($W28:$AF28)-SUMIFS($AG28:$AP28,$AG$4:$AP$4,"&lt;"&amp;AM$4)))</f>
        <v/>
      </c>
      <c r="AX28" s="160">
        <f>AD28+MAX(0,MIN(AN28,'Debt Payoff'!$C$12-SUM($W28:$AF28)-SUMIFS($AG28:$AP28,$AG$4:$AP$4,"&lt;"&amp;AN$4)))</f>
        <v/>
      </c>
      <c r="AY28" s="160">
        <f>AE28+MAX(0,MIN(AO28,'Debt Payoff'!$C$12-SUM($W28:$AF28)-SUMIFS($AG28:$AP28,$AG$4:$AP$4,"&lt;"&amp;AO$4)))</f>
        <v/>
      </c>
      <c r="AZ28" s="160">
        <f>AF28+MAX(0,MIN(AP28,'Debt Payoff'!$C$12-SUM($W28:$AF28)-SUMIFS($AG28:$AP28,$AG$4:$AP$4,"&lt;"&amp;AP$4)))</f>
        <v/>
      </c>
      <c r="BA28" s="160">
        <f>SUM(C28:L28)</f>
        <v/>
      </c>
      <c r="BB28" s="160">
        <f>SUM(AQ28:AZ28)</f>
        <v/>
      </c>
      <c r="BC28" s="160">
        <f>SUM(M28:V28)</f>
        <v/>
      </c>
    </row>
    <row r="29">
      <c r="A29" s="157" t="n">
        <v>24</v>
      </c>
      <c r="B29" s="159">
        <f>EDATE('Debt Payoff'!$C$6,23)</f>
        <v/>
      </c>
      <c r="C29" s="160">
        <f>MAX(0,ROUND(C28+M29-AQ29,2))</f>
        <v/>
      </c>
      <c r="D29" s="160">
        <f>MAX(0,ROUND(D28+N29-AR29,2))</f>
        <v/>
      </c>
      <c r="E29" s="160">
        <f>MAX(0,ROUND(E28+O29-AS29,2))</f>
        <v/>
      </c>
      <c r="F29" s="160">
        <f>MAX(0,ROUND(F28+P29-AT29,2))</f>
        <v/>
      </c>
      <c r="G29" s="160">
        <f>MAX(0,ROUND(G28+Q29-AU29,2))</f>
        <v/>
      </c>
      <c r="H29" s="160">
        <f>MAX(0,ROUND(H28+R29-AV29,2))</f>
        <v/>
      </c>
      <c r="I29" s="160">
        <f>MAX(0,ROUND(I28+S29-AW29,2))</f>
        <v/>
      </c>
      <c r="J29" s="160">
        <f>MAX(0,ROUND(J28+T29-AX29,2))</f>
        <v/>
      </c>
      <c r="K29" s="160">
        <f>MAX(0,ROUND(K28+U29-AY29,2))</f>
        <v/>
      </c>
      <c r="L29" s="160">
        <f>MAX(0,ROUND(L28+V29-AZ29,2))</f>
        <v/>
      </c>
      <c r="M29" s="160">
        <f>C28*N('Debt Payoff'!$D$15)/12</f>
        <v/>
      </c>
      <c r="N29" s="160">
        <f>D28*N('Debt Payoff'!$D$16)/12</f>
        <v/>
      </c>
      <c r="O29" s="160">
        <f>E28*N('Debt Payoff'!$D$17)/12</f>
        <v/>
      </c>
      <c r="P29" s="160">
        <f>F28*N('Debt Payoff'!$D$18)/12</f>
        <v/>
      </c>
      <c r="Q29" s="160">
        <f>G28*N('Debt Payoff'!$D$19)/12</f>
        <v/>
      </c>
      <c r="R29" s="160">
        <f>H28*N('Debt Payoff'!$D$20)/12</f>
        <v/>
      </c>
      <c r="S29" s="160">
        <f>I28*N('Debt Payoff'!$D$21)/12</f>
        <v/>
      </c>
      <c r="T29" s="160">
        <f>J28*N('Debt Payoff'!$D$22)/12</f>
        <v/>
      </c>
      <c r="U29" s="160">
        <f>K28*N('Debt Payoff'!$D$23)/12</f>
        <v/>
      </c>
      <c r="V29" s="160">
        <f>L28*N('Debt Payoff'!$D$24)/12</f>
        <v/>
      </c>
      <c r="W29" s="160">
        <f>MIN(N('Debt Payoff'!$E$15),C28+M29)</f>
        <v/>
      </c>
      <c r="X29" s="160">
        <f>MIN(N('Debt Payoff'!$E$16),D28+N29)</f>
        <v/>
      </c>
      <c r="Y29" s="160">
        <f>MIN(N('Debt Payoff'!$E$17),E28+O29)</f>
        <v/>
      </c>
      <c r="Z29" s="160">
        <f>MIN(N('Debt Payoff'!$E$18),F28+P29)</f>
        <v/>
      </c>
      <c r="AA29" s="160">
        <f>MIN(N('Debt Payoff'!$E$19),G28+Q29)</f>
        <v/>
      </c>
      <c r="AB29" s="160">
        <f>MIN(N('Debt Payoff'!$E$20),H28+R29)</f>
        <v/>
      </c>
      <c r="AC29" s="160">
        <f>MIN(N('Debt Payoff'!$E$21),I28+S29)</f>
        <v/>
      </c>
      <c r="AD29" s="160">
        <f>MIN(N('Debt Payoff'!$E$22),J28+T29)</f>
        <v/>
      </c>
      <c r="AE29" s="160">
        <f>MIN(N('Debt Payoff'!$E$23),K28+U29)</f>
        <v/>
      </c>
      <c r="AF29" s="160">
        <f>MIN(N('Debt Payoff'!$E$24),L28+V29)</f>
        <v/>
      </c>
      <c r="AG29" s="160">
        <f>C28+M29-W29</f>
        <v/>
      </c>
      <c r="AH29" s="160">
        <f>D28+N29-X29</f>
        <v/>
      </c>
      <c r="AI29" s="160">
        <f>E28+O29-Y29</f>
        <v/>
      </c>
      <c r="AJ29" s="160">
        <f>F28+P29-Z29</f>
        <v/>
      </c>
      <c r="AK29" s="160">
        <f>G28+Q29-AA29</f>
        <v/>
      </c>
      <c r="AL29" s="160">
        <f>H28+R29-AB29</f>
        <v/>
      </c>
      <c r="AM29" s="160">
        <f>I28+S29-AC29</f>
        <v/>
      </c>
      <c r="AN29" s="160">
        <f>J28+T29-AD29</f>
        <v/>
      </c>
      <c r="AO29" s="160">
        <f>K28+U29-AE29</f>
        <v/>
      </c>
      <c r="AP29" s="160">
        <f>L28+V29-AF29</f>
        <v/>
      </c>
      <c r="AQ29" s="160">
        <f>W29+MAX(0,MIN(AG29,'Debt Payoff'!$C$12-SUM($W29:$AF29)-SUMIFS($AG29:$AP29,$AG$4:$AP$4,"&lt;"&amp;AG$4)))</f>
        <v/>
      </c>
      <c r="AR29" s="160">
        <f>X29+MAX(0,MIN(AH29,'Debt Payoff'!$C$12-SUM($W29:$AF29)-SUMIFS($AG29:$AP29,$AG$4:$AP$4,"&lt;"&amp;AH$4)))</f>
        <v/>
      </c>
      <c r="AS29" s="160">
        <f>Y29+MAX(0,MIN(AI29,'Debt Payoff'!$C$12-SUM($W29:$AF29)-SUMIFS($AG29:$AP29,$AG$4:$AP$4,"&lt;"&amp;AI$4)))</f>
        <v/>
      </c>
      <c r="AT29" s="160">
        <f>Z29+MAX(0,MIN(AJ29,'Debt Payoff'!$C$12-SUM($W29:$AF29)-SUMIFS($AG29:$AP29,$AG$4:$AP$4,"&lt;"&amp;AJ$4)))</f>
        <v/>
      </c>
      <c r="AU29" s="160">
        <f>AA29+MAX(0,MIN(AK29,'Debt Payoff'!$C$12-SUM($W29:$AF29)-SUMIFS($AG29:$AP29,$AG$4:$AP$4,"&lt;"&amp;AK$4)))</f>
        <v/>
      </c>
      <c r="AV29" s="160">
        <f>AB29+MAX(0,MIN(AL29,'Debt Payoff'!$C$12-SUM($W29:$AF29)-SUMIFS($AG29:$AP29,$AG$4:$AP$4,"&lt;"&amp;AL$4)))</f>
        <v/>
      </c>
      <c r="AW29" s="160">
        <f>AC29+MAX(0,MIN(AM29,'Debt Payoff'!$C$12-SUM($W29:$AF29)-SUMIFS($AG29:$AP29,$AG$4:$AP$4,"&lt;"&amp;AM$4)))</f>
        <v/>
      </c>
      <c r="AX29" s="160">
        <f>AD29+MAX(0,MIN(AN29,'Debt Payoff'!$C$12-SUM($W29:$AF29)-SUMIFS($AG29:$AP29,$AG$4:$AP$4,"&lt;"&amp;AN$4)))</f>
        <v/>
      </c>
      <c r="AY29" s="160">
        <f>AE29+MAX(0,MIN(AO29,'Debt Payoff'!$C$12-SUM($W29:$AF29)-SUMIFS($AG29:$AP29,$AG$4:$AP$4,"&lt;"&amp;AO$4)))</f>
        <v/>
      </c>
      <c r="AZ29" s="160">
        <f>AF29+MAX(0,MIN(AP29,'Debt Payoff'!$C$12-SUM($W29:$AF29)-SUMIFS($AG29:$AP29,$AG$4:$AP$4,"&lt;"&amp;AP$4)))</f>
        <v/>
      </c>
      <c r="BA29" s="160">
        <f>SUM(C29:L29)</f>
        <v/>
      </c>
      <c r="BB29" s="160">
        <f>SUM(AQ29:AZ29)</f>
        <v/>
      </c>
      <c r="BC29" s="160">
        <f>SUM(M29:V29)</f>
        <v/>
      </c>
    </row>
    <row r="30">
      <c r="A30" s="157" t="n">
        <v>25</v>
      </c>
      <c r="B30" s="159">
        <f>EDATE('Debt Payoff'!$C$6,24)</f>
        <v/>
      </c>
      <c r="C30" s="160">
        <f>MAX(0,ROUND(C29+M30-AQ30,2))</f>
        <v/>
      </c>
      <c r="D30" s="160">
        <f>MAX(0,ROUND(D29+N30-AR30,2))</f>
        <v/>
      </c>
      <c r="E30" s="160">
        <f>MAX(0,ROUND(E29+O30-AS30,2))</f>
        <v/>
      </c>
      <c r="F30" s="160">
        <f>MAX(0,ROUND(F29+P30-AT30,2))</f>
        <v/>
      </c>
      <c r="G30" s="160">
        <f>MAX(0,ROUND(G29+Q30-AU30,2))</f>
        <v/>
      </c>
      <c r="H30" s="160">
        <f>MAX(0,ROUND(H29+R30-AV30,2))</f>
        <v/>
      </c>
      <c r="I30" s="160">
        <f>MAX(0,ROUND(I29+S30-AW30,2))</f>
        <v/>
      </c>
      <c r="J30" s="160">
        <f>MAX(0,ROUND(J29+T30-AX30,2))</f>
        <v/>
      </c>
      <c r="K30" s="160">
        <f>MAX(0,ROUND(K29+U30-AY30,2))</f>
        <v/>
      </c>
      <c r="L30" s="160">
        <f>MAX(0,ROUND(L29+V30-AZ30,2))</f>
        <v/>
      </c>
      <c r="M30" s="160">
        <f>C29*N('Debt Payoff'!$D$15)/12</f>
        <v/>
      </c>
      <c r="N30" s="160">
        <f>D29*N('Debt Payoff'!$D$16)/12</f>
        <v/>
      </c>
      <c r="O30" s="160">
        <f>E29*N('Debt Payoff'!$D$17)/12</f>
        <v/>
      </c>
      <c r="P30" s="160">
        <f>F29*N('Debt Payoff'!$D$18)/12</f>
        <v/>
      </c>
      <c r="Q30" s="160">
        <f>G29*N('Debt Payoff'!$D$19)/12</f>
        <v/>
      </c>
      <c r="R30" s="160">
        <f>H29*N('Debt Payoff'!$D$20)/12</f>
        <v/>
      </c>
      <c r="S30" s="160">
        <f>I29*N('Debt Payoff'!$D$21)/12</f>
        <v/>
      </c>
      <c r="T30" s="160">
        <f>J29*N('Debt Payoff'!$D$22)/12</f>
        <v/>
      </c>
      <c r="U30" s="160">
        <f>K29*N('Debt Payoff'!$D$23)/12</f>
        <v/>
      </c>
      <c r="V30" s="160">
        <f>L29*N('Debt Payoff'!$D$24)/12</f>
        <v/>
      </c>
      <c r="W30" s="160">
        <f>MIN(N('Debt Payoff'!$E$15),C29+M30)</f>
        <v/>
      </c>
      <c r="X30" s="160">
        <f>MIN(N('Debt Payoff'!$E$16),D29+N30)</f>
        <v/>
      </c>
      <c r="Y30" s="160">
        <f>MIN(N('Debt Payoff'!$E$17),E29+O30)</f>
        <v/>
      </c>
      <c r="Z30" s="160">
        <f>MIN(N('Debt Payoff'!$E$18),F29+P30)</f>
        <v/>
      </c>
      <c r="AA30" s="160">
        <f>MIN(N('Debt Payoff'!$E$19),G29+Q30)</f>
        <v/>
      </c>
      <c r="AB30" s="160">
        <f>MIN(N('Debt Payoff'!$E$20),H29+R30)</f>
        <v/>
      </c>
      <c r="AC30" s="160">
        <f>MIN(N('Debt Payoff'!$E$21),I29+S30)</f>
        <v/>
      </c>
      <c r="AD30" s="160">
        <f>MIN(N('Debt Payoff'!$E$22),J29+T30)</f>
        <v/>
      </c>
      <c r="AE30" s="160">
        <f>MIN(N('Debt Payoff'!$E$23),K29+U30)</f>
        <v/>
      </c>
      <c r="AF30" s="160">
        <f>MIN(N('Debt Payoff'!$E$24),L29+V30)</f>
        <v/>
      </c>
      <c r="AG30" s="160">
        <f>C29+M30-W30</f>
        <v/>
      </c>
      <c r="AH30" s="160">
        <f>D29+N30-X30</f>
        <v/>
      </c>
      <c r="AI30" s="160">
        <f>E29+O30-Y30</f>
        <v/>
      </c>
      <c r="AJ30" s="160">
        <f>F29+P30-Z30</f>
        <v/>
      </c>
      <c r="AK30" s="160">
        <f>G29+Q30-AA30</f>
        <v/>
      </c>
      <c r="AL30" s="160">
        <f>H29+R30-AB30</f>
        <v/>
      </c>
      <c r="AM30" s="160">
        <f>I29+S30-AC30</f>
        <v/>
      </c>
      <c r="AN30" s="160">
        <f>J29+T30-AD30</f>
        <v/>
      </c>
      <c r="AO30" s="160">
        <f>K29+U30-AE30</f>
        <v/>
      </c>
      <c r="AP30" s="160">
        <f>L29+V30-AF30</f>
        <v/>
      </c>
      <c r="AQ30" s="160">
        <f>W30+MAX(0,MIN(AG30,'Debt Payoff'!$C$12-SUM($W30:$AF30)-SUMIFS($AG30:$AP30,$AG$4:$AP$4,"&lt;"&amp;AG$4)))</f>
        <v/>
      </c>
      <c r="AR30" s="160">
        <f>X30+MAX(0,MIN(AH30,'Debt Payoff'!$C$12-SUM($W30:$AF30)-SUMIFS($AG30:$AP30,$AG$4:$AP$4,"&lt;"&amp;AH$4)))</f>
        <v/>
      </c>
      <c r="AS30" s="160">
        <f>Y30+MAX(0,MIN(AI30,'Debt Payoff'!$C$12-SUM($W30:$AF30)-SUMIFS($AG30:$AP30,$AG$4:$AP$4,"&lt;"&amp;AI$4)))</f>
        <v/>
      </c>
      <c r="AT30" s="160">
        <f>Z30+MAX(0,MIN(AJ30,'Debt Payoff'!$C$12-SUM($W30:$AF30)-SUMIFS($AG30:$AP30,$AG$4:$AP$4,"&lt;"&amp;AJ$4)))</f>
        <v/>
      </c>
      <c r="AU30" s="160">
        <f>AA30+MAX(0,MIN(AK30,'Debt Payoff'!$C$12-SUM($W30:$AF30)-SUMIFS($AG30:$AP30,$AG$4:$AP$4,"&lt;"&amp;AK$4)))</f>
        <v/>
      </c>
      <c r="AV30" s="160">
        <f>AB30+MAX(0,MIN(AL30,'Debt Payoff'!$C$12-SUM($W30:$AF30)-SUMIFS($AG30:$AP30,$AG$4:$AP$4,"&lt;"&amp;AL$4)))</f>
        <v/>
      </c>
      <c r="AW30" s="160">
        <f>AC30+MAX(0,MIN(AM30,'Debt Payoff'!$C$12-SUM($W30:$AF30)-SUMIFS($AG30:$AP30,$AG$4:$AP$4,"&lt;"&amp;AM$4)))</f>
        <v/>
      </c>
      <c r="AX30" s="160">
        <f>AD30+MAX(0,MIN(AN30,'Debt Payoff'!$C$12-SUM($W30:$AF30)-SUMIFS($AG30:$AP30,$AG$4:$AP$4,"&lt;"&amp;AN$4)))</f>
        <v/>
      </c>
      <c r="AY30" s="160">
        <f>AE30+MAX(0,MIN(AO30,'Debt Payoff'!$C$12-SUM($W30:$AF30)-SUMIFS($AG30:$AP30,$AG$4:$AP$4,"&lt;"&amp;AO$4)))</f>
        <v/>
      </c>
      <c r="AZ30" s="160">
        <f>AF30+MAX(0,MIN(AP30,'Debt Payoff'!$C$12-SUM($W30:$AF30)-SUMIFS($AG30:$AP30,$AG$4:$AP$4,"&lt;"&amp;AP$4)))</f>
        <v/>
      </c>
      <c r="BA30" s="160">
        <f>SUM(C30:L30)</f>
        <v/>
      </c>
      <c r="BB30" s="160">
        <f>SUM(AQ30:AZ30)</f>
        <v/>
      </c>
      <c r="BC30" s="160">
        <f>SUM(M30:V30)</f>
        <v/>
      </c>
    </row>
    <row r="31">
      <c r="A31" s="157" t="n">
        <v>26</v>
      </c>
      <c r="B31" s="159">
        <f>EDATE('Debt Payoff'!$C$6,25)</f>
        <v/>
      </c>
      <c r="C31" s="160">
        <f>MAX(0,ROUND(C30+M31-AQ31,2))</f>
        <v/>
      </c>
      <c r="D31" s="160">
        <f>MAX(0,ROUND(D30+N31-AR31,2))</f>
        <v/>
      </c>
      <c r="E31" s="160">
        <f>MAX(0,ROUND(E30+O31-AS31,2))</f>
        <v/>
      </c>
      <c r="F31" s="160">
        <f>MAX(0,ROUND(F30+P31-AT31,2))</f>
        <v/>
      </c>
      <c r="G31" s="160">
        <f>MAX(0,ROUND(G30+Q31-AU31,2))</f>
        <v/>
      </c>
      <c r="H31" s="160">
        <f>MAX(0,ROUND(H30+R31-AV31,2))</f>
        <v/>
      </c>
      <c r="I31" s="160">
        <f>MAX(0,ROUND(I30+S31-AW31,2))</f>
        <v/>
      </c>
      <c r="J31" s="160">
        <f>MAX(0,ROUND(J30+T31-AX31,2))</f>
        <v/>
      </c>
      <c r="K31" s="160">
        <f>MAX(0,ROUND(K30+U31-AY31,2))</f>
        <v/>
      </c>
      <c r="L31" s="160">
        <f>MAX(0,ROUND(L30+V31-AZ31,2))</f>
        <v/>
      </c>
      <c r="M31" s="160">
        <f>C30*N('Debt Payoff'!$D$15)/12</f>
        <v/>
      </c>
      <c r="N31" s="160">
        <f>D30*N('Debt Payoff'!$D$16)/12</f>
        <v/>
      </c>
      <c r="O31" s="160">
        <f>E30*N('Debt Payoff'!$D$17)/12</f>
        <v/>
      </c>
      <c r="P31" s="160">
        <f>F30*N('Debt Payoff'!$D$18)/12</f>
        <v/>
      </c>
      <c r="Q31" s="160">
        <f>G30*N('Debt Payoff'!$D$19)/12</f>
        <v/>
      </c>
      <c r="R31" s="160">
        <f>H30*N('Debt Payoff'!$D$20)/12</f>
        <v/>
      </c>
      <c r="S31" s="160">
        <f>I30*N('Debt Payoff'!$D$21)/12</f>
        <v/>
      </c>
      <c r="T31" s="160">
        <f>J30*N('Debt Payoff'!$D$22)/12</f>
        <v/>
      </c>
      <c r="U31" s="160">
        <f>K30*N('Debt Payoff'!$D$23)/12</f>
        <v/>
      </c>
      <c r="V31" s="160">
        <f>L30*N('Debt Payoff'!$D$24)/12</f>
        <v/>
      </c>
      <c r="W31" s="160">
        <f>MIN(N('Debt Payoff'!$E$15),C30+M31)</f>
        <v/>
      </c>
      <c r="X31" s="160">
        <f>MIN(N('Debt Payoff'!$E$16),D30+N31)</f>
        <v/>
      </c>
      <c r="Y31" s="160">
        <f>MIN(N('Debt Payoff'!$E$17),E30+O31)</f>
        <v/>
      </c>
      <c r="Z31" s="160">
        <f>MIN(N('Debt Payoff'!$E$18),F30+P31)</f>
        <v/>
      </c>
      <c r="AA31" s="160">
        <f>MIN(N('Debt Payoff'!$E$19),G30+Q31)</f>
        <v/>
      </c>
      <c r="AB31" s="160">
        <f>MIN(N('Debt Payoff'!$E$20),H30+R31)</f>
        <v/>
      </c>
      <c r="AC31" s="160">
        <f>MIN(N('Debt Payoff'!$E$21),I30+S31)</f>
        <v/>
      </c>
      <c r="AD31" s="160">
        <f>MIN(N('Debt Payoff'!$E$22),J30+T31)</f>
        <v/>
      </c>
      <c r="AE31" s="160">
        <f>MIN(N('Debt Payoff'!$E$23),K30+U31)</f>
        <v/>
      </c>
      <c r="AF31" s="160">
        <f>MIN(N('Debt Payoff'!$E$24),L30+V31)</f>
        <v/>
      </c>
      <c r="AG31" s="160">
        <f>C30+M31-W31</f>
        <v/>
      </c>
      <c r="AH31" s="160">
        <f>D30+N31-X31</f>
        <v/>
      </c>
      <c r="AI31" s="160">
        <f>E30+O31-Y31</f>
        <v/>
      </c>
      <c r="AJ31" s="160">
        <f>F30+P31-Z31</f>
        <v/>
      </c>
      <c r="AK31" s="160">
        <f>G30+Q31-AA31</f>
        <v/>
      </c>
      <c r="AL31" s="160">
        <f>H30+R31-AB31</f>
        <v/>
      </c>
      <c r="AM31" s="160">
        <f>I30+S31-AC31</f>
        <v/>
      </c>
      <c r="AN31" s="160">
        <f>J30+T31-AD31</f>
        <v/>
      </c>
      <c r="AO31" s="160">
        <f>K30+U31-AE31</f>
        <v/>
      </c>
      <c r="AP31" s="160">
        <f>L30+V31-AF31</f>
        <v/>
      </c>
      <c r="AQ31" s="160">
        <f>W31+MAX(0,MIN(AG31,'Debt Payoff'!$C$12-SUM($W31:$AF31)-SUMIFS($AG31:$AP31,$AG$4:$AP$4,"&lt;"&amp;AG$4)))</f>
        <v/>
      </c>
      <c r="AR31" s="160">
        <f>X31+MAX(0,MIN(AH31,'Debt Payoff'!$C$12-SUM($W31:$AF31)-SUMIFS($AG31:$AP31,$AG$4:$AP$4,"&lt;"&amp;AH$4)))</f>
        <v/>
      </c>
      <c r="AS31" s="160">
        <f>Y31+MAX(0,MIN(AI31,'Debt Payoff'!$C$12-SUM($W31:$AF31)-SUMIFS($AG31:$AP31,$AG$4:$AP$4,"&lt;"&amp;AI$4)))</f>
        <v/>
      </c>
      <c r="AT31" s="160">
        <f>Z31+MAX(0,MIN(AJ31,'Debt Payoff'!$C$12-SUM($W31:$AF31)-SUMIFS($AG31:$AP31,$AG$4:$AP$4,"&lt;"&amp;AJ$4)))</f>
        <v/>
      </c>
      <c r="AU31" s="160">
        <f>AA31+MAX(0,MIN(AK31,'Debt Payoff'!$C$12-SUM($W31:$AF31)-SUMIFS($AG31:$AP31,$AG$4:$AP$4,"&lt;"&amp;AK$4)))</f>
        <v/>
      </c>
      <c r="AV31" s="160">
        <f>AB31+MAX(0,MIN(AL31,'Debt Payoff'!$C$12-SUM($W31:$AF31)-SUMIFS($AG31:$AP31,$AG$4:$AP$4,"&lt;"&amp;AL$4)))</f>
        <v/>
      </c>
      <c r="AW31" s="160">
        <f>AC31+MAX(0,MIN(AM31,'Debt Payoff'!$C$12-SUM($W31:$AF31)-SUMIFS($AG31:$AP31,$AG$4:$AP$4,"&lt;"&amp;AM$4)))</f>
        <v/>
      </c>
      <c r="AX31" s="160">
        <f>AD31+MAX(0,MIN(AN31,'Debt Payoff'!$C$12-SUM($W31:$AF31)-SUMIFS($AG31:$AP31,$AG$4:$AP$4,"&lt;"&amp;AN$4)))</f>
        <v/>
      </c>
      <c r="AY31" s="160">
        <f>AE31+MAX(0,MIN(AO31,'Debt Payoff'!$C$12-SUM($W31:$AF31)-SUMIFS($AG31:$AP31,$AG$4:$AP$4,"&lt;"&amp;AO$4)))</f>
        <v/>
      </c>
      <c r="AZ31" s="160">
        <f>AF31+MAX(0,MIN(AP31,'Debt Payoff'!$C$12-SUM($W31:$AF31)-SUMIFS($AG31:$AP31,$AG$4:$AP$4,"&lt;"&amp;AP$4)))</f>
        <v/>
      </c>
      <c r="BA31" s="160">
        <f>SUM(C31:L31)</f>
        <v/>
      </c>
      <c r="BB31" s="160">
        <f>SUM(AQ31:AZ31)</f>
        <v/>
      </c>
      <c r="BC31" s="160">
        <f>SUM(M31:V31)</f>
        <v/>
      </c>
    </row>
    <row r="32">
      <c r="A32" s="157" t="n">
        <v>27</v>
      </c>
      <c r="B32" s="159">
        <f>EDATE('Debt Payoff'!$C$6,26)</f>
        <v/>
      </c>
      <c r="C32" s="160">
        <f>MAX(0,ROUND(C31+M32-AQ32,2))</f>
        <v/>
      </c>
      <c r="D32" s="160">
        <f>MAX(0,ROUND(D31+N32-AR32,2))</f>
        <v/>
      </c>
      <c r="E32" s="160">
        <f>MAX(0,ROUND(E31+O32-AS32,2))</f>
        <v/>
      </c>
      <c r="F32" s="160">
        <f>MAX(0,ROUND(F31+P32-AT32,2))</f>
        <v/>
      </c>
      <c r="G32" s="160">
        <f>MAX(0,ROUND(G31+Q32-AU32,2))</f>
        <v/>
      </c>
      <c r="H32" s="160">
        <f>MAX(0,ROUND(H31+R32-AV32,2))</f>
        <v/>
      </c>
      <c r="I32" s="160">
        <f>MAX(0,ROUND(I31+S32-AW32,2))</f>
        <v/>
      </c>
      <c r="J32" s="160">
        <f>MAX(0,ROUND(J31+T32-AX32,2))</f>
        <v/>
      </c>
      <c r="K32" s="160">
        <f>MAX(0,ROUND(K31+U32-AY32,2))</f>
        <v/>
      </c>
      <c r="L32" s="160">
        <f>MAX(0,ROUND(L31+V32-AZ32,2))</f>
        <v/>
      </c>
      <c r="M32" s="160">
        <f>C31*N('Debt Payoff'!$D$15)/12</f>
        <v/>
      </c>
      <c r="N32" s="160">
        <f>D31*N('Debt Payoff'!$D$16)/12</f>
        <v/>
      </c>
      <c r="O32" s="160">
        <f>E31*N('Debt Payoff'!$D$17)/12</f>
        <v/>
      </c>
      <c r="P32" s="160">
        <f>F31*N('Debt Payoff'!$D$18)/12</f>
        <v/>
      </c>
      <c r="Q32" s="160">
        <f>G31*N('Debt Payoff'!$D$19)/12</f>
        <v/>
      </c>
      <c r="R32" s="160">
        <f>H31*N('Debt Payoff'!$D$20)/12</f>
        <v/>
      </c>
      <c r="S32" s="160">
        <f>I31*N('Debt Payoff'!$D$21)/12</f>
        <v/>
      </c>
      <c r="T32" s="160">
        <f>J31*N('Debt Payoff'!$D$22)/12</f>
        <v/>
      </c>
      <c r="U32" s="160">
        <f>K31*N('Debt Payoff'!$D$23)/12</f>
        <v/>
      </c>
      <c r="V32" s="160">
        <f>L31*N('Debt Payoff'!$D$24)/12</f>
        <v/>
      </c>
      <c r="W32" s="160">
        <f>MIN(N('Debt Payoff'!$E$15),C31+M32)</f>
        <v/>
      </c>
      <c r="X32" s="160">
        <f>MIN(N('Debt Payoff'!$E$16),D31+N32)</f>
        <v/>
      </c>
      <c r="Y32" s="160">
        <f>MIN(N('Debt Payoff'!$E$17),E31+O32)</f>
        <v/>
      </c>
      <c r="Z32" s="160">
        <f>MIN(N('Debt Payoff'!$E$18),F31+P32)</f>
        <v/>
      </c>
      <c r="AA32" s="160">
        <f>MIN(N('Debt Payoff'!$E$19),G31+Q32)</f>
        <v/>
      </c>
      <c r="AB32" s="160">
        <f>MIN(N('Debt Payoff'!$E$20),H31+R32)</f>
        <v/>
      </c>
      <c r="AC32" s="160">
        <f>MIN(N('Debt Payoff'!$E$21),I31+S32)</f>
        <v/>
      </c>
      <c r="AD32" s="160">
        <f>MIN(N('Debt Payoff'!$E$22),J31+T32)</f>
        <v/>
      </c>
      <c r="AE32" s="160">
        <f>MIN(N('Debt Payoff'!$E$23),K31+U32)</f>
        <v/>
      </c>
      <c r="AF32" s="160">
        <f>MIN(N('Debt Payoff'!$E$24),L31+V32)</f>
        <v/>
      </c>
      <c r="AG32" s="160">
        <f>C31+M32-W32</f>
        <v/>
      </c>
      <c r="AH32" s="160">
        <f>D31+N32-X32</f>
        <v/>
      </c>
      <c r="AI32" s="160">
        <f>E31+O32-Y32</f>
        <v/>
      </c>
      <c r="AJ32" s="160">
        <f>F31+P32-Z32</f>
        <v/>
      </c>
      <c r="AK32" s="160">
        <f>G31+Q32-AA32</f>
        <v/>
      </c>
      <c r="AL32" s="160">
        <f>H31+R32-AB32</f>
        <v/>
      </c>
      <c r="AM32" s="160">
        <f>I31+S32-AC32</f>
        <v/>
      </c>
      <c r="AN32" s="160">
        <f>J31+T32-AD32</f>
        <v/>
      </c>
      <c r="AO32" s="160">
        <f>K31+U32-AE32</f>
        <v/>
      </c>
      <c r="AP32" s="160">
        <f>L31+V32-AF32</f>
        <v/>
      </c>
      <c r="AQ32" s="160">
        <f>W32+MAX(0,MIN(AG32,'Debt Payoff'!$C$12-SUM($W32:$AF32)-SUMIFS($AG32:$AP32,$AG$4:$AP$4,"&lt;"&amp;AG$4)))</f>
        <v/>
      </c>
      <c r="AR32" s="160">
        <f>X32+MAX(0,MIN(AH32,'Debt Payoff'!$C$12-SUM($W32:$AF32)-SUMIFS($AG32:$AP32,$AG$4:$AP$4,"&lt;"&amp;AH$4)))</f>
        <v/>
      </c>
      <c r="AS32" s="160">
        <f>Y32+MAX(0,MIN(AI32,'Debt Payoff'!$C$12-SUM($W32:$AF32)-SUMIFS($AG32:$AP32,$AG$4:$AP$4,"&lt;"&amp;AI$4)))</f>
        <v/>
      </c>
      <c r="AT32" s="160">
        <f>Z32+MAX(0,MIN(AJ32,'Debt Payoff'!$C$12-SUM($W32:$AF32)-SUMIFS($AG32:$AP32,$AG$4:$AP$4,"&lt;"&amp;AJ$4)))</f>
        <v/>
      </c>
      <c r="AU32" s="160">
        <f>AA32+MAX(0,MIN(AK32,'Debt Payoff'!$C$12-SUM($W32:$AF32)-SUMIFS($AG32:$AP32,$AG$4:$AP$4,"&lt;"&amp;AK$4)))</f>
        <v/>
      </c>
      <c r="AV32" s="160">
        <f>AB32+MAX(0,MIN(AL32,'Debt Payoff'!$C$12-SUM($W32:$AF32)-SUMIFS($AG32:$AP32,$AG$4:$AP$4,"&lt;"&amp;AL$4)))</f>
        <v/>
      </c>
      <c r="AW32" s="160">
        <f>AC32+MAX(0,MIN(AM32,'Debt Payoff'!$C$12-SUM($W32:$AF32)-SUMIFS($AG32:$AP32,$AG$4:$AP$4,"&lt;"&amp;AM$4)))</f>
        <v/>
      </c>
      <c r="AX32" s="160">
        <f>AD32+MAX(0,MIN(AN32,'Debt Payoff'!$C$12-SUM($W32:$AF32)-SUMIFS($AG32:$AP32,$AG$4:$AP$4,"&lt;"&amp;AN$4)))</f>
        <v/>
      </c>
      <c r="AY32" s="160">
        <f>AE32+MAX(0,MIN(AO32,'Debt Payoff'!$C$12-SUM($W32:$AF32)-SUMIFS($AG32:$AP32,$AG$4:$AP$4,"&lt;"&amp;AO$4)))</f>
        <v/>
      </c>
      <c r="AZ32" s="160">
        <f>AF32+MAX(0,MIN(AP32,'Debt Payoff'!$C$12-SUM($W32:$AF32)-SUMIFS($AG32:$AP32,$AG$4:$AP$4,"&lt;"&amp;AP$4)))</f>
        <v/>
      </c>
      <c r="BA32" s="160">
        <f>SUM(C32:L32)</f>
        <v/>
      </c>
      <c r="BB32" s="160">
        <f>SUM(AQ32:AZ32)</f>
        <v/>
      </c>
      <c r="BC32" s="160">
        <f>SUM(M32:V32)</f>
        <v/>
      </c>
    </row>
    <row r="33">
      <c r="A33" s="157" t="n">
        <v>28</v>
      </c>
      <c r="B33" s="159">
        <f>EDATE('Debt Payoff'!$C$6,27)</f>
        <v/>
      </c>
      <c r="C33" s="160">
        <f>MAX(0,ROUND(C32+M33-AQ33,2))</f>
        <v/>
      </c>
      <c r="D33" s="160">
        <f>MAX(0,ROUND(D32+N33-AR33,2))</f>
        <v/>
      </c>
      <c r="E33" s="160">
        <f>MAX(0,ROUND(E32+O33-AS33,2))</f>
        <v/>
      </c>
      <c r="F33" s="160">
        <f>MAX(0,ROUND(F32+P33-AT33,2))</f>
        <v/>
      </c>
      <c r="G33" s="160">
        <f>MAX(0,ROUND(G32+Q33-AU33,2))</f>
        <v/>
      </c>
      <c r="H33" s="160">
        <f>MAX(0,ROUND(H32+R33-AV33,2))</f>
        <v/>
      </c>
      <c r="I33" s="160">
        <f>MAX(0,ROUND(I32+S33-AW33,2))</f>
        <v/>
      </c>
      <c r="J33" s="160">
        <f>MAX(0,ROUND(J32+T33-AX33,2))</f>
        <v/>
      </c>
      <c r="K33" s="160">
        <f>MAX(0,ROUND(K32+U33-AY33,2))</f>
        <v/>
      </c>
      <c r="L33" s="160">
        <f>MAX(0,ROUND(L32+V33-AZ33,2))</f>
        <v/>
      </c>
      <c r="M33" s="160">
        <f>C32*N('Debt Payoff'!$D$15)/12</f>
        <v/>
      </c>
      <c r="N33" s="160">
        <f>D32*N('Debt Payoff'!$D$16)/12</f>
        <v/>
      </c>
      <c r="O33" s="160">
        <f>E32*N('Debt Payoff'!$D$17)/12</f>
        <v/>
      </c>
      <c r="P33" s="160">
        <f>F32*N('Debt Payoff'!$D$18)/12</f>
        <v/>
      </c>
      <c r="Q33" s="160">
        <f>G32*N('Debt Payoff'!$D$19)/12</f>
        <v/>
      </c>
      <c r="R33" s="160">
        <f>H32*N('Debt Payoff'!$D$20)/12</f>
        <v/>
      </c>
      <c r="S33" s="160">
        <f>I32*N('Debt Payoff'!$D$21)/12</f>
        <v/>
      </c>
      <c r="T33" s="160">
        <f>J32*N('Debt Payoff'!$D$22)/12</f>
        <v/>
      </c>
      <c r="U33" s="160">
        <f>K32*N('Debt Payoff'!$D$23)/12</f>
        <v/>
      </c>
      <c r="V33" s="160">
        <f>L32*N('Debt Payoff'!$D$24)/12</f>
        <v/>
      </c>
      <c r="W33" s="160">
        <f>MIN(N('Debt Payoff'!$E$15),C32+M33)</f>
        <v/>
      </c>
      <c r="X33" s="160">
        <f>MIN(N('Debt Payoff'!$E$16),D32+N33)</f>
        <v/>
      </c>
      <c r="Y33" s="160">
        <f>MIN(N('Debt Payoff'!$E$17),E32+O33)</f>
        <v/>
      </c>
      <c r="Z33" s="160">
        <f>MIN(N('Debt Payoff'!$E$18),F32+P33)</f>
        <v/>
      </c>
      <c r="AA33" s="160">
        <f>MIN(N('Debt Payoff'!$E$19),G32+Q33)</f>
        <v/>
      </c>
      <c r="AB33" s="160">
        <f>MIN(N('Debt Payoff'!$E$20),H32+R33)</f>
        <v/>
      </c>
      <c r="AC33" s="160">
        <f>MIN(N('Debt Payoff'!$E$21),I32+S33)</f>
        <v/>
      </c>
      <c r="AD33" s="160">
        <f>MIN(N('Debt Payoff'!$E$22),J32+T33)</f>
        <v/>
      </c>
      <c r="AE33" s="160">
        <f>MIN(N('Debt Payoff'!$E$23),K32+U33)</f>
        <v/>
      </c>
      <c r="AF33" s="160">
        <f>MIN(N('Debt Payoff'!$E$24),L32+V33)</f>
        <v/>
      </c>
      <c r="AG33" s="160">
        <f>C32+M33-W33</f>
        <v/>
      </c>
      <c r="AH33" s="160">
        <f>D32+N33-X33</f>
        <v/>
      </c>
      <c r="AI33" s="160">
        <f>E32+O33-Y33</f>
        <v/>
      </c>
      <c r="AJ33" s="160">
        <f>F32+P33-Z33</f>
        <v/>
      </c>
      <c r="AK33" s="160">
        <f>G32+Q33-AA33</f>
        <v/>
      </c>
      <c r="AL33" s="160">
        <f>H32+R33-AB33</f>
        <v/>
      </c>
      <c r="AM33" s="160">
        <f>I32+S33-AC33</f>
        <v/>
      </c>
      <c r="AN33" s="160">
        <f>J32+T33-AD33</f>
        <v/>
      </c>
      <c r="AO33" s="160">
        <f>K32+U33-AE33</f>
        <v/>
      </c>
      <c r="AP33" s="160">
        <f>L32+V33-AF33</f>
        <v/>
      </c>
      <c r="AQ33" s="160">
        <f>W33+MAX(0,MIN(AG33,'Debt Payoff'!$C$12-SUM($W33:$AF33)-SUMIFS($AG33:$AP33,$AG$4:$AP$4,"&lt;"&amp;AG$4)))</f>
        <v/>
      </c>
      <c r="AR33" s="160">
        <f>X33+MAX(0,MIN(AH33,'Debt Payoff'!$C$12-SUM($W33:$AF33)-SUMIFS($AG33:$AP33,$AG$4:$AP$4,"&lt;"&amp;AH$4)))</f>
        <v/>
      </c>
      <c r="AS33" s="160">
        <f>Y33+MAX(0,MIN(AI33,'Debt Payoff'!$C$12-SUM($W33:$AF33)-SUMIFS($AG33:$AP33,$AG$4:$AP$4,"&lt;"&amp;AI$4)))</f>
        <v/>
      </c>
      <c r="AT33" s="160">
        <f>Z33+MAX(0,MIN(AJ33,'Debt Payoff'!$C$12-SUM($W33:$AF33)-SUMIFS($AG33:$AP33,$AG$4:$AP$4,"&lt;"&amp;AJ$4)))</f>
        <v/>
      </c>
      <c r="AU33" s="160">
        <f>AA33+MAX(0,MIN(AK33,'Debt Payoff'!$C$12-SUM($W33:$AF33)-SUMIFS($AG33:$AP33,$AG$4:$AP$4,"&lt;"&amp;AK$4)))</f>
        <v/>
      </c>
      <c r="AV33" s="160">
        <f>AB33+MAX(0,MIN(AL33,'Debt Payoff'!$C$12-SUM($W33:$AF33)-SUMIFS($AG33:$AP33,$AG$4:$AP$4,"&lt;"&amp;AL$4)))</f>
        <v/>
      </c>
      <c r="AW33" s="160">
        <f>AC33+MAX(0,MIN(AM33,'Debt Payoff'!$C$12-SUM($W33:$AF33)-SUMIFS($AG33:$AP33,$AG$4:$AP$4,"&lt;"&amp;AM$4)))</f>
        <v/>
      </c>
      <c r="AX33" s="160">
        <f>AD33+MAX(0,MIN(AN33,'Debt Payoff'!$C$12-SUM($W33:$AF33)-SUMIFS($AG33:$AP33,$AG$4:$AP$4,"&lt;"&amp;AN$4)))</f>
        <v/>
      </c>
      <c r="AY33" s="160">
        <f>AE33+MAX(0,MIN(AO33,'Debt Payoff'!$C$12-SUM($W33:$AF33)-SUMIFS($AG33:$AP33,$AG$4:$AP$4,"&lt;"&amp;AO$4)))</f>
        <v/>
      </c>
      <c r="AZ33" s="160">
        <f>AF33+MAX(0,MIN(AP33,'Debt Payoff'!$C$12-SUM($W33:$AF33)-SUMIFS($AG33:$AP33,$AG$4:$AP$4,"&lt;"&amp;AP$4)))</f>
        <v/>
      </c>
      <c r="BA33" s="160">
        <f>SUM(C33:L33)</f>
        <v/>
      </c>
      <c r="BB33" s="160">
        <f>SUM(AQ33:AZ33)</f>
        <v/>
      </c>
      <c r="BC33" s="160">
        <f>SUM(M33:V33)</f>
        <v/>
      </c>
    </row>
    <row r="34">
      <c r="A34" s="157" t="n">
        <v>29</v>
      </c>
      <c r="B34" s="159">
        <f>EDATE('Debt Payoff'!$C$6,28)</f>
        <v/>
      </c>
      <c r="C34" s="160">
        <f>MAX(0,ROUND(C33+M34-AQ34,2))</f>
        <v/>
      </c>
      <c r="D34" s="160">
        <f>MAX(0,ROUND(D33+N34-AR34,2))</f>
        <v/>
      </c>
      <c r="E34" s="160">
        <f>MAX(0,ROUND(E33+O34-AS34,2))</f>
        <v/>
      </c>
      <c r="F34" s="160">
        <f>MAX(0,ROUND(F33+P34-AT34,2))</f>
        <v/>
      </c>
      <c r="G34" s="160">
        <f>MAX(0,ROUND(G33+Q34-AU34,2))</f>
        <v/>
      </c>
      <c r="H34" s="160">
        <f>MAX(0,ROUND(H33+R34-AV34,2))</f>
        <v/>
      </c>
      <c r="I34" s="160">
        <f>MAX(0,ROUND(I33+S34-AW34,2))</f>
        <v/>
      </c>
      <c r="J34" s="160">
        <f>MAX(0,ROUND(J33+T34-AX34,2))</f>
        <v/>
      </c>
      <c r="K34" s="160">
        <f>MAX(0,ROUND(K33+U34-AY34,2))</f>
        <v/>
      </c>
      <c r="L34" s="160">
        <f>MAX(0,ROUND(L33+V34-AZ34,2))</f>
        <v/>
      </c>
      <c r="M34" s="160">
        <f>C33*N('Debt Payoff'!$D$15)/12</f>
        <v/>
      </c>
      <c r="N34" s="160">
        <f>D33*N('Debt Payoff'!$D$16)/12</f>
        <v/>
      </c>
      <c r="O34" s="160">
        <f>E33*N('Debt Payoff'!$D$17)/12</f>
        <v/>
      </c>
      <c r="P34" s="160">
        <f>F33*N('Debt Payoff'!$D$18)/12</f>
        <v/>
      </c>
      <c r="Q34" s="160">
        <f>G33*N('Debt Payoff'!$D$19)/12</f>
        <v/>
      </c>
      <c r="R34" s="160">
        <f>H33*N('Debt Payoff'!$D$20)/12</f>
        <v/>
      </c>
      <c r="S34" s="160">
        <f>I33*N('Debt Payoff'!$D$21)/12</f>
        <v/>
      </c>
      <c r="T34" s="160">
        <f>J33*N('Debt Payoff'!$D$22)/12</f>
        <v/>
      </c>
      <c r="U34" s="160">
        <f>K33*N('Debt Payoff'!$D$23)/12</f>
        <v/>
      </c>
      <c r="V34" s="160">
        <f>L33*N('Debt Payoff'!$D$24)/12</f>
        <v/>
      </c>
      <c r="W34" s="160">
        <f>MIN(N('Debt Payoff'!$E$15),C33+M34)</f>
        <v/>
      </c>
      <c r="X34" s="160">
        <f>MIN(N('Debt Payoff'!$E$16),D33+N34)</f>
        <v/>
      </c>
      <c r="Y34" s="160">
        <f>MIN(N('Debt Payoff'!$E$17),E33+O34)</f>
        <v/>
      </c>
      <c r="Z34" s="160">
        <f>MIN(N('Debt Payoff'!$E$18),F33+P34)</f>
        <v/>
      </c>
      <c r="AA34" s="160">
        <f>MIN(N('Debt Payoff'!$E$19),G33+Q34)</f>
        <v/>
      </c>
      <c r="AB34" s="160">
        <f>MIN(N('Debt Payoff'!$E$20),H33+R34)</f>
        <v/>
      </c>
      <c r="AC34" s="160">
        <f>MIN(N('Debt Payoff'!$E$21),I33+S34)</f>
        <v/>
      </c>
      <c r="AD34" s="160">
        <f>MIN(N('Debt Payoff'!$E$22),J33+T34)</f>
        <v/>
      </c>
      <c r="AE34" s="160">
        <f>MIN(N('Debt Payoff'!$E$23),K33+U34)</f>
        <v/>
      </c>
      <c r="AF34" s="160">
        <f>MIN(N('Debt Payoff'!$E$24),L33+V34)</f>
        <v/>
      </c>
      <c r="AG34" s="160">
        <f>C33+M34-W34</f>
        <v/>
      </c>
      <c r="AH34" s="160">
        <f>D33+N34-X34</f>
        <v/>
      </c>
      <c r="AI34" s="160">
        <f>E33+O34-Y34</f>
        <v/>
      </c>
      <c r="AJ34" s="160">
        <f>F33+P34-Z34</f>
        <v/>
      </c>
      <c r="AK34" s="160">
        <f>G33+Q34-AA34</f>
        <v/>
      </c>
      <c r="AL34" s="160">
        <f>H33+R34-AB34</f>
        <v/>
      </c>
      <c r="AM34" s="160">
        <f>I33+S34-AC34</f>
        <v/>
      </c>
      <c r="AN34" s="160">
        <f>J33+T34-AD34</f>
        <v/>
      </c>
      <c r="AO34" s="160">
        <f>K33+U34-AE34</f>
        <v/>
      </c>
      <c r="AP34" s="160">
        <f>L33+V34-AF34</f>
        <v/>
      </c>
      <c r="AQ34" s="160">
        <f>W34+MAX(0,MIN(AG34,'Debt Payoff'!$C$12-SUM($W34:$AF34)-SUMIFS($AG34:$AP34,$AG$4:$AP$4,"&lt;"&amp;AG$4)))</f>
        <v/>
      </c>
      <c r="AR34" s="160">
        <f>X34+MAX(0,MIN(AH34,'Debt Payoff'!$C$12-SUM($W34:$AF34)-SUMIFS($AG34:$AP34,$AG$4:$AP$4,"&lt;"&amp;AH$4)))</f>
        <v/>
      </c>
      <c r="AS34" s="160">
        <f>Y34+MAX(0,MIN(AI34,'Debt Payoff'!$C$12-SUM($W34:$AF34)-SUMIFS($AG34:$AP34,$AG$4:$AP$4,"&lt;"&amp;AI$4)))</f>
        <v/>
      </c>
      <c r="AT34" s="160">
        <f>Z34+MAX(0,MIN(AJ34,'Debt Payoff'!$C$12-SUM($W34:$AF34)-SUMIFS($AG34:$AP34,$AG$4:$AP$4,"&lt;"&amp;AJ$4)))</f>
        <v/>
      </c>
      <c r="AU34" s="160">
        <f>AA34+MAX(0,MIN(AK34,'Debt Payoff'!$C$12-SUM($W34:$AF34)-SUMIFS($AG34:$AP34,$AG$4:$AP$4,"&lt;"&amp;AK$4)))</f>
        <v/>
      </c>
      <c r="AV34" s="160">
        <f>AB34+MAX(0,MIN(AL34,'Debt Payoff'!$C$12-SUM($W34:$AF34)-SUMIFS($AG34:$AP34,$AG$4:$AP$4,"&lt;"&amp;AL$4)))</f>
        <v/>
      </c>
      <c r="AW34" s="160">
        <f>AC34+MAX(0,MIN(AM34,'Debt Payoff'!$C$12-SUM($W34:$AF34)-SUMIFS($AG34:$AP34,$AG$4:$AP$4,"&lt;"&amp;AM$4)))</f>
        <v/>
      </c>
      <c r="AX34" s="160">
        <f>AD34+MAX(0,MIN(AN34,'Debt Payoff'!$C$12-SUM($W34:$AF34)-SUMIFS($AG34:$AP34,$AG$4:$AP$4,"&lt;"&amp;AN$4)))</f>
        <v/>
      </c>
      <c r="AY34" s="160">
        <f>AE34+MAX(0,MIN(AO34,'Debt Payoff'!$C$12-SUM($W34:$AF34)-SUMIFS($AG34:$AP34,$AG$4:$AP$4,"&lt;"&amp;AO$4)))</f>
        <v/>
      </c>
      <c r="AZ34" s="160">
        <f>AF34+MAX(0,MIN(AP34,'Debt Payoff'!$C$12-SUM($W34:$AF34)-SUMIFS($AG34:$AP34,$AG$4:$AP$4,"&lt;"&amp;AP$4)))</f>
        <v/>
      </c>
      <c r="BA34" s="160">
        <f>SUM(C34:L34)</f>
        <v/>
      </c>
      <c r="BB34" s="160">
        <f>SUM(AQ34:AZ34)</f>
        <v/>
      </c>
      <c r="BC34" s="160">
        <f>SUM(M34:V34)</f>
        <v/>
      </c>
    </row>
    <row r="35">
      <c r="A35" s="157" t="n">
        <v>30</v>
      </c>
      <c r="B35" s="159">
        <f>EDATE('Debt Payoff'!$C$6,29)</f>
        <v/>
      </c>
      <c r="C35" s="160">
        <f>MAX(0,ROUND(C34+M35-AQ35,2))</f>
        <v/>
      </c>
      <c r="D35" s="160">
        <f>MAX(0,ROUND(D34+N35-AR35,2))</f>
        <v/>
      </c>
      <c r="E35" s="160">
        <f>MAX(0,ROUND(E34+O35-AS35,2))</f>
        <v/>
      </c>
      <c r="F35" s="160">
        <f>MAX(0,ROUND(F34+P35-AT35,2))</f>
        <v/>
      </c>
      <c r="G35" s="160">
        <f>MAX(0,ROUND(G34+Q35-AU35,2))</f>
        <v/>
      </c>
      <c r="H35" s="160">
        <f>MAX(0,ROUND(H34+R35-AV35,2))</f>
        <v/>
      </c>
      <c r="I35" s="160">
        <f>MAX(0,ROUND(I34+S35-AW35,2))</f>
        <v/>
      </c>
      <c r="J35" s="160">
        <f>MAX(0,ROUND(J34+T35-AX35,2))</f>
        <v/>
      </c>
      <c r="K35" s="160">
        <f>MAX(0,ROUND(K34+U35-AY35,2))</f>
        <v/>
      </c>
      <c r="L35" s="160">
        <f>MAX(0,ROUND(L34+V35-AZ35,2))</f>
        <v/>
      </c>
      <c r="M35" s="160">
        <f>C34*N('Debt Payoff'!$D$15)/12</f>
        <v/>
      </c>
      <c r="N35" s="160">
        <f>D34*N('Debt Payoff'!$D$16)/12</f>
        <v/>
      </c>
      <c r="O35" s="160">
        <f>E34*N('Debt Payoff'!$D$17)/12</f>
        <v/>
      </c>
      <c r="P35" s="160">
        <f>F34*N('Debt Payoff'!$D$18)/12</f>
        <v/>
      </c>
      <c r="Q35" s="160">
        <f>G34*N('Debt Payoff'!$D$19)/12</f>
        <v/>
      </c>
      <c r="R35" s="160">
        <f>H34*N('Debt Payoff'!$D$20)/12</f>
        <v/>
      </c>
      <c r="S35" s="160">
        <f>I34*N('Debt Payoff'!$D$21)/12</f>
        <v/>
      </c>
      <c r="T35" s="160">
        <f>J34*N('Debt Payoff'!$D$22)/12</f>
        <v/>
      </c>
      <c r="U35" s="160">
        <f>K34*N('Debt Payoff'!$D$23)/12</f>
        <v/>
      </c>
      <c r="V35" s="160">
        <f>L34*N('Debt Payoff'!$D$24)/12</f>
        <v/>
      </c>
      <c r="W35" s="160">
        <f>MIN(N('Debt Payoff'!$E$15),C34+M35)</f>
        <v/>
      </c>
      <c r="X35" s="160">
        <f>MIN(N('Debt Payoff'!$E$16),D34+N35)</f>
        <v/>
      </c>
      <c r="Y35" s="160">
        <f>MIN(N('Debt Payoff'!$E$17),E34+O35)</f>
        <v/>
      </c>
      <c r="Z35" s="160">
        <f>MIN(N('Debt Payoff'!$E$18),F34+P35)</f>
        <v/>
      </c>
      <c r="AA35" s="160">
        <f>MIN(N('Debt Payoff'!$E$19),G34+Q35)</f>
        <v/>
      </c>
      <c r="AB35" s="160">
        <f>MIN(N('Debt Payoff'!$E$20),H34+R35)</f>
        <v/>
      </c>
      <c r="AC35" s="160">
        <f>MIN(N('Debt Payoff'!$E$21),I34+S35)</f>
        <v/>
      </c>
      <c r="AD35" s="160">
        <f>MIN(N('Debt Payoff'!$E$22),J34+T35)</f>
        <v/>
      </c>
      <c r="AE35" s="160">
        <f>MIN(N('Debt Payoff'!$E$23),K34+U35)</f>
        <v/>
      </c>
      <c r="AF35" s="160">
        <f>MIN(N('Debt Payoff'!$E$24),L34+V35)</f>
        <v/>
      </c>
      <c r="AG35" s="160">
        <f>C34+M35-W35</f>
        <v/>
      </c>
      <c r="AH35" s="160">
        <f>D34+N35-X35</f>
        <v/>
      </c>
      <c r="AI35" s="160">
        <f>E34+O35-Y35</f>
        <v/>
      </c>
      <c r="AJ35" s="160">
        <f>F34+P35-Z35</f>
        <v/>
      </c>
      <c r="AK35" s="160">
        <f>G34+Q35-AA35</f>
        <v/>
      </c>
      <c r="AL35" s="160">
        <f>H34+R35-AB35</f>
        <v/>
      </c>
      <c r="AM35" s="160">
        <f>I34+S35-AC35</f>
        <v/>
      </c>
      <c r="AN35" s="160">
        <f>J34+T35-AD35</f>
        <v/>
      </c>
      <c r="AO35" s="160">
        <f>K34+U35-AE35</f>
        <v/>
      </c>
      <c r="AP35" s="160">
        <f>L34+V35-AF35</f>
        <v/>
      </c>
      <c r="AQ35" s="160">
        <f>W35+MAX(0,MIN(AG35,'Debt Payoff'!$C$12-SUM($W35:$AF35)-SUMIFS($AG35:$AP35,$AG$4:$AP$4,"&lt;"&amp;AG$4)))</f>
        <v/>
      </c>
      <c r="AR35" s="160">
        <f>X35+MAX(0,MIN(AH35,'Debt Payoff'!$C$12-SUM($W35:$AF35)-SUMIFS($AG35:$AP35,$AG$4:$AP$4,"&lt;"&amp;AH$4)))</f>
        <v/>
      </c>
      <c r="AS35" s="160">
        <f>Y35+MAX(0,MIN(AI35,'Debt Payoff'!$C$12-SUM($W35:$AF35)-SUMIFS($AG35:$AP35,$AG$4:$AP$4,"&lt;"&amp;AI$4)))</f>
        <v/>
      </c>
      <c r="AT35" s="160">
        <f>Z35+MAX(0,MIN(AJ35,'Debt Payoff'!$C$12-SUM($W35:$AF35)-SUMIFS($AG35:$AP35,$AG$4:$AP$4,"&lt;"&amp;AJ$4)))</f>
        <v/>
      </c>
      <c r="AU35" s="160">
        <f>AA35+MAX(0,MIN(AK35,'Debt Payoff'!$C$12-SUM($W35:$AF35)-SUMIFS($AG35:$AP35,$AG$4:$AP$4,"&lt;"&amp;AK$4)))</f>
        <v/>
      </c>
      <c r="AV35" s="160">
        <f>AB35+MAX(0,MIN(AL35,'Debt Payoff'!$C$12-SUM($W35:$AF35)-SUMIFS($AG35:$AP35,$AG$4:$AP$4,"&lt;"&amp;AL$4)))</f>
        <v/>
      </c>
      <c r="AW35" s="160">
        <f>AC35+MAX(0,MIN(AM35,'Debt Payoff'!$C$12-SUM($W35:$AF35)-SUMIFS($AG35:$AP35,$AG$4:$AP$4,"&lt;"&amp;AM$4)))</f>
        <v/>
      </c>
      <c r="AX35" s="160">
        <f>AD35+MAX(0,MIN(AN35,'Debt Payoff'!$C$12-SUM($W35:$AF35)-SUMIFS($AG35:$AP35,$AG$4:$AP$4,"&lt;"&amp;AN$4)))</f>
        <v/>
      </c>
      <c r="AY35" s="160">
        <f>AE35+MAX(0,MIN(AO35,'Debt Payoff'!$C$12-SUM($W35:$AF35)-SUMIFS($AG35:$AP35,$AG$4:$AP$4,"&lt;"&amp;AO$4)))</f>
        <v/>
      </c>
      <c r="AZ35" s="160">
        <f>AF35+MAX(0,MIN(AP35,'Debt Payoff'!$C$12-SUM($W35:$AF35)-SUMIFS($AG35:$AP35,$AG$4:$AP$4,"&lt;"&amp;AP$4)))</f>
        <v/>
      </c>
      <c r="BA35" s="160">
        <f>SUM(C35:L35)</f>
        <v/>
      </c>
      <c r="BB35" s="160">
        <f>SUM(AQ35:AZ35)</f>
        <v/>
      </c>
      <c r="BC35" s="160">
        <f>SUM(M35:V35)</f>
        <v/>
      </c>
    </row>
    <row r="36">
      <c r="A36" s="157" t="n">
        <v>31</v>
      </c>
      <c r="B36" s="159">
        <f>EDATE('Debt Payoff'!$C$6,30)</f>
        <v/>
      </c>
      <c r="C36" s="160">
        <f>MAX(0,ROUND(C35+M36-AQ36,2))</f>
        <v/>
      </c>
      <c r="D36" s="160">
        <f>MAX(0,ROUND(D35+N36-AR36,2))</f>
        <v/>
      </c>
      <c r="E36" s="160">
        <f>MAX(0,ROUND(E35+O36-AS36,2))</f>
        <v/>
      </c>
      <c r="F36" s="160">
        <f>MAX(0,ROUND(F35+P36-AT36,2))</f>
        <v/>
      </c>
      <c r="G36" s="160">
        <f>MAX(0,ROUND(G35+Q36-AU36,2))</f>
        <v/>
      </c>
      <c r="H36" s="160">
        <f>MAX(0,ROUND(H35+R36-AV36,2))</f>
        <v/>
      </c>
      <c r="I36" s="160">
        <f>MAX(0,ROUND(I35+S36-AW36,2))</f>
        <v/>
      </c>
      <c r="J36" s="160">
        <f>MAX(0,ROUND(J35+T36-AX36,2))</f>
        <v/>
      </c>
      <c r="K36" s="160">
        <f>MAX(0,ROUND(K35+U36-AY36,2))</f>
        <v/>
      </c>
      <c r="L36" s="160">
        <f>MAX(0,ROUND(L35+V36-AZ36,2))</f>
        <v/>
      </c>
      <c r="M36" s="160">
        <f>C35*N('Debt Payoff'!$D$15)/12</f>
        <v/>
      </c>
      <c r="N36" s="160">
        <f>D35*N('Debt Payoff'!$D$16)/12</f>
        <v/>
      </c>
      <c r="O36" s="160">
        <f>E35*N('Debt Payoff'!$D$17)/12</f>
        <v/>
      </c>
      <c r="P36" s="160">
        <f>F35*N('Debt Payoff'!$D$18)/12</f>
        <v/>
      </c>
      <c r="Q36" s="160">
        <f>G35*N('Debt Payoff'!$D$19)/12</f>
        <v/>
      </c>
      <c r="R36" s="160">
        <f>H35*N('Debt Payoff'!$D$20)/12</f>
        <v/>
      </c>
      <c r="S36" s="160">
        <f>I35*N('Debt Payoff'!$D$21)/12</f>
        <v/>
      </c>
      <c r="T36" s="160">
        <f>J35*N('Debt Payoff'!$D$22)/12</f>
        <v/>
      </c>
      <c r="U36" s="160">
        <f>K35*N('Debt Payoff'!$D$23)/12</f>
        <v/>
      </c>
      <c r="V36" s="160">
        <f>L35*N('Debt Payoff'!$D$24)/12</f>
        <v/>
      </c>
      <c r="W36" s="160">
        <f>MIN(N('Debt Payoff'!$E$15),C35+M36)</f>
        <v/>
      </c>
      <c r="X36" s="160">
        <f>MIN(N('Debt Payoff'!$E$16),D35+N36)</f>
        <v/>
      </c>
      <c r="Y36" s="160">
        <f>MIN(N('Debt Payoff'!$E$17),E35+O36)</f>
        <v/>
      </c>
      <c r="Z36" s="160">
        <f>MIN(N('Debt Payoff'!$E$18),F35+P36)</f>
        <v/>
      </c>
      <c r="AA36" s="160">
        <f>MIN(N('Debt Payoff'!$E$19),G35+Q36)</f>
        <v/>
      </c>
      <c r="AB36" s="160">
        <f>MIN(N('Debt Payoff'!$E$20),H35+R36)</f>
        <v/>
      </c>
      <c r="AC36" s="160">
        <f>MIN(N('Debt Payoff'!$E$21),I35+S36)</f>
        <v/>
      </c>
      <c r="AD36" s="160">
        <f>MIN(N('Debt Payoff'!$E$22),J35+T36)</f>
        <v/>
      </c>
      <c r="AE36" s="160">
        <f>MIN(N('Debt Payoff'!$E$23),K35+U36)</f>
        <v/>
      </c>
      <c r="AF36" s="160">
        <f>MIN(N('Debt Payoff'!$E$24),L35+V36)</f>
        <v/>
      </c>
      <c r="AG36" s="160">
        <f>C35+M36-W36</f>
        <v/>
      </c>
      <c r="AH36" s="160">
        <f>D35+N36-X36</f>
        <v/>
      </c>
      <c r="AI36" s="160">
        <f>E35+O36-Y36</f>
        <v/>
      </c>
      <c r="AJ36" s="160">
        <f>F35+P36-Z36</f>
        <v/>
      </c>
      <c r="AK36" s="160">
        <f>G35+Q36-AA36</f>
        <v/>
      </c>
      <c r="AL36" s="160">
        <f>H35+R36-AB36</f>
        <v/>
      </c>
      <c r="AM36" s="160">
        <f>I35+S36-AC36</f>
        <v/>
      </c>
      <c r="AN36" s="160">
        <f>J35+T36-AD36</f>
        <v/>
      </c>
      <c r="AO36" s="160">
        <f>K35+U36-AE36</f>
        <v/>
      </c>
      <c r="AP36" s="160">
        <f>L35+V36-AF36</f>
        <v/>
      </c>
      <c r="AQ36" s="160">
        <f>W36+MAX(0,MIN(AG36,'Debt Payoff'!$C$12-SUM($W36:$AF36)-SUMIFS($AG36:$AP36,$AG$4:$AP$4,"&lt;"&amp;AG$4)))</f>
        <v/>
      </c>
      <c r="AR36" s="160">
        <f>X36+MAX(0,MIN(AH36,'Debt Payoff'!$C$12-SUM($W36:$AF36)-SUMIFS($AG36:$AP36,$AG$4:$AP$4,"&lt;"&amp;AH$4)))</f>
        <v/>
      </c>
      <c r="AS36" s="160">
        <f>Y36+MAX(0,MIN(AI36,'Debt Payoff'!$C$12-SUM($W36:$AF36)-SUMIFS($AG36:$AP36,$AG$4:$AP$4,"&lt;"&amp;AI$4)))</f>
        <v/>
      </c>
      <c r="AT36" s="160">
        <f>Z36+MAX(0,MIN(AJ36,'Debt Payoff'!$C$12-SUM($W36:$AF36)-SUMIFS($AG36:$AP36,$AG$4:$AP$4,"&lt;"&amp;AJ$4)))</f>
        <v/>
      </c>
      <c r="AU36" s="160">
        <f>AA36+MAX(0,MIN(AK36,'Debt Payoff'!$C$12-SUM($W36:$AF36)-SUMIFS($AG36:$AP36,$AG$4:$AP$4,"&lt;"&amp;AK$4)))</f>
        <v/>
      </c>
      <c r="AV36" s="160">
        <f>AB36+MAX(0,MIN(AL36,'Debt Payoff'!$C$12-SUM($W36:$AF36)-SUMIFS($AG36:$AP36,$AG$4:$AP$4,"&lt;"&amp;AL$4)))</f>
        <v/>
      </c>
      <c r="AW36" s="160">
        <f>AC36+MAX(0,MIN(AM36,'Debt Payoff'!$C$12-SUM($W36:$AF36)-SUMIFS($AG36:$AP36,$AG$4:$AP$4,"&lt;"&amp;AM$4)))</f>
        <v/>
      </c>
      <c r="AX36" s="160">
        <f>AD36+MAX(0,MIN(AN36,'Debt Payoff'!$C$12-SUM($W36:$AF36)-SUMIFS($AG36:$AP36,$AG$4:$AP$4,"&lt;"&amp;AN$4)))</f>
        <v/>
      </c>
      <c r="AY36" s="160">
        <f>AE36+MAX(0,MIN(AO36,'Debt Payoff'!$C$12-SUM($W36:$AF36)-SUMIFS($AG36:$AP36,$AG$4:$AP$4,"&lt;"&amp;AO$4)))</f>
        <v/>
      </c>
      <c r="AZ36" s="160">
        <f>AF36+MAX(0,MIN(AP36,'Debt Payoff'!$C$12-SUM($W36:$AF36)-SUMIFS($AG36:$AP36,$AG$4:$AP$4,"&lt;"&amp;AP$4)))</f>
        <v/>
      </c>
      <c r="BA36" s="160">
        <f>SUM(C36:L36)</f>
        <v/>
      </c>
      <c r="BB36" s="160">
        <f>SUM(AQ36:AZ36)</f>
        <v/>
      </c>
      <c r="BC36" s="160">
        <f>SUM(M36:V36)</f>
        <v/>
      </c>
    </row>
    <row r="37">
      <c r="A37" s="157" t="n">
        <v>32</v>
      </c>
      <c r="B37" s="159">
        <f>EDATE('Debt Payoff'!$C$6,31)</f>
        <v/>
      </c>
      <c r="C37" s="160">
        <f>MAX(0,ROUND(C36+M37-AQ37,2))</f>
        <v/>
      </c>
      <c r="D37" s="160">
        <f>MAX(0,ROUND(D36+N37-AR37,2))</f>
        <v/>
      </c>
      <c r="E37" s="160">
        <f>MAX(0,ROUND(E36+O37-AS37,2))</f>
        <v/>
      </c>
      <c r="F37" s="160">
        <f>MAX(0,ROUND(F36+P37-AT37,2))</f>
        <v/>
      </c>
      <c r="G37" s="160">
        <f>MAX(0,ROUND(G36+Q37-AU37,2))</f>
        <v/>
      </c>
      <c r="H37" s="160">
        <f>MAX(0,ROUND(H36+R37-AV37,2))</f>
        <v/>
      </c>
      <c r="I37" s="160">
        <f>MAX(0,ROUND(I36+S37-AW37,2))</f>
        <v/>
      </c>
      <c r="J37" s="160">
        <f>MAX(0,ROUND(J36+T37-AX37,2))</f>
        <v/>
      </c>
      <c r="K37" s="160">
        <f>MAX(0,ROUND(K36+U37-AY37,2))</f>
        <v/>
      </c>
      <c r="L37" s="160">
        <f>MAX(0,ROUND(L36+V37-AZ37,2))</f>
        <v/>
      </c>
      <c r="M37" s="160">
        <f>C36*N('Debt Payoff'!$D$15)/12</f>
        <v/>
      </c>
      <c r="N37" s="160">
        <f>D36*N('Debt Payoff'!$D$16)/12</f>
        <v/>
      </c>
      <c r="O37" s="160">
        <f>E36*N('Debt Payoff'!$D$17)/12</f>
        <v/>
      </c>
      <c r="P37" s="160">
        <f>F36*N('Debt Payoff'!$D$18)/12</f>
        <v/>
      </c>
      <c r="Q37" s="160">
        <f>G36*N('Debt Payoff'!$D$19)/12</f>
        <v/>
      </c>
      <c r="R37" s="160">
        <f>H36*N('Debt Payoff'!$D$20)/12</f>
        <v/>
      </c>
      <c r="S37" s="160">
        <f>I36*N('Debt Payoff'!$D$21)/12</f>
        <v/>
      </c>
      <c r="T37" s="160">
        <f>J36*N('Debt Payoff'!$D$22)/12</f>
        <v/>
      </c>
      <c r="U37" s="160">
        <f>K36*N('Debt Payoff'!$D$23)/12</f>
        <v/>
      </c>
      <c r="V37" s="160">
        <f>L36*N('Debt Payoff'!$D$24)/12</f>
        <v/>
      </c>
      <c r="W37" s="160">
        <f>MIN(N('Debt Payoff'!$E$15),C36+M37)</f>
        <v/>
      </c>
      <c r="X37" s="160">
        <f>MIN(N('Debt Payoff'!$E$16),D36+N37)</f>
        <v/>
      </c>
      <c r="Y37" s="160">
        <f>MIN(N('Debt Payoff'!$E$17),E36+O37)</f>
        <v/>
      </c>
      <c r="Z37" s="160">
        <f>MIN(N('Debt Payoff'!$E$18),F36+P37)</f>
        <v/>
      </c>
      <c r="AA37" s="160">
        <f>MIN(N('Debt Payoff'!$E$19),G36+Q37)</f>
        <v/>
      </c>
      <c r="AB37" s="160">
        <f>MIN(N('Debt Payoff'!$E$20),H36+R37)</f>
        <v/>
      </c>
      <c r="AC37" s="160">
        <f>MIN(N('Debt Payoff'!$E$21),I36+S37)</f>
        <v/>
      </c>
      <c r="AD37" s="160">
        <f>MIN(N('Debt Payoff'!$E$22),J36+T37)</f>
        <v/>
      </c>
      <c r="AE37" s="160">
        <f>MIN(N('Debt Payoff'!$E$23),K36+U37)</f>
        <v/>
      </c>
      <c r="AF37" s="160">
        <f>MIN(N('Debt Payoff'!$E$24),L36+V37)</f>
        <v/>
      </c>
      <c r="AG37" s="160">
        <f>C36+M37-W37</f>
        <v/>
      </c>
      <c r="AH37" s="160">
        <f>D36+N37-X37</f>
        <v/>
      </c>
      <c r="AI37" s="160">
        <f>E36+O37-Y37</f>
        <v/>
      </c>
      <c r="AJ37" s="160">
        <f>F36+P37-Z37</f>
        <v/>
      </c>
      <c r="AK37" s="160">
        <f>G36+Q37-AA37</f>
        <v/>
      </c>
      <c r="AL37" s="160">
        <f>H36+R37-AB37</f>
        <v/>
      </c>
      <c r="AM37" s="160">
        <f>I36+S37-AC37</f>
        <v/>
      </c>
      <c r="AN37" s="160">
        <f>J36+T37-AD37</f>
        <v/>
      </c>
      <c r="AO37" s="160">
        <f>K36+U37-AE37</f>
        <v/>
      </c>
      <c r="AP37" s="160">
        <f>L36+V37-AF37</f>
        <v/>
      </c>
      <c r="AQ37" s="160">
        <f>W37+MAX(0,MIN(AG37,'Debt Payoff'!$C$12-SUM($W37:$AF37)-SUMIFS($AG37:$AP37,$AG$4:$AP$4,"&lt;"&amp;AG$4)))</f>
        <v/>
      </c>
      <c r="AR37" s="160">
        <f>X37+MAX(0,MIN(AH37,'Debt Payoff'!$C$12-SUM($W37:$AF37)-SUMIFS($AG37:$AP37,$AG$4:$AP$4,"&lt;"&amp;AH$4)))</f>
        <v/>
      </c>
      <c r="AS37" s="160">
        <f>Y37+MAX(0,MIN(AI37,'Debt Payoff'!$C$12-SUM($W37:$AF37)-SUMIFS($AG37:$AP37,$AG$4:$AP$4,"&lt;"&amp;AI$4)))</f>
        <v/>
      </c>
      <c r="AT37" s="160">
        <f>Z37+MAX(0,MIN(AJ37,'Debt Payoff'!$C$12-SUM($W37:$AF37)-SUMIFS($AG37:$AP37,$AG$4:$AP$4,"&lt;"&amp;AJ$4)))</f>
        <v/>
      </c>
      <c r="AU37" s="160">
        <f>AA37+MAX(0,MIN(AK37,'Debt Payoff'!$C$12-SUM($W37:$AF37)-SUMIFS($AG37:$AP37,$AG$4:$AP$4,"&lt;"&amp;AK$4)))</f>
        <v/>
      </c>
      <c r="AV37" s="160">
        <f>AB37+MAX(0,MIN(AL37,'Debt Payoff'!$C$12-SUM($W37:$AF37)-SUMIFS($AG37:$AP37,$AG$4:$AP$4,"&lt;"&amp;AL$4)))</f>
        <v/>
      </c>
      <c r="AW37" s="160">
        <f>AC37+MAX(0,MIN(AM37,'Debt Payoff'!$C$12-SUM($W37:$AF37)-SUMIFS($AG37:$AP37,$AG$4:$AP$4,"&lt;"&amp;AM$4)))</f>
        <v/>
      </c>
      <c r="AX37" s="160">
        <f>AD37+MAX(0,MIN(AN37,'Debt Payoff'!$C$12-SUM($W37:$AF37)-SUMIFS($AG37:$AP37,$AG$4:$AP$4,"&lt;"&amp;AN$4)))</f>
        <v/>
      </c>
      <c r="AY37" s="160">
        <f>AE37+MAX(0,MIN(AO37,'Debt Payoff'!$C$12-SUM($W37:$AF37)-SUMIFS($AG37:$AP37,$AG$4:$AP$4,"&lt;"&amp;AO$4)))</f>
        <v/>
      </c>
      <c r="AZ37" s="160">
        <f>AF37+MAX(0,MIN(AP37,'Debt Payoff'!$C$12-SUM($W37:$AF37)-SUMIFS($AG37:$AP37,$AG$4:$AP$4,"&lt;"&amp;AP$4)))</f>
        <v/>
      </c>
      <c r="BA37" s="160">
        <f>SUM(C37:L37)</f>
        <v/>
      </c>
      <c r="BB37" s="160">
        <f>SUM(AQ37:AZ37)</f>
        <v/>
      </c>
      <c r="BC37" s="160">
        <f>SUM(M37:V37)</f>
        <v/>
      </c>
    </row>
    <row r="38">
      <c r="A38" s="157" t="n">
        <v>33</v>
      </c>
      <c r="B38" s="159">
        <f>EDATE('Debt Payoff'!$C$6,32)</f>
        <v/>
      </c>
      <c r="C38" s="160">
        <f>MAX(0,ROUND(C37+M38-AQ38,2))</f>
        <v/>
      </c>
      <c r="D38" s="160">
        <f>MAX(0,ROUND(D37+N38-AR38,2))</f>
        <v/>
      </c>
      <c r="E38" s="160">
        <f>MAX(0,ROUND(E37+O38-AS38,2))</f>
        <v/>
      </c>
      <c r="F38" s="160">
        <f>MAX(0,ROUND(F37+P38-AT38,2))</f>
        <v/>
      </c>
      <c r="G38" s="160">
        <f>MAX(0,ROUND(G37+Q38-AU38,2))</f>
        <v/>
      </c>
      <c r="H38" s="160">
        <f>MAX(0,ROUND(H37+R38-AV38,2))</f>
        <v/>
      </c>
      <c r="I38" s="160">
        <f>MAX(0,ROUND(I37+S38-AW38,2))</f>
        <v/>
      </c>
      <c r="J38" s="160">
        <f>MAX(0,ROUND(J37+T38-AX38,2))</f>
        <v/>
      </c>
      <c r="K38" s="160">
        <f>MAX(0,ROUND(K37+U38-AY38,2))</f>
        <v/>
      </c>
      <c r="L38" s="160">
        <f>MAX(0,ROUND(L37+V38-AZ38,2))</f>
        <v/>
      </c>
      <c r="M38" s="160">
        <f>C37*N('Debt Payoff'!$D$15)/12</f>
        <v/>
      </c>
      <c r="N38" s="160">
        <f>D37*N('Debt Payoff'!$D$16)/12</f>
        <v/>
      </c>
      <c r="O38" s="160">
        <f>E37*N('Debt Payoff'!$D$17)/12</f>
        <v/>
      </c>
      <c r="P38" s="160">
        <f>F37*N('Debt Payoff'!$D$18)/12</f>
        <v/>
      </c>
      <c r="Q38" s="160">
        <f>G37*N('Debt Payoff'!$D$19)/12</f>
        <v/>
      </c>
      <c r="R38" s="160">
        <f>H37*N('Debt Payoff'!$D$20)/12</f>
        <v/>
      </c>
      <c r="S38" s="160">
        <f>I37*N('Debt Payoff'!$D$21)/12</f>
        <v/>
      </c>
      <c r="T38" s="160">
        <f>J37*N('Debt Payoff'!$D$22)/12</f>
        <v/>
      </c>
      <c r="U38" s="160">
        <f>K37*N('Debt Payoff'!$D$23)/12</f>
        <v/>
      </c>
      <c r="V38" s="160">
        <f>L37*N('Debt Payoff'!$D$24)/12</f>
        <v/>
      </c>
      <c r="W38" s="160">
        <f>MIN(N('Debt Payoff'!$E$15),C37+M38)</f>
        <v/>
      </c>
      <c r="X38" s="160">
        <f>MIN(N('Debt Payoff'!$E$16),D37+N38)</f>
        <v/>
      </c>
      <c r="Y38" s="160">
        <f>MIN(N('Debt Payoff'!$E$17),E37+O38)</f>
        <v/>
      </c>
      <c r="Z38" s="160">
        <f>MIN(N('Debt Payoff'!$E$18),F37+P38)</f>
        <v/>
      </c>
      <c r="AA38" s="160">
        <f>MIN(N('Debt Payoff'!$E$19),G37+Q38)</f>
        <v/>
      </c>
      <c r="AB38" s="160">
        <f>MIN(N('Debt Payoff'!$E$20),H37+R38)</f>
        <v/>
      </c>
      <c r="AC38" s="160">
        <f>MIN(N('Debt Payoff'!$E$21),I37+S38)</f>
        <v/>
      </c>
      <c r="AD38" s="160">
        <f>MIN(N('Debt Payoff'!$E$22),J37+T38)</f>
        <v/>
      </c>
      <c r="AE38" s="160">
        <f>MIN(N('Debt Payoff'!$E$23),K37+U38)</f>
        <v/>
      </c>
      <c r="AF38" s="160">
        <f>MIN(N('Debt Payoff'!$E$24),L37+V38)</f>
        <v/>
      </c>
      <c r="AG38" s="160">
        <f>C37+M38-W38</f>
        <v/>
      </c>
      <c r="AH38" s="160">
        <f>D37+N38-X38</f>
        <v/>
      </c>
      <c r="AI38" s="160">
        <f>E37+O38-Y38</f>
        <v/>
      </c>
      <c r="AJ38" s="160">
        <f>F37+P38-Z38</f>
        <v/>
      </c>
      <c r="AK38" s="160">
        <f>G37+Q38-AA38</f>
        <v/>
      </c>
      <c r="AL38" s="160">
        <f>H37+R38-AB38</f>
        <v/>
      </c>
      <c r="AM38" s="160">
        <f>I37+S38-AC38</f>
        <v/>
      </c>
      <c r="AN38" s="160">
        <f>J37+T38-AD38</f>
        <v/>
      </c>
      <c r="AO38" s="160">
        <f>K37+U38-AE38</f>
        <v/>
      </c>
      <c r="AP38" s="160">
        <f>L37+V38-AF38</f>
        <v/>
      </c>
      <c r="AQ38" s="160">
        <f>W38+MAX(0,MIN(AG38,'Debt Payoff'!$C$12-SUM($W38:$AF38)-SUMIFS($AG38:$AP38,$AG$4:$AP$4,"&lt;"&amp;AG$4)))</f>
        <v/>
      </c>
      <c r="AR38" s="160">
        <f>X38+MAX(0,MIN(AH38,'Debt Payoff'!$C$12-SUM($W38:$AF38)-SUMIFS($AG38:$AP38,$AG$4:$AP$4,"&lt;"&amp;AH$4)))</f>
        <v/>
      </c>
      <c r="AS38" s="160">
        <f>Y38+MAX(0,MIN(AI38,'Debt Payoff'!$C$12-SUM($W38:$AF38)-SUMIFS($AG38:$AP38,$AG$4:$AP$4,"&lt;"&amp;AI$4)))</f>
        <v/>
      </c>
      <c r="AT38" s="160">
        <f>Z38+MAX(0,MIN(AJ38,'Debt Payoff'!$C$12-SUM($W38:$AF38)-SUMIFS($AG38:$AP38,$AG$4:$AP$4,"&lt;"&amp;AJ$4)))</f>
        <v/>
      </c>
      <c r="AU38" s="160">
        <f>AA38+MAX(0,MIN(AK38,'Debt Payoff'!$C$12-SUM($W38:$AF38)-SUMIFS($AG38:$AP38,$AG$4:$AP$4,"&lt;"&amp;AK$4)))</f>
        <v/>
      </c>
      <c r="AV38" s="160">
        <f>AB38+MAX(0,MIN(AL38,'Debt Payoff'!$C$12-SUM($W38:$AF38)-SUMIFS($AG38:$AP38,$AG$4:$AP$4,"&lt;"&amp;AL$4)))</f>
        <v/>
      </c>
      <c r="AW38" s="160">
        <f>AC38+MAX(0,MIN(AM38,'Debt Payoff'!$C$12-SUM($W38:$AF38)-SUMIFS($AG38:$AP38,$AG$4:$AP$4,"&lt;"&amp;AM$4)))</f>
        <v/>
      </c>
      <c r="AX38" s="160">
        <f>AD38+MAX(0,MIN(AN38,'Debt Payoff'!$C$12-SUM($W38:$AF38)-SUMIFS($AG38:$AP38,$AG$4:$AP$4,"&lt;"&amp;AN$4)))</f>
        <v/>
      </c>
      <c r="AY38" s="160">
        <f>AE38+MAX(0,MIN(AO38,'Debt Payoff'!$C$12-SUM($W38:$AF38)-SUMIFS($AG38:$AP38,$AG$4:$AP$4,"&lt;"&amp;AO$4)))</f>
        <v/>
      </c>
      <c r="AZ38" s="160">
        <f>AF38+MAX(0,MIN(AP38,'Debt Payoff'!$C$12-SUM($W38:$AF38)-SUMIFS($AG38:$AP38,$AG$4:$AP$4,"&lt;"&amp;AP$4)))</f>
        <v/>
      </c>
      <c r="BA38" s="160">
        <f>SUM(C38:L38)</f>
        <v/>
      </c>
      <c r="BB38" s="160">
        <f>SUM(AQ38:AZ38)</f>
        <v/>
      </c>
      <c r="BC38" s="160">
        <f>SUM(M38:V38)</f>
        <v/>
      </c>
    </row>
    <row r="39">
      <c r="A39" s="157" t="n">
        <v>34</v>
      </c>
      <c r="B39" s="159">
        <f>EDATE('Debt Payoff'!$C$6,33)</f>
        <v/>
      </c>
      <c r="C39" s="160">
        <f>MAX(0,ROUND(C38+M39-AQ39,2))</f>
        <v/>
      </c>
      <c r="D39" s="160">
        <f>MAX(0,ROUND(D38+N39-AR39,2))</f>
        <v/>
      </c>
      <c r="E39" s="160">
        <f>MAX(0,ROUND(E38+O39-AS39,2))</f>
        <v/>
      </c>
      <c r="F39" s="160">
        <f>MAX(0,ROUND(F38+P39-AT39,2))</f>
        <v/>
      </c>
      <c r="G39" s="160">
        <f>MAX(0,ROUND(G38+Q39-AU39,2))</f>
        <v/>
      </c>
      <c r="H39" s="160">
        <f>MAX(0,ROUND(H38+R39-AV39,2))</f>
        <v/>
      </c>
      <c r="I39" s="160">
        <f>MAX(0,ROUND(I38+S39-AW39,2))</f>
        <v/>
      </c>
      <c r="J39" s="160">
        <f>MAX(0,ROUND(J38+T39-AX39,2))</f>
        <v/>
      </c>
      <c r="K39" s="160">
        <f>MAX(0,ROUND(K38+U39-AY39,2))</f>
        <v/>
      </c>
      <c r="L39" s="160">
        <f>MAX(0,ROUND(L38+V39-AZ39,2))</f>
        <v/>
      </c>
      <c r="M39" s="160">
        <f>C38*N('Debt Payoff'!$D$15)/12</f>
        <v/>
      </c>
      <c r="N39" s="160">
        <f>D38*N('Debt Payoff'!$D$16)/12</f>
        <v/>
      </c>
      <c r="O39" s="160">
        <f>E38*N('Debt Payoff'!$D$17)/12</f>
        <v/>
      </c>
      <c r="P39" s="160">
        <f>F38*N('Debt Payoff'!$D$18)/12</f>
        <v/>
      </c>
      <c r="Q39" s="160">
        <f>G38*N('Debt Payoff'!$D$19)/12</f>
        <v/>
      </c>
      <c r="R39" s="160">
        <f>H38*N('Debt Payoff'!$D$20)/12</f>
        <v/>
      </c>
      <c r="S39" s="160">
        <f>I38*N('Debt Payoff'!$D$21)/12</f>
        <v/>
      </c>
      <c r="T39" s="160">
        <f>J38*N('Debt Payoff'!$D$22)/12</f>
        <v/>
      </c>
      <c r="U39" s="160">
        <f>K38*N('Debt Payoff'!$D$23)/12</f>
        <v/>
      </c>
      <c r="V39" s="160">
        <f>L38*N('Debt Payoff'!$D$24)/12</f>
        <v/>
      </c>
      <c r="W39" s="160">
        <f>MIN(N('Debt Payoff'!$E$15),C38+M39)</f>
        <v/>
      </c>
      <c r="X39" s="160">
        <f>MIN(N('Debt Payoff'!$E$16),D38+N39)</f>
        <v/>
      </c>
      <c r="Y39" s="160">
        <f>MIN(N('Debt Payoff'!$E$17),E38+O39)</f>
        <v/>
      </c>
      <c r="Z39" s="160">
        <f>MIN(N('Debt Payoff'!$E$18),F38+P39)</f>
        <v/>
      </c>
      <c r="AA39" s="160">
        <f>MIN(N('Debt Payoff'!$E$19),G38+Q39)</f>
        <v/>
      </c>
      <c r="AB39" s="160">
        <f>MIN(N('Debt Payoff'!$E$20),H38+R39)</f>
        <v/>
      </c>
      <c r="AC39" s="160">
        <f>MIN(N('Debt Payoff'!$E$21),I38+S39)</f>
        <v/>
      </c>
      <c r="AD39" s="160">
        <f>MIN(N('Debt Payoff'!$E$22),J38+T39)</f>
        <v/>
      </c>
      <c r="AE39" s="160">
        <f>MIN(N('Debt Payoff'!$E$23),K38+U39)</f>
        <v/>
      </c>
      <c r="AF39" s="160">
        <f>MIN(N('Debt Payoff'!$E$24),L38+V39)</f>
        <v/>
      </c>
      <c r="AG39" s="160">
        <f>C38+M39-W39</f>
        <v/>
      </c>
      <c r="AH39" s="160">
        <f>D38+N39-X39</f>
        <v/>
      </c>
      <c r="AI39" s="160">
        <f>E38+O39-Y39</f>
        <v/>
      </c>
      <c r="AJ39" s="160">
        <f>F38+P39-Z39</f>
        <v/>
      </c>
      <c r="AK39" s="160">
        <f>G38+Q39-AA39</f>
        <v/>
      </c>
      <c r="AL39" s="160">
        <f>H38+R39-AB39</f>
        <v/>
      </c>
      <c r="AM39" s="160">
        <f>I38+S39-AC39</f>
        <v/>
      </c>
      <c r="AN39" s="160">
        <f>J38+T39-AD39</f>
        <v/>
      </c>
      <c r="AO39" s="160">
        <f>K38+U39-AE39</f>
        <v/>
      </c>
      <c r="AP39" s="160">
        <f>L38+V39-AF39</f>
        <v/>
      </c>
      <c r="AQ39" s="160">
        <f>W39+MAX(0,MIN(AG39,'Debt Payoff'!$C$12-SUM($W39:$AF39)-SUMIFS($AG39:$AP39,$AG$4:$AP$4,"&lt;"&amp;AG$4)))</f>
        <v/>
      </c>
      <c r="AR39" s="160">
        <f>X39+MAX(0,MIN(AH39,'Debt Payoff'!$C$12-SUM($W39:$AF39)-SUMIFS($AG39:$AP39,$AG$4:$AP$4,"&lt;"&amp;AH$4)))</f>
        <v/>
      </c>
      <c r="AS39" s="160">
        <f>Y39+MAX(0,MIN(AI39,'Debt Payoff'!$C$12-SUM($W39:$AF39)-SUMIFS($AG39:$AP39,$AG$4:$AP$4,"&lt;"&amp;AI$4)))</f>
        <v/>
      </c>
      <c r="AT39" s="160">
        <f>Z39+MAX(0,MIN(AJ39,'Debt Payoff'!$C$12-SUM($W39:$AF39)-SUMIFS($AG39:$AP39,$AG$4:$AP$4,"&lt;"&amp;AJ$4)))</f>
        <v/>
      </c>
      <c r="AU39" s="160">
        <f>AA39+MAX(0,MIN(AK39,'Debt Payoff'!$C$12-SUM($W39:$AF39)-SUMIFS($AG39:$AP39,$AG$4:$AP$4,"&lt;"&amp;AK$4)))</f>
        <v/>
      </c>
      <c r="AV39" s="160">
        <f>AB39+MAX(0,MIN(AL39,'Debt Payoff'!$C$12-SUM($W39:$AF39)-SUMIFS($AG39:$AP39,$AG$4:$AP$4,"&lt;"&amp;AL$4)))</f>
        <v/>
      </c>
      <c r="AW39" s="160">
        <f>AC39+MAX(0,MIN(AM39,'Debt Payoff'!$C$12-SUM($W39:$AF39)-SUMIFS($AG39:$AP39,$AG$4:$AP$4,"&lt;"&amp;AM$4)))</f>
        <v/>
      </c>
      <c r="AX39" s="160">
        <f>AD39+MAX(0,MIN(AN39,'Debt Payoff'!$C$12-SUM($W39:$AF39)-SUMIFS($AG39:$AP39,$AG$4:$AP$4,"&lt;"&amp;AN$4)))</f>
        <v/>
      </c>
      <c r="AY39" s="160">
        <f>AE39+MAX(0,MIN(AO39,'Debt Payoff'!$C$12-SUM($W39:$AF39)-SUMIFS($AG39:$AP39,$AG$4:$AP$4,"&lt;"&amp;AO$4)))</f>
        <v/>
      </c>
      <c r="AZ39" s="160">
        <f>AF39+MAX(0,MIN(AP39,'Debt Payoff'!$C$12-SUM($W39:$AF39)-SUMIFS($AG39:$AP39,$AG$4:$AP$4,"&lt;"&amp;AP$4)))</f>
        <v/>
      </c>
      <c r="BA39" s="160">
        <f>SUM(C39:L39)</f>
        <v/>
      </c>
      <c r="BB39" s="160">
        <f>SUM(AQ39:AZ39)</f>
        <v/>
      </c>
      <c r="BC39" s="160">
        <f>SUM(M39:V39)</f>
        <v/>
      </c>
    </row>
    <row r="40">
      <c r="A40" s="157" t="n">
        <v>35</v>
      </c>
      <c r="B40" s="159">
        <f>EDATE('Debt Payoff'!$C$6,34)</f>
        <v/>
      </c>
      <c r="C40" s="160">
        <f>MAX(0,ROUND(C39+M40-AQ40,2))</f>
        <v/>
      </c>
      <c r="D40" s="160">
        <f>MAX(0,ROUND(D39+N40-AR40,2))</f>
        <v/>
      </c>
      <c r="E40" s="160">
        <f>MAX(0,ROUND(E39+O40-AS40,2))</f>
        <v/>
      </c>
      <c r="F40" s="160">
        <f>MAX(0,ROUND(F39+P40-AT40,2))</f>
        <v/>
      </c>
      <c r="G40" s="160">
        <f>MAX(0,ROUND(G39+Q40-AU40,2))</f>
        <v/>
      </c>
      <c r="H40" s="160">
        <f>MAX(0,ROUND(H39+R40-AV40,2))</f>
        <v/>
      </c>
      <c r="I40" s="160">
        <f>MAX(0,ROUND(I39+S40-AW40,2))</f>
        <v/>
      </c>
      <c r="J40" s="160">
        <f>MAX(0,ROUND(J39+T40-AX40,2))</f>
        <v/>
      </c>
      <c r="K40" s="160">
        <f>MAX(0,ROUND(K39+U40-AY40,2))</f>
        <v/>
      </c>
      <c r="L40" s="160">
        <f>MAX(0,ROUND(L39+V40-AZ40,2))</f>
        <v/>
      </c>
      <c r="M40" s="160">
        <f>C39*N('Debt Payoff'!$D$15)/12</f>
        <v/>
      </c>
      <c r="N40" s="160">
        <f>D39*N('Debt Payoff'!$D$16)/12</f>
        <v/>
      </c>
      <c r="O40" s="160">
        <f>E39*N('Debt Payoff'!$D$17)/12</f>
        <v/>
      </c>
      <c r="P40" s="160">
        <f>F39*N('Debt Payoff'!$D$18)/12</f>
        <v/>
      </c>
      <c r="Q40" s="160">
        <f>G39*N('Debt Payoff'!$D$19)/12</f>
        <v/>
      </c>
      <c r="R40" s="160">
        <f>H39*N('Debt Payoff'!$D$20)/12</f>
        <v/>
      </c>
      <c r="S40" s="160">
        <f>I39*N('Debt Payoff'!$D$21)/12</f>
        <v/>
      </c>
      <c r="T40" s="160">
        <f>J39*N('Debt Payoff'!$D$22)/12</f>
        <v/>
      </c>
      <c r="U40" s="160">
        <f>K39*N('Debt Payoff'!$D$23)/12</f>
        <v/>
      </c>
      <c r="V40" s="160">
        <f>L39*N('Debt Payoff'!$D$24)/12</f>
        <v/>
      </c>
      <c r="W40" s="160">
        <f>MIN(N('Debt Payoff'!$E$15),C39+M40)</f>
        <v/>
      </c>
      <c r="X40" s="160">
        <f>MIN(N('Debt Payoff'!$E$16),D39+N40)</f>
        <v/>
      </c>
      <c r="Y40" s="160">
        <f>MIN(N('Debt Payoff'!$E$17),E39+O40)</f>
        <v/>
      </c>
      <c r="Z40" s="160">
        <f>MIN(N('Debt Payoff'!$E$18),F39+P40)</f>
        <v/>
      </c>
      <c r="AA40" s="160">
        <f>MIN(N('Debt Payoff'!$E$19),G39+Q40)</f>
        <v/>
      </c>
      <c r="AB40" s="160">
        <f>MIN(N('Debt Payoff'!$E$20),H39+R40)</f>
        <v/>
      </c>
      <c r="AC40" s="160">
        <f>MIN(N('Debt Payoff'!$E$21),I39+S40)</f>
        <v/>
      </c>
      <c r="AD40" s="160">
        <f>MIN(N('Debt Payoff'!$E$22),J39+T40)</f>
        <v/>
      </c>
      <c r="AE40" s="160">
        <f>MIN(N('Debt Payoff'!$E$23),K39+U40)</f>
        <v/>
      </c>
      <c r="AF40" s="160">
        <f>MIN(N('Debt Payoff'!$E$24),L39+V40)</f>
        <v/>
      </c>
      <c r="AG40" s="160">
        <f>C39+M40-W40</f>
        <v/>
      </c>
      <c r="AH40" s="160">
        <f>D39+N40-X40</f>
        <v/>
      </c>
      <c r="AI40" s="160">
        <f>E39+O40-Y40</f>
        <v/>
      </c>
      <c r="AJ40" s="160">
        <f>F39+P40-Z40</f>
        <v/>
      </c>
      <c r="AK40" s="160">
        <f>G39+Q40-AA40</f>
        <v/>
      </c>
      <c r="AL40" s="160">
        <f>H39+R40-AB40</f>
        <v/>
      </c>
      <c r="AM40" s="160">
        <f>I39+S40-AC40</f>
        <v/>
      </c>
      <c r="AN40" s="160">
        <f>J39+T40-AD40</f>
        <v/>
      </c>
      <c r="AO40" s="160">
        <f>K39+U40-AE40</f>
        <v/>
      </c>
      <c r="AP40" s="160">
        <f>L39+V40-AF40</f>
        <v/>
      </c>
      <c r="AQ40" s="160">
        <f>W40+MAX(0,MIN(AG40,'Debt Payoff'!$C$12-SUM($W40:$AF40)-SUMIFS($AG40:$AP40,$AG$4:$AP$4,"&lt;"&amp;AG$4)))</f>
        <v/>
      </c>
      <c r="AR40" s="160">
        <f>X40+MAX(0,MIN(AH40,'Debt Payoff'!$C$12-SUM($W40:$AF40)-SUMIFS($AG40:$AP40,$AG$4:$AP$4,"&lt;"&amp;AH$4)))</f>
        <v/>
      </c>
      <c r="AS40" s="160">
        <f>Y40+MAX(0,MIN(AI40,'Debt Payoff'!$C$12-SUM($W40:$AF40)-SUMIFS($AG40:$AP40,$AG$4:$AP$4,"&lt;"&amp;AI$4)))</f>
        <v/>
      </c>
      <c r="AT40" s="160">
        <f>Z40+MAX(0,MIN(AJ40,'Debt Payoff'!$C$12-SUM($W40:$AF40)-SUMIFS($AG40:$AP40,$AG$4:$AP$4,"&lt;"&amp;AJ$4)))</f>
        <v/>
      </c>
      <c r="AU40" s="160">
        <f>AA40+MAX(0,MIN(AK40,'Debt Payoff'!$C$12-SUM($W40:$AF40)-SUMIFS($AG40:$AP40,$AG$4:$AP$4,"&lt;"&amp;AK$4)))</f>
        <v/>
      </c>
      <c r="AV40" s="160">
        <f>AB40+MAX(0,MIN(AL40,'Debt Payoff'!$C$12-SUM($W40:$AF40)-SUMIFS($AG40:$AP40,$AG$4:$AP$4,"&lt;"&amp;AL$4)))</f>
        <v/>
      </c>
      <c r="AW40" s="160">
        <f>AC40+MAX(0,MIN(AM40,'Debt Payoff'!$C$12-SUM($W40:$AF40)-SUMIFS($AG40:$AP40,$AG$4:$AP$4,"&lt;"&amp;AM$4)))</f>
        <v/>
      </c>
      <c r="AX40" s="160">
        <f>AD40+MAX(0,MIN(AN40,'Debt Payoff'!$C$12-SUM($W40:$AF40)-SUMIFS($AG40:$AP40,$AG$4:$AP$4,"&lt;"&amp;AN$4)))</f>
        <v/>
      </c>
      <c r="AY40" s="160">
        <f>AE40+MAX(0,MIN(AO40,'Debt Payoff'!$C$12-SUM($W40:$AF40)-SUMIFS($AG40:$AP40,$AG$4:$AP$4,"&lt;"&amp;AO$4)))</f>
        <v/>
      </c>
      <c r="AZ40" s="160">
        <f>AF40+MAX(0,MIN(AP40,'Debt Payoff'!$C$12-SUM($W40:$AF40)-SUMIFS($AG40:$AP40,$AG$4:$AP$4,"&lt;"&amp;AP$4)))</f>
        <v/>
      </c>
      <c r="BA40" s="160">
        <f>SUM(C40:L40)</f>
        <v/>
      </c>
      <c r="BB40" s="160">
        <f>SUM(AQ40:AZ40)</f>
        <v/>
      </c>
      <c r="BC40" s="160">
        <f>SUM(M40:V40)</f>
        <v/>
      </c>
    </row>
    <row r="41">
      <c r="A41" s="157" t="n">
        <v>36</v>
      </c>
      <c r="B41" s="159">
        <f>EDATE('Debt Payoff'!$C$6,35)</f>
        <v/>
      </c>
      <c r="C41" s="160">
        <f>MAX(0,ROUND(C40+M41-AQ41,2))</f>
        <v/>
      </c>
      <c r="D41" s="160">
        <f>MAX(0,ROUND(D40+N41-AR41,2))</f>
        <v/>
      </c>
      <c r="E41" s="160">
        <f>MAX(0,ROUND(E40+O41-AS41,2))</f>
        <v/>
      </c>
      <c r="F41" s="160">
        <f>MAX(0,ROUND(F40+P41-AT41,2))</f>
        <v/>
      </c>
      <c r="G41" s="160">
        <f>MAX(0,ROUND(G40+Q41-AU41,2))</f>
        <v/>
      </c>
      <c r="H41" s="160">
        <f>MAX(0,ROUND(H40+R41-AV41,2))</f>
        <v/>
      </c>
      <c r="I41" s="160">
        <f>MAX(0,ROUND(I40+S41-AW41,2))</f>
        <v/>
      </c>
      <c r="J41" s="160">
        <f>MAX(0,ROUND(J40+T41-AX41,2))</f>
        <v/>
      </c>
      <c r="K41" s="160">
        <f>MAX(0,ROUND(K40+U41-AY41,2))</f>
        <v/>
      </c>
      <c r="L41" s="160">
        <f>MAX(0,ROUND(L40+V41-AZ41,2))</f>
        <v/>
      </c>
      <c r="M41" s="160">
        <f>C40*N('Debt Payoff'!$D$15)/12</f>
        <v/>
      </c>
      <c r="N41" s="160">
        <f>D40*N('Debt Payoff'!$D$16)/12</f>
        <v/>
      </c>
      <c r="O41" s="160">
        <f>E40*N('Debt Payoff'!$D$17)/12</f>
        <v/>
      </c>
      <c r="P41" s="160">
        <f>F40*N('Debt Payoff'!$D$18)/12</f>
        <v/>
      </c>
      <c r="Q41" s="160">
        <f>G40*N('Debt Payoff'!$D$19)/12</f>
        <v/>
      </c>
      <c r="R41" s="160">
        <f>H40*N('Debt Payoff'!$D$20)/12</f>
        <v/>
      </c>
      <c r="S41" s="160">
        <f>I40*N('Debt Payoff'!$D$21)/12</f>
        <v/>
      </c>
      <c r="T41" s="160">
        <f>J40*N('Debt Payoff'!$D$22)/12</f>
        <v/>
      </c>
      <c r="U41" s="160">
        <f>K40*N('Debt Payoff'!$D$23)/12</f>
        <v/>
      </c>
      <c r="V41" s="160">
        <f>L40*N('Debt Payoff'!$D$24)/12</f>
        <v/>
      </c>
      <c r="W41" s="160">
        <f>MIN(N('Debt Payoff'!$E$15),C40+M41)</f>
        <v/>
      </c>
      <c r="X41" s="160">
        <f>MIN(N('Debt Payoff'!$E$16),D40+N41)</f>
        <v/>
      </c>
      <c r="Y41" s="160">
        <f>MIN(N('Debt Payoff'!$E$17),E40+O41)</f>
        <v/>
      </c>
      <c r="Z41" s="160">
        <f>MIN(N('Debt Payoff'!$E$18),F40+P41)</f>
        <v/>
      </c>
      <c r="AA41" s="160">
        <f>MIN(N('Debt Payoff'!$E$19),G40+Q41)</f>
        <v/>
      </c>
      <c r="AB41" s="160">
        <f>MIN(N('Debt Payoff'!$E$20),H40+R41)</f>
        <v/>
      </c>
      <c r="AC41" s="160">
        <f>MIN(N('Debt Payoff'!$E$21),I40+S41)</f>
        <v/>
      </c>
      <c r="AD41" s="160">
        <f>MIN(N('Debt Payoff'!$E$22),J40+T41)</f>
        <v/>
      </c>
      <c r="AE41" s="160">
        <f>MIN(N('Debt Payoff'!$E$23),K40+U41)</f>
        <v/>
      </c>
      <c r="AF41" s="160">
        <f>MIN(N('Debt Payoff'!$E$24),L40+V41)</f>
        <v/>
      </c>
      <c r="AG41" s="160">
        <f>C40+M41-W41</f>
        <v/>
      </c>
      <c r="AH41" s="160">
        <f>D40+N41-X41</f>
        <v/>
      </c>
      <c r="AI41" s="160">
        <f>E40+O41-Y41</f>
        <v/>
      </c>
      <c r="AJ41" s="160">
        <f>F40+P41-Z41</f>
        <v/>
      </c>
      <c r="AK41" s="160">
        <f>G40+Q41-AA41</f>
        <v/>
      </c>
      <c r="AL41" s="160">
        <f>H40+R41-AB41</f>
        <v/>
      </c>
      <c r="AM41" s="160">
        <f>I40+S41-AC41</f>
        <v/>
      </c>
      <c r="AN41" s="160">
        <f>J40+T41-AD41</f>
        <v/>
      </c>
      <c r="AO41" s="160">
        <f>K40+U41-AE41</f>
        <v/>
      </c>
      <c r="AP41" s="160">
        <f>L40+V41-AF41</f>
        <v/>
      </c>
      <c r="AQ41" s="160">
        <f>W41+MAX(0,MIN(AG41,'Debt Payoff'!$C$12-SUM($W41:$AF41)-SUMIFS($AG41:$AP41,$AG$4:$AP$4,"&lt;"&amp;AG$4)))</f>
        <v/>
      </c>
      <c r="AR41" s="160">
        <f>X41+MAX(0,MIN(AH41,'Debt Payoff'!$C$12-SUM($W41:$AF41)-SUMIFS($AG41:$AP41,$AG$4:$AP$4,"&lt;"&amp;AH$4)))</f>
        <v/>
      </c>
      <c r="AS41" s="160">
        <f>Y41+MAX(0,MIN(AI41,'Debt Payoff'!$C$12-SUM($W41:$AF41)-SUMIFS($AG41:$AP41,$AG$4:$AP$4,"&lt;"&amp;AI$4)))</f>
        <v/>
      </c>
      <c r="AT41" s="160">
        <f>Z41+MAX(0,MIN(AJ41,'Debt Payoff'!$C$12-SUM($W41:$AF41)-SUMIFS($AG41:$AP41,$AG$4:$AP$4,"&lt;"&amp;AJ$4)))</f>
        <v/>
      </c>
      <c r="AU41" s="160">
        <f>AA41+MAX(0,MIN(AK41,'Debt Payoff'!$C$12-SUM($W41:$AF41)-SUMIFS($AG41:$AP41,$AG$4:$AP$4,"&lt;"&amp;AK$4)))</f>
        <v/>
      </c>
      <c r="AV41" s="160">
        <f>AB41+MAX(0,MIN(AL41,'Debt Payoff'!$C$12-SUM($W41:$AF41)-SUMIFS($AG41:$AP41,$AG$4:$AP$4,"&lt;"&amp;AL$4)))</f>
        <v/>
      </c>
      <c r="AW41" s="160">
        <f>AC41+MAX(0,MIN(AM41,'Debt Payoff'!$C$12-SUM($W41:$AF41)-SUMIFS($AG41:$AP41,$AG$4:$AP$4,"&lt;"&amp;AM$4)))</f>
        <v/>
      </c>
      <c r="AX41" s="160">
        <f>AD41+MAX(0,MIN(AN41,'Debt Payoff'!$C$12-SUM($W41:$AF41)-SUMIFS($AG41:$AP41,$AG$4:$AP$4,"&lt;"&amp;AN$4)))</f>
        <v/>
      </c>
      <c r="AY41" s="160">
        <f>AE41+MAX(0,MIN(AO41,'Debt Payoff'!$C$12-SUM($W41:$AF41)-SUMIFS($AG41:$AP41,$AG$4:$AP$4,"&lt;"&amp;AO$4)))</f>
        <v/>
      </c>
      <c r="AZ41" s="160">
        <f>AF41+MAX(0,MIN(AP41,'Debt Payoff'!$C$12-SUM($W41:$AF41)-SUMIFS($AG41:$AP41,$AG$4:$AP$4,"&lt;"&amp;AP$4)))</f>
        <v/>
      </c>
      <c r="BA41" s="160">
        <f>SUM(C41:L41)</f>
        <v/>
      </c>
      <c r="BB41" s="160">
        <f>SUM(AQ41:AZ41)</f>
        <v/>
      </c>
      <c r="BC41" s="160">
        <f>SUM(M41:V41)</f>
        <v/>
      </c>
    </row>
    <row r="42">
      <c r="A42" s="157" t="n">
        <v>37</v>
      </c>
      <c r="B42" s="159">
        <f>EDATE('Debt Payoff'!$C$6,36)</f>
        <v/>
      </c>
      <c r="C42" s="160">
        <f>MAX(0,ROUND(C41+M42-AQ42,2))</f>
        <v/>
      </c>
      <c r="D42" s="160">
        <f>MAX(0,ROUND(D41+N42-AR42,2))</f>
        <v/>
      </c>
      <c r="E42" s="160">
        <f>MAX(0,ROUND(E41+O42-AS42,2))</f>
        <v/>
      </c>
      <c r="F42" s="160">
        <f>MAX(0,ROUND(F41+P42-AT42,2))</f>
        <v/>
      </c>
      <c r="G42" s="160">
        <f>MAX(0,ROUND(G41+Q42-AU42,2))</f>
        <v/>
      </c>
      <c r="H42" s="160">
        <f>MAX(0,ROUND(H41+R42-AV42,2))</f>
        <v/>
      </c>
      <c r="I42" s="160">
        <f>MAX(0,ROUND(I41+S42-AW42,2))</f>
        <v/>
      </c>
      <c r="J42" s="160">
        <f>MAX(0,ROUND(J41+T42-AX42,2))</f>
        <v/>
      </c>
      <c r="K42" s="160">
        <f>MAX(0,ROUND(K41+U42-AY42,2))</f>
        <v/>
      </c>
      <c r="L42" s="160">
        <f>MAX(0,ROUND(L41+V42-AZ42,2))</f>
        <v/>
      </c>
      <c r="M42" s="160">
        <f>C41*N('Debt Payoff'!$D$15)/12</f>
        <v/>
      </c>
      <c r="N42" s="160">
        <f>D41*N('Debt Payoff'!$D$16)/12</f>
        <v/>
      </c>
      <c r="O42" s="160">
        <f>E41*N('Debt Payoff'!$D$17)/12</f>
        <v/>
      </c>
      <c r="P42" s="160">
        <f>F41*N('Debt Payoff'!$D$18)/12</f>
        <v/>
      </c>
      <c r="Q42" s="160">
        <f>G41*N('Debt Payoff'!$D$19)/12</f>
        <v/>
      </c>
      <c r="R42" s="160">
        <f>H41*N('Debt Payoff'!$D$20)/12</f>
        <v/>
      </c>
      <c r="S42" s="160">
        <f>I41*N('Debt Payoff'!$D$21)/12</f>
        <v/>
      </c>
      <c r="T42" s="160">
        <f>J41*N('Debt Payoff'!$D$22)/12</f>
        <v/>
      </c>
      <c r="U42" s="160">
        <f>K41*N('Debt Payoff'!$D$23)/12</f>
        <v/>
      </c>
      <c r="V42" s="160">
        <f>L41*N('Debt Payoff'!$D$24)/12</f>
        <v/>
      </c>
      <c r="W42" s="160">
        <f>MIN(N('Debt Payoff'!$E$15),C41+M42)</f>
        <v/>
      </c>
      <c r="X42" s="160">
        <f>MIN(N('Debt Payoff'!$E$16),D41+N42)</f>
        <v/>
      </c>
      <c r="Y42" s="160">
        <f>MIN(N('Debt Payoff'!$E$17),E41+O42)</f>
        <v/>
      </c>
      <c r="Z42" s="160">
        <f>MIN(N('Debt Payoff'!$E$18),F41+P42)</f>
        <v/>
      </c>
      <c r="AA42" s="160">
        <f>MIN(N('Debt Payoff'!$E$19),G41+Q42)</f>
        <v/>
      </c>
      <c r="AB42" s="160">
        <f>MIN(N('Debt Payoff'!$E$20),H41+R42)</f>
        <v/>
      </c>
      <c r="AC42" s="160">
        <f>MIN(N('Debt Payoff'!$E$21),I41+S42)</f>
        <v/>
      </c>
      <c r="AD42" s="160">
        <f>MIN(N('Debt Payoff'!$E$22),J41+T42)</f>
        <v/>
      </c>
      <c r="AE42" s="160">
        <f>MIN(N('Debt Payoff'!$E$23),K41+U42)</f>
        <v/>
      </c>
      <c r="AF42" s="160">
        <f>MIN(N('Debt Payoff'!$E$24),L41+V42)</f>
        <v/>
      </c>
      <c r="AG42" s="160">
        <f>C41+M42-W42</f>
        <v/>
      </c>
      <c r="AH42" s="160">
        <f>D41+N42-X42</f>
        <v/>
      </c>
      <c r="AI42" s="160">
        <f>E41+O42-Y42</f>
        <v/>
      </c>
      <c r="AJ42" s="160">
        <f>F41+P42-Z42</f>
        <v/>
      </c>
      <c r="AK42" s="160">
        <f>G41+Q42-AA42</f>
        <v/>
      </c>
      <c r="AL42" s="160">
        <f>H41+R42-AB42</f>
        <v/>
      </c>
      <c r="AM42" s="160">
        <f>I41+S42-AC42</f>
        <v/>
      </c>
      <c r="AN42" s="160">
        <f>J41+T42-AD42</f>
        <v/>
      </c>
      <c r="AO42" s="160">
        <f>K41+U42-AE42</f>
        <v/>
      </c>
      <c r="AP42" s="160">
        <f>L41+V42-AF42</f>
        <v/>
      </c>
      <c r="AQ42" s="160">
        <f>W42+MAX(0,MIN(AG42,'Debt Payoff'!$C$12-SUM($W42:$AF42)-SUMIFS($AG42:$AP42,$AG$4:$AP$4,"&lt;"&amp;AG$4)))</f>
        <v/>
      </c>
      <c r="AR42" s="160">
        <f>X42+MAX(0,MIN(AH42,'Debt Payoff'!$C$12-SUM($W42:$AF42)-SUMIFS($AG42:$AP42,$AG$4:$AP$4,"&lt;"&amp;AH$4)))</f>
        <v/>
      </c>
      <c r="AS42" s="160">
        <f>Y42+MAX(0,MIN(AI42,'Debt Payoff'!$C$12-SUM($W42:$AF42)-SUMIFS($AG42:$AP42,$AG$4:$AP$4,"&lt;"&amp;AI$4)))</f>
        <v/>
      </c>
      <c r="AT42" s="160">
        <f>Z42+MAX(0,MIN(AJ42,'Debt Payoff'!$C$12-SUM($W42:$AF42)-SUMIFS($AG42:$AP42,$AG$4:$AP$4,"&lt;"&amp;AJ$4)))</f>
        <v/>
      </c>
      <c r="AU42" s="160">
        <f>AA42+MAX(0,MIN(AK42,'Debt Payoff'!$C$12-SUM($W42:$AF42)-SUMIFS($AG42:$AP42,$AG$4:$AP$4,"&lt;"&amp;AK$4)))</f>
        <v/>
      </c>
      <c r="AV42" s="160">
        <f>AB42+MAX(0,MIN(AL42,'Debt Payoff'!$C$12-SUM($W42:$AF42)-SUMIFS($AG42:$AP42,$AG$4:$AP$4,"&lt;"&amp;AL$4)))</f>
        <v/>
      </c>
      <c r="AW42" s="160">
        <f>AC42+MAX(0,MIN(AM42,'Debt Payoff'!$C$12-SUM($W42:$AF42)-SUMIFS($AG42:$AP42,$AG$4:$AP$4,"&lt;"&amp;AM$4)))</f>
        <v/>
      </c>
      <c r="AX42" s="160">
        <f>AD42+MAX(0,MIN(AN42,'Debt Payoff'!$C$12-SUM($W42:$AF42)-SUMIFS($AG42:$AP42,$AG$4:$AP$4,"&lt;"&amp;AN$4)))</f>
        <v/>
      </c>
      <c r="AY42" s="160">
        <f>AE42+MAX(0,MIN(AO42,'Debt Payoff'!$C$12-SUM($W42:$AF42)-SUMIFS($AG42:$AP42,$AG$4:$AP$4,"&lt;"&amp;AO$4)))</f>
        <v/>
      </c>
      <c r="AZ42" s="160">
        <f>AF42+MAX(0,MIN(AP42,'Debt Payoff'!$C$12-SUM($W42:$AF42)-SUMIFS($AG42:$AP42,$AG$4:$AP$4,"&lt;"&amp;AP$4)))</f>
        <v/>
      </c>
      <c r="BA42" s="160">
        <f>SUM(C42:L42)</f>
        <v/>
      </c>
      <c r="BB42" s="160">
        <f>SUM(AQ42:AZ42)</f>
        <v/>
      </c>
      <c r="BC42" s="160">
        <f>SUM(M42:V42)</f>
        <v/>
      </c>
    </row>
    <row r="43">
      <c r="A43" s="157" t="n">
        <v>38</v>
      </c>
      <c r="B43" s="159">
        <f>EDATE('Debt Payoff'!$C$6,37)</f>
        <v/>
      </c>
      <c r="C43" s="160">
        <f>MAX(0,ROUND(C42+M43-AQ43,2))</f>
        <v/>
      </c>
      <c r="D43" s="160">
        <f>MAX(0,ROUND(D42+N43-AR43,2))</f>
        <v/>
      </c>
      <c r="E43" s="160">
        <f>MAX(0,ROUND(E42+O43-AS43,2))</f>
        <v/>
      </c>
      <c r="F43" s="160">
        <f>MAX(0,ROUND(F42+P43-AT43,2))</f>
        <v/>
      </c>
      <c r="G43" s="160">
        <f>MAX(0,ROUND(G42+Q43-AU43,2))</f>
        <v/>
      </c>
      <c r="H43" s="160">
        <f>MAX(0,ROUND(H42+R43-AV43,2))</f>
        <v/>
      </c>
      <c r="I43" s="160">
        <f>MAX(0,ROUND(I42+S43-AW43,2))</f>
        <v/>
      </c>
      <c r="J43" s="160">
        <f>MAX(0,ROUND(J42+T43-AX43,2))</f>
        <v/>
      </c>
      <c r="K43" s="160">
        <f>MAX(0,ROUND(K42+U43-AY43,2))</f>
        <v/>
      </c>
      <c r="L43" s="160">
        <f>MAX(0,ROUND(L42+V43-AZ43,2))</f>
        <v/>
      </c>
      <c r="M43" s="160">
        <f>C42*N('Debt Payoff'!$D$15)/12</f>
        <v/>
      </c>
      <c r="N43" s="160">
        <f>D42*N('Debt Payoff'!$D$16)/12</f>
        <v/>
      </c>
      <c r="O43" s="160">
        <f>E42*N('Debt Payoff'!$D$17)/12</f>
        <v/>
      </c>
      <c r="P43" s="160">
        <f>F42*N('Debt Payoff'!$D$18)/12</f>
        <v/>
      </c>
      <c r="Q43" s="160">
        <f>G42*N('Debt Payoff'!$D$19)/12</f>
        <v/>
      </c>
      <c r="R43" s="160">
        <f>H42*N('Debt Payoff'!$D$20)/12</f>
        <v/>
      </c>
      <c r="S43" s="160">
        <f>I42*N('Debt Payoff'!$D$21)/12</f>
        <v/>
      </c>
      <c r="T43" s="160">
        <f>J42*N('Debt Payoff'!$D$22)/12</f>
        <v/>
      </c>
      <c r="U43" s="160">
        <f>K42*N('Debt Payoff'!$D$23)/12</f>
        <v/>
      </c>
      <c r="V43" s="160">
        <f>L42*N('Debt Payoff'!$D$24)/12</f>
        <v/>
      </c>
      <c r="W43" s="160">
        <f>MIN(N('Debt Payoff'!$E$15),C42+M43)</f>
        <v/>
      </c>
      <c r="X43" s="160">
        <f>MIN(N('Debt Payoff'!$E$16),D42+N43)</f>
        <v/>
      </c>
      <c r="Y43" s="160">
        <f>MIN(N('Debt Payoff'!$E$17),E42+O43)</f>
        <v/>
      </c>
      <c r="Z43" s="160">
        <f>MIN(N('Debt Payoff'!$E$18),F42+P43)</f>
        <v/>
      </c>
      <c r="AA43" s="160">
        <f>MIN(N('Debt Payoff'!$E$19),G42+Q43)</f>
        <v/>
      </c>
      <c r="AB43" s="160">
        <f>MIN(N('Debt Payoff'!$E$20),H42+R43)</f>
        <v/>
      </c>
      <c r="AC43" s="160">
        <f>MIN(N('Debt Payoff'!$E$21),I42+S43)</f>
        <v/>
      </c>
      <c r="AD43" s="160">
        <f>MIN(N('Debt Payoff'!$E$22),J42+T43)</f>
        <v/>
      </c>
      <c r="AE43" s="160">
        <f>MIN(N('Debt Payoff'!$E$23),K42+U43)</f>
        <v/>
      </c>
      <c r="AF43" s="160">
        <f>MIN(N('Debt Payoff'!$E$24),L42+V43)</f>
        <v/>
      </c>
      <c r="AG43" s="160">
        <f>C42+M43-W43</f>
        <v/>
      </c>
      <c r="AH43" s="160">
        <f>D42+N43-X43</f>
        <v/>
      </c>
      <c r="AI43" s="160">
        <f>E42+O43-Y43</f>
        <v/>
      </c>
      <c r="AJ43" s="160">
        <f>F42+P43-Z43</f>
        <v/>
      </c>
      <c r="AK43" s="160">
        <f>G42+Q43-AA43</f>
        <v/>
      </c>
      <c r="AL43" s="160">
        <f>H42+R43-AB43</f>
        <v/>
      </c>
      <c r="AM43" s="160">
        <f>I42+S43-AC43</f>
        <v/>
      </c>
      <c r="AN43" s="160">
        <f>J42+T43-AD43</f>
        <v/>
      </c>
      <c r="AO43" s="160">
        <f>K42+U43-AE43</f>
        <v/>
      </c>
      <c r="AP43" s="160">
        <f>L42+V43-AF43</f>
        <v/>
      </c>
      <c r="AQ43" s="160">
        <f>W43+MAX(0,MIN(AG43,'Debt Payoff'!$C$12-SUM($W43:$AF43)-SUMIFS($AG43:$AP43,$AG$4:$AP$4,"&lt;"&amp;AG$4)))</f>
        <v/>
      </c>
      <c r="AR43" s="160">
        <f>X43+MAX(0,MIN(AH43,'Debt Payoff'!$C$12-SUM($W43:$AF43)-SUMIFS($AG43:$AP43,$AG$4:$AP$4,"&lt;"&amp;AH$4)))</f>
        <v/>
      </c>
      <c r="AS43" s="160">
        <f>Y43+MAX(0,MIN(AI43,'Debt Payoff'!$C$12-SUM($W43:$AF43)-SUMIFS($AG43:$AP43,$AG$4:$AP$4,"&lt;"&amp;AI$4)))</f>
        <v/>
      </c>
      <c r="AT43" s="160">
        <f>Z43+MAX(0,MIN(AJ43,'Debt Payoff'!$C$12-SUM($W43:$AF43)-SUMIFS($AG43:$AP43,$AG$4:$AP$4,"&lt;"&amp;AJ$4)))</f>
        <v/>
      </c>
      <c r="AU43" s="160">
        <f>AA43+MAX(0,MIN(AK43,'Debt Payoff'!$C$12-SUM($W43:$AF43)-SUMIFS($AG43:$AP43,$AG$4:$AP$4,"&lt;"&amp;AK$4)))</f>
        <v/>
      </c>
      <c r="AV43" s="160">
        <f>AB43+MAX(0,MIN(AL43,'Debt Payoff'!$C$12-SUM($W43:$AF43)-SUMIFS($AG43:$AP43,$AG$4:$AP$4,"&lt;"&amp;AL$4)))</f>
        <v/>
      </c>
      <c r="AW43" s="160">
        <f>AC43+MAX(0,MIN(AM43,'Debt Payoff'!$C$12-SUM($W43:$AF43)-SUMIFS($AG43:$AP43,$AG$4:$AP$4,"&lt;"&amp;AM$4)))</f>
        <v/>
      </c>
      <c r="AX43" s="160">
        <f>AD43+MAX(0,MIN(AN43,'Debt Payoff'!$C$12-SUM($W43:$AF43)-SUMIFS($AG43:$AP43,$AG$4:$AP$4,"&lt;"&amp;AN$4)))</f>
        <v/>
      </c>
      <c r="AY43" s="160">
        <f>AE43+MAX(0,MIN(AO43,'Debt Payoff'!$C$12-SUM($W43:$AF43)-SUMIFS($AG43:$AP43,$AG$4:$AP$4,"&lt;"&amp;AO$4)))</f>
        <v/>
      </c>
      <c r="AZ43" s="160">
        <f>AF43+MAX(0,MIN(AP43,'Debt Payoff'!$C$12-SUM($W43:$AF43)-SUMIFS($AG43:$AP43,$AG$4:$AP$4,"&lt;"&amp;AP$4)))</f>
        <v/>
      </c>
      <c r="BA43" s="160">
        <f>SUM(C43:L43)</f>
        <v/>
      </c>
      <c r="BB43" s="160">
        <f>SUM(AQ43:AZ43)</f>
        <v/>
      </c>
      <c r="BC43" s="160">
        <f>SUM(M43:V43)</f>
        <v/>
      </c>
    </row>
    <row r="44">
      <c r="A44" s="157" t="n">
        <v>39</v>
      </c>
      <c r="B44" s="159">
        <f>EDATE('Debt Payoff'!$C$6,38)</f>
        <v/>
      </c>
      <c r="C44" s="160">
        <f>MAX(0,ROUND(C43+M44-AQ44,2))</f>
        <v/>
      </c>
      <c r="D44" s="160">
        <f>MAX(0,ROUND(D43+N44-AR44,2))</f>
        <v/>
      </c>
      <c r="E44" s="160">
        <f>MAX(0,ROUND(E43+O44-AS44,2))</f>
        <v/>
      </c>
      <c r="F44" s="160">
        <f>MAX(0,ROUND(F43+P44-AT44,2))</f>
        <v/>
      </c>
      <c r="G44" s="160">
        <f>MAX(0,ROUND(G43+Q44-AU44,2))</f>
        <v/>
      </c>
      <c r="H44" s="160">
        <f>MAX(0,ROUND(H43+R44-AV44,2))</f>
        <v/>
      </c>
      <c r="I44" s="160">
        <f>MAX(0,ROUND(I43+S44-AW44,2))</f>
        <v/>
      </c>
      <c r="J44" s="160">
        <f>MAX(0,ROUND(J43+T44-AX44,2))</f>
        <v/>
      </c>
      <c r="K44" s="160">
        <f>MAX(0,ROUND(K43+U44-AY44,2))</f>
        <v/>
      </c>
      <c r="L44" s="160">
        <f>MAX(0,ROUND(L43+V44-AZ44,2))</f>
        <v/>
      </c>
      <c r="M44" s="160">
        <f>C43*N('Debt Payoff'!$D$15)/12</f>
        <v/>
      </c>
      <c r="N44" s="160">
        <f>D43*N('Debt Payoff'!$D$16)/12</f>
        <v/>
      </c>
      <c r="O44" s="160">
        <f>E43*N('Debt Payoff'!$D$17)/12</f>
        <v/>
      </c>
      <c r="P44" s="160">
        <f>F43*N('Debt Payoff'!$D$18)/12</f>
        <v/>
      </c>
      <c r="Q44" s="160">
        <f>G43*N('Debt Payoff'!$D$19)/12</f>
        <v/>
      </c>
      <c r="R44" s="160">
        <f>H43*N('Debt Payoff'!$D$20)/12</f>
        <v/>
      </c>
      <c r="S44" s="160">
        <f>I43*N('Debt Payoff'!$D$21)/12</f>
        <v/>
      </c>
      <c r="T44" s="160">
        <f>J43*N('Debt Payoff'!$D$22)/12</f>
        <v/>
      </c>
      <c r="U44" s="160">
        <f>K43*N('Debt Payoff'!$D$23)/12</f>
        <v/>
      </c>
      <c r="V44" s="160">
        <f>L43*N('Debt Payoff'!$D$24)/12</f>
        <v/>
      </c>
      <c r="W44" s="160">
        <f>MIN(N('Debt Payoff'!$E$15),C43+M44)</f>
        <v/>
      </c>
      <c r="X44" s="160">
        <f>MIN(N('Debt Payoff'!$E$16),D43+N44)</f>
        <v/>
      </c>
      <c r="Y44" s="160">
        <f>MIN(N('Debt Payoff'!$E$17),E43+O44)</f>
        <v/>
      </c>
      <c r="Z44" s="160">
        <f>MIN(N('Debt Payoff'!$E$18),F43+P44)</f>
        <v/>
      </c>
      <c r="AA44" s="160">
        <f>MIN(N('Debt Payoff'!$E$19),G43+Q44)</f>
        <v/>
      </c>
      <c r="AB44" s="160">
        <f>MIN(N('Debt Payoff'!$E$20),H43+R44)</f>
        <v/>
      </c>
      <c r="AC44" s="160">
        <f>MIN(N('Debt Payoff'!$E$21),I43+S44)</f>
        <v/>
      </c>
      <c r="AD44" s="160">
        <f>MIN(N('Debt Payoff'!$E$22),J43+T44)</f>
        <v/>
      </c>
      <c r="AE44" s="160">
        <f>MIN(N('Debt Payoff'!$E$23),K43+U44)</f>
        <v/>
      </c>
      <c r="AF44" s="160">
        <f>MIN(N('Debt Payoff'!$E$24),L43+V44)</f>
        <v/>
      </c>
      <c r="AG44" s="160">
        <f>C43+M44-W44</f>
        <v/>
      </c>
      <c r="AH44" s="160">
        <f>D43+N44-X44</f>
        <v/>
      </c>
      <c r="AI44" s="160">
        <f>E43+O44-Y44</f>
        <v/>
      </c>
      <c r="AJ44" s="160">
        <f>F43+P44-Z44</f>
        <v/>
      </c>
      <c r="AK44" s="160">
        <f>G43+Q44-AA44</f>
        <v/>
      </c>
      <c r="AL44" s="160">
        <f>H43+R44-AB44</f>
        <v/>
      </c>
      <c r="AM44" s="160">
        <f>I43+S44-AC44</f>
        <v/>
      </c>
      <c r="AN44" s="160">
        <f>J43+T44-AD44</f>
        <v/>
      </c>
      <c r="AO44" s="160">
        <f>K43+U44-AE44</f>
        <v/>
      </c>
      <c r="AP44" s="160">
        <f>L43+V44-AF44</f>
        <v/>
      </c>
      <c r="AQ44" s="160">
        <f>W44+MAX(0,MIN(AG44,'Debt Payoff'!$C$12-SUM($W44:$AF44)-SUMIFS($AG44:$AP44,$AG$4:$AP$4,"&lt;"&amp;AG$4)))</f>
        <v/>
      </c>
      <c r="AR44" s="160">
        <f>X44+MAX(0,MIN(AH44,'Debt Payoff'!$C$12-SUM($W44:$AF44)-SUMIFS($AG44:$AP44,$AG$4:$AP$4,"&lt;"&amp;AH$4)))</f>
        <v/>
      </c>
      <c r="AS44" s="160">
        <f>Y44+MAX(0,MIN(AI44,'Debt Payoff'!$C$12-SUM($W44:$AF44)-SUMIFS($AG44:$AP44,$AG$4:$AP$4,"&lt;"&amp;AI$4)))</f>
        <v/>
      </c>
      <c r="AT44" s="160">
        <f>Z44+MAX(0,MIN(AJ44,'Debt Payoff'!$C$12-SUM($W44:$AF44)-SUMIFS($AG44:$AP44,$AG$4:$AP$4,"&lt;"&amp;AJ$4)))</f>
        <v/>
      </c>
      <c r="AU44" s="160">
        <f>AA44+MAX(0,MIN(AK44,'Debt Payoff'!$C$12-SUM($W44:$AF44)-SUMIFS($AG44:$AP44,$AG$4:$AP$4,"&lt;"&amp;AK$4)))</f>
        <v/>
      </c>
      <c r="AV44" s="160">
        <f>AB44+MAX(0,MIN(AL44,'Debt Payoff'!$C$12-SUM($W44:$AF44)-SUMIFS($AG44:$AP44,$AG$4:$AP$4,"&lt;"&amp;AL$4)))</f>
        <v/>
      </c>
      <c r="AW44" s="160">
        <f>AC44+MAX(0,MIN(AM44,'Debt Payoff'!$C$12-SUM($W44:$AF44)-SUMIFS($AG44:$AP44,$AG$4:$AP$4,"&lt;"&amp;AM$4)))</f>
        <v/>
      </c>
      <c r="AX44" s="160">
        <f>AD44+MAX(0,MIN(AN44,'Debt Payoff'!$C$12-SUM($W44:$AF44)-SUMIFS($AG44:$AP44,$AG$4:$AP$4,"&lt;"&amp;AN$4)))</f>
        <v/>
      </c>
      <c r="AY44" s="160">
        <f>AE44+MAX(0,MIN(AO44,'Debt Payoff'!$C$12-SUM($W44:$AF44)-SUMIFS($AG44:$AP44,$AG$4:$AP$4,"&lt;"&amp;AO$4)))</f>
        <v/>
      </c>
      <c r="AZ44" s="160">
        <f>AF44+MAX(0,MIN(AP44,'Debt Payoff'!$C$12-SUM($W44:$AF44)-SUMIFS($AG44:$AP44,$AG$4:$AP$4,"&lt;"&amp;AP$4)))</f>
        <v/>
      </c>
      <c r="BA44" s="160">
        <f>SUM(C44:L44)</f>
        <v/>
      </c>
      <c r="BB44" s="160">
        <f>SUM(AQ44:AZ44)</f>
        <v/>
      </c>
      <c r="BC44" s="160">
        <f>SUM(M44:V44)</f>
        <v/>
      </c>
    </row>
    <row r="45">
      <c r="A45" s="157" t="n">
        <v>40</v>
      </c>
      <c r="B45" s="159">
        <f>EDATE('Debt Payoff'!$C$6,39)</f>
        <v/>
      </c>
      <c r="C45" s="160">
        <f>MAX(0,ROUND(C44+M45-AQ45,2))</f>
        <v/>
      </c>
      <c r="D45" s="160">
        <f>MAX(0,ROUND(D44+N45-AR45,2))</f>
        <v/>
      </c>
      <c r="E45" s="160">
        <f>MAX(0,ROUND(E44+O45-AS45,2))</f>
        <v/>
      </c>
      <c r="F45" s="160">
        <f>MAX(0,ROUND(F44+P45-AT45,2))</f>
        <v/>
      </c>
      <c r="G45" s="160">
        <f>MAX(0,ROUND(G44+Q45-AU45,2))</f>
        <v/>
      </c>
      <c r="H45" s="160">
        <f>MAX(0,ROUND(H44+R45-AV45,2))</f>
        <v/>
      </c>
      <c r="I45" s="160">
        <f>MAX(0,ROUND(I44+S45-AW45,2))</f>
        <v/>
      </c>
      <c r="J45" s="160">
        <f>MAX(0,ROUND(J44+T45-AX45,2))</f>
        <v/>
      </c>
      <c r="K45" s="160">
        <f>MAX(0,ROUND(K44+U45-AY45,2))</f>
        <v/>
      </c>
      <c r="L45" s="160">
        <f>MAX(0,ROUND(L44+V45-AZ45,2))</f>
        <v/>
      </c>
      <c r="M45" s="160">
        <f>C44*N('Debt Payoff'!$D$15)/12</f>
        <v/>
      </c>
      <c r="N45" s="160">
        <f>D44*N('Debt Payoff'!$D$16)/12</f>
        <v/>
      </c>
      <c r="O45" s="160">
        <f>E44*N('Debt Payoff'!$D$17)/12</f>
        <v/>
      </c>
      <c r="P45" s="160">
        <f>F44*N('Debt Payoff'!$D$18)/12</f>
        <v/>
      </c>
      <c r="Q45" s="160">
        <f>G44*N('Debt Payoff'!$D$19)/12</f>
        <v/>
      </c>
      <c r="R45" s="160">
        <f>H44*N('Debt Payoff'!$D$20)/12</f>
        <v/>
      </c>
      <c r="S45" s="160">
        <f>I44*N('Debt Payoff'!$D$21)/12</f>
        <v/>
      </c>
      <c r="T45" s="160">
        <f>J44*N('Debt Payoff'!$D$22)/12</f>
        <v/>
      </c>
      <c r="U45" s="160">
        <f>K44*N('Debt Payoff'!$D$23)/12</f>
        <v/>
      </c>
      <c r="V45" s="160">
        <f>L44*N('Debt Payoff'!$D$24)/12</f>
        <v/>
      </c>
      <c r="W45" s="160">
        <f>MIN(N('Debt Payoff'!$E$15),C44+M45)</f>
        <v/>
      </c>
      <c r="X45" s="160">
        <f>MIN(N('Debt Payoff'!$E$16),D44+N45)</f>
        <v/>
      </c>
      <c r="Y45" s="160">
        <f>MIN(N('Debt Payoff'!$E$17),E44+O45)</f>
        <v/>
      </c>
      <c r="Z45" s="160">
        <f>MIN(N('Debt Payoff'!$E$18),F44+P45)</f>
        <v/>
      </c>
      <c r="AA45" s="160">
        <f>MIN(N('Debt Payoff'!$E$19),G44+Q45)</f>
        <v/>
      </c>
      <c r="AB45" s="160">
        <f>MIN(N('Debt Payoff'!$E$20),H44+R45)</f>
        <v/>
      </c>
      <c r="AC45" s="160">
        <f>MIN(N('Debt Payoff'!$E$21),I44+S45)</f>
        <v/>
      </c>
      <c r="AD45" s="160">
        <f>MIN(N('Debt Payoff'!$E$22),J44+T45)</f>
        <v/>
      </c>
      <c r="AE45" s="160">
        <f>MIN(N('Debt Payoff'!$E$23),K44+U45)</f>
        <v/>
      </c>
      <c r="AF45" s="160">
        <f>MIN(N('Debt Payoff'!$E$24),L44+V45)</f>
        <v/>
      </c>
      <c r="AG45" s="160">
        <f>C44+M45-W45</f>
        <v/>
      </c>
      <c r="AH45" s="160">
        <f>D44+N45-X45</f>
        <v/>
      </c>
      <c r="AI45" s="160">
        <f>E44+O45-Y45</f>
        <v/>
      </c>
      <c r="AJ45" s="160">
        <f>F44+P45-Z45</f>
        <v/>
      </c>
      <c r="AK45" s="160">
        <f>G44+Q45-AA45</f>
        <v/>
      </c>
      <c r="AL45" s="160">
        <f>H44+R45-AB45</f>
        <v/>
      </c>
      <c r="AM45" s="160">
        <f>I44+S45-AC45</f>
        <v/>
      </c>
      <c r="AN45" s="160">
        <f>J44+T45-AD45</f>
        <v/>
      </c>
      <c r="AO45" s="160">
        <f>K44+U45-AE45</f>
        <v/>
      </c>
      <c r="AP45" s="160">
        <f>L44+V45-AF45</f>
        <v/>
      </c>
      <c r="AQ45" s="160">
        <f>W45+MAX(0,MIN(AG45,'Debt Payoff'!$C$12-SUM($W45:$AF45)-SUMIFS($AG45:$AP45,$AG$4:$AP$4,"&lt;"&amp;AG$4)))</f>
        <v/>
      </c>
      <c r="AR45" s="160">
        <f>X45+MAX(0,MIN(AH45,'Debt Payoff'!$C$12-SUM($W45:$AF45)-SUMIFS($AG45:$AP45,$AG$4:$AP$4,"&lt;"&amp;AH$4)))</f>
        <v/>
      </c>
      <c r="AS45" s="160">
        <f>Y45+MAX(0,MIN(AI45,'Debt Payoff'!$C$12-SUM($W45:$AF45)-SUMIFS($AG45:$AP45,$AG$4:$AP$4,"&lt;"&amp;AI$4)))</f>
        <v/>
      </c>
      <c r="AT45" s="160">
        <f>Z45+MAX(0,MIN(AJ45,'Debt Payoff'!$C$12-SUM($W45:$AF45)-SUMIFS($AG45:$AP45,$AG$4:$AP$4,"&lt;"&amp;AJ$4)))</f>
        <v/>
      </c>
      <c r="AU45" s="160">
        <f>AA45+MAX(0,MIN(AK45,'Debt Payoff'!$C$12-SUM($W45:$AF45)-SUMIFS($AG45:$AP45,$AG$4:$AP$4,"&lt;"&amp;AK$4)))</f>
        <v/>
      </c>
      <c r="AV45" s="160">
        <f>AB45+MAX(0,MIN(AL45,'Debt Payoff'!$C$12-SUM($W45:$AF45)-SUMIFS($AG45:$AP45,$AG$4:$AP$4,"&lt;"&amp;AL$4)))</f>
        <v/>
      </c>
      <c r="AW45" s="160">
        <f>AC45+MAX(0,MIN(AM45,'Debt Payoff'!$C$12-SUM($W45:$AF45)-SUMIFS($AG45:$AP45,$AG$4:$AP$4,"&lt;"&amp;AM$4)))</f>
        <v/>
      </c>
      <c r="AX45" s="160">
        <f>AD45+MAX(0,MIN(AN45,'Debt Payoff'!$C$12-SUM($W45:$AF45)-SUMIFS($AG45:$AP45,$AG$4:$AP$4,"&lt;"&amp;AN$4)))</f>
        <v/>
      </c>
      <c r="AY45" s="160">
        <f>AE45+MAX(0,MIN(AO45,'Debt Payoff'!$C$12-SUM($W45:$AF45)-SUMIFS($AG45:$AP45,$AG$4:$AP$4,"&lt;"&amp;AO$4)))</f>
        <v/>
      </c>
      <c r="AZ45" s="160">
        <f>AF45+MAX(0,MIN(AP45,'Debt Payoff'!$C$12-SUM($W45:$AF45)-SUMIFS($AG45:$AP45,$AG$4:$AP$4,"&lt;"&amp;AP$4)))</f>
        <v/>
      </c>
      <c r="BA45" s="160">
        <f>SUM(C45:L45)</f>
        <v/>
      </c>
      <c r="BB45" s="160">
        <f>SUM(AQ45:AZ45)</f>
        <v/>
      </c>
      <c r="BC45" s="160">
        <f>SUM(M45:V45)</f>
        <v/>
      </c>
    </row>
    <row r="46">
      <c r="A46" s="157" t="n">
        <v>41</v>
      </c>
      <c r="B46" s="159">
        <f>EDATE('Debt Payoff'!$C$6,40)</f>
        <v/>
      </c>
      <c r="C46" s="160">
        <f>MAX(0,ROUND(C45+M46-AQ46,2))</f>
        <v/>
      </c>
      <c r="D46" s="160">
        <f>MAX(0,ROUND(D45+N46-AR46,2))</f>
        <v/>
      </c>
      <c r="E46" s="160">
        <f>MAX(0,ROUND(E45+O46-AS46,2))</f>
        <v/>
      </c>
      <c r="F46" s="160">
        <f>MAX(0,ROUND(F45+P46-AT46,2))</f>
        <v/>
      </c>
      <c r="G46" s="160">
        <f>MAX(0,ROUND(G45+Q46-AU46,2))</f>
        <v/>
      </c>
      <c r="H46" s="160">
        <f>MAX(0,ROUND(H45+R46-AV46,2))</f>
        <v/>
      </c>
      <c r="I46" s="160">
        <f>MAX(0,ROUND(I45+S46-AW46,2))</f>
        <v/>
      </c>
      <c r="J46" s="160">
        <f>MAX(0,ROUND(J45+T46-AX46,2))</f>
        <v/>
      </c>
      <c r="K46" s="160">
        <f>MAX(0,ROUND(K45+U46-AY46,2))</f>
        <v/>
      </c>
      <c r="L46" s="160">
        <f>MAX(0,ROUND(L45+V46-AZ46,2))</f>
        <v/>
      </c>
      <c r="M46" s="160">
        <f>C45*N('Debt Payoff'!$D$15)/12</f>
        <v/>
      </c>
      <c r="N46" s="160">
        <f>D45*N('Debt Payoff'!$D$16)/12</f>
        <v/>
      </c>
      <c r="O46" s="160">
        <f>E45*N('Debt Payoff'!$D$17)/12</f>
        <v/>
      </c>
      <c r="P46" s="160">
        <f>F45*N('Debt Payoff'!$D$18)/12</f>
        <v/>
      </c>
      <c r="Q46" s="160">
        <f>G45*N('Debt Payoff'!$D$19)/12</f>
        <v/>
      </c>
      <c r="R46" s="160">
        <f>H45*N('Debt Payoff'!$D$20)/12</f>
        <v/>
      </c>
      <c r="S46" s="160">
        <f>I45*N('Debt Payoff'!$D$21)/12</f>
        <v/>
      </c>
      <c r="T46" s="160">
        <f>J45*N('Debt Payoff'!$D$22)/12</f>
        <v/>
      </c>
      <c r="U46" s="160">
        <f>K45*N('Debt Payoff'!$D$23)/12</f>
        <v/>
      </c>
      <c r="V46" s="160">
        <f>L45*N('Debt Payoff'!$D$24)/12</f>
        <v/>
      </c>
      <c r="W46" s="160">
        <f>MIN(N('Debt Payoff'!$E$15),C45+M46)</f>
        <v/>
      </c>
      <c r="X46" s="160">
        <f>MIN(N('Debt Payoff'!$E$16),D45+N46)</f>
        <v/>
      </c>
      <c r="Y46" s="160">
        <f>MIN(N('Debt Payoff'!$E$17),E45+O46)</f>
        <v/>
      </c>
      <c r="Z46" s="160">
        <f>MIN(N('Debt Payoff'!$E$18),F45+P46)</f>
        <v/>
      </c>
      <c r="AA46" s="160">
        <f>MIN(N('Debt Payoff'!$E$19),G45+Q46)</f>
        <v/>
      </c>
      <c r="AB46" s="160">
        <f>MIN(N('Debt Payoff'!$E$20),H45+R46)</f>
        <v/>
      </c>
      <c r="AC46" s="160">
        <f>MIN(N('Debt Payoff'!$E$21),I45+S46)</f>
        <v/>
      </c>
      <c r="AD46" s="160">
        <f>MIN(N('Debt Payoff'!$E$22),J45+T46)</f>
        <v/>
      </c>
      <c r="AE46" s="160">
        <f>MIN(N('Debt Payoff'!$E$23),K45+U46)</f>
        <v/>
      </c>
      <c r="AF46" s="160">
        <f>MIN(N('Debt Payoff'!$E$24),L45+V46)</f>
        <v/>
      </c>
      <c r="AG46" s="160">
        <f>C45+M46-W46</f>
        <v/>
      </c>
      <c r="AH46" s="160">
        <f>D45+N46-X46</f>
        <v/>
      </c>
      <c r="AI46" s="160">
        <f>E45+O46-Y46</f>
        <v/>
      </c>
      <c r="AJ46" s="160">
        <f>F45+P46-Z46</f>
        <v/>
      </c>
      <c r="AK46" s="160">
        <f>G45+Q46-AA46</f>
        <v/>
      </c>
      <c r="AL46" s="160">
        <f>H45+R46-AB46</f>
        <v/>
      </c>
      <c r="AM46" s="160">
        <f>I45+S46-AC46</f>
        <v/>
      </c>
      <c r="AN46" s="160">
        <f>J45+T46-AD46</f>
        <v/>
      </c>
      <c r="AO46" s="160">
        <f>K45+U46-AE46</f>
        <v/>
      </c>
      <c r="AP46" s="160">
        <f>L45+V46-AF46</f>
        <v/>
      </c>
      <c r="AQ46" s="160">
        <f>W46+MAX(0,MIN(AG46,'Debt Payoff'!$C$12-SUM($W46:$AF46)-SUMIFS($AG46:$AP46,$AG$4:$AP$4,"&lt;"&amp;AG$4)))</f>
        <v/>
      </c>
      <c r="AR46" s="160">
        <f>X46+MAX(0,MIN(AH46,'Debt Payoff'!$C$12-SUM($W46:$AF46)-SUMIFS($AG46:$AP46,$AG$4:$AP$4,"&lt;"&amp;AH$4)))</f>
        <v/>
      </c>
      <c r="AS46" s="160">
        <f>Y46+MAX(0,MIN(AI46,'Debt Payoff'!$C$12-SUM($W46:$AF46)-SUMIFS($AG46:$AP46,$AG$4:$AP$4,"&lt;"&amp;AI$4)))</f>
        <v/>
      </c>
      <c r="AT46" s="160">
        <f>Z46+MAX(0,MIN(AJ46,'Debt Payoff'!$C$12-SUM($W46:$AF46)-SUMIFS($AG46:$AP46,$AG$4:$AP$4,"&lt;"&amp;AJ$4)))</f>
        <v/>
      </c>
      <c r="AU46" s="160">
        <f>AA46+MAX(0,MIN(AK46,'Debt Payoff'!$C$12-SUM($W46:$AF46)-SUMIFS($AG46:$AP46,$AG$4:$AP$4,"&lt;"&amp;AK$4)))</f>
        <v/>
      </c>
      <c r="AV46" s="160">
        <f>AB46+MAX(0,MIN(AL46,'Debt Payoff'!$C$12-SUM($W46:$AF46)-SUMIFS($AG46:$AP46,$AG$4:$AP$4,"&lt;"&amp;AL$4)))</f>
        <v/>
      </c>
      <c r="AW46" s="160">
        <f>AC46+MAX(0,MIN(AM46,'Debt Payoff'!$C$12-SUM($W46:$AF46)-SUMIFS($AG46:$AP46,$AG$4:$AP$4,"&lt;"&amp;AM$4)))</f>
        <v/>
      </c>
      <c r="AX46" s="160">
        <f>AD46+MAX(0,MIN(AN46,'Debt Payoff'!$C$12-SUM($W46:$AF46)-SUMIFS($AG46:$AP46,$AG$4:$AP$4,"&lt;"&amp;AN$4)))</f>
        <v/>
      </c>
      <c r="AY46" s="160">
        <f>AE46+MAX(0,MIN(AO46,'Debt Payoff'!$C$12-SUM($W46:$AF46)-SUMIFS($AG46:$AP46,$AG$4:$AP$4,"&lt;"&amp;AO$4)))</f>
        <v/>
      </c>
      <c r="AZ46" s="160">
        <f>AF46+MAX(0,MIN(AP46,'Debt Payoff'!$C$12-SUM($W46:$AF46)-SUMIFS($AG46:$AP46,$AG$4:$AP$4,"&lt;"&amp;AP$4)))</f>
        <v/>
      </c>
      <c r="BA46" s="160">
        <f>SUM(C46:L46)</f>
        <v/>
      </c>
      <c r="BB46" s="160">
        <f>SUM(AQ46:AZ46)</f>
        <v/>
      </c>
      <c r="BC46" s="160">
        <f>SUM(M46:V46)</f>
        <v/>
      </c>
    </row>
    <row r="47">
      <c r="A47" s="157" t="n">
        <v>42</v>
      </c>
      <c r="B47" s="159">
        <f>EDATE('Debt Payoff'!$C$6,41)</f>
        <v/>
      </c>
      <c r="C47" s="160">
        <f>MAX(0,ROUND(C46+M47-AQ47,2))</f>
        <v/>
      </c>
      <c r="D47" s="160">
        <f>MAX(0,ROUND(D46+N47-AR47,2))</f>
        <v/>
      </c>
      <c r="E47" s="160">
        <f>MAX(0,ROUND(E46+O47-AS47,2))</f>
        <v/>
      </c>
      <c r="F47" s="160">
        <f>MAX(0,ROUND(F46+P47-AT47,2))</f>
        <v/>
      </c>
      <c r="G47" s="160">
        <f>MAX(0,ROUND(G46+Q47-AU47,2))</f>
        <v/>
      </c>
      <c r="H47" s="160">
        <f>MAX(0,ROUND(H46+R47-AV47,2))</f>
        <v/>
      </c>
      <c r="I47" s="160">
        <f>MAX(0,ROUND(I46+S47-AW47,2))</f>
        <v/>
      </c>
      <c r="J47" s="160">
        <f>MAX(0,ROUND(J46+T47-AX47,2))</f>
        <v/>
      </c>
      <c r="K47" s="160">
        <f>MAX(0,ROUND(K46+U47-AY47,2))</f>
        <v/>
      </c>
      <c r="L47" s="160">
        <f>MAX(0,ROUND(L46+V47-AZ47,2))</f>
        <v/>
      </c>
      <c r="M47" s="160">
        <f>C46*N('Debt Payoff'!$D$15)/12</f>
        <v/>
      </c>
      <c r="N47" s="160">
        <f>D46*N('Debt Payoff'!$D$16)/12</f>
        <v/>
      </c>
      <c r="O47" s="160">
        <f>E46*N('Debt Payoff'!$D$17)/12</f>
        <v/>
      </c>
      <c r="P47" s="160">
        <f>F46*N('Debt Payoff'!$D$18)/12</f>
        <v/>
      </c>
      <c r="Q47" s="160">
        <f>G46*N('Debt Payoff'!$D$19)/12</f>
        <v/>
      </c>
      <c r="R47" s="160">
        <f>H46*N('Debt Payoff'!$D$20)/12</f>
        <v/>
      </c>
      <c r="S47" s="160">
        <f>I46*N('Debt Payoff'!$D$21)/12</f>
        <v/>
      </c>
      <c r="T47" s="160">
        <f>J46*N('Debt Payoff'!$D$22)/12</f>
        <v/>
      </c>
      <c r="U47" s="160">
        <f>K46*N('Debt Payoff'!$D$23)/12</f>
        <v/>
      </c>
      <c r="V47" s="160">
        <f>L46*N('Debt Payoff'!$D$24)/12</f>
        <v/>
      </c>
      <c r="W47" s="160">
        <f>MIN(N('Debt Payoff'!$E$15),C46+M47)</f>
        <v/>
      </c>
      <c r="X47" s="160">
        <f>MIN(N('Debt Payoff'!$E$16),D46+N47)</f>
        <v/>
      </c>
      <c r="Y47" s="160">
        <f>MIN(N('Debt Payoff'!$E$17),E46+O47)</f>
        <v/>
      </c>
      <c r="Z47" s="160">
        <f>MIN(N('Debt Payoff'!$E$18),F46+P47)</f>
        <v/>
      </c>
      <c r="AA47" s="160">
        <f>MIN(N('Debt Payoff'!$E$19),G46+Q47)</f>
        <v/>
      </c>
      <c r="AB47" s="160">
        <f>MIN(N('Debt Payoff'!$E$20),H46+R47)</f>
        <v/>
      </c>
      <c r="AC47" s="160">
        <f>MIN(N('Debt Payoff'!$E$21),I46+S47)</f>
        <v/>
      </c>
      <c r="AD47" s="160">
        <f>MIN(N('Debt Payoff'!$E$22),J46+T47)</f>
        <v/>
      </c>
      <c r="AE47" s="160">
        <f>MIN(N('Debt Payoff'!$E$23),K46+U47)</f>
        <v/>
      </c>
      <c r="AF47" s="160">
        <f>MIN(N('Debt Payoff'!$E$24),L46+V47)</f>
        <v/>
      </c>
      <c r="AG47" s="160">
        <f>C46+M47-W47</f>
        <v/>
      </c>
      <c r="AH47" s="160">
        <f>D46+N47-X47</f>
        <v/>
      </c>
      <c r="AI47" s="160">
        <f>E46+O47-Y47</f>
        <v/>
      </c>
      <c r="AJ47" s="160">
        <f>F46+P47-Z47</f>
        <v/>
      </c>
      <c r="AK47" s="160">
        <f>G46+Q47-AA47</f>
        <v/>
      </c>
      <c r="AL47" s="160">
        <f>H46+R47-AB47</f>
        <v/>
      </c>
      <c r="AM47" s="160">
        <f>I46+S47-AC47</f>
        <v/>
      </c>
      <c r="AN47" s="160">
        <f>J46+T47-AD47</f>
        <v/>
      </c>
      <c r="AO47" s="160">
        <f>K46+U47-AE47</f>
        <v/>
      </c>
      <c r="AP47" s="160">
        <f>L46+V47-AF47</f>
        <v/>
      </c>
      <c r="AQ47" s="160">
        <f>W47+MAX(0,MIN(AG47,'Debt Payoff'!$C$12-SUM($W47:$AF47)-SUMIFS($AG47:$AP47,$AG$4:$AP$4,"&lt;"&amp;AG$4)))</f>
        <v/>
      </c>
      <c r="AR47" s="160">
        <f>X47+MAX(0,MIN(AH47,'Debt Payoff'!$C$12-SUM($W47:$AF47)-SUMIFS($AG47:$AP47,$AG$4:$AP$4,"&lt;"&amp;AH$4)))</f>
        <v/>
      </c>
      <c r="AS47" s="160">
        <f>Y47+MAX(0,MIN(AI47,'Debt Payoff'!$C$12-SUM($W47:$AF47)-SUMIFS($AG47:$AP47,$AG$4:$AP$4,"&lt;"&amp;AI$4)))</f>
        <v/>
      </c>
      <c r="AT47" s="160">
        <f>Z47+MAX(0,MIN(AJ47,'Debt Payoff'!$C$12-SUM($W47:$AF47)-SUMIFS($AG47:$AP47,$AG$4:$AP$4,"&lt;"&amp;AJ$4)))</f>
        <v/>
      </c>
      <c r="AU47" s="160">
        <f>AA47+MAX(0,MIN(AK47,'Debt Payoff'!$C$12-SUM($W47:$AF47)-SUMIFS($AG47:$AP47,$AG$4:$AP$4,"&lt;"&amp;AK$4)))</f>
        <v/>
      </c>
      <c r="AV47" s="160">
        <f>AB47+MAX(0,MIN(AL47,'Debt Payoff'!$C$12-SUM($W47:$AF47)-SUMIFS($AG47:$AP47,$AG$4:$AP$4,"&lt;"&amp;AL$4)))</f>
        <v/>
      </c>
      <c r="AW47" s="160">
        <f>AC47+MAX(0,MIN(AM47,'Debt Payoff'!$C$12-SUM($W47:$AF47)-SUMIFS($AG47:$AP47,$AG$4:$AP$4,"&lt;"&amp;AM$4)))</f>
        <v/>
      </c>
      <c r="AX47" s="160">
        <f>AD47+MAX(0,MIN(AN47,'Debt Payoff'!$C$12-SUM($W47:$AF47)-SUMIFS($AG47:$AP47,$AG$4:$AP$4,"&lt;"&amp;AN$4)))</f>
        <v/>
      </c>
      <c r="AY47" s="160">
        <f>AE47+MAX(0,MIN(AO47,'Debt Payoff'!$C$12-SUM($W47:$AF47)-SUMIFS($AG47:$AP47,$AG$4:$AP$4,"&lt;"&amp;AO$4)))</f>
        <v/>
      </c>
      <c r="AZ47" s="160">
        <f>AF47+MAX(0,MIN(AP47,'Debt Payoff'!$C$12-SUM($W47:$AF47)-SUMIFS($AG47:$AP47,$AG$4:$AP$4,"&lt;"&amp;AP$4)))</f>
        <v/>
      </c>
      <c r="BA47" s="160">
        <f>SUM(C47:L47)</f>
        <v/>
      </c>
      <c r="BB47" s="160">
        <f>SUM(AQ47:AZ47)</f>
        <v/>
      </c>
      <c r="BC47" s="160">
        <f>SUM(M47:V47)</f>
        <v/>
      </c>
    </row>
    <row r="48">
      <c r="A48" s="157" t="n">
        <v>43</v>
      </c>
      <c r="B48" s="159">
        <f>EDATE('Debt Payoff'!$C$6,42)</f>
        <v/>
      </c>
      <c r="C48" s="160">
        <f>MAX(0,ROUND(C47+M48-AQ48,2))</f>
        <v/>
      </c>
      <c r="D48" s="160">
        <f>MAX(0,ROUND(D47+N48-AR48,2))</f>
        <v/>
      </c>
      <c r="E48" s="160">
        <f>MAX(0,ROUND(E47+O48-AS48,2))</f>
        <v/>
      </c>
      <c r="F48" s="160">
        <f>MAX(0,ROUND(F47+P48-AT48,2))</f>
        <v/>
      </c>
      <c r="G48" s="160">
        <f>MAX(0,ROUND(G47+Q48-AU48,2))</f>
        <v/>
      </c>
      <c r="H48" s="160">
        <f>MAX(0,ROUND(H47+R48-AV48,2))</f>
        <v/>
      </c>
      <c r="I48" s="160">
        <f>MAX(0,ROUND(I47+S48-AW48,2))</f>
        <v/>
      </c>
      <c r="J48" s="160">
        <f>MAX(0,ROUND(J47+T48-AX48,2))</f>
        <v/>
      </c>
      <c r="K48" s="160">
        <f>MAX(0,ROUND(K47+U48-AY48,2))</f>
        <v/>
      </c>
      <c r="L48" s="160">
        <f>MAX(0,ROUND(L47+V48-AZ48,2))</f>
        <v/>
      </c>
      <c r="M48" s="160">
        <f>C47*N('Debt Payoff'!$D$15)/12</f>
        <v/>
      </c>
      <c r="N48" s="160">
        <f>D47*N('Debt Payoff'!$D$16)/12</f>
        <v/>
      </c>
      <c r="O48" s="160">
        <f>E47*N('Debt Payoff'!$D$17)/12</f>
        <v/>
      </c>
      <c r="P48" s="160">
        <f>F47*N('Debt Payoff'!$D$18)/12</f>
        <v/>
      </c>
      <c r="Q48" s="160">
        <f>G47*N('Debt Payoff'!$D$19)/12</f>
        <v/>
      </c>
      <c r="R48" s="160">
        <f>H47*N('Debt Payoff'!$D$20)/12</f>
        <v/>
      </c>
      <c r="S48" s="160">
        <f>I47*N('Debt Payoff'!$D$21)/12</f>
        <v/>
      </c>
      <c r="T48" s="160">
        <f>J47*N('Debt Payoff'!$D$22)/12</f>
        <v/>
      </c>
      <c r="U48" s="160">
        <f>K47*N('Debt Payoff'!$D$23)/12</f>
        <v/>
      </c>
      <c r="V48" s="160">
        <f>L47*N('Debt Payoff'!$D$24)/12</f>
        <v/>
      </c>
      <c r="W48" s="160">
        <f>MIN(N('Debt Payoff'!$E$15),C47+M48)</f>
        <v/>
      </c>
      <c r="X48" s="160">
        <f>MIN(N('Debt Payoff'!$E$16),D47+N48)</f>
        <v/>
      </c>
      <c r="Y48" s="160">
        <f>MIN(N('Debt Payoff'!$E$17),E47+O48)</f>
        <v/>
      </c>
      <c r="Z48" s="160">
        <f>MIN(N('Debt Payoff'!$E$18),F47+P48)</f>
        <v/>
      </c>
      <c r="AA48" s="160">
        <f>MIN(N('Debt Payoff'!$E$19),G47+Q48)</f>
        <v/>
      </c>
      <c r="AB48" s="160">
        <f>MIN(N('Debt Payoff'!$E$20),H47+R48)</f>
        <v/>
      </c>
      <c r="AC48" s="160">
        <f>MIN(N('Debt Payoff'!$E$21),I47+S48)</f>
        <v/>
      </c>
      <c r="AD48" s="160">
        <f>MIN(N('Debt Payoff'!$E$22),J47+T48)</f>
        <v/>
      </c>
      <c r="AE48" s="160">
        <f>MIN(N('Debt Payoff'!$E$23),K47+U48)</f>
        <v/>
      </c>
      <c r="AF48" s="160">
        <f>MIN(N('Debt Payoff'!$E$24),L47+V48)</f>
        <v/>
      </c>
      <c r="AG48" s="160">
        <f>C47+M48-W48</f>
        <v/>
      </c>
      <c r="AH48" s="160">
        <f>D47+N48-X48</f>
        <v/>
      </c>
      <c r="AI48" s="160">
        <f>E47+O48-Y48</f>
        <v/>
      </c>
      <c r="AJ48" s="160">
        <f>F47+P48-Z48</f>
        <v/>
      </c>
      <c r="AK48" s="160">
        <f>G47+Q48-AA48</f>
        <v/>
      </c>
      <c r="AL48" s="160">
        <f>H47+R48-AB48</f>
        <v/>
      </c>
      <c r="AM48" s="160">
        <f>I47+S48-AC48</f>
        <v/>
      </c>
      <c r="AN48" s="160">
        <f>J47+T48-AD48</f>
        <v/>
      </c>
      <c r="AO48" s="160">
        <f>K47+U48-AE48</f>
        <v/>
      </c>
      <c r="AP48" s="160">
        <f>L47+V48-AF48</f>
        <v/>
      </c>
      <c r="AQ48" s="160">
        <f>W48+MAX(0,MIN(AG48,'Debt Payoff'!$C$12-SUM($W48:$AF48)-SUMIFS($AG48:$AP48,$AG$4:$AP$4,"&lt;"&amp;AG$4)))</f>
        <v/>
      </c>
      <c r="AR48" s="160">
        <f>X48+MAX(0,MIN(AH48,'Debt Payoff'!$C$12-SUM($W48:$AF48)-SUMIFS($AG48:$AP48,$AG$4:$AP$4,"&lt;"&amp;AH$4)))</f>
        <v/>
      </c>
      <c r="AS48" s="160">
        <f>Y48+MAX(0,MIN(AI48,'Debt Payoff'!$C$12-SUM($W48:$AF48)-SUMIFS($AG48:$AP48,$AG$4:$AP$4,"&lt;"&amp;AI$4)))</f>
        <v/>
      </c>
      <c r="AT48" s="160">
        <f>Z48+MAX(0,MIN(AJ48,'Debt Payoff'!$C$12-SUM($W48:$AF48)-SUMIFS($AG48:$AP48,$AG$4:$AP$4,"&lt;"&amp;AJ$4)))</f>
        <v/>
      </c>
      <c r="AU48" s="160">
        <f>AA48+MAX(0,MIN(AK48,'Debt Payoff'!$C$12-SUM($W48:$AF48)-SUMIFS($AG48:$AP48,$AG$4:$AP$4,"&lt;"&amp;AK$4)))</f>
        <v/>
      </c>
      <c r="AV48" s="160">
        <f>AB48+MAX(0,MIN(AL48,'Debt Payoff'!$C$12-SUM($W48:$AF48)-SUMIFS($AG48:$AP48,$AG$4:$AP$4,"&lt;"&amp;AL$4)))</f>
        <v/>
      </c>
      <c r="AW48" s="160">
        <f>AC48+MAX(0,MIN(AM48,'Debt Payoff'!$C$12-SUM($W48:$AF48)-SUMIFS($AG48:$AP48,$AG$4:$AP$4,"&lt;"&amp;AM$4)))</f>
        <v/>
      </c>
      <c r="AX48" s="160">
        <f>AD48+MAX(0,MIN(AN48,'Debt Payoff'!$C$12-SUM($W48:$AF48)-SUMIFS($AG48:$AP48,$AG$4:$AP$4,"&lt;"&amp;AN$4)))</f>
        <v/>
      </c>
      <c r="AY48" s="160">
        <f>AE48+MAX(0,MIN(AO48,'Debt Payoff'!$C$12-SUM($W48:$AF48)-SUMIFS($AG48:$AP48,$AG$4:$AP$4,"&lt;"&amp;AO$4)))</f>
        <v/>
      </c>
      <c r="AZ48" s="160">
        <f>AF48+MAX(0,MIN(AP48,'Debt Payoff'!$C$12-SUM($W48:$AF48)-SUMIFS($AG48:$AP48,$AG$4:$AP$4,"&lt;"&amp;AP$4)))</f>
        <v/>
      </c>
      <c r="BA48" s="160">
        <f>SUM(C48:L48)</f>
        <v/>
      </c>
      <c r="BB48" s="160">
        <f>SUM(AQ48:AZ48)</f>
        <v/>
      </c>
      <c r="BC48" s="160">
        <f>SUM(M48:V48)</f>
        <v/>
      </c>
    </row>
    <row r="49">
      <c r="A49" s="157" t="n">
        <v>44</v>
      </c>
      <c r="B49" s="159">
        <f>EDATE('Debt Payoff'!$C$6,43)</f>
        <v/>
      </c>
      <c r="C49" s="160">
        <f>MAX(0,ROUND(C48+M49-AQ49,2))</f>
        <v/>
      </c>
      <c r="D49" s="160">
        <f>MAX(0,ROUND(D48+N49-AR49,2))</f>
        <v/>
      </c>
      <c r="E49" s="160">
        <f>MAX(0,ROUND(E48+O49-AS49,2))</f>
        <v/>
      </c>
      <c r="F49" s="160">
        <f>MAX(0,ROUND(F48+P49-AT49,2))</f>
        <v/>
      </c>
      <c r="G49" s="160">
        <f>MAX(0,ROUND(G48+Q49-AU49,2))</f>
        <v/>
      </c>
      <c r="H49" s="160">
        <f>MAX(0,ROUND(H48+R49-AV49,2))</f>
        <v/>
      </c>
      <c r="I49" s="160">
        <f>MAX(0,ROUND(I48+S49-AW49,2))</f>
        <v/>
      </c>
      <c r="J49" s="160">
        <f>MAX(0,ROUND(J48+T49-AX49,2))</f>
        <v/>
      </c>
      <c r="K49" s="160">
        <f>MAX(0,ROUND(K48+U49-AY49,2))</f>
        <v/>
      </c>
      <c r="L49" s="160">
        <f>MAX(0,ROUND(L48+V49-AZ49,2))</f>
        <v/>
      </c>
      <c r="M49" s="160">
        <f>C48*N('Debt Payoff'!$D$15)/12</f>
        <v/>
      </c>
      <c r="N49" s="160">
        <f>D48*N('Debt Payoff'!$D$16)/12</f>
        <v/>
      </c>
      <c r="O49" s="160">
        <f>E48*N('Debt Payoff'!$D$17)/12</f>
        <v/>
      </c>
      <c r="P49" s="160">
        <f>F48*N('Debt Payoff'!$D$18)/12</f>
        <v/>
      </c>
      <c r="Q49" s="160">
        <f>G48*N('Debt Payoff'!$D$19)/12</f>
        <v/>
      </c>
      <c r="R49" s="160">
        <f>H48*N('Debt Payoff'!$D$20)/12</f>
        <v/>
      </c>
      <c r="S49" s="160">
        <f>I48*N('Debt Payoff'!$D$21)/12</f>
        <v/>
      </c>
      <c r="T49" s="160">
        <f>J48*N('Debt Payoff'!$D$22)/12</f>
        <v/>
      </c>
      <c r="U49" s="160">
        <f>K48*N('Debt Payoff'!$D$23)/12</f>
        <v/>
      </c>
      <c r="V49" s="160">
        <f>L48*N('Debt Payoff'!$D$24)/12</f>
        <v/>
      </c>
      <c r="W49" s="160">
        <f>MIN(N('Debt Payoff'!$E$15),C48+M49)</f>
        <v/>
      </c>
      <c r="X49" s="160">
        <f>MIN(N('Debt Payoff'!$E$16),D48+N49)</f>
        <v/>
      </c>
      <c r="Y49" s="160">
        <f>MIN(N('Debt Payoff'!$E$17),E48+O49)</f>
        <v/>
      </c>
      <c r="Z49" s="160">
        <f>MIN(N('Debt Payoff'!$E$18),F48+P49)</f>
        <v/>
      </c>
      <c r="AA49" s="160">
        <f>MIN(N('Debt Payoff'!$E$19),G48+Q49)</f>
        <v/>
      </c>
      <c r="AB49" s="160">
        <f>MIN(N('Debt Payoff'!$E$20),H48+R49)</f>
        <v/>
      </c>
      <c r="AC49" s="160">
        <f>MIN(N('Debt Payoff'!$E$21),I48+S49)</f>
        <v/>
      </c>
      <c r="AD49" s="160">
        <f>MIN(N('Debt Payoff'!$E$22),J48+T49)</f>
        <v/>
      </c>
      <c r="AE49" s="160">
        <f>MIN(N('Debt Payoff'!$E$23),K48+U49)</f>
        <v/>
      </c>
      <c r="AF49" s="160">
        <f>MIN(N('Debt Payoff'!$E$24),L48+V49)</f>
        <v/>
      </c>
      <c r="AG49" s="160">
        <f>C48+M49-W49</f>
        <v/>
      </c>
      <c r="AH49" s="160">
        <f>D48+N49-X49</f>
        <v/>
      </c>
      <c r="AI49" s="160">
        <f>E48+O49-Y49</f>
        <v/>
      </c>
      <c r="AJ49" s="160">
        <f>F48+P49-Z49</f>
        <v/>
      </c>
      <c r="AK49" s="160">
        <f>G48+Q49-AA49</f>
        <v/>
      </c>
      <c r="AL49" s="160">
        <f>H48+R49-AB49</f>
        <v/>
      </c>
      <c r="AM49" s="160">
        <f>I48+S49-AC49</f>
        <v/>
      </c>
      <c r="AN49" s="160">
        <f>J48+T49-AD49</f>
        <v/>
      </c>
      <c r="AO49" s="160">
        <f>K48+U49-AE49</f>
        <v/>
      </c>
      <c r="AP49" s="160">
        <f>L48+V49-AF49</f>
        <v/>
      </c>
      <c r="AQ49" s="160">
        <f>W49+MAX(0,MIN(AG49,'Debt Payoff'!$C$12-SUM($W49:$AF49)-SUMIFS($AG49:$AP49,$AG$4:$AP$4,"&lt;"&amp;AG$4)))</f>
        <v/>
      </c>
      <c r="AR49" s="160">
        <f>X49+MAX(0,MIN(AH49,'Debt Payoff'!$C$12-SUM($W49:$AF49)-SUMIFS($AG49:$AP49,$AG$4:$AP$4,"&lt;"&amp;AH$4)))</f>
        <v/>
      </c>
      <c r="AS49" s="160">
        <f>Y49+MAX(0,MIN(AI49,'Debt Payoff'!$C$12-SUM($W49:$AF49)-SUMIFS($AG49:$AP49,$AG$4:$AP$4,"&lt;"&amp;AI$4)))</f>
        <v/>
      </c>
      <c r="AT49" s="160">
        <f>Z49+MAX(0,MIN(AJ49,'Debt Payoff'!$C$12-SUM($W49:$AF49)-SUMIFS($AG49:$AP49,$AG$4:$AP$4,"&lt;"&amp;AJ$4)))</f>
        <v/>
      </c>
      <c r="AU49" s="160">
        <f>AA49+MAX(0,MIN(AK49,'Debt Payoff'!$C$12-SUM($W49:$AF49)-SUMIFS($AG49:$AP49,$AG$4:$AP$4,"&lt;"&amp;AK$4)))</f>
        <v/>
      </c>
      <c r="AV49" s="160">
        <f>AB49+MAX(0,MIN(AL49,'Debt Payoff'!$C$12-SUM($W49:$AF49)-SUMIFS($AG49:$AP49,$AG$4:$AP$4,"&lt;"&amp;AL$4)))</f>
        <v/>
      </c>
      <c r="AW49" s="160">
        <f>AC49+MAX(0,MIN(AM49,'Debt Payoff'!$C$12-SUM($W49:$AF49)-SUMIFS($AG49:$AP49,$AG$4:$AP$4,"&lt;"&amp;AM$4)))</f>
        <v/>
      </c>
      <c r="AX49" s="160">
        <f>AD49+MAX(0,MIN(AN49,'Debt Payoff'!$C$12-SUM($W49:$AF49)-SUMIFS($AG49:$AP49,$AG$4:$AP$4,"&lt;"&amp;AN$4)))</f>
        <v/>
      </c>
      <c r="AY49" s="160">
        <f>AE49+MAX(0,MIN(AO49,'Debt Payoff'!$C$12-SUM($W49:$AF49)-SUMIFS($AG49:$AP49,$AG$4:$AP$4,"&lt;"&amp;AO$4)))</f>
        <v/>
      </c>
      <c r="AZ49" s="160">
        <f>AF49+MAX(0,MIN(AP49,'Debt Payoff'!$C$12-SUM($W49:$AF49)-SUMIFS($AG49:$AP49,$AG$4:$AP$4,"&lt;"&amp;AP$4)))</f>
        <v/>
      </c>
      <c r="BA49" s="160">
        <f>SUM(C49:L49)</f>
        <v/>
      </c>
      <c r="BB49" s="160">
        <f>SUM(AQ49:AZ49)</f>
        <v/>
      </c>
      <c r="BC49" s="160">
        <f>SUM(M49:V49)</f>
        <v/>
      </c>
    </row>
    <row r="50">
      <c r="A50" s="157" t="n">
        <v>45</v>
      </c>
      <c r="B50" s="159">
        <f>EDATE('Debt Payoff'!$C$6,44)</f>
        <v/>
      </c>
      <c r="C50" s="160">
        <f>MAX(0,ROUND(C49+M50-AQ50,2))</f>
        <v/>
      </c>
      <c r="D50" s="160">
        <f>MAX(0,ROUND(D49+N50-AR50,2))</f>
        <v/>
      </c>
      <c r="E50" s="160">
        <f>MAX(0,ROUND(E49+O50-AS50,2))</f>
        <v/>
      </c>
      <c r="F50" s="160">
        <f>MAX(0,ROUND(F49+P50-AT50,2))</f>
        <v/>
      </c>
      <c r="G50" s="160">
        <f>MAX(0,ROUND(G49+Q50-AU50,2))</f>
        <v/>
      </c>
      <c r="H50" s="160">
        <f>MAX(0,ROUND(H49+R50-AV50,2))</f>
        <v/>
      </c>
      <c r="I50" s="160">
        <f>MAX(0,ROUND(I49+S50-AW50,2))</f>
        <v/>
      </c>
      <c r="J50" s="160">
        <f>MAX(0,ROUND(J49+T50-AX50,2))</f>
        <v/>
      </c>
      <c r="K50" s="160">
        <f>MAX(0,ROUND(K49+U50-AY50,2))</f>
        <v/>
      </c>
      <c r="L50" s="160">
        <f>MAX(0,ROUND(L49+V50-AZ50,2))</f>
        <v/>
      </c>
      <c r="M50" s="160">
        <f>C49*N('Debt Payoff'!$D$15)/12</f>
        <v/>
      </c>
      <c r="N50" s="160">
        <f>D49*N('Debt Payoff'!$D$16)/12</f>
        <v/>
      </c>
      <c r="O50" s="160">
        <f>E49*N('Debt Payoff'!$D$17)/12</f>
        <v/>
      </c>
      <c r="P50" s="160">
        <f>F49*N('Debt Payoff'!$D$18)/12</f>
        <v/>
      </c>
      <c r="Q50" s="160">
        <f>G49*N('Debt Payoff'!$D$19)/12</f>
        <v/>
      </c>
      <c r="R50" s="160">
        <f>H49*N('Debt Payoff'!$D$20)/12</f>
        <v/>
      </c>
      <c r="S50" s="160">
        <f>I49*N('Debt Payoff'!$D$21)/12</f>
        <v/>
      </c>
      <c r="T50" s="160">
        <f>J49*N('Debt Payoff'!$D$22)/12</f>
        <v/>
      </c>
      <c r="U50" s="160">
        <f>K49*N('Debt Payoff'!$D$23)/12</f>
        <v/>
      </c>
      <c r="V50" s="160">
        <f>L49*N('Debt Payoff'!$D$24)/12</f>
        <v/>
      </c>
      <c r="W50" s="160">
        <f>MIN(N('Debt Payoff'!$E$15),C49+M50)</f>
        <v/>
      </c>
      <c r="X50" s="160">
        <f>MIN(N('Debt Payoff'!$E$16),D49+N50)</f>
        <v/>
      </c>
      <c r="Y50" s="160">
        <f>MIN(N('Debt Payoff'!$E$17),E49+O50)</f>
        <v/>
      </c>
      <c r="Z50" s="160">
        <f>MIN(N('Debt Payoff'!$E$18),F49+P50)</f>
        <v/>
      </c>
      <c r="AA50" s="160">
        <f>MIN(N('Debt Payoff'!$E$19),G49+Q50)</f>
        <v/>
      </c>
      <c r="AB50" s="160">
        <f>MIN(N('Debt Payoff'!$E$20),H49+R50)</f>
        <v/>
      </c>
      <c r="AC50" s="160">
        <f>MIN(N('Debt Payoff'!$E$21),I49+S50)</f>
        <v/>
      </c>
      <c r="AD50" s="160">
        <f>MIN(N('Debt Payoff'!$E$22),J49+T50)</f>
        <v/>
      </c>
      <c r="AE50" s="160">
        <f>MIN(N('Debt Payoff'!$E$23),K49+U50)</f>
        <v/>
      </c>
      <c r="AF50" s="160">
        <f>MIN(N('Debt Payoff'!$E$24),L49+V50)</f>
        <v/>
      </c>
      <c r="AG50" s="160">
        <f>C49+M50-W50</f>
        <v/>
      </c>
      <c r="AH50" s="160">
        <f>D49+N50-X50</f>
        <v/>
      </c>
      <c r="AI50" s="160">
        <f>E49+O50-Y50</f>
        <v/>
      </c>
      <c r="AJ50" s="160">
        <f>F49+P50-Z50</f>
        <v/>
      </c>
      <c r="AK50" s="160">
        <f>G49+Q50-AA50</f>
        <v/>
      </c>
      <c r="AL50" s="160">
        <f>H49+R50-AB50</f>
        <v/>
      </c>
      <c r="AM50" s="160">
        <f>I49+S50-AC50</f>
        <v/>
      </c>
      <c r="AN50" s="160">
        <f>J49+T50-AD50</f>
        <v/>
      </c>
      <c r="AO50" s="160">
        <f>K49+U50-AE50</f>
        <v/>
      </c>
      <c r="AP50" s="160">
        <f>L49+V50-AF50</f>
        <v/>
      </c>
      <c r="AQ50" s="160">
        <f>W50+MAX(0,MIN(AG50,'Debt Payoff'!$C$12-SUM($W50:$AF50)-SUMIFS($AG50:$AP50,$AG$4:$AP$4,"&lt;"&amp;AG$4)))</f>
        <v/>
      </c>
      <c r="AR50" s="160">
        <f>X50+MAX(0,MIN(AH50,'Debt Payoff'!$C$12-SUM($W50:$AF50)-SUMIFS($AG50:$AP50,$AG$4:$AP$4,"&lt;"&amp;AH$4)))</f>
        <v/>
      </c>
      <c r="AS50" s="160">
        <f>Y50+MAX(0,MIN(AI50,'Debt Payoff'!$C$12-SUM($W50:$AF50)-SUMIFS($AG50:$AP50,$AG$4:$AP$4,"&lt;"&amp;AI$4)))</f>
        <v/>
      </c>
      <c r="AT50" s="160">
        <f>Z50+MAX(0,MIN(AJ50,'Debt Payoff'!$C$12-SUM($W50:$AF50)-SUMIFS($AG50:$AP50,$AG$4:$AP$4,"&lt;"&amp;AJ$4)))</f>
        <v/>
      </c>
      <c r="AU50" s="160">
        <f>AA50+MAX(0,MIN(AK50,'Debt Payoff'!$C$12-SUM($W50:$AF50)-SUMIFS($AG50:$AP50,$AG$4:$AP$4,"&lt;"&amp;AK$4)))</f>
        <v/>
      </c>
      <c r="AV50" s="160">
        <f>AB50+MAX(0,MIN(AL50,'Debt Payoff'!$C$12-SUM($W50:$AF50)-SUMIFS($AG50:$AP50,$AG$4:$AP$4,"&lt;"&amp;AL$4)))</f>
        <v/>
      </c>
      <c r="AW50" s="160">
        <f>AC50+MAX(0,MIN(AM50,'Debt Payoff'!$C$12-SUM($W50:$AF50)-SUMIFS($AG50:$AP50,$AG$4:$AP$4,"&lt;"&amp;AM$4)))</f>
        <v/>
      </c>
      <c r="AX50" s="160">
        <f>AD50+MAX(0,MIN(AN50,'Debt Payoff'!$C$12-SUM($W50:$AF50)-SUMIFS($AG50:$AP50,$AG$4:$AP$4,"&lt;"&amp;AN$4)))</f>
        <v/>
      </c>
      <c r="AY50" s="160">
        <f>AE50+MAX(0,MIN(AO50,'Debt Payoff'!$C$12-SUM($W50:$AF50)-SUMIFS($AG50:$AP50,$AG$4:$AP$4,"&lt;"&amp;AO$4)))</f>
        <v/>
      </c>
      <c r="AZ50" s="160">
        <f>AF50+MAX(0,MIN(AP50,'Debt Payoff'!$C$12-SUM($W50:$AF50)-SUMIFS($AG50:$AP50,$AG$4:$AP$4,"&lt;"&amp;AP$4)))</f>
        <v/>
      </c>
      <c r="BA50" s="160">
        <f>SUM(C50:L50)</f>
        <v/>
      </c>
      <c r="BB50" s="160">
        <f>SUM(AQ50:AZ50)</f>
        <v/>
      </c>
      <c r="BC50" s="160">
        <f>SUM(M50:V50)</f>
        <v/>
      </c>
    </row>
    <row r="51">
      <c r="A51" s="157" t="n">
        <v>46</v>
      </c>
      <c r="B51" s="159">
        <f>EDATE('Debt Payoff'!$C$6,45)</f>
        <v/>
      </c>
      <c r="C51" s="160">
        <f>MAX(0,ROUND(C50+M51-AQ51,2))</f>
        <v/>
      </c>
      <c r="D51" s="160">
        <f>MAX(0,ROUND(D50+N51-AR51,2))</f>
        <v/>
      </c>
      <c r="E51" s="160">
        <f>MAX(0,ROUND(E50+O51-AS51,2))</f>
        <v/>
      </c>
      <c r="F51" s="160">
        <f>MAX(0,ROUND(F50+P51-AT51,2))</f>
        <v/>
      </c>
      <c r="G51" s="160">
        <f>MAX(0,ROUND(G50+Q51-AU51,2))</f>
        <v/>
      </c>
      <c r="H51" s="160">
        <f>MAX(0,ROUND(H50+R51-AV51,2))</f>
        <v/>
      </c>
      <c r="I51" s="160">
        <f>MAX(0,ROUND(I50+S51-AW51,2))</f>
        <v/>
      </c>
      <c r="J51" s="160">
        <f>MAX(0,ROUND(J50+T51-AX51,2))</f>
        <v/>
      </c>
      <c r="K51" s="160">
        <f>MAX(0,ROUND(K50+U51-AY51,2))</f>
        <v/>
      </c>
      <c r="L51" s="160">
        <f>MAX(0,ROUND(L50+V51-AZ51,2))</f>
        <v/>
      </c>
      <c r="M51" s="160">
        <f>C50*N('Debt Payoff'!$D$15)/12</f>
        <v/>
      </c>
      <c r="N51" s="160">
        <f>D50*N('Debt Payoff'!$D$16)/12</f>
        <v/>
      </c>
      <c r="O51" s="160">
        <f>E50*N('Debt Payoff'!$D$17)/12</f>
        <v/>
      </c>
      <c r="P51" s="160">
        <f>F50*N('Debt Payoff'!$D$18)/12</f>
        <v/>
      </c>
      <c r="Q51" s="160">
        <f>G50*N('Debt Payoff'!$D$19)/12</f>
        <v/>
      </c>
      <c r="R51" s="160">
        <f>H50*N('Debt Payoff'!$D$20)/12</f>
        <v/>
      </c>
      <c r="S51" s="160">
        <f>I50*N('Debt Payoff'!$D$21)/12</f>
        <v/>
      </c>
      <c r="T51" s="160">
        <f>J50*N('Debt Payoff'!$D$22)/12</f>
        <v/>
      </c>
      <c r="U51" s="160">
        <f>K50*N('Debt Payoff'!$D$23)/12</f>
        <v/>
      </c>
      <c r="V51" s="160">
        <f>L50*N('Debt Payoff'!$D$24)/12</f>
        <v/>
      </c>
      <c r="W51" s="160">
        <f>MIN(N('Debt Payoff'!$E$15),C50+M51)</f>
        <v/>
      </c>
      <c r="X51" s="160">
        <f>MIN(N('Debt Payoff'!$E$16),D50+N51)</f>
        <v/>
      </c>
      <c r="Y51" s="160">
        <f>MIN(N('Debt Payoff'!$E$17),E50+O51)</f>
        <v/>
      </c>
      <c r="Z51" s="160">
        <f>MIN(N('Debt Payoff'!$E$18),F50+P51)</f>
        <v/>
      </c>
      <c r="AA51" s="160">
        <f>MIN(N('Debt Payoff'!$E$19),G50+Q51)</f>
        <v/>
      </c>
      <c r="AB51" s="160">
        <f>MIN(N('Debt Payoff'!$E$20),H50+R51)</f>
        <v/>
      </c>
      <c r="AC51" s="160">
        <f>MIN(N('Debt Payoff'!$E$21),I50+S51)</f>
        <v/>
      </c>
      <c r="AD51" s="160">
        <f>MIN(N('Debt Payoff'!$E$22),J50+T51)</f>
        <v/>
      </c>
      <c r="AE51" s="160">
        <f>MIN(N('Debt Payoff'!$E$23),K50+U51)</f>
        <v/>
      </c>
      <c r="AF51" s="160">
        <f>MIN(N('Debt Payoff'!$E$24),L50+V51)</f>
        <v/>
      </c>
      <c r="AG51" s="160">
        <f>C50+M51-W51</f>
        <v/>
      </c>
      <c r="AH51" s="160">
        <f>D50+N51-X51</f>
        <v/>
      </c>
      <c r="AI51" s="160">
        <f>E50+O51-Y51</f>
        <v/>
      </c>
      <c r="AJ51" s="160">
        <f>F50+P51-Z51</f>
        <v/>
      </c>
      <c r="AK51" s="160">
        <f>G50+Q51-AA51</f>
        <v/>
      </c>
      <c r="AL51" s="160">
        <f>H50+R51-AB51</f>
        <v/>
      </c>
      <c r="AM51" s="160">
        <f>I50+S51-AC51</f>
        <v/>
      </c>
      <c r="AN51" s="160">
        <f>J50+T51-AD51</f>
        <v/>
      </c>
      <c r="AO51" s="160">
        <f>K50+U51-AE51</f>
        <v/>
      </c>
      <c r="AP51" s="160">
        <f>L50+V51-AF51</f>
        <v/>
      </c>
      <c r="AQ51" s="160">
        <f>W51+MAX(0,MIN(AG51,'Debt Payoff'!$C$12-SUM($W51:$AF51)-SUMIFS($AG51:$AP51,$AG$4:$AP$4,"&lt;"&amp;AG$4)))</f>
        <v/>
      </c>
      <c r="AR51" s="160">
        <f>X51+MAX(0,MIN(AH51,'Debt Payoff'!$C$12-SUM($W51:$AF51)-SUMIFS($AG51:$AP51,$AG$4:$AP$4,"&lt;"&amp;AH$4)))</f>
        <v/>
      </c>
      <c r="AS51" s="160">
        <f>Y51+MAX(0,MIN(AI51,'Debt Payoff'!$C$12-SUM($W51:$AF51)-SUMIFS($AG51:$AP51,$AG$4:$AP$4,"&lt;"&amp;AI$4)))</f>
        <v/>
      </c>
      <c r="AT51" s="160">
        <f>Z51+MAX(0,MIN(AJ51,'Debt Payoff'!$C$12-SUM($W51:$AF51)-SUMIFS($AG51:$AP51,$AG$4:$AP$4,"&lt;"&amp;AJ$4)))</f>
        <v/>
      </c>
      <c r="AU51" s="160">
        <f>AA51+MAX(0,MIN(AK51,'Debt Payoff'!$C$12-SUM($W51:$AF51)-SUMIFS($AG51:$AP51,$AG$4:$AP$4,"&lt;"&amp;AK$4)))</f>
        <v/>
      </c>
      <c r="AV51" s="160">
        <f>AB51+MAX(0,MIN(AL51,'Debt Payoff'!$C$12-SUM($W51:$AF51)-SUMIFS($AG51:$AP51,$AG$4:$AP$4,"&lt;"&amp;AL$4)))</f>
        <v/>
      </c>
      <c r="AW51" s="160">
        <f>AC51+MAX(0,MIN(AM51,'Debt Payoff'!$C$12-SUM($W51:$AF51)-SUMIFS($AG51:$AP51,$AG$4:$AP$4,"&lt;"&amp;AM$4)))</f>
        <v/>
      </c>
      <c r="AX51" s="160">
        <f>AD51+MAX(0,MIN(AN51,'Debt Payoff'!$C$12-SUM($W51:$AF51)-SUMIFS($AG51:$AP51,$AG$4:$AP$4,"&lt;"&amp;AN$4)))</f>
        <v/>
      </c>
      <c r="AY51" s="160">
        <f>AE51+MAX(0,MIN(AO51,'Debt Payoff'!$C$12-SUM($W51:$AF51)-SUMIFS($AG51:$AP51,$AG$4:$AP$4,"&lt;"&amp;AO$4)))</f>
        <v/>
      </c>
      <c r="AZ51" s="160">
        <f>AF51+MAX(0,MIN(AP51,'Debt Payoff'!$C$12-SUM($W51:$AF51)-SUMIFS($AG51:$AP51,$AG$4:$AP$4,"&lt;"&amp;AP$4)))</f>
        <v/>
      </c>
      <c r="BA51" s="160">
        <f>SUM(C51:L51)</f>
        <v/>
      </c>
      <c r="BB51" s="160">
        <f>SUM(AQ51:AZ51)</f>
        <v/>
      </c>
      <c r="BC51" s="160">
        <f>SUM(M51:V51)</f>
        <v/>
      </c>
    </row>
    <row r="52">
      <c r="A52" s="157" t="n">
        <v>47</v>
      </c>
      <c r="B52" s="159">
        <f>EDATE('Debt Payoff'!$C$6,46)</f>
        <v/>
      </c>
      <c r="C52" s="160">
        <f>MAX(0,ROUND(C51+M52-AQ52,2))</f>
        <v/>
      </c>
      <c r="D52" s="160">
        <f>MAX(0,ROUND(D51+N52-AR52,2))</f>
        <v/>
      </c>
      <c r="E52" s="160">
        <f>MAX(0,ROUND(E51+O52-AS52,2))</f>
        <v/>
      </c>
      <c r="F52" s="160">
        <f>MAX(0,ROUND(F51+P52-AT52,2))</f>
        <v/>
      </c>
      <c r="G52" s="160">
        <f>MAX(0,ROUND(G51+Q52-AU52,2))</f>
        <v/>
      </c>
      <c r="H52" s="160">
        <f>MAX(0,ROUND(H51+R52-AV52,2))</f>
        <v/>
      </c>
      <c r="I52" s="160">
        <f>MAX(0,ROUND(I51+S52-AW52,2))</f>
        <v/>
      </c>
      <c r="J52" s="160">
        <f>MAX(0,ROUND(J51+T52-AX52,2))</f>
        <v/>
      </c>
      <c r="K52" s="160">
        <f>MAX(0,ROUND(K51+U52-AY52,2))</f>
        <v/>
      </c>
      <c r="L52" s="160">
        <f>MAX(0,ROUND(L51+V52-AZ52,2))</f>
        <v/>
      </c>
      <c r="M52" s="160">
        <f>C51*N('Debt Payoff'!$D$15)/12</f>
        <v/>
      </c>
      <c r="N52" s="160">
        <f>D51*N('Debt Payoff'!$D$16)/12</f>
        <v/>
      </c>
      <c r="O52" s="160">
        <f>E51*N('Debt Payoff'!$D$17)/12</f>
        <v/>
      </c>
      <c r="P52" s="160">
        <f>F51*N('Debt Payoff'!$D$18)/12</f>
        <v/>
      </c>
      <c r="Q52" s="160">
        <f>G51*N('Debt Payoff'!$D$19)/12</f>
        <v/>
      </c>
      <c r="R52" s="160">
        <f>H51*N('Debt Payoff'!$D$20)/12</f>
        <v/>
      </c>
      <c r="S52" s="160">
        <f>I51*N('Debt Payoff'!$D$21)/12</f>
        <v/>
      </c>
      <c r="T52" s="160">
        <f>J51*N('Debt Payoff'!$D$22)/12</f>
        <v/>
      </c>
      <c r="U52" s="160">
        <f>K51*N('Debt Payoff'!$D$23)/12</f>
        <v/>
      </c>
      <c r="V52" s="160">
        <f>L51*N('Debt Payoff'!$D$24)/12</f>
        <v/>
      </c>
      <c r="W52" s="160">
        <f>MIN(N('Debt Payoff'!$E$15),C51+M52)</f>
        <v/>
      </c>
      <c r="X52" s="160">
        <f>MIN(N('Debt Payoff'!$E$16),D51+N52)</f>
        <v/>
      </c>
      <c r="Y52" s="160">
        <f>MIN(N('Debt Payoff'!$E$17),E51+O52)</f>
        <v/>
      </c>
      <c r="Z52" s="160">
        <f>MIN(N('Debt Payoff'!$E$18),F51+P52)</f>
        <v/>
      </c>
      <c r="AA52" s="160">
        <f>MIN(N('Debt Payoff'!$E$19),G51+Q52)</f>
        <v/>
      </c>
      <c r="AB52" s="160">
        <f>MIN(N('Debt Payoff'!$E$20),H51+R52)</f>
        <v/>
      </c>
      <c r="AC52" s="160">
        <f>MIN(N('Debt Payoff'!$E$21),I51+S52)</f>
        <v/>
      </c>
      <c r="AD52" s="160">
        <f>MIN(N('Debt Payoff'!$E$22),J51+T52)</f>
        <v/>
      </c>
      <c r="AE52" s="160">
        <f>MIN(N('Debt Payoff'!$E$23),K51+U52)</f>
        <v/>
      </c>
      <c r="AF52" s="160">
        <f>MIN(N('Debt Payoff'!$E$24),L51+V52)</f>
        <v/>
      </c>
      <c r="AG52" s="160">
        <f>C51+M52-W52</f>
        <v/>
      </c>
      <c r="AH52" s="160">
        <f>D51+N52-X52</f>
        <v/>
      </c>
      <c r="AI52" s="160">
        <f>E51+O52-Y52</f>
        <v/>
      </c>
      <c r="AJ52" s="160">
        <f>F51+P52-Z52</f>
        <v/>
      </c>
      <c r="AK52" s="160">
        <f>G51+Q52-AA52</f>
        <v/>
      </c>
      <c r="AL52" s="160">
        <f>H51+R52-AB52</f>
        <v/>
      </c>
      <c r="AM52" s="160">
        <f>I51+S52-AC52</f>
        <v/>
      </c>
      <c r="AN52" s="160">
        <f>J51+T52-AD52</f>
        <v/>
      </c>
      <c r="AO52" s="160">
        <f>K51+U52-AE52</f>
        <v/>
      </c>
      <c r="AP52" s="160">
        <f>L51+V52-AF52</f>
        <v/>
      </c>
      <c r="AQ52" s="160">
        <f>W52+MAX(0,MIN(AG52,'Debt Payoff'!$C$12-SUM($W52:$AF52)-SUMIFS($AG52:$AP52,$AG$4:$AP$4,"&lt;"&amp;AG$4)))</f>
        <v/>
      </c>
      <c r="AR52" s="160">
        <f>X52+MAX(0,MIN(AH52,'Debt Payoff'!$C$12-SUM($W52:$AF52)-SUMIFS($AG52:$AP52,$AG$4:$AP$4,"&lt;"&amp;AH$4)))</f>
        <v/>
      </c>
      <c r="AS52" s="160">
        <f>Y52+MAX(0,MIN(AI52,'Debt Payoff'!$C$12-SUM($W52:$AF52)-SUMIFS($AG52:$AP52,$AG$4:$AP$4,"&lt;"&amp;AI$4)))</f>
        <v/>
      </c>
      <c r="AT52" s="160">
        <f>Z52+MAX(0,MIN(AJ52,'Debt Payoff'!$C$12-SUM($W52:$AF52)-SUMIFS($AG52:$AP52,$AG$4:$AP$4,"&lt;"&amp;AJ$4)))</f>
        <v/>
      </c>
      <c r="AU52" s="160">
        <f>AA52+MAX(0,MIN(AK52,'Debt Payoff'!$C$12-SUM($W52:$AF52)-SUMIFS($AG52:$AP52,$AG$4:$AP$4,"&lt;"&amp;AK$4)))</f>
        <v/>
      </c>
      <c r="AV52" s="160">
        <f>AB52+MAX(0,MIN(AL52,'Debt Payoff'!$C$12-SUM($W52:$AF52)-SUMIFS($AG52:$AP52,$AG$4:$AP$4,"&lt;"&amp;AL$4)))</f>
        <v/>
      </c>
      <c r="AW52" s="160">
        <f>AC52+MAX(0,MIN(AM52,'Debt Payoff'!$C$12-SUM($W52:$AF52)-SUMIFS($AG52:$AP52,$AG$4:$AP$4,"&lt;"&amp;AM$4)))</f>
        <v/>
      </c>
      <c r="AX52" s="160">
        <f>AD52+MAX(0,MIN(AN52,'Debt Payoff'!$C$12-SUM($W52:$AF52)-SUMIFS($AG52:$AP52,$AG$4:$AP$4,"&lt;"&amp;AN$4)))</f>
        <v/>
      </c>
      <c r="AY52" s="160">
        <f>AE52+MAX(0,MIN(AO52,'Debt Payoff'!$C$12-SUM($W52:$AF52)-SUMIFS($AG52:$AP52,$AG$4:$AP$4,"&lt;"&amp;AO$4)))</f>
        <v/>
      </c>
      <c r="AZ52" s="160">
        <f>AF52+MAX(0,MIN(AP52,'Debt Payoff'!$C$12-SUM($W52:$AF52)-SUMIFS($AG52:$AP52,$AG$4:$AP$4,"&lt;"&amp;AP$4)))</f>
        <v/>
      </c>
      <c r="BA52" s="160">
        <f>SUM(C52:L52)</f>
        <v/>
      </c>
      <c r="BB52" s="160">
        <f>SUM(AQ52:AZ52)</f>
        <v/>
      </c>
      <c r="BC52" s="160">
        <f>SUM(M52:V52)</f>
        <v/>
      </c>
    </row>
    <row r="53">
      <c r="A53" s="157" t="n">
        <v>48</v>
      </c>
      <c r="B53" s="159">
        <f>EDATE('Debt Payoff'!$C$6,47)</f>
        <v/>
      </c>
      <c r="C53" s="160">
        <f>MAX(0,ROUND(C52+M53-AQ53,2))</f>
        <v/>
      </c>
      <c r="D53" s="160">
        <f>MAX(0,ROUND(D52+N53-AR53,2))</f>
        <v/>
      </c>
      <c r="E53" s="160">
        <f>MAX(0,ROUND(E52+O53-AS53,2))</f>
        <v/>
      </c>
      <c r="F53" s="160">
        <f>MAX(0,ROUND(F52+P53-AT53,2))</f>
        <v/>
      </c>
      <c r="G53" s="160">
        <f>MAX(0,ROUND(G52+Q53-AU53,2))</f>
        <v/>
      </c>
      <c r="H53" s="160">
        <f>MAX(0,ROUND(H52+R53-AV53,2))</f>
        <v/>
      </c>
      <c r="I53" s="160">
        <f>MAX(0,ROUND(I52+S53-AW53,2))</f>
        <v/>
      </c>
      <c r="J53" s="160">
        <f>MAX(0,ROUND(J52+T53-AX53,2))</f>
        <v/>
      </c>
      <c r="K53" s="160">
        <f>MAX(0,ROUND(K52+U53-AY53,2))</f>
        <v/>
      </c>
      <c r="L53" s="160">
        <f>MAX(0,ROUND(L52+V53-AZ53,2))</f>
        <v/>
      </c>
      <c r="M53" s="160">
        <f>C52*N('Debt Payoff'!$D$15)/12</f>
        <v/>
      </c>
      <c r="N53" s="160">
        <f>D52*N('Debt Payoff'!$D$16)/12</f>
        <v/>
      </c>
      <c r="O53" s="160">
        <f>E52*N('Debt Payoff'!$D$17)/12</f>
        <v/>
      </c>
      <c r="P53" s="160">
        <f>F52*N('Debt Payoff'!$D$18)/12</f>
        <v/>
      </c>
      <c r="Q53" s="160">
        <f>G52*N('Debt Payoff'!$D$19)/12</f>
        <v/>
      </c>
      <c r="R53" s="160">
        <f>H52*N('Debt Payoff'!$D$20)/12</f>
        <v/>
      </c>
      <c r="S53" s="160">
        <f>I52*N('Debt Payoff'!$D$21)/12</f>
        <v/>
      </c>
      <c r="T53" s="160">
        <f>J52*N('Debt Payoff'!$D$22)/12</f>
        <v/>
      </c>
      <c r="U53" s="160">
        <f>K52*N('Debt Payoff'!$D$23)/12</f>
        <v/>
      </c>
      <c r="V53" s="160">
        <f>L52*N('Debt Payoff'!$D$24)/12</f>
        <v/>
      </c>
      <c r="W53" s="160">
        <f>MIN(N('Debt Payoff'!$E$15),C52+M53)</f>
        <v/>
      </c>
      <c r="X53" s="160">
        <f>MIN(N('Debt Payoff'!$E$16),D52+N53)</f>
        <v/>
      </c>
      <c r="Y53" s="160">
        <f>MIN(N('Debt Payoff'!$E$17),E52+O53)</f>
        <v/>
      </c>
      <c r="Z53" s="160">
        <f>MIN(N('Debt Payoff'!$E$18),F52+P53)</f>
        <v/>
      </c>
      <c r="AA53" s="160">
        <f>MIN(N('Debt Payoff'!$E$19),G52+Q53)</f>
        <v/>
      </c>
      <c r="AB53" s="160">
        <f>MIN(N('Debt Payoff'!$E$20),H52+R53)</f>
        <v/>
      </c>
      <c r="AC53" s="160">
        <f>MIN(N('Debt Payoff'!$E$21),I52+S53)</f>
        <v/>
      </c>
      <c r="AD53" s="160">
        <f>MIN(N('Debt Payoff'!$E$22),J52+T53)</f>
        <v/>
      </c>
      <c r="AE53" s="160">
        <f>MIN(N('Debt Payoff'!$E$23),K52+U53)</f>
        <v/>
      </c>
      <c r="AF53" s="160">
        <f>MIN(N('Debt Payoff'!$E$24),L52+V53)</f>
        <v/>
      </c>
      <c r="AG53" s="160">
        <f>C52+M53-W53</f>
        <v/>
      </c>
      <c r="AH53" s="160">
        <f>D52+N53-X53</f>
        <v/>
      </c>
      <c r="AI53" s="160">
        <f>E52+O53-Y53</f>
        <v/>
      </c>
      <c r="AJ53" s="160">
        <f>F52+P53-Z53</f>
        <v/>
      </c>
      <c r="AK53" s="160">
        <f>G52+Q53-AA53</f>
        <v/>
      </c>
      <c r="AL53" s="160">
        <f>H52+R53-AB53</f>
        <v/>
      </c>
      <c r="AM53" s="160">
        <f>I52+S53-AC53</f>
        <v/>
      </c>
      <c r="AN53" s="160">
        <f>J52+T53-AD53</f>
        <v/>
      </c>
      <c r="AO53" s="160">
        <f>K52+U53-AE53</f>
        <v/>
      </c>
      <c r="AP53" s="160">
        <f>L52+V53-AF53</f>
        <v/>
      </c>
      <c r="AQ53" s="160">
        <f>W53+MAX(0,MIN(AG53,'Debt Payoff'!$C$12-SUM($W53:$AF53)-SUMIFS($AG53:$AP53,$AG$4:$AP$4,"&lt;"&amp;AG$4)))</f>
        <v/>
      </c>
      <c r="AR53" s="160">
        <f>X53+MAX(0,MIN(AH53,'Debt Payoff'!$C$12-SUM($W53:$AF53)-SUMIFS($AG53:$AP53,$AG$4:$AP$4,"&lt;"&amp;AH$4)))</f>
        <v/>
      </c>
      <c r="AS53" s="160">
        <f>Y53+MAX(0,MIN(AI53,'Debt Payoff'!$C$12-SUM($W53:$AF53)-SUMIFS($AG53:$AP53,$AG$4:$AP$4,"&lt;"&amp;AI$4)))</f>
        <v/>
      </c>
      <c r="AT53" s="160">
        <f>Z53+MAX(0,MIN(AJ53,'Debt Payoff'!$C$12-SUM($W53:$AF53)-SUMIFS($AG53:$AP53,$AG$4:$AP$4,"&lt;"&amp;AJ$4)))</f>
        <v/>
      </c>
      <c r="AU53" s="160">
        <f>AA53+MAX(0,MIN(AK53,'Debt Payoff'!$C$12-SUM($W53:$AF53)-SUMIFS($AG53:$AP53,$AG$4:$AP$4,"&lt;"&amp;AK$4)))</f>
        <v/>
      </c>
      <c r="AV53" s="160">
        <f>AB53+MAX(0,MIN(AL53,'Debt Payoff'!$C$12-SUM($W53:$AF53)-SUMIFS($AG53:$AP53,$AG$4:$AP$4,"&lt;"&amp;AL$4)))</f>
        <v/>
      </c>
      <c r="AW53" s="160">
        <f>AC53+MAX(0,MIN(AM53,'Debt Payoff'!$C$12-SUM($W53:$AF53)-SUMIFS($AG53:$AP53,$AG$4:$AP$4,"&lt;"&amp;AM$4)))</f>
        <v/>
      </c>
      <c r="AX53" s="160">
        <f>AD53+MAX(0,MIN(AN53,'Debt Payoff'!$C$12-SUM($W53:$AF53)-SUMIFS($AG53:$AP53,$AG$4:$AP$4,"&lt;"&amp;AN$4)))</f>
        <v/>
      </c>
      <c r="AY53" s="160">
        <f>AE53+MAX(0,MIN(AO53,'Debt Payoff'!$C$12-SUM($W53:$AF53)-SUMIFS($AG53:$AP53,$AG$4:$AP$4,"&lt;"&amp;AO$4)))</f>
        <v/>
      </c>
      <c r="AZ53" s="160">
        <f>AF53+MAX(0,MIN(AP53,'Debt Payoff'!$C$12-SUM($W53:$AF53)-SUMIFS($AG53:$AP53,$AG$4:$AP$4,"&lt;"&amp;AP$4)))</f>
        <v/>
      </c>
      <c r="BA53" s="160">
        <f>SUM(C53:L53)</f>
        <v/>
      </c>
      <c r="BB53" s="160">
        <f>SUM(AQ53:AZ53)</f>
        <v/>
      </c>
      <c r="BC53" s="160">
        <f>SUM(M53:V53)</f>
        <v/>
      </c>
    </row>
    <row r="54">
      <c r="A54" s="157" t="n">
        <v>49</v>
      </c>
      <c r="B54" s="159">
        <f>EDATE('Debt Payoff'!$C$6,48)</f>
        <v/>
      </c>
      <c r="C54" s="160">
        <f>MAX(0,ROUND(C53+M54-AQ54,2))</f>
        <v/>
      </c>
      <c r="D54" s="160">
        <f>MAX(0,ROUND(D53+N54-AR54,2))</f>
        <v/>
      </c>
      <c r="E54" s="160">
        <f>MAX(0,ROUND(E53+O54-AS54,2))</f>
        <v/>
      </c>
      <c r="F54" s="160">
        <f>MAX(0,ROUND(F53+P54-AT54,2))</f>
        <v/>
      </c>
      <c r="G54" s="160">
        <f>MAX(0,ROUND(G53+Q54-AU54,2))</f>
        <v/>
      </c>
      <c r="H54" s="160">
        <f>MAX(0,ROUND(H53+R54-AV54,2))</f>
        <v/>
      </c>
      <c r="I54" s="160">
        <f>MAX(0,ROUND(I53+S54-AW54,2))</f>
        <v/>
      </c>
      <c r="J54" s="160">
        <f>MAX(0,ROUND(J53+T54-AX54,2))</f>
        <v/>
      </c>
      <c r="K54" s="160">
        <f>MAX(0,ROUND(K53+U54-AY54,2))</f>
        <v/>
      </c>
      <c r="L54" s="160">
        <f>MAX(0,ROUND(L53+V54-AZ54,2))</f>
        <v/>
      </c>
      <c r="M54" s="160">
        <f>C53*N('Debt Payoff'!$D$15)/12</f>
        <v/>
      </c>
      <c r="N54" s="160">
        <f>D53*N('Debt Payoff'!$D$16)/12</f>
        <v/>
      </c>
      <c r="O54" s="160">
        <f>E53*N('Debt Payoff'!$D$17)/12</f>
        <v/>
      </c>
      <c r="P54" s="160">
        <f>F53*N('Debt Payoff'!$D$18)/12</f>
        <v/>
      </c>
      <c r="Q54" s="160">
        <f>G53*N('Debt Payoff'!$D$19)/12</f>
        <v/>
      </c>
      <c r="R54" s="160">
        <f>H53*N('Debt Payoff'!$D$20)/12</f>
        <v/>
      </c>
      <c r="S54" s="160">
        <f>I53*N('Debt Payoff'!$D$21)/12</f>
        <v/>
      </c>
      <c r="T54" s="160">
        <f>J53*N('Debt Payoff'!$D$22)/12</f>
        <v/>
      </c>
      <c r="U54" s="160">
        <f>K53*N('Debt Payoff'!$D$23)/12</f>
        <v/>
      </c>
      <c r="V54" s="160">
        <f>L53*N('Debt Payoff'!$D$24)/12</f>
        <v/>
      </c>
      <c r="W54" s="160">
        <f>MIN(N('Debt Payoff'!$E$15),C53+M54)</f>
        <v/>
      </c>
      <c r="X54" s="160">
        <f>MIN(N('Debt Payoff'!$E$16),D53+N54)</f>
        <v/>
      </c>
      <c r="Y54" s="160">
        <f>MIN(N('Debt Payoff'!$E$17),E53+O54)</f>
        <v/>
      </c>
      <c r="Z54" s="160">
        <f>MIN(N('Debt Payoff'!$E$18),F53+P54)</f>
        <v/>
      </c>
      <c r="AA54" s="160">
        <f>MIN(N('Debt Payoff'!$E$19),G53+Q54)</f>
        <v/>
      </c>
      <c r="AB54" s="160">
        <f>MIN(N('Debt Payoff'!$E$20),H53+R54)</f>
        <v/>
      </c>
      <c r="AC54" s="160">
        <f>MIN(N('Debt Payoff'!$E$21),I53+S54)</f>
        <v/>
      </c>
      <c r="AD54" s="160">
        <f>MIN(N('Debt Payoff'!$E$22),J53+T54)</f>
        <v/>
      </c>
      <c r="AE54" s="160">
        <f>MIN(N('Debt Payoff'!$E$23),K53+U54)</f>
        <v/>
      </c>
      <c r="AF54" s="160">
        <f>MIN(N('Debt Payoff'!$E$24),L53+V54)</f>
        <v/>
      </c>
      <c r="AG54" s="160">
        <f>C53+M54-W54</f>
        <v/>
      </c>
      <c r="AH54" s="160">
        <f>D53+N54-X54</f>
        <v/>
      </c>
      <c r="AI54" s="160">
        <f>E53+O54-Y54</f>
        <v/>
      </c>
      <c r="AJ54" s="160">
        <f>F53+P54-Z54</f>
        <v/>
      </c>
      <c r="AK54" s="160">
        <f>G53+Q54-AA54</f>
        <v/>
      </c>
      <c r="AL54" s="160">
        <f>H53+R54-AB54</f>
        <v/>
      </c>
      <c r="AM54" s="160">
        <f>I53+S54-AC54</f>
        <v/>
      </c>
      <c r="AN54" s="160">
        <f>J53+T54-AD54</f>
        <v/>
      </c>
      <c r="AO54" s="160">
        <f>K53+U54-AE54</f>
        <v/>
      </c>
      <c r="AP54" s="160">
        <f>L53+V54-AF54</f>
        <v/>
      </c>
      <c r="AQ54" s="160">
        <f>W54+MAX(0,MIN(AG54,'Debt Payoff'!$C$12-SUM($W54:$AF54)-SUMIFS($AG54:$AP54,$AG$4:$AP$4,"&lt;"&amp;AG$4)))</f>
        <v/>
      </c>
      <c r="AR54" s="160">
        <f>X54+MAX(0,MIN(AH54,'Debt Payoff'!$C$12-SUM($W54:$AF54)-SUMIFS($AG54:$AP54,$AG$4:$AP$4,"&lt;"&amp;AH$4)))</f>
        <v/>
      </c>
      <c r="AS54" s="160">
        <f>Y54+MAX(0,MIN(AI54,'Debt Payoff'!$C$12-SUM($W54:$AF54)-SUMIFS($AG54:$AP54,$AG$4:$AP$4,"&lt;"&amp;AI$4)))</f>
        <v/>
      </c>
      <c r="AT54" s="160">
        <f>Z54+MAX(0,MIN(AJ54,'Debt Payoff'!$C$12-SUM($W54:$AF54)-SUMIFS($AG54:$AP54,$AG$4:$AP$4,"&lt;"&amp;AJ$4)))</f>
        <v/>
      </c>
      <c r="AU54" s="160">
        <f>AA54+MAX(0,MIN(AK54,'Debt Payoff'!$C$12-SUM($W54:$AF54)-SUMIFS($AG54:$AP54,$AG$4:$AP$4,"&lt;"&amp;AK$4)))</f>
        <v/>
      </c>
      <c r="AV54" s="160">
        <f>AB54+MAX(0,MIN(AL54,'Debt Payoff'!$C$12-SUM($W54:$AF54)-SUMIFS($AG54:$AP54,$AG$4:$AP$4,"&lt;"&amp;AL$4)))</f>
        <v/>
      </c>
      <c r="AW54" s="160">
        <f>AC54+MAX(0,MIN(AM54,'Debt Payoff'!$C$12-SUM($W54:$AF54)-SUMIFS($AG54:$AP54,$AG$4:$AP$4,"&lt;"&amp;AM$4)))</f>
        <v/>
      </c>
      <c r="AX54" s="160">
        <f>AD54+MAX(0,MIN(AN54,'Debt Payoff'!$C$12-SUM($W54:$AF54)-SUMIFS($AG54:$AP54,$AG$4:$AP$4,"&lt;"&amp;AN$4)))</f>
        <v/>
      </c>
      <c r="AY54" s="160">
        <f>AE54+MAX(0,MIN(AO54,'Debt Payoff'!$C$12-SUM($W54:$AF54)-SUMIFS($AG54:$AP54,$AG$4:$AP$4,"&lt;"&amp;AO$4)))</f>
        <v/>
      </c>
      <c r="AZ54" s="160">
        <f>AF54+MAX(0,MIN(AP54,'Debt Payoff'!$C$12-SUM($W54:$AF54)-SUMIFS($AG54:$AP54,$AG$4:$AP$4,"&lt;"&amp;AP$4)))</f>
        <v/>
      </c>
      <c r="BA54" s="160">
        <f>SUM(C54:L54)</f>
        <v/>
      </c>
      <c r="BB54" s="160">
        <f>SUM(AQ54:AZ54)</f>
        <v/>
      </c>
      <c r="BC54" s="160">
        <f>SUM(M54:V54)</f>
        <v/>
      </c>
    </row>
    <row r="55">
      <c r="A55" s="157" t="n">
        <v>50</v>
      </c>
      <c r="B55" s="159">
        <f>EDATE('Debt Payoff'!$C$6,49)</f>
        <v/>
      </c>
      <c r="C55" s="160">
        <f>MAX(0,ROUND(C54+M55-AQ55,2))</f>
        <v/>
      </c>
      <c r="D55" s="160">
        <f>MAX(0,ROUND(D54+N55-AR55,2))</f>
        <v/>
      </c>
      <c r="E55" s="160">
        <f>MAX(0,ROUND(E54+O55-AS55,2))</f>
        <v/>
      </c>
      <c r="F55" s="160">
        <f>MAX(0,ROUND(F54+P55-AT55,2))</f>
        <v/>
      </c>
      <c r="G55" s="160">
        <f>MAX(0,ROUND(G54+Q55-AU55,2))</f>
        <v/>
      </c>
      <c r="H55" s="160">
        <f>MAX(0,ROUND(H54+R55-AV55,2))</f>
        <v/>
      </c>
      <c r="I55" s="160">
        <f>MAX(0,ROUND(I54+S55-AW55,2))</f>
        <v/>
      </c>
      <c r="J55" s="160">
        <f>MAX(0,ROUND(J54+T55-AX55,2))</f>
        <v/>
      </c>
      <c r="K55" s="160">
        <f>MAX(0,ROUND(K54+U55-AY55,2))</f>
        <v/>
      </c>
      <c r="L55" s="160">
        <f>MAX(0,ROUND(L54+V55-AZ55,2))</f>
        <v/>
      </c>
      <c r="M55" s="160">
        <f>C54*N('Debt Payoff'!$D$15)/12</f>
        <v/>
      </c>
      <c r="N55" s="160">
        <f>D54*N('Debt Payoff'!$D$16)/12</f>
        <v/>
      </c>
      <c r="O55" s="160">
        <f>E54*N('Debt Payoff'!$D$17)/12</f>
        <v/>
      </c>
      <c r="P55" s="160">
        <f>F54*N('Debt Payoff'!$D$18)/12</f>
        <v/>
      </c>
      <c r="Q55" s="160">
        <f>G54*N('Debt Payoff'!$D$19)/12</f>
        <v/>
      </c>
      <c r="R55" s="160">
        <f>H54*N('Debt Payoff'!$D$20)/12</f>
        <v/>
      </c>
      <c r="S55" s="160">
        <f>I54*N('Debt Payoff'!$D$21)/12</f>
        <v/>
      </c>
      <c r="T55" s="160">
        <f>J54*N('Debt Payoff'!$D$22)/12</f>
        <v/>
      </c>
      <c r="U55" s="160">
        <f>K54*N('Debt Payoff'!$D$23)/12</f>
        <v/>
      </c>
      <c r="V55" s="160">
        <f>L54*N('Debt Payoff'!$D$24)/12</f>
        <v/>
      </c>
      <c r="W55" s="160">
        <f>MIN(N('Debt Payoff'!$E$15),C54+M55)</f>
        <v/>
      </c>
      <c r="X55" s="160">
        <f>MIN(N('Debt Payoff'!$E$16),D54+N55)</f>
        <v/>
      </c>
      <c r="Y55" s="160">
        <f>MIN(N('Debt Payoff'!$E$17),E54+O55)</f>
        <v/>
      </c>
      <c r="Z55" s="160">
        <f>MIN(N('Debt Payoff'!$E$18),F54+P55)</f>
        <v/>
      </c>
      <c r="AA55" s="160">
        <f>MIN(N('Debt Payoff'!$E$19),G54+Q55)</f>
        <v/>
      </c>
      <c r="AB55" s="160">
        <f>MIN(N('Debt Payoff'!$E$20),H54+R55)</f>
        <v/>
      </c>
      <c r="AC55" s="160">
        <f>MIN(N('Debt Payoff'!$E$21),I54+S55)</f>
        <v/>
      </c>
      <c r="AD55" s="160">
        <f>MIN(N('Debt Payoff'!$E$22),J54+T55)</f>
        <v/>
      </c>
      <c r="AE55" s="160">
        <f>MIN(N('Debt Payoff'!$E$23),K54+U55)</f>
        <v/>
      </c>
      <c r="AF55" s="160">
        <f>MIN(N('Debt Payoff'!$E$24),L54+V55)</f>
        <v/>
      </c>
      <c r="AG55" s="160">
        <f>C54+M55-W55</f>
        <v/>
      </c>
      <c r="AH55" s="160">
        <f>D54+N55-X55</f>
        <v/>
      </c>
      <c r="AI55" s="160">
        <f>E54+O55-Y55</f>
        <v/>
      </c>
      <c r="AJ55" s="160">
        <f>F54+P55-Z55</f>
        <v/>
      </c>
      <c r="AK55" s="160">
        <f>G54+Q55-AA55</f>
        <v/>
      </c>
      <c r="AL55" s="160">
        <f>H54+R55-AB55</f>
        <v/>
      </c>
      <c r="AM55" s="160">
        <f>I54+S55-AC55</f>
        <v/>
      </c>
      <c r="AN55" s="160">
        <f>J54+T55-AD55</f>
        <v/>
      </c>
      <c r="AO55" s="160">
        <f>K54+U55-AE55</f>
        <v/>
      </c>
      <c r="AP55" s="160">
        <f>L54+V55-AF55</f>
        <v/>
      </c>
      <c r="AQ55" s="160">
        <f>W55+MAX(0,MIN(AG55,'Debt Payoff'!$C$12-SUM($W55:$AF55)-SUMIFS($AG55:$AP55,$AG$4:$AP$4,"&lt;"&amp;AG$4)))</f>
        <v/>
      </c>
      <c r="AR55" s="160">
        <f>X55+MAX(0,MIN(AH55,'Debt Payoff'!$C$12-SUM($W55:$AF55)-SUMIFS($AG55:$AP55,$AG$4:$AP$4,"&lt;"&amp;AH$4)))</f>
        <v/>
      </c>
      <c r="AS55" s="160">
        <f>Y55+MAX(0,MIN(AI55,'Debt Payoff'!$C$12-SUM($W55:$AF55)-SUMIFS($AG55:$AP55,$AG$4:$AP$4,"&lt;"&amp;AI$4)))</f>
        <v/>
      </c>
      <c r="AT55" s="160">
        <f>Z55+MAX(0,MIN(AJ55,'Debt Payoff'!$C$12-SUM($W55:$AF55)-SUMIFS($AG55:$AP55,$AG$4:$AP$4,"&lt;"&amp;AJ$4)))</f>
        <v/>
      </c>
      <c r="AU55" s="160">
        <f>AA55+MAX(0,MIN(AK55,'Debt Payoff'!$C$12-SUM($W55:$AF55)-SUMIFS($AG55:$AP55,$AG$4:$AP$4,"&lt;"&amp;AK$4)))</f>
        <v/>
      </c>
      <c r="AV55" s="160">
        <f>AB55+MAX(0,MIN(AL55,'Debt Payoff'!$C$12-SUM($W55:$AF55)-SUMIFS($AG55:$AP55,$AG$4:$AP$4,"&lt;"&amp;AL$4)))</f>
        <v/>
      </c>
      <c r="AW55" s="160">
        <f>AC55+MAX(0,MIN(AM55,'Debt Payoff'!$C$12-SUM($W55:$AF55)-SUMIFS($AG55:$AP55,$AG$4:$AP$4,"&lt;"&amp;AM$4)))</f>
        <v/>
      </c>
      <c r="AX55" s="160">
        <f>AD55+MAX(0,MIN(AN55,'Debt Payoff'!$C$12-SUM($W55:$AF55)-SUMIFS($AG55:$AP55,$AG$4:$AP$4,"&lt;"&amp;AN$4)))</f>
        <v/>
      </c>
      <c r="AY55" s="160">
        <f>AE55+MAX(0,MIN(AO55,'Debt Payoff'!$C$12-SUM($W55:$AF55)-SUMIFS($AG55:$AP55,$AG$4:$AP$4,"&lt;"&amp;AO$4)))</f>
        <v/>
      </c>
      <c r="AZ55" s="160">
        <f>AF55+MAX(0,MIN(AP55,'Debt Payoff'!$C$12-SUM($W55:$AF55)-SUMIFS($AG55:$AP55,$AG$4:$AP$4,"&lt;"&amp;AP$4)))</f>
        <v/>
      </c>
      <c r="BA55" s="160">
        <f>SUM(C55:L55)</f>
        <v/>
      </c>
      <c r="BB55" s="160">
        <f>SUM(AQ55:AZ55)</f>
        <v/>
      </c>
      <c r="BC55" s="160">
        <f>SUM(M55:V55)</f>
        <v/>
      </c>
    </row>
    <row r="56">
      <c r="A56" s="157" t="n">
        <v>51</v>
      </c>
      <c r="B56" s="159">
        <f>EDATE('Debt Payoff'!$C$6,50)</f>
        <v/>
      </c>
      <c r="C56" s="160">
        <f>MAX(0,ROUND(C55+M56-AQ56,2))</f>
        <v/>
      </c>
      <c r="D56" s="160">
        <f>MAX(0,ROUND(D55+N56-AR56,2))</f>
        <v/>
      </c>
      <c r="E56" s="160">
        <f>MAX(0,ROUND(E55+O56-AS56,2))</f>
        <v/>
      </c>
      <c r="F56" s="160">
        <f>MAX(0,ROUND(F55+P56-AT56,2))</f>
        <v/>
      </c>
      <c r="G56" s="160">
        <f>MAX(0,ROUND(G55+Q56-AU56,2))</f>
        <v/>
      </c>
      <c r="H56" s="160">
        <f>MAX(0,ROUND(H55+R56-AV56,2))</f>
        <v/>
      </c>
      <c r="I56" s="160">
        <f>MAX(0,ROUND(I55+S56-AW56,2))</f>
        <v/>
      </c>
      <c r="J56" s="160">
        <f>MAX(0,ROUND(J55+T56-AX56,2))</f>
        <v/>
      </c>
      <c r="K56" s="160">
        <f>MAX(0,ROUND(K55+U56-AY56,2))</f>
        <v/>
      </c>
      <c r="L56" s="160">
        <f>MAX(0,ROUND(L55+V56-AZ56,2))</f>
        <v/>
      </c>
      <c r="M56" s="160">
        <f>C55*N('Debt Payoff'!$D$15)/12</f>
        <v/>
      </c>
      <c r="N56" s="160">
        <f>D55*N('Debt Payoff'!$D$16)/12</f>
        <v/>
      </c>
      <c r="O56" s="160">
        <f>E55*N('Debt Payoff'!$D$17)/12</f>
        <v/>
      </c>
      <c r="P56" s="160">
        <f>F55*N('Debt Payoff'!$D$18)/12</f>
        <v/>
      </c>
      <c r="Q56" s="160">
        <f>G55*N('Debt Payoff'!$D$19)/12</f>
        <v/>
      </c>
      <c r="R56" s="160">
        <f>H55*N('Debt Payoff'!$D$20)/12</f>
        <v/>
      </c>
      <c r="S56" s="160">
        <f>I55*N('Debt Payoff'!$D$21)/12</f>
        <v/>
      </c>
      <c r="T56" s="160">
        <f>J55*N('Debt Payoff'!$D$22)/12</f>
        <v/>
      </c>
      <c r="U56" s="160">
        <f>K55*N('Debt Payoff'!$D$23)/12</f>
        <v/>
      </c>
      <c r="V56" s="160">
        <f>L55*N('Debt Payoff'!$D$24)/12</f>
        <v/>
      </c>
      <c r="W56" s="160">
        <f>MIN(N('Debt Payoff'!$E$15),C55+M56)</f>
        <v/>
      </c>
      <c r="X56" s="160">
        <f>MIN(N('Debt Payoff'!$E$16),D55+N56)</f>
        <v/>
      </c>
      <c r="Y56" s="160">
        <f>MIN(N('Debt Payoff'!$E$17),E55+O56)</f>
        <v/>
      </c>
      <c r="Z56" s="160">
        <f>MIN(N('Debt Payoff'!$E$18),F55+P56)</f>
        <v/>
      </c>
      <c r="AA56" s="160">
        <f>MIN(N('Debt Payoff'!$E$19),G55+Q56)</f>
        <v/>
      </c>
      <c r="AB56" s="160">
        <f>MIN(N('Debt Payoff'!$E$20),H55+R56)</f>
        <v/>
      </c>
      <c r="AC56" s="160">
        <f>MIN(N('Debt Payoff'!$E$21),I55+S56)</f>
        <v/>
      </c>
      <c r="AD56" s="160">
        <f>MIN(N('Debt Payoff'!$E$22),J55+T56)</f>
        <v/>
      </c>
      <c r="AE56" s="160">
        <f>MIN(N('Debt Payoff'!$E$23),K55+U56)</f>
        <v/>
      </c>
      <c r="AF56" s="160">
        <f>MIN(N('Debt Payoff'!$E$24),L55+V56)</f>
        <v/>
      </c>
      <c r="AG56" s="160">
        <f>C55+M56-W56</f>
        <v/>
      </c>
      <c r="AH56" s="160">
        <f>D55+N56-X56</f>
        <v/>
      </c>
      <c r="AI56" s="160">
        <f>E55+O56-Y56</f>
        <v/>
      </c>
      <c r="AJ56" s="160">
        <f>F55+P56-Z56</f>
        <v/>
      </c>
      <c r="AK56" s="160">
        <f>G55+Q56-AA56</f>
        <v/>
      </c>
      <c r="AL56" s="160">
        <f>H55+R56-AB56</f>
        <v/>
      </c>
      <c r="AM56" s="160">
        <f>I55+S56-AC56</f>
        <v/>
      </c>
      <c r="AN56" s="160">
        <f>J55+T56-AD56</f>
        <v/>
      </c>
      <c r="AO56" s="160">
        <f>K55+U56-AE56</f>
        <v/>
      </c>
      <c r="AP56" s="160">
        <f>L55+V56-AF56</f>
        <v/>
      </c>
      <c r="AQ56" s="160">
        <f>W56+MAX(0,MIN(AG56,'Debt Payoff'!$C$12-SUM($W56:$AF56)-SUMIFS($AG56:$AP56,$AG$4:$AP$4,"&lt;"&amp;AG$4)))</f>
        <v/>
      </c>
      <c r="AR56" s="160">
        <f>X56+MAX(0,MIN(AH56,'Debt Payoff'!$C$12-SUM($W56:$AF56)-SUMIFS($AG56:$AP56,$AG$4:$AP$4,"&lt;"&amp;AH$4)))</f>
        <v/>
      </c>
      <c r="AS56" s="160">
        <f>Y56+MAX(0,MIN(AI56,'Debt Payoff'!$C$12-SUM($W56:$AF56)-SUMIFS($AG56:$AP56,$AG$4:$AP$4,"&lt;"&amp;AI$4)))</f>
        <v/>
      </c>
      <c r="AT56" s="160">
        <f>Z56+MAX(0,MIN(AJ56,'Debt Payoff'!$C$12-SUM($W56:$AF56)-SUMIFS($AG56:$AP56,$AG$4:$AP$4,"&lt;"&amp;AJ$4)))</f>
        <v/>
      </c>
      <c r="AU56" s="160">
        <f>AA56+MAX(0,MIN(AK56,'Debt Payoff'!$C$12-SUM($W56:$AF56)-SUMIFS($AG56:$AP56,$AG$4:$AP$4,"&lt;"&amp;AK$4)))</f>
        <v/>
      </c>
      <c r="AV56" s="160">
        <f>AB56+MAX(0,MIN(AL56,'Debt Payoff'!$C$12-SUM($W56:$AF56)-SUMIFS($AG56:$AP56,$AG$4:$AP$4,"&lt;"&amp;AL$4)))</f>
        <v/>
      </c>
      <c r="AW56" s="160">
        <f>AC56+MAX(0,MIN(AM56,'Debt Payoff'!$C$12-SUM($W56:$AF56)-SUMIFS($AG56:$AP56,$AG$4:$AP$4,"&lt;"&amp;AM$4)))</f>
        <v/>
      </c>
      <c r="AX56" s="160">
        <f>AD56+MAX(0,MIN(AN56,'Debt Payoff'!$C$12-SUM($W56:$AF56)-SUMIFS($AG56:$AP56,$AG$4:$AP$4,"&lt;"&amp;AN$4)))</f>
        <v/>
      </c>
      <c r="AY56" s="160">
        <f>AE56+MAX(0,MIN(AO56,'Debt Payoff'!$C$12-SUM($W56:$AF56)-SUMIFS($AG56:$AP56,$AG$4:$AP$4,"&lt;"&amp;AO$4)))</f>
        <v/>
      </c>
      <c r="AZ56" s="160">
        <f>AF56+MAX(0,MIN(AP56,'Debt Payoff'!$C$12-SUM($W56:$AF56)-SUMIFS($AG56:$AP56,$AG$4:$AP$4,"&lt;"&amp;AP$4)))</f>
        <v/>
      </c>
      <c r="BA56" s="160">
        <f>SUM(C56:L56)</f>
        <v/>
      </c>
      <c r="BB56" s="160">
        <f>SUM(AQ56:AZ56)</f>
        <v/>
      </c>
      <c r="BC56" s="160">
        <f>SUM(M56:V56)</f>
        <v/>
      </c>
    </row>
    <row r="57">
      <c r="A57" s="157" t="n">
        <v>52</v>
      </c>
      <c r="B57" s="159">
        <f>EDATE('Debt Payoff'!$C$6,51)</f>
        <v/>
      </c>
      <c r="C57" s="160">
        <f>MAX(0,ROUND(C56+M57-AQ57,2))</f>
        <v/>
      </c>
      <c r="D57" s="160">
        <f>MAX(0,ROUND(D56+N57-AR57,2))</f>
        <v/>
      </c>
      <c r="E57" s="160">
        <f>MAX(0,ROUND(E56+O57-AS57,2))</f>
        <v/>
      </c>
      <c r="F57" s="160">
        <f>MAX(0,ROUND(F56+P57-AT57,2))</f>
        <v/>
      </c>
      <c r="G57" s="160">
        <f>MAX(0,ROUND(G56+Q57-AU57,2))</f>
        <v/>
      </c>
      <c r="H57" s="160">
        <f>MAX(0,ROUND(H56+R57-AV57,2))</f>
        <v/>
      </c>
      <c r="I57" s="160">
        <f>MAX(0,ROUND(I56+S57-AW57,2))</f>
        <v/>
      </c>
      <c r="J57" s="160">
        <f>MAX(0,ROUND(J56+T57-AX57,2))</f>
        <v/>
      </c>
      <c r="K57" s="160">
        <f>MAX(0,ROUND(K56+U57-AY57,2))</f>
        <v/>
      </c>
      <c r="L57" s="160">
        <f>MAX(0,ROUND(L56+V57-AZ57,2))</f>
        <v/>
      </c>
      <c r="M57" s="160">
        <f>C56*N('Debt Payoff'!$D$15)/12</f>
        <v/>
      </c>
      <c r="N57" s="160">
        <f>D56*N('Debt Payoff'!$D$16)/12</f>
        <v/>
      </c>
      <c r="O57" s="160">
        <f>E56*N('Debt Payoff'!$D$17)/12</f>
        <v/>
      </c>
      <c r="P57" s="160">
        <f>F56*N('Debt Payoff'!$D$18)/12</f>
        <v/>
      </c>
      <c r="Q57" s="160">
        <f>G56*N('Debt Payoff'!$D$19)/12</f>
        <v/>
      </c>
      <c r="R57" s="160">
        <f>H56*N('Debt Payoff'!$D$20)/12</f>
        <v/>
      </c>
      <c r="S57" s="160">
        <f>I56*N('Debt Payoff'!$D$21)/12</f>
        <v/>
      </c>
      <c r="T57" s="160">
        <f>J56*N('Debt Payoff'!$D$22)/12</f>
        <v/>
      </c>
      <c r="U57" s="160">
        <f>K56*N('Debt Payoff'!$D$23)/12</f>
        <v/>
      </c>
      <c r="V57" s="160">
        <f>L56*N('Debt Payoff'!$D$24)/12</f>
        <v/>
      </c>
      <c r="W57" s="160">
        <f>MIN(N('Debt Payoff'!$E$15),C56+M57)</f>
        <v/>
      </c>
      <c r="X57" s="160">
        <f>MIN(N('Debt Payoff'!$E$16),D56+N57)</f>
        <v/>
      </c>
      <c r="Y57" s="160">
        <f>MIN(N('Debt Payoff'!$E$17),E56+O57)</f>
        <v/>
      </c>
      <c r="Z57" s="160">
        <f>MIN(N('Debt Payoff'!$E$18),F56+P57)</f>
        <v/>
      </c>
      <c r="AA57" s="160">
        <f>MIN(N('Debt Payoff'!$E$19),G56+Q57)</f>
        <v/>
      </c>
      <c r="AB57" s="160">
        <f>MIN(N('Debt Payoff'!$E$20),H56+R57)</f>
        <v/>
      </c>
      <c r="AC57" s="160">
        <f>MIN(N('Debt Payoff'!$E$21),I56+S57)</f>
        <v/>
      </c>
      <c r="AD57" s="160">
        <f>MIN(N('Debt Payoff'!$E$22),J56+T57)</f>
        <v/>
      </c>
      <c r="AE57" s="160">
        <f>MIN(N('Debt Payoff'!$E$23),K56+U57)</f>
        <v/>
      </c>
      <c r="AF57" s="160">
        <f>MIN(N('Debt Payoff'!$E$24),L56+V57)</f>
        <v/>
      </c>
      <c r="AG57" s="160">
        <f>C56+M57-W57</f>
        <v/>
      </c>
      <c r="AH57" s="160">
        <f>D56+N57-X57</f>
        <v/>
      </c>
      <c r="AI57" s="160">
        <f>E56+O57-Y57</f>
        <v/>
      </c>
      <c r="AJ57" s="160">
        <f>F56+P57-Z57</f>
        <v/>
      </c>
      <c r="AK57" s="160">
        <f>G56+Q57-AA57</f>
        <v/>
      </c>
      <c r="AL57" s="160">
        <f>H56+R57-AB57</f>
        <v/>
      </c>
      <c r="AM57" s="160">
        <f>I56+S57-AC57</f>
        <v/>
      </c>
      <c r="AN57" s="160">
        <f>J56+T57-AD57</f>
        <v/>
      </c>
      <c r="AO57" s="160">
        <f>K56+U57-AE57</f>
        <v/>
      </c>
      <c r="AP57" s="160">
        <f>L56+V57-AF57</f>
        <v/>
      </c>
      <c r="AQ57" s="160">
        <f>W57+MAX(0,MIN(AG57,'Debt Payoff'!$C$12-SUM($W57:$AF57)-SUMIFS($AG57:$AP57,$AG$4:$AP$4,"&lt;"&amp;AG$4)))</f>
        <v/>
      </c>
      <c r="AR57" s="160">
        <f>X57+MAX(0,MIN(AH57,'Debt Payoff'!$C$12-SUM($W57:$AF57)-SUMIFS($AG57:$AP57,$AG$4:$AP$4,"&lt;"&amp;AH$4)))</f>
        <v/>
      </c>
      <c r="AS57" s="160">
        <f>Y57+MAX(0,MIN(AI57,'Debt Payoff'!$C$12-SUM($W57:$AF57)-SUMIFS($AG57:$AP57,$AG$4:$AP$4,"&lt;"&amp;AI$4)))</f>
        <v/>
      </c>
      <c r="AT57" s="160">
        <f>Z57+MAX(0,MIN(AJ57,'Debt Payoff'!$C$12-SUM($W57:$AF57)-SUMIFS($AG57:$AP57,$AG$4:$AP$4,"&lt;"&amp;AJ$4)))</f>
        <v/>
      </c>
      <c r="AU57" s="160">
        <f>AA57+MAX(0,MIN(AK57,'Debt Payoff'!$C$12-SUM($W57:$AF57)-SUMIFS($AG57:$AP57,$AG$4:$AP$4,"&lt;"&amp;AK$4)))</f>
        <v/>
      </c>
      <c r="AV57" s="160">
        <f>AB57+MAX(0,MIN(AL57,'Debt Payoff'!$C$12-SUM($W57:$AF57)-SUMIFS($AG57:$AP57,$AG$4:$AP$4,"&lt;"&amp;AL$4)))</f>
        <v/>
      </c>
      <c r="AW57" s="160">
        <f>AC57+MAX(0,MIN(AM57,'Debt Payoff'!$C$12-SUM($W57:$AF57)-SUMIFS($AG57:$AP57,$AG$4:$AP$4,"&lt;"&amp;AM$4)))</f>
        <v/>
      </c>
      <c r="AX57" s="160">
        <f>AD57+MAX(0,MIN(AN57,'Debt Payoff'!$C$12-SUM($W57:$AF57)-SUMIFS($AG57:$AP57,$AG$4:$AP$4,"&lt;"&amp;AN$4)))</f>
        <v/>
      </c>
      <c r="AY57" s="160">
        <f>AE57+MAX(0,MIN(AO57,'Debt Payoff'!$C$12-SUM($W57:$AF57)-SUMIFS($AG57:$AP57,$AG$4:$AP$4,"&lt;"&amp;AO$4)))</f>
        <v/>
      </c>
      <c r="AZ57" s="160">
        <f>AF57+MAX(0,MIN(AP57,'Debt Payoff'!$C$12-SUM($W57:$AF57)-SUMIFS($AG57:$AP57,$AG$4:$AP$4,"&lt;"&amp;AP$4)))</f>
        <v/>
      </c>
      <c r="BA57" s="160">
        <f>SUM(C57:L57)</f>
        <v/>
      </c>
      <c r="BB57" s="160">
        <f>SUM(AQ57:AZ57)</f>
        <v/>
      </c>
      <c r="BC57" s="160">
        <f>SUM(M57:V57)</f>
        <v/>
      </c>
    </row>
    <row r="58">
      <c r="A58" s="157" t="n">
        <v>53</v>
      </c>
      <c r="B58" s="159">
        <f>EDATE('Debt Payoff'!$C$6,52)</f>
        <v/>
      </c>
      <c r="C58" s="160">
        <f>MAX(0,ROUND(C57+M58-AQ58,2))</f>
        <v/>
      </c>
      <c r="D58" s="160">
        <f>MAX(0,ROUND(D57+N58-AR58,2))</f>
        <v/>
      </c>
      <c r="E58" s="160">
        <f>MAX(0,ROUND(E57+O58-AS58,2))</f>
        <v/>
      </c>
      <c r="F58" s="160">
        <f>MAX(0,ROUND(F57+P58-AT58,2))</f>
        <v/>
      </c>
      <c r="G58" s="160">
        <f>MAX(0,ROUND(G57+Q58-AU58,2))</f>
        <v/>
      </c>
      <c r="H58" s="160">
        <f>MAX(0,ROUND(H57+R58-AV58,2))</f>
        <v/>
      </c>
      <c r="I58" s="160">
        <f>MAX(0,ROUND(I57+S58-AW58,2))</f>
        <v/>
      </c>
      <c r="J58" s="160">
        <f>MAX(0,ROUND(J57+T58-AX58,2))</f>
        <v/>
      </c>
      <c r="K58" s="160">
        <f>MAX(0,ROUND(K57+U58-AY58,2))</f>
        <v/>
      </c>
      <c r="L58" s="160">
        <f>MAX(0,ROUND(L57+V58-AZ58,2))</f>
        <v/>
      </c>
      <c r="M58" s="160">
        <f>C57*N('Debt Payoff'!$D$15)/12</f>
        <v/>
      </c>
      <c r="N58" s="160">
        <f>D57*N('Debt Payoff'!$D$16)/12</f>
        <v/>
      </c>
      <c r="O58" s="160">
        <f>E57*N('Debt Payoff'!$D$17)/12</f>
        <v/>
      </c>
      <c r="P58" s="160">
        <f>F57*N('Debt Payoff'!$D$18)/12</f>
        <v/>
      </c>
      <c r="Q58" s="160">
        <f>G57*N('Debt Payoff'!$D$19)/12</f>
        <v/>
      </c>
      <c r="R58" s="160">
        <f>H57*N('Debt Payoff'!$D$20)/12</f>
        <v/>
      </c>
      <c r="S58" s="160">
        <f>I57*N('Debt Payoff'!$D$21)/12</f>
        <v/>
      </c>
      <c r="T58" s="160">
        <f>J57*N('Debt Payoff'!$D$22)/12</f>
        <v/>
      </c>
      <c r="U58" s="160">
        <f>K57*N('Debt Payoff'!$D$23)/12</f>
        <v/>
      </c>
      <c r="V58" s="160">
        <f>L57*N('Debt Payoff'!$D$24)/12</f>
        <v/>
      </c>
      <c r="W58" s="160">
        <f>MIN(N('Debt Payoff'!$E$15),C57+M58)</f>
        <v/>
      </c>
      <c r="X58" s="160">
        <f>MIN(N('Debt Payoff'!$E$16),D57+N58)</f>
        <v/>
      </c>
      <c r="Y58" s="160">
        <f>MIN(N('Debt Payoff'!$E$17),E57+O58)</f>
        <v/>
      </c>
      <c r="Z58" s="160">
        <f>MIN(N('Debt Payoff'!$E$18),F57+P58)</f>
        <v/>
      </c>
      <c r="AA58" s="160">
        <f>MIN(N('Debt Payoff'!$E$19),G57+Q58)</f>
        <v/>
      </c>
      <c r="AB58" s="160">
        <f>MIN(N('Debt Payoff'!$E$20),H57+R58)</f>
        <v/>
      </c>
      <c r="AC58" s="160">
        <f>MIN(N('Debt Payoff'!$E$21),I57+S58)</f>
        <v/>
      </c>
      <c r="AD58" s="160">
        <f>MIN(N('Debt Payoff'!$E$22),J57+T58)</f>
        <v/>
      </c>
      <c r="AE58" s="160">
        <f>MIN(N('Debt Payoff'!$E$23),K57+U58)</f>
        <v/>
      </c>
      <c r="AF58" s="160">
        <f>MIN(N('Debt Payoff'!$E$24),L57+V58)</f>
        <v/>
      </c>
      <c r="AG58" s="160">
        <f>C57+M58-W58</f>
        <v/>
      </c>
      <c r="AH58" s="160">
        <f>D57+N58-X58</f>
        <v/>
      </c>
      <c r="AI58" s="160">
        <f>E57+O58-Y58</f>
        <v/>
      </c>
      <c r="AJ58" s="160">
        <f>F57+P58-Z58</f>
        <v/>
      </c>
      <c r="AK58" s="160">
        <f>G57+Q58-AA58</f>
        <v/>
      </c>
      <c r="AL58" s="160">
        <f>H57+R58-AB58</f>
        <v/>
      </c>
      <c r="AM58" s="160">
        <f>I57+S58-AC58</f>
        <v/>
      </c>
      <c r="AN58" s="160">
        <f>J57+T58-AD58</f>
        <v/>
      </c>
      <c r="AO58" s="160">
        <f>K57+U58-AE58</f>
        <v/>
      </c>
      <c r="AP58" s="160">
        <f>L57+V58-AF58</f>
        <v/>
      </c>
      <c r="AQ58" s="160">
        <f>W58+MAX(0,MIN(AG58,'Debt Payoff'!$C$12-SUM($W58:$AF58)-SUMIFS($AG58:$AP58,$AG$4:$AP$4,"&lt;"&amp;AG$4)))</f>
        <v/>
      </c>
      <c r="AR58" s="160">
        <f>X58+MAX(0,MIN(AH58,'Debt Payoff'!$C$12-SUM($W58:$AF58)-SUMIFS($AG58:$AP58,$AG$4:$AP$4,"&lt;"&amp;AH$4)))</f>
        <v/>
      </c>
      <c r="AS58" s="160">
        <f>Y58+MAX(0,MIN(AI58,'Debt Payoff'!$C$12-SUM($W58:$AF58)-SUMIFS($AG58:$AP58,$AG$4:$AP$4,"&lt;"&amp;AI$4)))</f>
        <v/>
      </c>
      <c r="AT58" s="160">
        <f>Z58+MAX(0,MIN(AJ58,'Debt Payoff'!$C$12-SUM($W58:$AF58)-SUMIFS($AG58:$AP58,$AG$4:$AP$4,"&lt;"&amp;AJ$4)))</f>
        <v/>
      </c>
      <c r="AU58" s="160">
        <f>AA58+MAX(0,MIN(AK58,'Debt Payoff'!$C$12-SUM($W58:$AF58)-SUMIFS($AG58:$AP58,$AG$4:$AP$4,"&lt;"&amp;AK$4)))</f>
        <v/>
      </c>
      <c r="AV58" s="160">
        <f>AB58+MAX(0,MIN(AL58,'Debt Payoff'!$C$12-SUM($W58:$AF58)-SUMIFS($AG58:$AP58,$AG$4:$AP$4,"&lt;"&amp;AL$4)))</f>
        <v/>
      </c>
      <c r="AW58" s="160">
        <f>AC58+MAX(0,MIN(AM58,'Debt Payoff'!$C$12-SUM($W58:$AF58)-SUMIFS($AG58:$AP58,$AG$4:$AP$4,"&lt;"&amp;AM$4)))</f>
        <v/>
      </c>
      <c r="AX58" s="160">
        <f>AD58+MAX(0,MIN(AN58,'Debt Payoff'!$C$12-SUM($W58:$AF58)-SUMIFS($AG58:$AP58,$AG$4:$AP$4,"&lt;"&amp;AN$4)))</f>
        <v/>
      </c>
      <c r="AY58" s="160">
        <f>AE58+MAX(0,MIN(AO58,'Debt Payoff'!$C$12-SUM($W58:$AF58)-SUMIFS($AG58:$AP58,$AG$4:$AP$4,"&lt;"&amp;AO$4)))</f>
        <v/>
      </c>
      <c r="AZ58" s="160">
        <f>AF58+MAX(0,MIN(AP58,'Debt Payoff'!$C$12-SUM($W58:$AF58)-SUMIFS($AG58:$AP58,$AG$4:$AP$4,"&lt;"&amp;AP$4)))</f>
        <v/>
      </c>
      <c r="BA58" s="160">
        <f>SUM(C58:L58)</f>
        <v/>
      </c>
      <c r="BB58" s="160">
        <f>SUM(AQ58:AZ58)</f>
        <v/>
      </c>
      <c r="BC58" s="160">
        <f>SUM(M58:V58)</f>
        <v/>
      </c>
    </row>
    <row r="59">
      <c r="A59" s="157" t="n">
        <v>54</v>
      </c>
      <c r="B59" s="159">
        <f>EDATE('Debt Payoff'!$C$6,53)</f>
        <v/>
      </c>
      <c r="C59" s="160">
        <f>MAX(0,ROUND(C58+M59-AQ59,2))</f>
        <v/>
      </c>
      <c r="D59" s="160">
        <f>MAX(0,ROUND(D58+N59-AR59,2))</f>
        <v/>
      </c>
      <c r="E59" s="160">
        <f>MAX(0,ROUND(E58+O59-AS59,2))</f>
        <v/>
      </c>
      <c r="F59" s="160">
        <f>MAX(0,ROUND(F58+P59-AT59,2))</f>
        <v/>
      </c>
      <c r="G59" s="160">
        <f>MAX(0,ROUND(G58+Q59-AU59,2))</f>
        <v/>
      </c>
      <c r="H59" s="160">
        <f>MAX(0,ROUND(H58+R59-AV59,2))</f>
        <v/>
      </c>
      <c r="I59" s="160">
        <f>MAX(0,ROUND(I58+S59-AW59,2))</f>
        <v/>
      </c>
      <c r="J59" s="160">
        <f>MAX(0,ROUND(J58+T59-AX59,2))</f>
        <v/>
      </c>
      <c r="K59" s="160">
        <f>MAX(0,ROUND(K58+U59-AY59,2))</f>
        <v/>
      </c>
      <c r="L59" s="160">
        <f>MAX(0,ROUND(L58+V59-AZ59,2))</f>
        <v/>
      </c>
      <c r="M59" s="160">
        <f>C58*N('Debt Payoff'!$D$15)/12</f>
        <v/>
      </c>
      <c r="N59" s="160">
        <f>D58*N('Debt Payoff'!$D$16)/12</f>
        <v/>
      </c>
      <c r="O59" s="160">
        <f>E58*N('Debt Payoff'!$D$17)/12</f>
        <v/>
      </c>
      <c r="P59" s="160">
        <f>F58*N('Debt Payoff'!$D$18)/12</f>
        <v/>
      </c>
      <c r="Q59" s="160">
        <f>G58*N('Debt Payoff'!$D$19)/12</f>
        <v/>
      </c>
      <c r="R59" s="160">
        <f>H58*N('Debt Payoff'!$D$20)/12</f>
        <v/>
      </c>
      <c r="S59" s="160">
        <f>I58*N('Debt Payoff'!$D$21)/12</f>
        <v/>
      </c>
      <c r="T59" s="160">
        <f>J58*N('Debt Payoff'!$D$22)/12</f>
        <v/>
      </c>
      <c r="U59" s="160">
        <f>K58*N('Debt Payoff'!$D$23)/12</f>
        <v/>
      </c>
      <c r="V59" s="160">
        <f>L58*N('Debt Payoff'!$D$24)/12</f>
        <v/>
      </c>
      <c r="W59" s="160">
        <f>MIN(N('Debt Payoff'!$E$15),C58+M59)</f>
        <v/>
      </c>
      <c r="X59" s="160">
        <f>MIN(N('Debt Payoff'!$E$16),D58+N59)</f>
        <v/>
      </c>
      <c r="Y59" s="160">
        <f>MIN(N('Debt Payoff'!$E$17),E58+O59)</f>
        <v/>
      </c>
      <c r="Z59" s="160">
        <f>MIN(N('Debt Payoff'!$E$18),F58+P59)</f>
        <v/>
      </c>
      <c r="AA59" s="160">
        <f>MIN(N('Debt Payoff'!$E$19),G58+Q59)</f>
        <v/>
      </c>
      <c r="AB59" s="160">
        <f>MIN(N('Debt Payoff'!$E$20),H58+R59)</f>
        <v/>
      </c>
      <c r="AC59" s="160">
        <f>MIN(N('Debt Payoff'!$E$21),I58+S59)</f>
        <v/>
      </c>
      <c r="AD59" s="160">
        <f>MIN(N('Debt Payoff'!$E$22),J58+T59)</f>
        <v/>
      </c>
      <c r="AE59" s="160">
        <f>MIN(N('Debt Payoff'!$E$23),K58+U59)</f>
        <v/>
      </c>
      <c r="AF59" s="160">
        <f>MIN(N('Debt Payoff'!$E$24),L58+V59)</f>
        <v/>
      </c>
      <c r="AG59" s="160">
        <f>C58+M59-W59</f>
        <v/>
      </c>
      <c r="AH59" s="160">
        <f>D58+N59-X59</f>
        <v/>
      </c>
      <c r="AI59" s="160">
        <f>E58+O59-Y59</f>
        <v/>
      </c>
      <c r="AJ59" s="160">
        <f>F58+P59-Z59</f>
        <v/>
      </c>
      <c r="AK59" s="160">
        <f>G58+Q59-AA59</f>
        <v/>
      </c>
      <c r="AL59" s="160">
        <f>H58+R59-AB59</f>
        <v/>
      </c>
      <c r="AM59" s="160">
        <f>I58+S59-AC59</f>
        <v/>
      </c>
      <c r="AN59" s="160">
        <f>J58+T59-AD59</f>
        <v/>
      </c>
      <c r="AO59" s="160">
        <f>K58+U59-AE59</f>
        <v/>
      </c>
      <c r="AP59" s="160">
        <f>L58+V59-AF59</f>
        <v/>
      </c>
      <c r="AQ59" s="160">
        <f>W59+MAX(0,MIN(AG59,'Debt Payoff'!$C$12-SUM($W59:$AF59)-SUMIFS($AG59:$AP59,$AG$4:$AP$4,"&lt;"&amp;AG$4)))</f>
        <v/>
      </c>
      <c r="AR59" s="160">
        <f>X59+MAX(0,MIN(AH59,'Debt Payoff'!$C$12-SUM($W59:$AF59)-SUMIFS($AG59:$AP59,$AG$4:$AP$4,"&lt;"&amp;AH$4)))</f>
        <v/>
      </c>
      <c r="AS59" s="160">
        <f>Y59+MAX(0,MIN(AI59,'Debt Payoff'!$C$12-SUM($W59:$AF59)-SUMIFS($AG59:$AP59,$AG$4:$AP$4,"&lt;"&amp;AI$4)))</f>
        <v/>
      </c>
      <c r="AT59" s="160">
        <f>Z59+MAX(0,MIN(AJ59,'Debt Payoff'!$C$12-SUM($W59:$AF59)-SUMIFS($AG59:$AP59,$AG$4:$AP$4,"&lt;"&amp;AJ$4)))</f>
        <v/>
      </c>
      <c r="AU59" s="160">
        <f>AA59+MAX(0,MIN(AK59,'Debt Payoff'!$C$12-SUM($W59:$AF59)-SUMIFS($AG59:$AP59,$AG$4:$AP$4,"&lt;"&amp;AK$4)))</f>
        <v/>
      </c>
      <c r="AV59" s="160">
        <f>AB59+MAX(0,MIN(AL59,'Debt Payoff'!$C$12-SUM($W59:$AF59)-SUMIFS($AG59:$AP59,$AG$4:$AP$4,"&lt;"&amp;AL$4)))</f>
        <v/>
      </c>
      <c r="AW59" s="160">
        <f>AC59+MAX(0,MIN(AM59,'Debt Payoff'!$C$12-SUM($W59:$AF59)-SUMIFS($AG59:$AP59,$AG$4:$AP$4,"&lt;"&amp;AM$4)))</f>
        <v/>
      </c>
      <c r="AX59" s="160">
        <f>AD59+MAX(0,MIN(AN59,'Debt Payoff'!$C$12-SUM($W59:$AF59)-SUMIFS($AG59:$AP59,$AG$4:$AP$4,"&lt;"&amp;AN$4)))</f>
        <v/>
      </c>
      <c r="AY59" s="160">
        <f>AE59+MAX(0,MIN(AO59,'Debt Payoff'!$C$12-SUM($W59:$AF59)-SUMIFS($AG59:$AP59,$AG$4:$AP$4,"&lt;"&amp;AO$4)))</f>
        <v/>
      </c>
      <c r="AZ59" s="160">
        <f>AF59+MAX(0,MIN(AP59,'Debt Payoff'!$C$12-SUM($W59:$AF59)-SUMIFS($AG59:$AP59,$AG$4:$AP$4,"&lt;"&amp;AP$4)))</f>
        <v/>
      </c>
      <c r="BA59" s="160">
        <f>SUM(C59:L59)</f>
        <v/>
      </c>
      <c r="BB59" s="160">
        <f>SUM(AQ59:AZ59)</f>
        <v/>
      </c>
      <c r="BC59" s="160">
        <f>SUM(M59:V59)</f>
        <v/>
      </c>
    </row>
    <row r="60">
      <c r="A60" s="157" t="n">
        <v>55</v>
      </c>
      <c r="B60" s="159">
        <f>EDATE('Debt Payoff'!$C$6,54)</f>
        <v/>
      </c>
      <c r="C60" s="160">
        <f>MAX(0,ROUND(C59+M60-AQ60,2))</f>
        <v/>
      </c>
      <c r="D60" s="160">
        <f>MAX(0,ROUND(D59+N60-AR60,2))</f>
        <v/>
      </c>
      <c r="E60" s="160">
        <f>MAX(0,ROUND(E59+O60-AS60,2))</f>
        <v/>
      </c>
      <c r="F60" s="160">
        <f>MAX(0,ROUND(F59+P60-AT60,2))</f>
        <v/>
      </c>
      <c r="G60" s="160">
        <f>MAX(0,ROUND(G59+Q60-AU60,2))</f>
        <v/>
      </c>
      <c r="H60" s="160">
        <f>MAX(0,ROUND(H59+R60-AV60,2))</f>
        <v/>
      </c>
      <c r="I60" s="160">
        <f>MAX(0,ROUND(I59+S60-AW60,2))</f>
        <v/>
      </c>
      <c r="J60" s="160">
        <f>MAX(0,ROUND(J59+T60-AX60,2))</f>
        <v/>
      </c>
      <c r="K60" s="160">
        <f>MAX(0,ROUND(K59+U60-AY60,2))</f>
        <v/>
      </c>
      <c r="L60" s="160">
        <f>MAX(0,ROUND(L59+V60-AZ60,2))</f>
        <v/>
      </c>
      <c r="M60" s="160">
        <f>C59*N('Debt Payoff'!$D$15)/12</f>
        <v/>
      </c>
      <c r="N60" s="160">
        <f>D59*N('Debt Payoff'!$D$16)/12</f>
        <v/>
      </c>
      <c r="O60" s="160">
        <f>E59*N('Debt Payoff'!$D$17)/12</f>
        <v/>
      </c>
      <c r="P60" s="160">
        <f>F59*N('Debt Payoff'!$D$18)/12</f>
        <v/>
      </c>
      <c r="Q60" s="160">
        <f>G59*N('Debt Payoff'!$D$19)/12</f>
        <v/>
      </c>
      <c r="R60" s="160">
        <f>H59*N('Debt Payoff'!$D$20)/12</f>
        <v/>
      </c>
      <c r="S60" s="160">
        <f>I59*N('Debt Payoff'!$D$21)/12</f>
        <v/>
      </c>
      <c r="T60" s="160">
        <f>J59*N('Debt Payoff'!$D$22)/12</f>
        <v/>
      </c>
      <c r="U60" s="160">
        <f>K59*N('Debt Payoff'!$D$23)/12</f>
        <v/>
      </c>
      <c r="V60" s="160">
        <f>L59*N('Debt Payoff'!$D$24)/12</f>
        <v/>
      </c>
      <c r="W60" s="160">
        <f>MIN(N('Debt Payoff'!$E$15),C59+M60)</f>
        <v/>
      </c>
      <c r="X60" s="160">
        <f>MIN(N('Debt Payoff'!$E$16),D59+N60)</f>
        <v/>
      </c>
      <c r="Y60" s="160">
        <f>MIN(N('Debt Payoff'!$E$17),E59+O60)</f>
        <v/>
      </c>
      <c r="Z60" s="160">
        <f>MIN(N('Debt Payoff'!$E$18),F59+P60)</f>
        <v/>
      </c>
      <c r="AA60" s="160">
        <f>MIN(N('Debt Payoff'!$E$19),G59+Q60)</f>
        <v/>
      </c>
      <c r="AB60" s="160">
        <f>MIN(N('Debt Payoff'!$E$20),H59+R60)</f>
        <v/>
      </c>
      <c r="AC60" s="160">
        <f>MIN(N('Debt Payoff'!$E$21),I59+S60)</f>
        <v/>
      </c>
      <c r="AD60" s="160">
        <f>MIN(N('Debt Payoff'!$E$22),J59+T60)</f>
        <v/>
      </c>
      <c r="AE60" s="160">
        <f>MIN(N('Debt Payoff'!$E$23),K59+U60)</f>
        <v/>
      </c>
      <c r="AF60" s="160">
        <f>MIN(N('Debt Payoff'!$E$24),L59+V60)</f>
        <v/>
      </c>
      <c r="AG60" s="160">
        <f>C59+M60-W60</f>
        <v/>
      </c>
      <c r="AH60" s="160">
        <f>D59+N60-X60</f>
        <v/>
      </c>
      <c r="AI60" s="160">
        <f>E59+O60-Y60</f>
        <v/>
      </c>
      <c r="AJ60" s="160">
        <f>F59+P60-Z60</f>
        <v/>
      </c>
      <c r="AK60" s="160">
        <f>G59+Q60-AA60</f>
        <v/>
      </c>
      <c r="AL60" s="160">
        <f>H59+R60-AB60</f>
        <v/>
      </c>
      <c r="AM60" s="160">
        <f>I59+S60-AC60</f>
        <v/>
      </c>
      <c r="AN60" s="160">
        <f>J59+T60-AD60</f>
        <v/>
      </c>
      <c r="AO60" s="160">
        <f>K59+U60-AE60</f>
        <v/>
      </c>
      <c r="AP60" s="160">
        <f>L59+V60-AF60</f>
        <v/>
      </c>
      <c r="AQ60" s="160">
        <f>W60+MAX(0,MIN(AG60,'Debt Payoff'!$C$12-SUM($W60:$AF60)-SUMIFS($AG60:$AP60,$AG$4:$AP$4,"&lt;"&amp;AG$4)))</f>
        <v/>
      </c>
      <c r="AR60" s="160">
        <f>X60+MAX(0,MIN(AH60,'Debt Payoff'!$C$12-SUM($W60:$AF60)-SUMIFS($AG60:$AP60,$AG$4:$AP$4,"&lt;"&amp;AH$4)))</f>
        <v/>
      </c>
      <c r="AS60" s="160">
        <f>Y60+MAX(0,MIN(AI60,'Debt Payoff'!$C$12-SUM($W60:$AF60)-SUMIFS($AG60:$AP60,$AG$4:$AP$4,"&lt;"&amp;AI$4)))</f>
        <v/>
      </c>
      <c r="AT60" s="160">
        <f>Z60+MAX(0,MIN(AJ60,'Debt Payoff'!$C$12-SUM($W60:$AF60)-SUMIFS($AG60:$AP60,$AG$4:$AP$4,"&lt;"&amp;AJ$4)))</f>
        <v/>
      </c>
      <c r="AU60" s="160">
        <f>AA60+MAX(0,MIN(AK60,'Debt Payoff'!$C$12-SUM($W60:$AF60)-SUMIFS($AG60:$AP60,$AG$4:$AP$4,"&lt;"&amp;AK$4)))</f>
        <v/>
      </c>
      <c r="AV60" s="160">
        <f>AB60+MAX(0,MIN(AL60,'Debt Payoff'!$C$12-SUM($W60:$AF60)-SUMIFS($AG60:$AP60,$AG$4:$AP$4,"&lt;"&amp;AL$4)))</f>
        <v/>
      </c>
      <c r="AW60" s="160">
        <f>AC60+MAX(0,MIN(AM60,'Debt Payoff'!$C$12-SUM($W60:$AF60)-SUMIFS($AG60:$AP60,$AG$4:$AP$4,"&lt;"&amp;AM$4)))</f>
        <v/>
      </c>
      <c r="AX60" s="160">
        <f>AD60+MAX(0,MIN(AN60,'Debt Payoff'!$C$12-SUM($W60:$AF60)-SUMIFS($AG60:$AP60,$AG$4:$AP$4,"&lt;"&amp;AN$4)))</f>
        <v/>
      </c>
      <c r="AY60" s="160">
        <f>AE60+MAX(0,MIN(AO60,'Debt Payoff'!$C$12-SUM($W60:$AF60)-SUMIFS($AG60:$AP60,$AG$4:$AP$4,"&lt;"&amp;AO$4)))</f>
        <v/>
      </c>
      <c r="AZ60" s="160">
        <f>AF60+MAX(0,MIN(AP60,'Debt Payoff'!$C$12-SUM($W60:$AF60)-SUMIFS($AG60:$AP60,$AG$4:$AP$4,"&lt;"&amp;AP$4)))</f>
        <v/>
      </c>
      <c r="BA60" s="160">
        <f>SUM(C60:L60)</f>
        <v/>
      </c>
      <c r="BB60" s="160">
        <f>SUM(AQ60:AZ60)</f>
        <v/>
      </c>
      <c r="BC60" s="160">
        <f>SUM(M60:V60)</f>
        <v/>
      </c>
    </row>
    <row r="61">
      <c r="A61" s="157" t="n">
        <v>56</v>
      </c>
      <c r="B61" s="159">
        <f>EDATE('Debt Payoff'!$C$6,55)</f>
        <v/>
      </c>
      <c r="C61" s="160">
        <f>MAX(0,ROUND(C60+M61-AQ61,2))</f>
        <v/>
      </c>
      <c r="D61" s="160">
        <f>MAX(0,ROUND(D60+N61-AR61,2))</f>
        <v/>
      </c>
      <c r="E61" s="160">
        <f>MAX(0,ROUND(E60+O61-AS61,2))</f>
        <v/>
      </c>
      <c r="F61" s="160">
        <f>MAX(0,ROUND(F60+P61-AT61,2))</f>
        <v/>
      </c>
      <c r="G61" s="160">
        <f>MAX(0,ROUND(G60+Q61-AU61,2))</f>
        <v/>
      </c>
      <c r="H61" s="160">
        <f>MAX(0,ROUND(H60+R61-AV61,2))</f>
        <v/>
      </c>
      <c r="I61" s="160">
        <f>MAX(0,ROUND(I60+S61-AW61,2))</f>
        <v/>
      </c>
      <c r="J61" s="160">
        <f>MAX(0,ROUND(J60+T61-AX61,2))</f>
        <v/>
      </c>
      <c r="K61" s="160">
        <f>MAX(0,ROUND(K60+U61-AY61,2))</f>
        <v/>
      </c>
      <c r="L61" s="160">
        <f>MAX(0,ROUND(L60+V61-AZ61,2))</f>
        <v/>
      </c>
      <c r="M61" s="160">
        <f>C60*N('Debt Payoff'!$D$15)/12</f>
        <v/>
      </c>
      <c r="N61" s="160">
        <f>D60*N('Debt Payoff'!$D$16)/12</f>
        <v/>
      </c>
      <c r="O61" s="160">
        <f>E60*N('Debt Payoff'!$D$17)/12</f>
        <v/>
      </c>
      <c r="P61" s="160">
        <f>F60*N('Debt Payoff'!$D$18)/12</f>
        <v/>
      </c>
      <c r="Q61" s="160">
        <f>G60*N('Debt Payoff'!$D$19)/12</f>
        <v/>
      </c>
      <c r="R61" s="160">
        <f>H60*N('Debt Payoff'!$D$20)/12</f>
        <v/>
      </c>
      <c r="S61" s="160">
        <f>I60*N('Debt Payoff'!$D$21)/12</f>
        <v/>
      </c>
      <c r="T61" s="160">
        <f>J60*N('Debt Payoff'!$D$22)/12</f>
        <v/>
      </c>
      <c r="U61" s="160">
        <f>K60*N('Debt Payoff'!$D$23)/12</f>
        <v/>
      </c>
      <c r="V61" s="160">
        <f>L60*N('Debt Payoff'!$D$24)/12</f>
        <v/>
      </c>
      <c r="W61" s="160">
        <f>MIN(N('Debt Payoff'!$E$15),C60+M61)</f>
        <v/>
      </c>
      <c r="X61" s="160">
        <f>MIN(N('Debt Payoff'!$E$16),D60+N61)</f>
        <v/>
      </c>
      <c r="Y61" s="160">
        <f>MIN(N('Debt Payoff'!$E$17),E60+O61)</f>
        <v/>
      </c>
      <c r="Z61" s="160">
        <f>MIN(N('Debt Payoff'!$E$18),F60+P61)</f>
        <v/>
      </c>
      <c r="AA61" s="160">
        <f>MIN(N('Debt Payoff'!$E$19),G60+Q61)</f>
        <v/>
      </c>
      <c r="AB61" s="160">
        <f>MIN(N('Debt Payoff'!$E$20),H60+R61)</f>
        <v/>
      </c>
      <c r="AC61" s="160">
        <f>MIN(N('Debt Payoff'!$E$21),I60+S61)</f>
        <v/>
      </c>
      <c r="AD61" s="160">
        <f>MIN(N('Debt Payoff'!$E$22),J60+T61)</f>
        <v/>
      </c>
      <c r="AE61" s="160">
        <f>MIN(N('Debt Payoff'!$E$23),K60+U61)</f>
        <v/>
      </c>
      <c r="AF61" s="160">
        <f>MIN(N('Debt Payoff'!$E$24),L60+V61)</f>
        <v/>
      </c>
      <c r="AG61" s="160">
        <f>C60+M61-W61</f>
        <v/>
      </c>
      <c r="AH61" s="160">
        <f>D60+N61-X61</f>
        <v/>
      </c>
      <c r="AI61" s="160">
        <f>E60+O61-Y61</f>
        <v/>
      </c>
      <c r="AJ61" s="160">
        <f>F60+P61-Z61</f>
        <v/>
      </c>
      <c r="AK61" s="160">
        <f>G60+Q61-AA61</f>
        <v/>
      </c>
      <c r="AL61" s="160">
        <f>H60+R61-AB61</f>
        <v/>
      </c>
      <c r="AM61" s="160">
        <f>I60+S61-AC61</f>
        <v/>
      </c>
      <c r="AN61" s="160">
        <f>J60+T61-AD61</f>
        <v/>
      </c>
      <c r="AO61" s="160">
        <f>K60+U61-AE61</f>
        <v/>
      </c>
      <c r="AP61" s="160">
        <f>L60+V61-AF61</f>
        <v/>
      </c>
      <c r="AQ61" s="160">
        <f>W61+MAX(0,MIN(AG61,'Debt Payoff'!$C$12-SUM($W61:$AF61)-SUMIFS($AG61:$AP61,$AG$4:$AP$4,"&lt;"&amp;AG$4)))</f>
        <v/>
      </c>
      <c r="AR61" s="160">
        <f>X61+MAX(0,MIN(AH61,'Debt Payoff'!$C$12-SUM($W61:$AF61)-SUMIFS($AG61:$AP61,$AG$4:$AP$4,"&lt;"&amp;AH$4)))</f>
        <v/>
      </c>
      <c r="AS61" s="160">
        <f>Y61+MAX(0,MIN(AI61,'Debt Payoff'!$C$12-SUM($W61:$AF61)-SUMIFS($AG61:$AP61,$AG$4:$AP$4,"&lt;"&amp;AI$4)))</f>
        <v/>
      </c>
      <c r="AT61" s="160">
        <f>Z61+MAX(0,MIN(AJ61,'Debt Payoff'!$C$12-SUM($W61:$AF61)-SUMIFS($AG61:$AP61,$AG$4:$AP$4,"&lt;"&amp;AJ$4)))</f>
        <v/>
      </c>
      <c r="AU61" s="160">
        <f>AA61+MAX(0,MIN(AK61,'Debt Payoff'!$C$12-SUM($W61:$AF61)-SUMIFS($AG61:$AP61,$AG$4:$AP$4,"&lt;"&amp;AK$4)))</f>
        <v/>
      </c>
      <c r="AV61" s="160">
        <f>AB61+MAX(0,MIN(AL61,'Debt Payoff'!$C$12-SUM($W61:$AF61)-SUMIFS($AG61:$AP61,$AG$4:$AP$4,"&lt;"&amp;AL$4)))</f>
        <v/>
      </c>
      <c r="AW61" s="160">
        <f>AC61+MAX(0,MIN(AM61,'Debt Payoff'!$C$12-SUM($W61:$AF61)-SUMIFS($AG61:$AP61,$AG$4:$AP$4,"&lt;"&amp;AM$4)))</f>
        <v/>
      </c>
      <c r="AX61" s="160">
        <f>AD61+MAX(0,MIN(AN61,'Debt Payoff'!$C$12-SUM($W61:$AF61)-SUMIFS($AG61:$AP61,$AG$4:$AP$4,"&lt;"&amp;AN$4)))</f>
        <v/>
      </c>
      <c r="AY61" s="160">
        <f>AE61+MAX(0,MIN(AO61,'Debt Payoff'!$C$12-SUM($W61:$AF61)-SUMIFS($AG61:$AP61,$AG$4:$AP$4,"&lt;"&amp;AO$4)))</f>
        <v/>
      </c>
      <c r="AZ61" s="160">
        <f>AF61+MAX(0,MIN(AP61,'Debt Payoff'!$C$12-SUM($W61:$AF61)-SUMIFS($AG61:$AP61,$AG$4:$AP$4,"&lt;"&amp;AP$4)))</f>
        <v/>
      </c>
      <c r="BA61" s="160">
        <f>SUM(C61:L61)</f>
        <v/>
      </c>
      <c r="BB61" s="160">
        <f>SUM(AQ61:AZ61)</f>
        <v/>
      </c>
      <c r="BC61" s="160">
        <f>SUM(M61:V61)</f>
        <v/>
      </c>
    </row>
    <row r="62">
      <c r="A62" s="157" t="n">
        <v>57</v>
      </c>
      <c r="B62" s="159">
        <f>EDATE('Debt Payoff'!$C$6,56)</f>
        <v/>
      </c>
      <c r="C62" s="160">
        <f>MAX(0,ROUND(C61+M62-AQ62,2))</f>
        <v/>
      </c>
      <c r="D62" s="160">
        <f>MAX(0,ROUND(D61+N62-AR62,2))</f>
        <v/>
      </c>
      <c r="E62" s="160">
        <f>MAX(0,ROUND(E61+O62-AS62,2))</f>
        <v/>
      </c>
      <c r="F62" s="160">
        <f>MAX(0,ROUND(F61+P62-AT62,2))</f>
        <v/>
      </c>
      <c r="G62" s="160">
        <f>MAX(0,ROUND(G61+Q62-AU62,2))</f>
        <v/>
      </c>
      <c r="H62" s="160">
        <f>MAX(0,ROUND(H61+R62-AV62,2))</f>
        <v/>
      </c>
      <c r="I62" s="160">
        <f>MAX(0,ROUND(I61+S62-AW62,2))</f>
        <v/>
      </c>
      <c r="J62" s="160">
        <f>MAX(0,ROUND(J61+T62-AX62,2))</f>
        <v/>
      </c>
      <c r="K62" s="160">
        <f>MAX(0,ROUND(K61+U62-AY62,2))</f>
        <v/>
      </c>
      <c r="L62" s="160">
        <f>MAX(0,ROUND(L61+V62-AZ62,2))</f>
        <v/>
      </c>
      <c r="M62" s="160">
        <f>C61*N('Debt Payoff'!$D$15)/12</f>
        <v/>
      </c>
      <c r="N62" s="160">
        <f>D61*N('Debt Payoff'!$D$16)/12</f>
        <v/>
      </c>
      <c r="O62" s="160">
        <f>E61*N('Debt Payoff'!$D$17)/12</f>
        <v/>
      </c>
      <c r="P62" s="160">
        <f>F61*N('Debt Payoff'!$D$18)/12</f>
        <v/>
      </c>
      <c r="Q62" s="160">
        <f>G61*N('Debt Payoff'!$D$19)/12</f>
        <v/>
      </c>
      <c r="R62" s="160">
        <f>H61*N('Debt Payoff'!$D$20)/12</f>
        <v/>
      </c>
      <c r="S62" s="160">
        <f>I61*N('Debt Payoff'!$D$21)/12</f>
        <v/>
      </c>
      <c r="T62" s="160">
        <f>J61*N('Debt Payoff'!$D$22)/12</f>
        <v/>
      </c>
      <c r="U62" s="160">
        <f>K61*N('Debt Payoff'!$D$23)/12</f>
        <v/>
      </c>
      <c r="V62" s="160">
        <f>L61*N('Debt Payoff'!$D$24)/12</f>
        <v/>
      </c>
      <c r="W62" s="160">
        <f>MIN(N('Debt Payoff'!$E$15),C61+M62)</f>
        <v/>
      </c>
      <c r="X62" s="160">
        <f>MIN(N('Debt Payoff'!$E$16),D61+N62)</f>
        <v/>
      </c>
      <c r="Y62" s="160">
        <f>MIN(N('Debt Payoff'!$E$17),E61+O62)</f>
        <v/>
      </c>
      <c r="Z62" s="160">
        <f>MIN(N('Debt Payoff'!$E$18),F61+P62)</f>
        <v/>
      </c>
      <c r="AA62" s="160">
        <f>MIN(N('Debt Payoff'!$E$19),G61+Q62)</f>
        <v/>
      </c>
      <c r="AB62" s="160">
        <f>MIN(N('Debt Payoff'!$E$20),H61+R62)</f>
        <v/>
      </c>
      <c r="AC62" s="160">
        <f>MIN(N('Debt Payoff'!$E$21),I61+S62)</f>
        <v/>
      </c>
      <c r="AD62" s="160">
        <f>MIN(N('Debt Payoff'!$E$22),J61+T62)</f>
        <v/>
      </c>
      <c r="AE62" s="160">
        <f>MIN(N('Debt Payoff'!$E$23),K61+U62)</f>
        <v/>
      </c>
      <c r="AF62" s="160">
        <f>MIN(N('Debt Payoff'!$E$24),L61+V62)</f>
        <v/>
      </c>
      <c r="AG62" s="160">
        <f>C61+M62-W62</f>
        <v/>
      </c>
      <c r="AH62" s="160">
        <f>D61+N62-X62</f>
        <v/>
      </c>
      <c r="AI62" s="160">
        <f>E61+O62-Y62</f>
        <v/>
      </c>
      <c r="AJ62" s="160">
        <f>F61+P62-Z62</f>
        <v/>
      </c>
      <c r="AK62" s="160">
        <f>G61+Q62-AA62</f>
        <v/>
      </c>
      <c r="AL62" s="160">
        <f>H61+R62-AB62</f>
        <v/>
      </c>
      <c r="AM62" s="160">
        <f>I61+S62-AC62</f>
        <v/>
      </c>
      <c r="AN62" s="160">
        <f>J61+T62-AD62</f>
        <v/>
      </c>
      <c r="AO62" s="160">
        <f>K61+U62-AE62</f>
        <v/>
      </c>
      <c r="AP62" s="160">
        <f>L61+V62-AF62</f>
        <v/>
      </c>
      <c r="AQ62" s="160">
        <f>W62+MAX(0,MIN(AG62,'Debt Payoff'!$C$12-SUM($W62:$AF62)-SUMIFS($AG62:$AP62,$AG$4:$AP$4,"&lt;"&amp;AG$4)))</f>
        <v/>
      </c>
      <c r="AR62" s="160">
        <f>X62+MAX(0,MIN(AH62,'Debt Payoff'!$C$12-SUM($W62:$AF62)-SUMIFS($AG62:$AP62,$AG$4:$AP$4,"&lt;"&amp;AH$4)))</f>
        <v/>
      </c>
      <c r="AS62" s="160">
        <f>Y62+MAX(0,MIN(AI62,'Debt Payoff'!$C$12-SUM($W62:$AF62)-SUMIFS($AG62:$AP62,$AG$4:$AP$4,"&lt;"&amp;AI$4)))</f>
        <v/>
      </c>
      <c r="AT62" s="160">
        <f>Z62+MAX(0,MIN(AJ62,'Debt Payoff'!$C$12-SUM($W62:$AF62)-SUMIFS($AG62:$AP62,$AG$4:$AP$4,"&lt;"&amp;AJ$4)))</f>
        <v/>
      </c>
      <c r="AU62" s="160">
        <f>AA62+MAX(0,MIN(AK62,'Debt Payoff'!$C$12-SUM($W62:$AF62)-SUMIFS($AG62:$AP62,$AG$4:$AP$4,"&lt;"&amp;AK$4)))</f>
        <v/>
      </c>
      <c r="AV62" s="160">
        <f>AB62+MAX(0,MIN(AL62,'Debt Payoff'!$C$12-SUM($W62:$AF62)-SUMIFS($AG62:$AP62,$AG$4:$AP$4,"&lt;"&amp;AL$4)))</f>
        <v/>
      </c>
      <c r="AW62" s="160">
        <f>AC62+MAX(0,MIN(AM62,'Debt Payoff'!$C$12-SUM($W62:$AF62)-SUMIFS($AG62:$AP62,$AG$4:$AP$4,"&lt;"&amp;AM$4)))</f>
        <v/>
      </c>
      <c r="AX62" s="160">
        <f>AD62+MAX(0,MIN(AN62,'Debt Payoff'!$C$12-SUM($W62:$AF62)-SUMIFS($AG62:$AP62,$AG$4:$AP$4,"&lt;"&amp;AN$4)))</f>
        <v/>
      </c>
      <c r="AY62" s="160">
        <f>AE62+MAX(0,MIN(AO62,'Debt Payoff'!$C$12-SUM($W62:$AF62)-SUMIFS($AG62:$AP62,$AG$4:$AP$4,"&lt;"&amp;AO$4)))</f>
        <v/>
      </c>
      <c r="AZ62" s="160">
        <f>AF62+MAX(0,MIN(AP62,'Debt Payoff'!$C$12-SUM($W62:$AF62)-SUMIFS($AG62:$AP62,$AG$4:$AP$4,"&lt;"&amp;AP$4)))</f>
        <v/>
      </c>
      <c r="BA62" s="160">
        <f>SUM(C62:L62)</f>
        <v/>
      </c>
      <c r="BB62" s="160">
        <f>SUM(AQ62:AZ62)</f>
        <v/>
      </c>
      <c r="BC62" s="160">
        <f>SUM(M62:V62)</f>
        <v/>
      </c>
    </row>
    <row r="63">
      <c r="A63" s="157" t="n">
        <v>58</v>
      </c>
      <c r="B63" s="159">
        <f>EDATE('Debt Payoff'!$C$6,57)</f>
        <v/>
      </c>
      <c r="C63" s="160">
        <f>MAX(0,ROUND(C62+M63-AQ63,2))</f>
        <v/>
      </c>
      <c r="D63" s="160">
        <f>MAX(0,ROUND(D62+N63-AR63,2))</f>
        <v/>
      </c>
      <c r="E63" s="160">
        <f>MAX(0,ROUND(E62+O63-AS63,2))</f>
        <v/>
      </c>
      <c r="F63" s="160">
        <f>MAX(0,ROUND(F62+P63-AT63,2))</f>
        <v/>
      </c>
      <c r="G63" s="160">
        <f>MAX(0,ROUND(G62+Q63-AU63,2))</f>
        <v/>
      </c>
      <c r="H63" s="160">
        <f>MAX(0,ROUND(H62+R63-AV63,2))</f>
        <v/>
      </c>
      <c r="I63" s="160">
        <f>MAX(0,ROUND(I62+S63-AW63,2))</f>
        <v/>
      </c>
      <c r="J63" s="160">
        <f>MAX(0,ROUND(J62+T63-AX63,2))</f>
        <v/>
      </c>
      <c r="K63" s="160">
        <f>MAX(0,ROUND(K62+U63-AY63,2))</f>
        <v/>
      </c>
      <c r="L63" s="160">
        <f>MAX(0,ROUND(L62+V63-AZ63,2))</f>
        <v/>
      </c>
      <c r="M63" s="160">
        <f>C62*N('Debt Payoff'!$D$15)/12</f>
        <v/>
      </c>
      <c r="N63" s="160">
        <f>D62*N('Debt Payoff'!$D$16)/12</f>
        <v/>
      </c>
      <c r="O63" s="160">
        <f>E62*N('Debt Payoff'!$D$17)/12</f>
        <v/>
      </c>
      <c r="P63" s="160">
        <f>F62*N('Debt Payoff'!$D$18)/12</f>
        <v/>
      </c>
      <c r="Q63" s="160">
        <f>G62*N('Debt Payoff'!$D$19)/12</f>
        <v/>
      </c>
      <c r="R63" s="160">
        <f>H62*N('Debt Payoff'!$D$20)/12</f>
        <v/>
      </c>
      <c r="S63" s="160">
        <f>I62*N('Debt Payoff'!$D$21)/12</f>
        <v/>
      </c>
      <c r="T63" s="160">
        <f>J62*N('Debt Payoff'!$D$22)/12</f>
        <v/>
      </c>
      <c r="U63" s="160">
        <f>K62*N('Debt Payoff'!$D$23)/12</f>
        <v/>
      </c>
      <c r="V63" s="160">
        <f>L62*N('Debt Payoff'!$D$24)/12</f>
        <v/>
      </c>
      <c r="W63" s="160">
        <f>MIN(N('Debt Payoff'!$E$15),C62+M63)</f>
        <v/>
      </c>
      <c r="X63" s="160">
        <f>MIN(N('Debt Payoff'!$E$16),D62+N63)</f>
        <v/>
      </c>
      <c r="Y63" s="160">
        <f>MIN(N('Debt Payoff'!$E$17),E62+O63)</f>
        <v/>
      </c>
      <c r="Z63" s="160">
        <f>MIN(N('Debt Payoff'!$E$18),F62+P63)</f>
        <v/>
      </c>
      <c r="AA63" s="160">
        <f>MIN(N('Debt Payoff'!$E$19),G62+Q63)</f>
        <v/>
      </c>
      <c r="AB63" s="160">
        <f>MIN(N('Debt Payoff'!$E$20),H62+R63)</f>
        <v/>
      </c>
      <c r="AC63" s="160">
        <f>MIN(N('Debt Payoff'!$E$21),I62+S63)</f>
        <v/>
      </c>
      <c r="AD63" s="160">
        <f>MIN(N('Debt Payoff'!$E$22),J62+T63)</f>
        <v/>
      </c>
      <c r="AE63" s="160">
        <f>MIN(N('Debt Payoff'!$E$23),K62+U63)</f>
        <v/>
      </c>
      <c r="AF63" s="160">
        <f>MIN(N('Debt Payoff'!$E$24),L62+V63)</f>
        <v/>
      </c>
      <c r="AG63" s="160">
        <f>C62+M63-W63</f>
        <v/>
      </c>
      <c r="AH63" s="160">
        <f>D62+N63-X63</f>
        <v/>
      </c>
      <c r="AI63" s="160">
        <f>E62+O63-Y63</f>
        <v/>
      </c>
      <c r="AJ63" s="160">
        <f>F62+P63-Z63</f>
        <v/>
      </c>
      <c r="AK63" s="160">
        <f>G62+Q63-AA63</f>
        <v/>
      </c>
      <c r="AL63" s="160">
        <f>H62+R63-AB63</f>
        <v/>
      </c>
      <c r="AM63" s="160">
        <f>I62+S63-AC63</f>
        <v/>
      </c>
      <c r="AN63" s="160">
        <f>J62+T63-AD63</f>
        <v/>
      </c>
      <c r="AO63" s="160">
        <f>K62+U63-AE63</f>
        <v/>
      </c>
      <c r="AP63" s="160">
        <f>L62+V63-AF63</f>
        <v/>
      </c>
      <c r="AQ63" s="160">
        <f>W63+MAX(0,MIN(AG63,'Debt Payoff'!$C$12-SUM($W63:$AF63)-SUMIFS($AG63:$AP63,$AG$4:$AP$4,"&lt;"&amp;AG$4)))</f>
        <v/>
      </c>
      <c r="AR63" s="160">
        <f>X63+MAX(0,MIN(AH63,'Debt Payoff'!$C$12-SUM($W63:$AF63)-SUMIFS($AG63:$AP63,$AG$4:$AP$4,"&lt;"&amp;AH$4)))</f>
        <v/>
      </c>
      <c r="AS63" s="160">
        <f>Y63+MAX(0,MIN(AI63,'Debt Payoff'!$C$12-SUM($W63:$AF63)-SUMIFS($AG63:$AP63,$AG$4:$AP$4,"&lt;"&amp;AI$4)))</f>
        <v/>
      </c>
      <c r="AT63" s="160">
        <f>Z63+MAX(0,MIN(AJ63,'Debt Payoff'!$C$12-SUM($W63:$AF63)-SUMIFS($AG63:$AP63,$AG$4:$AP$4,"&lt;"&amp;AJ$4)))</f>
        <v/>
      </c>
      <c r="AU63" s="160">
        <f>AA63+MAX(0,MIN(AK63,'Debt Payoff'!$C$12-SUM($W63:$AF63)-SUMIFS($AG63:$AP63,$AG$4:$AP$4,"&lt;"&amp;AK$4)))</f>
        <v/>
      </c>
      <c r="AV63" s="160">
        <f>AB63+MAX(0,MIN(AL63,'Debt Payoff'!$C$12-SUM($W63:$AF63)-SUMIFS($AG63:$AP63,$AG$4:$AP$4,"&lt;"&amp;AL$4)))</f>
        <v/>
      </c>
      <c r="AW63" s="160">
        <f>AC63+MAX(0,MIN(AM63,'Debt Payoff'!$C$12-SUM($W63:$AF63)-SUMIFS($AG63:$AP63,$AG$4:$AP$4,"&lt;"&amp;AM$4)))</f>
        <v/>
      </c>
      <c r="AX63" s="160">
        <f>AD63+MAX(0,MIN(AN63,'Debt Payoff'!$C$12-SUM($W63:$AF63)-SUMIFS($AG63:$AP63,$AG$4:$AP$4,"&lt;"&amp;AN$4)))</f>
        <v/>
      </c>
      <c r="AY63" s="160">
        <f>AE63+MAX(0,MIN(AO63,'Debt Payoff'!$C$12-SUM($W63:$AF63)-SUMIFS($AG63:$AP63,$AG$4:$AP$4,"&lt;"&amp;AO$4)))</f>
        <v/>
      </c>
      <c r="AZ63" s="160">
        <f>AF63+MAX(0,MIN(AP63,'Debt Payoff'!$C$12-SUM($W63:$AF63)-SUMIFS($AG63:$AP63,$AG$4:$AP$4,"&lt;"&amp;AP$4)))</f>
        <v/>
      </c>
      <c r="BA63" s="160">
        <f>SUM(C63:L63)</f>
        <v/>
      </c>
      <c r="BB63" s="160">
        <f>SUM(AQ63:AZ63)</f>
        <v/>
      </c>
      <c r="BC63" s="160">
        <f>SUM(M63:V63)</f>
        <v/>
      </c>
    </row>
    <row r="64">
      <c r="A64" s="157" t="n">
        <v>59</v>
      </c>
      <c r="B64" s="159">
        <f>EDATE('Debt Payoff'!$C$6,58)</f>
        <v/>
      </c>
      <c r="C64" s="160">
        <f>MAX(0,ROUND(C63+M64-AQ64,2))</f>
        <v/>
      </c>
      <c r="D64" s="160">
        <f>MAX(0,ROUND(D63+N64-AR64,2))</f>
        <v/>
      </c>
      <c r="E64" s="160">
        <f>MAX(0,ROUND(E63+O64-AS64,2))</f>
        <v/>
      </c>
      <c r="F64" s="160">
        <f>MAX(0,ROUND(F63+P64-AT64,2))</f>
        <v/>
      </c>
      <c r="G64" s="160">
        <f>MAX(0,ROUND(G63+Q64-AU64,2))</f>
        <v/>
      </c>
      <c r="H64" s="160">
        <f>MAX(0,ROUND(H63+R64-AV64,2))</f>
        <v/>
      </c>
      <c r="I64" s="160">
        <f>MAX(0,ROUND(I63+S64-AW64,2))</f>
        <v/>
      </c>
      <c r="J64" s="160">
        <f>MAX(0,ROUND(J63+T64-AX64,2))</f>
        <v/>
      </c>
      <c r="K64" s="160">
        <f>MAX(0,ROUND(K63+U64-AY64,2))</f>
        <v/>
      </c>
      <c r="L64" s="160">
        <f>MAX(0,ROUND(L63+V64-AZ64,2))</f>
        <v/>
      </c>
      <c r="M64" s="160">
        <f>C63*N('Debt Payoff'!$D$15)/12</f>
        <v/>
      </c>
      <c r="N64" s="160">
        <f>D63*N('Debt Payoff'!$D$16)/12</f>
        <v/>
      </c>
      <c r="O64" s="160">
        <f>E63*N('Debt Payoff'!$D$17)/12</f>
        <v/>
      </c>
      <c r="P64" s="160">
        <f>F63*N('Debt Payoff'!$D$18)/12</f>
        <v/>
      </c>
      <c r="Q64" s="160">
        <f>G63*N('Debt Payoff'!$D$19)/12</f>
        <v/>
      </c>
      <c r="R64" s="160">
        <f>H63*N('Debt Payoff'!$D$20)/12</f>
        <v/>
      </c>
      <c r="S64" s="160">
        <f>I63*N('Debt Payoff'!$D$21)/12</f>
        <v/>
      </c>
      <c r="T64" s="160">
        <f>J63*N('Debt Payoff'!$D$22)/12</f>
        <v/>
      </c>
      <c r="U64" s="160">
        <f>K63*N('Debt Payoff'!$D$23)/12</f>
        <v/>
      </c>
      <c r="V64" s="160">
        <f>L63*N('Debt Payoff'!$D$24)/12</f>
        <v/>
      </c>
      <c r="W64" s="160">
        <f>MIN(N('Debt Payoff'!$E$15),C63+M64)</f>
        <v/>
      </c>
      <c r="X64" s="160">
        <f>MIN(N('Debt Payoff'!$E$16),D63+N64)</f>
        <v/>
      </c>
      <c r="Y64" s="160">
        <f>MIN(N('Debt Payoff'!$E$17),E63+O64)</f>
        <v/>
      </c>
      <c r="Z64" s="160">
        <f>MIN(N('Debt Payoff'!$E$18),F63+P64)</f>
        <v/>
      </c>
      <c r="AA64" s="160">
        <f>MIN(N('Debt Payoff'!$E$19),G63+Q64)</f>
        <v/>
      </c>
      <c r="AB64" s="160">
        <f>MIN(N('Debt Payoff'!$E$20),H63+R64)</f>
        <v/>
      </c>
      <c r="AC64" s="160">
        <f>MIN(N('Debt Payoff'!$E$21),I63+S64)</f>
        <v/>
      </c>
      <c r="AD64" s="160">
        <f>MIN(N('Debt Payoff'!$E$22),J63+T64)</f>
        <v/>
      </c>
      <c r="AE64" s="160">
        <f>MIN(N('Debt Payoff'!$E$23),K63+U64)</f>
        <v/>
      </c>
      <c r="AF64" s="160">
        <f>MIN(N('Debt Payoff'!$E$24),L63+V64)</f>
        <v/>
      </c>
      <c r="AG64" s="160">
        <f>C63+M64-W64</f>
        <v/>
      </c>
      <c r="AH64" s="160">
        <f>D63+N64-X64</f>
        <v/>
      </c>
      <c r="AI64" s="160">
        <f>E63+O64-Y64</f>
        <v/>
      </c>
      <c r="AJ64" s="160">
        <f>F63+P64-Z64</f>
        <v/>
      </c>
      <c r="AK64" s="160">
        <f>G63+Q64-AA64</f>
        <v/>
      </c>
      <c r="AL64" s="160">
        <f>H63+R64-AB64</f>
        <v/>
      </c>
      <c r="AM64" s="160">
        <f>I63+S64-AC64</f>
        <v/>
      </c>
      <c r="AN64" s="160">
        <f>J63+T64-AD64</f>
        <v/>
      </c>
      <c r="AO64" s="160">
        <f>K63+U64-AE64</f>
        <v/>
      </c>
      <c r="AP64" s="160">
        <f>L63+V64-AF64</f>
        <v/>
      </c>
      <c r="AQ64" s="160">
        <f>W64+MAX(0,MIN(AG64,'Debt Payoff'!$C$12-SUM($W64:$AF64)-SUMIFS($AG64:$AP64,$AG$4:$AP$4,"&lt;"&amp;AG$4)))</f>
        <v/>
      </c>
      <c r="AR64" s="160">
        <f>X64+MAX(0,MIN(AH64,'Debt Payoff'!$C$12-SUM($W64:$AF64)-SUMIFS($AG64:$AP64,$AG$4:$AP$4,"&lt;"&amp;AH$4)))</f>
        <v/>
      </c>
      <c r="AS64" s="160">
        <f>Y64+MAX(0,MIN(AI64,'Debt Payoff'!$C$12-SUM($W64:$AF64)-SUMIFS($AG64:$AP64,$AG$4:$AP$4,"&lt;"&amp;AI$4)))</f>
        <v/>
      </c>
      <c r="AT64" s="160">
        <f>Z64+MAX(0,MIN(AJ64,'Debt Payoff'!$C$12-SUM($W64:$AF64)-SUMIFS($AG64:$AP64,$AG$4:$AP$4,"&lt;"&amp;AJ$4)))</f>
        <v/>
      </c>
      <c r="AU64" s="160">
        <f>AA64+MAX(0,MIN(AK64,'Debt Payoff'!$C$12-SUM($W64:$AF64)-SUMIFS($AG64:$AP64,$AG$4:$AP$4,"&lt;"&amp;AK$4)))</f>
        <v/>
      </c>
      <c r="AV64" s="160">
        <f>AB64+MAX(0,MIN(AL64,'Debt Payoff'!$C$12-SUM($W64:$AF64)-SUMIFS($AG64:$AP64,$AG$4:$AP$4,"&lt;"&amp;AL$4)))</f>
        <v/>
      </c>
      <c r="AW64" s="160">
        <f>AC64+MAX(0,MIN(AM64,'Debt Payoff'!$C$12-SUM($W64:$AF64)-SUMIFS($AG64:$AP64,$AG$4:$AP$4,"&lt;"&amp;AM$4)))</f>
        <v/>
      </c>
      <c r="AX64" s="160">
        <f>AD64+MAX(0,MIN(AN64,'Debt Payoff'!$C$12-SUM($W64:$AF64)-SUMIFS($AG64:$AP64,$AG$4:$AP$4,"&lt;"&amp;AN$4)))</f>
        <v/>
      </c>
      <c r="AY64" s="160">
        <f>AE64+MAX(0,MIN(AO64,'Debt Payoff'!$C$12-SUM($W64:$AF64)-SUMIFS($AG64:$AP64,$AG$4:$AP$4,"&lt;"&amp;AO$4)))</f>
        <v/>
      </c>
      <c r="AZ64" s="160">
        <f>AF64+MAX(0,MIN(AP64,'Debt Payoff'!$C$12-SUM($W64:$AF64)-SUMIFS($AG64:$AP64,$AG$4:$AP$4,"&lt;"&amp;AP$4)))</f>
        <v/>
      </c>
      <c r="BA64" s="160">
        <f>SUM(C64:L64)</f>
        <v/>
      </c>
      <c r="BB64" s="160">
        <f>SUM(AQ64:AZ64)</f>
        <v/>
      </c>
      <c r="BC64" s="160">
        <f>SUM(M64:V64)</f>
        <v/>
      </c>
    </row>
    <row r="65">
      <c r="A65" s="157" t="n">
        <v>60</v>
      </c>
      <c r="B65" s="159">
        <f>EDATE('Debt Payoff'!$C$6,59)</f>
        <v/>
      </c>
      <c r="C65" s="160">
        <f>MAX(0,ROUND(C64+M65-AQ65,2))</f>
        <v/>
      </c>
      <c r="D65" s="160">
        <f>MAX(0,ROUND(D64+N65-AR65,2))</f>
        <v/>
      </c>
      <c r="E65" s="160">
        <f>MAX(0,ROUND(E64+O65-AS65,2))</f>
        <v/>
      </c>
      <c r="F65" s="160">
        <f>MAX(0,ROUND(F64+P65-AT65,2))</f>
        <v/>
      </c>
      <c r="G65" s="160">
        <f>MAX(0,ROUND(G64+Q65-AU65,2))</f>
        <v/>
      </c>
      <c r="H65" s="160">
        <f>MAX(0,ROUND(H64+R65-AV65,2))</f>
        <v/>
      </c>
      <c r="I65" s="160">
        <f>MAX(0,ROUND(I64+S65-AW65,2))</f>
        <v/>
      </c>
      <c r="J65" s="160">
        <f>MAX(0,ROUND(J64+T65-AX65,2))</f>
        <v/>
      </c>
      <c r="K65" s="160">
        <f>MAX(0,ROUND(K64+U65-AY65,2))</f>
        <v/>
      </c>
      <c r="L65" s="160">
        <f>MAX(0,ROUND(L64+V65-AZ65,2))</f>
        <v/>
      </c>
      <c r="M65" s="160">
        <f>C64*N('Debt Payoff'!$D$15)/12</f>
        <v/>
      </c>
      <c r="N65" s="160">
        <f>D64*N('Debt Payoff'!$D$16)/12</f>
        <v/>
      </c>
      <c r="O65" s="160">
        <f>E64*N('Debt Payoff'!$D$17)/12</f>
        <v/>
      </c>
      <c r="P65" s="160">
        <f>F64*N('Debt Payoff'!$D$18)/12</f>
        <v/>
      </c>
      <c r="Q65" s="160">
        <f>G64*N('Debt Payoff'!$D$19)/12</f>
        <v/>
      </c>
      <c r="R65" s="160">
        <f>H64*N('Debt Payoff'!$D$20)/12</f>
        <v/>
      </c>
      <c r="S65" s="160">
        <f>I64*N('Debt Payoff'!$D$21)/12</f>
        <v/>
      </c>
      <c r="T65" s="160">
        <f>J64*N('Debt Payoff'!$D$22)/12</f>
        <v/>
      </c>
      <c r="U65" s="160">
        <f>K64*N('Debt Payoff'!$D$23)/12</f>
        <v/>
      </c>
      <c r="V65" s="160">
        <f>L64*N('Debt Payoff'!$D$24)/12</f>
        <v/>
      </c>
      <c r="W65" s="160">
        <f>MIN(N('Debt Payoff'!$E$15),C64+M65)</f>
        <v/>
      </c>
      <c r="X65" s="160">
        <f>MIN(N('Debt Payoff'!$E$16),D64+N65)</f>
        <v/>
      </c>
      <c r="Y65" s="160">
        <f>MIN(N('Debt Payoff'!$E$17),E64+O65)</f>
        <v/>
      </c>
      <c r="Z65" s="160">
        <f>MIN(N('Debt Payoff'!$E$18),F64+P65)</f>
        <v/>
      </c>
      <c r="AA65" s="160">
        <f>MIN(N('Debt Payoff'!$E$19),G64+Q65)</f>
        <v/>
      </c>
      <c r="AB65" s="160">
        <f>MIN(N('Debt Payoff'!$E$20),H64+R65)</f>
        <v/>
      </c>
      <c r="AC65" s="160">
        <f>MIN(N('Debt Payoff'!$E$21),I64+S65)</f>
        <v/>
      </c>
      <c r="AD65" s="160">
        <f>MIN(N('Debt Payoff'!$E$22),J64+T65)</f>
        <v/>
      </c>
      <c r="AE65" s="160">
        <f>MIN(N('Debt Payoff'!$E$23),K64+U65)</f>
        <v/>
      </c>
      <c r="AF65" s="160">
        <f>MIN(N('Debt Payoff'!$E$24),L64+V65)</f>
        <v/>
      </c>
      <c r="AG65" s="160">
        <f>C64+M65-W65</f>
        <v/>
      </c>
      <c r="AH65" s="160">
        <f>D64+N65-X65</f>
        <v/>
      </c>
      <c r="AI65" s="160">
        <f>E64+O65-Y65</f>
        <v/>
      </c>
      <c r="AJ65" s="160">
        <f>F64+P65-Z65</f>
        <v/>
      </c>
      <c r="AK65" s="160">
        <f>G64+Q65-AA65</f>
        <v/>
      </c>
      <c r="AL65" s="160">
        <f>H64+R65-AB65</f>
        <v/>
      </c>
      <c r="AM65" s="160">
        <f>I64+S65-AC65</f>
        <v/>
      </c>
      <c r="AN65" s="160">
        <f>J64+T65-AD65</f>
        <v/>
      </c>
      <c r="AO65" s="160">
        <f>K64+U65-AE65</f>
        <v/>
      </c>
      <c r="AP65" s="160">
        <f>L64+V65-AF65</f>
        <v/>
      </c>
      <c r="AQ65" s="160">
        <f>W65+MAX(0,MIN(AG65,'Debt Payoff'!$C$12-SUM($W65:$AF65)-SUMIFS($AG65:$AP65,$AG$4:$AP$4,"&lt;"&amp;AG$4)))</f>
        <v/>
      </c>
      <c r="AR65" s="160">
        <f>X65+MAX(0,MIN(AH65,'Debt Payoff'!$C$12-SUM($W65:$AF65)-SUMIFS($AG65:$AP65,$AG$4:$AP$4,"&lt;"&amp;AH$4)))</f>
        <v/>
      </c>
      <c r="AS65" s="160">
        <f>Y65+MAX(0,MIN(AI65,'Debt Payoff'!$C$12-SUM($W65:$AF65)-SUMIFS($AG65:$AP65,$AG$4:$AP$4,"&lt;"&amp;AI$4)))</f>
        <v/>
      </c>
      <c r="AT65" s="160">
        <f>Z65+MAX(0,MIN(AJ65,'Debt Payoff'!$C$12-SUM($W65:$AF65)-SUMIFS($AG65:$AP65,$AG$4:$AP$4,"&lt;"&amp;AJ$4)))</f>
        <v/>
      </c>
      <c r="AU65" s="160">
        <f>AA65+MAX(0,MIN(AK65,'Debt Payoff'!$C$12-SUM($W65:$AF65)-SUMIFS($AG65:$AP65,$AG$4:$AP$4,"&lt;"&amp;AK$4)))</f>
        <v/>
      </c>
      <c r="AV65" s="160">
        <f>AB65+MAX(0,MIN(AL65,'Debt Payoff'!$C$12-SUM($W65:$AF65)-SUMIFS($AG65:$AP65,$AG$4:$AP$4,"&lt;"&amp;AL$4)))</f>
        <v/>
      </c>
      <c r="AW65" s="160">
        <f>AC65+MAX(0,MIN(AM65,'Debt Payoff'!$C$12-SUM($W65:$AF65)-SUMIFS($AG65:$AP65,$AG$4:$AP$4,"&lt;"&amp;AM$4)))</f>
        <v/>
      </c>
      <c r="AX65" s="160">
        <f>AD65+MAX(0,MIN(AN65,'Debt Payoff'!$C$12-SUM($W65:$AF65)-SUMIFS($AG65:$AP65,$AG$4:$AP$4,"&lt;"&amp;AN$4)))</f>
        <v/>
      </c>
      <c r="AY65" s="160">
        <f>AE65+MAX(0,MIN(AO65,'Debt Payoff'!$C$12-SUM($W65:$AF65)-SUMIFS($AG65:$AP65,$AG$4:$AP$4,"&lt;"&amp;AO$4)))</f>
        <v/>
      </c>
      <c r="AZ65" s="160">
        <f>AF65+MAX(0,MIN(AP65,'Debt Payoff'!$C$12-SUM($W65:$AF65)-SUMIFS($AG65:$AP65,$AG$4:$AP$4,"&lt;"&amp;AP$4)))</f>
        <v/>
      </c>
      <c r="BA65" s="160">
        <f>SUM(C65:L65)</f>
        <v/>
      </c>
      <c r="BB65" s="160">
        <f>SUM(AQ65:AZ65)</f>
        <v/>
      </c>
      <c r="BC65" s="160">
        <f>SUM(M65:V65)</f>
        <v/>
      </c>
    </row>
    <row r="66">
      <c r="A66" s="157" t="n">
        <v>61</v>
      </c>
      <c r="B66" s="159">
        <f>EDATE('Debt Payoff'!$C$6,60)</f>
        <v/>
      </c>
      <c r="C66" s="160">
        <f>MAX(0,ROUND(C65+M66-AQ66,2))</f>
        <v/>
      </c>
      <c r="D66" s="160">
        <f>MAX(0,ROUND(D65+N66-AR66,2))</f>
        <v/>
      </c>
      <c r="E66" s="160">
        <f>MAX(0,ROUND(E65+O66-AS66,2))</f>
        <v/>
      </c>
      <c r="F66" s="160">
        <f>MAX(0,ROUND(F65+P66-AT66,2))</f>
        <v/>
      </c>
      <c r="G66" s="160">
        <f>MAX(0,ROUND(G65+Q66-AU66,2))</f>
        <v/>
      </c>
      <c r="H66" s="160">
        <f>MAX(0,ROUND(H65+R66-AV66,2))</f>
        <v/>
      </c>
      <c r="I66" s="160">
        <f>MAX(0,ROUND(I65+S66-AW66,2))</f>
        <v/>
      </c>
      <c r="J66" s="160">
        <f>MAX(0,ROUND(J65+T66-AX66,2))</f>
        <v/>
      </c>
      <c r="K66" s="160">
        <f>MAX(0,ROUND(K65+U66-AY66,2))</f>
        <v/>
      </c>
      <c r="L66" s="160">
        <f>MAX(0,ROUND(L65+V66-AZ66,2))</f>
        <v/>
      </c>
      <c r="M66" s="160">
        <f>C65*N('Debt Payoff'!$D$15)/12</f>
        <v/>
      </c>
      <c r="N66" s="160">
        <f>D65*N('Debt Payoff'!$D$16)/12</f>
        <v/>
      </c>
      <c r="O66" s="160">
        <f>E65*N('Debt Payoff'!$D$17)/12</f>
        <v/>
      </c>
      <c r="P66" s="160">
        <f>F65*N('Debt Payoff'!$D$18)/12</f>
        <v/>
      </c>
      <c r="Q66" s="160">
        <f>G65*N('Debt Payoff'!$D$19)/12</f>
        <v/>
      </c>
      <c r="R66" s="160">
        <f>H65*N('Debt Payoff'!$D$20)/12</f>
        <v/>
      </c>
      <c r="S66" s="160">
        <f>I65*N('Debt Payoff'!$D$21)/12</f>
        <v/>
      </c>
      <c r="T66" s="160">
        <f>J65*N('Debt Payoff'!$D$22)/12</f>
        <v/>
      </c>
      <c r="U66" s="160">
        <f>K65*N('Debt Payoff'!$D$23)/12</f>
        <v/>
      </c>
      <c r="V66" s="160">
        <f>L65*N('Debt Payoff'!$D$24)/12</f>
        <v/>
      </c>
      <c r="W66" s="160">
        <f>MIN(N('Debt Payoff'!$E$15),C65+M66)</f>
        <v/>
      </c>
      <c r="X66" s="160">
        <f>MIN(N('Debt Payoff'!$E$16),D65+N66)</f>
        <v/>
      </c>
      <c r="Y66" s="160">
        <f>MIN(N('Debt Payoff'!$E$17),E65+O66)</f>
        <v/>
      </c>
      <c r="Z66" s="160">
        <f>MIN(N('Debt Payoff'!$E$18),F65+P66)</f>
        <v/>
      </c>
      <c r="AA66" s="160">
        <f>MIN(N('Debt Payoff'!$E$19),G65+Q66)</f>
        <v/>
      </c>
      <c r="AB66" s="160">
        <f>MIN(N('Debt Payoff'!$E$20),H65+R66)</f>
        <v/>
      </c>
      <c r="AC66" s="160">
        <f>MIN(N('Debt Payoff'!$E$21),I65+S66)</f>
        <v/>
      </c>
      <c r="AD66" s="160">
        <f>MIN(N('Debt Payoff'!$E$22),J65+T66)</f>
        <v/>
      </c>
      <c r="AE66" s="160">
        <f>MIN(N('Debt Payoff'!$E$23),K65+U66)</f>
        <v/>
      </c>
      <c r="AF66" s="160">
        <f>MIN(N('Debt Payoff'!$E$24),L65+V66)</f>
        <v/>
      </c>
      <c r="AG66" s="160">
        <f>C65+M66-W66</f>
        <v/>
      </c>
      <c r="AH66" s="160">
        <f>D65+N66-X66</f>
        <v/>
      </c>
      <c r="AI66" s="160">
        <f>E65+O66-Y66</f>
        <v/>
      </c>
      <c r="AJ66" s="160">
        <f>F65+P66-Z66</f>
        <v/>
      </c>
      <c r="AK66" s="160">
        <f>G65+Q66-AA66</f>
        <v/>
      </c>
      <c r="AL66" s="160">
        <f>H65+R66-AB66</f>
        <v/>
      </c>
      <c r="AM66" s="160">
        <f>I65+S66-AC66</f>
        <v/>
      </c>
      <c r="AN66" s="160">
        <f>J65+T66-AD66</f>
        <v/>
      </c>
      <c r="AO66" s="160">
        <f>K65+U66-AE66</f>
        <v/>
      </c>
      <c r="AP66" s="160">
        <f>L65+V66-AF66</f>
        <v/>
      </c>
      <c r="AQ66" s="160">
        <f>W66+MAX(0,MIN(AG66,'Debt Payoff'!$C$12-SUM($W66:$AF66)-SUMIFS($AG66:$AP66,$AG$4:$AP$4,"&lt;"&amp;AG$4)))</f>
        <v/>
      </c>
      <c r="AR66" s="160">
        <f>X66+MAX(0,MIN(AH66,'Debt Payoff'!$C$12-SUM($W66:$AF66)-SUMIFS($AG66:$AP66,$AG$4:$AP$4,"&lt;"&amp;AH$4)))</f>
        <v/>
      </c>
      <c r="AS66" s="160">
        <f>Y66+MAX(0,MIN(AI66,'Debt Payoff'!$C$12-SUM($W66:$AF66)-SUMIFS($AG66:$AP66,$AG$4:$AP$4,"&lt;"&amp;AI$4)))</f>
        <v/>
      </c>
      <c r="AT66" s="160">
        <f>Z66+MAX(0,MIN(AJ66,'Debt Payoff'!$C$12-SUM($W66:$AF66)-SUMIFS($AG66:$AP66,$AG$4:$AP$4,"&lt;"&amp;AJ$4)))</f>
        <v/>
      </c>
      <c r="AU66" s="160">
        <f>AA66+MAX(0,MIN(AK66,'Debt Payoff'!$C$12-SUM($W66:$AF66)-SUMIFS($AG66:$AP66,$AG$4:$AP$4,"&lt;"&amp;AK$4)))</f>
        <v/>
      </c>
      <c r="AV66" s="160">
        <f>AB66+MAX(0,MIN(AL66,'Debt Payoff'!$C$12-SUM($W66:$AF66)-SUMIFS($AG66:$AP66,$AG$4:$AP$4,"&lt;"&amp;AL$4)))</f>
        <v/>
      </c>
      <c r="AW66" s="160">
        <f>AC66+MAX(0,MIN(AM66,'Debt Payoff'!$C$12-SUM($W66:$AF66)-SUMIFS($AG66:$AP66,$AG$4:$AP$4,"&lt;"&amp;AM$4)))</f>
        <v/>
      </c>
      <c r="AX66" s="160">
        <f>AD66+MAX(0,MIN(AN66,'Debt Payoff'!$C$12-SUM($W66:$AF66)-SUMIFS($AG66:$AP66,$AG$4:$AP$4,"&lt;"&amp;AN$4)))</f>
        <v/>
      </c>
      <c r="AY66" s="160">
        <f>AE66+MAX(0,MIN(AO66,'Debt Payoff'!$C$12-SUM($W66:$AF66)-SUMIFS($AG66:$AP66,$AG$4:$AP$4,"&lt;"&amp;AO$4)))</f>
        <v/>
      </c>
      <c r="AZ66" s="160">
        <f>AF66+MAX(0,MIN(AP66,'Debt Payoff'!$C$12-SUM($W66:$AF66)-SUMIFS($AG66:$AP66,$AG$4:$AP$4,"&lt;"&amp;AP$4)))</f>
        <v/>
      </c>
      <c r="BA66" s="160">
        <f>SUM(C66:L66)</f>
        <v/>
      </c>
      <c r="BB66" s="160">
        <f>SUM(AQ66:AZ66)</f>
        <v/>
      </c>
      <c r="BC66" s="160">
        <f>SUM(M66:V66)</f>
        <v/>
      </c>
    </row>
    <row r="67">
      <c r="A67" s="157" t="n">
        <v>62</v>
      </c>
      <c r="B67" s="159">
        <f>EDATE('Debt Payoff'!$C$6,61)</f>
        <v/>
      </c>
      <c r="C67" s="160">
        <f>MAX(0,ROUND(C66+M67-AQ67,2))</f>
        <v/>
      </c>
      <c r="D67" s="160">
        <f>MAX(0,ROUND(D66+N67-AR67,2))</f>
        <v/>
      </c>
      <c r="E67" s="160">
        <f>MAX(0,ROUND(E66+O67-AS67,2))</f>
        <v/>
      </c>
      <c r="F67" s="160">
        <f>MAX(0,ROUND(F66+P67-AT67,2))</f>
        <v/>
      </c>
      <c r="G67" s="160">
        <f>MAX(0,ROUND(G66+Q67-AU67,2))</f>
        <v/>
      </c>
      <c r="H67" s="160">
        <f>MAX(0,ROUND(H66+R67-AV67,2))</f>
        <v/>
      </c>
      <c r="I67" s="160">
        <f>MAX(0,ROUND(I66+S67-AW67,2))</f>
        <v/>
      </c>
      <c r="J67" s="160">
        <f>MAX(0,ROUND(J66+T67-AX67,2))</f>
        <v/>
      </c>
      <c r="K67" s="160">
        <f>MAX(0,ROUND(K66+U67-AY67,2))</f>
        <v/>
      </c>
      <c r="L67" s="160">
        <f>MAX(0,ROUND(L66+V67-AZ67,2))</f>
        <v/>
      </c>
      <c r="M67" s="160">
        <f>C66*N('Debt Payoff'!$D$15)/12</f>
        <v/>
      </c>
      <c r="N67" s="160">
        <f>D66*N('Debt Payoff'!$D$16)/12</f>
        <v/>
      </c>
      <c r="O67" s="160">
        <f>E66*N('Debt Payoff'!$D$17)/12</f>
        <v/>
      </c>
      <c r="P67" s="160">
        <f>F66*N('Debt Payoff'!$D$18)/12</f>
        <v/>
      </c>
      <c r="Q67" s="160">
        <f>G66*N('Debt Payoff'!$D$19)/12</f>
        <v/>
      </c>
      <c r="R67" s="160">
        <f>H66*N('Debt Payoff'!$D$20)/12</f>
        <v/>
      </c>
      <c r="S67" s="160">
        <f>I66*N('Debt Payoff'!$D$21)/12</f>
        <v/>
      </c>
      <c r="T67" s="160">
        <f>J66*N('Debt Payoff'!$D$22)/12</f>
        <v/>
      </c>
      <c r="U67" s="160">
        <f>K66*N('Debt Payoff'!$D$23)/12</f>
        <v/>
      </c>
      <c r="V67" s="160">
        <f>L66*N('Debt Payoff'!$D$24)/12</f>
        <v/>
      </c>
      <c r="W67" s="160">
        <f>MIN(N('Debt Payoff'!$E$15),C66+M67)</f>
        <v/>
      </c>
      <c r="X67" s="160">
        <f>MIN(N('Debt Payoff'!$E$16),D66+N67)</f>
        <v/>
      </c>
      <c r="Y67" s="160">
        <f>MIN(N('Debt Payoff'!$E$17),E66+O67)</f>
        <v/>
      </c>
      <c r="Z67" s="160">
        <f>MIN(N('Debt Payoff'!$E$18),F66+P67)</f>
        <v/>
      </c>
      <c r="AA67" s="160">
        <f>MIN(N('Debt Payoff'!$E$19),G66+Q67)</f>
        <v/>
      </c>
      <c r="AB67" s="160">
        <f>MIN(N('Debt Payoff'!$E$20),H66+R67)</f>
        <v/>
      </c>
      <c r="AC67" s="160">
        <f>MIN(N('Debt Payoff'!$E$21),I66+S67)</f>
        <v/>
      </c>
      <c r="AD67" s="160">
        <f>MIN(N('Debt Payoff'!$E$22),J66+T67)</f>
        <v/>
      </c>
      <c r="AE67" s="160">
        <f>MIN(N('Debt Payoff'!$E$23),K66+U67)</f>
        <v/>
      </c>
      <c r="AF67" s="160">
        <f>MIN(N('Debt Payoff'!$E$24),L66+V67)</f>
        <v/>
      </c>
      <c r="AG67" s="160">
        <f>C66+M67-W67</f>
        <v/>
      </c>
      <c r="AH67" s="160">
        <f>D66+N67-X67</f>
        <v/>
      </c>
      <c r="AI67" s="160">
        <f>E66+O67-Y67</f>
        <v/>
      </c>
      <c r="AJ67" s="160">
        <f>F66+P67-Z67</f>
        <v/>
      </c>
      <c r="AK67" s="160">
        <f>G66+Q67-AA67</f>
        <v/>
      </c>
      <c r="AL67" s="160">
        <f>H66+R67-AB67</f>
        <v/>
      </c>
      <c r="AM67" s="160">
        <f>I66+S67-AC67</f>
        <v/>
      </c>
      <c r="AN67" s="160">
        <f>J66+T67-AD67</f>
        <v/>
      </c>
      <c r="AO67" s="160">
        <f>K66+U67-AE67</f>
        <v/>
      </c>
      <c r="AP67" s="160">
        <f>L66+V67-AF67</f>
        <v/>
      </c>
      <c r="AQ67" s="160">
        <f>W67+MAX(0,MIN(AG67,'Debt Payoff'!$C$12-SUM($W67:$AF67)-SUMIFS($AG67:$AP67,$AG$4:$AP$4,"&lt;"&amp;AG$4)))</f>
        <v/>
      </c>
      <c r="AR67" s="160">
        <f>X67+MAX(0,MIN(AH67,'Debt Payoff'!$C$12-SUM($W67:$AF67)-SUMIFS($AG67:$AP67,$AG$4:$AP$4,"&lt;"&amp;AH$4)))</f>
        <v/>
      </c>
      <c r="AS67" s="160">
        <f>Y67+MAX(0,MIN(AI67,'Debt Payoff'!$C$12-SUM($W67:$AF67)-SUMIFS($AG67:$AP67,$AG$4:$AP$4,"&lt;"&amp;AI$4)))</f>
        <v/>
      </c>
      <c r="AT67" s="160">
        <f>Z67+MAX(0,MIN(AJ67,'Debt Payoff'!$C$12-SUM($W67:$AF67)-SUMIFS($AG67:$AP67,$AG$4:$AP$4,"&lt;"&amp;AJ$4)))</f>
        <v/>
      </c>
      <c r="AU67" s="160">
        <f>AA67+MAX(0,MIN(AK67,'Debt Payoff'!$C$12-SUM($W67:$AF67)-SUMIFS($AG67:$AP67,$AG$4:$AP$4,"&lt;"&amp;AK$4)))</f>
        <v/>
      </c>
      <c r="AV67" s="160">
        <f>AB67+MAX(0,MIN(AL67,'Debt Payoff'!$C$12-SUM($W67:$AF67)-SUMIFS($AG67:$AP67,$AG$4:$AP$4,"&lt;"&amp;AL$4)))</f>
        <v/>
      </c>
      <c r="AW67" s="160">
        <f>AC67+MAX(0,MIN(AM67,'Debt Payoff'!$C$12-SUM($W67:$AF67)-SUMIFS($AG67:$AP67,$AG$4:$AP$4,"&lt;"&amp;AM$4)))</f>
        <v/>
      </c>
      <c r="AX67" s="160">
        <f>AD67+MAX(0,MIN(AN67,'Debt Payoff'!$C$12-SUM($W67:$AF67)-SUMIFS($AG67:$AP67,$AG$4:$AP$4,"&lt;"&amp;AN$4)))</f>
        <v/>
      </c>
      <c r="AY67" s="160">
        <f>AE67+MAX(0,MIN(AO67,'Debt Payoff'!$C$12-SUM($W67:$AF67)-SUMIFS($AG67:$AP67,$AG$4:$AP$4,"&lt;"&amp;AO$4)))</f>
        <v/>
      </c>
      <c r="AZ67" s="160">
        <f>AF67+MAX(0,MIN(AP67,'Debt Payoff'!$C$12-SUM($W67:$AF67)-SUMIFS($AG67:$AP67,$AG$4:$AP$4,"&lt;"&amp;AP$4)))</f>
        <v/>
      </c>
      <c r="BA67" s="160">
        <f>SUM(C67:L67)</f>
        <v/>
      </c>
      <c r="BB67" s="160">
        <f>SUM(AQ67:AZ67)</f>
        <v/>
      </c>
      <c r="BC67" s="160">
        <f>SUM(M67:V67)</f>
        <v/>
      </c>
    </row>
    <row r="68">
      <c r="A68" s="157" t="n">
        <v>63</v>
      </c>
      <c r="B68" s="159">
        <f>EDATE('Debt Payoff'!$C$6,62)</f>
        <v/>
      </c>
      <c r="C68" s="160">
        <f>MAX(0,ROUND(C67+M68-AQ68,2))</f>
        <v/>
      </c>
      <c r="D68" s="160">
        <f>MAX(0,ROUND(D67+N68-AR68,2))</f>
        <v/>
      </c>
      <c r="E68" s="160">
        <f>MAX(0,ROUND(E67+O68-AS68,2))</f>
        <v/>
      </c>
      <c r="F68" s="160">
        <f>MAX(0,ROUND(F67+P68-AT68,2))</f>
        <v/>
      </c>
      <c r="G68" s="160">
        <f>MAX(0,ROUND(G67+Q68-AU68,2))</f>
        <v/>
      </c>
      <c r="H68" s="160">
        <f>MAX(0,ROUND(H67+R68-AV68,2))</f>
        <v/>
      </c>
      <c r="I68" s="160">
        <f>MAX(0,ROUND(I67+S68-AW68,2))</f>
        <v/>
      </c>
      <c r="J68" s="160">
        <f>MAX(0,ROUND(J67+T68-AX68,2))</f>
        <v/>
      </c>
      <c r="K68" s="160">
        <f>MAX(0,ROUND(K67+U68-AY68,2))</f>
        <v/>
      </c>
      <c r="L68" s="160">
        <f>MAX(0,ROUND(L67+V68-AZ68,2))</f>
        <v/>
      </c>
      <c r="M68" s="160">
        <f>C67*N('Debt Payoff'!$D$15)/12</f>
        <v/>
      </c>
      <c r="N68" s="160">
        <f>D67*N('Debt Payoff'!$D$16)/12</f>
        <v/>
      </c>
      <c r="O68" s="160">
        <f>E67*N('Debt Payoff'!$D$17)/12</f>
        <v/>
      </c>
      <c r="P68" s="160">
        <f>F67*N('Debt Payoff'!$D$18)/12</f>
        <v/>
      </c>
      <c r="Q68" s="160">
        <f>G67*N('Debt Payoff'!$D$19)/12</f>
        <v/>
      </c>
      <c r="R68" s="160">
        <f>H67*N('Debt Payoff'!$D$20)/12</f>
        <v/>
      </c>
      <c r="S68" s="160">
        <f>I67*N('Debt Payoff'!$D$21)/12</f>
        <v/>
      </c>
      <c r="T68" s="160">
        <f>J67*N('Debt Payoff'!$D$22)/12</f>
        <v/>
      </c>
      <c r="U68" s="160">
        <f>K67*N('Debt Payoff'!$D$23)/12</f>
        <v/>
      </c>
      <c r="V68" s="160">
        <f>L67*N('Debt Payoff'!$D$24)/12</f>
        <v/>
      </c>
      <c r="W68" s="160">
        <f>MIN(N('Debt Payoff'!$E$15),C67+M68)</f>
        <v/>
      </c>
      <c r="X68" s="160">
        <f>MIN(N('Debt Payoff'!$E$16),D67+N68)</f>
        <v/>
      </c>
      <c r="Y68" s="160">
        <f>MIN(N('Debt Payoff'!$E$17),E67+O68)</f>
        <v/>
      </c>
      <c r="Z68" s="160">
        <f>MIN(N('Debt Payoff'!$E$18),F67+P68)</f>
        <v/>
      </c>
      <c r="AA68" s="160">
        <f>MIN(N('Debt Payoff'!$E$19),G67+Q68)</f>
        <v/>
      </c>
      <c r="AB68" s="160">
        <f>MIN(N('Debt Payoff'!$E$20),H67+R68)</f>
        <v/>
      </c>
      <c r="AC68" s="160">
        <f>MIN(N('Debt Payoff'!$E$21),I67+S68)</f>
        <v/>
      </c>
      <c r="AD68" s="160">
        <f>MIN(N('Debt Payoff'!$E$22),J67+T68)</f>
        <v/>
      </c>
      <c r="AE68" s="160">
        <f>MIN(N('Debt Payoff'!$E$23),K67+U68)</f>
        <v/>
      </c>
      <c r="AF68" s="160">
        <f>MIN(N('Debt Payoff'!$E$24),L67+V68)</f>
        <v/>
      </c>
      <c r="AG68" s="160">
        <f>C67+M68-W68</f>
        <v/>
      </c>
      <c r="AH68" s="160">
        <f>D67+N68-X68</f>
        <v/>
      </c>
      <c r="AI68" s="160">
        <f>E67+O68-Y68</f>
        <v/>
      </c>
      <c r="AJ68" s="160">
        <f>F67+P68-Z68</f>
        <v/>
      </c>
      <c r="AK68" s="160">
        <f>G67+Q68-AA68</f>
        <v/>
      </c>
      <c r="AL68" s="160">
        <f>H67+R68-AB68</f>
        <v/>
      </c>
      <c r="AM68" s="160">
        <f>I67+S68-AC68</f>
        <v/>
      </c>
      <c r="AN68" s="160">
        <f>J67+T68-AD68</f>
        <v/>
      </c>
      <c r="AO68" s="160">
        <f>K67+U68-AE68</f>
        <v/>
      </c>
      <c r="AP68" s="160">
        <f>L67+V68-AF68</f>
        <v/>
      </c>
      <c r="AQ68" s="160">
        <f>W68+MAX(0,MIN(AG68,'Debt Payoff'!$C$12-SUM($W68:$AF68)-SUMIFS($AG68:$AP68,$AG$4:$AP$4,"&lt;"&amp;AG$4)))</f>
        <v/>
      </c>
      <c r="AR68" s="160">
        <f>X68+MAX(0,MIN(AH68,'Debt Payoff'!$C$12-SUM($W68:$AF68)-SUMIFS($AG68:$AP68,$AG$4:$AP$4,"&lt;"&amp;AH$4)))</f>
        <v/>
      </c>
      <c r="AS68" s="160">
        <f>Y68+MAX(0,MIN(AI68,'Debt Payoff'!$C$12-SUM($W68:$AF68)-SUMIFS($AG68:$AP68,$AG$4:$AP$4,"&lt;"&amp;AI$4)))</f>
        <v/>
      </c>
      <c r="AT68" s="160">
        <f>Z68+MAX(0,MIN(AJ68,'Debt Payoff'!$C$12-SUM($W68:$AF68)-SUMIFS($AG68:$AP68,$AG$4:$AP$4,"&lt;"&amp;AJ$4)))</f>
        <v/>
      </c>
      <c r="AU68" s="160">
        <f>AA68+MAX(0,MIN(AK68,'Debt Payoff'!$C$12-SUM($W68:$AF68)-SUMIFS($AG68:$AP68,$AG$4:$AP$4,"&lt;"&amp;AK$4)))</f>
        <v/>
      </c>
      <c r="AV68" s="160">
        <f>AB68+MAX(0,MIN(AL68,'Debt Payoff'!$C$12-SUM($W68:$AF68)-SUMIFS($AG68:$AP68,$AG$4:$AP$4,"&lt;"&amp;AL$4)))</f>
        <v/>
      </c>
      <c r="AW68" s="160">
        <f>AC68+MAX(0,MIN(AM68,'Debt Payoff'!$C$12-SUM($W68:$AF68)-SUMIFS($AG68:$AP68,$AG$4:$AP$4,"&lt;"&amp;AM$4)))</f>
        <v/>
      </c>
      <c r="AX68" s="160">
        <f>AD68+MAX(0,MIN(AN68,'Debt Payoff'!$C$12-SUM($W68:$AF68)-SUMIFS($AG68:$AP68,$AG$4:$AP$4,"&lt;"&amp;AN$4)))</f>
        <v/>
      </c>
      <c r="AY68" s="160">
        <f>AE68+MAX(0,MIN(AO68,'Debt Payoff'!$C$12-SUM($W68:$AF68)-SUMIFS($AG68:$AP68,$AG$4:$AP$4,"&lt;"&amp;AO$4)))</f>
        <v/>
      </c>
      <c r="AZ68" s="160">
        <f>AF68+MAX(0,MIN(AP68,'Debt Payoff'!$C$12-SUM($W68:$AF68)-SUMIFS($AG68:$AP68,$AG$4:$AP$4,"&lt;"&amp;AP$4)))</f>
        <v/>
      </c>
      <c r="BA68" s="160">
        <f>SUM(C68:L68)</f>
        <v/>
      </c>
      <c r="BB68" s="160">
        <f>SUM(AQ68:AZ68)</f>
        <v/>
      </c>
      <c r="BC68" s="160">
        <f>SUM(M68:V68)</f>
        <v/>
      </c>
    </row>
    <row r="69">
      <c r="A69" s="157" t="n">
        <v>64</v>
      </c>
      <c r="B69" s="159">
        <f>EDATE('Debt Payoff'!$C$6,63)</f>
        <v/>
      </c>
      <c r="C69" s="160">
        <f>MAX(0,ROUND(C68+M69-AQ69,2))</f>
        <v/>
      </c>
      <c r="D69" s="160">
        <f>MAX(0,ROUND(D68+N69-AR69,2))</f>
        <v/>
      </c>
      <c r="E69" s="160">
        <f>MAX(0,ROUND(E68+O69-AS69,2))</f>
        <v/>
      </c>
      <c r="F69" s="160">
        <f>MAX(0,ROUND(F68+P69-AT69,2))</f>
        <v/>
      </c>
      <c r="G69" s="160">
        <f>MAX(0,ROUND(G68+Q69-AU69,2))</f>
        <v/>
      </c>
      <c r="H69" s="160">
        <f>MAX(0,ROUND(H68+R69-AV69,2))</f>
        <v/>
      </c>
      <c r="I69" s="160">
        <f>MAX(0,ROUND(I68+S69-AW69,2))</f>
        <v/>
      </c>
      <c r="J69" s="160">
        <f>MAX(0,ROUND(J68+T69-AX69,2))</f>
        <v/>
      </c>
      <c r="K69" s="160">
        <f>MAX(0,ROUND(K68+U69-AY69,2))</f>
        <v/>
      </c>
      <c r="L69" s="160">
        <f>MAX(0,ROUND(L68+V69-AZ69,2))</f>
        <v/>
      </c>
      <c r="M69" s="160">
        <f>C68*N('Debt Payoff'!$D$15)/12</f>
        <v/>
      </c>
      <c r="N69" s="160">
        <f>D68*N('Debt Payoff'!$D$16)/12</f>
        <v/>
      </c>
      <c r="O69" s="160">
        <f>E68*N('Debt Payoff'!$D$17)/12</f>
        <v/>
      </c>
      <c r="P69" s="160">
        <f>F68*N('Debt Payoff'!$D$18)/12</f>
        <v/>
      </c>
      <c r="Q69" s="160">
        <f>G68*N('Debt Payoff'!$D$19)/12</f>
        <v/>
      </c>
      <c r="R69" s="160">
        <f>H68*N('Debt Payoff'!$D$20)/12</f>
        <v/>
      </c>
      <c r="S69" s="160">
        <f>I68*N('Debt Payoff'!$D$21)/12</f>
        <v/>
      </c>
      <c r="T69" s="160">
        <f>J68*N('Debt Payoff'!$D$22)/12</f>
        <v/>
      </c>
      <c r="U69" s="160">
        <f>K68*N('Debt Payoff'!$D$23)/12</f>
        <v/>
      </c>
      <c r="V69" s="160">
        <f>L68*N('Debt Payoff'!$D$24)/12</f>
        <v/>
      </c>
      <c r="W69" s="160">
        <f>MIN(N('Debt Payoff'!$E$15),C68+M69)</f>
        <v/>
      </c>
      <c r="X69" s="160">
        <f>MIN(N('Debt Payoff'!$E$16),D68+N69)</f>
        <v/>
      </c>
      <c r="Y69" s="160">
        <f>MIN(N('Debt Payoff'!$E$17),E68+O69)</f>
        <v/>
      </c>
      <c r="Z69" s="160">
        <f>MIN(N('Debt Payoff'!$E$18),F68+P69)</f>
        <v/>
      </c>
      <c r="AA69" s="160">
        <f>MIN(N('Debt Payoff'!$E$19),G68+Q69)</f>
        <v/>
      </c>
      <c r="AB69" s="160">
        <f>MIN(N('Debt Payoff'!$E$20),H68+R69)</f>
        <v/>
      </c>
      <c r="AC69" s="160">
        <f>MIN(N('Debt Payoff'!$E$21),I68+S69)</f>
        <v/>
      </c>
      <c r="AD69" s="160">
        <f>MIN(N('Debt Payoff'!$E$22),J68+T69)</f>
        <v/>
      </c>
      <c r="AE69" s="160">
        <f>MIN(N('Debt Payoff'!$E$23),K68+U69)</f>
        <v/>
      </c>
      <c r="AF69" s="160">
        <f>MIN(N('Debt Payoff'!$E$24),L68+V69)</f>
        <v/>
      </c>
      <c r="AG69" s="160">
        <f>C68+M69-W69</f>
        <v/>
      </c>
      <c r="AH69" s="160">
        <f>D68+N69-X69</f>
        <v/>
      </c>
      <c r="AI69" s="160">
        <f>E68+O69-Y69</f>
        <v/>
      </c>
      <c r="AJ69" s="160">
        <f>F68+P69-Z69</f>
        <v/>
      </c>
      <c r="AK69" s="160">
        <f>G68+Q69-AA69</f>
        <v/>
      </c>
      <c r="AL69" s="160">
        <f>H68+R69-AB69</f>
        <v/>
      </c>
      <c r="AM69" s="160">
        <f>I68+S69-AC69</f>
        <v/>
      </c>
      <c r="AN69" s="160">
        <f>J68+T69-AD69</f>
        <v/>
      </c>
      <c r="AO69" s="160">
        <f>K68+U69-AE69</f>
        <v/>
      </c>
      <c r="AP69" s="160">
        <f>L68+V69-AF69</f>
        <v/>
      </c>
      <c r="AQ69" s="160">
        <f>W69+MAX(0,MIN(AG69,'Debt Payoff'!$C$12-SUM($W69:$AF69)-SUMIFS($AG69:$AP69,$AG$4:$AP$4,"&lt;"&amp;AG$4)))</f>
        <v/>
      </c>
      <c r="AR69" s="160">
        <f>X69+MAX(0,MIN(AH69,'Debt Payoff'!$C$12-SUM($W69:$AF69)-SUMIFS($AG69:$AP69,$AG$4:$AP$4,"&lt;"&amp;AH$4)))</f>
        <v/>
      </c>
      <c r="AS69" s="160">
        <f>Y69+MAX(0,MIN(AI69,'Debt Payoff'!$C$12-SUM($W69:$AF69)-SUMIFS($AG69:$AP69,$AG$4:$AP$4,"&lt;"&amp;AI$4)))</f>
        <v/>
      </c>
      <c r="AT69" s="160">
        <f>Z69+MAX(0,MIN(AJ69,'Debt Payoff'!$C$12-SUM($W69:$AF69)-SUMIFS($AG69:$AP69,$AG$4:$AP$4,"&lt;"&amp;AJ$4)))</f>
        <v/>
      </c>
      <c r="AU69" s="160">
        <f>AA69+MAX(0,MIN(AK69,'Debt Payoff'!$C$12-SUM($W69:$AF69)-SUMIFS($AG69:$AP69,$AG$4:$AP$4,"&lt;"&amp;AK$4)))</f>
        <v/>
      </c>
      <c r="AV69" s="160">
        <f>AB69+MAX(0,MIN(AL69,'Debt Payoff'!$C$12-SUM($W69:$AF69)-SUMIFS($AG69:$AP69,$AG$4:$AP$4,"&lt;"&amp;AL$4)))</f>
        <v/>
      </c>
      <c r="AW69" s="160">
        <f>AC69+MAX(0,MIN(AM69,'Debt Payoff'!$C$12-SUM($W69:$AF69)-SUMIFS($AG69:$AP69,$AG$4:$AP$4,"&lt;"&amp;AM$4)))</f>
        <v/>
      </c>
      <c r="AX69" s="160">
        <f>AD69+MAX(0,MIN(AN69,'Debt Payoff'!$C$12-SUM($W69:$AF69)-SUMIFS($AG69:$AP69,$AG$4:$AP$4,"&lt;"&amp;AN$4)))</f>
        <v/>
      </c>
      <c r="AY69" s="160">
        <f>AE69+MAX(0,MIN(AO69,'Debt Payoff'!$C$12-SUM($W69:$AF69)-SUMIFS($AG69:$AP69,$AG$4:$AP$4,"&lt;"&amp;AO$4)))</f>
        <v/>
      </c>
      <c r="AZ69" s="160">
        <f>AF69+MAX(0,MIN(AP69,'Debt Payoff'!$C$12-SUM($W69:$AF69)-SUMIFS($AG69:$AP69,$AG$4:$AP$4,"&lt;"&amp;AP$4)))</f>
        <v/>
      </c>
      <c r="BA69" s="160">
        <f>SUM(C69:L69)</f>
        <v/>
      </c>
      <c r="BB69" s="160">
        <f>SUM(AQ69:AZ69)</f>
        <v/>
      </c>
      <c r="BC69" s="160">
        <f>SUM(M69:V69)</f>
        <v/>
      </c>
    </row>
    <row r="70">
      <c r="A70" s="157" t="n">
        <v>65</v>
      </c>
      <c r="B70" s="159">
        <f>EDATE('Debt Payoff'!$C$6,64)</f>
        <v/>
      </c>
      <c r="C70" s="160">
        <f>MAX(0,ROUND(C69+M70-AQ70,2))</f>
        <v/>
      </c>
      <c r="D70" s="160">
        <f>MAX(0,ROUND(D69+N70-AR70,2))</f>
        <v/>
      </c>
      <c r="E70" s="160">
        <f>MAX(0,ROUND(E69+O70-AS70,2))</f>
        <v/>
      </c>
      <c r="F70" s="160">
        <f>MAX(0,ROUND(F69+P70-AT70,2))</f>
        <v/>
      </c>
      <c r="G70" s="160">
        <f>MAX(0,ROUND(G69+Q70-AU70,2))</f>
        <v/>
      </c>
      <c r="H70" s="160">
        <f>MAX(0,ROUND(H69+R70-AV70,2))</f>
        <v/>
      </c>
      <c r="I70" s="160">
        <f>MAX(0,ROUND(I69+S70-AW70,2))</f>
        <v/>
      </c>
      <c r="J70" s="160">
        <f>MAX(0,ROUND(J69+T70-AX70,2))</f>
        <v/>
      </c>
      <c r="K70" s="160">
        <f>MAX(0,ROUND(K69+U70-AY70,2))</f>
        <v/>
      </c>
      <c r="L70" s="160">
        <f>MAX(0,ROUND(L69+V70-AZ70,2))</f>
        <v/>
      </c>
      <c r="M70" s="160">
        <f>C69*N('Debt Payoff'!$D$15)/12</f>
        <v/>
      </c>
      <c r="N70" s="160">
        <f>D69*N('Debt Payoff'!$D$16)/12</f>
        <v/>
      </c>
      <c r="O70" s="160">
        <f>E69*N('Debt Payoff'!$D$17)/12</f>
        <v/>
      </c>
      <c r="P70" s="160">
        <f>F69*N('Debt Payoff'!$D$18)/12</f>
        <v/>
      </c>
      <c r="Q70" s="160">
        <f>G69*N('Debt Payoff'!$D$19)/12</f>
        <v/>
      </c>
      <c r="R70" s="160">
        <f>H69*N('Debt Payoff'!$D$20)/12</f>
        <v/>
      </c>
      <c r="S70" s="160">
        <f>I69*N('Debt Payoff'!$D$21)/12</f>
        <v/>
      </c>
      <c r="T70" s="160">
        <f>J69*N('Debt Payoff'!$D$22)/12</f>
        <v/>
      </c>
      <c r="U70" s="160">
        <f>K69*N('Debt Payoff'!$D$23)/12</f>
        <v/>
      </c>
      <c r="V70" s="160">
        <f>L69*N('Debt Payoff'!$D$24)/12</f>
        <v/>
      </c>
      <c r="W70" s="160">
        <f>MIN(N('Debt Payoff'!$E$15),C69+M70)</f>
        <v/>
      </c>
      <c r="X70" s="160">
        <f>MIN(N('Debt Payoff'!$E$16),D69+N70)</f>
        <v/>
      </c>
      <c r="Y70" s="160">
        <f>MIN(N('Debt Payoff'!$E$17),E69+O70)</f>
        <v/>
      </c>
      <c r="Z70" s="160">
        <f>MIN(N('Debt Payoff'!$E$18),F69+P70)</f>
        <v/>
      </c>
      <c r="AA70" s="160">
        <f>MIN(N('Debt Payoff'!$E$19),G69+Q70)</f>
        <v/>
      </c>
      <c r="AB70" s="160">
        <f>MIN(N('Debt Payoff'!$E$20),H69+R70)</f>
        <v/>
      </c>
      <c r="AC70" s="160">
        <f>MIN(N('Debt Payoff'!$E$21),I69+S70)</f>
        <v/>
      </c>
      <c r="AD70" s="160">
        <f>MIN(N('Debt Payoff'!$E$22),J69+T70)</f>
        <v/>
      </c>
      <c r="AE70" s="160">
        <f>MIN(N('Debt Payoff'!$E$23),K69+U70)</f>
        <v/>
      </c>
      <c r="AF70" s="160">
        <f>MIN(N('Debt Payoff'!$E$24),L69+V70)</f>
        <v/>
      </c>
      <c r="AG70" s="160">
        <f>C69+M70-W70</f>
        <v/>
      </c>
      <c r="AH70" s="160">
        <f>D69+N70-X70</f>
        <v/>
      </c>
      <c r="AI70" s="160">
        <f>E69+O70-Y70</f>
        <v/>
      </c>
      <c r="AJ70" s="160">
        <f>F69+P70-Z70</f>
        <v/>
      </c>
      <c r="AK70" s="160">
        <f>G69+Q70-AA70</f>
        <v/>
      </c>
      <c r="AL70" s="160">
        <f>H69+R70-AB70</f>
        <v/>
      </c>
      <c r="AM70" s="160">
        <f>I69+S70-AC70</f>
        <v/>
      </c>
      <c r="AN70" s="160">
        <f>J69+T70-AD70</f>
        <v/>
      </c>
      <c r="AO70" s="160">
        <f>K69+U70-AE70</f>
        <v/>
      </c>
      <c r="AP70" s="160">
        <f>L69+V70-AF70</f>
        <v/>
      </c>
      <c r="AQ70" s="160">
        <f>W70+MAX(0,MIN(AG70,'Debt Payoff'!$C$12-SUM($W70:$AF70)-SUMIFS($AG70:$AP70,$AG$4:$AP$4,"&lt;"&amp;AG$4)))</f>
        <v/>
      </c>
      <c r="AR70" s="160">
        <f>X70+MAX(0,MIN(AH70,'Debt Payoff'!$C$12-SUM($W70:$AF70)-SUMIFS($AG70:$AP70,$AG$4:$AP$4,"&lt;"&amp;AH$4)))</f>
        <v/>
      </c>
      <c r="AS70" s="160">
        <f>Y70+MAX(0,MIN(AI70,'Debt Payoff'!$C$12-SUM($W70:$AF70)-SUMIFS($AG70:$AP70,$AG$4:$AP$4,"&lt;"&amp;AI$4)))</f>
        <v/>
      </c>
      <c r="AT70" s="160">
        <f>Z70+MAX(0,MIN(AJ70,'Debt Payoff'!$C$12-SUM($W70:$AF70)-SUMIFS($AG70:$AP70,$AG$4:$AP$4,"&lt;"&amp;AJ$4)))</f>
        <v/>
      </c>
      <c r="AU70" s="160">
        <f>AA70+MAX(0,MIN(AK70,'Debt Payoff'!$C$12-SUM($W70:$AF70)-SUMIFS($AG70:$AP70,$AG$4:$AP$4,"&lt;"&amp;AK$4)))</f>
        <v/>
      </c>
      <c r="AV70" s="160">
        <f>AB70+MAX(0,MIN(AL70,'Debt Payoff'!$C$12-SUM($W70:$AF70)-SUMIFS($AG70:$AP70,$AG$4:$AP$4,"&lt;"&amp;AL$4)))</f>
        <v/>
      </c>
      <c r="AW70" s="160">
        <f>AC70+MAX(0,MIN(AM70,'Debt Payoff'!$C$12-SUM($W70:$AF70)-SUMIFS($AG70:$AP70,$AG$4:$AP$4,"&lt;"&amp;AM$4)))</f>
        <v/>
      </c>
      <c r="AX70" s="160">
        <f>AD70+MAX(0,MIN(AN70,'Debt Payoff'!$C$12-SUM($W70:$AF70)-SUMIFS($AG70:$AP70,$AG$4:$AP$4,"&lt;"&amp;AN$4)))</f>
        <v/>
      </c>
      <c r="AY70" s="160">
        <f>AE70+MAX(0,MIN(AO70,'Debt Payoff'!$C$12-SUM($W70:$AF70)-SUMIFS($AG70:$AP70,$AG$4:$AP$4,"&lt;"&amp;AO$4)))</f>
        <v/>
      </c>
      <c r="AZ70" s="160">
        <f>AF70+MAX(0,MIN(AP70,'Debt Payoff'!$C$12-SUM($W70:$AF70)-SUMIFS($AG70:$AP70,$AG$4:$AP$4,"&lt;"&amp;AP$4)))</f>
        <v/>
      </c>
      <c r="BA70" s="160">
        <f>SUM(C70:L70)</f>
        <v/>
      </c>
      <c r="BB70" s="160">
        <f>SUM(AQ70:AZ70)</f>
        <v/>
      </c>
      <c r="BC70" s="160">
        <f>SUM(M70:V70)</f>
        <v/>
      </c>
    </row>
    <row r="71">
      <c r="A71" s="157" t="n">
        <v>66</v>
      </c>
      <c r="B71" s="159">
        <f>EDATE('Debt Payoff'!$C$6,65)</f>
        <v/>
      </c>
      <c r="C71" s="160">
        <f>MAX(0,ROUND(C70+M71-AQ71,2))</f>
        <v/>
      </c>
      <c r="D71" s="160">
        <f>MAX(0,ROUND(D70+N71-AR71,2))</f>
        <v/>
      </c>
      <c r="E71" s="160">
        <f>MAX(0,ROUND(E70+O71-AS71,2))</f>
        <v/>
      </c>
      <c r="F71" s="160">
        <f>MAX(0,ROUND(F70+P71-AT71,2))</f>
        <v/>
      </c>
      <c r="G71" s="160">
        <f>MAX(0,ROUND(G70+Q71-AU71,2))</f>
        <v/>
      </c>
      <c r="H71" s="160">
        <f>MAX(0,ROUND(H70+R71-AV71,2))</f>
        <v/>
      </c>
      <c r="I71" s="160">
        <f>MAX(0,ROUND(I70+S71-AW71,2))</f>
        <v/>
      </c>
      <c r="J71" s="160">
        <f>MAX(0,ROUND(J70+T71-AX71,2))</f>
        <v/>
      </c>
      <c r="K71" s="160">
        <f>MAX(0,ROUND(K70+U71-AY71,2))</f>
        <v/>
      </c>
      <c r="L71" s="160">
        <f>MAX(0,ROUND(L70+V71-AZ71,2))</f>
        <v/>
      </c>
      <c r="M71" s="160">
        <f>C70*N('Debt Payoff'!$D$15)/12</f>
        <v/>
      </c>
      <c r="N71" s="160">
        <f>D70*N('Debt Payoff'!$D$16)/12</f>
        <v/>
      </c>
      <c r="O71" s="160">
        <f>E70*N('Debt Payoff'!$D$17)/12</f>
        <v/>
      </c>
      <c r="P71" s="160">
        <f>F70*N('Debt Payoff'!$D$18)/12</f>
        <v/>
      </c>
      <c r="Q71" s="160">
        <f>G70*N('Debt Payoff'!$D$19)/12</f>
        <v/>
      </c>
      <c r="R71" s="160">
        <f>H70*N('Debt Payoff'!$D$20)/12</f>
        <v/>
      </c>
      <c r="S71" s="160">
        <f>I70*N('Debt Payoff'!$D$21)/12</f>
        <v/>
      </c>
      <c r="T71" s="160">
        <f>J70*N('Debt Payoff'!$D$22)/12</f>
        <v/>
      </c>
      <c r="U71" s="160">
        <f>K70*N('Debt Payoff'!$D$23)/12</f>
        <v/>
      </c>
      <c r="V71" s="160">
        <f>L70*N('Debt Payoff'!$D$24)/12</f>
        <v/>
      </c>
      <c r="W71" s="160">
        <f>MIN(N('Debt Payoff'!$E$15),C70+M71)</f>
        <v/>
      </c>
      <c r="X71" s="160">
        <f>MIN(N('Debt Payoff'!$E$16),D70+N71)</f>
        <v/>
      </c>
      <c r="Y71" s="160">
        <f>MIN(N('Debt Payoff'!$E$17),E70+O71)</f>
        <v/>
      </c>
      <c r="Z71" s="160">
        <f>MIN(N('Debt Payoff'!$E$18),F70+P71)</f>
        <v/>
      </c>
      <c r="AA71" s="160">
        <f>MIN(N('Debt Payoff'!$E$19),G70+Q71)</f>
        <v/>
      </c>
      <c r="AB71" s="160">
        <f>MIN(N('Debt Payoff'!$E$20),H70+R71)</f>
        <v/>
      </c>
      <c r="AC71" s="160">
        <f>MIN(N('Debt Payoff'!$E$21),I70+S71)</f>
        <v/>
      </c>
      <c r="AD71" s="160">
        <f>MIN(N('Debt Payoff'!$E$22),J70+T71)</f>
        <v/>
      </c>
      <c r="AE71" s="160">
        <f>MIN(N('Debt Payoff'!$E$23),K70+U71)</f>
        <v/>
      </c>
      <c r="AF71" s="160">
        <f>MIN(N('Debt Payoff'!$E$24),L70+V71)</f>
        <v/>
      </c>
      <c r="AG71" s="160">
        <f>C70+M71-W71</f>
        <v/>
      </c>
      <c r="AH71" s="160">
        <f>D70+N71-X71</f>
        <v/>
      </c>
      <c r="AI71" s="160">
        <f>E70+O71-Y71</f>
        <v/>
      </c>
      <c r="AJ71" s="160">
        <f>F70+P71-Z71</f>
        <v/>
      </c>
      <c r="AK71" s="160">
        <f>G70+Q71-AA71</f>
        <v/>
      </c>
      <c r="AL71" s="160">
        <f>H70+R71-AB71</f>
        <v/>
      </c>
      <c r="AM71" s="160">
        <f>I70+S71-AC71</f>
        <v/>
      </c>
      <c r="AN71" s="160">
        <f>J70+T71-AD71</f>
        <v/>
      </c>
      <c r="AO71" s="160">
        <f>K70+U71-AE71</f>
        <v/>
      </c>
      <c r="AP71" s="160">
        <f>L70+V71-AF71</f>
        <v/>
      </c>
      <c r="AQ71" s="160">
        <f>W71+MAX(0,MIN(AG71,'Debt Payoff'!$C$12-SUM($W71:$AF71)-SUMIFS($AG71:$AP71,$AG$4:$AP$4,"&lt;"&amp;AG$4)))</f>
        <v/>
      </c>
      <c r="AR71" s="160">
        <f>X71+MAX(0,MIN(AH71,'Debt Payoff'!$C$12-SUM($W71:$AF71)-SUMIFS($AG71:$AP71,$AG$4:$AP$4,"&lt;"&amp;AH$4)))</f>
        <v/>
      </c>
      <c r="AS71" s="160">
        <f>Y71+MAX(0,MIN(AI71,'Debt Payoff'!$C$12-SUM($W71:$AF71)-SUMIFS($AG71:$AP71,$AG$4:$AP$4,"&lt;"&amp;AI$4)))</f>
        <v/>
      </c>
      <c r="AT71" s="160">
        <f>Z71+MAX(0,MIN(AJ71,'Debt Payoff'!$C$12-SUM($W71:$AF71)-SUMIFS($AG71:$AP71,$AG$4:$AP$4,"&lt;"&amp;AJ$4)))</f>
        <v/>
      </c>
      <c r="AU71" s="160">
        <f>AA71+MAX(0,MIN(AK71,'Debt Payoff'!$C$12-SUM($W71:$AF71)-SUMIFS($AG71:$AP71,$AG$4:$AP$4,"&lt;"&amp;AK$4)))</f>
        <v/>
      </c>
      <c r="AV71" s="160">
        <f>AB71+MAX(0,MIN(AL71,'Debt Payoff'!$C$12-SUM($W71:$AF71)-SUMIFS($AG71:$AP71,$AG$4:$AP$4,"&lt;"&amp;AL$4)))</f>
        <v/>
      </c>
      <c r="AW71" s="160">
        <f>AC71+MAX(0,MIN(AM71,'Debt Payoff'!$C$12-SUM($W71:$AF71)-SUMIFS($AG71:$AP71,$AG$4:$AP$4,"&lt;"&amp;AM$4)))</f>
        <v/>
      </c>
      <c r="AX71" s="160">
        <f>AD71+MAX(0,MIN(AN71,'Debt Payoff'!$C$12-SUM($W71:$AF71)-SUMIFS($AG71:$AP71,$AG$4:$AP$4,"&lt;"&amp;AN$4)))</f>
        <v/>
      </c>
      <c r="AY71" s="160">
        <f>AE71+MAX(0,MIN(AO71,'Debt Payoff'!$C$12-SUM($W71:$AF71)-SUMIFS($AG71:$AP71,$AG$4:$AP$4,"&lt;"&amp;AO$4)))</f>
        <v/>
      </c>
      <c r="AZ71" s="160">
        <f>AF71+MAX(0,MIN(AP71,'Debt Payoff'!$C$12-SUM($W71:$AF71)-SUMIFS($AG71:$AP71,$AG$4:$AP$4,"&lt;"&amp;AP$4)))</f>
        <v/>
      </c>
      <c r="BA71" s="160">
        <f>SUM(C71:L71)</f>
        <v/>
      </c>
      <c r="BB71" s="160">
        <f>SUM(AQ71:AZ71)</f>
        <v/>
      </c>
      <c r="BC71" s="160">
        <f>SUM(M71:V71)</f>
        <v/>
      </c>
    </row>
    <row r="72">
      <c r="A72" s="157" t="n">
        <v>67</v>
      </c>
      <c r="B72" s="159">
        <f>EDATE('Debt Payoff'!$C$6,66)</f>
        <v/>
      </c>
      <c r="C72" s="160">
        <f>MAX(0,ROUND(C71+M72-AQ72,2))</f>
        <v/>
      </c>
      <c r="D72" s="160">
        <f>MAX(0,ROUND(D71+N72-AR72,2))</f>
        <v/>
      </c>
      <c r="E72" s="160">
        <f>MAX(0,ROUND(E71+O72-AS72,2))</f>
        <v/>
      </c>
      <c r="F72" s="160">
        <f>MAX(0,ROUND(F71+P72-AT72,2))</f>
        <v/>
      </c>
      <c r="G72" s="160">
        <f>MAX(0,ROUND(G71+Q72-AU72,2))</f>
        <v/>
      </c>
      <c r="H72" s="160">
        <f>MAX(0,ROUND(H71+R72-AV72,2))</f>
        <v/>
      </c>
      <c r="I72" s="160">
        <f>MAX(0,ROUND(I71+S72-AW72,2))</f>
        <v/>
      </c>
      <c r="J72" s="160">
        <f>MAX(0,ROUND(J71+T72-AX72,2))</f>
        <v/>
      </c>
      <c r="K72" s="160">
        <f>MAX(0,ROUND(K71+U72-AY72,2))</f>
        <v/>
      </c>
      <c r="L72" s="160">
        <f>MAX(0,ROUND(L71+V72-AZ72,2))</f>
        <v/>
      </c>
      <c r="M72" s="160">
        <f>C71*N('Debt Payoff'!$D$15)/12</f>
        <v/>
      </c>
      <c r="N72" s="160">
        <f>D71*N('Debt Payoff'!$D$16)/12</f>
        <v/>
      </c>
      <c r="O72" s="160">
        <f>E71*N('Debt Payoff'!$D$17)/12</f>
        <v/>
      </c>
      <c r="P72" s="160">
        <f>F71*N('Debt Payoff'!$D$18)/12</f>
        <v/>
      </c>
      <c r="Q72" s="160">
        <f>G71*N('Debt Payoff'!$D$19)/12</f>
        <v/>
      </c>
      <c r="R72" s="160">
        <f>H71*N('Debt Payoff'!$D$20)/12</f>
        <v/>
      </c>
      <c r="S72" s="160">
        <f>I71*N('Debt Payoff'!$D$21)/12</f>
        <v/>
      </c>
      <c r="T72" s="160">
        <f>J71*N('Debt Payoff'!$D$22)/12</f>
        <v/>
      </c>
      <c r="U72" s="160">
        <f>K71*N('Debt Payoff'!$D$23)/12</f>
        <v/>
      </c>
      <c r="V72" s="160">
        <f>L71*N('Debt Payoff'!$D$24)/12</f>
        <v/>
      </c>
      <c r="W72" s="160">
        <f>MIN(N('Debt Payoff'!$E$15),C71+M72)</f>
        <v/>
      </c>
      <c r="X72" s="160">
        <f>MIN(N('Debt Payoff'!$E$16),D71+N72)</f>
        <v/>
      </c>
      <c r="Y72" s="160">
        <f>MIN(N('Debt Payoff'!$E$17),E71+O72)</f>
        <v/>
      </c>
      <c r="Z72" s="160">
        <f>MIN(N('Debt Payoff'!$E$18),F71+P72)</f>
        <v/>
      </c>
      <c r="AA72" s="160">
        <f>MIN(N('Debt Payoff'!$E$19),G71+Q72)</f>
        <v/>
      </c>
      <c r="AB72" s="160">
        <f>MIN(N('Debt Payoff'!$E$20),H71+R72)</f>
        <v/>
      </c>
      <c r="AC72" s="160">
        <f>MIN(N('Debt Payoff'!$E$21),I71+S72)</f>
        <v/>
      </c>
      <c r="AD72" s="160">
        <f>MIN(N('Debt Payoff'!$E$22),J71+T72)</f>
        <v/>
      </c>
      <c r="AE72" s="160">
        <f>MIN(N('Debt Payoff'!$E$23),K71+U72)</f>
        <v/>
      </c>
      <c r="AF72" s="160">
        <f>MIN(N('Debt Payoff'!$E$24),L71+V72)</f>
        <v/>
      </c>
      <c r="AG72" s="160">
        <f>C71+M72-W72</f>
        <v/>
      </c>
      <c r="AH72" s="160">
        <f>D71+N72-X72</f>
        <v/>
      </c>
      <c r="AI72" s="160">
        <f>E71+O72-Y72</f>
        <v/>
      </c>
      <c r="AJ72" s="160">
        <f>F71+P72-Z72</f>
        <v/>
      </c>
      <c r="AK72" s="160">
        <f>G71+Q72-AA72</f>
        <v/>
      </c>
      <c r="AL72" s="160">
        <f>H71+R72-AB72</f>
        <v/>
      </c>
      <c r="AM72" s="160">
        <f>I71+S72-AC72</f>
        <v/>
      </c>
      <c r="AN72" s="160">
        <f>J71+T72-AD72</f>
        <v/>
      </c>
      <c r="AO72" s="160">
        <f>K71+U72-AE72</f>
        <v/>
      </c>
      <c r="AP72" s="160">
        <f>L71+V72-AF72</f>
        <v/>
      </c>
      <c r="AQ72" s="160">
        <f>W72+MAX(0,MIN(AG72,'Debt Payoff'!$C$12-SUM($W72:$AF72)-SUMIFS($AG72:$AP72,$AG$4:$AP$4,"&lt;"&amp;AG$4)))</f>
        <v/>
      </c>
      <c r="AR72" s="160">
        <f>X72+MAX(0,MIN(AH72,'Debt Payoff'!$C$12-SUM($W72:$AF72)-SUMIFS($AG72:$AP72,$AG$4:$AP$4,"&lt;"&amp;AH$4)))</f>
        <v/>
      </c>
      <c r="AS72" s="160">
        <f>Y72+MAX(0,MIN(AI72,'Debt Payoff'!$C$12-SUM($W72:$AF72)-SUMIFS($AG72:$AP72,$AG$4:$AP$4,"&lt;"&amp;AI$4)))</f>
        <v/>
      </c>
      <c r="AT72" s="160">
        <f>Z72+MAX(0,MIN(AJ72,'Debt Payoff'!$C$12-SUM($W72:$AF72)-SUMIFS($AG72:$AP72,$AG$4:$AP$4,"&lt;"&amp;AJ$4)))</f>
        <v/>
      </c>
      <c r="AU72" s="160">
        <f>AA72+MAX(0,MIN(AK72,'Debt Payoff'!$C$12-SUM($W72:$AF72)-SUMIFS($AG72:$AP72,$AG$4:$AP$4,"&lt;"&amp;AK$4)))</f>
        <v/>
      </c>
      <c r="AV72" s="160">
        <f>AB72+MAX(0,MIN(AL72,'Debt Payoff'!$C$12-SUM($W72:$AF72)-SUMIFS($AG72:$AP72,$AG$4:$AP$4,"&lt;"&amp;AL$4)))</f>
        <v/>
      </c>
      <c r="AW72" s="160">
        <f>AC72+MAX(0,MIN(AM72,'Debt Payoff'!$C$12-SUM($W72:$AF72)-SUMIFS($AG72:$AP72,$AG$4:$AP$4,"&lt;"&amp;AM$4)))</f>
        <v/>
      </c>
      <c r="AX72" s="160">
        <f>AD72+MAX(0,MIN(AN72,'Debt Payoff'!$C$12-SUM($W72:$AF72)-SUMIFS($AG72:$AP72,$AG$4:$AP$4,"&lt;"&amp;AN$4)))</f>
        <v/>
      </c>
      <c r="AY72" s="160">
        <f>AE72+MAX(0,MIN(AO72,'Debt Payoff'!$C$12-SUM($W72:$AF72)-SUMIFS($AG72:$AP72,$AG$4:$AP$4,"&lt;"&amp;AO$4)))</f>
        <v/>
      </c>
      <c r="AZ72" s="160">
        <f>AF72+MAX(0,MIN(AP72,'Debt Payoff'!$C$12-SUM($W72:$AF72)-SUMIFS($AG72:$AP72,$AG$4:$AP$4,"&lt;"&amp;AP$4)))</f>
        <v/>
      </c>
      <c r="BA72" s="160">
        <f>SUM(C72:L72)</f>
        <v/>
      </c>
      <c r="BB72" s="160">
        <f>SUM(AQ72:AZ72)</f>
        <v/>
      </c>
      <c r="BC72" s="160">
        <f>SUM(M72:V72)</f>
        <v/>
      </c>
    </row>
    <row r="73">
      <c r="A73" s="157" t="n">
        <v>68</v>
      </c>
      <c r="B73" s="159">
        <f>EDATE('Debt Payoff'!$C$6,67)</f>
        <v/>
      </c>
      <c r="C73" s="160">
        <f>MAX(0,ROUND(C72+M73-AQ73,2))</f>
        <v/>
      </c>
      <c r="D73" s="160">
        <f>MAX(0,ROUND(D72+N73-AR73,2))</f>
        <v/>
      </c>
      <c r="E73" s="160">
        <f>MAX(0,ROUND(E72+O73-AS73,2))</f>
        <v/>
      </c>
      <c r="F73" s="160">
        <f>MAX(0,ROUND(F72+P73-AT73,2))</f>
        <v/>
      </c>
      <c r="G73" s="160">
        <f>MAX(0,ROUND(G72+Q73-AU73,2))</f>
        <v/>
      </c>
      <c r="H73" s="160">
        <f>MAX(0,ROUND(H72+R73-AV73,2))</f>
        <v/>
      </c>
      <c r="I73" s="160">
        <f>MAX(0,ROUND(I72+S73-AW73,2))</f>
        <v/>
      </c>
      <c r="J73" s="160">
        <f>MAX(0,ROUND(J72+T73-AX73,2))</f>
        <v/>
      </c>
      <c r="K73" s="160">
        <f>MAX(0,ROUND(K72+U73-AY73,2))</f>
        <v/>
      </c>
      <c r="L73" s="160">
        <f>MAX(0,ROUND(L72+V73-AZ73,2))</f>
        <v/>
      </c>
      <c r="M73" s="160">
        <f>C72*N('Debt Payoff'!$D$15)/12</f>
        <v/>
      </c>
      <c r="N73" s="160">
        <f>D72*N('Debt Payoff'!$D$16)/12</f>
        <v/>
      </c>
      <c r="O73" s="160">
        <f>E72*N('Debt Payoff'!$D$17)/12</f>
        <v/>
      </c>
      <c r="P73" s="160">
        <f>F72*N('Debt Payoff'!$D$18)/12</f>
        <v/>
      </c>
      <c r="Q73" s="160">
        <f>G72*N('Debt Payoff'!$D$19)/12</f>
        <v/>
      </c>
      <c r="R73" s="160">
        <f>H72*N('Debt Payoff'!$D$20)/12</f>
        <v/>
      </c>
      <c r="S73" s="160">
        <f>I72*N('Debt Payoff'!$D$21)/12</f>
        <v/>
      </c>
      <c r="T73" s="160">
        <f>J72*N('Debt Payoff'!$D$22)/12</f>
        <v/>
      </c>
      <c r="U73" s="160">
        <f>K72*N('Debt Payoff'!$D$23)/12</f>
        <v/>
      </c>
      <c r="V73" s="160">
        <f>L72*N('Debt Payoff'!$D$24)/12</f>
        <v/>
      </c>
      <c r="W73" s="160">
        <f>MIN(N('Debt Payoff'!$E$15),C72+M73)</f>
        <v/>
      </c>
      <c r="X73" s="160">
        <f>MIN(N('Debt Payoff'!$E$16),D72+N73)</f>
        <v/>
      </c>
      <c r="Y73" s="160">
        <f>MIN(N('Debt Payoff'!$E$17),E72+O73)</f>
        <v/>
      </c>
      <c r="Z73" s="160">
        <f>MIN(N('Debt Payoff'!$E$18),F72+P73)</f>
        <v/>
      </c>
      <c r="AA73" s="160">
        <f>MIN(N('Debt Payoff'!$E$19),G72+Q73)</f>
        <v/>
      </c>
      <c r="AB73" s="160">
        <f>MIN(N('Debt Payoff'!$E$20),H72+R73)</f>
        <v/>
      </c>
      <c r="AC73" s="160">
        <f>MIN(N('Debt Payoff'!$E$21),I72+S73)</f>
        <v/>
      </c>
      <c r="AD73" s="160">
        <f>MIN(N('Debt Payoff'!$E$22),J72+T73)</f>
        <v/>
      </c>
      <c r="AE73" s="160">
        <f>MIN(N('Debt Payoff'!$E$23),K72+U73)</f>
        <v/>
      </c>
      <c r="AF73" s="160">
        <f>MIN(N('Debt Payoff'!$E$24),L72+V73)</f>
        <v/>
      </c>
      <c r="AG73" s="160">
        <f>C72+M73-W73</f>
        <v/>
      </c>
      <c r="AH73" s="160">
        <f>D72+N73-X73</f>
        <v/>
      </c>
      <c r="AI73" s="160">
        <f>E72+O73-Y73</f>
        <v/>
      </c>
      <c r="AJ73" s="160">
        <f>F72+P73-Z73</f>
        <v/>
      </c>
      <c r="AK73" s="160">
        <f>G72+Q73-AA73</f>
        <v/>
      </c>
      <c r="AL73" s="160">
        <f>H72+R73-AB73</f>
        <v/>
      </c>
      <c r="AM73" s="160">
        <f>I72+S73-AC73</f>
        <v/>
      </c>
      <c r="AN73" s="160">
        <f>J72+T73-AD73</f>
        <v/>
      </c>
      <c r="AO73" s="160">
        <f>K72+U73-AE73</f>
        <v/>
      </c>
      <c r="AP73" s="160">
        <f>L72+V73-AF73</f>
        <v/>
      </c>
      <c r="AQ73" s="160">
        <f>W73+MAX(0,MIN(AG73,'Debt Payoff'!$C$12-SUM($W73:$AF73)-SUMIFS($AG73:$AP73,$AG$4:$AP$4,"&lt;"&amp;AG$4)))</f>
        <v/>
      </c>
      <c r="AR73" s="160">
        <f>X73+MAX(0,MIN(AH73,'Debt Payoff'!$C$12-SUM($W73:$AF73)-SUMIFS($AG73:$AP73,$AG$4:$AP$4,"&lt;"&amp;AH$4)))</f>
        <v/>
      </c>
      <c r="AS73" s="160">
        <f>Y73+MAX(0,MIN(AI73,'Debt Payoff'!$C$12-SUM($W73:$AF73)-SUMIFS($AG73:$AP73,$AG$4:$AP$4,"&lt;"&amp;AI$4)))</f>
        <v/>
      </c>
      <c r="AT73" s="160">
        <f>Z73+MAX(0,MIN(AJ73,'Debt Payoff'!$C$12-SUM($W73:$AF73)-SUMIFS($AG73:$AP73,$AG$4:$AP$4,"&lt;"&amp;AJ$4)))</f>
        <v/>
      </c>
      <c r="AU73" s="160">
        <f>AA73+MAX(0,MIN(AK73,'Debt Payoff'!$C$12-SUM($W73:$AF73)-SUMIFS($AG73:$AP73,$AG$4:$AP$4,"&lt;"&amp;AK$4)))</f>
        <v/>
      </c>
      <c r="AV73" s="160">
        <f>AB73+MAX(0,MIN(AL73,'Debt Payoff'!$C$12-SUM($W73:$AF73)-SUMIFS($AG73:$AP73,$AG$4:$AP$4,"&lt;"&amp;AL$4)))</f>
        <v/>
      </c>
      <c r="AW73" s="160">
        <f>AC73+MAX(0,MIN(AM73,'Debt Payoff'!$C$12-SUM($W73:$AF73)-SUMIFS($AG73:$AP73,$AG$4:$AP$4,"&lt;"&amp;AM$4)))</f>
        <v/>
      </c>
      <c r="AX73" s="160">
        <f>AD73+MAX(0,MIN(AN73,'Debt Payoff'!$C$12-SUM($W73:$AF73)-SUMIFS($AG73:$AP73,$AG$4:$AP$4,"&lt;"&amp;AN$4)))</f>
        <v/>
      </c>
      <c r="AY73" s="160">
        <f>AE73+MAX(0,MIN(AO73,'Debt Payoff'!$C$12-SUM($W73:$AF73)-SUMIFS($AG73:$AP73,$AG$4:$AP$4,"&lt;"&amp;AO$4)))</f>
        <v/>
      </c>
      <c r="AZ73" s="160">
        <f>AF73+MAX(0,MIN(AP73,'Debt Payoff'!$C$12-SUM($W73:$AF73)-SUMIFS($AG73:$AP73,$AG$4:$AP$4,"&lt;"&amp;AP$4)))</f>
        <v/>
      </c>
      <c r="BA73" s="160">
        <f>SUM(C73:L73)</f>
        <v/>
      </c>
      <c r="BB73" s="160">
        <f>SUM(AQ73:AZ73)</f>
        <v/>
      </c>
      <c r="BC73" s="160">
        <f>SUM(M73:V73)</f>
        <v/>
      </c>
    </row>
    <row r="74">
      <c r="A74" s="157" t="n">
        <v>69</v>
      </c>
      <c r="B74" s="159">
        <f>EDATE('Debt Payoff'!$C$6,68)</f>
        <v/>
      </c>
      <c r="C74" s="160">
        <f>MAX(0,ROUND(C73+M74-AQ74,2))</f>
        <v/>
      </c>
      <c r="D74" s="160">
        <f>MAX(0,ROUND(D73+N74-AR74,2))</f>
        <v/>
      </c>
      <c r="E74" s="160">
        <f>MAX(0,ROUND(E73+O74-AS74,2))</f>
        <v/>
      </c>
      <c r="F74" s="160">
        <f>MAX(0,ROUND(F73+P74-AT74,2))</f>
        <v/>
      </c>
      <c r="G74" s="160">
        <f>MAX(0,ROUND(G73+Q74-AU74,2))</f>
        <v/>
      </c>
      <c r="H74" s="160">
        <f>MAX(0,ROUND(H73+R74-AV74,2))</f>
        <v/>
      </c>
      <c r="I74" s="160">
        <f>MAX(0,ROUND(I73+S74-AW74,2))</f>
        <v/>
      </c>
      <c r="J74" s="160">
        <f>MAX(0,ROUND(J73+T74-AX74,2))</f>
        <v/>
      </c>
      <c r="K74" s="160">
        <f>MAX(0,ROUND(K73+U74-AY74,2))</f>
        <v/>
      </c>
      <c r="L74" s="160">
        <f>MAX(0,ROUND(L73+V74-AZ74,2))</f>
        <v/>
      </c>
      <c r="M74" s="160">
        <f>C73*N('Debt Payoff'!$D$15)/12</f>
        <v/>
      </c>
      <c r="N74" s="160">
        <f>D73*N('Debt Payoff'!$D$16)/12</f>
        <v/>
      </c>
      <c r="O74" s="160">
        <f>E73*N('Debt Payoff'!$D$17)/12</f>
        <v/>
      </c>
      <c r="P74" s="160">
        <f>F73*N('Debt Payoff'!$D$18)/12</f>
        <v/>
      </c>
      <c r="Q74" s="160">
        <f>G73*N('Debt Payoff'!$D$19)/12</f>
        <v/>
      </c>
      <c r="R74" s="160">
        <f>H73*N('Debt Payoff'!$D$20)/12</f>
        <v/>
      </c>
      <c r="S74" s="160">
        <f>I73*N('Debt Payoff'!$D$21)/12</f>
        <v/>
      </c>
      <c r="T74" s="160">
        <f>J73*N('Debt Payoff'!$D$22)/12</f>
        <v/>
      </c>
      <c r="U74" s="160">
        <f>K73*N('Debt Payoff'!$D$23)/12</f>
        <v/>
      </c>
      <c r="V74" s="160">
        <f>L73*N('Debt Payoff'!$D$24)/12</f>
        <v/>
      </c>
      <c r="W74" s="160">
        <f>MIN(N('Debt Payoff'!$E$15),C73+M74)</f>
        <v/>
      </c>
      <c r="X74" s="160">
        <f>MIN(N('Debt Payoff'!$E$16),D73+N74)</f>
        <v/>
      </c>
      <c r="Y74" s="160">
        <f>MIN(N('Debt Payoff'!$E$17),E73+O74)</f>
        <v/>
      </c>
      <c r="Z74" s="160">
        <f>MIN(N('Debt Payoff'!$E$18),F73+P74)</f>
        <v/>
      </c>
      <c r="AA74" s="160">
        <f>MIN(N('Debt Payoff'!$E$19),G73+Q74)</f>
        <v/>
      </c>
      <c r="AB74" s="160">
        <f>MIN(N('Debt Payoff'!$E$20),H73+R74)</f>
        <v/>
      </c>
      <c r="AC74" s="160">
        <f>MIN(N('Debt Payoff'!$E$21),I73+S74)</f>
        <v/>
      </c>
      <c r="AD74" s="160">
        <f>MIN(N('Debt Payoff'!$E$22),J73+T74)</f>
        <v/>
      </c>
      <c r="AE74" s="160">
        <f>MIN(N('Debt Payoff'!$E$23),K73+U74)</f>
        <v/>
      </c>
      <c r="AF74" s="160">
        <f>MIN(N('Debt Payoff'!$E$24),L73+V74)</f>
        <v/>
      </c>
      <c r="AG74" s="160">
        <f>C73+M74-W74</f>
        <v/>
      </c>
      <c r="AH74" s="160">
        <f>D73+N74-X74</f>
        <v/>
      </c>
      <c r="AI74" s="160">
        <f>E73+O74-Y74</f>
        <v/>
      </c>
      <c r="AJ74" s="160">
        <f>F73+P74-Z74</f>
        <v/>
      </c>
      <c r="AK74" s="160">
        <f>G73+Q74-AA74</f>
        <v/>
      </c>
      <c r="AL74" s="160">
        <f>H73+R74-AB74</f>
        <v/>
      </c>
      <c r="AM74" s="160">
        <f>I73+S74-AC74</f>
        <v/>
      </c>
      <c r="AN74" s="160">
        <f>J73+T74-AD74</f>
        <v/>
      </c>
      <c r="AO74" s="160">
        <f>K73+U74-AE74</f>
        <v/>
      </c>
      <c r="AP74" s="160">
        <f>L73+V74-AF74</f>
        <v/>
      </c>
      <c r="AQ74" s="160">
        <f>W74+MAX(0,MIN(AG74,'Debt Payoff'!$C$12-SUM($W74:$AF74)-SUMIFS($AG74:$AP74,$AG$4:$AP$4,"&lt;"&amp;AG$4)))</f>
        <v/>
      </c>
      <c r="AR74" s="160">
        <f>X74+MAX(0,MIN(AH74,'Debt Payoff'!$C$12-SUM($W74:$AF74)-SUMIFS($AG74:$AP74,$AG$4:$AP$4,"&lt;"&amp;AH$4)))</f>
        <v/>
      </c>
      <c r="AS74" s="160">
        <f>Y74+MAX(0,MIN(AI74,'Debt Payoff'!$C$12-SUM($W74:$AF74)-SUMIFS($AG74:$AP74,$AG$4:$AP$4,"&lt;"&amp;AI$4)))</f>
        <v/>
      </c>
      <c r="AT74" s="160">
        <f>Z74+MAX(0,MIN(AJ74,'Debt Payoff'!$C$12-SUM($W74:$AF74)-SUMIFS($AG74:$AP74,$AG$4:$AP$4,"&lt;"&amp;AJ$4)))</f>
        <v/>
      </c>
      <c r="AU74" s="160">
        <f>AA74+MAX(0,MIN(AK74,'Debt Payoff'!$C$12-SUM($W74:$AF74)-SUMIFS($AG74:$AP74,$AG$4:$AP$4,"&lt;"&amp;AK$4)))</f>
        <v/>
      </c>
      <c r="AV74" s="160">
        <f>AB74+MAX(0,MIN(AL74,'Debt Payoff'!$C$12-SUM($W74:$AF74)-SUMIFS($AG74:$AP74,$AG$4:$AP$4,"&lt;"&amp;AL$4)))</f>
        <v/>
      </c>
      <c r="AW74" s="160">
        <f>AC74+MAX(0,MIN(AM74,'Debt Payoff'!$C$12-SUM($W74:$AF74)-SUMIFS($AG74:$AP74,$AG$4:$AP$4,"&lt;"&amp;AM$4)))</f>
        <v/>
      </c>
      <c r="AX74" s="160">
        <f>AD74+MAX(0,MIN(AN74,'Debt Payoff'!$C$12-SUM($W74:$AF74)-SUMIFS($AG74:$AP74,$AG$4:$AP$4,"&lt;"&amp;AN$4)))</f>
        <v/>
      </c>
      <c r="AY74" s="160">
        <f>AE74+MAX(0,MIN(AO74,'Debt Payoff'!$C$12-SUM($W74:$AF74)-SUMIFS($AG74:$AP74,$AG$4:$AP$4,"&lt;"&amp;AO$4)))</f>
        <v/>
      </c>
      <c r="AZ74" s="160">
        <f>AF74+MAX(0,MIN(AP74,'Debt Payoff'!$C$12-SUM($W74:$AF74)-SUMIFS($AG74:$AP74,$AG$4:$AP$4,"&lt;"&amp;AP$4)))</f>
        <v/>
      </c>
      <c r="BA74" s="160">
        <f>SUM(C74:L74)</f>
        <v/>
      </c>
      <c r="BB74" s="160">
        <f>SUM(AQ74:AZ74)</f>
        <v/>
      </c>
      <c r="BC74" s="160">
        <f>SUM(M74:V74)</f>
        <v/>
      </c>
    </row>
    <row r="75">
      <c r="A75" s="157" t="n">
        <v>70</v>
      </c>
      <c r="B75" s="159">
        <f>EDATE('Debt Payoff'!$C$6,69)</f>
        <v/>
      </c>
      <c r="C75" s="160">
        <f>MAX(0,ROUND(C74+M75-AQ75,2))</f>
        <v/>
      </c>
      <c r="D75" s="160">
        <f>MAX(0,ROUND(D74+N75-AR75,2))</f>
        <v/>
      </c>
      <c r="E75" s="160">
        <f>MAX(0,ROUND(E74+O75-AS75,2))</f>
        <v/>
      </c>
      <c r="F75" s="160">
        <f>MAX(0,ROUND(F74+P75-AT75,2))</f>
        <v/>
      </c>
      <c r="G75" s="160">
        <f>MAX(0,ROUND(G74+Q75-AU75,2))</f>
        <v/>
      </c>
      <c r="H75" s="160">
        <f>MAX(0,ROUND(H74+R75-AV75,2))</f>
        <v/>
      </c>
      <c r="I75" s="160">
        <f>MAX(0,ROUND(I74+S75-AW75,2))</f>
        <v/>
      </c>
      <c r="J75" s="160">
        <f>MAX(0,ROUND(J74+T75-AX75,2))</f>
        <v/>
      </c>
      <c r="K75" s="160">
        <f>MAX(0,ROUND(K74+U75-AY75,2))</f>
        <v/>
      </c>
      <c r="L75" s="160">
        <f>MAX(0,ROUND(L74+V75-AZ75,2))</f>
        <v/>
      </c>
      <c r="M75" s="160">
        <f>C74*N('Debt Payoff'!$D$15)/12</f>
        <v/>
      </c>
      <c r="N75" s="160">
        <f>D74*N('Debt Payoff'!$D$16)/12</f>
        <v/>
      </c>
      <c r="O75" s="160">
        <f>E74*N('Debt Payoff'!$D$17)/12</f>
        <v/>
      </c>
      <c r="P75" s="160">
        <f>F74*N('Debt Payoff'!$D$18)/12</f>
        <v/>
      </c>
      <c r="Q75" s="160">
        <f>G74*N('Debt Payoff'!$D$19)/12</f>
        <v/>
      </c>
      <c r="R75" s="160">
        <f>H74*N('Debt Payoff'!$D$20)/12</f>
        <v/>
      </c>
      <c r="S75" s="160">
        <f>I74*N('Debt Payoff'!$D$21)/12</f>
        <v/>
      </c>
      <c r="T75" s="160">
        <f>J74*N('Debt Payoff'!$D$22)/12</f>
        <v/>
      </c>
      <c r="U75" s="160">
        <f>K74*N('Debt Payoff'!$D$23)/12</f>
        <v/>
      </c>
      <c r="V75" s="160">
        <f>L74*N('Debt Payoff'!$D$24)/12</f>
        <v/>
      </c>
      <c r="W75" s="160">
        <f>MIN(N('Debt Payoff'!$E$15),C74+M75)</f>
        <v/>
      </c>
      <c r="X75" s="160">
        <f>MIN(N('Debt Payoff'!$E$16),D74+N75)</f>
        <v/>
      </c>
      <c r="Y75" s="160">
        <f>MIN(N('Debt Payoff'!$E$17),E74+O75)</f>
        <v/>
      </c>
      <c r="Z75" s="160">
        <f>MIN(N('Debt Payoff'!$E$18),F74+P75)</f>
        <v/>
      </c>
      <c r="AA75" s="160">
        <f>MIN(N('Debt Payoff'!$E$19),G74+Q75)</f>
        <v/>
      </c>
      <c r="AB75" s="160">
        <f>MIN(N('Debt Payoff'!$E$20),H74+R75)</f>
        <v/>
      </c>
      <c r="AC75" s="160">
        <f>MIN(N('Debt Payoff'!$E$21),I74+S75)</f>
        <v/>
      </c>
      <c r="AD75" s="160">
        <f>MIN(N('Debt Payoff'!$E$22),J74+T75)</f>
        <v/>
      </c>
      <c r="AE75" s="160">
        <f>MIN(N('Debt Payoff'!$E$23),K74+U75)</f>
        <v/>
      </c>
      <c r="AF75" s="160">
        <f>MIN(N('Debt Payoff'!$E$24),L74+V75)</f>
        <v/>
      </c>
      <c r="AG75" s="160">
        <f>C74+M75-W75</f>
        <v/>
      </c>
      <c r="AH75" s="160">
        <f>D74+N75-X75</f>
        <v/>
      </c>
      <c r="AI75" s="160">
        <f>E74+O75-Y75</f>
        <v/>
      </c>
      <c r="AJ75" s="160">
        <f>F74+P75-Z75</f>
        <v/>
      </c>
      <c r="AK75" s="160">
        <f>G74+Q75-AA75</f>
        <v/>
      </c>
      <c r="AL75" s="160">
        <f>H74+R75-AB75</f>
        <v/>
      </c>
      <c r="AM75" s="160">
        <f>I74+S75-AC75</f>
        <v/>
      </c>
      <c r="AN75" s="160">
        <f>J74+T75-AD75</f>
        <v/>
      </c>
      <c r="AO75" s="160">
        <f>K74+U75-AE75</f>
        <v/>
      </c>
      <c r="AP75" s="160">
        <f>L74+V75-AF75</f>
        <v/>
      </c>
      <c r="AQ75" s="160">
        <f>W75+MAX(0,MIN(AG75,'Debt Payoff'!$C$12-SUM($W75:$AF75)-SUMIFS($AG75:$AP75,$AG$4:$AP$4,"&lt;"&amp;AG$4)))</f>
        <v/>
      </c>
      <c r="AR75" s="160">
        <f>X75+MAX(0,MIN(AH75,'Debt Payoff'!$C$12-SUM($W75:$AF75)-SUMIFS($AG75:$AP75,$AG$4:$AP$4,"&lt;"&amp;AH$4)))</f>
        <v/>
      </c>
      <c r="AS75" s="160">
        <f>Y75+MAX(0,MIN(AI75,'Debt Payoff'!$C$12-SUM($W75:$AF75)-SUMIFS($AG75:$AP75,$AG$4:$AP$4,"&lt;"&amp;AI$4)))</f>
        <v/>
      </c>
      <c r="AT75" s="160">
        <f>Z75+MAX(0,MIN(AJ75,'Debt Payoff'!$C$12-SUM($W75:$AF75)-SUMIFS($AG75:$AP75,$AG$4:$AP$4,"&lt;"&amp;AJ$4)))</f>
        <v/>
      </c>
      <c r="AU75" s="160">
        <f>AA75+MAX(0,MIN(AK75,'Debt Payoff'!$C$12-SUM($W75:$AF75)-SUMIFS($AG75:$AP75,$AG$4:$AP$4,"&lt;"&amp;AK$4)))</f>
        <v/>
      </c>
      <c r="AV75" s="160">
        <f>AB75+MAX(0,MIN(AL75,'Debt Payoff'!$C$12-SUM($W75:$AF75)-SUMIFS($AG75:$AP75,$AG$4:$AP$4,"&lt;"&amp;AL$4)))</f>
        <v/>
      </c>
      <c r="AW75" s="160">
        <f>AC75+MAX(0,MIN(AM75,'Debt Payoff'!$C$12-SUM($W75:$AF75)-SUMIFS($AG75:$AP75,$AG$4:$AP$4,"&lt;"&amp;AM$4)))</f>
        <v/>
      </c>
      <c r="AX75" s="160">
        <f>AD75+MAX(0,MIN(AN75,'Debt Payoff'!$C$12-SUM($W75:$AF75)-SUMIFS($AG75:$AP75,$AG$4:$AP$4,"&lt;"&amp;AN$4)))</f>
        <v/>
      </c>
      <c r="AY75" s="160">
        <f>AE75+MAX(0,MIN(AO75,'Debt Payoff'!$C$12-SUM($W75:$AF75)-SUMIFS($AG75:$AP75,$AG$4:$AP$4,"&lt;"&amp;AO$4)))</f>
        <v/>
      </c>
      <c r="AZ75" s="160">
        <f>AF75+MAX(0,MIN(AP75,'Debt Payoff'!$C$12-SUM($W75:$AF75)-SUMIFS($AG75:$AP75,$AG$4:$AP$4,"&lt;"&amp;AP$4)))</f>
        <v/>
      </c>
      <c r="BA75" s="160">
        <f>SUM(C75:L75)</f>
        <v/>
      </c>
      <c r="BB75" s="160">
        <f>SUM(AQ75:AZ75)</f>
        <v/>
      </c>
      <c r="BC75" s="160">
        <f>SUM(M75:V75)</f>
        <v/>
      </c>
    </row>
    <row r="76">
      <c r="A76" s="157" t="n">
        <v>71</v>
      </c>
      <c r="B76" s="159">
        <f>EDATE('Debt Payoff'!$C$6,70)</f>
        <v/>
      </c>
      <c r="C76" s="160">
        <f>MAX(0,ROUND(C75+M76-AQ76,2))</f>
        <v/>
      </c>
      <c r="D76" s="160">
        <f>MAX(0,ROUND(D75+N76-AR76,2))</f>
        <v/>
      </c>
      <c r="E76" s="160">
        <f>MAX(0,ROUND(E75+O76-AS76,2))</f>
        <v/>
      </c>
      <c r="F76" s="160">
        <f>MAX(0,ROUND(F75+P76-AT76,2))</f>
        <v/>
      </c>
      <c r="G76" s="160">
        <f>MAX(0,ROUND(G75+Q76-AU76,2))</f>
        <v/>
      </c>
      <c r="H76" s="160">
        <f>MAX(0,ROUND(H75+R76-AV76,2))</f>
        <v/>
      </c>
      <c r="I76" s="160">
        <f>MAX(0,ROUND(I75+S76-AW76,2))</f>
        <v/>
      </c>
      <c r="J76" s="160">
        <f>MAX(0,ROUND(J75+T76-AX76,2))</f>
        <v/>
      </c>
      <c r="K76" s="160">
        <f>MAX(0,ROUND(K75+U76-AY76,2))</f>
        <v/>
      </c>
      <c r="L76" s="160">
        <f>MAX(0,ROUND(L75+V76-AZ76,2))</f>
        <v/>
      </c>
      <c r="M76" s="160">
        <f>C75*N('Debt Payoff'!$D$15)/12</f>
        <v/>
      </c>
      <c r="N76" s="160">
        <f>D75*N('Debt Payoff'!$D$16)/12</f>
        <v/>
      </c>
      <c r="O76" s="160">
        <f>E75*N('Debt Payoff'!$D$17)/12</f>
        <v/>
      </c>
      <c r="P76" s="160">
        <f>F75*N('Debt Payoff'!$D$18)/12</f>
        <v/>
      </c>
      <c r="Q76" s="160">
        <f>G75*N('Debt Payoff'!$D$19)/12</f>
        <v/>
      </c>
      <c r="R76" s="160">
        <f>H75*N('Debt Payoff'!$D$20)/12</f>
        <v/>
      </c>
      <c r="S76" s="160">
        <f>I75*N('Debt Payoff'!$D$21)/12</f>
        <v/>
      </c>
      <c r="T76" s="160">
        <f>J75*N('Debt Payoff'!$D$22)/12</f>
        <v/>
      </c>
      <c r="U76" s="160">
        <f>K75*N('Debt Payoff'!$D$23)/12</f>
        <v/>
      </c>
      <c r="V76" s="160">
        <f>L75*N('Debt Payoff'!$D$24)/12</f>
        <v/>
      </c>
      <c r="W76" s="160">
        <f>MIN(N('Debt Payoff'!$E$15),C75+M76)</f>
        <v/>
      </c>
      <c r="X76" s="160">
        <f>MIN(N('Debt Payoff'!$E$16),D75+N76)</f>
        <v/>
      </c>
      <c r="Y76" s="160">
        <f>MIN(N('Debt Payoff'!$E$17),E75+O76)</f>
        <v/>
      </c>
      <c r="Z76" s="160">
        <f>MIN(N('Debt Payoff'!$E$18),F75+P76)</f>
        <v/>
      </c>
      <c r="AA76" s="160">
        <f>MIN(N('Debt Payoff'!$E$19),G75+Q76)</f>
        <v/>
      </c>
      <c r="AB76" s="160">
        <f>MIN(N('Debt Payoff'!$E$20),H75+R76)</f>
        <v/>
      </c>
      <c r="AC76" s="160">
        <f>MIN(N('Debt Payoff'!$E$21),I75+S76)</f>
        <v/>
      </c>
      <c r="AD76" s="160">
        <f>MIN(N('Debt Payoff'!$E$22),J75+T76)</f>
        <v/>
      </c>
      <c r="AE76" s="160">
        <f>MIN(N('Debt Payoff'!$E$23),K75+U76)</f>
        <v/>
      </c>
      <c r="AF76" s="160">
        <f>MIN(N('Debt Payoff'!$E$24),L75+V76)</f>
        <v/>
      </c>
      <c r="AG76" s="160">
        <f>C75+M76-W76</f>
        <v/>
      </c>
      <c r="AH76" s="160">
        <f>D75+N76-X76</f>
        <v/>
      </c>
      <c r="AI76" s="160">
        <f>E75+O76-Y76</f>
        <v/>
      </c>
      <c r="AJ76" s="160">
        <f>F75+P76-Z76</f>
        <v/>
      </c>
      <c r="AK76" s="160">
        <f>G75+Q76-AA76</f>
        <v/>
      </c>
      <c r="AL76" s="160">
        <f>H75+R76-AB76</f>
        <v/>
      </c>
      <c r="AM76" s="160">
        <f>I75+S76-AC76</f>
        <v/>
      </c>
      <c r="AN76" s="160">
        <f>J75+T76-AD76</f>
        <v/>
      </c>
      <c r="AO76" s="160">
        <f>K75+U76-AE76</f>
        <v/>
      </c>
      <c r="AP76" s="160">
        <f>L75+V76-AF76</f>
        <v/>
      </c>
      <c r="AQ76" s="160">
        <f>W76+MAX(0,MIN(AG76,'Debt Payoff'!$C$12-SUM($W76:$AF76)-SUMIFS($AG76:$AP76,$AG$4:$AP$4,"&lt;"&amp;AG$4)))</f>
        <v/>
      </c>
      <c r="AR76" s="160">
        <f>X76+MAX(0,MIN(AH76,'Debt Payoff'!$C$12-SUM($W76:$AF76)-SUMIFS($AG76:$AP76,$AG$4:$AP$4,"&lt;"&amp;AH$4)))</f>
        <v/>
      </c>
      <c r="AS76" s="160">
        <f>Y76+MAX(0,MIN(AI76,'Debt Payoff'!$C$12-SUM($W76:$AF76)-SUMIFS($AG76:$AP76,$AG$4:$AP$4,"&lt;"&amp;AI$4)))</f>
        <v/>
      </c>
      <c r="AT76" s="160">
        <f>Z76+MAX(0,MIN(AJ76,'Debt Payoff'!$C$12-SUM($W76:$AF76)-SUMIFS($AG76:$AP76,$AG$4:$AP$4,"&lt;"&amp;AJ$4)))</f>
        <v/>
      </c>
      <c r="AU76" s="160">
        <f>AA76+MAX(0,MIN(AK76,'Debt Payoff'!$C$12-SUM($W76:$AF76)-SUMIFS($AG76:$AP76,$AG$4:$AP$4,"&lt;"&amp;AK$4)))</f>
        <v/>
      </c>
      <c r="AV76" s="160">
        <f>AB76+MAX(0,MIN(AL76,'Debt Payoff'!$C$12-SUM($W76:$AF76)-SUMIFS($AG76:$AP76,$AG$4:$AP$4,"&lt;"&amp;AL$4)))</f>
        <v/>
      </c>
      <c r="AW76" s="160">
        <f>AC76+MAX(0,MIN(AM76,'Debt Payoff'!$C$12-SUM($W76:$AF76)-SUMIFS($AG76:$AP76,$AG$4:$AP$4,"&lt;"&amp;AM$4)))</f>
        <v/>
      </c>
      <c r="AX76" s="160">
        <f>AD76+MAX(0,MIN(AN76,'Debt Payoff'!$C$12-SUM($W76:$AF76)-SUMIFS($AG76:$AP76,$AG$4:$AP$4,"&lt;"&amp;AN$4)))</f>
        <v/>
      </c>
      <c r="AY76" s="160">
        <f>AE76+MAX(0,MIN(AO76,'Debt Payoff'!$C$12-SUM($W76:$AF76)-SUMIFS($AG76:$AP76,$AG$4:$AP$4,"&lt;"&amp;AO$4)))</f>
        <v/>
      </c>
      <c r="AZ76" s="160">
        <f>AF76+MAX(0,MIN(AP76,'Debt Payoff'!$C$12-SUM($W76:$AF76)-SUMIFS($AG76:$AP76,$AG$4:$AP$4,"&lt;"&amp;AP$4)))</f>
        <v/>
      </c>
      <c r="BA76" s="160">
        <f>SUM(C76:L76)</f>
        <v/>
      </c>
      <c r="BB76" s="160">
        <f>SUM(AQ76:AZ76)</f>
        <v/>
      </c>
      <c r="BC76" s="160">
        <f>SUM(M76:V76)</f>
        <v/>
      </c>
    </row>
    <row r="77">
      <c r="A77" s="157" t="n">
        <v>72</v>
      </c>
      <c r="B77" s="159">
        <f>EDATE('Debt Payoff'!$C$6,71)</f>
        <v/>
      </c>
      <c r="C77" s="160">
        <f>MAX(0,ROUND(C76+M77-AQ77,2))</f>
        <v/>
      </c>
      <c r="D77" s="160">
        <f>MAX(0,ROUND(D76+N77-AR77,2))</f>
        <v/>
      </c>
      <c r="E77" s="160">
        <f>MAX(0,ROUND(E76+O77-AS77,2))</f>
        <v/>
      </c>
      <c r="F77" s="160">
        <f>MAX(0,ROUND(F76+P77-AT77,2))</f>
        <v/>
      </c>
      <c r="G77" s="160">
        <f>MAX(0,ROUND(G76+Q77-AU77,2))</f>
        <v/>
      </c>
      <c r="H77" s="160">
        <f>MAX(0,ROUND(H76+R77-AV77,2))</f>
        <v/>
      </c>
      <c r="I77" s="160">
        <f>MAX(0,ROUND(I76+S77-AW77,2))</f>
        <v/>
      </c>
      <c r="J77" s="160">
        <f>MAX(0,ROUND(J76+T77-AX77,2))</f>
        <v/>
      </c>
      <c r="K77" s="160">
        <f>MAX(0,ROUND(K76+U77-AY77,2))</f>
        <v/>
      </c>
      <c r="L77" s="160">
        <f>MAX(0,ROUND(L76+V77-AZ77,2))</f>
        <v/>
      </c>
      <c r="M77" s="160">
        <f>C76*N('Debt Payoff'!$D$15)/12</f>
        <v/>
      </c>
      <c r="N77" s="160">
        <f>D76*N('Debt Payoff'!$D$16)/12</f>
        <v/>
      </c>
      <c r="O77" s="160">
        <f>E76*N('Debt Payoff'!$D$17)/12</f>
        <v/>
      </c>
      <c r="P77" s="160">
        <f>F76*N('Debt Payoff'!$D$18)/12</f>
        <v/>
      </c>
      <c r="Q77" s="160">
        <f>G76*N('Debt Payoff'!$D$19)/12</f>
        <v/>
      </c>
      <c r="R77" s="160">
        <f>H76*N('Debt Payoff'!$D$20)/12</f>
        <v/>
      </c>
      <c r="S77" s="160">
        <f>I76*N('Debt Payoff'!$D$21)/12</f>
        <v/>
      </c>
      <c r="T77" s="160">
        <f>J76*N('Debt Payoff'!$D$22)/12</f>
        <v/>
      </c>
      <c r="U77" s="160">
        <f>K76*N('Debt Payoff'!$D$23)/12</f>
        <v/>
      </c>
      <c r="V77" s="160">
        <f>L76*N('Debt Payoff'!$D$24)/12</f>
        <v/>
      </c>
      <c r="W77" s="160">
        <f>MIN(N('Debt Payoff'!$E$15),C76+M77)</f>
        <v/>
      </c>
      <c r="X77" s="160">
        <f>MIN(N('Debt Payoff'!$E$16),D76+N77)</f>
        <v/>
      </c>
      <c r="Y77" s="160">
        <f>MIN(N('Debt Payoff'!$E$17),E76+O77)</f>
        <v/>
      </c>
      <c r="Z77" s="160">
        <f>MIN(N('Debt Payoff'!$E$18),F76+P77)</f>
        <v/>
      </c>
      <c r="AA77" s="160">
        <f>MIN(N('Debt Payoff'!$E$19),G76+Q77)</f>
        <v/>
      </c>
      <c r="AB77" s="160">
        <f>MIN(N('Debt Payoff'!$E$20),H76+R77)</f>
        <v/>
      </c>
      <c r="AC77" s="160">
        <f>MIN(N('Debt Payoff'!$E$21),I76+S77)</f>
        <v/>
      </c>
      <c r="AD77" s="160">
        <f>MIN(N('Debt Payoff'!$E$22),J76+T77)</f>
        <v/>
      </c>
      <c r="AE77" s="160">
        <f>MIN(N('Debt Payoff'!$E$23),K76+U77)</f>
        <v/>
      </c>
      <c r="AF77" s="160">
        <f>MIN(N('Debt Payoff'!$E$24),L76+V77)</f>
        <v/>
      </c>
      <c r="AG77" s="160">
        <f>C76+M77-W77</f>
        <v/>
      </c>
      <c r="AH77" s="160">
        <f>D76+N77-X77</f>
        <v/>
      </c>
      <c r="AI77" s="160">
        <f>E76+O77-Y77</f>
        <v/>
      </c>
      <c r="AJ77" s="160">
        <f>F76+P77-Z77</f>
        <v/>
      </c>
      <c r="AK77" s="160">
        <f>G76+Q77-AA77</f>
        <v/>
      </c>
      <c r="AL77" s="160">
        <f>H76+R77-AB77</f>
        <v/>
      </c>
      <c r="AM77" s="160">
        <f>I76+S77-AC77</f>
        <v/>
      </c>
      <c r="AN77" s="160">
        <f>J76+T77-AD77</f>
        <v/>
      </c>
      <c r="AO77" s="160">
        <f>K76+U77-AE77</f>
        <v/>
      </c>
      <c r="AP77" s="160">
        <f>L76+V77-AF77</f>
        <v/>
      </c>
      <c r="AQ77" s="160">
        <f>W77+MAX(0,MIN(AG77,'Debt Payoff'!$C$12-SUM($W77:$AF77)-SUMIFS($AG77:$AP77,$AG$4:$AP$4,"&lt;"&amp;AG$4)))</f>
        <v/>
      </c>
      <c r="AR77" s="160">
        <f>X77+MAX(0,MIN(AH77,'Debt Payoff'!$C$12-SUM($W77:$AF77)-SUMIFS($AG77:$AP77,$AG$4:$AP$4,"&lt;"&amp;AH$4)))</f>
        <v/>
      </c>
      <c r="AS77" s="160">
        <f>Y77+MAX(0,MIN(AI77,'Debt Payoff'!$C$12-SUM($W77:$AF77)-SUMIFS($AG77:$AP77,$AG$4:$AP$4,"&lt;"&amp;AI$4)))</f>
        <v/>
      </c>
      <c r="AT77" s="160">
        <f>Z77+MAX(0,MIN(AJ77,'Debt Payoff'!$C$12-SUM($W77:$AF77)-SUMIFS($AG77:$AP77,$AG$4:$AP$4,"&lt;"&amp;AJ$4)))</f>
        <v/>
      </c>
      <c r="AU77" s="160">
        <f>AA77+MAX(0,MIN(AK77,'Debt Payoff'!$C$12-SUM($W77:$AF77)-SUMIFS($AG77:$AP77,$AG$4:$AP$4,"&lt;"&amp;AK$4)))</f>
        <v/>
      </c>
      <c r="AV77" s="160">
        <f>AB77+MAX(0,MIN(AL77,'Debt Payoff'!$C$12-SUM($W77:$AF77)-SUMIFS($AG77:$AP77,$AG$4:$AP$4,"&lt;"&amp;AL$4)))</f>
        <v/>
      </c>
      <c r="AW77" s="160">
        <f>AC77+MAX(0,MIN(AM77,'Debt Payoff'!$C$12-SUM($W77:$AF77)-SUMIFS($AG77:$AP77,$AG$4:$AP$4,"&lt;"&amp;AM$4)))</f>
        <v/>
      </c>
      <c r="AX77" s="160">
        <f>AD77+MAX(0,MIN(AN77,'Debt Payoff'!$C$12-SUM($W77:$AF77)-SUMIFS($AG77:$AP77,$AG$4:$AP$4,"&lt;"&amp;AN$4)))</f>
        <v/>
      </c>
      <c r="AY77" s="160">
        <f>AE77+MAX(0,MIN(AO77,'Debt Payoff'!$C$12-SUM($W77:$AF77)-SUMIFS($AG77:$AP77,$AG$4:$AP$4,"&lt;"&amp;AO$4)))</f>
        <v/>
      </c>
      <c r="AZ77" s="160">
        <f>AF77+MAX(0,MIN(AP77,'Debt Payoff'!$C$12-SUM($W77:$AF77)-SUMIFS($AG77:$AP77,$AG$4:$AP$4,"&lt;"&amp;AP$4)))</f>
        <v/>
      </c>
      <c r="BA77" s="160">
        <f>SUM(C77:L77)</f>
        <v/>
      </c>
      <c r="BB77" s="160">
        <f>SUM(AQ77:AZ77)</f>
        <v/>
      </c>
      <c r="BC77" s="160">
        <f>SUM(M77:V77)</f>
        <v/>
      </c>
    </row>
    <row r="78">
      <c r="A78" s="157" t="n">
        <v>73</v>
      </c>
      <c r="B78" s="159">
        <f>EDATE('Debt Payoff'!$C$6,72)</f>
        <v/>
      </c>
      <c r="C78" s="160">
        <f>MAX(0,ROUND(C77+M78-AQ78,2))</f>
        <v/>
      </c>
      <c r="D78" s="160">
        <f>MAX(0,ROUND(D77+N78-AR78,2))</f>
        <v/>
      </c>
      <c r="E78" s="160">
        <f>MAX(0,ROUND(E77+O78-AS78,2))</f>
        <v/>
      </c>
      <c r="F78" s="160">
        <f>MAX(0,ROUND(F77+P78-AT78,2))</f>
        <v/>
      </c>
      <c r="G78" s="160">
        <f>MAX(0,ROUND(G77+Q78-AU78,2))</f>
        <v/>
      </c>
      <c r="H78" s="160">
        <f>MAX(0,ROUND(H77+R78-AV78,2))</f>
        <v/>
      </c>
      <c r="I78" s="160">
        <f>MAX(0,ROUND(I77+S78-AW78,2))</f>
        <v/>
      </c>
      <c r="J78" s="160">
        <f>MAX(0,ROUND(J77+T78-AX78,2))</f>
        <v/>
      </c>
      <c r="K78" s="160">
        <f>MAX(0,ROUND(K77+U78-AY78,2))</f>
        <v/>
      </c>
      <c r="L78" s="160">
        <f>MAX(0,ROUND(L77+V78-AZ78,2))</f>
        <v/>
      </c>
      <c r="M78" s="160">
        <f>C77*N('Debt Payoff'!$D$15)/12</f>
        <v/>
      </c>
      <c r="N78" s="160">
        <f>D77*N('Debt Payoff'!$D$16)/12</f>
        <v/>
      </c>
      <c r="O78" s="160">
        <f>E77*N('Debt Payoff'!$D$17)/12</f>
        <v/>
      </c>
      <c r="P78" s="160">
        <f>F77*N('Debt Payoff'!$D$18)/12</f>
        <v/>
      </c>
      <c r="Q78" s="160">
        <f>G77*N('Debt Payoff'!$D$19)/12</f>
        <v/>
      </c>
      <c r="R78" s="160">
        <f>H77*N('Debt Payoff'!$D$20)/12</f>
        <v/>
      </c>
      <c r="S78" s="160">
        <f>I77*N('Debt Payoff'!$D$21)/12</f>
        <v/>
      </c>
      <c r="T78" s="160">
        <f>J77*N('Debt Payoff'!$D$22)/12</f>
        <v/>
      </c>
      <c r="U78" s="160">
        <f>K77*N('Debt Payoff'!$D$23)/12</f>
        <v/>
      </c>
      <c r="V78" s="160">
        <f>L77*N('Debt Payoff'!$D$24)/12</f>
        <v/>
      </c>
      <c r="W78" s="160">
        <f>MIN(N('Debt Payoff'!$E$15),C77+M78)</f>
        <v/>
      </c>
      <c r="X78" s="160">
        <f>MIN(N('Debt Payoff'!$E$16),D77+N78)</f>
        <v/>
      </c>
      <c r="Y78" s="160">
        <f>MIN(N('Debt Payoff'!$E$17),E77+O78)</f>
        <v/>
      </c>
      <c r="Z78" s="160">
        <f>MIN(N('Debt Payoff'!$E$18),F77+P78)</f>
        <v/>
      </c>
      <c r="AA78" s="160">
        <f>MIN(N('Debt Payoff'!$E$19),G77+Q78)</f>
        <v/>
      </c>
      <c r="AB78" s="160">
        <f>MIN(N('Debt Payoff'!$E$20),H77+R78)</f>
        <v/>
      </c>
      <c r="AC78" s="160">
        <f>MIN(N('Debt Payoff'!$E$21),I77+S78)</f>
        <v/>
      </c>
      <c r="AD78" s="160">
        <f>MIN(N('Debt Payoff'!$E$22),J77+T78)</f>
        <v/>
      </c>
      <c r="AE78" s="160">
        <f>MIN(N('Debt Payoff'!$E$23),K77+U78)</f>
        <v/>
      </c>
      <c r="AF78" s="160">
        <f>MIN(N('Debt Payoff'!$E$24),L77+V78)</f>
        <v/>
      </c>
      <c r="AG78" s="160">
        <f>C77+M78-W78</f>
        <v/>
      </c>
      <c r="AH78" s="160">
        <f>D77+N78-X78</f>
        <v/>
      </c>
      <c r="AI78" s="160">
        <f>E77+O78-Y78</f>
        <v/>
      </c>
      <c r="AJ78" s="160">
        <f>F77+P78-Z78</f>
        <v/>
      </c>
      <c r="AK78" s="160">
        <f>G77+Q78-AA78</f>
        <v/>
      </c>
      <c r="AL78" s="160">
        <f>H77+R78-AB78</f>
        <v/>
      </c>
      <c r="AM78" s="160">
        <f>I77+S78-AC78</f>
        <v/>
      </c>
      <c r="AN78" s="160">
        <f>J77+T78-AD78</f>
        <v/>
      </c>
      <c r="AO78" s="160">
        <f>K77+U78-AE78</f>
        <v/>
      </c>
      <c r="AP78" s="160">
        <f>L77+V78-AF78</f>
        <v/>
      </c>
      <c r="AQ78" s="160">
        <f>W78+MAX(0,MIN(AG78,'Debt Payoff'!$C$12-SUM($W78:$AF78)-SUMIFS($AG78:$AP78,$AG$4:$AP$4,"&lt;"&amp;AG$4)))</f>
        <v/>
      </c>
      <c r="AR78" s="160">
        <f>X78+MAX(0,MIN(AH78,'Debt Payoff'!$C$12-SUM($W78:$AF78)-SUMIFS($AG78:$AP78,$AG$4:$AP$4,"&lt;"&amp;AH$4)))</f>
        <v/>
      </c>
      <c r="AS78" s="160">
        <f>Y78+MAX(0,MIN(AI78,'Debt Payoff'!$C$12-SUM($W78:$AF78)-SUMIFS($AG78:$AP78,$AG$4:$AP$4,"&lt;"&amp;AI$4)))</f>
        <v/>
      </c>
      <c r="AT78" s="160">
        <f>Z78+MAX(0,MIN(AJ78,'Debt Payoff'!$C$12-SUM($W78:$AF78)-SUMIFS($AG78:$AP78,$AG$4:$AP$4,"&lt;"&amp;AJ$4)))</f>
        <v/>
      </c>
      <c r="AU78" s="160">
        <f>AA78+MAX(0,MIN(AK78,'Debt Payoff'!$C$12-SUM($W78:$AF78)-SUMIFS($AG78:$AP78,$AG$4:$AP$4,"&lt;"&amp;AK$4)))</f>
        <v/>
      </c>
      <c r="AV78" s="160">
        <f>AB78+MAX(0,MIN(AL78,'Debt Payoff'!$C$12-SUM($W78:$AF78)-SUMIFS($AG78:$AP78,$AG$4:$AP$4,"&lt;"&amp;AL$4)))</f>
        <v/>
      </c>
      <c r="AW78" s="160">
        <f>AC78+MAX(0,MIN(AM78,'Debt Payoff'!$C$12-SUM($W78:$AF78)-SUMIFS($AG78:$AP78,$AG$4:$AP$4,"&lt;"&amp;AM$4)))</f>
        <v/>
      </c>
      <c r="AX78" s="160">
        <f>AD78+MAX(0,MIN(AN78,'Debt Payoff'!$C$12-SUM($W78:$AF78)-SUMIFS($AG78:$AP78,$AG$4:$AP$4,"&lt;"&amp;AN$4)))</f>
        <v/>
      </c>
      <c r="AY78" s="160">
        <f>AE78+MAX(0,MIN(AO78,'Debt Payoff'!$C$12-SUM($W78:$AF78)-SUMIFS($AG78:$AP78,$AG$4:$AP$4,"&lt;"&amp;AO$4)))</f>
        <v/>
      </c>
      <c r="AZ78" s="160">
        <f>AF78+MAX(0,MIN(AP78,'Debt Payoff'!$C$12-SUM($W78:$AF78)-SUMIFS($AG78:$AP78,$AG$4:$AP$4,"&lt;"&amp;AP$4)))</f>
        <v/>
      </c>
      <c r="BA78" s="160">
        <f>SUM(C78:L78)</f>
        <v/>
      </c>
      <c r="BB78" s="160">
        <f>SUM(AQ78:AZ78)</f>
        <v/>
      </c>
      <c r="BC78" s="160">
        <f>SUM(M78:V78)</f>
        <v/>
      </c>
    </row>
    <row r="79">
      <c r="A79" s="157" t="n">
        <v>74</v>
      </c>
      <c r="B79" s="159">
        <f>EDATE('Debt Payoff'!$C$6,73)</f>
        <v/>
      </c>
      <c r="C79" s="160">
        <f>MAX(0,ROUND(C78+M79-AQ79,2))</f>
        <v/>
      </c>
      <c r="D79" s="160">
        <f>MAX(0,ROUND(D78+N79-AR79,2))</f>
        <v/>
      </c>
      <c r="E79" s="160">
        <f>MAX(0,ROUND(E78+O79-AS79,2))</f>
        <v/>
      </c>
      <c r="F79" s="160">
        <f>MAX(0,ROUND(F78+P79-AT79,2))</f>
        <v/>
      </c>
      <c r="G79" s="160">
        <f>MAX(0,ROUND(G78+Q79-AU79,2))</f>
        <v/>
      </c>
      <c r="H79" s="160">
        <f>MAX(0,ROUND(H78+R79-AV79,2))</f>
        <v/>
      </c>
      <c r="I79" s="160">
        <f>MAX(0,ROUND(I78+S79-AW79,2))</f>
        <v/>
      </c>
      <c r="J79" s="160">
        <f>MAX(0,ROUND(J78+T79-AX79,2))</f>
        <v/>
      </c>
      <c r="K79" s="160">
        <f>MAX(0,ROUND(K78+U79-AY79,2))</f>
        <v/>
      </c>
      <c r="L79" s="160">
        <f>MAX(0,ROUND(L78+V79-AZ79,2))</f>
        <v/>
      </c>
      <c r="M79" s="160">
        <f>C78*N('Debt Payoff'!$D$15)/12</f>
        <v/>
      </c>
      <c r="N79" s="160">
        <f>D78*N('Debt Payoff'!$D$16)/12</f>
        <v/>
      </c>
      <c r="O79" s="160">
        <f>E78*N('Debt Payoff'!$D$17)/12</f>
        <v/>
      </c>
      <c r="P79" s="160">
        <f>F78*N('Debt Payoff'!$D$18)/12</f>
        <v/>
      </c>
      <c r="Q79" s="160">
        <f>G78*N('Debt Payoff'!$D$19)/12</f>
        <v/>
      </c>
      <c r="R79" s="160">
        <f>H78*N('Debt Payoff'!$D$20)/12</f>
        <v/>
      </c>
      <c r="S79" s="160">
        <f>I78*N('Debt Payoff'!$D$21)/12</f>
        <v/>
      </c>
      <c r="T79" s="160">
        <f>J78*N('Debt Payoff'!$D$22)/12</f>
        <v/>
      </c>
      <c r="U79" s="160">
        <f>K78*N('Debt Payoff'!$D$23)/12</f>
        <v/>
      </c>
      <c r="V79" s="160">
        <f>L78*N('Debt Payoff'!$D$24)/12</f>
        <v/>
      </c>
      <c r="W79" s="160">
        <f>MIN(N('Debt Payoff'!$E$15),C78+M79)</f>
        <v/>
      </c>
      <c r="X79" s="160">
        <f>MIN(N('Debt Payoff'!$E$16),D78+N79)</f>
        <v/>
      </c>
      <c r="Y79" s="160">
        <f>MIN(N('Debt Payoff'!$E$17),E78+O79)</f>
        <v/>
      </c>
      <c r="Z79" s="160">
        <f>MIN(N('Debt Payoff'!$E$18),F78+P79)</f>
        <v/>
      </c>
      <c r="AA79" s="160">
        <f>MIN(N('Debt Payoff'!$E$19),G78+Q79)</f>
        <v/>
      </c>
      <c r="AB79" s="160">
        <f>MIN(N('Debt Payoff'!$E$20),H78+R79)</f>
        <v/>
      </c>
      <c r="AC79" s="160">
        <f>MIN(N('Debt Payoff'!$E$21),I78+S79)</f>
        <v/>
      </c>
      <c r="AD79" s="160">
        <f>MIN(N('Debt Payoff'!$E$22),J78+T79)</f>
        <v/>
      </c>
      <c r="AE79" s="160">
        <f>MIN(N('Debt Payoff'!$E$23),K78+U79)</f>
        <v/>
      </c>
      <c r="AF79" s="160">
        <f>MIN(N('Debt Payoff'!$E$24),L78+V79)</f>
        <v/>
      </c>
      <c r="AG79" s="160">
        <f>C78+M79-W79</f>
        <v/>
      </c>
      <c r="AH79" s="160">
        <f>D78+N79-X79</f>
        <v/>
      </c>
      <c r="AI79" s="160">
        <f>E78+O79-Y79</f>
        <v/>
      </c>
      <c r="AJ79" s="160">
        <f>F78+P79-Z79</f>
        <v/>
      </c>
      <c r="AK79" s="160">
        <f>G78+Q79-AA79</f>
        <v/>
      </c>
      <c r="AL79" s="160">
        <f>H78+R79-AB79</f>
        <v/>
      </c>
      <c r="AM79" s="160">
        <f>I78+S79-AC79</f>
        <v/>
      </c>
      <c r="AN79" s="160">
        <f>J78+T79-AD79</f>
        <v/>
      </c>
      <c r="AO79" s="160">
        <f>K78+U79-AE79</f>
        <v/>
      </c>
      <c r="AP79" s="160">
        <f>L78+V79-AF79</f>
        <v/>
      </c>
      <c r="AQ79" s="160">
        <f>W79+MAX(0,MIN(AG79,'Debt Payoff'!$C$12-SUM($W79:$AF79)-SUMIFS($AG79:$AP79,$AG$4:$AP$4,"&lt;"&amp;AG$4)))</f>
        <v/>
      </c>
      <c r="AR79" s="160">
        <f>X79+MAX(0,MIN(AH79,'Debt Payoff'!$C$12-SUM($W79:$AF79)-SUMIFS($AG79:$AP79,$AG$4:$AP$4,"&lt;"&amp;AH$4)))</f>
        <v/>
      </c>
      <c r="AS79" s="160">
        <f>Y79+MAX(0,MIN(AI79,'Debt Payoff'!$C$12-SUM($W79:$AF79)-SUMIFS($AG79:$AP79,$AG$4:$AP$4,"&lt;"&amp;AI$4)))</f>
        <v/>
      </c>
      <c r="AT79" s="160">
        <f>Z79+MAX(0,MIN(AJ79,'Debt Payoff'!$C$12-SUM($W79:$AF79)-SUMIFS($AG79:$AP79,$AG$4:$AP$4,"&lt;"&amp;AJ$4)))</f>
        <v/>
      </c>
      <c r="AU79" s="160">
        <f>AA79+MAX(0,MIN(AK79,'Debt Payoff'!$C$12-SUM($W79:$AF79)-SUMIFS($AG79:$AP79,$AG$4:$AP$4,"&lt;"&amp;AK$4)))</f>
        <v/>
      </c>
      <c r="AV79" s="160">
        <f>AB79+MAX(0,MIN(AL79,'Debt Payoff'!$C$12-SUM($W79:$AF79)-SUMIFS($AG79:$AP79,$AG$4:$AP$4,"&lt;"&amp;AL$4)))</f>
        <v/>
      </c>
      <c r="AW79" s="160">
        <f>AC79+MAX(0,MIN(AM79,'Debt Payoff'!$C$12-SUM($W79:$AF79)-SUMIFS($AG79:$AP79,$AG$4:$AP$4,"&lt;"&amp;AM$4)))</f>
        <v/>
      </c>
      <c r="AX79" s="160">
        <f>AD79+MAX(0,MIN(AN79,'Debt Payoff'!$C$12-SUM($W79:$AF79)-SUMIFS($AG79:$AP79,$AG$4:$AP$4,"&lt;"&amp;AN$4)))</f>
        <v/>
      </c>
      <c r="AY79" s="160">
        <f>AE79+MAX(0,MIN(AO79,'Debt Payoff'!$C$12-SUM($W79:$AF79)-SUMIFS($AG79:$AP79,$AG$4:$AP$4,"&lt;"&amp;AO$4)))</f>
        <v/>
      </c>
      <c r="AZ79" s="160">
        <f>AF79+MAX(0,MIN(AP79,'Debt Payoff'!$C$12-SUM($W79:$AF79)-SUMIFS($AG79:$AP79,$AG$4:$AP$4,"&lt;"&amp;AP$4)))</f>
        <v/>
      </c>
      <c r="BA79" s="160">
        <f>SUM(C79:L79)</f>
        <v/>
      </c>
      <c r="BB79" s="160">
        <f>SUM(AQ79:AZ79)</f>
        <v/>
      </c>
      <c r="BC79" s="160">
        <f>SUM(M79:V79)</f>
        <v/>
      </c>
    </row>
    <row r="80">
      <c r="A80" s="157" t="n">
        <v>75</v>
      </c>
      <c r="B80" s="159">
        <f>EDATE('Debt Payoff'!$C$6,74)</f>
        <v/>
      </c>
      <c r="C80" s="160">
        <f>MAX(0,ROUND(C79+M80-AQ80,2))</f>
        <v/>
      </c>
      <c r="D80" s="160">
        <f>MAX(0,ROUND(D79+N80-AR80,2))</f>
        <v/>
      </c>
      <c r="E80" s="160">
        <f>MAX(0,ROUND(E79+O80-AS80,2))</f>
        <v/>
      </c>
      <c r="F80" s="160">
        <f>MAX(0,ROUND(F79+P80-AT80,2))</f>
        <v/>
      </c>
      <c r="G80" s="160">
        <f>MAX(0,ROUND(G79+Q80-AU80,2))</f>
        <v/>
      </c>
      <c r="H80" s="160">
        <f>MAX(0,ROUND(H79+R80-AV80,2))</f>
        <v/>
      </c>
      <c r="I80" s="160">
        <f>MAX(0,ROUND(I79+S80-AW80,2))</f>
        <v/>
      </c>
      <c r="J80" s="160">
        <f>MAX(0,ROUND(J79+T80-AX80,2))</f>
        <v/>
      </c>
      <c r="K80" s="160">
        <f>MAX(0,ROUND(K79+U80-AY80,2))</f>
        <v/>
      </c>
      <c r="L80" s="160">
        <f>MAX(0,ROUND(L79+V80-AZ80,2))</f>
        <v/>
      </c>
      <c r="M80" s="160">
        <f>C79*N('Debt Payoff'!$D$15)/12</f>
        <v/>
      </c>
      <c r="N80" s="160">
        <f>D79*N('Debt Payoff'!$D$16)/12</f>
        <v/>
      </c>
      <c r="O80" s="160">
        <f>E79*N('Debt Payoff'!$D$17)/12</f>
        <v/>
      </c>
      <c r="P80" s="160">
        <f>F79*N('Debt Payoff'!$D$18)/12</f>
        <v/>
      </c>
      <c r="Q80" s="160">
        <f>G79*N('Debt Payoff'!$D$19)/12</f>
        <v/>
      </c>
      <c r="R80" s="160">
        <f>H79*N('Debt Payoff'!$D$20)/12</f>
        <v/>
      </c>
      <c r="S80" s="160">
        <f>I79*N('Debt Payoff'!$D$21)/12</f>
        <v/>
      </c>
      <c r="T80" s="160">
        <f>J79*N('Debt Payoff'!$D$22)/12</f>
        <v/>
      </c>
      <c r="U80" s="160">
        <f>K79*N('Debt Payoff'!$D$23)/12</f>
        <v/>
      </c>
      <c r="V80" s="160">
        <f>L79*N('Debt Payoff'!$D$24)/12</f>
        <v/>
      </c>
      <c r="W80" s="160">
        <f>MIN(N('Debt Payoff'!$E$15),C79+M80)</f>
        <v/>
      </c>
      <c r="X80" s="160">
        <f>MIN(N('Debt Payoff'!$E$16),D79+N80)</f>
        <v/>
      </c>
      <c r="Y80" s="160">
        <f>MIN(N('Debt Payoff'!$E$17),E79+O80)</f>
        <v/>
      </c>
      <c r="Z80" s="160">
        <f>MIN(N('Debt Payoff'!$E$18),F79+P80)</f>
        <v/>
      </c>
      <c r="AA80" s="160">
        <f>MIN(N('Debt Payoff'!$E$19),G79+Q80)</f>
        <v/>
      </c>
      <c r="AB80" s="160">
        <f>MIN(N('Debt Payoff'!$E$20),H79+R80)</f>
        <v/>
      </c>
      <c r="AC80" s="160">
        <f>MIN(N('Debt Payoff'!$E$21),I79+S80)</f>
        <v/>
      </c>
      <c r="AD80" s="160">
        <f>MIN(N('Debt Payoff'!$E$22),J79+T80)</f>
        <v/>
      </c>
      <c r="AE80" s="160">
        <f>MIN(N('Debt Payoff'!$E$23),K79+U80)</f>
        <v/>
      </c>
      <c r="AF80" s="160">
        <f>MIN(N('Debt Payoff'!$E$24),L79+V80)</f>
        <v/>
      </c>
      <c r="AG80" s="160">
        <f>C79+M80-W80</f>
        <v/>
      </c>
      <c r="AH80" s="160">
        <f>D79+N80-X80</f>
        <v/>
      </c>
      <c r="AI80" s="160">
        <f>E79+O80-Y80</f>
        <v/>
      </c>
      <c r="AJ80" s="160">
        <f>F79+P80-Z80</f>
        <v/>
      </c>
      <c r="AK80" s="160">
        <f>G79+Q80-AA80</f>
        <v/>
      </c>
      <c r="AL80" s="160">
        <f>H79+R80-AB80</f>
        <v/>
      </c>
      <c r="AM80" s="160">
        <f>I79+S80-AC80</f>
        <v/>
      </c>
      <c r="AN80" s="160">
        <f>J79+T80-AD80</f>
        <v/>
      </c>
      <c r="AO80" s="160">
        <f>K79+U80-AE80</f>
        <v/>
      </c>
      <c r="AP80" s="160">
        <f>L79+V80-AF80</f>
        <v/>
      </c>
      <c r="AQ80" s="160">
        <f>W80+MAX(0,MIN(AG80,'Debt Payoff'!$C$12-SUM($W80:$AF80)-SUMIFS($AG80:$AP80,$AG$4:$AP$4,"&lt;"&amp;AG$4)))</f>
        <v/>
      </c>
      <c r="AR80" s="160">
        <f>X80+MAX(0,MIN(AH80,'Debt Payoff'!$C$12-SUM($W80:$AF80)-SUMIFS($AG80:$AP80,$AG$4:$AP$4,"&lt;"&amp;AH$4)))</f>
        <v/>
      </c>
      <c r="AS80" s="160">
        <f>Y80+MAX(0,MIN(AI80,'Debt Payoff'!$C$12-SUM($W80:$AF80)-SUMIFS($AG80:$AP80,$AG$4:$AP$4,"&lt;"&amp;AI$4)))</f>
        <v/>
      </c>
      <c r="AT80" s="160">
        <f>Z80+MAX(0,MIN(AJ80,'Debt Payoff'!$C$12-SUM($W80:$AF80)-SUMIFS($AG80:$AP80,$AG$4:$AP$4,"&lt;"&amp;AJ$4)))</f>
        <v/>
      </c>
      <c r="AU80" s="160">
        <f>AA80+MAX(0,MIN(AK80,'Debt Payoff'!$C$12-SUM($W80:$AF80)-SUMIFS($AG80:$AP80,$AG$4:$AP$4,"&lt;"&amp;AK$4)))</f>
        <v/>
      </c>
      <c r="AV80" s="160">
        <f>AB80+MAX(0,MIN(AL80,'Debt Payoff'!$C$12-SUM($W80:$AF80)-SUMIFS($AG80:$AP80,$AG$4:$AP$4,"&lt;"&amp;AL$4)))</f>
        <v/>
      </c>
      <c r="AW80" s="160">
        <f>AC80+MAX(0,MIN(AM80,'Debt Payoff'!$C$12-SUM($W80:$AF80)-SUMIFS($AG80:$AP80,$AG$4:$AP$4,"&lt;"&amp;AM$4)))</f>
        <v/>
      </c>
      <c r="AX80" s="160">
        <f>AD80+MAX(0,MIN(AN80,'Debt Payoff'!$C$12-SUM($W80:$AF80)-SUMIFS($AG80:$AP80,$AG$4:$AP$4,"&lt;"&amp;AN$4)))</f>
        <v/>
      </c>
      <c r="AY80" s="160">
        <f>AE80+MAX(0,MIN(AO80,'Debt Payoff'!$C$12-SUM($W80:$AF80)-SUMIFS($AG80:$AP80,$AG$4:$AP$4,"&lt;"&amp;AO$4)))</f>
        <v/>
      </c>
      <c r="AZ80" s="160">
        <f>AF80+MAX(0,MIN(AP80,'Debt Payoff'!$C$12-SUM($W80:$AF80)-SUMIFS($AG80:$AP80,$AG$4:$AP$4,"&lt;"&amp;AP$4)))</f>
        <v/>
      </c>
      <c r="BA80" s="160">
        <f>SUM(C80:L80)</f>
        <v/>
      </c>
      <c r="BB80" s="160">
        <f>SUM(AQ80:AZ80)</f>
        <v/>
      </c>
      <c r="BC80" s="160">
        <f>SUM(M80:V80)</f>
        <v/>
      </c>
    </row>
    <row r="81">
      <c r="A81" s="157" t="n">
        <v>76</v>
      </c>
      <c r="B81" s="159">
        <f>EDATE('Debt Payoff'!$C$6,75)</f>
        <v/>
      </c>
      <c r="C81" s="160">
        <f>MAX(0,ROUND(C80+M81-AQ81,2))</f>
        <v/>
      </c>
      <c r="D81" s="160">
        <f>MAX(0,ROUND(D80+N81-AR81,2))</f>
        <v/>
      </c>
      <c r="E81" s="160">
        <f>MAX(0,ROUND(E80+O81-AS81,2))</f>
        <v/>
      </c>
      <c r="F81" s="160">
        <f>MAX(0,ROUND(F80+P81-AT81,2))</f>
        <v/>
      </c>
      <c r="G81" s="160">
        <f>MAX(0,ROUND(G80+Q81-AU81,2))</f>
        <v/>
      </c>
      <c r="H81" s="160">
        <f>MAX(0,ROUND(H80+R81-AV81,2))</f>
        <v/>
      </c>
      <c r="I81" s="160">
        <f>MAX(0,ROUND(I80+S81-AW81,2))</f>
        <v/>
      </c>
      <c r="J81" s="160">
        <f>MAX(0,ROUND(J80+T81-AX81,2))</f>
        <v/>
      </c>
      <c r="K81" s="160">
        <f>MAX(0,ROUND(K80+U81-AY81,2))</f>
        <v/>
      </c>
      <c r="L81" s="160">
        <f>MAX(0,ROUND(L80+V81-AZ81,2))</f>
        <v/>
      </c>
      <c r="M81" s="160">
        <f>C80*N('Debt Payoff'!$D$15)/12</f>
        <v/>
      </c>
      <c r="N81" s="160">
        <f>D80*N('Debt Payoff'!$D$16)/12</f>
        <v/>
      </c>
      <c r="O81" s="160">
        <f>E80*N('Debt Payoff'!$D$17)/12</f>
        <v/>
      </c>
      <c r="P81" s="160">
        <f>F80*N('Debt Payoff'!$D$18)/12</f>
        <v/>
      </c>
      <c r="Q81" s="160">
        <f>G80*N('Debt Payoff'!$D$19)/12</f>
        <v/>
      </c>
      <c r="R81" s="160">
        <f>H80*N('Debt Payoff'!$D$20)/12</f>
        <v/>
      </c>
      <c r="S81" s="160">
        <f>I80*N('Debt Payoff'!$D$21)/12</f>
        <v/>
      </c>
      <c r="T81" s="160">
        <f>J80*N('Debt Payoff'!$D$22)/12</f>
        <v/>
      </c>
      <c r="U81" s="160">
        <f>K80*N('Debt Payoff'!$D$23)/12</f>
        <v/>
      </c>
      <c r="V81" s="160">
        <f>L80*N('Debt Payoff'!$D$24)/12</f>
        <v/>
      </c>
      <c r="W81" s="160">
        <f>MIN(N('Debt Payoff'!$E$15),C80+M81)</f>
        <v/>
      </c>
      <c r="X81" s="160">
        <f>MIN(N('Debt Payoff'!$E$16),D80+N81)</f>
        <v/>
      </c>
      <c r="Y81" s="160">
        <f>MIN(N('Debt Payoff'!$E$17),E80+O81)</f>
        <v/>
      </c>
      <c r="Z81" s="160">
        <f>MIN(N('Debt Payoff'!$E$18),F80+P81)</f>
        <v/>
      </c>
      <c r="AA81" s="160">
        <f>MIN(N('Debt Payoff'!$E$19),G80+Q81)</f>
        <v/>
      </c>
      <c r="AB81" s="160">
        <f>MIN(N('Debt Payoff'!$E$20),H80+R81)</f>
        <v/>
      </c>
      <c r="AC81" s="160">
        <f>MIN(N('Debt Payoff'!$E$21),I80+S81)</f>
        <v/>
      </c>
      <c r="AD81" s="160">
        <f>MIN(N('Debt Payoff'!$E$22),J80+T81)</f>
        <v/>
      </c>
      <c r="AE81" s="160">
        <f>MIN(N('Debt Payoff'!$E$23),K80+U81)</f>
        <v/>
      </c>
      <c r="AF81" s="160">
        <f>MIN(N('Debt Payoff'!$E$24),L80+V81)</f>
        <v/>
      </c>
      <c r="AG81" s="160">
        <f>C80+M81-W81</f>
        <v/>
      </c>
      <c r="AH81" s="160">
        <f>D80+N81-X81</f>
        <v/>
      </c>
      <c r="AI81" s="160">
        <f>E80+O81-Y81</f>
        <v/>
      </c>
      <c r="AJ81" s="160">
        <f>F80+P81-Z81</f>
        <v/>
      </c>
      <c r="AK81" s="160">
        <f>G80+Q81-AA81</f>
        <v/>
      </c>
      <c r="AL81" s="160">
        <f>H80+R81-AB81</f>
        <v/>
      </c>
      <c r="AM81" s="160">
        <f>I80+S81-AC81</f>
        <v/>
      </c>
      <c r="AN81" s="160">
        <f>J80+T81-AD81</f>
        <v/>
      </c>
      <c r="AO81" s="160">
        <f>K80+U81-AE81</f>
        <v/>
      </c>
      <c r="AP81" s="160">
        <f>L80+V81-AF81</f>
        <v/>
      </c>
      <c r="AQ81" s="160">
        <f>W81+MAX(0,MIN(AG81,'Debt Payoff'!$C$12-SUM($W81:$AF81)-SUMIFS($AG81:$AP81,$AG$4:$AP$4,"&lt;"&amp;AG$4)))</f>
        <v/>
      </c>
      <c r="AR81" s="160">
        <f>X81+MAX(0,MIN(AH81,'Debt Payoff'!$C$12-SUM($W81:$AF81)-SUMIFS($AG81:$AP81,$AG$4:$AP$4,"&lt;"&amp;AH$4)))</f>
        <v/>
      </c>
      <c r="AS81" s="160">
        <f>Y81+MAX(0,MIN(AI81,'Debt Payoff'!$C$12-SUM($W81:$AF81)-SUMIFS($AG81:$AP81,$AG$4:$AP$4,"&lt;"&amp;AI$4)))</f>
        <v/>
      </c>
      <c r="AT81" s="160">
        <f>Z81+MAX(0,MIN(AJ81,'Debt Payoff'!$C$12-SUM($W81:$AF81)-SUMIFS($AG81:$AP81,$AG$4:$AP$4,"&lt;"&amp;AJ$4)))</f>
        <v/>
      </c>
      <c r="AU81" s="160">
        <f>AA81+MAX(0,MIN(AK81,'Debt Payoff'!$C$12-SUM($W81:$AF81)-SUMIFS($AG81:$AP81,$AG$4:$AP$4,"&lt;"&amp;AK$4)))</f>
        <v/>
      </c>
      <c r="AV81" s="160">
        <f>AB81+MAX(0,MIN(AL81,'Debt Payoff'!$C$12-SUM($W81:$AF81)-SUMIFS($AG81:$AP81,$AG$4:$AP$4,"&lt;"&amp;AL$4)))</f>
        <v/>
      </c>
      <c r="AW81" s="160">
        <f>AC81+MAX(0,MIN(AM81,'Debt Payoff'!$C$12-SUM($W81:$AF81)-SUMIFS($AG81:$AP81,$AG$4:$AP$4,"&lt;"&amp;AM$4)))</f>
        <v/>
      </c>
      <c r="AX81" s="160">
        <f>AD81+MAX(0,MIN(AN81,'Debt Payoff'!$C$12-SUM($W81:$AF81)-SUMIFS($AG81:$AP81,$AG$4:$AP$4,"&lt;"&amp;AN$4)))</f>
        <v/>
      </c>
      <c r="AY81" s="160">
        <f>AE81+MAX(0,MIN(AO81,'Debt Payoff'!$C$12-SUM($W81:$AF81)-SUMIFS($AG81:$AP81,$AG$4:$AP$4,"&lt;"&amp;AO$4)))</f>
        <v/>
      </c>
      <c r="AZ81" s="160">
        <f>AF81+MAX(0,MIN(AP81,'Debt Payoff'!$C$12-SUM($W81:$AF81)-SUMIFS($AG81:$AP81,$AG$4:$AP$4,"&lt;"&amp;AP$4)))</f>
        <v/>
      </c>
      <c r="BA81" s="160">
        <f>SUM(C81:L81)</f>
        <v/>
      </c>
      <c r="BB81" s="160">
        <f>SUM(AQ81:AZ81)</f>
        <v/>
      </c>
      <c r="BC81" s="160">
        <f>SUM(M81:V81)</f>
        <v/>
      </c>
    </row>
    <row r="82">
      <c r="A82" s="157" t="n">
        <v>77</v>
      </c>
      <c r="B82" s="159">
        <f>EDATE('Debt Payoff'!$C$6,76)</f>
        <v/>
      </c>
      <c r="C82" s="160">
        <f>MAX(0,ROUND(C81+M82-AQ82,2))</f>
        <v/>
      </c>
      <c r="D82" s="160">
        <f>MAX(0,ROUND(D81+N82-AR82,2))</f>
        <v/>
      </c>
      <c r="E82" s="160">
        <f>MAX(0,ROUND(E81+O82-AS82,2))</f>
        <v/>
      </c>
      <c r="F82" s="160">
        <f>MAX(0,ROUND(F81+P82-AT82,2))</f>
        <v/>
      </c>
      <c r="G82" s="160">
        <f>MAX(0,ROUND(G81+Q82-AU82,2))</f>
        <v/>
      </c>
      <c r="H82" s="160">
        <f>MAX(0,ROUND(H81+R82-AV82,2))</f>
        <v/>
      </c>
      <c r="I82" s="160">
        <f>MAX(0,ROUND(I81+S82-AW82,2))</f>
        <v/>
      </c>
      <c r="J82" s="160">
        <f>MAX(0,ROUND(J81+T82-AX82,2))</f>
        <v/>
      </c>
      <c r="K82" s="160">
        <f>MAX(0,ROUND(K81+U82-AY82,2))</f>
        <v/>
      </c>
      <c r="L82" s="160">
        <f>MAX(0,ROUND(L81+V82-AZ82,2))</f>
        <v/>
      </c>
      <c r="M82" s="160">
        <f>C81*N('Debt Payoff'!$D$15)/12</f>
        <v/>
      </c>
      <c r="N82" s="160">
        <f>D81*N('Debt Payoff'!$D$16)/12</f>
        <v/>
      </c>
      <c r="O82" s="160">
        <f>E81*N('Debt Payoff'!$D$17)/12</f>
        <v/>
      </c>
      <c r="P82" s="160">
        <f>F81*N('Debt Payoff'!$D$18)/12</f>
        <v/>
      </c>
      <c r="Q82" s="160">
        <f>G81*N('Debt Payoff'!$D$19)/12</f>
        <v/>
      </c>
      <c r="R82" s="160">
        <f>H81*N('Debt Payoff'!$D$20)/12</f>
        <v/>
      </c>
      <c r="S82" s="160">
        <f>I81*N('Debt Payoff'!$D$21)/12</f>
        <v/>
      </c>
      <c r="T82" s="160">
        <f>J81*N('Debt Payoff'!$D$22)/12</f>
        <v/>
      </c>
      <c r="U82" s="160">
        <f>K81*N('Debt Payoff'!$D$23)/12</f>
        <v/>
      </c>
      <c r="V82" s="160">
        <f>L81*N('Debt Payoff'!$D$24)/12</f>
        <v/>
      </c>
      <c r="W82" s="160">
        <f>MIN(N('Debt Payoff'!$E$15),C81+M82)</f>
        <v/>
      </c>
      <c r="X82" s="160">
        <f>MIN(N('Debt Payoff'!$E$16),D81+N82)</f>
        <v/>
      </c>
      <c r="Y82" s="160">
        <f>MIN(N('Debt Payoff'!$E$17),E81+O82)</f>
        <v/>
      </c>
      <c r="Z82" s="160">
        <f>MIN(N('Debt Payoff'!$E$18),F81+P82)</f>
        <v/>
      </c>
      <c r="AA82" s="160">
        <f>MIN(N('Debt Payoff'!$E$19),G81+Q82)</f>
        <v/>
      </c>
      <c r="AB82" s="160">
        <f>MIN(N('Debt Payoff'!$E$20),H81+R82)</f>
        <v/>
      </c>
      <c r="AC82" s="160">
        <f>MIN(N('Debt Payoff'!$E$21),I81+S82)</f>
        <v/>
      </c>
      <c r="AD82" s="160">
        <f>MIN(N('Debt Payoff'!$E$22),J81+T82)</f>
        <v/>
      </c>
      <c r="AE82" s="160">
        <f>MIN(N('Debt Payoff'!$E$23),K81+U82)</f>
        <v/>
      </c>
      <c r="AF82" s="160">
        <f>MIN(N('Debt Payoff'!$E$24),L81+V82)</f>
        <v/>
      </c>
      <c r="AG82" s="160">
        <f>C81+M82-W82</f>
        <v/>
      </c>
      <c r="AH82" s="160">
        <f>D81+N82-X82</f>
        <v/>
      </c>
      <c r="AI82" s="160">
        <f>E81+O82-Y82</f>
        <v/>
      </c>
      <c r="AJ82" s="160">
        <f>F81+P82-Z82</f>
        <v/>
      </c>
      <c r="AK82" s="160">
        <f>G81+Q82-AA82</f>
        <v/>
      </c>
      <c r="AL82" s="160">
        <f>H81+R82-AB82</f>
        <v/>
      </c>
      <c r="AM82" s="160">
        <f>I81+S82-AC82</f>
        <v/>
      </c>
      <c r="AN82" s="160">
        <f>J81+T82-AD82</f>
        <v/>
      </c>
      <c r="AO82" s="160">
        <f>K81+U82-AE82</f>
        <v/>
      </c>
      <c r="AP82" s="160">
        <f>L81+V82-AF82</f>
        <v/>
      </c>
      <c r="AQ82" s="160">
        <f>W82+MAX(0,MIN(AG82,'Debt Payoff'!$C$12-SUM($W82:$AF82)-SUMIFS($AG82:$AP82,$AG$4:$AP$4,"&lt;"&amp;AG$4)))</f>
        <v/>
      </c>
      <c r="AR82" s="160">
        <f>X82+MAX(0,MIN(AH82,'Debt Payoff'!$C$12-SUM($W82:$AF82)-SUMIFS($AG82:$AP82,$AG$4:$AP$4,"&lt;"&amp;AH$4)))</f>
        <v/>
      </c>
      <c r="AS82" s="160">
        <f>Y82+MAX(0,MIN(AI82,'Debt Payoff'!$C$12-SUM($W82:$AF82)-SUMIFS($AG82:$AP82,$AG$4:$AP$4,"&lt;"&amp;AI$4)))</f>
        <v/>
      </c>
      <c r="AT82" s="160">
        <f>Z82+MAX(0,MIN(AJ82,'Debt Payoff'!$C$12-SUM($W82:$AF82)-SUMIFS($AG82:$AP82,$AG$4:$AP$4,"&lt;"&amp;AJ$4)))</f>
        <v/>
      </c>
      <c r="AU82" s="160">
        <f>AA82+MAX(0,MIN(AK82,'Debt Payoff'!$C$12-SUM($W82:$AF82)-SUMIFS($AG82:$AP82,$AG$4:$AP$4,"&lt;"&amp;AK$4)))</f>
        <v/>
      </c>
      <c r="AV82" s="160">
        <f>AB82+MAX(0,MIN(AL82,'Debt Payoff'!$C$12-SUM($W82:$AF82)-SUMIFS($AG82:$AP82,$AG$4:$AP$4,"&lt;"&amp;AL$4)))</f>
        <v/>
      </c>
      <c r="AW82" s="160">
        <f>AC82+MAX(0,MIN(AM82,'Debt Payoff'!$C$12-SUM($W82:$AF82)-SUMIFS($AG82:$AP82,$AG$4:$AP$4,"&lt;"&amp;AM$4)))</f>
        <v/>
      </c>
      <c r="AX82" s="160">
        <f>AD82+MAX(0,MIN(AN82,'Debt Payoff'!$C$12-SUM($W82:$AF82)-SUMIFS($AG82:$AP82,$AG$4:$AP$4,"&lt;"&amp;AN$4)))</f>
        <v/>
      </c>
      <c r="AY82" s="160">
        <f>AE82+MAX(0,MIN(AO82,'Debt Payoff'!$C$12-SUM($W82:$AF82)-SUMIFS($AG82:$AP82,$AG$4:$AP$4,"&lt;"&amp;AO$4)))</f>
        <v/>
      </c>
      <c r="AZ82" s="160">
        <f>AF82+MAX(0,MIN(AP82,'Debt Payoff'!$C$12-SUM($W82:$AF82)-SUMIFS($AG82:$AP82,$AG$4:$AP$4,"&lt;"&amp;AP$4)))</f>
        <v/>
      </c>
      <c r="BA82" s="160">
        <f>SUM(C82:L82)</f>
        <v/>
      </c>
      <c r="BB82" s="160">
        <f>SUM(AQ82:AZ82)</f>
        <v/>
      </c>
      <c r="BC82" s="160">
        <f>SUM(M82:V82)</f>
        <v/>
      </c>
    </row>
    <row r="83">
      <c r="A83" s="157" t="n">
        <v>78</v>
      </c>
      <c r="B83" s="159">
        <f>EDATE('Debt Payoff'!$C$6,77)</f>
        <v/>
      </c>
      <c r="C83" s="160">
        <f>MAX(0,ROUND(C82+M83-AQ83,2))</f>
        <v/>
      </c>
      <c r="D83" s="160">
        <f>MAX(0,ROUND(D82+N83-AR83,2))</f>
        <v/>
      </c>
      <c r="E83" s="160">
        <f>MAX(0,ROUND(E82+O83-AS83,2))</f>
        <v/>
      </c>
      <c r="F83" s="160">
        <f>MAX(0,ROUND(F82+P83-AT83,2))</f>
        <v/>
      </c>
      <c r="G83" s="160">
        <f>MAX(0,ROUND(G82+Q83-AU83,2))</f>
        <v/>
      </c>
      <c r="H83" s="160">
        <f>MAX(0,ROUND(H82+R83-AV83,2))</f>
        <v/>
      </c>
      <c r="I83" s="160">
        <f>MAX(0,ROUND(I82+S83-AW83,2))</f>
        <v/>
      </c>
      <c r="J83" s="160">
        <f>MAX(0,ROUND(J82+T83-AX83,2))</f>
        <v/>
      </c>
      <c r="K83" s="160">
        <f>MAX(0,ROUND(K82+U83-AY83,2))</f>
        <v/>
      </c>
      <c r="L83" s="160">
        <f>MAX(0,ROUND(L82+V83-AZ83,2))</f>
        <v/>
      </c>
      <c r="M83" s="160">
        <f>C82*N('Debt Payoff'!$D$15)/12</f>
        <v/>
      </c>
      <c r="N83" s="160">
        <f>D82*N('Debt Payoff'!$D$16)/12</f>
        <v/>
      </c>
      <c r="O83" s="160">
        <f>E82*N('Debt Payoff'!$D$17)/12</f>
        <v/>
      </c>
      <c r="P83" s="160">
        <f>F82*N('Debt Payoff'!$D$18)/12</f>
        <v/>
      </c>
      <c r="Q83" s="160">
        <f>G82*N('Debt Payoff'!$D$19)/12</f>
        <v/>
      </c>
      <c r="R83" s="160">
        <f>H82*N('Debt Payoff'!$D$20)/12</f>
        <v/>
      </c>
      <c r="S83" s="160">
        <f>I82*N('Debt Payoff'!$D$21)/12</f>
        <v/>
      </c>
      <c r="T83" s="160">
        <f>J82*N('Debt Payoff'!$D$22)/12</f>
        <v/>
      </c>
      <c r="U83" s="160">
        <f>K82*N('Debt Payoff'!$D$23)/12</f>
        <v/>
      </c>
      <c r="V83" s="160">
        <f>L82*N('Debt Payoff'!$D$24)/12</f>
        <v/>
      </c>
      <c r="W83" s="160">
        <f>MIN(N('Debt Payoff'!$E$15),C82+M83)</f>
        <v/>
      </c>
      <c r="X83" s="160">
        <f>MIN(N('Debt Payoff'!$E$16),D82+N83)</f>
        <v/>
      </c>
      <c r="Y83" s="160">
        <f>MIN(N('Debt Payoff'!$E$17),E82+O83)</f>
        <v/>
      </c>
      <c r="Z83" s="160">
        <f>MIN(N('Debt Payoff'!$E$18),F82+P83)</f>
        <v/>
      </c>
      <c r="AA83" s="160">
        <f>MIN(N('Debt Payoff'!$E$19),G82+Q83)</f>
        <v/>
      </c>
      <c r="AB83" s="160">
        <f>MIN(N('Debt Payoff'!$E$20),H82+R83)</f>
        <v/>
      </c>
      <c r="AC83" s="160">
        <f>MIN(N('Debt Payoff'!$E$21),I82+S83)</f>
        <v/>
      </c>
      <c r="AD83" s="160">
        <f>MIN(N('Debt Payoff'!$E$22),J82+T83)</f>
        <v/>
      </c>
      <c r="AE83" s="160">
        <f>MIN(N('Debt Payoff'!$E$23),K82+U83)</f>
        <v/>
      </c>
      <c r="AF83" s="160">
        <f>MIN(N('Debt Payoff'!$E$24),L82+V83)</f>
        <v/>
      </c>
      <c r="AG83" s="160">
        <f>C82+M83-W83</f>
        <v/>
      </c>
      <c r="AH83" s="160">
        <f>D82+N83-X83</f>
        <v/>
      </c>
      <c r="AI83" s="160">
        <f>E82+O83-Y83</f>
        <v/>
      </c>
      <c r="AJ83" s="160">
        <f>F82+P83-Z83</f>
        <v/>
      </c>
      <c r="AK83" s="160">
        <f>G82+Q83-AA83</f>
        <v/>
      </c>
      <c r="AL83" s="160">
        <f>H82+R83-AB83</f>
        <v/>
      </c>
      <c r="AM83" s="160">
        <f>I82+S83-AC83</f>
        <v/>
      </c>
      <c r="AN83" s="160">
        <f>J82+T83-AD83</f>
        <v/>
      </c>
      <c r="AO83" s="160">
        <f>K82+U83-AE83</f>
        <v/>
      </c>
      <c r="AP83" s="160">
        <f>L82+V83-AF83</f>
        <v/>
      </c>
      <c r="AQ83" s="160">
        <f>W83+MAX(0,MIN(AG83,'Debt Payoff'!$C$12-SUM($W83:$AF83)-SUMIFS($AG83:$AP83,$AG$4:$AP$4,"&lt;"&amp;AG$4)))</f>
        <v/>
      </c>
      <c r="AR83" s="160">
        <f>X83+MAX(0,MIN(AH83,'Debt Payoff'!$C$12-SUM($W83:$AF83)-SUMIFS($AG83:$AP83,$AG$4:$AP$4,"&lt;"&amp;AH$4)))</f>
        <v/>
      </c>
      <c r="AS83" s="160">
        <f>Y83+MAX(0,MIN(AI83,'Debt Payoff'!$C$12-SUM($W83:$AF83)-SUMIFS($AG83:$AP83,$AG$4:$AP$4,"&lt;"&amp;AI$4)))</f>
        <v/>
      </c>
      <c r="AT83" s="160">
        <f>Z83+MAX(0,MIN(AJ83,'Debt Payoff'!$C$12-SUM($W83:$AF83)-SUMIFS($AG83:$AP83,$AG$4:$AP$4,"&lt;"&amp;AJ$4)))</f>
        <v/>
      </c>
      <c r="AU83" s="160">
        <f>AA83+MAX(0,MIN(AK83,'Debt Payoff'!$C$12-SUM($W83:$AF83)-SUMIFS($AG83:$AP83,$AG$4:$AP$4,"&lt;"&amp;AK$4)))</f>
        <v/>
      </c>
      <c r="AV83" s="160">
        <f>AB83+MAX(0,MIN(AL83,'Debt Payoff'!$C$12-SUM($W83:$AF83)-SUMIFS($AG83:$AP83,$AG$4:$AP$4,"&lt;"&amp;AL$4)))</f>
        <v/>
      </c>
      <c r="AW83" s="160">
        <f>AC83+MAX(0,MIN(AM83,'Debt Payoff'!$C$12-SUM($W83:$AF83)-SUMIFS($AG83:$AP83,$AG$4:$AP$4,"&lt;"&amp;AM$4)))</f>
        <v/>
      </c>
      <c r="AX83" s="160">
        <f>AD83+MAX(0,MIN(AN83,'Debt Payoff'!$C$12-SUM($W83:$AF83)-SUMIFS($AG83:$AP83,$AG$4:$AP$4,"&lt;"&amp;AN$4)))</f>
        <v/>
      </c>
      <c r="AY83" s="160">
        <f>AE83+MAX(0,MIN(AO83,'Debt Payoff'!$C$12-SUM($W83:$AF83)-SUMIFS($AG83:$AP83,$AG$4:$AP$4,"&lt;"&amp;AO$4)))</f>
        <v/>
      </c>
      <c r="AZ83" s="160">
        <f>AF83+MAX(0,MIN(AP83,'Debt Payoff'!$C$12-SUM($W83:$AF83)-SUMIFS($AG83:$AP83,$AG$4:$AP$4,"&lt;"&amp;AP$4)))</f>
        <v/>
      </c>
      <c r="BA83" s="160">
        <f>SUM(C83:L83)</f>
        <v/>
      </c>
      <c r="BB83" s="160">
        <f>SUM(AQ83:AZ83)</f>
        <v/>
      </c>
      <c r="BC83" s="160">
        <f>SUM(M83:V83)</f>
        <v/>
      </c>
    </row>
    <row r="84">
      <c r="A84" s="157" t="n">
        <v>79</v>
      </c>
      <c r="B84" s="159">
        <f>EDATE('Debt Payoff'!$C$6,78)</f>
        <v/>
      </c>
      <c r="C84" s="160">
        <f>MAX(0,ROUND(C83+M84-AQ84,2))</f>
        <v/>
      </c>
      <c r="D84" s="160">
        <f>MAX(0,ROUND(D83+N84-AR84,2))</f>
        <v/>
      </c>
      <c r="E84" s="160">
        <f>MAX(0,ROUND(E83+O84-AS84,2))</f>
        <v/>
      </c>
      <c r="F84" s="160">
        <f>MAX(0,ROUND(F83+P84-AT84,2))</f>
        <v/>
      </c>
      <c r="G84" s="160">
        <f>MAX(0,ROUND(G83+Q84-AU84,2))</f>
        <v/>
      </c>
      <c r="H84" s="160">
        <f>MAX(0,ROUND(H83+R84-AV84,2))</f>
        <v/>
      </c>
      <c r="I84" s="160">
        <f>MAX(0,ROUND(I83+S84-AW84,2))</f>
        <v/>
      </c>
      <c r="J84" s="160">
        <f>MAX(0,ROUND(J83+T84-AX84,2))</f>
        <v/>
      </c>
      <c r="K84" s="160">
        <f>MAX(0,ROUND(K83+U84-AY84,2))</f>
        <v/>
      </c>
      <c r="L84" s="160">
        <f>MAX(0,ROUND(L83+V84-AZ84,2))</f>
        <v/>
      </c>
      <c r="M84" s="160">
        <f>C83*N('Debt Payoff'!$D$15)/12</f>
        <v/>
      </c>
      <c r="N84" s="160">
        <f>D83*N('Debt Payoff'!$D$16)/12</f>
        <v/>
      </c>
      <c r="O84" s="160">
        <f>E83*N('Debt Payoff'!$D$17)/12</f>
        <v/>
      </c>
      <c r="P84" s="160">
        <f>F83*N('Debt Payoff'!$D$18)/12</f>
        <v/>
      </c>
      <c r="Q84" s="160">
        <f>G83*N('Debt Payoff'!$D$19)/12</f>
        <v/>
      </c>
      <c r="R84" s="160">
        <f>H83*N('Debt Payoff'!$D$20)/12</f>
        <v/>
      </c>
      <c r="S84" s="160">
        <f>I83*N('Debt Payoff'!$D$21)/12</f>
        <v/>
      </c>
      <c r="T84" s="160">
        <f>J83*N('Debt Payoff'!$D$22)/12</f>
        <v/>
      </c>
      <c r="U84" s="160">
        <f>K83*N('Debt Payoff'!$D$23)/12</f>
        <v/>
      </c>
      <c r="V84" s="160">
        <f>L83*N('Debt Payoff'!$D$24)/12</f>
        <v/>
      </c>
      <c r="W84" s="160">
        <f>MIN(N('Debt Payoff'!$E$15),C83+M84)</f>
        <v/>
      </c>
      <c r="X84" s="160">
        <f>MIN(N('Debt Payoff'!$E$16),D83+N84)</f>
        <v/>
      </c>
      <c r="Y84" s="160">
        <f>MIN(N('Debt Payoff'!$E$17),E83+O84)</f>
        <v/>
      </c>
      <c r="Z84" s="160">
        <f>MIN(N('Debt Payoff'!$E$18),F83+P84)</f>
        <v/>
      </c>
      <c r="AA84" s="160">
        <f>MIN(N('Debt Payoff'!$E$19),G83+Q84)</f>
        <v/>
      </c>
      <c r="AB84" s="160">
        <f>MIN(N('Debt Payoff'!$E$20),H83+R84)</f>
        <v/>
      </c>
      <c r="AC84" s="160">
        <f>MIN(N('Debt Payoff'!$E$21),I83+S84)</f>
        <v/>
      </c>
      <c r="AD84" s="160">
        <f>MIN(N('Debt Payoff'!$E$22),J83+T84)</f>
        <v/>
      </c>
      <c r="AE84" s="160">
        <f>MIN(N('Debt Payoff'!$E$23),K83+U84)</f>
        <v/>
      </c>
      <c r="AF84" s="160">
        <f>MIN(N('Debt Payoff'!$E$24),L83+V84)</f>
        <v/>
      </c>
      <c r="AG84" s="160">
        <f>C83+M84-W84</f>
        <v/>
      </c>
      <c r="AH84" s="160">
        <f>D83+N84-X84</f>
        <v/>
      </c>
      <c r="AI84" s="160">
        <f>E83+O84-Y84</f>
        <v/>
      </c>
      <c r="AJ84" s="160">
        <f>F83+P84-Z84</f>
        <v/>
      </c>
      <c r="AK84" s="160">
        <f>G83+Q84-AA84</f>
        <v/>
      </c>
      <c r="AL84" s="160">
        <f>H83+R84-AB84</f>
        <v/>
      </c>
      <c r="AM84" s="160">
        <f>I83+S84-AC84</f>
        <v/>
      </c>
      <c r="AN84" s="160">
        <f>J83+T84-AD84</f>
        <v/>
      </c>
      <c r="AO84" s="160">
        <f>K83+U84-AE84</f>
        <v/>
      </c>
      <c r="AP84" s="160">
        <f>L83+V84-AF84</f>
        <v/>
      </c>
      <c r="AQ84" s="160">
        <f>W84+MAX(0,MIN(AG84,'Debt Payoff'!$C$12-SUM($W84:$AF84)-SUMIFS($AG84:$AP84,$AG$4:$AP$4,"&lt;"&amp;AG$4)))</f>
        <v/>
      </c>
      <c r="AR84" s="160">
        <f>X84+MAX(0,MIN(AH84,'Debt Payoff'!$C$12-SUM($W84:$AF84)-SUMIFS($AG84:$AP84,$AG$4:$AP$4,"&lt;"&amp;AH$4)))</f>
        <v/>
      </c>
      <c r="AS84" s="160">
        <f>Y84+MAX(0,MIN(AI84,'Debt Payoff'!$C$12-SUM($W84:$AF84)-SUMIFS($AG84:$AP84,$AG$4:$AP$4,"&lt;"&amp;AI$4)))</f>
        <v/>
      </c>
      <c r="AT84" s="160">
        <f>Z84+MAX(0,MIN(AJ84,'Debt Payoff'!$C$12-SUM($W84:$AF84)-SUMIFS($AG84:$AP84,$AG$4:$AP$4,"&lt;"&amp;AJ$4)))</f>
        <v/>
      </c>
      <c r="AU84" s="160">
        <f>AA84+MAX(0,MIN(AK84,'Debt Payoff'!$C$12-SUM($W84:$AF84)-SUMIFS($AG84:$AP84,$AG$4:$AP$4,"&lt;"&amp;AK$4)))</f>
        <v/>
      </c>
      <c r="AV84" s="160">
        <f>AB84+MAX(0,MIN(AL84,'Debt Payoff'!$C$12-SUM($W84:$AF84)-SUMIFS($AG84:$AP84,$AG$4:$AP$4,"&lt;"&amp;AL$4)))</f>
        <v/>
      </c>
      <c r="AW84" s="160">
        <f>AC84+MAX(0,MIN(AM84,'Debt Payoff'!$C$12-SUM($W84:$AF84)-SUMIFS($AG84:$AP84,$AG$4:$AP$4,"&lt;"&amp;AM$4)))</f>
        <v/>
      </c>
      <c r="AX84" s="160">
        <f>AD84+MAX(0,MIN(AN84,'Debt Payoff'!$C$12-SUM($W84:$AF84)-SUMIFS($AG84:$AP84,$AG$4:$AP$4,"&lt;"&amp;AN$4)))</f>
        <v/>
      </c>
      <c r="AY84" s="160">
        <f>AE84+MAX(0,MIN(AO84,'Debt Payoff'!$C$12-SUM($W84:$AF84)-SUMIFS($AG84:$AP84,$AG$4:$AP$4,"&lt;"&amp;AO$4)))</f>
        <v/>
      </c>
      <c r="AZ84" s="160">
        <f>AF84+MAX(0,MIN(AP84,'Debt Payoff'!$C$12-SUM($W84:$AF84)-SUMIFS($AG84:$AP84,$AG$4:$AP$4,"&lt;"&amp;AP$4)))</f>
        <v/>
      </c>
      <c r="BA84" s="160">
        <f>SUM(C84:L84)</f>
        <v/>
      </c>
      <c r="BB84" s="160">
        <f>SUM(AQ84:AZ84)</f>
        <v/>
      </c>
      <c r="BC84" s="160">
        <f>SUM(M84:V84)</f>
        <v/>
      </c>
    </row>
    <row r="85">
      <c r="A85" s="157" t="n">
        <v>80</v>
      </c>
      <c r="B85" s="159">
        <f>EDATE('Debt Payoff'!$C$6,79)</f>
        <v/>
      </c>
      <c r="C85" s="160">
        <f>MAX(0,ROUND(C84+M85-AQ85,2))</f>
        <v/>
      </c>
      <c r="D85" s="160">
        <f>MAX(0,ROUND(D84+N85-AR85,2))</f>
        <v/>
      </c>
      <c r="E85" s="160">
        <f>MAX(0,ROUND(E84+O85-AS85,2))</f>
        <v/>
      </c>
      <c r="F85" s="160">
        <f>MAX(0,ROUND(F84+P85-AT85,2))</f>
        <v/>
      </c>
      <c r="G85" s="160">
        <f>MAX(0,ROUND(G84+Q85-AU85,2))</f>
        <v/>
      </c>
      <c r="H85" s="160">
        <f>MAX(0,ROUND(H84+R85-AV85,2))</f>
        <v/>
      </c>
      <c r="I85" s="160">
        <f>MAX(0,ROUND(I84+S85-AW85,2))</f>
        <v/>
      </c>
      <c r="J85" s="160">
        <f>MAX(0,ROUND(J84+T85-AX85,2))</f>
        <v/>
      </c>
      <c r="K85" s="160">
        <f>MAX(0,ROUND(K84+U85-AY85,2))</f>
        <v/>
      </c>
      <c r="L85" s="160">
        <f>MAX(0,ROUND(L84+V85-AZ85,2))</f>
        <v/>
      </c>
      <c r="M85" s="160">
        <f>C84*N('Debt Payoff'!$D$15)/12</f>
        <v/>
      </c>
      <c r="N85" s="160">
        <f>D84*N('Debt Payoff'!$D$16)/12</f>
        <v/>
      </c>
      <c r="O85" s="160">
        <f>E84*N('Debt Payoff'!$D$17)/12</f>
        <v/>
      </c>
      <c r="P85" s="160">
        <f>F84*N('Debt Payoff'!$D$18)/12</f>
        <v/>
      </c>
      <c r="Q85" s="160">
        <f>G84*N('Debt Payoff'!$D$19)/12</f>
        <v/>
      </c>
      <c r="R85" s="160">
        <f>H84*N('Debt Payoff'!$D$20)/12</f>
        <v/>
      </c>
      <c r="S85" s="160">
        <f>I84*N('Debt Payoff'!$D$21)/12</f>
        <v/>
      </c>
      <c r="T85" s="160">
        <f>J84*N('Debt Payoff'!$D$22)/12</f>
        <v/>
      </c>
      <c r="U85" s="160">
        <f>K84*N('Debt Payoff'!$D$23)/12</f>
        <v/>
      </c>
      <c r="V85" s="160">
        <f>L84*N('Debt Payoff'!$D$24)/12</f>
        <v/>
      </c>
      <c r="W85" s="160">
        <f>MIN(N('Debt Payoff'!$E$15),C84+M85)</f>
        <v/>
      </c>
      <c r="X85" s="160">
        <f>MIN(N('Debt Payoff'!$E$16),D84+N85)</f>
        <v/>
      </c>
      <c r="Y85" s="160">
        <f>MIN(N('Debt Payoff'!$E$17),E84+O85)</f>
        <v/>
      </c>
      <c r="Z85" s="160">
        <f>MIN(N('Debt Payoff'!$E$18),F84+P85)</f>
        <v/>
      </c>
      <c r="AA85" s="160">
        <f>MIN(N('Debt Payoff'!$E$19),G84+Q85)</f>
        <v/>
      </c>
      <c r="AB85" s="160">
        <f>MIN(N('Debt Payoff'!$E$20),H84+R85)</f>
        <v/>
      </c>
      <c r="AC85" s="160">
        <f>MIN(N('Debt Payoff'!$E$21),I84+S85)</f>
        <v/>
      </c>
      <c r="AD85" s="160">
        <f>MIN(N('Debt Payoff'!$E$22),J84+T85)</f>
        <v/>
      </c>
      <c r="AE85" s="160">
        <f>MIN(N('Debt Payoff'!$E$23),K84+U85)</f>
        <v/>
      </c>
      <c r="AF85" s="160">
        <f>MIN(N('Debt Payoff'!$E$24),L84+V85)</f>
        <v/>
      </c>
      <c r="AG85" s="160">
        <f>C84+M85-W85</f>
        <v/>
      </c>
      <c r="AH85" s="160">
        <f>D84+N85-X85</f>
        <v/>
      </c>
      <c r="AI85" s="160">
        <f>E84+O85-Y85</f>
        <v/>
      </c>
      <c r="AJ85" s="160">
        <f>F84+P85-Z85</f>
        <v/>
      </c>
      <c r="AK85" s="160">
        <f>G84+Q85-AA85</f>
        <v/>
      </c>
      <c r="AL85" s="160">
        <f>H84+R85-AB85</f>
        <v/>
      </c>
      <c r="AM85" s="160">
        <f>I84+S85-AC85</f>
        <v/>
      </c>
      <c r="AN85" s="160">
        <f>J84+T85-AD85</f>
        <v/>
      </c>
      <c r="AO85" s="160">
        <f>K84+U85-AE85</f>
        <v/>
      </c>
      <c r="AP85" s="160">
        <f>L84+V85-AF85</f>
        <v/>
      </c>
      <c r="AQ85" s="160">
        <f>W85+MAX(0,MIN(AG85,'Debt Payoff'!$C$12-SUM($W85:$AF85)-SUMIFS($AG85:$AP85,$AG$4:$AP$4,"&lt;"&amp;AG$4)))</f>
        <v/>
      </c>
      <c r="AR85" s="160">
        <f>X85+MAX(0,MIN(AH85,'Debt Payoff'!$C$12-SUM($W85:$AF85)-SUMIFS($AG85:$AP85,$AG$4:$AP$4,"&lt;"&amp;AH$4)))</f>
        <v/>
      </c>
      <c r="AS85" s="160">
        <f>Y85+MAX(0,MIN(AI85,'Debt Payoff'!$C$12-SUM($W85:$AF85)-SUMIFS($AG85:$AP85,$AG$4:$AP$4,"&lt;"&amp;AI$4)))</f>
        <v/>
      </c>
      <c r="AT85" s="160">
        <f>Z85+MAX(0,MIN(AJ85,'Debt Payoff'!$C$12-SUM($W85:$AF85)-SUMIFS($AG85:$AP85,$AG$4:$AP$4,"&lt;"&amp;AJ$4)))</f>
        <v/>
      </c>
      <c r="AU85" s="160">
        <f>AA85+MAX(0,MIN(AK85,'Debt Payoff'!$C$12-SUM($W85:$AF85)-SUMIFS($AG85:$AP85,$AG$4:$AP$4,"&lt;"&amp;AK$4)))</f>
        <v/>
      </c>
      <c r="AV85" s="160">
        <f>AB85+MAX(0,MIN(AL85,'Debt Payoff'!$C$12-SUM($W85:$AF85)-SUMIFS($AG85:$AP85,$AG$4:$AP$4,"&lt;"&amp;AL$4)))</f>
        <v/>
      </c>
      <c r="AW85" s="160">
        <f>AC85+MAX(0,MIN(AM85,'Debt Payoff'!$C$12-SUM($W85:$AF85)-SUMIFS($AG85:$AP85,$AG$4:$AP$4,"&lt;"&amp;AM$4)))</f>
        <v/>
      </c>
      <c r="AX85" s="160">
        <f>AD85+MAX(0,MIN(AN85,'Debt Payoff'!$C$12-SUM($W85:$AF85)-SUMIFS($AG85:$AP85,$AG$4:$AP$4,"&lt;"&amp;AN$4)))</f>
        <v/>
      </c>
      <c r="AY85" s="160">
        <f>AE85+MAX(0,MIN(AO85,'Debt Payoff'!$C$12-SUM($W85:$AF85)-SUMIFS($AG85:$AP85,$AG$4:$AP$4,"&lt;"&amp;AO$4)))</f>
        <v/>
      </c>
      <c r="AZ85" s="160">
        <f>AF85+MAX(0,MIN(AP85,'Debt Payoff'!$C$12-SUM($W85:$AF85)-SUMIFS($AG85:$AP85,$AG$4:$AP$4,"&lt;"&amp;AP$4)))</f>
        <v/>
      </c>
      <c r="BA85" s="160">
        <f>SUM(C85:L85)</f>
        <v/>
      </c>
      <c r="BB85" s="160">
        <f>SUM(AQ85:AZ85)</f>
        <v/>
      </c>
      <c r="BC85" s="160">
        <f>SUM(M85:V85)</f>
        <v/>
      </c>
    </row>
    <row r="86">
      <c r="A86" s="157" t="n">
        <v>81</v>
      </c>
      <c r="B86" s="159">
        <f>EDATE('Debt Payoff'!$C$6,80)</f>
        <v/>
      </c>
      <c r="C86" s="160">
        <f>MAX(0,ROUND(C85+M86-AQ86,2))</f>
        <v/>
      </c>
      <c r="D86" s="160">
        <f>MAX(0,ROUND(D85+N86-AR86,2))</f>
        <v/>
      </c>
      <c r="E86" s="160">
        <f>MAX(0,ROUND(E85+O86-AS86,2))</f>
        <v/>
      </c>
      <c r="F86" s="160">
        <f>MAX(0,ROUND(F85+P86-AT86,2))</f>
        <v/>
      </c>
      <c r="G86" s="160">
        <f>MAX(0,ROUND(G85+Q86-AU86,2))</f>
        <v/>
      </c>
      <c r="H86" s="160">
        <f>MAX(0,ROUND(H85+R86-AV86,2))</f>
        <v/>
      </c>
      <c r="I86" s="160">
        <f>MAX(0,ROUND(I85+S86-AW86,2))</f>
        <v/>
      </c>
      <c r="J86" s="160">
        <f>MAX(0,ROUND(J85+T86-AX86,2))</f>
        <v/>
      </c>
      <c r="K86" s="160">
        <f>MAX(0,ROUND(K85+U86-AY86,2))</f>
        <v/>
      </c>
      <c r="L86" s="160">
        <f>MAX(0,ROUND(L85+V86-AZ86,2))</f>
        <v/>
      </c>
      <c r="M86" s="160">
        <f>C85*N('Debt Payoff'!$D$15)/12</f>
        <v/>
      </c>
      <c r="N86" s="160">
        <f>D85*N('Debt Payoff'!$D$16)/12</f>
        <v/>
      </c>
      <c r="O86" s="160">
        <f>E85*N('Debt Payoff'!$D$17)/12</f>
        <v/>
      </c>
      <c r="P86" s="160">
        <f>F85*N('Debt Payoff'!$D$18)/12</f>
        <v/>
      </c>
      <c r="Q86" s="160">
        <f>G85*N('Debt Payoff'!$D$19)/12</f>
        <v/>
      </c>
      <c r="R86" s="160">
        <f>H85*N('Debt Payoff'!$D$20)/12</f>
        <v/>
      </c>
      <c r="S86" s="160">
        <f>I85*N('Debt Payoff'!$D$21)/12</f>
        <v/>
      </c>
      <c r="T86" s="160">
        <f>J85*N('Debt Payoff'!$D$22)/12</f>
        <v/>
      </c>
      <c r="U86" s="160">
        <f>K85*N('Debt Payoff'!$D$23)/12</f>
        <v/>
      </c>
      <c r="V86" s="160">
        <f>L85*N('Debt Payoff'!$D$24)/12</f>
        <v/>
      </c>
      <c r="W86" s="160">
        <f>MIN(N('Debt Payoff'!$E$15),C85+M86)</f>
        <v/>
      </c>
      <c r="X86" s="160">
        <f>MIN(N('Debt Payoff'!$E$16),D85+N86)</f>
        <v/>
      </c>
      <c r="Y86" s="160">
        <f>MIN(N('Debt Payoff'!$E$17),E85+O86)</f>
        <v/>
      </c>
      <c r="Z86" s="160">
        <f>MIN(N('Debt Payoff'!$E$18),F85+P86)</f>
        <v/>
      </c>
      <c r="AA86" s="160">
        <f>MIN(N('Debt Payoff'!$E$19),G85+Q86)</f>
        <v/>
      </c>
      <c r="AB86" s="160">
        <f>MIN(N('Debt Payoff'!$E$20),H85+R86)</f>
        <v/>
      </c>
      <c r="AC86" s="160">
        <f>MIN(N('Debt Payoff'!$E$21),I85+S86)</f>
        <v/>
      </c>
      <c r="AD86" s="160">
        <f>MIN(N('Debt Payoff'!$E$22),J85+T86)</f>
        <v/>
      </c>
      <c r="AE86" s="160">
        <f>MIN(N('Debt Payoff'!$E$23),K85+U86)</f>
        <v/>
      </c>
      <c r="AF86" s="160">
        <f>MIN(N('Debt Payoff'!$E$24),L85+V86)</f>
        <v/>
      </c>
      <c r="AG86" s="160">
        <f>C85+M86-W86</f>
        <v/>
      </c>
      <c r="AH86" s="160">
        <f>D85+N86-X86</f>
        <v/>
      </c>
      <c r="AI86" s="160">
        <f>E85+O86-Y86</f>
        <v/>
      </c>
      <c r="AJ86" s="160">
        <f>F85+P86-Z86</f>
        <v/>
      </c>
      <c r="AK86" s="160">
        <f>G85+Q86-AA86</f>
        <v/>
      </c>
      <c r="AL86" s="160">
        <f>H85+R86-AB86</f>
        <v/>
      </c>
      <c r="AM86" s="160">
        <f>I85+S86-AC86</f>
        <v/>
      </c>
      <c r="AN86" s="160">
        <f>J85+T86-AD86</f>
        <v/>
      </c>
      <c r="AO86" s="160">
        <f>K85+U86-AE86</f>
        <v/>
      </c>
      <c r="AP86" s="160">
        <f>L85+V86-AF86</f>
        <v/>
      </c>
      <c r="AQ86" s="160">
        <f>W86+MAX(0,MIN(AG86,'Debt Payoff'!$C$12-SUM($W86:$AF86)-SUMIFS($AG86:$AP86,$AG$4:$AP$4,"&lt;"&amp;AG$4)))</f>
        <v/>
      </c>
      <c r="AR86" s="160">
        <f>X86+MAX(0,MIN(AH86,'Debt Payoff'!$C$12-SUM($W86:$AF86)-SUMIFS($AG86:$AP86,$AG$4:$AP$4,"&lt;"&amp;AH$4)))</f>
        <v/>
      </c>
      <c r="AS86" s="160">
        <f>Y86+MAX(0,MIN(AI86,'Debt Payoff'!$C$12-SUM($W86:$AF86)-SUMIFS($AG86:$AP86,$AG$4:$AP$4,"&lt;"&amp;AI$4)))</f>
        <v/>
      </c>
      <c r="AT86" s="160">
        <f>Z86+MAX(0,MIN(AJ86,'Debt Payoff'!$C$12-SUM($W86:$AF86)-SUMIFS($AG86:$AP86,$AG$4:$AP$4,"&lt;"&amp;AJ$4)))</f>
        <v/>
      </c>
      <c r="AU86" s="160">
        <f>AA86+MAX(0,MIN(AK86,'Debt Payoff'!$C$12-SUM($W86:$AF86)-SUMIFS($AG86:$AP86,$AG$4:$AP$4,"&lt;"&amp;AK$4)))</f>
        <v/>
      </c>
      <c r="AV86" s="160">
        <f>AB86+MAX(0,MIN(AL86,'Debt Payoff'!$C$12-SUM($W86:$AF86)-SUMIFS($AG86:$AP86,$AG$4:$AP$4,"&lt;"&amp;AL$4)))</f>
        <v/>
      </c>
      <c r="AW86" s="160">
        <f>AC86+MAX(0,MIN(AM86,'Debt Payoff'!$C$12-SUM($W86:$AF86)-SUMIFS($AG86:$AP86,$AG$4:$AP$4,"&lt;"&amp;AM$4)))</f>
        <v/>
      </c>
      <c r="AX86" s="160">
        <f>AD86+MAX(0,MIN(AN86,'Debt Payoff'!$C$12-SUM($W86:$AF86)-SUMIFS($AG86:$AP86,$AG$4:$AP$4,"&lt;"&amp;AN$4)))</f>
        <v/>
      </c>
      <c r="AY86" s="160">
        <f>AE86+MAX(0,MIN(AO86,'Debt Payoff'!$C$12-SUM($W86:$AF86)-SUMIFS($AG86:$AP86,$AG$4:$AP$4,"&lt;"&amp;AO$4)))</f>
        <v/>
      </c>
      <c r="AZ86" s="160">
        <f>AF86+MAX(0,MIN(AP86,'Debt Payoff'!$C$12-SUM($W86:$AF86)-SUMIFS($AG86:$AP86,$AG$4:$AP$4,"&lt;"&amp;AP$4)))</f>
        <v/>
      </c>
      <c r="BA86" s="160">
        <f>SUM(C86:L86)</f>
        <v/>
      </c>
      <c r="BB86" s="160">
        <f>SUM(AQ86:AZ86)</f>
        <v/>
      </c>
      <c r="BC86" s="160">
        <f>SUM(M86:V86)</f>
        <v/>
      </c>
    </row>
    <row r="87">
      <c r="A87" s="157" t="n">
        <v>82</v>
      </c>
      <c r="B87" s="159">
        <f>EDATE('Debt Payoff'!$C$6,81)</f>
        <v/>
      </c>
      <c r="C87" s="160">
        <f>MAX(0,ROUND(C86+M87-AQ87,2))</f>
        <v/>
      </c>
      <c r="D87" s="160">
        <f>MAX(0,ROUND(D86+N87-AR87,2))</f>
        <v/>
      </c>
      <c r="E87" s="160">
        <f>MAX(0,ROUND(E86+O87-AS87,2))</f>
        <v/>
      </c>
      <c r="F87" s="160">
        <f>MAX(0,ROUND(F86+P87-AT87,2))</f>
        <v/>
      </c>
      <c r="G87" s="160">
        <f>MAX(0,ROUND(G86+Q87-AU87,2))</f>
        <v/>
      </c>
      <c r="H87" s="160">
        <f>MAX(0,ROUND(H86+R87-AV87,2))</f>
        <v/>
      </c>
      <c r="I87" s="160">
        <f>MAX(0,ROUND(I86+S87-AW87,2))</f>
        <v/>
      </c>
      <c r="J87" s="160">
        <f>MAX(0,ROUND(J86+T87-AX87,2))</f>
        <v/>
      </c>
      <c r="K87" s="160">
        <f>MAX(0,ROUND(K86+U87-AY87,2))</f>
        <v/>
      </c>
      <c r="L87" s="160">
        <f>MAX(0,ROUND(L86+V87-AZ87,2))</f>
        <v/>
      </c>
      <c r="M87" s="160">
        <f>C86*N('Debt Payoff'!$D$15)/12</f>
        <v/>
      </c>
      <c r="N87" s="160">
        <f>D86*N('Debt Payoff'!$D$16)/12</f>
        <v/>
      </c>
      <c r="O87" s="160">
        <f>E86*N('Debt Payoff'!$D$17)/12</f>
        <v/>
      </c>
      <c r="P87" s="160">
        <f>F86*N('Debt Payoff'!$D$18)/12</f>
        <v/>
      </c>
      <c r="Q87" s="160">
        <f>G86*N('Debt Payoff'!$D$19)/12</f>
        <v/>
      </c>
      <c r="R87" s="160">
        <f>H86*N('Debt Payoff'!$D$20)/12</f>
        <v/>
      </c>
      <c r="S87" s="160">
        <f>I86*N('Debt Payoff'!$D$21)/12</f>
        <v/>
      </c>
      <c r="T87" s="160">
        <f>J86*N('Debt Payoff'!$D$22)/12</f>
        <v/>
      </c>
      <c r="U87" s="160">
        <f>K86*N('Debt Payoff'!$D$23)/12</f>
        <v/>
      </c>
      <c r="V87" s="160">
        <f>L86*N('Debt Payoff'!$D$24)/12</f>
        <v/>
      </c>
      <c r="W87" s="160">
        <f>MIN(N('Debt Payoff'!$E$15),C86+M87)</f>
        <v/>
      </c>
      <c r="X87" s="160">
        <f>MIN(N('Debt Payoff'!$E$16),D86+N87)</f>
        <v/>
      </c>
      <c r="Y87" s="160">
        <f>MIN(N('Debt Payoff'!$E$17),E86+O87)</f>
        <v/>
      </c>
      <c r="Z87" s="160">
        <f>MIN(N('Debt Payoff'!$E$18),F86+P87)</f>
        <v/>
      </c>
      <c r="AA87" s="160">
        <f>MIN(N('Debt Payoff'!$E$19),G86+Q87)</f>
        <v/>
      </c>
      <c r="AB87" s="160">
        <f>MIN(N('Debt Payoff'!$E$20),H86+R87)</f>
        <v/>
      </c>
      <c r="AC87" s="160">
        <f>MIN(N('Debt Payoff'!$E$21),I86+S87)</f>
        <v/>
      </c>
      <c r="AD87" s="160">
        <f>MIN(N('Debt Payoff'!$E$22),J86+T87)</f>
        <v/>
      </c>
      <c r="AE87" s="160">
        <f>MIN(N('Debt Payoff'!$E$23),K86+U87)</f>
        <v/>
      </c>
      <c r="AF87" s="160">
        <f>MIN(N('Debt Payoff'!$E$24),L86+V87)</f>
        <v/>
      </c>
      <c r="AG87" s="160">
        <f>C86+M87-W87</f>
        <v/>
      </c>
      <c r="AH87" s="160">
        <f>D86+N87-X87</f>
        <v/>
      </c>
      <c r="AI87" s="160">
        <f>E86+O87-Y87</f>
        <v/>
      </c>
      <c r="AJ87" s="160">
        <f>F86+P87-Z87</f>
        <v/>
      </c>
      <c r="AK87" s="160">
        <f>G86+Q87-AA87</f>
        <v/>
      </c>
      <c r="AL87" s="160">
        <f>H86+R87-AB87</f>
        <v/>
      </c>
      <c r="AM87" s="160">
        <f>I86+S87-AC87</f>
        <v/>
      </c>
      <c r="AN87" s="160">
        <f>J86+T87-AD87</f>
        <v/>
      </c>
      <c r="AO87" s="160">
        <f>K86+U87-AE87</f>
        <v/>
      </c>
      <c r="AP87" s="160">
        <f>L86+V87-AF87</f>
        <v/>
      </c>
      <c r="AQ87" s="160">
        <f>W87+MAX(0,MIN(AG87,'Debt Payoff'!$C$12-SUM($W87:$AF87)-SUMIFS($AG87:$AP87,$AG$4:$AP$4,"&lt;"&amp;AG$4)))</f>
        <v/>
      </c>
      <c r="AR87" s="160">
        <f>X87+MAX(0,MIN(AH87,'Debt Payoff'!$C$12-SUM($W87:$AF87)-SUMIFS($AG87:$AP87,$AG$4:$AP$4,"&lt;"&amp;AH$4)))</f>
        <v/>
      </c>
      <c r="AS87" s="160">
        <f>Y87+MAX(0,MIN(AI87,'Debt Payoff'!$C$12-SUM($W87:$AF87)-SUMIFS($AG87:$AP87,$AG$4:$AP$4,"&lt;"&amp;AI$4)))</f>
        <v/>
      </c>
      <c r="AT87" s="160">
        <f>Z87+MAX(0,MIN(AJ87,'Debt Payoff'!$C$12-SUM($W87:$AF87)-SUMIFS($AG87:$AP87,$AG$4:$AP$4,"&lt;"&amp;AJ$4)))</f>
        <v/>
      </c>
      <c r="AU87" s="160">
        <f>AA87+MAX(0,MIN(AK87,'Debt Payoff'!$C$12-SUM($W87:$AF87)-SUMIFS($AG87:$AP87,$AG$4:$AP$4,"&lt;"&amp;AK$4)))</f>
        <v/>
      </c>
      <c r="AV87" s="160">
        <f>AB87+MAX(0,MIN(AL87,'Debt Payoff'!$C$12-SUM($W87:$AF87)-SUMIFS($AG87:$AP87,$AG$4:$AP$4,"&lt;"&amp;AL$4)))</f>
        <v/>
      </c>
      <c r="AW87" s="160">
        <f>AC87+MAX(0,MIN(AM87,'Debt Payoff'!$C$12-SUM($W87:$AF87)-SUMIFS($AG87:$AP87,$AG$4:$AP$4,"&lt;"&amp;AM$4)))</f>
        <v/>
      </c>
      <c r="AX87" s="160">
        <f>AD87+MAX(0,MIN(AN87,'Debt Payoff'!$C$12-SUM($W87:$AF87)-SUMIFS($AG87:$AP87,$AG$4:$AP$4,"&lt;"&amp;AN$4)))</f>
        <v/>
      </c>
      <c r="AY87" s="160">
        <f>AE87+MAX(0,MIN(AO87,'Debt Payoff'!$C$12-SUM($W87:$AF87)-SUMIFS($AG87:$AP87,$AG$4:$AP$4,"&lt;"&amp;AO$4)))</f>
        <v/>
      </c>
      <c r="AZ87" s="160">
        <f>AF87+MAX(0,MIN(AP87,'Debt Payoff'!$C$12-SUM($W87:$AF87)-SUMIFS($AG87:$AP87,$AG$4:$AP$4,"&lt;"&amp;AP$4)))</f>
        <v/>
      </c>
      <c r="BA87" s="160">
        <f>SUM(C87:L87)</f>
        <v/>
      </c>
      <c r="BB87" s="160">
        <f>SUM(AQ87:AZ87)</f>
        <v/>
      </c>
      <c r="BC87" s="160">
        <f>SUM(M87:V87)</f>
        <v/>
      </c>
    </row>
    <row r="88">
      <c r="A88" s="157" t="n">
        <v>83</v>
      </c>
      <c r="B88" s="159">
        <f>EDATE('Debt Payoff'!$C$6,82)</f>
        <v/>
      </c>
      <c r="C88" s="160">
        <f>MAX(0,ROUND(C87+M88-AQ88,2))</f>
        <v/>
      </c>
      <c r="D88" s="160">
        <f>MAX(0,ROUND(D87+N88-AR88,2))</f>
        <v/>
      </c>
      <c r="E88" s="160">
        <f>MAX(0,ROUND(E87+O88-AS88,2))</f>
        <v/>
      </c>
      <c r="F88" s="160">
        <f>MAX(0,ROUND(F87+P88-AT88,2))</f>
        <v/>
      </c>
      <c r="G88" s="160">
        <f>MAX(0,ROUND(G87+Q88-AU88,2))</f>
        <v/>
      </c>
      <c r="H88" s="160">
        <f>MAX(0,ROUND(H87+R88-AV88,2))</f>
        <v/>
      </c>
      <c r="I88" s="160">
        <f>MAX(0,ROUND(I87+S88-AW88,2))</f>
        <v/>
      </c>
      <c r="J88" s="160">
        <f>MAX(0,ROUND(J87+T88-AX88,2))</f>
        <v/>
      </c>
      <c r="K88" s="160">
        <f>MAX(0,ROUND(K87+U88-AY88,2))</f>
        <v/>
      </c>
      <c r="L88" s="160">
        <f>MAX(0,ROUND(L87+V88-AZ88,2))</f>
        <v/>
      </c>
      <c r="M88" s="160">
        <f>C87*N('Debt Payoff'!$D$15)/12</f>
        <v/>
      </c>
      <c r="N88" s="160">
        <f>D87*N('Debt Payoff'!$D$16)/12</f>
        <v/>
      </c>
      <c r="O88" s="160">
        <f>E87*N('Debt Payoff'!$D$17)/12</f>
        <v/>
      </c>
      <c r="P88" s="160">
        <f>F87*N('Debt Payoff'!$D$18)/12</f>
        <v/>
      </c>
      <c r="Q88" s="160">
        <f>G87*N('Debt Payoff'!$D$19)/12</f>
        <v/>
      </c>
      <c r="R88" s="160">
        <f>H87*N('Debt Payoff'!$D$20)/12</f>
        <v/>
      </c>
      <c r="S88" s="160">
        <f>I87*N('Debt Payoff'!$D$21)/12</f>
        <v/>
      </c>
      <c r="T88" s="160">
        <f>J87*N('Debt Payoff'!$D$22)/12</f>
        <v/>
      </c>
      <c r="U88" s="160">
        <f>K87*N('Debt Payoff'!$D$23)/12</f>
        <v/>
      </c>
      <c r="V88" s="160">
        <f>L87*N('Debt Payoff'!$D$24)/12</f>
        <v/>
      </c>
      <c r="W88" s="160">
        <f>MIN(N('Debt Payoff'!$E$15),C87+M88)</f>
        <v/>
      </c>
      <c r="X88" s="160">
        <f>MIN(N('Debt Payoff'!$E$16),D87+N88)</f>
        <v/>
      </c>
      <c r="Y88" s="160">
        <f>MIN(N('Debt Payoff'!$E$17),E87+O88)</f>
        <v/>
      </c>
      <c r="Z88" s="160">
        <f>MIN(N('Debt Payoff'!$E$18),F87+P88)</f>
        <v/>
      </c>
      <c r="AA88" s="160">
        <f>MIN(N('Debt Payoff'!$E$19),G87+Q88)</f>
        <v/>
      </c>
      <c r="AB88" s="160">
        <f>MIN(N('Debt Payoff'!$E$20),H87+R88)</f>
        <v/>
      </c>
      <c r="AC88" s="160">
        <f>MIN(N('Debt Payoff'!$E$21),I87+S88)</f>
        <v/>
      </c>
      <c r="AD88" s="160">
        <f>MIN(N('Debt Payoff'!$E$22),J87+T88)</f>
        <v/>
      </c>
      <c r="AE88" s="160">
        <f>MIN(N('Debt Payoff'!$E$23),K87+U88)</f>
        <v/>
      </c>
      <c r="AF88" s="160">
        <f>MIN(N('Debt Payoff'!$E$24),L87+V88)</f>
        <v/>
      </c>
      <c r="AG88" s="160">
        <f>C87+M88-W88</f>
        <v/>
      </c>
      <c r="AH88" s="160">
        <f>D87+N88-X88</f>
        <v/>
      </c>
      <c r="AI88" s="160">
        <f>E87+O88-Y88</f>
        <v/>
      </c>
      <c r="AJ88" s="160">
        <f>F87+P88-Z88</f>
        <v/>
      </c>
      <c r="AK88" s="160">
        <f>G87+Q88-AA88</f>
        <v/>
      </c>
      <c r="AL88" s="160">
        <f>H87+R88-AB88</f>
        <v/>
      </c>
      <c r="AM88" s="160">
        <f>I87+S88-AC88</f>
        <v/>
      </c>
      <c r="AN88" s="160">
        <f>J87+T88-AD88</f>
        <v/>
      </c>
      <c r="AO88" s="160">
        <f>K87+U88-AE88</f>
        <v/>
      </c>
      <c r="AP88" s="160">
        <f>L87+V88-AF88</f>
        <v/>
      </c>
      <c r="AQ88" s="160">
        <f>W88+MAX(0,MIN(AG88,'Debt Payoff'!$C$12-SUM($W88:$AF88)-SUMIFS($AG88:$AP88,$AG$4:$AP$4,"&lt;"&amp;AG$4)))</f>
        <v/>
      </c>
      <c r="AR88" s="160">
        <f>X88+MAX(0,MIN(AH88,'Debt Payoff'!$C$12-SUM($W88:$AF88)-SUMIFS($AG88:$AP88,$AG$4:$AP$4,"&lt;"&amp;AH$4)))</f>
        <v/>
      </c>
      <c r="AS88" s="160">
        <f>Y88+MAX(0,MIN(AI88,'Debt Payoff'!$C$12-SUM($W88:$AF88)-SUMIFS($AG88:$AP88,$AG$4:$AP$4,"&lt;"&amp;AI$4)))</f>
        <v/>
      </c>
      <c r="AT88" s="160">
        <f>Z88+MAX(0,MIN(AJ88,'Debt Payoff'!$C$12-SUM($W88:$AF88)-SUMIFS($AG88:$AP88,$AG$4:$AP$4,"&lt;"&amp;AJ$4)))</f>
        <v/>
      </c>
      <c r="AU88" s="160">
        <f>AA88+MAX(0,MIN(AK88,'Debt Payoff'!$C$12-SUM($W88:$AF88)-SUMIFS($AG88:$AP88,$AG$4:$AP$4,"&lt;"&amp;AK$4)))</f>
        <v/>
      </c>
      <c r="AV88" s="160">
        <f>AB88+MAX(0,MIN(AL88,'Debt Payoff'!$C$12-SUM($W88:$AF88)-SUMIFS($AG88:$AP88,$AG$4:$AP$4,"&lt;"&amp;AL$4)))</f>
        <v/>
      </c>
      <c r="AW88" s="160">
        <f>AC88+MAX(0,MIN(AM88,'Debt Payoff'!$C$12-SUM($W88:$AF88)-SUMIFS($AG88:$AP88,$AG$4:$AP$4,"&lt;"&amp;AM$4)))</f>
        <v/>
      </c>
      <c r="AX88" s="160">
        <f>AD88+MAX(0,MIN(AN88,'Debt Payoff'!$C$12-SUM($W88:$AF88)-SUMIFS($AG88:$AP88,$AG$4:$AP$4,"&lt;"&amp;AN$4)))</f>
        <v/>
      </c>
      <c r="AY88" s="160">
        <f>AE88+MAX(0,MIN(AO88,'Debt Payoff'!$C$12-SUM($W88:$AF88)-SUMIFS($AG88:$AP88,$AG$4:$AP$4,"&lt;"&amp;AO$4)))</f>
        <v/>
      </c>
      <c r="AZ88" s="160">
        <f>AF88+MAX(0,MIN(AP88,'Debt Payoff'!$C$12-SUM($W88:$AF88)-SUMIFS($AG88:$AP88,$AG$4:$AP$4,"&lt;"&amp;AP$4)))</f>
        <v/>
      </c>
      <c r="BA88" s="160">
        <f>SUM(C88:L88)</f>
        <v/>
      </c>
      <c r="BB88" s="160">
        <f>SUM(AQ88:AZ88)</f>
        <v/>
      </c>
      <c r="BC88" s="160">
        <f>SUM(M88:V88)</f>
        <v/>
      </c>
    </row>
    <row r="89">
      <c r="A89" s="157" t="n">
        <v>84</v>
      </c>
      <c r="B89" s="159">
        <f>EDATE('Debt Payoff'!$C$6,83)</f>
        <v/>
      </c>
      <c r="C89" s="160">
        <f>MAX(0,ROUND(C88+M89-AQ89,2))</f>
        <v/>
      </c>
      <c r="D89" s="160">
        <f>MAX(0,ROUND(D88+N89-AR89,2))</f>
        <v/>
      </c>
      <c r="E89" s="160">
        <f>MAX(0,ROUND(E88+O89-AS89,2))</f>
        <v/>
      </c>
      <c r="F89" s="160">
        <f>MAX(0,ROUND(F88+P89-AT89,2))</f>
        <v/>
      </c>
      <c r="G89" s="160">
        <f>MAX(0,ROUND(G88+Q89-AU89,2))</f>
        <v/>
      </c>
      <c r="H89" s="160">
        <f>MAX(0,ROUND(H88+R89-AV89,2))</f>
        <v/>
      </c>
      <c r="I89" s="160">
        <f>MAX(0,ROUND(I88+S89-AW89,2))</f>
        <v/>
      </c>
      <c r="J89" s="160">
        <f>MAX(0,ROUND(J88+T89-AX89,2))</f>
        <v/>
      </c>
      <c r="K89" s="160">
        <f>MAX(0,ROUND(K88+U89-AY89,2))</f>
        <v/>
      </c>
      <c r="L89" s="160">
        <f>MAX(0,ROUND(L88+V89-AZ89,2))</f>
        <v/>
      </c>
      <c r="M89" s="160">
        <f>C88*N('Debt Payoff'!$D$15)/12</f>
        <v/>
      </c>
      <c r="N89" s="160">
        <f>D88*N('Debt Payoff'!$D$16)/12</f>
        <v/>
      </c>
      <c r="O89" s="160">
        <f>E88*N('Debt Payoff'!$D$17)/12</f>
        <v/>
      </c>
      <c r="P89" s="160">
        <f>F88*N('Debt Payoff'!$D$18)/12</f>
        <v/>
      </c>
      <c r="Q89" s="160">
        <f>G88*N('Debt Payoff'!$D$19)/12</f>
        <v/>
      </c>
      <c r="R89" s="160">
        <f>H88*N('Debt Payoff'!$D$20)/12</f>
        <v/>
      </c>
      <c r="S89" s="160">
        <f>I88*N('Debt Payoff'!$D$21)/12</f>
        <v/>
      </c>
      <c r="T89" s="160">
        <f>J88*N('Debt Payoff'!$D$22)/12</f>
        <v/>
      </c>
      <c r="U89" s="160">
        <f>K88*N('Debt Payoff'!$D$23)/12</f>
        <v/>
      </c>
      <c r="V89" s="160">
        <f>L88*N('Debt Payoff'!$D$24)/12</f>
        <v/>
      </c>
      <c r="W89" s="160">
        <f>MIN(N('Debt Payoff'!$E$15),C88+M89)</f>
        <v/>
      </c>
      <c r="X89" s="160">
        <f>MIN(N('Debt Payoff'!$E$16),D88+N89)</f>
        <v/>
      </c>
      <c r="Y89" s="160">
        <f>MIN(N('Debt Payoff'!$E$17),E88+O89)</f>
        <v/>
      </c>
      <c r="Z89" s="160">
        <f>MIN(N('Debt Payoff'!$E$18),F88+P89)</f>
        <v/>
      </c>
      <c r="AA89" s="160">
        <f>MIN(N('Debt Payoff'!$E$19),G88+Q89)</f>
        <v/>
      </c>
      <c r="AB89" s="160">
        <f>MIN(N('Debt Payoff'!$E$20),H88+R89)</f>
        <v/>
      </c>
      <c r="AC89" s="160">
        <f>MIN(N('Debt Payoff'!$E$21),I88+S89)</f>
        <v/>
      </c>
      <c r="AD89" s="160">
        <f>MIN(N('Debt Payoff'!$E$22),J88+T89)</f>
        <v/>
      </c>
      <c r="AE89" s="160">
        <f>MIN(N('Debt Payoff'!$E$23),K88+U89)</f>
        <v/>
      </c>
      <c r="AF89" s="160">
        <f>MIN(N('Debt Payoff'!$E$24),L88+V89)</f>
        <v/>
      </c>
      <c r="AG89" s="160">
        <f>C88+M89-W89</f>
        <v/>
      </c>
      <c r="AH89" s="160">
        <f>D88+N89-X89</f>
        <v/>
      </c>
      <c r="AI89" s="160">
        <f>E88+O89-Y89</f>
        <v/>
      </c>
      <c r="AJ89" s="160">
        <f>F88+P89-Z89</f>
        <v/>
      </c>
      <c r="AK89" s="160">
        <f>G88+Q89-AA89</f>
        <v/>
      </c>
      <c r="AL89" s="160">
        <f>H88+R89-AB89</f>
        <v/>
      </c>
      <c r="AM89" s="160">
        <f>I88+S89-AC89</f>
        <v/>
      </c>
      <c r="AN89" s="160">
        <f>J88+T89-AD89</f>
        <v/>
      </c>
      <c r="AO89" s="160">
        <f>K88+U89-AE89</f>
        <v/>
      </c>
      <c r="AP89" s="160">
        <f>L88+V89-AF89</f>
        <v/>
      </c>
      <c r="AQ89" s="160">
        <f>W89+MAX(0,MIN(AG89,'Debt Payoff'!$C$12-SUM($W89:$AF89)-SUMIFS($AG89:$AP89,$AG$4:$AP$4,"&lt;"&amp;AG$4)))</f>
        <v/>
      </c>
      <c r="AR89" s="160">
        <f>X89+MAX(0,MIN(AH89,'Debt Payoff'!$C$12-SUM($W89:$AF89)-SUMIFS($AG89:$AP89,$AG$4:$AP$4,"&lt;"&amp;AH$4)))</f>
        <v/>
      </c>
      <c r="AS89" s="160">
        <f>Y89+MAX(0,MIN(AI89,'Debt Payoff'!$C$12-SUM($W89:$AF89)-SUMIFS($AG89:$AP89,$AG$4:$AP$4,"&lt;"&amp;AI$4)))</f>
        <v/>
      </c>
      <c r="AT89" s="160">
        <f>Z89+MAX(0,MIN(AJ89,'Debt Payoff'!$C$12-SUM($W89:$AF89)-SUMIFS($AG89:$AP89,$AG$4:$AP$4,"&lt;"&amp;AJ$4)))</f>
        <v/>
      </c>
      <c r="AU89" s="160">
        <f>AA89+MAX(0,MIN(AK89,'Debt Payoff'!$C$12-SUM($W89:$AF89)-SUMIFS($AG89:$AP89,$AG$4:$AP$4,"&lt;"&amp;AK$4)))</f>
        <v/>
      </c>
      <c r="AV89" s="160">
        <f>AB89+MAX(0,MIN(AL89,'Debt Payoff'!$C$12-SUM($W89:$AF89)-SUMIFS($AG89:$AP89,$AG$4:$AP$4,"&lt;"&amp;AL$4)))</f>
        <v/>
      </c>
      <c r="AW89" s="160">
        <f>AC89+MAX(0,MIN(AM89,'Debt Payoff'!$C$12-SUM($W89:$AF89)-SUMIFS($AG89:$AP89,$AG$4:$AP$4,"&lt;"&amp;AM$4)))</f>
        <v/>
      </c>
      <c r="AX89" s="160">
        <f>AD89+MAX(0,MIN(AN89,'Debt Payoff'!$C$12-SUM($W89:$AF89)-SUMIFS($AG89:$AP89,$AG$4:$AP$4,"&lt;"&amp;AN$4)))</f>
        <v/>
      </c>
      <c r="AY89" s="160">
        <f>AE89+MAX(0,MIN(AO89,'Debt Payoff'!$C$12-SUM($W89:$AF89)-SUMIFS($AG89:$AP89,$AG$4:$AP$4,"&lt;"&amp;AO$4)))</f>
        <v/>
      </c>
      <c r="AZ89" s="160">
        <f>AF89+MAX(0,MIN(AP89,'Debt Payoff'!$C$12-SUM($W89:$AF89)-SUMIFS($AG89:$AP89,$AG$4:$AP$4,"&lt;"&amp;AP$4)))</f>
        <v/>
      </c>
      <c r="BA89" s="160">
        <f>SUM(C89:L89)</f>
        <v/>
      </c>
      <c r="BB89" s="160">
        <f>SUM(AQ89:AZ89)</f>
        <v/>
      </c>
      <c r="BC89" s="160">
        <f>SUM(M89:V89)</f>
        <v/>
      </c>
    </row>
    <row r="90">
      <c r="A90" s="157" t="n">
        <v>85</v>
      </c>
      <c r="B90" s="159">
        <f>EDATE('Debt Payoff'!$C$6,84)</f>
        <v/>
      </c>
      <c r="C90" s="160">
        <f>MAX(0,ROUND(C89+M90-AQ90,2))</f>
        <v/>
      </c>
      <c r="D90" s="160">
        <f>MAX(0,ROUND(D89+N90-AR90,2))</f>
        <v/>
      </c>
      <c r="E90" s="160">
        <f>MAX(0,ROUND(E89+O90-AS90,2))</f>
        <v/>
      </c>
      <c r="F90" s="160">
        <f>MAX(0,ROUND(F89+P90-AT90,2))</f>
        <v/>
      </c>
      <c r="G90" s="160">
        <f>MAX(0,ROUND(G89+Q90-AU90,2))</f>
        <v/>
      </c>
      <c r="H90" s="160">
        <f>MAX(0,ROUND(H89+R90-AV90,2))</f>
        <v/>
      </c>
      <c r="I90" s="160">
        <f>MAX(0,ROUND(I89+S90-AW90,2))</f>
        <v/>
      </c>
      <c r="J90" s="160">
        <f>MAX(0,ROUND(J89+T90-AX90,2))</f>
        <v/>
      </c>
      <c r="K90" s="160">
        <f>MAX(0,ROUND(K89+U90-AY90,2))</f>
        <v/>
      </c>
      <c r="L90" s="160">
        <f>MAX(0,ROUND(L89+V90-AZ90,2))</f>
        <v/>
      </c>
      <c r="M90" s="160">
        <f>C89*N('Debt Payoff'!$D$15)/12</f>
        <v/>
      </c>
      <c r="N90" s="160">
        <f>D89*N('Debt Payoff'!$D$16)/12</f>
        <v/>
      </c>
      <c r="O90" s="160">
        <f>E89*N('Debt Payoff'!$D$17)/12</f>
        <v/>
      </c>
      <c r="P90" s="160">
        <f>F89*N('Debt Payoff'!$D$18)/12</f>
        <v/>
      </c>
      <c r="Q90" s="160">
        <f>G89*N('Debt Payoff'!$D$19)/12</f>
        <v/>
      </c>
      <c r="R90" s="160">
        <f>H89*N('Debt Payoff'!$D$20)/12</f>
        <v/>
      </c>
      <c r="S90" s="160">
        <f>I89*N('Debt Payoff'!$D$21)/12</f>
        <v/>
      </c>
      <c r="T90" s="160">
        <f>J89*N('Debt Payoff'!$D$22)/12</f>
        <v/>
      </c>
      <c r="U90" s="160">
        <f>K89*N('Debt Payoff'!$D$23)/12</f>
        <v/>
      </c>
      <c r="V90" s="160">
        <f>L89*N('Debt Payoff'!$D$24)/12</f>
        <v/>
      </c>
      <c r="W90" s="160">
        <f>MIN(N('Debt Payoff'!$E$15),C89+M90)</f>
        <v/>
      </c>
      <c r="X90" s="160">
        <f>MIN(N('Debt Payoff'!$E$16),D89+N90)</f>
        <v/>
      </c>
      <c r="Y90" s="160">
        <f>MIN(N('Debt Payoff'!$E$17),E89+O90)</f>
        <v/>
      </c>
      <c r="Z90" s="160">
        <f>MIN(N('Debt Payoff'!$E$18),F89+P90)</f>
        <v/>
      </c>
      <c r="AA90" s="160">
        <f>MIN(N('Debt Payoff'!$E$19),G89+Q90)</f>
        <v/>
      </c>
      <c r="AB90" s="160">
        <f>MIN(N('Debt Payoff'!$E$20),H89+R90)</f>
        <v/>
      </c>
      <c r="AC90" s="160">
        <f>MIN(N('Debt Payoff'!$E$21),I89+S90)</f>
        <v/>
      </c>
      <c r="AD90" s="160">
        <f>MIN(N('Debt Payoff'!$E$22),J89+T90)</f>
        <v/>
      </c>
      <c r="AE90" s="160">
        <f>MIN(N('Debt Payoff'!$E$23),K89+U90)</f>
        <v/>
      </c>
      <c r="AF90" s="160">
        <f>MIN(N('Debt Payoff'!$E$24),L89+V90)</f>
        <v/>
      </c>
      <c r="AG90" s="160">
        <f>C89+M90-W90</f>
        <v/>
      </c>
      <c r="AH90" s="160">
        <f>D89+N90-X90</f>
        <v/>
      </c>
      <c r="AI90" s="160">
        <f>E89+O90-Y90</f>
        <v/>
      </c>
      <c r="AJ90" s="160">
        <f>F89+P90-Z90</f>
        <v/>
      </c>
      <c r="AK90" s="160">
        <f>G89+Q90-AA90</f>
        <v/>
      </c>
      <c r="AL90" s="160">
        <f>H89+R90-AB90</f>
        <v/>
      </c>
      <c r="AM90" s="160">
        <f>I89+S90-AC90</f>
        <v/>
      </c>
      <c r="AN90" s="160">
        <f>J89+T90-AD90</f>
        <v/>
      </c>
      <c r="AO90" s="160">
        <f>K89+U90-AE90</f>
        <v/>
      </c>
      <c r="AP90" s="160">
        <f>L89+V90-AF90</f>
        <v/>
      </c>
      <c r="AQ90" s="160">
        <f>W90+MAX(0,MIN(AG90,'Debt Payoff'!$C$12-SUM($W90:$AF90)-SUMIFS($AG90:$AP90,$AG$4:$AP$4,"&lt;"&amp;AG$4)))</f>
        <v/>
      </c>
      <c r="AR90" s="160">
        <f>X90+MAX(0,MIN(AH90,'Debt Payoff'!$C$12-SUM($W90:$AF90)-SUMIFS($AG90:$AP90,$AG$4:$AP$4,"&lt;"&amp;AH$4)))</f>
        <v/>
      </c>
      <c r="AS90" s="160">
        <f>Y90+MAX(0,MIN(AI90,'Debt Payoff'!$C$12-SUM($W90:$AF90)-SUMIFS($AG90:$AP90,$AG$4:$AP$4,"&lt;"&amp;AI$4)))</f>
        <v/>
      </c>
      <c r="AT90" s="160">
        <f>Z90+MAX(0,MIN(AJ90,'Debt Payoff'!$C$12-SUM($W90:$AF90)-SUMIFS($AG90:$AP90,$AG$4:$AP$4,"&lt;"&amp;AJ$4)))</f>
        <v/>
      </c>
      <c r="AU90" s="160">
        <f>AA90+MAX(0,MIN(AK90,'Debt Payoff'!$C$12-SUM($W90:$AF90)-SUMIFS($AG90:$AP90,$AG$4:$AP$4,"&lt;"&amp;AK$4)))</f>
        <v/>
      </c>
      <c r="AV90" s="160">
        <f>AB90+MAX(0,MIN(AL90,'Debt Payoff'!$C$12-SUM($W90:$AF90)-SUMIFS($AG90:$AP90,$AG$4:$AP$4,"&lt;"&amp;AL$4)))</f>
        <v/>
      </c>
      <c r="AW90" s="160">
        <f>AC90+MAX(0,MIN(AM90,'Debt Payoff'!$C$12-SUM($W90:$AF90)-SUMIFS($AG90:$AP90,$AG$4:$AP$4,"&lt;"&amp;AM$4)))</f>
        <v/>
      </c>
      <c r="AX90" s="160">
        <f>AD90+MAX(0,MIN(AN90,'Debt Payoff'!$C$12-SUM($W90:$AF90)-SUMIFS($AG90:$AP90,$AG$4:$AP$4,"&lt;"&amp;AN$4)))</f>
        <v/>
      </c>
      <c r="AY90" s="160">
        <f>AE90+MAX(0,MIN(AO90,'Debt Payoff'!$C$12-SUM($W90:$AF90)-SUMIFS($AG90:$AP90,$AG$4:$AP$4,"&lt;"&amp;AO$4)))</f>
        <v/>
      </c>
      <c r="AZ90" s="160">
        <f>AF90+MAX(0,MIN(AP90,'Debt Payoff'!$C$12-SUM($W90:$AF90)-SUMIFS($AG90:$AP90,$AG$4:$AP$4,"&lt;"&amp;AP$4)))</f>
        <v/>
      </c>
      <c r="BA90" s="160">
        <f>SUM(C90:L90)</f>
        <v/>
      </c>
      <c r="BB90" s="160">
        <f>SUM(AQ90:AZ90)</f>
        <v/>
      </c>
      <c r="BC90" s="160">
        <f>SUM(M90:V90)</f>
        <v/>
      </c>
    </row>
    <row r="91">
      <c r="A91" s="157" t="n">
        <v>86</v>
      </c>
      <c r="B91" s="159">
        <f>EDATE('Debt Payoff'!$C$6,85)</f>
        <v/>
      </c>
      <c r="C91" s="160">
        <f>MAX(0,ROUND(C90+M91-AQ91,2))</f>
        <v/>
      </c>
      <c r="D91" s="160">
        <f>MAX(0,ROUND(D90+N91-AR91,2))</f>
        <v/>
      </c>
      <c r="E91" s="160">
        <f>MAX(0,ROUND(E90+O91-AS91,2))</f>
        <v/>
      </c>
      <c r="F91" s="160">
        <f>MAX(0,ROUND(F90+P91-AT91,2))</f>
        <v/>
      </c>
      <c r="G91" s="160">
        <f>MAX(0,ROUND(G90+Q91-AU91,2))</f>
        <v/>
      </c>
      <c r="H91" s="160">
        <f>MAX(0,ROUND(H90+R91-AV91,2))</f>
        <v/>
      </c>
      <c r="I91" s="160">
        <f>MAX(0,ROUND(I90+S91-AW91,2))</f>
        <v/>
      </c>
      <c r="J91" s="160">
        <f>MAX(0,ROUND(J90+T91-AX91,2))</f>
        <v/>
      </c>
      <c r="K91" s="160">
        <f>MAX(0,ROUND(K90+U91-AY91,2))</f>
        <v/>
      </c>
      <c r="L91" s="160">
        <f>MAX(0,ROUND(L90+V91-AZ91,2))</f>
        <v/>
      </c>
      <c r="M91" s="160">
        <f>C90*N('Debt Payoff'!$D$15)/12</f>
        <v/>
      </c>
      <c r="N91" s="160">
        <f>D90*N('Debt Payoff'!$D$16)/12</f>
        <v/>
      </c>
      <c r="O91" s="160">
        <f>E90*N('Debt Payoff'!$D$17)/12</f>
        <v/>
      </c>
      <c r="P91" s="160">
        <f>F90*N('Debt Payoff'!$D$18)/12</f>
        <v/>
      </c>
      <c r="Q91" s="160">
        <f>G90*N('Debt Payoff'!$D$19)/12</f>
        <v/>
      </c>
      <c r="R91" s="160">
        <f>H90*N('Debt Payoff'!$D$20)/12</f>
        <v/>
      </c>
      <c r="S91" s="160">
        <f>I90*N('Debt Payoff'!$D$21)/12</f>
        <v/>
      </c>
      <c r="T91" s="160">
        <f>J90*N('Debt Payoff'!$D$22)/12</f>
        <v/>
      </c>
      <c r="U91" s="160">
        <f>K90*N('Debt Payoff'!$D$23)/12</f>
        <v/>
      </c>
      <c r="V91" s="160">
        <f>L90*N('Debt Payoff'!$D$24)/12</f>
        <v/>
      </c>
      <c r="W91" s="160">
        <f>MIN(N('Debt Payoff'!$E$15),C90+M91)</f>
        <v/>
      </c>
      <c r="X91" s="160">
        <f>MIN(N('Debt Payoff'!$E$16),D90+N91)</f>
        <v/>
      </c>
      <c r="Y91" s="160">
        <f>MIN(N('Debt Payoff'!$E$17),E90+O91)</f>
        <v/>
      </c>
      <c r="Z91" s="160">
        <f>MIN(N('Debt Payoff'!$E$18),F90+P91)</f>
        <v/>
      </c>
      <c r="AA91" s="160">
        <f>MIN(N('Debt Payoff'!$E$19),G90+Q91)</f>
        <v/>
      </c>
      <c r="AB91" s="160">
        <f>MIN(N('Debt Payoff'!$E$20),H90+R91)</f>
        <v/>
      </c>
      <c r="AC91" s="160">
        <f>MIN(N('Debt Payoff'!$E$21),I90+S91)</f>
        <v/>
      </c>
      <c r="AD91" s="160">
        <f>MIN(N('Debt Payoff'!$E$22),J90+T91)</f>
        <v/>
      </c>
      <c r="AE91" s="160">
        <f>MIN(N('Debt Payoff'!$E$23),K90+U91)</f>
        <v/>
      </c>
      <c r="AF91" s="160">
        <f>MIN(N('Debt Payoff'!$E$24),L90+V91)</f>
        <v/>
      </c>
      <c r="AG91" s="160">
        <f>C90+M91-W91</f>
        <v/>
      </c>
      <c r="AH91" s="160">
        <f>D90+N91-X91</f>
        <v/>
      </c>
      <c r="AI91" s="160">
        <f>E90+O91-Y91</f>
        <v/>
      </c>
      <c r="AJ91" s="160">
        <f>F90+P91-Z91</f>
        <v/>
      </c>
      <c r="AK91" s="160">
        <f>G90+Q91-AA91</f>
        <v/>
      </c>
      <c r="AL91" s="160">
        <f>H90+R91-AB91</f>
        <v/>
      </c>
      <c r="AM91" s="160">
        <f>I90+S91-AC91</f>
        <v/>
      </c>
      <c r="AN91" s="160">
        <f>J90+T91-AD91</f>
        <v/>
      </c>
      <c r="AO91" s="160">
        <f>K90+U91-AE91</f>
        <v/>
      </c>
      <c r="AP91" s="160">
        <f>L90+V91-AF91</f>
        <v/>
      </c>
      <c r="AQ91" s="160">
        <f>W91+MAX(0,MIN(AG91,'Debt Payoff'!$C$12-SUM($W91:$AF91)-SUMIFS($AG91:$AP91,$AG$4:$AP$4,"&lt;"&amp;AG$4)))</f>
        <v/>
      </c>
      <c r="AR91" s="160">
        <f>X91+MAX(0,MIN(AH91,'Debt Payoff'!$C$12-SUM($W91:$AF91)-SUMIFS($AG91:$AP91,$AG$4:$AP$4,"&lt;"&amp;AH$4)))</f>
        <v/>
      </c>
      <c r="AS91" s="160">
        <f>Y91+MAX(0,MIN(AI91,'Debt Payoff'!$C$12-SUM($W91:$AF91)-SUMIFS($AG91:$AP91,$AG$4:$AP$4,"&lt;"&amp;AI$4)))</f>
        <v/>
      </c>
      <c r="AT91" s="160">
        <f>Z91+MAX(0,MIN(AJ91,'Debt Payoff'!$C$12-SUM($W91:$AF91)-SUMIFS($AG91:$AP91,$AG$4:$AP$4,"&lt;"&amp;AJ$4)))</f>
        <v/>
      </c>
      <c r="AU91" s="160">
        <f>AA91+MAX(0,MIN(AK91,'Debt Payoff'!$C$12-SUM($W91:$AF91)-SUMIFS($AG91:$AP91,$AG$4:$AP$4,"&lt;"&amp;AK$4)))</f>
        <v/>
      </c>
      <c r="AV91" s="160">
        <f>AB91+MAX(0,MIN(AL91,'Debt Payoff'!$C$12-SUM($W91:$AF91)-SUMIFS($AG91:$AP91,$AG$4:$AP$4,"&lt;"&amp;AL$4)))</f>
        <v/>
      </c>
      <c r="AW91" s="160">
        <f>AC91+MAX(0,MIN(AM91,'Debt Payoff'!$C$12-SUM($W91:$AF91)-SUMIFS($AG91:$AP91,$AG$4:$AP$4,"&lt;"&amp;AM$4)))</f>
        <v/>
      </c>
      <c r="AX91" s="160">
        <f>AD91+MAX(0,MIN(AN91,'Debt Payoff'!$C$12-SUM($W91:$AF91)-SUMIFS($AG91:$AP91,$AG$4:$AP$4,"&lt;"&amp;AN$4)))</f>
        <v/>
      </c>
      <c r="AY91" s="160">
        <f>AE91+MAX(0,MIN(AO91,'Debt Payoff'!$C$12-SUM($W91:$AF91)-SUMIFS($AG91:$AP91,$AG$4:$AP$4,"&lt;"&amp;AO$4)))</f>
        <v/>
      </c>
      <c r="AZ91" s="160">
        <f>AF91+MAX(0,MIN(AP91,'Debt Payoff'!$C$12-SUM($W91:$AF91)-SUMIFS($AG91:$AP91,$AG$4:$AP$4,"&lt;"&amp;AP$4)))</f>
        <v/>
      </c>
      <c r="BA91" s="160">
        <f>SUM(C91:L91)</f>
        <v/>
      </c>
      <c r="BB91" s="160">
        <f>SUM(AQ91:AZ91)</f>
        <v/>
      </c>
      <c r="BC91" s="160">
        <f>SUM(M91:V91)</f>
        <v/>
      </c>
    </row>
    <row r="92">
      <c r="A92" s="157" t="n">
        <v>87</v>
      </c>
      <c r="B92" s="159">
        <f>EDATE('Debt Payoff'!$C$6,86)</f>
        <v/>
      </c>
      <c r="C92" s="160">
        <f>MAX(0,ROUND(C91+M92-AQ92,2))</f>
        <v/>
      </c>
      <c r="D92" s="160">
        <f>MAX(0,ROUND(D91+N92-AR92,2))</f>
        <v/>
      </c>
      <c r="E92" s="160">
        <f>MAX(0,ROUND(E91+O92-AS92,2))</f>
        <v/>
      </c>
      <c r="F92" s="160">
        <f>MAX(0,ROUND(F91+P92-AT92,2))</f>
        <v/>
      </c>
      <c r="G92" s="160">
        <f>MAX(0,ROUND(G91+Q92-AU92,2))</f>
        <v/>
      </c>
      <c r="H92" s="160">
        <f>MAX(0,ROUND(H91+R92-AV92,2))</f>
        <v/>
      </c>
      <c r="I92" s="160">
        <f>MAX(0,ROUND(I91+S92-AW92,2))</f>
        <v/>
      </c>
      <c r="J92" s="160">
        <f>MAX(0,ROUND(J91+T92-AX92,2))</f>
        <v/>
      </c>
      <c r="K92" s="160">
        <f>MAX(0,ROUND(K91+U92-AY92,2))</f>
        <v/>
      </c>
      <c r="L92" s="160">
        <f>MAX(0,ROUND(L91+V92-AZ92,2))</f>
        <v/>
      </c>
      <c r="M92" s="160">
        <f>C91*N('Debt Payoff'!$D$15)/12</f>
        <v/>
      </c>
      <c r="N92" s="160">
        <f>D91*N('Debt Payoff'!$D$16)/12</f>
        <v/>
      </c>
      <c r="O92" s="160">
        <f>E91*N('Debt Payoff'!$D$17)/12</f>
        <v/>
      </c>
      <c r="P92" s="160">
        <f>F91*N('Debt Payoff'!$D$18)/12</f>
        <v/>
      </c>
      <c r="Q92" s="160">
        <f>G91*N('Debt Payoff'!$D$19)/12</f>
        <v/>
      </c>
      <c r="R92" s="160">
        <f>H91*N('Debt Payoff'!$D$20)/12</f>
        <v/>
      </c>
      <c r="S92" s="160">
        <f>I91*N('Debt Payoff'!$D$21)/12</f>
        <v/>
      </c>
      <c r="T92" s="160">
        <f>J91*N('Debt Payoff'!$D$22)/12</f>
        <v/>
      </c>
      <c r="U92" s="160">
        <f>K91*N('Debt Payoff'!$D$23)/12</f>
        <v/>
      </c>
      <c r="V92" s="160">
        <f>L91*N('Debt Payoff'!$D$24)/12</f>
        <v/>
      </c>
      <c r="W92" s="160">
        <f>MIN(N('Debt Payoff'!$E$15),C91+M92)</f>
        <v/>
      </c>
      <c r="X92" s="160">
        <f>MIN(N('Debt Payoff'!$E$16),D91+N92)</f>
        <v/>
      </c>
      <c r="Y92" s="160">
        <f>MIN(N('Debt Payoff'!$E$17),E91+O92)</f>
        <v/>
      </c>
      <c r="Z92" s="160">
        <f>MIN(N('Debt Payoff'!$E$18),F91+P92)</f>
        <v/>
      </c>
      <c r="AA92" s="160">
        <f>MIN(N('Debt Payoff'!$E$19),G91+Q92)</f>
        <v/>
      </c>
      <c r="AB92" s="160">
        <f>MIN(N('Debt Payoff'!$E$20),H91+R92)</f>
        <v/>
      </c>
      <c r="AC92" s="160">
        <f>MIN(N('Debt Payoff'!$E$21),I91+S92)</f>
        <v/>
      </c>
      <c r="AD92" s="160">
        <f>MIN(N('Debt Payoff'!$E$22),J91+T92)</f>
        <v/>
      </c>
      <c r="AE92" s="160">
        <f>MIN(N('Debt Payoff'!$E$23),K91+U92)</f>
        <v/>
      </c>
      <c r="AF92" s="160">
        <f>MIN(N('Debt Payoff'!$E$24),L91+V92)</f>
        <v/>
      </c>
      <c r="AG92" s="160">
        <f>C91+M92-W92</f>
        <v/>
      </c>
      <c r="AH92" s="160">
        <f>D91+N92-X92</f>
        <v/>
      </c>
      <c r="AI92" s="160">
        <f>E91+O92-Y92</f>
        <v/>
      </c>
      <c r="AJ92" s="160">
        <f>F91+P92-Z92</f>
        <v/>
      </c>
      <c r="AK92" s="160">
        <f>G91+Q92-AA92</f>
        <v/>
      </c>
      <c r="AL92" s="160">
        <f>H91+R92-AB92</f>
        <v/>
      </c>
      <c r="AM92" s="160">
        <f>I91+S92-AC92</f>
        <v/>
      </c>
      <c r="AN92" s="160">
        <f>J91+T92-AD92</f>
        <v/>
      </c>
      <c r="AO92" s="160">
        <f>K91+U92-AE92</f>
        <v/>
      </c>
      <c r="AP92" s="160">
        <f>L91+V92-AF92</f>
        <v/>
      </c>
      <c r="AQ92" s="160">
        <f>W92+MAX(0,MIN(AG92,'Debt Payoff'!$C$12-SUM($W92:$AF92)-SUMIFS($AG92:$AP92,$AG$4:$AP$4,"&lt;"&amp;AG$4)))</f>
        <v/>
      </c>
      <c r="AR92" s="160">
        <f>X92+MAX(0,MIN(AH92,'Debt Payoff'!$C$12-SUM($W92:$AF92)-SUMIFS($AG92:$AP92,$AG$4:$AP$4,"&lt;"&amp;AH$4)))</f>
        <v/>
      </c>
      <c r="AS92" s="160">
        <f>Y92+MAX(0,MIN(AI92,'Debt Payoff'!$C$12-SUM($W92:$AF92)-SUMIFS($AG92:$AP92,$AG$4:$AP$4,"&lt;"&amp;AI$4)))</f>
        <v/>
      </c>
      <c r="AT92" s="160">
        <f>Z92+MAX(0,MIN(AJ92,'Debt Payoff'!$C$12-SUM($W92:$AF92)-SUMIFS($AG92:$AP92,$AG$4:$AP$4,"&lt;"&amp;AJ$4)))</f>
        <v/>
      </c>
      <c r="AU92" s="160">
        <f>AA92+MAX(0,MIN(AK92,'Debt Payoff'!$C$12-SUM($W92:$AF92)-SUMIFS($AG92:$AP92,$AG$4:$AP$4,"&lt;"&amp;AK$4)))</f>
        <v/>
      </c>
      <c r="AV92" s="160">
        <f>AB92+MAX(0,MIN(AL92,'Debt Payoff'!$C$12-SUM($W92:$AF92)-SUMIFS($AG92:$AP92,$AG$4:$AP$4,"&lt;"&amp;AL$4)))</f>
        <v/>
      </c>
      <c r="AW92" s="160">
        <f>AC92+MAX(0,MIN(AM92,'Debt Payoff'!$C$12-SUM($W92:$AF92)-SUMIFS($AG92:$AP92,$AG$4:$AP$4,"&lt;"&amp;AM$4)))</f>
        <v/>
      </c>
      <c r="AX92" s="160">
        <f>AD92+MAX(0,MIN(AN92,'Debt Payoff'!$C$12-SUM($W92:$AF92)-SUMIFS($AG92:$AP92,$AG$4:$AP$4,"&lt;"&amp;AN$4)))</f>
        <v/>
      </c>
      <c r="AY92" s="160">
        <f>AE92+MAX(0,MIN(AO92,'Debt Payoff'!$C$12-SUM($W92:$AF92)-SUMIFS($AG92:$AP92,$AG$4:$AP$4,"&lt;"&amp;AO$4)))</f>
        <v/>
      </c>
      <c r="AZ92" s="160">
        <f>AF92+MAX(0,MIN(AP92,'Debt Payoff'!$C$12-SUM($W92:$AF92)-SUMIFS($AG92:$AP92,$AG$4:$AP$4,"&lt;"&amp;AP$4)))</f>
        <v/>
      </c>
      <c r="BA92" s="160">
        <f>SUM(C92:L92)</f>
        <v/>
      </c>
      <c r="BB92" s="160">
        <f>SUM(AQ92:AZ92)</f>
        <v/>
      </c>
      <c r="BC92" s="160">
        <f>SUM(M92:V92)</f>
        <v/>
      </c>
    </row>
    <row r="93">
      <c r="A93" s="157" t="n">
        <v>88</v>
      </c>
      <c r="B93" s="159">
        <f>EDATE('Debt Payoff'!$C$6,87)</f>
        <v/>
      </c>
      <c r="C93" s="160">
        <f>MAX(0,ROUND(C92+M93-AQ93,2))</f>
        <v/>
      </c>
      <c r="D93" s="160">
        <f>MAX(0,ROUND(D92+N93-AR93,2))</f>
        <v/>
      </c>
      <c r="E93" s="160">
        <f>MAX(0,ROUND(E92+O93-AS93,2))</f>
        <v/>
      </c>
      <c r="F93" s="160">
        <f>MAX(0,ROUND(F92+P93-AT93,2))</f>
        <v/>
      </c>
      <c r="G93" s="160">
        <f>MAX(0,ROUND(G92+Q93-AU93,2))</f>
        <v/>
      </c>
      <c r="H93" s="160">
        <f>MAX(0,ROUND(H92+R93-AV93,2))</f>
        <v/>
      </c>
      <c r="I93" s="160">
        <f>MAX(0,ROUND(I92+S93-AW93,2))</f>
        <v/>
      </c>
      <c r="J93" s="160">
        <f>MAX(0,ROUND(J92+T93-AX93,2))</f>
        <v/>
      </c>
      <c r="K93" s="160">
        <f>MAX(0,ROUND(K92+U93-AY93,2))</f>
        <v/>
      </c>
      <c r="L93" s="160">
        <f>MAX(0,ROUND(L92+V93-AZ93,2))</f>
        <v/>
      </c>
      <c r="M93" s="160">
        <f>C92*N('Debt Payoff'!$D$15)/12</f>
        <v/>
      </c>
      <c r="N93" s="160">
        <f>D92*N('Debt Payoff'!$D$16)/12</f>
        <v/>
      </c>
      <c r="O93" s="160">
        <f>E92*N('Debt Payoff'!$D$17)/12</f>
        <v/>
      </c>
      <c r="P93" s="160">
        <f>F92*N('Debt Payoff'!$D$18)/12</f>
        <v/>
      </c>
      <c r="Q93" s="160">
        <f>G92*N('Debt Payoff'!$D$19)/12</f>
        <v/>
      </c>
      <c r="R93" s="160">
        <f>H92*N('Debt Payoff'!$D$20)/12</f>
        <v/>
      </c>
      <c r="S93" s="160">
        <f>I92*N('Debt Payoff'!$D$21)/12</f>
        <v/>
      </c>
      <c r="T93" s="160">
        <f>J92*N('Debt Payoff'!$D$22)/12</f>
        <v/>
      </c>
      <c r="U93" s="160">
        <f>K92*N('Debt Payoff'!$D$23)/12</f>
        <v/>
      </c>
      <c r="V93" s="160">
        <f>L92*N('Debt Payoff'!$D$24)/12</f>
        <v/>
      </c>
      <c r="W93" s="160">
        <f>MIN(N('Debt Payoff'!$E$15),C92+M93)</f>
        <v/>
      </c>
      <c r="X93" s="160">
        <f>MIN(N('Debt Payoff'!$E$16),D92+N93)</f>
        <v/>
      </c>
      <c r="Y93" s="160">
        <f>MIN(N('Debt Payoff'!$E$17),E92+O93)</f>
        <v/>
      </c>
      <c r="Z93" s="160">
        <f>MIN(N('Debt Payoff'!$E$18),F92+P93)</f>
        <v/>
      </c>
      <c r="AA93" s="160">
        <f>MIN(N('Debt Payoff'!$E$19),G92+Q93)</f>
        <v/>
      </c>
      <c r="AB93" s="160">
        <f>MIN(N('Debt Payoff'!$E$20),H92+R93)</f>
        <v/>
      </c>
      <c r="AC93" s="160">
        <f>MIN(N('Debt Payoff'!$E$21),I92+S93)</f>
        <v/>
      </c>
      <c r="AD93" s="160">
        <f>MIN(N('Debt Payoff'!$E$22),J92+T93)</f>
        <v/>
      </c>
      <c r="AE93" s="160">
        <f>MIN(N('Debt Payoff'!$E$23),K92+U93)</f>
        <v/>
      </c>
      <c r="AF93" s="160">
        <f>MIN(N('Debt Payoff'!$E$24),L92+V93)</f>
        <v/>
      </c>
      <c r="AG93" s="160">
        <f>C92+M93-W93</f>
        <v/>
      </c>
      <c r="AH93" s="160">
        <f>D92+N93-X93</f>
        <v/>
      </c>
      <c r="AI93" s="160">
        <f>E92+O93-Y93</f>
        <v/>
      </c>
      <c r="AJ93" s="160">
        <f>F92+P93-Z93</f>
        <v/>
      </c>
      <c r="AK93" s="160">
        <f>G92+Q93-AA93</f>
        <v/>
      </c>
      <c r="AL93" s="160">
        <f>H92+R93-AB93</f>
        <v/>
      </c>
      <c r="AM93" s="160">
        <f>I92+S93-AC93</f>
        <v/>
      </c>
      <c r="AN93" s="160">
        <f>J92+T93-AD93</f>
        <v/>
      </c>
      <c r="AO93" s="160">
        <f>K92+U93-AE93</f>
        <v/>
      </c>
      <c r="AP93" s="160">
        <f>L92+V93-AF93</f>
        <v/>
      </c>
      <c r="AQ93" s="160">
        <f>W93+MAX(0,MIN(AG93,'Debt Payoff'!$C$12-SUM($W93:$AF93)-SUMIFS($AG93:$AP93,$AG$4:$AP$4,"&lt;"&amp;AG$4)))</f>
        <v/>
      </c>
      <c r="AR93" s="160">
        <f>X93+MAX(0,MIN(AH93,'Debt Payoff'!$C$12-SUM($W93:$AF93)-SUMIFS($AG93:$AP93,$AG$4:$AP$4,"&lt;"&amp;AH$4)))</f>
        <v/>
      </c>
      <c r="AS93" s="160">
        <f>Y93+MAX(0,MIN(AI93,'Debt Payoff'!$C$12-SUM($W93:$AF93)-SUMIFS($AG93:$AP93,$AG$4:$AP$4,"&lt;"&amp;AI$4)))</f>
        <v/>
      </c>
      <c r="AT93" s="160">
        <f>Z93+MAX(0,MIN(AJ93,'Debt Payoff'!$C$12-SUM($W93:$AF93)-SUMIFS($AG93:$AP93,$AG$4:$AP$4,"&lt;"&amp;AJ$4)))</f>
        <v/>
      </c>
      <c r="AU93" s="160">
        <f>AA93+MAX(0,MIN(AK93,'Debt Payoff'!$C$12-SUM($W93:$AF93)-SUMIFS($AG93:$AP93,$AG$4:$AP$4,"&lt;"&amp;AK$4)))</f>
        <v/>
      </c>
      <c r="AV93" s="160">
        <f>AB93+MAX(0,MIN(AL93,'Debt Payoff'!$C$12-SUM($W93:$AF93)-SUMIFS($AG93:$AP93,$AG$4:$AP$4,"&lt;"&amp;AL$4)))</f>
        <v/>
      </c>
      <c r="AW93" s="160">
        <f>AC93+MAX(0,MIN(AM93,'Debt Payoff'!$C$12-SUM($W93:$AF93)-SUMIFS($AG93:$AP93,$AG$4:$AP$4,"&lt;"&amp;AM$4)))</f>
        <v/>
      </c>
      <c r="AX93" s="160">
        <f>AD93+MAX(0,MIN(AN93,'Debt Payoff'!$C$12-SUM($W93:$AF93)-SUMIFS($AG93:$AP93,$AG$4:$AP$4,"&lt;"&amp;AN$4)))</f>
        <v/>
      </c>
      <c r="AY93" s="160">
        <f>AE93+MAX(0,MIN(AO93,'Debt Payoff'!$C$12-SUM($W93:$AF93)-SUMIFS($AG93:$AP93,$AG$4:$AP$4,"&lt;"&amp;AO$4)))</f>
        <v/>
      </c>
      <c r="AZ93" s="160">
        <f>AF93+MAX(0,MIN(AP93,'Debt Payoff'!$C$12-SUM($W93:$AF93)-SUMIFS($AG93:$AP93,$AG$4:$AP$4,"&lt;"&amp;AP$4)))</f>
        <v/>
      </c>
      <c r="BA93" s="160">
        <f>SUM(C93:L93)</f>
        <v/>
      </c>
      <c r="BB93" s="160">
        <f>SUM(AQ93:AZ93)</f>
        <v/>
      </c>
      <c r="BC93" s="160">
        <f>SUM(M93:V93)</f>
        <v/>
      </c>
    </row>
    <row r="94">
      <c r="A94" s="157" t="n">
        <v>89</v>
      </c>
      <c r="B94" s="159">
        <f>EDATE('Debt Payoff'!$C$6,88)</f>
        <v/>
      </c>
      <c r="C94" s="160">
        <f>MAX(0,ROUND(C93+M94-AQ94,2))</f>
        <v/>
      </c>
      <c r="D94" s="160">
        <f>MAX(0,ROUND(D93+N94-AR94,2))</f>
        <v/>
      </c>
      <c r="E94" s="160">
        <f>MAX(0,ROUND(E93+O94-AS94,2))</f>
        <v/>
      </c>
      <c r="F94" s="160">
        <f>MAX(0,ROUND(F93+P94-AT94,2))</f>
        <v/>
      </c>
      <c r="G94" s="160">
        <f>MAX(0,ROUND(G93+Q94-AU94,2))</f>
        <v/>
      </c>
      <c r="H94" s="160">
        <f>MAX(0,ROUND(H93+R94-AV94,2))</f>
        <v/>
      </c>
      <c r="I94" s="160">
        <f>MAX(0,ROUND(I93+S94-AW94,2))</f>
        <v/>
      </c>
      <c r="J94" s="160">
        <f>MAX(0,ROUND(J93+T94-AX94,2))</f>
        <v/>
      </c>
      <c r="K94" s="160">
        <f>MAX(0,ROUND(K93+U94-AY94,2))</f>
        <v/>
      </c>
      <c r="L94" s="160">
        <f>MAX(0,ROUND(L93+V94-AZ94,2))</f>
        <v/>
      </c>
      <c r="M94" s="160">
        <f>C93*N('Debt Payoff'!$D$15)/12</f>
        <v/>
      </c>
      <c r="N94" s="160">
        <f>D93*N('Debt Payoff'!$D$16)/12</f>
        <v/>
      </c>
      <c r="O94" s="160">
        <f>E93*N('Debt Payoff'!$D$17)/12</f>
        <v/>
      </c>
      <c r="P94" s="160">
        <f>F93*N('Debt Payoff'!$D$18)/12</f>
        <v/>
      </c>
      <c r="Q94" s="160">
        <f>G93*N('Debt Payoff'!$D$19)/12</f>
        <v/>
      </c>
      <c r="R94" s="160">
        <f>H93*N('Debt Payoff'!$D$20)/12</f>
        <v/>
      </c>
      <c r="S94" s="160">
        <f>I93*N('Debt Payoff'!$D$21)/12</f>
        <v/>
      </c>
      <c r="T94" s="160">
        <f>J93*N('Debt Payoff'!$D$22)/12</f>
        <v/>
      </c>
      <c r="U94" s="160">
        <f>K93*N('Debt Payoff'!$D$23)/12</f>
        <v/>
      </c>
      <c r="V94" s="160">
        <f>L93*N('Debt Payoff'!$D$24)/12</f>
        <v/>
      </c>
      <c r="W94" s="160">
        <f>MIN(N('Debt Payoff'!$E$15),C93+M94)</f>
        <v/>
      </c>
      <c r="X94" s="160">
        <f>MIN(N('Debt Payoff'!$E$16),D93+N94)</f>
        <v/>
      </c>
      <c r="Y94" s="160">
        <f>MIN(N('Debt Payoff'!$E$17),E93+O94)</f>
        <v/>
      </c>
      <c r="Z94" s="160">
        <f>MIN(N('Debt Payoff'!$E$18),F93+P94)</f>
        <v/>
      </c>
      <c r="AA94" s="160">
        <f>MIN(N('Debt Payoff'!$E$19),G93+Q94)</f>
        <v/>
      </c>
      <c r="AB94" s="160">
        <f>MIN(N('Debt Payoff'!$E$20),H93+R94)</f>
        <v/>
      </c>
      <c r="AC94" s="160">
        <f>MIN(N('Debt Payoff'!$E$21),I93+S94)</f>
        <v/>
      </c>
      <c r="AD94" s="160">
        <f>MIN(N('Debt Payoff'!$E$22),J93+T94)</f>
        <v/>
      </c>
      <c r="AE94" s="160">
        <f>MIN(N('Debt Payoff'!$E$23),K93+U94)</f>
        <v/>
      </c>
      <c r="AF94" s="160">
        <f>MIN(N('Debt Payoff'!$E$24),L93+V94)</f>
        <v/>
      </c>
      <c r="AG94" s="160">
        <f>C93+M94-W94</f>
        <v/>
      </c>
      <c r="AH94" s="160">
        <f>D93+N94-X94</f>
        <v/>
      </c>
      <c r="AI94" s="160">
        <f>E93+O94-Y94</f>
        <v/>
      </c>
      <c r="AJ94" s="160">
        <f>F93+P94-Z94</f>
        <v/>
      </c>
      <c r="AK94" s="160">
        <f>G93+Q94-AA94</f>
        <v/>
      </c>
      <c r="AL94" s="160">
        <f>H93+R94-AB94</f>
        <v/>
      </c>
      <c r="AM94" s="160">
        <f>I93+S94-AC94</f>
        <v/>
      </c>
      <c r="AN94" s="160">
        <f>J93+T94-AD94</f>
        <v/>
      </c>
      <c r="AO94" s="160">
        <f>K93+U94-AE94</f>
        <v/>
      </c>
      <c r="AP94" s="160">
        <f>L93+V94-AF94</f>
        <v/>
      </c>
      <c r="AQ94" s="160">
        <f>W94+MAX(0,MIN(AG94,'Debt Payoff'!$C$12-SUM($W94:$AF94)-SUMIFS($AG94:$AP94,$AG$4:$AP$4,"&lt;"&amp;AG$4)))</f>
        <v/>
      </c>
      <c r="AR94" s="160">
        <f>X94+MAX(0,MIN(AH94,'Debt Payoff'!$C$12-SUM($W94:$AF94)-SUMIFS($AG94:$AP94,$AG$4:$AP$4,"&lt;"&amp;AH$4)))</f>
        <v/>
      </c>
      <c r="AS94" s="160">
        <f>Y94+MAX(0,MIN(AI94,'Debt Payoff'!$C$12-SUM($W94:$AF94)-SUMIFS($AG94:$AP94,$AG$4:$AP$4,"&lt;"&amp;AI$4)))</f>
        <v/>
      </c>
      <c r="AT94" s="160">
        <f>Z94+MAX(0,MIN(AJ94,'Debt Payoff'!$C$12-SUM($W94:$AF94)-SUMIFS($AG94:$AP94,$AG$4:$AP$4,"&lt;"&amp;AJ$4)))</f>
        <v/>
      </c>
      <c r="AU94" s="160">
        <f>AA94+MAX(0,MIN(AK94,'Debt Payoff'!$C$12-SUM($W94:$AF94)-SUMIFS($AG94:$AP94,$AG$4:$AP$4,"&lt;"&amp;AK$4)))</f>
        <v/>
      </c>
      <c r="AV94" s="160">
        <f>AB94+MAX(0,MIN(AL94,'Debt Payoff'!$C$12-SUM($W94:$AF94)-SUMIFS($AG94:$AP94,$AG$4:$AP$4,"&lt;"&amp;AL$4)))</f>
        <v/>
      </c>
      <c r="AW94" s="160">
        <f>AC94+MAX(0,MIN(AM94,'Debt Payoff'!$C$12-SUM($W94:$AF94)-SUMIFS($AG94:$AP94,$AG$4:$AP$4,"&lt;"&amp;AM$4)))</f>
        <v/>
      </c>
      <c r="AX94" s="160">
        <f>AD94+MAX(0,MIN(AN94,'Debt Payoff'!$C$12-SUM($W94:$AF94)-SUMIFS($AG94:$AP94,$AG$4:$AP$4,"&lt;"&amp;AN$4)))</f>
        <v/>
      </c>
      <c r="AY94" s="160">
        <f>AE94+MAX(0,MIN(AO94,'Debt Payoff'!$C$12-SUM($W94:$AF94)-SUMIFS($AG94:$AP94,$AG$4:$AP$4,"&lt;"&amp;AO$4)))</f>
        <v/>
      </c>
      <c r="AZ94" s="160">
        <f>AF94+MAX(0,MIN(AP94,'Debt Payoff'!$C$12-SUM($W94:$AF94)-SUMIFS($AG94:$AP94,$AG$4:$AP$4,"&lt;"&amp;AP$4)))</f>
        <v/>
      </c>
      <c r="BA94" s="160">
        <f>SUM(C94:L94)</f>
        <v/>
      </c>
      <c r="BB94" s="160">
        <f>SUM(AQ94:AZ94)</f>
        <v/>
      </c>
      <c r="BC94" s="160">
        <f>SUM(M94:V94)</f>
        <v/>
      </c>
    </row>
    <row r="95">
      <c r="A95" s="157" t="n">
        <v>90</v>
      </c>
      <c r="B95" s="159">
        <f>EDATE('Debt Payoff'!$C$6,89)</f>
        <v/>
      </c>
      <c r="C95" s="160">
        <f>MAX(0,ROUND(C94+M95-AQ95,2))</f>
        <v/>
      </c>
      <c r="D95" s="160">
        <f>MAX(0,ROUND(D94+N95-AR95,2))</f>
        <v/>
      </c>
      <c r="E95" s="160">
        <f>MAX(0,ROUND(E94+O95-AS95,2))</f>
        <v/>
      </c>
      <c r="F95" s="160">
        <f>MAX(0,ROUND(F94+P95-AT95,2))</f>
        <v/>
      </c>
      <c r="G95" s="160">
        <f>MAX(0,ROUND(G94+Q95-AU95,2))</f>
        <v/>
      </c>
      <c r="H95" s="160">
        <f>MAX(0,ROUND(H94+R95-AV95,2))</f>
        <v/>
      </c>
      <c r="I95" s="160">
        <f>MAX(0,ROUND(I94+S95-AW95,2))</f>
        <v/>
      </c>
      <c r="J95" s="160">
        <f>MAX(0,ROUND(J94+T95-AX95,2))</f>
        <v/>
      </c>
      <c r="K95" s="160">
        <f>MAX(0,ROUND(K94+U95-AY95,2))</f>
        <v/>
      </c>
      <c r="L95" s="160">
        <f>MAX(0,ROUND(L94+V95-AZ95,2))</f>
        <v/>
      </c>
      <c r="M95" s="160">
        <f>C94*N('Debt Payoff'!$D$15)/12</f>
        <v/>
      </c>
      <c r="N95" s="160">
        <f>D94*N('Debt Payoff'!$D$16)/12</f>
        <v/>
      </c>
      <c r="O95" s="160">
        <f>E94*N('Debt Payoff'!$D$17)/12</f>
        <v/>
      </c>
      <c r="P95" s="160">
        <f>F94*N('Debt Payoff'!$D$18)/12</f>
        <v/>
      </c>
      <c r="Q95" s="160">
        <f>G94*N('Debt Payoff'!$D$19)/12</f>
        <v/>
      </c>
      <c r="R95" s="160">
        <f>H94*N('Debt Payoff'!$D$20)/12</f>
        <v/>
      </c>
      <c r="S95" s="160">
        <f>I94*N('Debt Payoff'!$D$21)/12</f>
        <v/>
      </c>
      <c r="T95" s="160">
        <f>J94*N('Debt Payoff'!$D$22)/12</f>
        <v/>
      </c>
      <c r="U95" s="160">
        <f>K94*N('Debt Payoff'!$D$23)/12</f>
        <v/>
      </c>
      <c r="V95" s="160">
        <f>L94*N('Debt Payoff'!$D$24)/12</f>
        <v/>
      </c>
      <c r="W95" s="160">
        <f>MIN(N('Debt Payoff'!$E$15),C94+M95)</f>
        <v/>
      </c>
      <c r="X95" s="160">
        <f>MIN(N('Debt Payoff'!$E$16),D94+N95)</f>
        <v/>
      </c>
      <c r="Y95" s="160">
        <f>MIN(N('Debt Payoff'!$E$17),E94+O95)</f>
        <v/>
      </c>
      <c r="Z95" s="160">
        <f>MIN(N('Debt Payoff'!$E$18),F94+P95)</f>
        <v/>
      </c>
      <c r="AA95" s="160">
        <f>MIN(N('Debt Payoff'!$E$19),G94+Q95)</f>
        <v/>
      </c>
      <c r="AB95" s="160">
        <f>MIN(N('Debt Payoff'!$E$20),H94+R95)</f>
        <v/>
      </c>
      <c r="AC95" s="160">
        <f>MIN(N('Debt Payoff'!$E$21),I94+S95)</f>
        <v/>
      </c>
      <c r="AD95" s="160">
        <f>MIN(N('Debt Payoff'!$E$22),J94+T95)</f>
        <v/>
      </c>
      <c r="AE95" s="160">
        <f>MIN(N('Debt Payoff'!$E$23),K94+U95)</f>
        <v/>
      </c>
      <c r="AF95" s="160">
        <f>MIN(N('Debt Payoff'!$E$24),L94+V95)</f>
        <v/>
      </c>
      <c r="AG95" s="160">
        <f>C94+M95-W95</f>
        <v/>
      </c>
      <c r="AH95" s="160">
        <f>D94+N95-X95</f>
        <v/>
      </c>
      <c r="AI95" s="160">
        <f>E94+O95-Y95</f>
        <v/>
      </c>
      <c r="AJ95" s="160">
        <f>F94+P95-Z95</f>
        <v/>
      </c>
      <c r="AK95" s="160">
        <f>G94+Q95-AA95</f>
        <v/>
      </c>
      <c r="AL95" s="160">
        <f>H94+R95-AB95</f>
        <v/>
      </c>
      <c r="AM95" s="160">
        <f>I94+S95-AC95</f>
        <v/>
      </c>
      <c r="AN95" s="160">
        <f>J94+T95-AD95</f>
        <v/>
      </c>
      <c r="AO95" s="160">
        <f>K94+U95-AE95</f>
        <v/>
      </c>
      <c r="AP95" s="160">
        <f>L94+V95-AF95</f>
        <v/>
      </c>
      <c r="AQ95" s="160">
        <f>W95+MAX(0,MIN(AG95,'Debt Payoff'!$C$12-SUM($W95:$AF95)-SUMIFS($AG95:$AP95,$AG$4:$AP$4,"&lt;"&amp;AG$4)))</f>
        <v/>
      </c>
      <c r="AR95" s="160">
        <f>X95+MAX(0,MIN(AH95,'Debt Payoff'!$C$12-SUM($W95:$AF95)-SUMIFS($AG95:$AP95,$AG$4:$AP$4,"&lt;"&amp;AH$4)))</f>
        <v/>
      </c>
      <c r="AS95" s="160">
        <f>Y95+MAX(0,MIN(AI95,'Debt Payoff'!$C$12-SUM($W95:$AF95)-SUMIFS($AG95:$AP95,$AG$4:$AP$4,"&lt;"&amp;AI$4)))</f>
        <v/>
      </c>
      <c r="AT95" s="160">
        <f>Z95+MAX(0,MIN(AJ95,'Debt Payoff'!$C$12-SUM($W95:$AF95)-SUMIFS($AG95:$AP95,$AG$4:$AP$4,"&lt;"&amp;AJ$4)))</f>
        <v/>
      </c>
      <c r="AU95" s="160">
        <f>AA95+MAX(0,MIN(AK95,'Debt Payoff'!$C$12-SUM($W95:$AF95)-SUMIFS($AG95:$AP95,$AG$4:$AP$4,"&lt;"&amp;AK$4)))</f>
        <v/>
      </c>
      <c r="AV95" s="160">
        <f>AB95+MAX(0,MIN(AL95,'Debt Payoff'!$C$12-SUM($W95:$AF95)-SUMIFS($AG95:$AP95,$AG$4:$AP$4,"&lt;"&amp;AL$4)))</f>
        <v/>
      </c>
      <c r="AW95" s="160">
        <f>AC95+MAX(0,MIN(AM95,'Debt Payoff'!$C$12-SUM($W95:$AF95)-SUMIFS($AG95:$AP95,$AG$4:$AP$4,"&lt;"&amp;AM$4)))</f>
        <v/>
      </c>
      <c r="AX95" s="160">
        <f>AD95+MAX(0,MIN(AN95,'Debt Payoff'!$C$12-SUM($W95:$AF95)-SUMIFS($AG95:$AP95,$AG$4:$AP$4,"&lt;"&amp;AN$4)))</f>
        <v/>
      </c>
      <c r="AY95" s="160">
        <f>AE95+MAX(0,MIN(AO95,'Debt Payoff'!$C$12-SUM($W95:$AF95)-SUMIFS($AG95:$AP95,$AG$4:$AP$4,"&lt;"&amp;AO$4)))</f>
        <v/>
      </c>
      <c r="AZ95" s="160">
        <f>AF95+MAX(0,MIN(AP95,'Debt Payoff'!$C$12-SUM($W95:$AF95)-SUMIFS($AG95:$AP95,$AG$4:$AP$4,"&lt;"&amp;AP$4)))</f>
        <v/>
      </c>
      <c r="BA95" s="160">
        <f>SUM(C95:L95)</f>
        <v/>
      </c>
      <c r="BB95" s="160">
        <f>SUM(AQ95:AZ95)</f>
        <v/>
      </c>
      <c r="BC95" s="160">
        <f>SUM(M95:V95)</f>
        <v/>
      </c>
    </row>
    <row r="96">
      <c r="A96" s="157" t="n">
        <v>91</v>
      </c>
      <c r="B96" s="159">
        <f>EDATE('Debt Payoff'!$C$6,90)</f>
        <v/>
      </c>
      <c r="C96" s="160">
        <f>MAX(0,ROUND(C95+M96-AQ96,2))</f>
        <v/>
      </c>
      <c r="D96" s="160">
        <f>MAX(0,ROUND(D95+N96-AR96,2))</f>
        <v/>
      </c>
      <c r="E96" s="160">
        <f>MAX(0,ROUND(E95+O96-AS96,2))</f>
        <v/>
      </c>
      <c r="F96" s="160">
        <f>MAX(0,ROUND(F95+P96-AT96,2))</f>
        <v/>
      </c>
      <c r="G96" s="160">
        <f>MAX(0,ROUND(G95+Q96-AU96,2))</f>
        <v/>
      </c>
      <c r="H96" s="160">
        <f>MAX(0,ROUND(H95+R96-AV96,2))</f>
        <v/>
      </c>
      <c r="I96" s="160">
        <f>MAX(0,ROUND(I95+S96-AW96,2))</f>
        <v/>
      </c>
      <c r="J96" s="160">
        <f>MAX(0,ROUND(J95+T96-AX96,2))</f>
        <v/>
      </c>
      <c r="K96" s="160">
        <f>MAX(0,ROUND(K95+U96-AY96,2))</f>
        <v/>
      </c>
      <c r="L96" s="160">
        <f>MAX(0,ROUND(L95+V96-AZ96,2))</f>
        <v/>
      </c>
      <c r="M96" s="160">
        <f>C95*N('Debt Payoff'!$D$15)/12</f>
        <v/>
      </c>
      <c r="N96" s="160">
        <f>D95*N('Debt Payoff'!$D$16)/12</f>
        <v/>
      </c>
      <c r="O96" s="160">
        <f>E95*N('Debt Payoff'!$D$17)/12</f>
        <v/>
      </c>
      <c r="P96" s="160">
        <f>F95*N('Debt Payoff'!$D$18)/12</f>
        <v/>
      </c>
      <c r="Q96" s="160">
        <f>G95*N('Debt Payoff'!$D$19)/12</f>
        <v/>
      </c>
      <c r="R96" s="160">
        <f>H95*N('Debt Payoff'!$D$20)/12</f>
        <v/>
      </c>
      <c r="S96" s="160">
        <f>I95*N('Debt Payoff'!$D$21)/12</f>
        <v/>
      </c>
      <c r="T96" s="160">
        <f>J95*N('Debt Payoff'!$D$22)/12</f>
        <v/>
      </c>
      <c r="U96" s="160">
        <f>K95*N('Debt Payoff'!$D$23)/12</f>
        <v/>
      </c>
      <c r="V96" s="160">
        <f>L95*N('Debt Payoff'!$D$24)/12</f>
        <v/>
      </c>
      <c r="W96" s="160">
        <f>MIN(N('Debt Payoff'!$E$15),C95+M96)</f>
        <v/>
      </c>
      <c r="X96" s="160">
        <f>MIN(N('Debt Payoff'!$E$16),D95+N96)</f>
        <v/>
      </c>
      <c r="Y96" s="160">
        <f>MIN(N('Debt Payoff'!$E$17),E95+O96)</f>
        <v/>
      </c>
      <c r="Z96" s="160">
        <f>MIN(N('Debt Payoff'!$E$18),F95+P96)</f>
        <v/>
      </c>
      <c r="AA96" s="160">
        <f>MIN(N('Debt Payoff'!$E$19),G95+Q96)</f>
        <v/>
      </c>
      <c r="AB96" s="160">
        <f>MIN(N('Debt Payoff'!$E$20),H95+R96)</f>
        <v/>
      </c>
      <c r="AC96" s="160">
        <f>MIN(N('Debt Payoff'!$E$21),I95+S96)</f>
        <v/>
      </c>
      <c r="AD96" s="160">
        <f>MIN(N('Debt Payoff'!$E$22),J95+T96)</f>
        <v/>
      </c>
      <c r="AE96" s="160">
        <f>MIN(N('Debt Payoff'!$E$23),K95+U96)</f>
        <v/>
      </c>
      <c r="AF96" s="160">
        <f>MIN(N('Debt Payoff'!$E$24),L95+V96)</f>
        <v/>
      </c>
      <c r="AG96" s="160">
        <f>C95+M96-W96</f>
        <v/>
      </c>
      <c r="AH96" s="160">
        <f>D95+N96-X96</f>
        <v/>
      </c>
      <c r="AI96" s="160">
        <f>E95+O96-Y96</f>
        <v/>
      </c>
      <c r="AJ96" s="160">
        <f>F95+P96-Z96</f>
        <v/>
      </c>
      <c r="AK96" s="160">
        <f>G95+Q96-AA96</f>
        <v/>
      </c>
      <c r="AL96" s="160">
        <f>H95+R96-AB96</f>
        <v/>
      </c>
      <c r="AM96" s="160">
        <f>I95+S96-AC96</f>
        <v/>
      </c>
      <c r="AN96" s="160">
        <f>J95+T96-AD96</f>
        <v/>
      </c>
      <c r="AO96" s="160">
        <f>K95+U96-AE96</f>
        <v/>
      </c>
      <c r="AP96" s="160">
        <f>L95+V96-AF96</f>
        <v/>
      </c>
      <c r="AQ96" s="160">
        <f>W96+MAX(0,MIN(AG96,'Debt Payoff'!$C$12-SUM($W96:$AF96)-SUMIFS($AG96:$AP96,$AG$4:$AP$4,"&lt;"&amp;AG$4)))</f>
        <v/>
      </c>
      <c r="AR96" s="160">
        <f>X96+MAX(0,MIN(AH96,'Debt Payoff'!$C$12-SUM($W96:$AF96)-SUMIFS($AG96:$AP96,$AG$4:$AP$4,"&lt;"&amp;AH$4)))</f>
        <v/>
      </c>
      <c r="AS96" s="160">
        <f>Y96+MAX(0,MIN(AI96,'Debt Payoff'!$C$12-SUM($W96:$AF96)-SUMIFS($AG96:$AP96,$AG$4:$AP$4,"&lt;"&amp;AI$4)))</f>
        <v/>
      </c>
      <c r="AT96" s="160">
        <f>Z96+MAX(0,MIN(AJ96,'Debt Payoff'!$C$12-SUM($W96:$AF96)-SUMIFS($AG96:$AP96,$AG$4:$AP$4,"&lt;"&amp;AJ$4)))</f>
        <v/>
      </c>
      <c r="AU96" s="160">
        <f>AA96+MAX(0,MIN(AK96,'Debt Payoff'!$C$12-SUM($W96:$AF96)-SUMIFS($AG96:$AP96,$AG$4:$AP$4,"&lt;"&amp;AK$4)))</f>
        <v/>
      </c>
      <c r="AV96" s="160">
        <f>AB96+MAX(0,MIN(AL96,'Debt Payoff'!$C$12-SUM($W96:$AF96)-SUMIFS($AG96:$AP96,$AG$4:$AP$4,"&lt;"&amp;AL$4)))</f>
        <v/>
      </c>
      <c r="AW96" s="160">
        <f>AC96+MAX(0,MIN(AM96,'Debt Payoff'!$C$12-SUM($W96:$AF96)-SUMIFS($AG96:$AP96,$AG$4:$AP$4,"&lt;"&amp;AM$4)))</f>
        <v/>
      </c>
      <c r="AX96" s="160">
        <f>AD96+MAX(0,MIN(AN96,'Debt Payoff'!$C$12-SUM($W96:$AF96)-SUMIFS($AG96:$AP96,$AG$4:$AP$4,"&lt;"&amp;AN$4)))</f>
        <v/>
      </c>
      <c r="AY96" s="160">
        <f>AE96+MAX(0,MIN(AO96,'Debt Payoff'!$C$12-SUM($W96:$AF96)-SUMIFS($AG96:$AP96,$AG$4:$AP$4,"&lt;"&amp;AO$4)))</f>
        <v/>
      </c>
      <c r="AZ96" s="160">
        <f>AF96+MAX(0,MIN(AP96,'Debt Payoff'!$C$12-SUM($W96:$AF96)-SUMIFS($AG96:$AP96,$AG$4:$AP$4,"&lt;"&amp;AP$4)))</f>
        <v/>
      </c>
      <c r="BA96" s="160">
        <f>SUM(C96:L96)</f>
        <v/>
      </c>
      <c r="BB96" s="160">
        <f>SUM(AQ96:AZ96)</f>
        <v/>
      </c>
      <c r="BC96" s="160">
        <f>SUM(M96:V96)</f>
        <v/>
      </c>
    </row>
    <row r="97">
      <c r="A97" s="157" t="n">
        <v>92</v>
      </c>
      <c r="B97" s="159">
        <f>EDATE('Debt Payoff'!$C$6,91)</f>
        <v/>
      </c>
      <c r="C97" s="160">
        <f>MAX(0,ROUND(C96+M97-AQ97,2))</f>
        <v/>
      </c>
      <c r="D97" s="160">
        <f>MAX(0,ROUND(D96+N97-AR97,2))</f>
        <v/>
      </c>
      <c r="E97" s="160">
        <f>MAX(0,ROUND(E96+O97-AS97,2))</f>
        <v/>
      </c>
      <c r="F97" s="160">
        <f>MAX(0,ROUND(F96+P97-AT97,2))</f>
        <v/>
      </c>
      <c r="G97" s="160">
        <f>MAX(0,ROUND(G96+Q97-AU97,2))</f>
        <v/>
      </c>
      <c r="H97" s="160">
        <f>MAX(0,ROUND(H96+R97-AV97,2))</f>
        <v/>
      </c>
      <c r="I97" s="160">
        <f>MAX(0,ROUND(I96+S97-AW97,2))</f>
        <v/>
      </c>
      <c r="J97" s="160">
        <f>MAX(0,ROUND(J96+T97-AX97,2))</f>
        <v/>
      </c>
      <c r="K97" s="160">
        <f>MAX(0,ROUND(K96+U97-AY97,2))</f>
        <v/>
      </c>
      <c r="L97" s="160">
        <f>MAX(0,ROUND(L96+V97-AZ97,2))</f>
        <v/>
      </c>
      <c r="M97" s="160">
        <f>C96*N('Debt Payoff'!$D$15)/12</f>
        <v/>
      </c>
      <c r="N97" s="160">
        <f>D96*N('Debt Payoff'!$D$16)/12</f>
        <v/>
      </c>
      <c r="O97" s="160">
        <f>E96*N('Debt Payoff'!$D$17)/12</f>
        <v/>
      </c>
      <c r="P97" s="160">
        <f>F96*N('Debt Payoff'!$D$18)/12</f>
        <v/>
      </c>
      <c r="Q97" s="160">
        <f>G96*N('Debt Payoff'!$D$19)/12</f>
        <v/>
      </c>
      <c r="R97" s="160">
        <f>H96*N('Debt Payoff'!$D$20)/12</f>
        <v/>
      </c>
      <c r="S97" s="160">
        <f>I96*N('Debt Payoff'!$D$21)/12</f>
        <v/>
      </c>
      <c r="T97" s="160">
        <f>J96*N('Debt Payoff'!$D$22)/12</f>
        <v/>
      </c>
      <c r="U97" s="160">
        <f>K96*N('Debt Payoff'!$D$23)/12</f>
        <v/>
      </c>
      <c r="V97" s="160">
        <f>L96*N('Debt Payoff'!$D$24)/12</f>
        <v/>
      </c>
      <c r="W97" s="160">
        <f>MIN(N('Debt Payoff'!$E$15),C96+M97)</f>
        <v/>
      </c>
      <c r="X97" s="160">
        <f>MIN(N('Debt Payoff'!$E$16),D96+N97)</f>
        <v/>
      </c>
      <c r="Y97" s="160">
        <f>MIN(N('Debt Payoff'!$E$17),E96+O97)</f>
        <v/>
      </c>
      <c r="Z97" s="160">
        <f>MIN(N('Debt Payoff'!$E$18),F96+P97)</f>
        <v/>
      </c>
      <c r="AA97" s="160">
        <f>MIN(N('Debt Payoff'!$E$19),G96+Q97)</f>
        <v/>
      </c>
      <c r="AB97" s="160">
        <f>MIN(N('Debt Payoff'!$E$20),H96+R97)</f>
        <v/>
      </c>
      <c r="AC97" s="160">
        <f>MIN(N('Debt Payoff'!$E$21),I96+S97)</f>
        <v/>
      </c>
      <c r="AD97" s="160">
        <f>MIN(N('Debt Payoff'!$E$22),J96+T97)</f>
        <v/>
      </c>
      <c r="AE97" s="160">
        <f>MIN(N('Debt Payoff'!$E$23),K96+U97)</f>
        <v/>
      </c>
      <c r="AF97" s="160">
        <f>MIN(N('Debt Payoff'!$E$24),L96+V97)</f>
        <v/>
      </c>
      <c r="AG97" s="160">
        <f>C96+M97-W97</f>
        <v/>
      </c>
      <c r="AH97" s="160">
        <f>D96+N97-X97</f>
        <v/>
      </c>
      <c r="AI97" s="160">
        <f>E96+O97-Y97</f>
        <v/>
      </c>
      <c r="AJ97" s="160">
        <f>F96+P97-Z97</f>
        <v/>
      </c>
      <c r="AK97" s="160">
        <f>G96+Q97-AA97</f>
        <v/>
      </c>
      <c r="AL97" s="160">
        <f>H96+R97-AB97</f>
        <v/>
      </c>
      <c r="AM97" s="160">
        <f>I96+S97-AC97</f>
        <v/>
      </c>
      <c r="AN97" s="160">
        <f>J96+T97-AD97</f>
        <v/>
      </c>
      <c r="AO97" s="160">
        <f>K96+U97-AE97</f>
        <v/>
      </c>
      <c r="AP97" s="160">
        <f>L96+V97-AF97</f>
        <v/>
      </c>
      <c r="AQ97" s="160">
        <f>W97+MAX(0,MIN(AG97,'Debt Payoff'!$C$12-SUM($W97:$AF97)-SUMIFS($AG97:$AP97,$AG$4:$AP$4,"&lt;"&amp;AG$4)))</f>
        <v/>
      </c>
      <c r="AR97" s="160">
        <f>X97+MAX(0,MIN(AH97,'Debt Payoff'!$C$12-SUM($W97:$AF97)-SUMIFS($AG97:$AP97,$AG$4:$AP$4,"&lt;"&amp;AH$4)))</f>
        <v/>
      </c>
      <c r="AS97" s="160">
        <f>Y97+MAX(0,MIN(AI97,'Debt Payoff'!$C$12-SUM($W97:$AF97)-SUMIFS($AG97:$AP97,$AG$4:$AP$4,"&lt;"&amp;AI$4)))</f>
        <v/>
      </c>
      <c r="AT97" s="160">
        <f>Z97+MAX(0,MIN(AJ97,'Debt Payoff'!$C$12-SUM($W97:$AF97)-SUMIFS($AG97:$AP97,$AG$4:$AP$4,"&lt;"&amp;AJ$4)))</f>
        <v/>
      </c>
      <c r="AU97" s="160">
        <f>AA97+MAX(0,MIN(AK97,'Debt Payoff'!$C$12-SUM($W97:$AF97)-SUMIFS($AG97:$AP97,$AG$4:$AP$4,"&lt;"&amp;AK$4)))</f>
        <v/>
      </c>
      <c r="AV97" s="160">
        <f>AB97+MAX(0,MIN(AL97,'Debt Payoff'!$C$12-SUM($W97:$AF97)-SUMIFS($AG97:$AP97,$AG$4:$AP$4,"&lt;"&amp;AL$4)))</f>
        <v/>
      </c>
      <c r="AW97" s="160">
        <f>AC97+MAX(0,MIN(AM97,'Debt Payoff'!$C$12-SUM($W97:$AF97)-SUMIFS($AG97:$AP97,$AG$4:$AP$4,"&lt;"&amp;AM$4)))</f>
        <v/>
      </c>
      <c r="AX97" s="160">
        <f>AD97+MAX(0,MIN(AN97,'Debt Payoff'!$C$12-SUM($W97:$AF97)-SUMIFS($AG97:$AP97,$AG$4:$AP$4,"&lt;"&amp;AN$4)))</f>
        <v/>
      </c>
      <c r="AY97" s="160">
        <f>AE97+MAX(0,MIN(AO97,'Debt Payoff'!$C$12-SUM($W97:$AF97)-SUMIFS($AG97:$AP97,$AG$4:$AP$4,"&lt;"&amp;AO$4)))</f>
        <v/>
      </c>
      <c r="AZ97" s="160">
        <f>AF97+MAX(0,MIN(AP97,'Debt Payoff'!$C$12-SUM($W97:$AF97)-SUMIFS($AG97:$AP97,$AG$4:$AP$4,"&lt;"&amp;AP$4)))</f>
        <v/>
      </c>
      <c r="BA97" s="160">
        <f>SUM(C97:L97)</f>
        <v/>
      </c>
      <c r="BB97" s="160">
        <f>SUM(AQ97:AZ97)</f>
        <v/>
      </c>
      <c r="BC97" s="160">
        <f>SUM(M97:V97)</f>
        <v/>
      </c>
    </row>
    <row r="98">
      <c r="A98" s="157" t="n">
        <v>93</v>
      </c>
      <c r="B98" s="159">
        <f>EDATE('Debt Payoff'!$C$6,92)</f>
        <v/>
      </c>
      <c r="C98" s="160">
        <f>MAX(0,ROUND(C97+M98-AQ98,2))</f>
        <v/>
      </c>
      <c r="D98" s="160">
        <f>MAX(0,ROUND(D97+N98-AR98,2))</f>
        <v/>
      </c>
      <c r="E98" s="160">
        <f>MAX(0,ROUND(E97+O98-AS98,2))</f>
        <v/>
      </c>
      <c r="F98" s="160">
        <f>MAX(0,ROUND(F97+P98-AT98,2))</f>
        <v/>
      </c>
      <c r="G98" s="160">
        <f>MAX(0,ROUND(G97+Q98-AU98,2))</f>
        <v/>
      </c>
      <c r="H98" s="160">
        <f>MAX(0,ROUND(H97+R98-AV98,2))</f>
        <v/>
      </c>
      <c r="I98" s="160">
        <f>MAX(0,ROUND(I97+S98-AW98,2))</f>
        <v/>
      </c>
      <c r="J98" s="160">
        <f>MAX(0,ROUND(J97+T98-AX98,2))</f>
        <v/>
      </c>
      <c r="K98" s="160">
        <f>MAX(0,ROUND(K97+U98-AY98,2))</f>
        <v/>
      </c>
      <c r="L98" s="160">
        <f>MAX(0,ROUND(L97+V98-AZ98,2))</f>
        <v/>
      </c>
      <c r="M98" s="160">
        <f>C97*N('Debt Payoff'!$D$15)/12</f>
        <v/>
      </c>
      <c r="N98" s="160">
        <f>D97*N('Debt Payoff'!$D$16)/12</f>
        <v/>
      </c>
      <c r="O98" s="160">
        <f>E97*N('Debt Payoff'!$D$17)/12</f>
        <v/>
      </c>
      <c r="P98" s="160">
        <f>F97*N('Debt Payoff'!$D$18)/12</f>
        <v/>
      </c>
      <c r="Q98" s="160">
        <f>G97*N('Debt Payoff'!$D$19)/12</f>
        <v/>
      </c>
      <c r="R98" s="160">
        <f>H97*N('Debt Payoff'!$D$20)/12</f>
        <v/>
      </c>
      <c r="S98" s="160">
        <f>I97*N('Debt Payoff'!$D$21)/12</f>
        <v/>
      </c>
      <c r="T98" s="160">
        <f>J97*N('Debt Payoff'!$D$22)/12</f>
        <v/>
      </c>
      <c r="U98" s="160">
        <f>K97*N('Debt Payoff'!$D$23)/12</f>
        <v/>
      </c>
      <c r="V98" s="160">
        <f>L97*N('Debt Payoff'!$D$24)/12</f>
        <v/>
      </c>
      <c r="W98" s="160">
        <f>MIN(N('Debt Payoff'!$E$15),C97+M98)</f>
        <v/>
      </c>
      <c r="X98" s="160">
        <f>MIN(N('Debt Payoff'!$E$16),D97+N98)</f>
        <v/>
      </c>
      <c r="Y98" s="160">
        <f>MIN(N('Debt Payoff'!$E$17),E97+O98)</f>
        <v/>
      </c>
      <c r="Z98" s="160">
        <f>MIN(N('Debt Payoff'!$E$18),F97+P98)</f>
        <v/>
      </c>
      <c r="AA98" s="160">
        <f>MIN(N('Debt Payoff'!$E$19),G97+Q98)</f>
        <v/>
      </c>
      <c r="AB98" s="160">
        <f>MIN(N('Debt Payoff'!$E$20),H97+R98)</f>
        <v/>
      </c>
      <c r="AC98" s="160">
        <f>MIN(N('Debt Payoff'!$E$21),I97+S98)</f>
        <v/>
      </c>
      <c r="AD98" s="160">
        <f>MIN(N('Debt Payoff'!$E$22),J97+T98)</f>
        <v/>
      </c>
      <c r="AE98" s="160">
        <f>MIN(N('Debt Payoff'!$E$23),K97+U98)</f>
        <v/>
      </c>
      <c r="AF98" s="160">
        <f>MIN(N('Debt Payoff'!$E$24),L97+V98)</f>
        <v/>
      </c>
      <c r="AG98" s="160">
        <f>C97+M98-W98</f>
        <v/>
      </c>
      <c r="AH98" s="160">
        <f>D97+N98-X98</f>
        <v/>
      </c>
      <c r="AI98" s="160">
        <f>E97+O98-Y98</f>
        <v/>
      </c>
      <c r="AJ98" s="160">
        <f>F97+P98-Z98</f>
        <v/>
      </c>
      <c r="AK98" s="160">
        <f>G97+Q98-AA98</f>
        <v/>
      </c>
      <c r="AL98" s="160">
        <f>H97+R98-AB98</f>
        <v/>
      </c>
      <c r="AM98" s="160">
        <f>I97+S98-AC98</f>
        <v/>
      </c>
      <c r="AN98" s="160">
        <f>J97+T98-AD98</f>
        <v/>
      </c>
      <c r="AO98" s="160">
        <f>K97+U98-AE98</f>
        <v/>
      </c>
      <c r="AP98" s="160">
        <f>L97+V98-AF98</f>
        <v/>
      </c>
      <c r="AQ98" s="160">
        <f>W98+MAX(0,MIN(AG98,'Debt Payoff'!$C$12-SUM($W98:$AF98)-SUMIFS($AG98:$AP98,$AG$4:$AP$4,"&lt;"&amp;AG$4)))</f>
        <v/>
      </c>
      <c r="AR98" s="160">
        <f>X98+MAX(0,MIN(AH98,'Debt Payoff'!$C$12-SUM($W98:$AF98)-SUMIFS($AG98:$AP98,$AG$4:$AP$4,"&lt;"&amp;AH$4)))</f>
        <v/>
      </c>
      <c r="AS98" s="160">
        <f>Y98+MAX(0,MIN(AI98,'Debt Payoff'!$C$12-SUM($W98:$AF98)-SUMIFS($AG98:$AP98,$AG$4:$AP$4,"&lt;"&amp;AI$4)))</f>
        <v/>
      </c>
      <c r="AT98" s="160">
        <f>Z98+MAX(0,MIN(AJ98,'Debt Payoff'!$C$12-SUM($W98:$AF98)-SUMIFS($AG98:$AP98,$AG$4:$AP$4,"&lt;"&amp;AJ$4)))</f>
        <v/>
      </c>
      <c r="AU98" s="160">
        <f>AA98+MAX(0,MIN(AK98,'Debt Payoff'!$C$12-SUM($W98:$AF98)-SUMIFS($AG98:$AP98,$AG$4:$AP$4,"&lt;"&amp;AK$4)))</f>
        <v/>
      </c>
      <c r="AV98" s="160">
        <f>AB98+MAX(0,MIN(AL98,'Debt Payoff'!$C$12-SUM($W98:$AF98)-SUMIFS($AG98:$AP98,$AG$4:$AP$4,"&lt;"&amp;AL$4)))</f>
        <v/>
      </c>
      <c r="AW98" s="160">
        <f>AC98+MAX(0,MIN(AM98,'Debt Payoff'!$C$12-SUM($W98:$AF98)-SUMIFS($AG98:$AP98,$AG$4:$AP$4,"&lt;"&amp;AM$4)))</f>
        <v/>
      </c>
      <c r="AX98" s="160">
        <f>AD98+MAX(0,MIN(AN98,'Debt Payoff'!$C$12-SUM($W98:$AF98)-SUMIFS($AG98:$AP98,$AG$4:$AP$4,"&lt;"&amp;AN$4)))</f>
        <v/>
      </c>
      <c r="AY98" s="160">
        <f>AE98+MAX(0,MIN(AO98,'Debt Payoff'!$C$12-SUM($W98:$AF98)-SUMIFS($AG98:$AP98,$AG$4:$AP$4,"&lt;"&amp;AO$4)))</f>
        <v/>
      </c>
      <c r="AZ98" s="160">
        <f>AF98+MAX(0,MIN(AP98,'Debt Payoff'!$C$12-SUM($W98:$AF98)-SUMIFS($AG98:$AP98,$AG$4:$AP$4,"&lt;"&amp;AP$4)))</f>
        <v/>
      </c>
      <c r="BA98" s="160">
        <f>SUM(C98:L98)</f>
        <v/>
      </c>
      <c r="BB98" s="160">
        <f>SUM(AQ98:AZ98)</f>
        <v/>
      </c>
      <c r="BC98" s="160">
        <f>SUM(M98:V98)</f>
        <v/>
      </c>
    </row>
    <row r="99">
      <c r="A99" s="157" t="n">
        <v>94</v>
      </c>
      <c r="B99" s="159">
        <f>EDATE('Debt Payoff'!$C$6,93)</f>
        <v/>
      </c>
      <c r="C99" s="160">
        <f>MAX(0,ROUND(C98+M99-AQ99,2))</f>
        <v/>
      </c>
      <c r="D99" s="160">
        <f>MAX(0,ROUND(D98+N99-AR99,2))</f>
        <v/>
      </c>
      <c r="E99" s="160">
        <f>MAX(0,ROUND(E98+O99-AS99,2))</f>
        <v/>
      </c>
      <c r="F99" s="160">
        <f>MAX(0,ROUND(F98+P99-AT99,2))</f>
        <v/>
      </c>
      <c r="G99" s="160">
        <f>MAX(0,ROUND(G98+Q99-AU99,2))</f>
        <v/>
      </c>
      <c r="H99" s="160">
        <f>MAX(0,ROUND(H98+R99-AV99,2))</f>
        <v/>
      </c>
      <c r="I99" s="160">
        <f>MAX(0,ROUND(I98+S99-AW99,2))</f>
        <v/>
      </c>
      <c r="J99" s="160">
        <f>MAX(0,ROUND(J98+T99-AX99,2))</f>
        <v/>
      </c>
      <c r="K99" s="160">
        <f>MAX(0,ROUND(K98+U99-AY99,2))</f>
        <v/>
      </c>
      <c r="L99" s="160">
        <f>MAX(0,ROUND(L98+V99-AZ99,2))</f>
        <v/>
      </c>
      <c r="M99" s="160">
        <f>C98*N('Debt Payoff'!$D$15)/12</f>
        <v/>
      </c>
      <c r="N99" s="160">
        <f>D98*N('Debt Payoff'!$D$16)/12</f>
        <v/>
      </c>
      <c r="O99" s="160">
        <f>E98*N('Debt Payoff'!$D$17)/12</f>
        <v/>
      </c>
      <c r="P99" s="160">
        <f>F98*N('Debt Payoff'!$D$18)/12</f>
        <v/>
      </c>
      <c r="Q99" s="160">
        <f>G98*N('Debt Payoff'!$D$19)/12</f>
        <v/>
      </c>
      <c r="R99" s="160">
        <f>H98*N('Debt Payoff'!$D$20)/12</f>
        <v/>
      </c>
      <c r="S99" s="160">
        <f>I98*N('Debt Payoff'!$D$21)/12</f>
        <v/>
      </c>
      <c r="T99" s="160">
        <f>J98*N('Debt Payoff'!$D$22)/12</f>
        <v/>
      </c>
      <c r="U99" s="160">
        <f>K98*N('Debt Payoff'!$D$23)/12</f>
        <v/>
      </c>
      <c r="V99" s="160">
        <f>L98*N('Debt Payoff'!$D$24)/12</f>
        <v/>
      </c>
      <c r="W99" s="160">
        <f>MIN(N('Debt Payoff'!$E$15),C98+M99)</f>
        <v/>
      </c>
      <c r="X99" s="160">
        <f>MIN(N('Debt Payoff'!$E$16),D98+N99)</f>
        <v/>
      </c>
      <c r="Y99" s="160">
        <f>MIN(N('Debt Payoff'!$E$17),E98+O99)</f>
        <v/>
      </c>
      <c r="Z99" s="160">
        <f>MIN(N('Debt Payoff'!$E$18),F98+P99)</f>
        <v/>
      </c>
      <c r="AA99" s="160">
        <f>MIN(N('Debt Payoff'!$E$19),G98+Q99)</f>
        <v/>
      </c>
      <c r="AB99" s="160">
        <f>MIN(N('Debt Payoff'!$E$20),H98+R99)</f>
        <v/>
      </c>
      <c r="AC99" s="160">
        <f>MIN(N('Debt Payoff'!$E$21),I98+S99)</f>
        <v/>
      </c>
      <c r="AD99" s="160">
        <f>MIN(N('Debt Payoff'!$E$22),J98+T99)</f>
        <v/>
      </c>
      <c r="AE99" s="160">
        <f>MIN(N('Debt Payoff'!$E$23),K98+U99)</f>
        <v/>
      </c>
      <c r="AF99" s="160">
        <f>MIN(N('Debt Payoff'!$E$24),L98+V99)</f>
        <v/>
      </c>
      <c r="AG99" s="160">
        <f>C98+M99-W99</f>
        <v/>
      </c>
      <c r="AH99" s="160">
        <f>D98+N99-X99</f>
        <v/>
      </c>
      <c r="AI99" s="160">
        <f>E98+O99-Y99</f>
        <v/>
      </c>
      <c r="AJ99" s="160">
        <f>F98+P99-Z99</f>
        <v/>
      </c>
      <c r="AK99" s="160">
        <f>G98+Q99-AA99</f>
        <v/>
      </c>
      <c r="AL99" s="160">
        <f>H98+R99-AB99</f>
        <v/>
      </c>
      <c r="AM99" s="160">
        <f>I98+S99-AC99</f>
        <v/>
      </c>
      <c r="AN99" s="160">
        <f>J98+T99-AD99</f>
        <v/>
      </c>
      <c r="AO99" s="160">
        <f>K98+U99-AE99</f>
        <v/>
      </c>
      <c r="AP99" s="160">
        <f>L98+V99-AF99</f>
        <v/>
      </c>
      <c r="AQ99" s="160">
        <f>W99+MAX(0,MIN(AG99,'Debt Payoff'!$C$12-SUM($W99:$AF99)-SUMIFS($AG99:$AP99,$AG$4:$AP$4,"&lt;"&amp;AG$4)))</f>
        <v/>
      </c>
      <c r="AR99" s="160">
        <f>X99+MAX(0,MIN(AH99,'Debt Payoff'!$C$12-SUM($W99:$AF99)-SUMIFS($AG99:$AP99,$AG$4:$AP$4,"&lt;"&amp;AH$4)))</f>
        <v/>
      </c>
      <c r="AS99" s="160">
        <f>Y99+MAX(0,MIN(AI99,'Debt Payoff'!$C$12-SUM($W99:$AF99)-SUMIFS($AG99:$AP99,$AG$4:$AP$4,"&lt;"&amp;AI$4)))</f>
        <v/>
      </c>
      <c r="AT99" s="160">
        <f>Z99+MAX(0,MIN(AJ99,'Debt Payoff'!$C$12-SUM($W99:$AF99)-SUMIFS($AG99:$AP99,$AG$4:$AP$4,"&lt;"&amp;AJ$4)))</f>
        <v/>
      </c>
      <c r="AU99" s="160">
        <f>AA99+MAX(0,MIN(AK99,'Debt Payoff'!$C$12-SUM($W99:$AF99)-SUMIFS($AG99:$AP99,$AG$4:$AP$4,"&lt;"&amp;AK$4)))</f>
        <v/>
      </c>
      <c r="AV99" s="160">
        <f>AB99+MAX(0,MIN(AL99,'Debt Payoff'!$C$12-SUM($W99:$AF99)-SUMIFS($AG99:$AP99,$AG$4:$AP$4,"&lt;"&amp;AL$4)))</f>
        <v/>
      </c>
      <c r="AW99" s="160">
        <f>AC99+MAX(0,MIN(AM99,'Debt Payoff'!$C$12-SUM($W99:$AF99)-SUMIFS($AG99:$AP99,$AG$4:$AP$4,"&lt;"&amp;AM$4)))</f>
        <v/>
      </c>
      <c r="AX99" s="160">
        <f>AD99+MAX(0,MIN(AN99,'Debt Payoff'!$C$12-SUM($W99:$AF99)-SUMIFS($AG99:$AP99,$AG$4:$AP$4,"&lt;"&amp;AN$4)))</f>
        <v/>
      </c>
      <c r="AY99" s="160">
        <f>AE99+MAX(0,MIN(AO99,'Debt Payoff'!$C$12-SUM($W99:$AF99)-SUMIFS($AG99:$AP99,$AG$4:$AP$4,"&lt;"&amp;AO$4)))</f>
        <v/>
      </c>
      <c r="AZ99" s="160">
        <f>AF99+MAX(0,MIN(AP99,'Debt Payoff'!$C$12-SUM($W99:$AF99)-SUMIFS($AG99:$AP99,$AG$4:$AP$4,"&lt;"&amp;AP$4)))</f>
        <v/>
      </c>
      <c r="BA99" s="160">
        <f>SUM(C99:L99)</f>
        <v/>
      </c>
      <c r="BB99" s="160">
        <f>SUM(AQ99:AZ99)</f>
        <v/>
      </c>
      <c r="BC99" s="160">
        <f>SUM(M99:V99)</f>
        <v/>
      </c>
    </row>
    <row r="100">
      <c r="A100" s="157" t="n">
        <v>95</v>
      </c>
      <c r="B100" s="159">
        <f>EDATE('Debt Payoff'!$C$6,94)</f>
        <v/>
      </c>
      <c r="C100" s="160">
        <f>MAX(0,ROUND(C99+M100-AQ100,2))</f>
        <v/>
      </c>
      <c r="D100" s="160">
        <f>MAX(0,ROUND(D99+N100-AR100,2))</f>
        <v/>
      </c>
      <c r="E100" s="160">
        <f>MAX(0,ROUND(E99+O100-AS100,2))</f>
        <v/>
      </c>
      <c r="F100" s="160">
        <f>MAX(0,ROUND(F99+P100-AT100,2))</f>
        <v/>
      </c>
      <c r="G100" s="160">
        <f>MAX(0,ROUND(G99+Q100-AU100,2))</f>
        <v/>
      </c>
      <c r="H100" s="160">
        <f>MAX(0,ROUND(H99+R100-AV100,2))</f>
        <v/>
      </c>
      <c r="I100" s="160">
        <f>MAX(0,ROUND(I99+S100-AW100,2))</f>
        <v/>
      </c>
      <c r="J100" s="160">
        <f>MAX(0,ROUND(J99+T100-AX100,2))</f>
        <v/>
      </c>
      <c r="K100" s="160">
        <f>MAX(0,ROUND(K99+U100-AY100,2))</f>
        <v/>
      </c>
      <c r="L100" s="160">
        <f>MAX(0,ROUND(L99+V100-AZ100,2))</f>
        <v/>
      </c>
      <c r="M100" s="160">
        <f>C99*N('Debt Payoff'!$D$15)/12</f>
        <v/>
      </c>
      <c r="N100" s="160">
        <f>D99*N('Debt Payoff'!$D$16)/12</f>
        <v/>
      </c>
      <c r="O100" s="160">
        <f>E99*N('Debt Payoff'!$D$17)/12</f>
        <v/>
      </c>
      <c r="P100" s="160">
        <f>F99*N('Debt Payoff'!$D$18)/12</f>
        <v/>
      </c>
      <c r="Q100" s="160">
        <f>G99*N('Debt Payoff'!$D$19)/12</f>
        <v/>
      </c>
      <c r="R100" s="160">
        <f>H99*N('Debt Payoff'!$D$20)/12</f>
        <v/>
      </c>
      <c r="S100" s="160">
        <f>I99*N('Debt Payoff'!$D$21)/12</f>
        <v/>
      </c>
      <c r="T100" s="160">
        <f>J99*N('Debt Payoff'!$D$22)/12</f>
        <v/>
      </c>
      <c r="U100" s="160">
        <f>K99*N('Debt Payoff'!$D$23)/12</f>
        <v/>
      </c>
      <c r="V100" s="160">
        <f>L99*N('Debt Payoff'!$D$24)/12</f>
        <v/>
      </c>
      <c r="W100" s="160">
        <f>MIN(N('Debt Payoff'!$E$15),C99+M100)</f>
        <v/>
      </c>
      <c r="X100" s="160">
        <f>MIN(N('Debt Payoff'!$E$16),D99+N100)</f>
        <v/>
      </c>
      <c r="Y100" s="160">
        <f>MIN(N('Debt Payoff'!$E$17),E99+O100)</f>
        <v/>
      </c>
      <c r="Z100" s="160">
        <f>MIN(N('Debt Payoff'!$E$18),F99+P100)</f>
        <v/>
      </c>
      <c r="AA100" s="160">
        <f>MIN(N('Debt Payoff'!$E$19),G99+Q100)</f>
        <v/>
      </c>
      <c r="AB100" s="160">
        <f>MIN(N('Debt Payoff'!$E$20),H99+R100)</f>
        <v/>
      </c>
      <c r="AC100" s="160">
        <f>MIN(N('Debt Payoff'!$E$21),I99+S100)</f>
        <v/>
      </c>
      <c r="AD100" s="160">
        <f>MIN(N('Debt Payoff'!$E$22),J99+T100)</f>
        <v/>
      </c>
      <c r="AE100" s="160">
        <f>MIN(N('Debt Payoff'!$E$23),K99+U100)</f>
        <v/>
      </c>
      <c r="AF100" s="160">
        <f>MIN(N('Debt Payoff'!$E$24),L99+V100)</f>
        <v/>
      </c>
      <c r="AG100" s="160">
        <f>C99+M100-W100</f>
        <v/>
      </c>
      <c r="AH100" s="160">
        <f>D99+N100-X100</f>
        <v/>
      </c>
      <c r="AI100" s="160">
        <f>E99+O100-Y100</f>
        <v/>
      </c>
      <c r="AJ100" s="160">
        <f>F99+P100-Z100</f>
        <v/>
      </c>
      <c r="AK100" s="160">
        <f>G99+Q100-AA100</f>
        <v/>
      </c>
      <c r="AL100" s="160">
        <f>H99+R100-AB100</f>
        <v/>
      </c>
      <c r="AM100" s="160">
        <f>I99+S100-AC100</f>
        <v/>
      </c>
      <c r="AN100" s="160">
        <f>J99+T100-AD100</f>
        <v/>
      </c>
      <c r="AO100" s="160">
        <f>K99+U100-AE100</f>
        <v/>
      </c>
      <c r="AP100" s="160">
        <f>L99+V100-AF100</f>
        <v/>
      </c>
      <c r="AQ100" s="160">
        <f>W100+MAX(0,MIN(AG100,'Debt Payoff'!$C$12-SUM($W100:$AF100)-SUMIFS($AG100:$AP100,$AG$4:$AP$4,"&lt;"&amp;AG$4)))</f>
        <v/>
      </c>
      <c r="AR100" s="160">
        <f>X100+MAX(0,MIN(AH100,'Debt Payoff'!$C$12-SUM($W100:$AF100)-SUMIFS($AG100:$AP100,$AG$4:$AP$4,"&lt;"&amp;AH$4)))</f>
        <v/>
      </c>
      <c r="AS100" s="160">
        <f>Y100+MAX(0,MIN(AI100,'Debt Payoff'!$C$12-SUM($W100:$AF100)-SUMIFS($AG100:$AP100,$AG$4:$AP$4,"&lt;"&amp;AI$4)))</f>
        <v/>
      </c>
      <c r="AT100" s="160">
        <f>Z100+MAX(0,MIN(AJ100,'Debt Payoff'!$C$12-SUM($W100:$AF100)-SUMIFS($AG100:$AP100,$AG$4:$AP$4,"&lt;"&amp;AJ$4)))</f>
        <v/>
      </c>
      <c r="AU100" s="160">
        <f>AA100+MAX(0,MIN(AK100,'Debt Payoff'!$C$12-SUM($W100:$AF100)-SUMIFS($AG100:$AP100,$AG$4:$AP$4,"&lt;"&amp;AK$4)))</f>
        <v/>
      </c>
      <c r="AV100" s="160">
        <f>AB100+MAX(0,MIN(AL100,'Debt Payoff'!$C$12-SUM($W100:$AF100)-SUMIFS($AG100:$AP100,$AG$4:$AP$4,"&lt;"&amp;AL$4)))</f>
        <v/>
      </c>
      <c r="AW100" s="160">
        <f>AC100+MAX(0,MIN(AM100,'Debt Payoff'!$C$12-SUM($W100:$AF100)-SUMIFS($AG100:$AP100,$AG$4:$AP$4,"&lt;"&amp;AM$4)))</f>
        <v/>
      </c>
      <c r="AX100" s="160">
        <f>AD100+MAX(0,MIN(AN100,'Debt Payoff'!$C$12-SUM($W100:$AF100)-SUMIFS($AG100:$AP100,$AG$4:$AP$4,"&lt;"&amp;AN$4)))</f>
        <v/>
      </c>
      <c r="AY100" s="160">
        <f>AE100+MAX(0,MIN(AO100,'Debt Payoff'!$C$12-SUM($W100:$AF100)-SUMIFS($AG100:$AP100,$AG$4:$AP$4,"&lt;"&amp;AO$4)))</f>
        <v/>
      </c>
      <c r="AZ100" s="160">
        <f>AF100+MAX(0,MIN(AP100,'Debt Payoff'!$C$12-SUM($W100:$AF100)-SUMIFS($AG100:$AP100,$AG$4:$AP$4,"&lt;"&amp;AP$4)))</f>
        <v/>
      </c>
      <c r="BA100" s="160">
        <f>SUM(C100:L100)</f>
        <v/>
      </c>
      <c r="BB100" s="160">
        <f>SUM(AQ100:AZ100)</f>
        <v/>
      </c>
      <c r="BC100" s="160">
        <f>SUM(M100:V100)</f>
        <v/>
      </c>
    </row>
    <row r="101">
      <c r="A101" s="157" t="n">
        <v>96</v>
      </c>
      <c r="B101" s="159">
        <f>EDATE('Debt Payoff'!$C$6,95)</f>
        <v/>
      </c>
      <c r="C101" s="160">
        <f>MAX(0,ROUND(C100+M101-AQ101,2))</f>
        <v/>
      </c>
      <c r="D101" s="160">
        <f>MAX(0,ROUND(D100+N101-AR101,2))</f>
        <v/>
      </c>
      <c r="E101" s="160">
        <f>MAX(0,ROUND(E100+O101-AS101,2))</f>
        <v/>
      </c>
      <c r="F101" s="160">
        <f>MAX(0,ROUND(F100+P101-AT101,2))</f>
        <v/>
      </c>
      <c r="G101" s="160">
        <f>MAX(0,ROUND(G100+Q101-AU101,2))</f>
        <v/>
      </c>
      <c r="H101" s="160">
        <f>MAX(0,ROUND(H100+R101-AV101,2))</f>
        <v/>
      </c>
      <c r="I101" s="160">
        <f>MAX(0,ROUND(I100+S101-AW101,2))</f>
        <v/>
      </c>
      <c r="J101" s="160">
        <f>MAX(0,ROUND(J100+T101-AX101,2))</f>
        <v/>
      </c>
      <c r="K101" s="160">
        <f>MAX(0,ROUND(K100+U101-AY101,2))</f>
        <v/>
      </c>
      <c r="L101" s="160">
        <f>MAX(0,ROUND(L100+V101-AZ101,2))</f>
        <v/>
      </c>
      <c r="M101" s="160">
        <f>C100*N('Debt Payoff'!$D$15)/12</f>
        <v/>
      </c>
      <c r="N101" s="160">
        <f>D100*N('Debt Payoff'!$D$16)/12</f>
        <v/>
      </c>
      <c r="O101" s="160">
        <f>E100*N('Debt Payoff'!$D$17)/12</f>
        <v/>
      </c>
      <c r="P101" s="160">
        <f>F100*N('Debt Payoff'!$D$18)/12</f>
        <v/>
      </c>
      <c r="Q101" s="160">
        <f>G100*N('Debt Payoff'!$D$19)/12</f>
        <v/>
      </c>
      <c r="R101" s="160">
        <f>H100*N('Debt Payoff'!$D$20)/12</f>
        <v/>
      </c>
      <c r="S101" s="160">
        <f>I100*N('Debt Payoff'!$D$21)/12</f>
        <v/>
      </c>
      <c r="T101" s="160">
        <f>J100*N('Debt Payoff'!$D$22)/12</f>
        <v/>
      </c>
      <c r="U101" s="160">
        <f>K100*N('Debt Payoff'!$D$23)/12</f>
        <v/>
      </c>
      <c r="V101" s="160">
        <f>L100*N('Debt Payoff'!$D$24)/12</f>
        <v/>
      </c>
      <c r="W101" s="160">
        <f>MIN(N('Debt Payoff'!$E$15),C100+M101)</f>
        <v/>
      </c>
      <c r="X101" s="160">
        <f>MIN(N('Debt Payoff'!$E$16),D100+N101)</f>
        <v/>
      </c>
      <c r="Y101" s="160">
        <f>MIN(N('Debt Payoff'!$E$17),E100+O101)</f>
        <v/>
      </c>
      <c r="Z101" s="160">
        <f>MIN(N('Debt Payoff'!$E$18),F100+P101)</f>
        <v/>
      </c>
      <c r="AA101" s="160">
        <f>MIN(N('Debt Payoff'!$E$19),G100+Q101)</f>
        <v/>
      </c>
      <c r="AB101" s="160">
        <f>MIN(N('Debt Payoff'!$E$20),H100+R101)</f>
        <v/>
      </c>
      <c r="AC101" s="160">
        <f>MIN(N('Debt Payoff'!$E$21),I100+S101)</f>
        <v/>
      </c>
      <c r="AD101" s="160">
        <f>MIN(N('Debt Payoff'!$E$22),J100+T101)</f>
        <v/>
      </c>
      <c r="AE101" s="160">
        <f>MIN(N('Debt Payoff'!$E$23),K100+U101)</f>
        <v/>
      </c>
      <c r="AF101" s="160">
        <f>MIN(N('Debt Payoff'!$E$24),L100+V101)</f>
        <v/>
      </c>
      <c r="AG101" s="160">
        <f>C100+M101-W101</f>
        <v/>
      </c>
      <c r="AH101" s="160">
        <f>D100+N101-X101</f>
        <v/>
      </c>
      <c r="AI101" s="160">
        <f>E100+O101-Y101</f>
        <v/>
      </c>
      <c r="AJ101" s="160">
        <f>F100+P101-Z101</f>
        <v/>
      </c>
      <c r="AK101" s="160">
        <f>G100+Q101-AA101</f>
        <v/>
      </c>
      <c r="AL101" s="160">
        <f>H100+R101-AB101</f>
        <v/>
      </c>
      <c r="AM101" s="160">
        <f>I100+S101-AC101</f>
        <v/>
      </c>
      <c r="AN101" s="160">
        <f>J100+T101-AD101</f>
        <v/>
      </c>
      <c r="AO101" s="160">
        <f>K100+U101-AE101</f>
        <v/>
      </c>
      <c r="AP101" s="160">
        <f>L100+V101-AF101</f>
        <v/>
      </c>
      <c r="AQ101" s="160">
        <f>W101+MAX(0,MIN(AG101,'Debt Payoff'!$C$12-SUM($W101:$AF101)-SUMIFS($AG101:$AP101,$AG$4:$AP$4,"&lt;"&amp;AG$4)))</f>
        <v/>
      </c>
      <c r="AR101" s="160">
        <f>X101+MAX(0,MIN(AH101,'Debt Payoff'!$C$12-SUM($W101:$AF101)-SUMIFS($AG101:$AP101,$AG$4:$AP$4,"&lt;"&amp;AH$4)))</f>
        <v/>
      </c>
      <c r="AS101" s="160">
        <f>Y101+MAX(0,MIN(AI101,'Debt Payoff'!$C$12-SUM($W101:$AF101)-SUMIFS($AG101:$AP101,$AG$4:$AP$4,"&lt;"&amp;AI$4)))</f>
        <v/>
      </c>
      <c r="AT101" s="160">
        <f>Z101+MAX(0,MIN(AJ101,'Debt Payoff'!$C$12-SUM($W101:$AF101)-SUMIFS($AG101:$AP101,$AG$4:$AP$4,"&lt;"&amp;AJ$4)))</f>
        <v/>
      </c>
      <c r="AU101" s="160">
        <f>AA101+MAX(0,MIN(AK101,'Debt Payoff'!$C$12-SUM($W101:$AF101)-SUMIFS($AG101:$AP101,$AG$4:$AP$4,"&lt;"&amp;AK$4)))</f>
        <v/>
      </c>
      <c r="AV101" s="160">
        <f>AB101+MAX(0,MIN(AL101,'Debt Payoff'!$C$12-SUM($W101:$AF101)-SUMIFS($AG101:$AP101,$AG$4:$AP$4,"&lt;"&amp;AL$4)))</f>
        <v/>
      </c>
      <c r="AW101" s="160">
        <f>AC101+MAX(0,MIN(AM101,'Debt Payoff'!$C$12-SUM($W101:$AF101)-SUMIFS($AG101:$AP101,$AG$4:$AP$4,"&lt;"&amp;AM$4)))</f>
        <v/>
      </c>
      <c r="AX101" s="160">
        <f>AD101+MAX(0,MIN(AN101,'Debt Payoff'!$C$12-SUM($W101:$AF101)-SUMIFS($AG101:$AP101,$AG$4:$AP$4,"&lt;"&amp;AN$4)))</f>
        <v/>
      </c>
      <c r="AY101" s="160">
        <f>AE101+MAX(0,MIN(AO101,'Debt Payoff'!$C$12-SUM($W101:$AF101)-SUMIFS($AG101:$AP101,$AG$4:$AP$4,"&lt;"&amp;AO$4)))</f>
        <v/>
      </c>
      <c r="AZ101" s="160">
        <f>AF101+MAX(0,MIN(AP101,'Debt Payoff'!$C$12-SUM($W101:$AF101)-SUMIFS($AG101:$AP101,$AG$4:$AP$4,"&lt;"&amp;AP$4)))</f>
        <v/>
      </c>
      <c r="BA101" s="160">
        <f>SUM(C101:L101)</f>
        <v/>
      </c>
      <c r="BB101" s="160">
        <f>SUM(AQ101:AZ101)</f>
        <v/>
      </c>
      <c r="BC101" s="160">
        <f>SUM(M101:V101)</f>
        <v/>
      </c>
    </row>
    <row r="102">
      <c r="A102" s="157" t="n">
        <v>97</v>
      </c>
      <c r="B102" s="159">
        <f>EDATE('Debt Payoff'!$C$6,96)</f>
        <v/>
      </c>
      <c r="C102" s="160">
        <f>MAX(0,ROUND(C101+M102-AQ102,2))</f>
        <v/>
      </c>
      <c r="D102" s="160">
        <f>MAX(0,ROUND(D101+N102-AR102,2))</f>
        <v/>
      </c>
      <c r="E102" s="160">
        <f>MAX(0,ROUND(E101+O102-AS102,2))</f>
        <v/>
      </c>
      <c r="F102" s="160">
        <f>MAX(0,ROUND(F101+P102-AT102,2))</f>
        <v/>
      </c>
      <c r="G102" s="160">
        <f>MAX(0,ROUND(G101+Q102-AU102,2))</f>
        <v/>
      </c>
      <c r="H102" s="160">
        <f>MAX(0,ROUND(H101+R102-AV102,2))</f>
        <v/>
      </c>
      <c r="I102" s="160">
        <f>MAX(0,ROUND(I101+S102-AW102,2))</f>
        <v/>
      </c>
      <c r="J102" s="160">
        <f>MAX(0,ROUND(J101+T102-AX102,2))</f>
        <v/>
      </c>
      <c r="K102" s="160">
        <f>MAX(0,ROUND(K101+U102-AY102,2))</f>
        <v/>
      </c>
      <c r="L102" s="160">
        <f>MAX(0,ROUND(L101+V102-AZ102,2))</f>
        <v/>
      </c>
      <c r="M102" s="160">
        <f>C101*N('Debt Payoff'!$D$15)/12</f>
        <v/>
      </c>
      <c r="N102" s="160">
        <f>D101*N('Debt Payoff'!$D$16)/12</f>
        <v/>
      </c>
      <c r="O102" s="160">
        <f>E101*N('Debt Payoff'!$D$17)/12</f>
        <v/>
      </c>
      <c r="P102" s="160">
        <f>F101*N('Debt Payoff'!$D$18)/12</f>
        <v/>
      </c>
      <c r="Q102" s="160">
        <f>G101*N('Debt Payoff'!$D$19)/12</f>
        <v/>
      </c>
      <c r="R102" s="160">
        <f>H101*N('Debt Payoff'!$D$20)/12</f>
        <v/>
      </c>
      <c r="S102" s="160">
        <f>I101*N('Debt Payoff'!$D$21)/12</f>
        <v/>
      </c>
      <c r="T102" s="160">
        <f>J101*N('Debt Payoff'!$D$22)/12</f>
        <v/>
      </c>
      <c r="U102" s="160">
        <f>K101*N('Debt Payoff'!$D$23)/12</f>
        <v/>
      </c>
      <c r="V102" s="160">
        <f>L101*N('Debt Payoff'!$D$24)/12</f>
        <v/>
      </c>
      <c r="W102" s="160">
        <f>MIN(N('Debt Payoff'!$E$15),C101+M102)</f>
        <v/>
      </c>
      <c r="X102" s="160">
        <f>MIN(N('Debt Payoff'!$E$16),D101+N102)</f>
        <v/>
      </c>
      <c r="Y102" s="160">
        <f>MIN(N('Debt Payoff'!$E$17),E101+O102)</f>
        <v/>
      </c>
      <c r="Z102" s="160">
        <f>MIN(N('Debt Payoff'!$E$18),F101+P102)</f>
        <v/>
      </c>
      <c r="AA102" s="160">
        <f>MIN(N('Debt Payoff'!$E$19),G101+Q102)</f>
        <v/>
      </c>
      <c r="AB102" s="160">
        <f>MIN(N('Debt Payoff'!$E$20),H101+R102)</f>
        <v/>
      </c>
      <c r="AC102" s="160">
        <f>MIN(N('Debt Payoff'!$E$21),I101+S102)</f>
        <v/>
      </c>
      <c r="AD102" s="160">
        <f>MIN(N('Debt Payoff'!$E$22),J101+T102)</f>
        <v/>
      </c>
      <c r="AE102" s="160">
        <f>MIN(N('Debt Payoff'!$E$23),K101+U102)</f>
        <v/>
      </c>
      <c r="AF102" s="160">
        <f>MIN(N('Debt Payoff'!$E$24),L101+V102)</f>
        <v/>
      </c>
      <c r="AG102" s="160">
        <f>C101+M102-W102</f>
        <v/>
      </c>
      <c r="AH102" s="160">
        <f>D101+N102-X102</f>
        <v/>
      </c>
      <c r="AI102" s="160">
        <f>E101+O102-Y102</f>
        <v/>
      </c>
      <c r="AJ102" s="160">
        <f>F101+P102-Z102</f>
        <v/>
      </c>
      <c r="AK102" s="160">
        <f>G101+Q102-AA102</f>
        <v/>
      </c>
      <c r="AL102" s="160">
        <f>H101+R102-AB102</f>
        <v/>
      </c>
      <c r="AM102" s="160">
        <f>I101+S102-AC102</f>
        <v/>
      </c>
      <c r="AN102" s="160">
        <f>J101+T102-AD102</f>
        <v/>
      </c>
      <c r="AO102" s="160">
        <f>K101+U102-AE102</f>
        <v/>
      </c>
      <c r="AP102" s="160">
        <f>L101+V102-AF102</f>
        <v/>
      </c>
      <c r="AQ102" s="160">
        <f>W102+MAX(0,MIN(AG102,'Debt Payoff'!$C$12-SUM($W102:$AF102)-SUMIFS($AG102:$AP102,$AG$4:$AP$4,"&lt;"&amp;AG$4)))</f>
        <v/>
      </c>
      <c r="AR102" s="160">
        <f>X102+MAX(0,MIN(AH102,'Debt Payoff'!$C$12-SUM($W102:$AF102)-SUMIFS($AG102:$AP102,$AG$4:$AP$4,"&lt;"&amp;AH$4)))</f>
        <v/>
      </c>
      <c r="AS102" s="160">
        <f>Y102+MAX(0,MIN(AI102,'Debt Payoff'!$C$12-SUM($W102:$AF102)-SUMIFS($AG102:$AP102,$AG$4:$AP$4,"&lt;"&amp;AI$4)))</f>
        <v/>
      </c>
      <c r="AT102" s="160">
        <f>Z102+MAX(0,MIN(AJ102,'Debt Payoff'!$C$12-SUM($W102:$AF102)-SUMIFS($AG102:$AP102,$AG$4:$AP$4,"&lt;"&amp;AJ$4)))</f>
        <v/>
      </c>
      <c r="AU102" s="160">
        <f>AA102+MAX(0,MIN(AK102,'Debt Payoff'!$C$12-SUM($W102:$AF102)-SUMIFS($AG102:$AP102,$AG$4:$AP$4,"&lt;"&amp;AK$4)))</f>
        <v/>
      </c>
      <c r="AV102" s="160">
        <f>AB102+MAX(0,MIN(AL102,'Debt Payoff'!$C$12-SUM($W102:$AF102)-SUMIFS($AG102:$AP102,$AG$4:$AP$4,"&lt;"&amp;AL$4)))</f>
        <v/>
      </c>
      <c r="AW102" s="160">
        <f>AC102+MAX(0,MIN(AM102,'Debt Payoff'!$C$12-SUM($W102:$AF102)-SUMIFS($AG102:$AP102,$AG$4:$AP$4,"&lt;"&amp;AM$4)))</f>
        <v/>
      </c>
      <c r="AX102" s="160">
        <f>AD102+MAX(0,MIN(AN102,'Debt Payoff'!$C$12-SUM($W102:$AF102)-SUMIFS($AG102:$AP102,$AG$4:$AP$4,"&lt;"&amp;AN$4)))</f>
        <v/>
      </c>
      <c r="AY102" s="160">
        <f>AE102+MAX(0,MIN(AO102,'Debt Payoff'!$C$12-SUM($W102:$AF102)-SUMIFS($AG102:$AP102,$AG$4:$AP$4,"&lt;"&amp;AO$4)))</f>
        <v/>
      </c>
      <c r="AZ102" s="160">
        <f>AF102+MAX(0,MIN(AP102,'Debt Payoff'!$C$12-SUM($W102:$AF102)-SUMIFS($AG102:$AP102,$AG$4:$AP$4,"&lt;"&amp;AP$4)))</f>
        <v/>
      </c>
      <c r="BA102" s="160">
        <f>SUM(C102:L102)</f>
        <v/>
      </c>
      <c r="BB102" s="160">
        <f>SUM(AQ102:AZ102)</f>
        <v/>
      </c>
      <c r="BC102" s="160">
        <f>SUM(M102:V102)</f>
        <v/>
      </c>
    </row>
    <row r="103">
      <c r="A103" s="157" t="n">
        <v>98</v>
      </c>
      <c r="B103" s="159">
        <f>EDATE('Debt Payoff'!$C$6,97)</f>
        <v/>
      </c>
      <c r="C103" s="160">
        <f>MAX(0,ROUND(C102+M103-AQ103,2))</f>
        <v/>
      </c>
      <c r="D103" s="160">
        <f>MAX(0,ROUND(D102+N103-AR103,2))</f>
        <v/>
      </c>
      <c r="E103" s="160">
        <f>MAX(0,ROUND(E102+O103-AS103,2))</f>
        <v/>
      </c>
      <c r="F103" s="160">
        <f>MAX(0,ROUND(F102+P103-AT103,2))</f>
        <v/>
      </c>
      <c r="G103" s="160">
        <f>MAX(0,ROUND(G102+Q103-AU103,2))</f>
        <v/>
      </c>
      <c r="H103" s="160">
        <f>MAX(0,ROUND(H102+R103-AV103,2))</f>
        <v/>
      </c>
      <c r="I103" s="160">
        <f>MAX(0,ROUND(I102+S103-AW103,2))</f>
        <v/>
      </c>
      <c r="J103" s="160">
        <f>MAX(0,ROUND(J102+T103-AX103,2))</f>
        <v/>
      </c>
      <c r="K103" s="160">
        <f>MAX(0,ROUND(K102+U103-AY103,2))</f>
        <v/>
      </c>
      <c r="L103" s="160">
        <f>MAX(0,ROUND(L102+V103-AZ103,2))</f>
        <v/>
      </c>
      <c r="M103" s="160">
        <f>C102*N('Debt Payoff'!$D$15)/12</f>
        <v/>
      </c>
      <c r="N103" s="160">
        <f>D102*N('Debt Payoff'!$D$16)/12</f>
        <v/>
      </c>
      <c r="O103" s="160">
        <f>E102*N('Debt Payoff'!$D$17)/12</f>
        <v/>
      </c>
      <c r="P103" s="160">
        <f>F102*N('Debt Payoff'!$D$18)/12</f>
        <v/>
      </c>
      <c r="Q103" s="160">
        <f>G102*N('Debt Payoff'!$D$19)/12</f>
        <v/>
      </c>
      <c r="R103" s="160">
        <f>H102*N('Debt Payoff'!$D$20)/12</f>
        <v/>
      </c>
      <c r="S103" s="160">
        <f>I102*N('Debt Payoff'!$D$21)/12</f>
        <v/>
      </c>
      <c r="T103" s="160">
        <f>J102*N('Debt Payoff'!$D$22)/12</f>
        <v/>
      </c>
      <c r="U103" s="160">
        <f>K102*N('Debt Payoff'!$D$23)/12</f>
        <v/>
      </c>
      <c r="V103" s="160">
        <f>L102*N('Debt Payoff'!$D$24)/12</f>
        <v/>
      </c>
      <c r="W103" s="160">
        <f>MIN(N('Debt Payoff'!$E$15),C102+M103)</f>
        <v/>
      </c>
      <c r="X103" s="160">
        <f>MIN(N('Debt Payoff'!$E$16),D102+N103)</f>
        <v/>
      </c>
      <c r="Y103" s="160">
        <f>MIN(N('Debt Payoff'!$E$17),E102+O103)</f>
        <v/>
      </c>
      <c r="Z103" s="160">
        <f>MIN(N('Debt Payoff'!$E$18),F102+P103)</f>
        <v/>
      </c>
      <c r="AA103" s="160">
        <f>MIN(N('Debt Payoff'!$E$19),G102+Q103)</f>
        <v/>
      </c>
      <c r="AB103" s="160">
        <f>MIN(N('Debt Payoff'!$E$20),H102+R103)</f>
        <v/>
      </c>
      <c r="AC103" s="160">
        <f>MIN(N('Debt Payoff'!$E$21),I102+S103)</f>
        <v/>
      </c>
      <c r="AD103" s="160">
        <f>MIN(N('Debt Payoff'!$E$22),J102+T103)</f>
        <v/>
      </c>
      <c r="AE103" s="160">
        <f>MIN(N('Debt Payoff'!$E$23),K102+U103)</f>
        <v/>
      </c>
      <c r="AF103" s="160">
        <f>MIN(N('Debt Payoff'!$E$24),L102+V103)</f>
        <v/>
      </c>
      <c r="AG103" s="160">
        <f>C102+M103-W103</f>
        <v/>
      </c>
      <c r="AH103" s="160">
        <f>D102+N103-X103</f>
        <v/>
      </c>
      <c r="AI103" s="160">
        <f>E102+O103-Y103</f>
        <v/>
      </c>
      <c r="AJ103" s="160">
        <f>F102+P103-Z103</f>
        <v/>
      </c>
      <c r="AK103" s="160">
        <f>G102+Q103-AA103</f>
        <v/>
      </c>
      <c r="AL103" s="160">
        <f>H102+R103-AB103</f>
        <v/>
      </c>
      <c r="AM103" s="160">
        <f>I102+S103-AC103</f>
        <v/>
      </c>
      <c r="AN103" s="160">
        <f>J102+T103-AD103</f>
        <v/>
      </c>
      <c r="AO103" s="160">
        <f>K102+U103-AE103</f>
        <v/>
      </c>
      <c r="AP103" s="160">
        <f>L102+V103-AF103</f>
        <v/>
      </c>
      <c r="AQ103" s="160">
        <f>W103+MAX(0,MIN(AG103,'Debt Payoff'!$C$12-SUM($W103:$AF103)-SUMIFS($AG103:$AP103,$AG$4:$AP$4,"&lt;"&amp;AG$4)))</f>
        <v/>
      </c>
      <c r="AR103" s="160">
        <f>X103+MAX(0,MIN(AH103,'Debt Payoff'!$C$12-SUM($W103:$AF103)-SUMIFS($AG103:$AP103,$AG$4:$AP$4,"&lt;"&amp;AH$4)))</f>
        <v/>
      </c>
      <c r="AS103" s="160">
        <f>Y103+MAX(0,MIN(AI103,'Debt Payoff'!$C$12-SUM($W103:$AF103)-SUMIFS($AG103:$AP103,$AG$4:$AP$4,"&lt;"&amp;AI$4)))</f>
        <v/>
      </c>
      <c r="AT103" s="160">
        <f>Z103+MAX(0,MIN(AJ103,'Debt Payoff'!$C$12-SUM($W103:$AF103)-SUMIFS($AG103:$AP103,$AG$4:$AP$4,"&lt;"&amp;AJ$4)))</f>
        <v/>
      </c>
      <c r="AU103" s="160">
        <f>AA103+MAX(0,MIN(AK103,'Debt Payoff'!$C$12-SUM($W103:$AF103)-SUMIFS($AG103:$AP103,$AG$4:$AP$4,"&lt;"&amp;AK$4)))</f>
        <v/>
      </c>
      <c r="AV103" s="160">
        <f>AB103+MAX(0,MIN(AL103,'Debt Payoff'!$C$12-SUM($W103:$AF103)-SUMIFS($AG103:$AP103,$AG$4:$AP$4,"&lt;"&amp;AL$4)))</f>
        <v/>
      </c>
      <c r="AW103" s="160">
        <f>AC103+MAX(0,MIN(AM103,'Debt Payoff'!$C$12-SUM($W103:$AF103)-SUMIFS($AG103:$AP103,$AG$4:$AP$4,"&lt;"&amp;AM$4)))</f>
        <v/>
      </c>
      <c r="AX103" s="160">
        <f>AD103+MAX(0,MIN(AN103,'Debt Payoff'!$C$12-SUM($W103:$AF103)-SUMIFS($AG103:$AP103,$AG$4:$AP$4,"&lt;"&amp;AN$4)))</f>
        <v/>
      </c>
      <c r="AY103" s="160">
        <f>AE103+MAX(0,MIN(AO103,'Debt Payoff'!$C$12-SUM($W103:$AF103)-SUMIFS($AG103:$AP103,$AG$4:$AP$4,"&lt;"&amp;AO$4)))</f>
        <v/>
      </c>
      <c r="AZ103" s="160">
        <f>AF103+MAX(0,MIN(AP103,'Debt Payoff'!$C$12-SUM($W103:$AF103)-SUMIFS($AG103:$AP103,$AG$4:$AP$4,"&lt;"&amp;AP$4)))</f>
        <v/>
      </c>
      <c r="BA103" s="160">
        <f>SUM(C103:L103)</f>
        <v/>
      </c>
      <c r="BB103" s="160">
        <f>SUM(AQ103:AZ103)</f>
        <v/>
      </c>
      <c r="BC103" s="160">
        <f>SUM(M103:V103)</f>
        <v/>
      </c>
    </row>
    <row r="104">
      <c r="A104" s="157" t="n">
        <v>99</v>
      </c>
      <c r="B104" s="159">
        <f>EDATE('Debt Payoff'!$C$6,98)</f>
        <v/>
      </c>
      <c r="C104" s="160">
        <f>MAX(0,ROUND(C103+M104-AQ104,2))</f>
        <v/>
      </c>
      <c r="D104" s="160">
        <f>MAX(0,ROUND(D103+N104-AR104,2))</f>
        <v/>
      </c>
      <c r="E104" s="160">
        <f>MAX(0,ROUND(E103+O104-AS104,2))</f>
        <v/>
      </c>
      <c r="F104" s="160">
        <f>MAX(0,ROUND(F103+P104-AT104,2))</f>
        <v/>
      </c>
      <c r="G104" s="160">
        <f>MAX(0,ROUND(G103+Q104-AU104,2))</f>
        <v/>
      </c>
      <c r="H104" s="160">
        <f>MAX(0,ROUND(H103+R104-AV104,2))</f>
        <v/>
      </c>
      <c r="I104" s="160">
        <f>MAX(0,ROUND(I103+S104-AW104,2))</f>
        <v/>
      </c>
      <c r="J104" s="160">
        <f>MAX(0,ROUND(J103+T104-AX104,2))</f>
        <v/>
      </c>
      <c r="K104" s="160">
        <f>MAX(0,ROUND(K103+U104-AY104,2))</f>
        <v/>
      </c>
      <c r="L104" s="160">
        <f>MAX(0,ROUND(L103+V104-AZ104,2))</f>
        <v/>
      </c>
      <c r="M104" s="160">
        <f>C103*N('Debt Payoff'!$D$15)/12</f>
        <v/>
      </c>
      <c r="N104" s="160">
        <f>D103*N('Debt Payoff'!$D$16)/12</f>
        <v/>
      </c>
      <c r="O104" s="160">
        <f>E103*N('Debt Payoff'!$D$17)/12</f>
        <v/>
      </c>
      <c r="P104" s="160">
        <f>F103*N('Debt Payoff'!$D$18)/12</f>
        <v/>
      </c>
      <c r="Q104" s="160">
        <f>G103*N('Debt Payoff'!$D$19)/12</f>
        <v/>
      </c>
      <c r="R104" s="160">
        <f>H103*N('Debt Payoff'!$D$20)/12</f>
        <v/>
      </c>
      <c r="S104" s="160">
        <f>I103*N('Debt Payoff'!$D$21)/12</f>
        <v/>
      </c>
      <c r="T104" s="160">
        <f>J103*N('Debt Payoff'!$D$22)/12</f>
        <v/>
      </c>
      <c r="U104" s="160">
        <f>K103*N('Debt Payoff'!$D$23)/12</f>
        <v/>
      </c>
      <c r="V104" s="160">
        <f>L103*N('Debt Payoff'!$D$24)/12</f>
        <v/>
      </c>
      <c r="W104" s="160">
        <f>MIN(N('Debt Payoff'!$E$15),C103+M104)</f>
        <v/>
      </c>
      <c r="X104" s="160">
        <f>MIN(N('Debt Payoff'!$E$16),D103+N104)</f>
        <v/>
      </c>
      <c r="Y104" s="160">
        <f>MIN(N('Debt Payoff'!$E$17),E103+O104)</f>
        <v/>
      </c>
      <c r="Z104" s="160">
        <f>MIN(N('Debt Payoff'!$E$18),F103+P104)</f>
        <v/>
      </c>
      <c r="AA104" s="160">
        <f>MIN(N('Debt Payoff'!$E$19),G103+Q104)</f>
        <v/>
      </c>
      <c r="AB104" s="160">
        <f>MIN(N('Debt Payoff'!$E$20),H103+R104)</f>
        <v/>
      </c>
      <c r="AC104" s="160">
        <f>MIN(N('Debt Payoff'!$E$21),I103+S104)</f>
        <v/>
      </c>
      <c r="AD104" s="160">
        <f>MIN(N('Debt Payoff'!$E$22),J103+T104)</f>
        <v/>
      </c>
      <c r="AE104" s="160">
        <f>MIN(N('Debt Payoff'!$E$23),K103+U104)</f>
        <v/>
      </c>
      <c r="AF104" s="160">
        <f>MIN(N('Debt Payoff'!$E$24),L103+V104)</f>
        <v/>
      </c>
      <c r="AG104" s="160">
        <f>C103+M104-W104</f>
        <v/>
      </c>
      <c r="AH104" s="160">
        <f>D103+N104-X104</f>
        <v/>
      </c>
      <c r="AI104" s="160">
        <f>E103+O104-Y104</f>
        <v/>
      </c>
      <c r="AJ104" s="160">
        <f>F103+P104-Z104</f>
        <v/>
      </c>
      <c r="AK104" s="160">
        <f>G103+Q104-AA104</f>
        <v/>
      </c>
      <c r="AL104" s="160">
        <f>H103+R104-AB104</f>
        <v/>
      </c>
      <c r="AM104" s="160">
        <f>I103+S104-AC104</f>
        <v/>
      </c>
      <c r="AN104" s="160">
        <f>J103+T104-AD104</f>
        <v/>
      </c>
      <c r="AO104" s="160">
        <f>K103+U104-AE104</f>
        <v/>
      </c>
      <c r="AP104" s="160">
        <f>L103+V104-AF104</f>
        <v/>
      </c>
      <c r="AQ104" s="160">
        <f>W104+MAX(0,MIN(AG104,'Debt Payoff'!$C$12-SUM($W104:$AF104)-SUMIFS($AG104:$AP104,$AG$4:$AP$4,"&lt;"&amp;AG$4)))</f>
        <v/>
      </c>
      <c r="AR104" s="160">
        <f>X104+MAX(0,MIN(AH104,'Debt Payoff'!$C$12-SUM($W104:$AF104)-SUMIFS($AG104:$AP104,$AG$4:$AP$4,"&lt;"&amp;AH$4)))</f>
        <v/>
      </c>
      <c r="AS104" s="160">
        <f>Y104+MAX(0,MIN(AI104,'Debt Payoff'!$C$12-SUM($W104:$AF104)-SUMIFS($AG104:$AP104,$AG$4:$AP$4,"&lt;"&amp;AI$4)))</f>
        <v/>
      </c>
      <c r="AT104" s="160">
        <f>Z104+MAX(0,MIN(AJ104,'Debt Payoff'!$C$12-SUM($W104:$AF104)-SUMIFS($AG104:$AP104,$AG$4:$AP$4,"&lt;"&amp;AJ$4)))</f>
        <v/>
      </c>
      <c r="AU104" s="160">
        <f>AA104+MAX(0,MIN(AK104,'Debt Payoff'!$C$12-SUM($W104:$AF104)-SUMIFS($AG104:$AP104,$AG$4:$AP$4,"&lt;"&amp;AK$4)))</f>
        <v/>
      </c>
      <c r="AV104" s="160">
        <f>AB104+MAX(0,MIN(AL104,'Debt Payoff'!$C$12-SUM($W104:$AF104)-SUMIFS($AG104:$AP104,$AG$4:$AP$4,"&lt;"&amp;AL$4)))</f>
        <v/>
      </c>
      <c r="AW104" s="160">
        <f>AC104+MAX(0,MIN(AM104,'Debt Payoff'!$C$12-SUM($W104:$AF104)-SUMIFS($AG104:$AP104,$AG$4:$AP$4,"&lt;"&amp;AM$4)))</f>
        <v/>
      </c>
      <c r="AX104" s="160">
        <f>AD104+MAX(0,MIN(AN104,'Debt Payoff'!$C$12-SUM($W104:$AF104)-SUMIFS($AG104:$AP104,$AG$4:$AP$4,"&lt;"&amp;AN$4)))</f>
        <v/>
      </c>
      <c r="AY104" s="160">
        <f>AE104+MAX(0,MIN(AO104,'Debt Payoff'!$C$12-SUM($W104:$AF104)-SUMIFS($AG104:$AP104,$AG$4:$AP$4,"&lt;"&amp;AO$4)))</f>
        <v/>
      </c>
      <c r="AZ104" s="160">
        <f>AF104+MAX(0,MIN(AP104,'Debt Payoff'!$C$12-SUM($W104:$AF104)-SUMIFS($AG104:$AP104,$AG$4:$AP$4,"&lt;"&amp;AP$4)))</f>
        <v/>
      </c>
      <c r="BA104" s="160">
        <f>SUM(C104:L104)</f>
        <v/>
      </c>
      <c r="BB104" s="160">
        <f>SUM(AQ104:AZ104)</f>
        <v/>
      </c>
      <c r="BC104" s="160">
        <f>SUM(M104:V104)</f>
        <v/>
      </c>
    </row>
    <row r="105">
      <c r="A105" s="157" t="n">
        <v>100</v>
      </c>
      <c r="B105" s="159">
        <f>EDATE('Debt Payoff'!$C$6,99)</f>
        <v/>
      </c>
      <c r="C105" s="160">
        <f>MAX(0,ROUND(C104+M105-AQ105,2))</f>
        <v/>
      </c>
      <c r="D105" s="160">
        <f>MAX(0,ROUND(D104+N105-AR105,2))</f>
        <v/>
      </c>
      <c r="E105" s="160">
        <f>MAX(0,ROUND(E104+O105-AS105,2))</f>
        <v/>
      </c>
      <c r="F105" s="160">
        <f>MAX(0,ROUND(F104+P105-AT105,2))</f>
        <v/>
      </c>
      <c r="G105" s="160">
        <f>MAX(0,ROUND(G104+Q105-AU105,2))</f>
        <v/>
      </c>
      <c r="H105" s="160">
        <f>MAX(0,ROUND(H104+R105-AV105,2))</f>
        <v/>
      </c>
      <c r="I105" s="160">
        <f>MAX(0,ROUND(I104+S105-AW105,2))</f>
        <v/>
      </c>
      <c r="J105" s="160">
        <f>MAX(0,ROUND(J104+T105-AX105,2))</f>
        <v/>
      </c>
      <c r="K105" s="160">
        <f>MAX(0,ROUND(K104+U105-AY105,2))</f>
        <v/>
      </c>
      <c r="L105" s="160">
        <f>MAX(0,ROUND(L104+V105-AZ105,2))</f>
        <v/>
      </c>
      <c r="M105" s="160">
        <f>C104*N('Debt Payoff'!$D$15)/12</f>
        <v/>
      </c>
      <c r="N105" s="160">
        <f>D104*N('Debt Payoff'!$D$16)/12</f>
        <v/>
      </c>
      <c r="O105" s="160">
        <f>E104*N('Debt Payoff'!$D$17)/12</f>
        <v/>
      </c>
      <c r="P105" s="160">
        <f>F104*N('Debt Payoff'!$D$18)/12</f>
        <v/>
      </c>
      <c r="Q105" s="160">
        <f>G104*N('Debt Payoff'!$D$19)/12</f>
        <v/>
      </c>
      <c r="R105" s="160">
        <f>H104*N('Debt Payoff'!$D$20)/12</f>
        <v/>
      </c>
      <c r="S105" s="160">
        <f>I104*N('Debt Payoff'!$D$21)/12</f>
        <v/>
      </c>
      <c r="T105" s="160">
        <f>J104*N('Debt Payoff'!$D$22)/12</f>
        <v/>
      </c>
      <c r="U105" s="160">
        <f>K104*N('Debt Payoff'!$D$23)/12</f>
        <v/>
      </c>
      <c r="V105" s="160">
        <f>L104*N('Debt Payoff'!$D$24)/12</f>
        <v/>
      </c>
      <c r="W105" s="160">
        <f>MIN(N('Debt Payoff'!$E$15),C104+M105)</f>
        <v/>
      </c>
      <c r="X105" s="160">
        <f>MIN(N('Debt Payoff'!$E$16),D104+N105)</f>
        <v/>
      </c>
      <c r="Y105" s="160">
        <f>MIN(N('Debt Payoff'!$E$17),E104+O105)</f>
        <v/>
      </c>
      <c r="Z105" s="160">
        <f>MIN(N('Debt Payoff'!$E$18),F104+P105)</f>
        <v/>
      </c>
      <c r="AA105" s="160">
        <f>MIN(N('Debt Payoff'!$E$19),G104+Q105)</f>
        <v/>
      </c>
      <c r="AB105" s="160">
        <f>MIN(N('Debt Payoff'!$E$20),H104+R105)</f>
        <v/>
      </c>
      <c r="AC105" s="160">
        <f>MIN(N('Debt Payoff'!$E$21),I104+S105)</f>
        <v/>
      </c>
      <c r="AD105" s="160">
        <f>MIN(N('Debt Payoff'!$E$22),J104+T105)</f>
        <v/>
      </c>
      <c r="AE105" s="160">
        <f>MIN(N('Debt Payoff'!$E$23),K104+U105)</f>
        <v/>
      </c>
      <c r="AF105" s="160">
        <f>MIN(N('Debt Payoff'!$E$24),L104+V105)</f>
        <v/>
      </c>
      <c r="AG105" s="160">
        <f>C104+M105-W105</f>
        <v/>
      </c>
      <c r="AH105" s="160">
        <f>D104+N105-X105</f>
        <v/>
      </c>
      <c r="AI105" s="160">
        <f>E104+O105-Y105</f>
        <v/>
      </c>
      <c r="AJ105" s="160">
        <f>F104+P105-Z105</f>
        <v/>
      </c>
      <c r="AK105" s="160">
        <f>G104+Q105-AA105</f>
        <v/>
      </c>
      <c r="AL105" s="160">
        <f>H104+R105-AB105</f>
        <v/>
      </c>
      <c r="AM105" s="160">
        <f>I104+S105-AC105</f>
        <v/>
      </c>
      <c r="AN105" s="160">
        <f>J104+T105-AD105</f>
        <v/>
      </c>
      <c r="AO105" s="160">
        <f>K104+U105-AE105</f>
        <v/>
      </c>
      <c r="AP105" s="160">
        <f>L104+V105-AF105</f>
        <v/>
      </c>
      <c r="AQ105" s="160">
        <f>W105+MAX(0,MIN(AG105,'Debt Payoff'!$C$12-SUM($W105:$AF105)-SUMIFS($AG105:$AP105,$AG$4:$AP$4,"&lt;"&amp;AG$4)))</f>
        <v/>
      </c>
      <c r="AR105" s="160">
        <f>X105+MAX(0,MIN(AH105,'Debt Payoff'!$C$12-SUM($W105:$AF105)-SUMIFS($AG105:$AP105,$AG$4:$AP$4,"&lt;"&amp;AH$4)))</f>
        <v/>
      </c>
      <c r="AS105" s="160">
        <f>Y105+MAX(0,MIN(AI105,'Debt Payoff'!$C$12-SUM($W105:$AF105)-SUMIFS($AG105:$AP105,$AG$4:$AP$4,"&lt;"&amp;AI$4)))</f>
        <v/>
      </c>
      <c r="AT105" s="160">
        <f>Z105+MAX(0,MIN(AJ105,'Debt Payoff'!$C$12-SUM($W105:$AF105)-SUMIFS($AG105:$AP105,$AG$4:$AP$4,"&lt;"&amp;AJ$4)))</f>
        <v/>
      </c>
      <c r="AU105" s="160">
        <f>AA105+MAX(0,MIN(AK105,'Debt Payoff'!$C$12-SUM($W105:$AF105)-SUMIFS($AG105:$AP105,$AG$4:$AP$4,"&lt;"&amp;AK$4)))</f>
        <v/>
      </c>
      <c r="AV105" s="160">
        <f>AB105+MAX(0,MIN(AL105,'Debt Payoff'!$C$12-SUM($W105:$AF105)-SUMIFS($AG105:$AP105,$AG$4:$AP$4,"&lt;"&amp;AL$4)))</f>
        <v/>
      </c>
      <c r="AW105" s="160">
        <f>AC105+MAX(0,MIN(AM105,'Debt Payoff'!$C$12-SUM($W105:$AF105)-SUMIFS($AG105:$AP105,$AG$4:$AP$4,"&lt;"&amp;AM$4)))</f>
        <v/>
      </c>
      <c r="AX105" s="160">
        <f>AD105+MAX(0,MIN(AN105,'Debt Payoff'!$C$12-SUM($W105:$AF105)-SUMIFS($AG105:$AP105,$AG$4:$AP$4,"&lt;"&amp;AN$4)))</f>
        <v/>
      </c>
      <c r="AY105" s="160">
        <f>AE105+MAX(0,MIN(AO105,'Debt Payoff'!$C$12-SUM($W105:$AF105)-SUMIFS($AG105:$AP105,$AG$4:$AP$4,"&lt;"&amp;AO$4)))</f>
        <v/>
      </c>
      <c r="AZ105" s="160">
        <f>AF105+MAX(0,MIN(AP105,'Debt Payoff'!$C$12-SUM($W105:$AF105)-SUMIFS($AG105:$AP105,$AG$4:$AP$4,"&lt;"&amp;AP$4)))</f>
        <v/>
      </c>
      <c r="BA105" s="160">
        <f>SUM(C105:L105)</f>
        <v/>
      </c>
      <c r="BB105" s="160">
        <f>SUM(AQ105:AZ105)</f>
        <v/>
      </c>
      <c r="BC105" s="160">
        <f>SUM(M105:V105)</f>
        <v/>
      </c>
    </row>
    <row r="106">
      <c r="A106" s="157" t="n">
        <v>101</v>
      </c>
      <c r="B106" s="159">
        <f>EDATE('Debt Payoff'!$C$6,100)</f>
        <v/>
      </c>
      <c r="C106" s="160">
        <f>MAX(0,ROUND(C105+M106-AQ106,2))</f>
        <v/>
      </c>
      <c r="D106" s="160">
        <f>MAX(0,ROUND(D105+N106-AR106,2))</f>
        <v/>
      </c>
      <c r="E106" s="160">
        <f>MAX(0,ROUND(E105+O106-AS106,2))</f>
        <v/>
      </c>
      <c r="F106" s="160">
        <f>MAX(0,ROUND(F105+P106-AT106,2))</f>
        <v/>
      </c>
      <c r="G106" s="160">
        <f>MAX(0,ROUND(G105+Q106-AU106,2))</f>
        <v/>
      </c>
      <c r="H106" s="160">
        <f>MAX(0,ROUND(H105+R106-AV106,2))</f>
        <v/>
      </c>
      <c r="I106" s="160">
        <f>MAX(0,ROUND(I105+S106-AW106,2))</f>
        <v/>
      </c>
      <c r="J106" s="160">
        <f>MAX(0,ROUND(J105+T106-AX106,2))</f>
        <v/>
      </c>
      <c r="K106" s="160">
        <f>MAX(0,ROUND(K105+U106-AY106,2))</f>
        <v/>
      </c>
      <c r="L106" s="160">
        <f>MAX(0,ROUND(L105+V106-AZ106,2))</f>
        <v/>
      </c>
      <c r="M106" s="160">
        <f>C105*N('Debt Payoff'!$D$15)/12</f>
        <v/>
      </c>
      <c r="N106" s="160">
        <f>D105*N('Debt Payoff'!$D$16)/12</f>
        <v/>
      </c>
      <c r="O106" s="160">
        <f>E105*N('Debt Payoff'!$D$17)/12</f>
        <v/>
      </c>
      <c r="P106" s="160">
        <f>F105*N('Debt Payoff'!$D$18)/12</f>
        <v/>
      </c>
      <c r="Q106" s="160">
        <f>G105*N('Debt Payoff'!$D$19)/12</f>
        <v/>
      </c>
      <c r="R106" s="160">
        <f>H105*N('Debt Payoff'!$D$20)/12</f>
        <v/>
      </c>
      <c r="S106" s="160">
        <f>I105*N('Debt Payoff'!$D$21)/12</f>
        <v/>
      </c>
      <c r="T106" s="160">
        <f>J105*N('Debt Payoff'!$D$22)/12</f>
        <v/>
      </c>
      <c r="U106" s="160">
        <f>K105*N('Debt Payoff'!$D$23)/12</f>
        <v/>
      </c>
      <c r="V106" s="160">
        <f>L105*N('Debt Payoff'!$D$24)/12</f>
        <v/>
      </c>
      <c r="W106" s="160">
        <f>MIN(N('Debt Payoff'!$E$15),C105+M106)</f>
        <v/>
      </c>
      <c r="X106" s="160">
        <f>MIN(N('Debt Payoff'!$E$16),D105+N106)</f>
        <v/>
      </c>
      <c r="Y106" s="160">
        <f>MIN(N('Debt Payoff'!$E$17),E105+O106)</f>
        <v/>
      </c>
      <c r="Z106" s="160">
        <f>MIN(N('Debt Payoff'!$E$18),F105+P106)</f>
        <v/>
      </c>
      <c r="AA106" s="160">
        <f>MIN(N('Debt Payoff'!$E$19),G105+Q106)</f>
        <v/>
      </c>
      <c r="AB106" s="160">
        <f>MIN(N('Debt Payoff'!$E$20),H105+R106)</f>
        <v/>
      </c>
      <c r="AC106" s="160">
        <f>MIN(N('Debt Payoff'!$E$21),I105+S106)</f>
        <v/>
      </c>
      <c r="AD106" s="160">
        <f>MIN(N('Debt Payoff'!$E$22),J105+T106)</f>
        <v/>
      </c>
      <c r="AE106" s="160">
        <f>MIN(N('Debt Payoff'!$E$23),K105+U106)</f>
        <v/>
      </c>
      <c r="AF106" s="160">
        <f>MIN(N('Debt Payoff'!$E$24),L105+V106)</f>
        <v/>
      </c>
      <c r="AG106" s="160">
        <f>C105+M106-W106</f>
        <v/>
      </c>
      <c r="AH106" s="160">
        <f>D105+N106-X106</f>
        <v/>
      </c>
      <c r="AI106" s="160">
        <f>E105+O106-Y106</f>
        <v/>
      </c>
      <c r="AJ106" s="160">
        <f>F105+P106-Z106</f>
        <v/>
      </c>
      <c r="AK106" s="160">
        <f>G105+Q106-AA106</f>
        <v/>
      </c>
      <c r="AL106" s="160">
        <f>H105+R106-AB106</f>
        <v/>
      </c>
      <c r="AM106" s="160">
        <f>I105+S106-AC106</f>
        <v/>
      </c>
      <c r="AN106" s="160">
        <f>J105+T106-AD106</f>
        <v/>
      </c>
      <c r="AO106" s="160">
        <f>K105+U106-AE106</f>
        <v/>
      </c>
      <c r="AP106" s="160">
        <f>L105+V106-AF106</f>
        <v/>
      </c>
      <c r="AQ106" s="160">
        <f>W106+MAX(0,MIN(AG106,'Debt Payoff'!$C$12-SUM($W106:$AF106)-SUMIFS($AG106:$AP106,$AG$4:$AP$4,"&lt;"&amp;AG$4)))</f>
        <v/>
      </c>
      <c r="AR106" s="160">
        <f>X106+MAX(0,MIN(AH106,'Debt Payoff'!$C$12-SUM($W106:$AF106)-SUMIFS($AG106:$AP106,$AG$4:$AP$4,"&lt;"&amp;AH$4)))</f>
        <v/>
      </c>
      <c r="AS106" s="160">
        <f>Y106+MAX(0,MIN(AI106,'Debt Payoff'!$C$12-SUM($W106:$AF106)-SUMIFS($AG106:$AP106,$AG$4:$AP$4,"&lt;"&amp;AI$4)))</f>
        <v/>
      </c>
      <c r="AT106" s="160">
        <f>Z106+MAX(0,MIN(AJ106,'Debt Payoff'!$C$12-SUM($W106:$AF106)-SUMIFS($AG106:$AP106,$AG$4:$AP$4,"&lt;"&amp;AJ$4)))</f>
        <v/>
      </c>
      <c r="AU106" s="160">
        <f>AA106+MAX(0,MIN(AK106,'Debt Payoff'!$C$12-SUM($W106:$AF106)-SUMIFS($AG106:$AP106,$AG$4:$AP$4,"&lt;"&amp;AK$4)))</f>
        <v/>
      </c>
      <c r="AV106" s="160">
        <f>AB106+MAX(0,MIN(AL106,'Debt Payoff'!$C$12-SUM($W106:$AF106)-SUMIFS($AG106:$AP106,$AG$4:$AP$4,"&lt;"&amp;AL$4)))</f>
        <v/>
      </c>
      <c r="AW106" s="160">
        <f>AC106+MAX(0,MIN(AM106,'Debt Payoff'!$C$12-SUM($W106:$AF106)-SUMIFS($AG106:$AP106,$AG$4:$AP$4,"&lt;"&amp;AM$4)))</f>
        <v/>
      </c>
      <c r="AX106" s="160">
        <f>AD106+MAX(0,MIN(AN106,'Debt Payoff'!$C$12-SUM($W106:$AF106)-SUMIFS($AG106:$AP106,$AG$4:$AP$4,"&lt;"&amp;AN$4)))</f>
        <v/>
      </c>
      <c r="AY106" s="160">
        <f>AE106+MAX(0,MIN(AO106,'Debt Payoff'!$C$12-SUM($W106:$AF106)-SUMIFS($AG106:$AP106,$AG$4:$AP$4,"&lt;"&amp;AO$4)))</f>
        <v/>
      </c>
      <c r="AZ106" s="160">
        <f>AF106+MAX(0,MIN(AP106,'Debt Payoff'!$C$12-SUM($W106:$AF106)-SUMIFS($AG106:$AP106,$AG$4:$AP$4,"&lt;"&amp;AP$4)))</f>
        <v/>
      </c>
      <c r="BA106" s="160">
        <f>SUM(C106:L106)</f>
        <v/>
      </c>
      <c r="BB106" s="160">
        <f>SUM(AQ106:AZ106)</f>
        <v/>
      </c>
      <c r="BC106" s="160">
        <f>SUM(M106:V106)</f>
        <v/>
      </c>
    </row>
    <row r="107">
      <c r="A107" s="157" t="n">
        <v>102</v>
      </c>
      <c r="B107" s="159">
        <f>EDATE('Debt Payoff'!$C$6,101)</f>
        <v/>
      </c>
      <c r="C107" s="160">
        <f>MAX(0,ROUND(C106+M107-AQ107,2))</f>
        <v/>
      </c>
      <c r="D107" s="160">
        <f>MAX(0,ROUND(D106+N107-AR107,2))</f>
        <v/>
      </c>
      <c r="E107" s="160">
        <f>MAX(0,ROUND(E106+O107-AS107,2))</f>
        <v/>
      </c>
      <c r="F107" s="160">
        <f>MAX(0,ROUND(F106+P107-AT107,2))</f>
        <v/>
      </c>
      <c r="G107" s="160">
        <f>MAX(0,ROUND(G106+Q107-AU107,2))</f>
        <v/>
      </c>
      <c r="H107" s="160">
        <f>MAX(0,ROUND(H106+R107-AV107,2))</f>
        <v/>
      </c>
      <c r="I107" s="160">
        <f>MAX(0,ROUND(I106+S107-AW107,2))</f>
        <v/>
      </c>
      <c r="J107" s="160">
        <f>MAX(0,ROUND(J106+T107-AX107,2))</f>
        <v/>
      </c>
      <c r="K107" s="160">
        <f>MAX(0,ROUND(K106+U107-AY107,2))</f>
        <v/>
      </c>
      <c r="L107" s="160">
        <f>MAX(0,ROUND(L106+V107-AZ107,2))</f>
        <v/>
      </c>
      <c r="M107" s="160">
        <f>C106*N('Debt Payoff'!$D$15)/12</f>
        <v/>
      </c>
      <c r="N107" s="160">
        <f>D106*N('Debt Payoff'!$D$16)/12</f>
        <v/>
      </c>
      <c r="O107" s="160">
        <f>E106*N('Debt Payoff'!$D$17)/12</f>
        <v/>
      </c>
      <c r="P107" s="160">
        <f>F106*N('Debt Payoff'!$D$18)/12</f>
        <v/>
      </c>
      <c r="Q107" s="160">
        <f>G106*N('Debt Payoff'!$D$19)/12</f>
        <v/>
      </c>
      <c r="R107" s="160">
        <f>H106*N('Debt Payoff'!$D$20)/12</f>
        <v/>
      </c>
      <c r="S107" s="160">
        <f>I106*N('Debt Payoff'!$D$21)/12</f>
        <v/>
      </c>
      <c r="T107" s="160">
        <f>J106*N('Debt Payoff'!$D$22)/12</f>
        <v/>
      </c>
      <c r="U107" s="160">
        <f>K106*N('Debt Payoff'!$D$23)/12</f>
        <v/>
      </c>
      <c r="V107" s="160">
        <f>L106*N('Debt Payoff'!$D$24)/12</f>
        <v/>
      </c>
      <c r="W107" s="160">
        <f>MIN(N('Debt Payoff'!$E$15),C106+M107)</f>
        <v/>
      </c>
      <c r="X107" s="160">
        <f>MIN(N('Debt Payoff'!$E$16),D106+N107)</f>
        <v/>
      </c>
      <c r="Y107" s="160">
        <f>MIN(N('Debt Payoff'!$E$17),E106+O107)</f>
        <v/>
      </c>
      <c r="Z107" s="160">
        <f>MIN(N('Debt Payoff'!$E$18),F106+P107)</f>
        <v/>
      </c>
      <c r="AA107" s="160">
        <f>MIN(N('Debt Payoff'!$E$19),G106+Q107)</f>
        <v/>
      </c>
      <c r="AB107" s="160">
        <f>MIN(N('Debt Payoff'!$E$20),H106+R107)</f>
        <v/>
      </c>
      <c r="AC107" s="160">
        <f>MIN(N('Debt Payoff'!$E$21),I106+S107)</f>
        <v/>
      </c>
      <c r="AD107" s="160">
        <f>MIN(N('Debt Payoff'!$E$22),J106+T107)</f>
        <v/>
      </c>
      <c r="AE107" s="160">
        <f>MIN(N('Debt Payoff'!$E$23),K106+U107)</f>
        <v/>
      </c>
      <c r="AF107" s="160">
        <f>MIN(N('Debt Payoff'!$E$24),L106+V107)</f>
        <v/>
      </c>
      <c r="AG107" s="160">
        <f>C106+M107-W107</f>
        <v/>
      </c>
      <c r="AH107" s="160">
        <f>D106+N107-X107</f>
        <v/>
      </c>
      <c r="AI107" s="160">
        <f>E106+O107-Y107</f>
        <v/>
      </c>
      <c r="AJ107" s="160">
        <f>F106+P107-Z107</f>
        <v/>
      </c>
      <c r="AK107" s="160">
        <f>G106+Q107-AA107</f>
        <v/>
      </c>
      <c r="AL107" s="160">
        <f>H106+R107-AB107</f>
        <v/>
      </c>
      <c r="AM107" s="160">
        <f>I106+S107-AC107</f>
        <v/>
      </c>
      <c r="AN107" s="160">
        <f>J106+T107-AD107</f>
        <v/>
      </c>
      <c r="AO107" s="160">
        <f>K106+U107-AE107</f>
        <v/>
      </c>
      <c r="AP107" s="160">
        <f>L106+V107-AF107</f>
        <v/>
      </c>
      <c r="AQ107" s="160">
        <f>W107+MAX(0,MIN(AG107,'Debt Payoff'!$C$12-SUM($W107:$AF107)-SUMIFS($AG107:$AP107,$AG$4:$AP$4,"&lt;"&amp;AG$4)))</f>
        <v/>
      </c>
      <c r="AR107" s="160">
        <f>X107+MAX(0,MIN(AH107,'Debt Payoff'!$C$12-SUM($W107:$AF107)-SUMIFS($AG107:$AP107,$AG$4:$AP$4,"&lt;"&amp;AH$4)))</f>
        <v/>
      </c>
      <c r="AS107" s="160">
        <f>Y107+MAX(0,MIN(AI107,'Debt Payoff'!$C$12-SUM($W107:$AF107)-SUMIFS($AG107:$AP107,$AG$4:$AP$4,"&lt;"&amp;AI$4)))</f>
        <v/>
      </c>
      <c r="AT107" s="160">
        <f>Z107+MAX(0,MIN(AJ107,'Debt Payoff'!$C$12-SUM($W107:$AF107)-SUMIFS($AG107:$AP107,$AG$4:$AP$4,"&lt;"&amp;AJ$4)))</f>
        <v/>
      </c>
      <c r="AU107" s="160">
        <f>AA107+MAX(0,MIN(AK107,'Debt Payoff'!$C$12-SUM($W107:$AF107)-SUMIFS($AG107:$AP107,$AG$4:$AP$4,"&lt;"&amp;AK$4)))</f>
        <v/>
      </c>
      <c r="AV107" s="160">
        <f>AB107+MAX(0,MIN(AL107,'Debt Payoff'!$C$12-SUM($W107:$AF107)-SUMIFS($AG107:$AP107,$AG$4:$AP$4,"&lt;"&amp;AL$4)))</f>
        <v/>
      </c>
      <c r="AW107" s="160">
        <f>AC107+MAX(0,MIN(AM107,'Debt Payoff'!$C$12-SUM($W107:$AF107)-SUMIFS($AG107:$AP107,$AG$4:$AP$4,"&lt;"&amp;AM$4)))</f>
        <v/>
      </c>
      <c r="AX107" s="160">
        <f>AD107+MAX(0,MIN(AN107,'Debt Payoff'!$C$12-SUM($W107:$AF107)-SUMIFS($AG107:$AP107,$AG$4:$AP$4,"&lt;"&amp;AN$4)))</f>
        <v/>
      </c>
      <c r="AY107" s="160">
        <f>AE107+MAX(0,MIN(AO107,'Debt Payoff'!$C$12-SUM($W107:$AF107)-SUMIFS($AG107:$AP107,$AG$4:$AP$4,"&lt;"&amp;AO$4)))</f>
        <v/>
      </c>
      <c r="AZ107" s="160">
        <f>AF107+MAX(0,MIN(AP107,'Debt Payoff'!$C$12-SUM($W107:$AF107)-SUMIFS($AG107:$AP107,$AG$4:$AP$4,"&lt;"&amp;AP$4)))</f>
        <v/>
      </c>
      <c r="BA107" s="160">
        <f>SUM(C107:L107)</f>
        <v/>
      </c>
      <c r="BB107" s="160">
        <f>SUM(AQ107:AZ107)</f>
        <v/>
      </c>
      <c r="BC107" s="160">
        <f>SUM(M107:V107)</f>
        <v/>
      </c>
    </row>
    <row r="108">
      <c r="A108" s="157" t="n">
        <v>103</v>
      </c>
      <c r="B108" s="159">
        <f>EDATE('Debt Payoff'!$C$6,102)</f>
        <v/>
      </c>
      <c r="C108" s="160">
        <f>MAX(0,ROUND(C107+M108-AQ108,2))</f>
        <v/>
      </c>
      <c r="D108" s="160">
        <f>MAX(0,ROUND(D107+N108-AR108,2))</f>
        <v/>
      </c>
      <c r="E108" s="160">
        <f>MAX(0,ROUND(E107+O108-AS108,2))</f>
        <v/>
      </c>
      <c r="F108" s="160">
        <f>MAX(0,ROUND(F107+P108-AT108,2))</f>
        <v/>
      </c>
      <c r="G108" s="160">
        <f>MAX(0,ROUND(G107+Q108-AU108,2))</f>
        <v/>
      </c>
      <c r="H108" s="160">
        <f>MAX(0,ROUND(H107+R108-AV108,2))</f>
        <v/>
      </c>
      <c r="I108" s="160">
        <f>MAX(0,ROUND(I107+S108-AW108,2))</f>
        <v/>
      </c>
      <c r="J108" s="160">
        <f>MAX(0,ROUND(J107+T108-AX108,2))</f>
        <v/>
      </c>
      <c r="K108" s="160">
        <f>MAX(0,ROUND(K107+U108-AY108,2))</f>
        <v/>
      </c>
      <c r="L108" s="160">
        <f>MAX(0,ROUND(L107+V108-AZ108,2))</f>
        <v/>
      </c>
      <c r="M108" s="160">
        <f>C107*N('Debt Payoff'!$D$15)/12</f>
        <v/>
      </c>
      <c r="N108" s="160">
        <f>D107*N('Debt Payoff'!$D$16)/12</f>
        <v/>
      </c>
      <c r="O108" s="160">
        <f>E107*N('Debt Payoff'!$D$17)/12</f>
        <v/>
      </c>
      <c r="P108" s="160">
        <f>F107*N('Debt Payoff'!$D$18)/12</f>
        <v/>
      </c>
      <c r="Q108" s="160">
        <f>G107*N('Debt Payoff'!$D$19)/12</f>
        <v/>
      </c>
      <c r="R108" s="160">
        <f>H107*N('Debt Payoff'!$D$20)/12</f>
        <v/>
      </c>
      <c r="S108" s="160">
        <f>I107*N('Debt Payoff'!$D$21)/12</f>
        <v/>
      </c>
      <c r="T108" s="160">
        <f>J107*N('Debt Payoff'!$D$22)/12</f>
        <v/>
      </c>
      <c r="U108" s="160">
        <f>K107*N('Debt Payoff'!$D$23)/12</f>
        <v/>
      </c>
      <c r="V108" s="160">
        <f>L107*N('Debt Payoff'!$D$24)/12</f>
        <v/>
      </c>
      <c r="W108" s="160">
        <f>MIN(N('Debt Payoff'!$E$15),C107+M108)</f>
        <v/>
      </c>
      <c r="X108" s="160">
        <f>MIN(N('Debt Payoff'!$E$16),D107+N108)</f>
        <v/>
      </c>
      <c r="Y108" s="160">
        <f>MIN(N('Debt Payoff'!$E$17),E107+O108)</f>
        <v/>
      </c>
      <c r="Z108" s="160">
        <f>MIN(N('Debt Payoff'!$E$18),F107+P108)</f>
        <v/>
      </c>
      <c r="AA108" s="160">
        <f>MIN(N('Debt Payoff'!$E$19),G107+Q108)</f>
        <v/>
      </c>
      <c r="AB108" s="160">
        <f>MIN(N('Debt Payoff'!$E$20),H107+R108)</f>
        <v/>
      </c>
      <c r="AC108" s="160">
        <f>MIN(N('Debt Payoff'!$E$21),I107+S108)</f>
        <v/>
      </c>
      <c r="AD108" s="160">
        <f>MIN(N('Debt Payoff'!$E$22),J107+T108)</f>
        <v/>
      </c>
      <c r="AE108" s="160">
        <f>MIN(N('Debt Payoff'!$E$23),K107+U108)</f>
        <v/>
      </c>
      <c r="AF108" s="160">
        <f>MIN(N('Debt Payoff'!$E$24),L107+V108)</f>
        <v/>
      </c>
      <c r="AG108" s="160">
        <f>C107+M108-W108</f>
        <v/>
      </c>
      <c r="AH108" s="160">
        <f>D107+N108-X108</f>
        <v/>
      </c>
      <c r="AI108" s="160">
        <f>E107+O108-Y108</f>
        <v/>
      </c>
      <c r="AJ108" s="160">
        <f>F107+P108-Z108</f>
        <v/>
      </c>
      <c r="AK108" s="160">
        <f>G107+Q108-AA108</f>
        <v/>
      </c>
      <c r="AL108" s="160">
        <f>H107+R108-AB108</f>
        <v/>
      </c>
      <c r="AM108" s="160">
        <f>I107+S108-AC108</f>
        <v/>
      </c>
      <c r="AN108" s="160">
        <f>J107+T108-AD108</f>
        <v/>
      </c>
      <c r="AO108" s="160">
        <f>K107+U108-AE108</f>
        <v/>
      </c>
      <c r="AP108" s="160">
        <f>L107+V108-AF108</f>
        <v/>
      </c>
      <c r="AQ108" s="160">
        <f>W108+MAX(0,MIN(AG108,'Debt Payoff'!$C$12-SUM($W108:$AF108)-SUMIFS($AG108:$AP108,$AG$4:$AP$4,"&lt;"&amp;AG$4)))</f>
        <v/>
      </c>
      <c r="AR108" s="160">
        <f>X108+MAX(0,MIN(AH108,'Debt Payoff'!$C$12-SUM($W108:$AF108)-SUMIFS($AG108:$AP108,$AG$4:$AP$4,"&lt;"&amp;AH$4)))</f>
        <v/>
      </c>
      <c r="AS108" s="160">
        <f>Y108+MAX(0,MIN(AI108,'Debt Payoff'!$C$12-SUM($W108:$AF108)-SUMIFS($AG108:$AP108,$AG$4:$AP$4,"&lt;"&amp;AI$4)))</f>
        <v/>
      </c>
      <c r="AT108" s="160">
        <f>Z108+MAX(0,MIN(AJ108,'Debt Payoff'!$C$12-SUM($W108:$AF108)-SUMIFS($AG108:$AP108,$AG$4:$AP$4,"&lt;"&amp;AJ$4)))</f>
        <v/>
      </c>
      <c r="AU108" s="160">
        <f>AA108+MAX(0,MIN(AK108,'Debt Payoff'!$C$12-SUM($W108:$AF108)-SUMIFS($AG108:$AP108,$AG$4:$AP$4,"&lt;"&amp;AK$4)))</f>
        <v/>
      </c>
      <c r="AV108" s="160">
        <f>AB108+MAX(0,MIN(AL108,'Debt Payoff'!$C$12-SUM($W108:$AF108)-SUMIFS($AG108:$AP108,$AG$4:$AP$4,"&lt;"&amp;AL$4)))</f>
        <v/>
      </c>
      <c r="AW108" s="160">
        <f>AC108+MAX(0,MIN(AM108,'Debt Payoff'!$C$12-SUM($W108:$AF108)-SUMIFS($AG108:$AP108,$AG$4:$AP$4,"&lt;"&amp;AM$4)))</f>
        <v/>
      </c>
      <c r="AX108" s="160">
        <f>AD108+MAX(0,MIN(AN108,'Debt Payoff'!$C$12-SUM($W108:$AF108)-SUMIFS($AG108:$AP108,$AG$4:$AP$4,"&lt;"&amp;AN$4)))</f>
        <v/>
      </c>
      <c r="AY108" s="160">
        <f>AE108+MAX(0,MIN(AO108,'Debt Payoff'!$C$12-SUM($W108:$AF108)-SUMIFS($AG108:$AP108,$AG$4:$AP$4,"&lt;"&amp;AO$4)))</f>
        <v/>
      </c>
      <c r="AZ108" s="160">
        <f>AF108+MAX(0,MIN(AP108,'Debt Payoff'!$C$12-SUM($W108:$AF108)-SUMIFS($AG108:$AP108,$AG$4:$AP$4,"&lt;"&amp;AP$4)))</f>
        <v/>
      </c>
      <c r="BA108" s="160">
        <f>SUM(C108:L108)</f>
        <v/>
      </c>
      <c r="BB108" s="160">
        <f>SUM(AQ108:AZ108)</f>
        <v/>
      </c>
      <c r="BC108" s="160">
        <f>SUM(M108:V108)</f>
        <v/>
      </c>
    </row>
    <row r="109">
      <c r="A109" s="157" t="n">
        <v>104</v>
      </c>
      <c r="B109" s="159">
        <f>EDATE('Debt Payoff'!$C$6,103)</f>
        <v/>
      </c>
      <c r="C109" s="160">
        <f>MAX(0,ROUND(C108+M109-AQ109,2))</f>
        <v/>
      </c>
      <c r="D109" s="160">
        <f>MAX(0,ROUND(D108+N109-AR109,2))</f>
        <v/>
      </c>
      <c r="E109" s="160">
        <f>MAX(0,ROUND(E108+O109-AS109,2))</f>
        <v/>
      </c>
      <c r="F109" s="160">
        <f>MAX(0,ROUND(F108+P109-AT109,2))</f>
        <v/>
      </c>
      <c r="G109" s="160">
        <f>MAX(0,ROUND(G108+Q109-AU109,2))</f>
        <v/>
      </c>
      <c r="H109" s="160">
        <f>MAX(0,ROUND(H108+R109-AV109,2))</f>
        <v/>
      </c>
      <c r="I109" s="160">
        <f>MAX(0,ROUND(I108+S109-AW109,2))</f>
        <v/>
      </c>
      <c r="J109" s="160">
        <f>MAX(0,ROUND(J108+T109-AX109,2))</f>
        <v/>
      </c>
      <c r="K109" s="160">
        <f>MAX(0,ROUND(K108+U109-AY109,2))</f>
        <v/>
      </c>
      <c r="L109" s="160">
        <f>MAX(0,ROUND(L108+V109-AZ109,2))</f>
        <v/>
      </c>
      <c r="M109" s="160">
        <f>C108*N('Debt Payoff'!$D$15)/12</f>
        <v/>
      </c>
      <c r="N109" s="160">
        <f>D108*N('Debt Payoff'!$D$16)/12</f>
        <v/>
      </c>
      <c r="O109" s="160">
        <f>E108*N('Debt Payoff'!$D$17)/12</f>
        <v/>
      </c>
      <c r="P109" s="160">
        <f>F108*N('Debt Payoff'!$D$18)/12</f>
        <v/>
      </c>
      <c r="Q109" s="160">
        <f>G108*N('Debt Payoff'!$D$19)/12</f>
        <v/>
      </c>
      <c r="R109" s="160">
        <f>H108*N('Debt Payoff'!$D$20)/12</f>
        <v/>
      </c>
      <c r="S109" s="160">
        <f>I108*N('Debt Payoff'!$D$21)/12</f>
        <v/>
      </c>
      <c r="T109" s="160">
        <f>J108*N('Debt Payoff'!$D$22)/12</f>
        <v/>
      </c>
      <c r="U109" s="160">
        <f>K108*N('Debt Payoff'!$D$23)/12</f>
        <v/>
      </c>
      <c r="V109" s="160">
        <f>L108*N('Debt Payoff'!$D$24)/12</f>
        <v/>
      </c>
      <c r="W109" s="160">
        <f>MIN(N('Debt Payoff'!$E$15),C108+M109)</f>
        <v/>
      </c>
      <c r="X109" s="160">
        <f>MIN(N('Debt Payoff'!$E$16),D108+N109)</f>
        <v/>
      </c>
      <c r="Y109" s="160">
        <f>MIN(N('Debt Payoff'!$E$17),E108+O109)</f>
        <v/>
      </c>
      <c r="Z109" s="160">
        <f>MIN(N('Debt Payoff'!$E$18),F108+P109)</f>
        <v/>
      </c>
      <c r="AA109" s="160">
        <f>MIN(N('Debt Payoff'!$E$19),G108+Q109)</f>
        <v/>
      </c>
      <c r="AB109" s="160">
        <f>MIN(N('Debt Payoff'!$E$20),H108+R109)</f>
        <v/>
      </c>
      <c r="AC109" s="160">
        <f>MIN(N('Debt Payoff'!$E$21),I108+S109)</f>
        <v/>
      </c>
      <c r="AD109" s="160">
        <f>MIN(N('Debt Payoff'!$E$22),J108+T109)</f>
        <v/>
      </c>
      <c r="AE109" s="160">
        <f>MIN(N('Debt Payoff'!$E$23),K108+U109)</f>
        <v/>
      </c>
      <c r="AF109" s="160">
        <f>MIN(N('Debt Payoff'!$E$24),L108+V109)</f>
        <v/>
      </c>
      <c r="AG109" s="160">
        <f>C108+M109-W109</f>
        <v/>
      </c>
      <c r="AH109" s="160">
        <f>D108+N109-X109</f>
        <v/>
      </c>
      <c r="AI109" s="160">
        <f>E108+O109-Y109</f>
        <v/>
      </c>
      <c r="AJ109" s="160">
        <f>F108+P109-Z109</f>
        <v/>
      </c>
      <c r="AK109" s="160">
        <f>G108+Q109-AA109</f>
        <v/>
      </c>
      <c r="AL109" s="160">
        <f>H108+R109-AB109</f>
        <v/>
      </c>
      <c r="AM109" s="160">
        <f>I108+S109-AC109</f>
        <v/>
      </c>
      <c r="AN109" s="160">
        <f>J108+T109-AD109</f>
        <v/>
      </c>
      <c r="AO109" s="160">
        <f>K108+U109-AE109</f>
        <v/>
      </c>
      <c r="AP109" s="160">
        <f>L108+V109-AF109</f>
        <v/>
      </c>
      <c r="AQ109" s="160">
        <f>W109+MAX(0,MIN(AG109,'Debt Payoff'!$C$12-SUM($W109:$AF109)-SUMIFS($AG109:$AP109,$AG$4:$AP$4,"&lt;"&amp;AG$4)))</f>
        <v/>
      </c>
      <c r="AR109" s="160">
        <f>X109+MAX(0,MIN(AH109,'Debt Payoff'!$C$12-SUM($W109:$AF109)-SUMIFS($AG109:$AP109,$AG$4:$AP$4,"&lt;"&amp;AH$4)))</f>
        <v/>
      </c>
      <c r="AS109" s="160">
        <f>Y109+MAX(0,MIN(AI109,'Debt Payoff'!$C$12-SUM($W109:$AF109)-SUMIFS($AG109:$AP109,$AG$4:$AP$4,"&lt;"&amp;AI$4)))</f>
        <v/>
      </c>
      <c r="AT109" s="160">
        <f>Z109+MAX(0,MIN(AJ109,'Debt Payoff'!$C$12-SUM($W109:$AF109)-SUMIFS($AG109:$AP109,$AG$4:$AP$4,"&lt;"&amp;AJ$4)))</f>
        <v/>
      </c>
      <c r="AU109" s="160">
        <f>AA109+MAX(0,MIN(AK109,'Debt Payoff'!$C$12-SUM($W109:$AF109)-SUMIFS($AG109:$AP109,$AG$4:$AP$4,"&lt;"&amp;AK$4)))</f>
        <v/>
      </c>
      <c r="AV109" s="160">
        <f>AB109+MAX(0,MIN(AL109,'Debt Payoff'!$C$12-SUM($W109:$AF109)-SUMIFS($AG109:$AP109,$AG$4:$AP$4,"&lt;"&amp;AL$4)))</f>
        <v/>
      </c>
      <c r="AW109" s="160">
        <f>AC109+MAX(0,MIN(AM109,'Debt Payoff'!$C$12-SUM($W109:$AF109)-SUMIFS($AG109:$AP109,$AG$4:$AP$4,"&lt;"&amp;AM$4)))</f>
        <v/>
      </c>
      <c r="AX109" s="160">
        <f>AD109+MAX(0,MIN(AN109,'Debt Payoff'!$C$12-SUM($W109:$AF109)-SUMIFS($AG109:$AP109,$AG$4:$AP$4,"&lt;"&amp;AN$4)))</f>
        <v/>
      </c>
      <c r="AY109" s="160">
        <f>AE109+MAX(0,MIN(AO109,'Debt Payoff'!$C$12-SUM($W109:$AF109)-SUMIFS($AG109:$AP109,$AG$4:$AP$4,"&lt;"&amp;AO$4)))</f>
        <v/>
      </c>
      <c r="AZ109" s="160">
        <f>AF109+MAX(0,MIN(AP109,'Debt Payoff'!$C$12-SUM($W109:$AF109)-SUMIFS($AG109:$AP109,$AG$4:$AP$4,"&lt;"&amp;AP$4)))</f>
        <v/>
      </c>
      <c r="BA109" s="160">
        <f>SUM(C109:L109)</f>
        <v/>
      </c>
      <c r="BB109" s="160">
        <f>SUM(AQ109:AZ109)</f>
        <v/>
      </c>
      <c r="BC109" s="160">
        <f>SUM(M109:V109)</f>
        <v/>
      </c>
    </row>
    <row r="110">
      <c r="A110" s="157" t="n">
        <v>105</v>
      </c>
      <c r="B110" s="159">
        <f>EDATE('Debt Payoff'!$C$6,104)</f>
        <v/>
      </c>
      <c r="C110" s="160">
        <f>MAX(0,ROUND(C109+M110-AQ110,2))</f>
        <v/>
      </c>
      <c r="D110" s="160">
        <f>MAX(0,ROUND(D109+N110-AR110,2))</f>
        <v/>
      </c>
      <c r="E110" s="160">
        <f>MAX(0,ROUND(E109+O110-AS110,2))</f>
        <v/>
      </c>
      <c r="F110" s="160">
        <f>MAX(0,ROUND(F109+P110-AT110,2))</f>
        <v/>
      </c>
      <c r="G110" s="160">
        <f>MAX(0,ROUND(G109+Q110-AU110,2))</f>
        <v/>
      </c>
      <c r="H110" s="160">
        <f>MAX(0,ROUND(H109+R110-AV110,2))</f>
        <v/>
      </c>
      <c r="I110" s="160">
        <f>MAX(0,ROUND(I109+S110-AW110,2))</f>
        <v/>
      </c>
      <c r="J110" s="160">
        <f>MAX(0,ROUND(J109+T110-AX110,2))</f>
        <v/>
      </c>
      <c r="K110" s="160">
        <f>MAX(0,ROUND(K109+U110-AY110,2))</f>
        <v/>
      </c>
      <c r="L110" s="160">
        <f>MAX(0,ROUND(L109+V110-AZ110,2))</f>
        <v/>
      </c>
      <c r="M110" s="160">
        <f>C109*N('Debt Payoff'!$D$15)/12</f>
        <v/>
      </c>
      <c r="N110" s="160">
        <f>D109*N('Debt Payoff'!$D$16)/12</f>
        <v/>
      </c>
      <c r="O110" s="160">
        <f>E109*N('Debt Payoff'!$D$17)/12</f>
        <v/>
      </c>
      <c r="P110" s="160">
        <f>F109*N('Debt Payoff'!$D$18)/12</f>
        <v/>
      </c>
      <c r="Q110" s="160">
        <f>G109*N('Debt Payoff'!$D$19)/12</f>
        <v/>
      </c>
      <c r="R110" s="160">
        <f>H109*N('Debt Payoff'!$D$20)/12</f>
        <v/>
      </c>
      <c r="S110" s="160">
        <f>I109*N('Debt Payoff'!$D$21)/12</f>
        <v/>
      </c>
      <c r="T110" s="160">
        <f>J109*N('Debt Payoff'!$D$22)/12</f>
        <v/>
      </c>
      <c r="U110" s="160">
        <f>K109*N('Debt Payoff'!$D$23)/12</f>
        <v/>
      </c>
      <c r="V110" s="160">
        <f>L109*N('Debt Payoff'!$D$24)/12</f>
        <v/>
      </c>
      <c r="W110" s="160">
        <f>MIN(N('Debt Payoff'!$E$15),C109+M110)</f>
        <v/>
      </c>
      <c r="X110" s="160">
        <f>MIN(N('Debt Payoff'!$E$16),D109+N110)</f>
        <v/>
      </c>
      <c r="Y110" s="160">
        <f>MIN(N('Debt Payoff'!$E$17),E109+O110)</f>
        <v/>
      </c>
      <c r="Z110" s="160">
        <f>MIN(N('Debt Payoff'!$E$18),F109+P110)</f>
        <v/>
      </c>
      <c r="AA110" s="160">
        <f>MIN(N('Debt Payoff'!$E$19),G109+Q110)</f>
        <v/>
      </c>
      <c r="AB110" s="160">
        <f>MIN(N('Debt Payoff'!$E$20),H109+R110)</f>
        <v/>
      </c>
      <c r="AC110" s="160">
        <f>MIN(N('Debt Payoff'!$E$21),I109+S110)</f>
        <v/>
      </c>
      <c r="AD110" s="160">
        <f>MIN(N('Debt Payoff'!$E$22),J109+T110)</f>
        <v/>
      </c>
      <c r="AE110" s="160">
        <f>MIN(N('Debt Payoff'!$E$23),K109+U110)</f>
        <v/>
      </c>
      <c r="AF110" s="160">
        <f>MIN(N('Debt Payoff'!$E$24),L109+V110)</f>
        <v/>
      </c>
      <c r="AG110" s="160">
        <f>C109+M110-W110</f>
        <v/>
      </c>
      <c r="AH110" s="160">
        <f>D109+N110-X110</f>
        <v/>
      </c>
      <c r="AI110" s="160">
        <f>E109+O110-Y110</f>
        <v/>
      </c>
      <c r="AJ110" s="160">
        <f>F109+P110-Z110</f>
        <v/>
      </c>
      <c r="AK110" s="160">
        <f>G109+Q110-AA110</f>
        <v/>
      </c>
      <c r="AL110" s="160">
        <f>H109+R110-AB110</f>
        <v/>
      </c>
      <c r="AM110" s="160">
        <f>I109+S110-AC110</f>
        <v/>
      </c>
      <c r="AN110" s="160">
        <f>J109+T110-AD110</f>
        <v/>
      </c>
      <c r="AO110" s="160">
        <f>K109+U110-AE110</f>
        <v/>
      </c>
      <c r="AP110" s="160">
        <f>L109+V110-AF110</f>
        <v/>
      </c>
      <c r="AQ110" s="160">
        <f>W110+MAX(0,MIN(AG110,'Debt Payoff'!$C$12-SUM($W110:$AF110)-SUMIFS($AG110:$AP110,$AG$4:$AP$4,"&lt;"&amp;AG$4)))</f>
        <v/>
      </c>
      <c r="AR110" s="160">
        <f>X110+MAX(0,MIN(AH110,'Debt Payoff'!$C$12-SUM($W110:$AF110)-SUMIFS($AG110:$AP110,$AG$4:$AP$4,"&lt;"&amp;AH$4)))</f>
        <v/>
      </c>
      <c r="AS110" s="160">
        <f>Y110+MAX(0,MIN(AI110,'Debt Payoff'!$C$12-SUM($W110:$AF110)-SUMIFS($AG110:$AP110,$AG$4:$AP$4,"&lt;"&amp;AI$4)))</f>
        <v/>
      </c>
      <c r="AT110" s="160">
        <f>Z110+MAX(0,MIN(AJ110,'Debt Payoff'!$C$12-SUM($W110:$AF110)-SUMIFS($AG110:$AP110,$AG$4:$AP$4,"&lt;"&amp;AJ$4)))</f>
        <v/>
      </c>
      <c r="AU110" s="160">
        <f>AA110+MAX(0,MIN(AK110,'Debt Payoff'!$C$12-SUM($W110:$AF110)-SUMIFS($AG110:$AP110,$AG$4:$AP$4,"&lt;"&amp;AK$4)))</f>
        <v/>
      </c>
      <c r="AV110" s="160">
        <f>AB110+MAX(0,MIN(AL110,'Debt Payoff'!$C$12-SUM($W110:$AF110)-SUMIFS($AG110:$AP110,$AG$4:$AP$4,"&lt;"&amp;AL$4)))</f>
        <v/>
      </c>
      <c r="AW110" s="160">
        <f>AC110+MAX(0,MIN(AM110,'Debt Payoff'!$C$12-SUM($W110:$AF110)-SUMIFS($AG110:$AP110,$AG$4:$AP$4,"&lt;"&amp;AM$4)))</f>
        <v/>
      </c>
      <c r="AX110" s="160">
        <f>AD110+MAX(0,MIN(AN110,'Debt Payoff'!$C$12-SUM($W110:$AF110)-SUMIFS($AG110:$AP110,$AG$4:$AP$4,"&lt;"&amp;AN$4)))</f>
        <v/>
      </c>
      <c r="AY110" s="160">
        <f>AE110+MAX(0,MIN(AO110,'Debt Payoff'!$C$12-SUM($W110:$AF110)-SUMIFS($AG110:$AP110,$AG$4:$AP$4,"&lt;"&amp;AO$4)))</f>
        <v/>
      </c>
      <c r="AZ110" s="160">
        <f>AF110+MAX(0,MIN(AP110,'Debt Payoff'!$C$12-SUM($W110:$AF110)-SUMIFS($AG110:$AP110,$AG$4:$AP$4,"&lt;"&amp;AP$4)))</f>
        <v/>
      </c>
      <c r="BA110" s="160">
        <f>SUM(C110:L110)</f>
        <v/>
      </c>
      <c r="BB110" s="160">
        <f>SUM(AQ110:AZ110)</f>
        <v/>
      </c>
      <c r="BC110" s="160">
        <f>SUM(M110:V110)</f>
        <v/>
      </c>
    </row>
    <row r="111">
      <c r="A111" s="157" t="n">
        <v>106</v>
      </c>
      <c r="B111" s="159">
        <f>EDATE('Debt Payoff'!$C$6,105)</f>
        <v/>
      </c>
      <c r="C111" s="160">
        <f>MAX(0,ROUND(C110+M111-AQ111,2))</f>
        <v/>
      </c>
      <c r="D111" s="160">
        <f>MAX(0,ROUND(D110+N111-AR111,2))</f>
        <v/>
      </c>
      <c r="E111" s="160">
        <f>MAX(0,ROUND(E110+O111-AS111,2))</f>
        <v/>
      </c>
      <c r="F111" s="160">
        <f>MAX(0,ROUND(F110+P111-AT111,2))</f>
        <v/>
      </c>
      <c r="G111" s="160">
        <f>MAX(0,ROUND(G110+Q111-AU111,2))</f>
        <v/>
      </c>
      <c r="H111" s="160">
        <f>MAX(0,ROUND(H110+R111-AV111,2))</f>
        <v/>
      </c>
      <c r="I111" s="160">
        <f>MAX(0,ROUND(I110+S111-AW111,2))</f>
        <v/>
      </c>
      <c r="J111" s="160">
        <f>MAX(0,ROUND(J110+T111-AX111,2))</f>
        <v/>
      </c>
      <c r="K111" s="160">
        <f>MAX(0,ROUND(K110+U111-AY111,2))</f>
        <v/>
      </c>
      <c r="L111" s="160">
        <f>MAX(0,ROUND(L110+V111-AZ111,2))</f>
        <v/>
      </c>
      <c r="M111" s="160">
        <f>C110*N('Debt Payoff'!$D$15)/12</f>
        <v/>
      </c>
      <c r="N111" s="160">
        <f>D110*N('Debt Payoff'!$D$16)/12</f>
        <v/>
      </c>
      <c r="O111" s="160">
        <f>E110*N('Debt Payoff'!$D$17)/12</f>
        <v/>
      </c>
      <c r="P111" s="160">
        <f>F110*N('Debt Payoff'!$D$18)/12</f>
        <v/>
      </c>
      <c r="Q111" s="160">
        <f>G110*N('Debt Payoff'!$D$19)/12</f>
        <v/>
      </c>
      <c r="R111" s="160">
        <f>H110*N('Debt Payoff'!$D$20)/12</f>
        <v/>
      </c>
      <c r="S111" s="160">
        <f>I110*N('Debt Payoff'!$D$21)/12</f>
        <v/>
      </c>
      <c r="T111" s="160">
        <f>J110*N('Debt Payoff'!$D$22)/12</f>
        <v/>
      </c>
      <c r="U111" s="160">
        <f>K110*N('Debt Payoff'!$D$23)/12</f>
        <v/>
      </c>
      <c r="V111" s="160">
        <f>L110*N('Debt Payoff'!$D$24)/12</f>
        <v/>
      </c>
      <c r="W111" s="160">
        <f>MIN(N('Debt Payoff'!$E$15),C110+M111)</f>
        <v/>
      </c>
      <c r="X111" s="160">
        <f>MIN(N('Debt Payoff'!$E$16),D110+N111)</f>
        <v/>
      </c>
      <c r="Y111" s="160">
        <f>MIN(N('Debt Payoff'!$E$17),E110+O111)</f>
        <v/>
      </c>
      <c r="Z111" s="160">
        <f>MIN(N('Debt Payoff'!$E$18),F110+P111)</f>
        <v/>
      </c>
      <c r="AA111" s="160">
        <f>MIN(N('Debt Payoff'!$E$19),G110+Q111)</f>
        <v/>
      </c>
      <c r="AB111" s="160">
        <f>MIN(N('Debt Payoff'!$E$20),H110+R111)</f>
        <v/>
      </c>
      <c r="AC111" s="160">
        <f>MIN(N('Debt Payoff'!$E$21),I110+S111)</f>
        <v/>
      </c>
      <c r="AD111" s="160">
        <f>MIN(N('Debt Payoff'!$E$22),J110+T111)</f>
        <v/>
      </c>
      <c r="AE111" s="160">
        <f>MIN(N('Debt Payoff'!$E$23),K110+U111)</f>
        <v/>
      </c>
      <c r="AF111" s="160">
        <f>MIN(N('Debt Payoff'!$E$24),L110+V111)</f>
        <v/>
      </c>
      <c r="AG111" s="160">
        <f>C110+M111-W111</f>
        <v/>
      </c>
      <c r="AH111" s="160">
        <f>D110+N111-X111</f>
        <v/>
      </c>
      <c r="AI111" s="160">
        <f>E110+O111-Y111</f>
        <v/>
      </c>
      <c r="AJ111" s="160">
        <f>F110+P111-Z111</f>
        <v/>
      </c>
      <c r="AK111" s="160">
        <f>G110+Q111-AA111</f>
        <v/>
      </c>
      <c r="AL111" s="160">
        <f>H110+R111-AB111</f>
        <v/>
      </c>
      <c r="AM111" s="160">
        <f>I110+S111-AC111</f>
        <v/>
      </c>
      <c r="AN111" s="160">
        <f>J110+T111-AD111</f>
        <v/>
      </c>
      <c r="AO111" s="160">
        <f>K110+U111-AE111</f>
        <v/>
      </c>
      <c r="AP111" s="160">
        <f>L110+V111-AF111</f>
        <v/>
      </c>
      <c r="AQ111" s="160">
        <f>W111+MAX(0,MIN(AG111,'Debt Payoff'!$C$12-SUM($W111:$AF111)-SUMIFS($AG111:$AP111,$AG$4:$AP$4,"&lt;"&amp;AG$4)))</f>
        <v/>
      </c>
      <c r="AR111" s="160">
        <f>X111+MAX(0,MIN(AH111,'Debt Payoff'!$C$12-SUM($W111:$AF111)-SUMIFS($AG111:$AP111,$AG$4:$AP$4,"&lt;"&amp;AH$4)))</f>
        <v/>
      </c>
      <c r="AS111" s="160">
        <f>Y111+MAX(0,MIN(AI111,'Debt Payoff'!$C$12-SUM($W111:$AF111)-SUMIFS($AG111:$AP111,$AG$4:$AP$4,"&lt;"&amp;AI$4)))</f>
        <v/>
      </c>
      <c r="AT111" s="160">
        <f>Z111+MAX(0,MIN(AJ111,'Debt Payoff'!$C$12-SUM($W111:$AF111)-SUMIFS($AG111:$AP111,$AG$4:$AP$4,"&lt;"&amp;AJ$4)))</f>
        <v/>
      </c>
      <c r="AU111" s="160">
        <f>AA111+MAX(0,MIN(AK111,'Debt Payoff'!$C$12-SUM($W111:$AF111)-SUMIFS($AG111:$AP111,$AG$4:$AP$4,"&lt;"&amp;AK$4)))</f>
        <v/>
      </c>
      <c r="AV111" s="160">
        <f>AB111+MAX(0,MIN(AL111,'Debt Payoff'!$C$12-SUM($W111:$AF111)-SUMIFS($AG111:$AP111,$AG$4:$AP$4,"&lt;"&amp;AL$4)))</f>
        <v/>
      </c>
      <c r="AW111" s="160">
        <f>AC111+MAX(0,MIN(AM111,'Debt Payoff'!$C$12-SUM($W111:$AF111)-SUMIFS($AG111:$AP111,$AG$4:$AP$4,"&lt;"&amp;AM$4)))</f>
        <v/>
      </c>
      <c r="AX111" s="160">
        <f>AD111+MAX(0,MIN(AN111,'Debt Payoff'!$C$12-SUM($W111:$AF111)-SUMIFS($AG111:$AP111,$AG$4:$AP$4,"&lt;"&amp;AN$4)))</f>
        <v/>
      </c>
      <c r="AY111" s="160">
        <f>AE111+MAX(0,MIN(AO111,'Debt Payoff'!$C$12-SUM($W111:$AF111)-SUMIFS($AG111:$AP111,$AG$4:$AP$4,"&lt;"&amp;AO$4)))</f>
        <v/>
      </c>
      <c r="AZ111" s="160">
        <f>AF111+MAX(0,MIN(AP111,'Debt Payoff'!$C$12-SUM($W111:$AF111)-SUMIFS($AG111:$AP111,$AG$4:$AP$4,"&lt;"&amp;AP$4)))</f>
        <v/>
      </c>
      <c r="BA111" s="160">
        <f>SUM(C111:L111)</f>
        <v/>
      </c>
      <c r="BB111" s="160">
        <f>SUM(AQ111:AZ111)</f>
        <v/>
      </c>
      <c r="BC111" s="160">
        <f>SUM(M111:V111)</f>
        <v/>
      </c>
    </row>
    <row r="112">
      <c r="A112" s="157" t="n">
        <v>107</v>
      </c>
      <c r="B112" s="159">
        <f>EDATE('Debt Payoff'!$C$6,106)</f>
        <v/>
      </c>
      <c r="C112" s="160">
        <f>MAX(0,ROUND(C111+M112-AQ112,2))</f>
        <v/>
      </c>
      <c r="D112" s="160">
        <f>MAX(0,ROUND(D111+N112-AR112,2))</f>
        <v/>
      </c>
      <c r="E112" s="160">
        <f>MAX(0,ROUND(E111+O112-AS112,2))</f>
        <v/>
      </c>
      <c r="F112" s="160">
        <f>MAX(0,ROUND(F111+P112-AT112,2))</f>
        <v/>
      </c>
      <c r="G112" s="160">
        <f>MAX(0,ROUND(G111+Q112-AU112,2))</f>
        <v/>
      </c>
      <c r="H112" s="160">
        <f>MAX(0,ROUND(H111+R112-AV112,2))</f>
        <v/>
      </c>
      <c r="I112" s="160">
        <f>MAX(0,ROUND(I111+S112-AW112,2))</f>
        <v/>
      </c>
      <c r="J112" s="160">
        <f>MAX(0,ROUND(J111+T112-AX112,2))</f>
        <v/>
      </c>
      <c r="K112" s="160">
        <f>MAX(0,ROUND(K111+U112-AY112,2))</f>
        <v/>
      </c>
      <c r="L112" s="160">
        <f>MAX(0,ROUND(L111+V112-AZ112,2))</f>
        <v/>
      </c>
      <c r="M112" s="160">
        <f>C111*N('Debt Payoff'!$D$15)/12</f>
        <v/>
      </c>
      <c r="N112" s="160">
        <f>D111*N('Debt Payoff'!$D$16)/12</f>
        <v/>
      </c>
      <c r="O112" s="160">
        <f>E111*N('Debt Payoff'!$D$17)/12</f>
        <v/>
      </c>
      <c r="P112" s="160">
        <f>F111*N('Debt Payoff'!$D$18)/12</f>
        <v/>
      </c>
      <c r="Q112" s="160">
        <f>G111*N('Debt Payoff'!$D$19)/12</f>
        <v/>
      </c>
      <c r="R112" s="160">
        <f>H111*N('Debt Payoff'!$D$20)/12</f>
        <v/>
      </c>
      <c r="S112" s="160">
        <f>I111*N('Debt Payoff'!$D$21)/12</f>
        <v/>
      </c>
      <c r="T112" s="160">
        <f>J111*N('Debt Payoff'!$D$22)/12</f>
        <v/>
      </c>
      <c r="U112" s="160">
        <f>K111*N('Debt Payoff'!$D$23)/12</f>
        <v/>
      </c>
      <c r="V112" s="160">
        <f>L111*N('Debt Payoff'!$D$24)/12</f>
        <v/>
      </c>
      <c r="W112" s="160">
        <f>MIN(N('Debt Payoff'!$E$15),C111+M112)</f>
        <v/>
      </c>
      <c r="X112" s="160">
        <f>MIN(N('Debt Payoff'!$E$16),D111+N112)</f>
        <v/>
      </c>
      <c r="Y112" s="160">
        <f>MIN(N('Debt Payoff'!$E$17),E111+O112)</f>
        <v/>
      </c>
      <c r="Z112" s="160">
        <f>MIN(N('Debt Payoff'!$E$18),F111+P112)</f>
        <v/>
      </c>
      <c r="AA112" s="160">
        <f>MIN(N('Debt Payoff'!$E$19),G111+Q112)</f>
        <v/>
      </c>
      <c r="AB112" s="160">
        <f>MIN(N('Debt Payoff'!$E$20),H111+R112)</f>
        <v/>
      </c>
      <c r="AC112" s="160">
        <f>MIN(N('Debt Payoff'!$E$21),I111+S112)</f>
        <v/>
      </c>
      <c r="AD112" s="160">
        <f>MIN(N('Debt Payoff'!$E$22),J111+T112)</f>
        <v/>
      </c>
      <c r="AE112" s="160">
        <f>MIN(N('Debt Payoff'!$E$23),K111+U112)</f>
        <v/>
      </c>
      <c r="AF112" s="160">
        <f>MIN(N('Debt Payoff'!$E$24),L111+V112)</f>
        <v/>
      </c>
      <c r="AG112" s="160">
        <f>C111+M112-W112</f>
        <v/>
      </c>
      <c r="AH112" s="160">
        <f>D111+N112-X112</f>
        <v/>
      </c>
      <c r="AI112" s="160">
        <f>E111+O112-Y112</f>
        <v/>
      </c>
      <c r="AJ112" s="160">
        <f>F111+P112-Z112</f>
        <v/>
      </c>
      <c r="AK112" s="160">
        <f>G111+Q112-AA112</f>
        <v/>
      </c>
      <c r="AL112" s="160">
        <f>H111+R112-AB112</f>
        <v/>
      </c>
      <c r="AM112" s="160">
        <f>I111+S112-AC112</f>
        <v/>
      </c>
      <c r="AN112" s="160">
        <f>J111+T112-AD112</f>
        <v/>
      </c>
      <c r="AO112" s="160">
        <f>K111+U112-AE112</f>
        <v/>
      </c>
      <c r="AP112" s="160">
        <f>L111+V112-AF112</f>
        <v/>
      </c>
      <c r="AQ112" s="160">
        <f>W112+MAX(0,MIN(AG112,'Debt Payoff'!$C$12-SUM($W112:$AF112)-SUMIFS($AG112:$AP112,$AG$4:$AP$4,"&lt;"&amp;AG$4)))</f>
        <v/>
      </c>
      <c r="AR112" s="160">
        <f>X112+MAX(0,MIN(AH112,'Debt Payoff'!$C$12-SUM($W112:$AF112)-SUMIFS($AG112:$AP112,$AG$4:$AP$4,"&lt;"&amp;AH$4)))</f>
        <v/>
      </c>
      <c r="AS112" s="160">
        <f>Y112+MAX(0,MIN(AI112,'Debt Payoff'!$C$12-SUM($W112:$AF112)-SUMIFS($AG112:$AP112,$AG$4:$AP$4,"&lt;"&amp;AI$4)))</f>
        <v/>
      </c>
      <c r="AT112" s="160">
        <f>Z112+MAX(0,MIN(AJ112,'Debt Payoff'!$C$12-SUM($W112:$AF112)-SUMIFS($AG112:$AP112,$AG$4:$AP$4,"&lt;"&amp;AJ$4)))</f>
        <v/>
      </c>
      <c r="AU112" s="160">
        <f>AA112+MAX(0,MIN(AK112,'Debt Payoff'!$C$12-SUM($W112:$AF112)-SUMIFS($AG112:$AP112,$AG$4:$AP$4,"&lt;"&amp;AK$4)))</f>
        <v/>
      </c>
      <c r="AV112" s="160">
        <f>AB112+MAX(0,MIN(AL112,'Debt Payoff'!$C$12-SUM($W112:$AF112)-SUMIFS($AG112:$AP112,$AG$4:$AP$4,"&lt;"&amp;AL$4)))</f>
        <v/>
      </c>
      <c r="AW112" s="160">
        <f>AC112+MAX(0,MIN(AM112,'Debt Payoff'!$C$12-SUM($W112:$AF112)-SUMIFS($AG112:$AP112,$AG$4:$AP$4,"&lt;"&amp;AM$4)))</f>
        <v/>
      </c>
      <c r="AX112" s="160">
        <f>AD112+MAX(0,MIN(AN112,'Debt Payoff'!$C$12-SUM($W112:$AF112)-SUMIFS($AG112:$AP112,$AG$4:$AP$4,"&lt;"&amp;AN$4)))</f>
        <v/>
      </c>
      <c r="AY112" s="160">
        <f>AE112+MAX(0,MIN(AO112,'Debt Payoff'!$C$12-SUM($W112:$AF112)-SUMIFS($AG112:$AP112,$AG$4:$AP$4,"&lt;"&amp;AO$4)))</f>
        <v/>
      </c>
      <c r="AZ112" s="160">
        <f>AF112+MAX(0,MIN(AP112,'Debt Payoff'!$C$12-SUM($W112:$AF112)-SUMIFS($AG112:$AP112,$AG$4:$AP$4,"&lt;"&amp;AP$4)))</f>
        <v/>
      </c>
      <c r="BA112" s="160">
        <f>SUM(C112:L112)</f>
        <v/>
      </c>
      <c r="BB112" s="160">
        <f>SUM(AQ112:AZ112)</f>
        <v/>
      </c>
      <c r="BC112" s="160">
        <f>SUM(M112:V112)</f>
        <v/>
      </c>
    </row>
    <row r="113">
      <c r="A113" s="157" t="n">
        <v>108</v>
      </c>
      <c r="B113" s="159">
        <f>EDATE('Debt Payoff'!$C$6,107)</f>
        <v/>
      </c>
      <c r="C113" s="160">
        <f>MAX(0,ROUND(C112+M113-AQ113,2))</f>
        <v/>
      </c>
      <c r="D113" s="160">
        <f>MAX(0,ROUND(D112+N113-AR113,2))</f>
        <v/>
      </c>
      <c r="E113" s="160">
        <f>MAX(0,ROUND(E112+O113-AS113,2))</f>
        <v/>
      </c>
      <c r="F113" s="160">
        <f>MAX(0,ROUND(F112+P113-AT113,2))</f>
        <v/>
      </c>
      <c r="G113" s="160">
        <f>MAX(0,ROUND(G112+Q113-AU113,2))</f>
        <v/>
      </c>
      <c r="H113" s="160">
        <f>MAX(0,ROUND(H112+R113-AV113,2))</f>
        <v/>
      </c>
      <c r="I113" s="160">
        <f>MAX(0,ROUND(I112+S113-AW113,2))</f>
        <v/>
      </c>
      <c r="J113" s="160">
        <f>MAX(0,ROUND(J112+T113-AX113,2))</f>
        <v/>
      </c>
      <c r="K113" s="160">
        <f>MAX(0,ROUND(K112+U113-AY113,2))</f>
        <v/>
      </c>
      <c r="L113" s="160">
        <f>MAX(0,ROUND(L112+V113-AZ113,2))</f>
        <v/>
      </c>
      <c r="M113" s="160">
        <f>C112*N('Debt Payoff'!$D$15)/12</f>
        <v/>
      </c>
      <c r="N113" s="160">
        <f>D112*N('Debt Payoff'!$D$16)/12</f>
        <v/>
      </c>
      <c r="O113" s="160">
        <f>E112*N('Debt Payoff'!$D$17)/12</f>
        <v/>
      </c>
      <c r="P113" s="160">
        <f>F112*N('Debt Payoff'!$D$18)/12</f>
        <v/>
      </c>
      <c r="Q113" s="160">
        <f>G112*N('Debt Payoff'!$D$19)/12</f>
        <v/>
      </c>
      <c r="R113" s="160">
        <f>H112*N('Debt Payoff'!$D$20)/12</f>
        <v/>
      </c>
      <c r="S113" s="160">
        <f>I112*N('Debt Payoff'!$D$21)/12</f>
        <v/>
      </c>
      <c r="T113" s="160">
        <f>J112*N('Debt Payoff'!$D$22)/12</f>
        <v/>
      </c>
      <c r="U113" s="160">
        <f>K112*N('Debt Payoff'!$D$23)/12</f>
        <v/>
      </c>
      <c r="V113" s="160">
        <f>L112*N('Debt Payoff'!$D$24)/12</f>
        <v/>
      </c>
      <c r="W113" s="160">
        <f>MIN(N('Debt Payoff'!$E$15),C112+M113)</f>
        <v/>
      </c>
      <c r="X113" s="160">
        <f>MIN(N('Debt Payoff'!$E$16),D112+N113)</f>
        <v/>
      </c>
      <c r="Y113" s="160">
        <f>MIN(N('Debt Payoff'!$E$17),E112+O113)</f>
        <v/>
      </c>
      <c r="Z113" s="160">
        <f>MIN(N('Debt Payoff'!$E$18),F112+P113)</f>
        <v/>
      </c>
      <c r="AA113" s="160">
        <f>MIN(N('Debt Payoff'!$E$19),G112+Q113)</f>
        <v/>
      </c>
      <c r="AB113" s="160">
        <f>MIN(N('Debt Payoff'!$E$20),H112+R113)</f>
        <v/>
      </c>
      <c r="AC113" s="160">
        <f>MIN(N('Debt Payoff'!$E$21),I112+S113)</f>
        <v/>
      </c>
      <c r="AD113" s="160">
        <f>MIN(N('Debt Payoff'!$E$22),J112+T113)</f>
        <v/>
      </c>
      <c r="AE113" s="160">
        <f>MIN(N('Debt Payoff'!$E$23),K112+U113)</f>
        <v/>
      </c>
      <c r="AF113" s="160">
        <f>MIN(N('Debt Payoff'!$E$24),L112+V113)</f>
        <v/>
      </c>
      <c r="AG113" s="160">
        <f>C112+M113-W113</f>
        <v/>
      </c>
      <c r="AH113" s="160">
        <f>D112+N113-X113</f>
        <v/>
      </c>
      <c r="AI113" s="160">
        <f>E112+O113-Y113</f>
        <v/>
      </c>
      <c r="AJ113" s="160">
        <f>F112+P113-Z113</f>
        <v/>
      </c>
      <c r="AK113" s="160">
        <f>G112+Q113-AA113</f>
        <v/>
      </c>
      <c r="AL113" s="160">
        <f>H112+R113-AB113</f>
        <v/>
      </c>
      <c r="AM113" s="160">
        <f>I112+S113-AC113</f>
        <v/>
      </c>
      <c r="AN113" s="160">
        <f>J112+T113-AD113</f>
        <v/>
      </c>
      <c r="AO113" s="160">
        <f>K112+U113-AE113</f>
        <v/>
      </c>
      <c r="AP113" s="160">
        <f>L112+V113-AF113</f>
        <v/>
      </c>
      <c r="AQ113" s="160">
        <f>W113+MAX(0,MIN(AG113,'Debt Payoff'!$C$12-SUM($W113:$AF113)-SUMIFS($AG113:$AP113,$AG$4:$AP$4,"&lt;"&amp;AG$4)))</f>
        <v/>
      </c>
      <c r="AR113" s="160">
        <f>X113+MAX(0,MIN(AH113,'Debt Payoff'!$C$12-SUM($W113:$AF113)-SUMIFS($AG113:$AP113,$AG$4:$AP$4,"&lt;"&amp;AH$4)))</f>
        <v/>
      </c>
      <c r="AS113" s="160">
        <f>Y113+MAX(0,MIN(AI113,'Debt Payoff'!$C$12-SUM($W113:$AF113)-SUMIFS($AG113:$AP113,$AG$4:$AP$4,"&lt;"&amp;AI$4)))</f>
        <v/>
      </c>
      <c r="AT113" s="160">
        <f>Z113+MAX(0,MIN(AJ113,'Debt Payoff'!$C$12-SUM($W113:$AF113)-SUMIFS($AG113:$AP113,$AG$4:$AP$4,"&lt;"&amp;AJ$4)))</f>
        <v/>
      </c>
      <c r="AU113" s="160">
        <f>AA113+MAX(0,MIN(AK113,'Debt Payoff'!$C$12-SUM($W113:$AF113)-SUMIFS($AG113:$AP113,$AG$4:$AP$4,"&lt;"&amp;AK$4)))</f>
        <v/>
      </c>
      <c r="AV113" s="160">
        <f>AB113+MAX(0,MIN(AL113,'Debt Payoff'!$C$12-SUM($W113:$AF113)-SUMIFS($AG113:$AP113,$AG$4:$AP$4,"&lt;"&amp;AL$4)))</f>
        <v/>
      </c>
      <c r="AW113" s="160">
        <f>AC113+MAX(0,MIN(AM113,'Debt Payoff'!$C$12-SUM($W113:$AF113)-SUMIFS($AG113:$AP113,$AG$4:$AP$4,"&lt;"&amp;AM$4)))</f>
        <v/>
      </c>
      <c r="AX113" s="160">
        <f>AD113+MAX(0,MIN(AN113,'Debt Payoff'!$C$12-SUM($W113:$AF113)-SUMIFS($AG113:$AP113,$AG$4:$AP$4,"&lt;"&amp;AN$4)))</f>
        <v/>
      </c>
      <c r="AY113" s="160">
        <f>AE113+MAX(0,MIN(AO113,'Debt Payoff'!$C$12-SUM($W113:$AF113)-SUMIFS($AG113:$AP113,$AG$4:$AP$4,"&lt;"&amp;AO$4)))</f>
        <v/>
      </c>
      <c r="AZ113" s="160">
        <f>AF113+MAX(0,MIN(AP113,'Debt Payoff'!$C$12-SUM($W113:$AF113)-SUMIFS($AG113:$AP113,$AG$4:$AP$4,"&lt;"&amp;AP$4)))</f>
        <v/>
      </c>
      <c r="BA113" s="160">
        <f>SUM(C113:L113)</f>
        <v/>
      </c>
      <c r="BB113" s="160">
        <f>SUM(AQ113:AZ113)</f>
        <v/>
      </c>
      <c r="BC113" s="160">
        <f>SUM(M113:V113)</f>
        <v/>
      </c>
    </row>
    <row r="114">
      <c r="A114" s="157" t="n">
        <v>109</v>
      </c>
      <c r="B114" s="159">
        <f>EDATE('Debt Payoff'!$C$6,108)</f>
        <v/>
      </c>
      <c r="C114" s="160">
        <f>MAX(0,ROUND(C113+M114-AQ114,2))</f>
        <v/>
      </c>
      <c r="D114" s="160">
        <f>MAX(0,ROUND(D113+N114-AR114,2))</f>
        <v/>
      </c>
      <c r="E114" s="160">
        <f>MAX(0,ROUND(E113+O114-AS114,2))</f>
        <v/>
      </c>
      <c r="F114" s="160">
        <f>MAX(0,ROUND(F113+P114-AT114,2))</f>
        <v/>
      </c>
      <c r="G114" s="160">
        <f>MAX(0,ROUND(G113+Q114-AU114,2))</f>
        <v/>
      </c>
      <c r="H114" s="160">
        <f>MAX(0,ROUND(H113+R114-AV114,2))</f>
        <v/>
      </c>
      <c r="I114" s="160">
        <f>MAX(0,ROUND(I113+S114-AW114,2))</f>
        <v/>
      </c>
      <c r="J114" s="160">
        <f>MAX(0,ROUND(J113+T114-AX114,2))</f>
        <v/>
      </c>
      <c r="K114" s="160">
        <f>MAX(0,ROUND(K113+U114-AY114,2))</f>
        <v/>
      </c>
      <c r="L114" s="160">
        <f>MAX(0,ROUND(L113+V114-AZ114,2))</f>
        <v/>
      </c>
      <c r="M114" s="160">
        <f>C113*N('Debt Payoff'!$D$15)/12</f>
        <v/>
      </c>
      <c r="N114" s="160">
        <f>D113*N('Debt Payoff'!$D$16)/12</f>
        <v/>
      </c>
      <c r="O114" s="160">
        <f>E113*N('Debt Payoff'!$D$17)/12</f>
        <v/>
      </c>
      <c r="P114" s="160">
        <f>F113*N('Debt Payoff'!$D$18)/12</f>
        <v/>
      </c>
      <c r="Q114" s="160">
        <f>G113*N('Debt Payoff'!$D$19)/12</f>
        <v/>
      </c>
      <c r="R114" s="160">
        <f>H113*N('Debt Payoff'!$D$20)/12</f>
        <v/>
      </c>
      <c r="S114" s="160">
        <f>I113*N('Debt Payoff'!$D$21)/12</f>
        <v/>
      </c>
      <c r="T114" s="160">
        <f>J113*N('Debt Payoff'!$D$22)/12</f>
        <v/>
      </c>
      <c r="U114" s="160">
        <f>K113*N('Debt Payoff'!$D$23)/12</f>
        <v/>
      </c>
      <c r="V114" s="160">
        <f>L113*N('Debt Payoff'!$D$24)/12</f>
        <v/>
      </c>
      <c r="W114" s="160">
        <f>MIN(N('Debt Payoff'!$E$15),C113+M114)</f>
        <v/>
      </c>
      <c r="X114" s="160">
        <f>MIN(N('Debt Payoff'!$E$16),D113+N114)</f>
        <v/>
      </c>
      <c r="Y114" s="160">
        <f>MIN(N('Debt Payoff'!$E$17),E113+O114)</f>
        <v/>
      </c>
      <c r="Z114" s="160">
        <f>MIN(N('Debt Payoff'!$E$18),F113+P114)</f>
        <v/>
      </c>
      <c r="AA114" s="160">
        <f>MIN(N('Debt Payoff'!$E$19),G113+Q114)</f>
        <v/>
      </c>
      <c r="AB114" s="160">
        <f>MIN(N('Debt Payoff'!$E$20),H113+R114)</f>
        <v/>
      </c>
      <c r="AC114" s="160">
        <f>MIN(N('Debt Payoff'!$E$21),I113+S114)</f>
        <v/>
      </c>
      <c r="AD114" s="160">
        <f>MIN(N('Debt Payoff'!$E$22),J113+T114)</f>
        <v/>
      </c>
      <c r="AE114" s="160">
        <f>MIN(N('Debt Payoff'!$E$23),K113+U114)</f>
        <v/>
      </c>
      <c r="AF114" s="160">
        <f>MIN(N('Debt Payoff'!$E$24),L113+V114)</f>
        <v/>
      </c>
      <c r="AG114" s="160">
        <f>C113+M114-W114</f>
        <v/>
      </c>
      <c r="AH114" s="160">
        <f>D113+N114-X114</f>
        <v/>
      </c>
      <c r="AI114" s="160">
        <f>E113+O114-Y114</f>
        <v/>
      </c>
      <c r="AJ114" s="160">
        <f>F113+P114-Z114</f>
        <v/>
      </c>
      <c r="AK114" s="160">
        <f>G113+Q114-AA114</f>
        <v/>
      </c>
      <c r="AL114" s="160">
        <f>H113+R114-AB114</f>
        <v/>
      </c>
      <c r="AM114" s="160">
        <f>I113+S114-AC114</f>
        <v/>
      </c>
      <c r="AN114" s="160">
        <f>J113+T114-AD114</f>
        <v/>
      </c>
      <c r="AO114" s="160">
        <f>K113+U114-AE114</f>
        <v/>
      </c>
      <c r="AP114" s="160">
        <f>L113+V114-AF114</f>
        <v/>
      </c>
      <c r="AQ114" s="160">
        <f>W114+MAX(0,MIN(AG114,'Debt Payoff'!$C$12-SUM($W114:$AF114)-SUMIFS($AG114:$AP114,$AG$4:$AP$4,"&lt;"&amp;AG$4)))</f>
        <v/>
      </c>
      <c r="AR114" s="160">
        <f>X114+MAX(0,MIN(AH114,'Debt Payoff'!$C$12-SUM($W114:$AF114)-SUMIFS($AG114:$AP114,$AG$4:$AP$4,"&lt;"&amp;AH$4)))</f>
        <v/>
      </c>
      <c r="AS114" s="160">
        <f>Y114+MAX(0,MIN(AI114,'Debt Payoff'!$C$12-SUM($W114:$AF114)-SUMIFS($AG114:$AP114,$AG$4:$AP$4,"&lt;"&amp;AI$4)))</f>
        <v/>
      </c>
      <c r="AT114" s="160">
        <f>Z114+MAX(0,MIN(AJ114,'Debt Payoff'!$C$12-SUM($W114:$AF114)-SUMIFS($AG114:$AP114,$AG$4:$AP$4,"&lt;"&amp;AJ$4)))</f>
        <v/>
      </c>
      <c r="AU114" s="160">
        <f>AA114+MAX(0,MIN(AK114,'Debt Payoff'!$C$12-SUM($W114:$AF114)-SUMIFS($AG114:$AP114,$AG$4:$AP$4,"&lt;"&amp;AK$4)))</f>
        <v/>
      </c>
      <c r="AV114" s="160">
        <f>AB114+MAX(0,MIN(AL114,'Debt Payoff'!$C$12-SUM($W114:$AF114)-SUMIFS($AG114:$AP114,$AG$4:$AP$4,"&lt;"&amp;AL$4)))</f>
        <v/>
      </c>
      <c r="AW114" s="160">
        <f>AC114+MAX(0,MIN(AM114,'Debt Payoff'!$C$12-SUM($W114:$AF114)-SUMIFS($AG114:$AP114,$AG$4:$AP$4,"&lt;"&amp;AM$4)))</f>
        <v/>
      </c>
      <c r="AX114" s="160">
        <f>AD114+MAX(0,MIN(AN114,'Debt Payoff'!$C$12-SUM($W114:$AF114)-SUMIFS($AG114:$AP114,$AG$4:$AP$4,"&lt;"&amp;AN$4)))</f>
        <v/>
      </c>
      <c r="AY114" s="160">
        <f>AE114+MAX(0,MIN(AO114,'Debt Payoff'!$C$12-SUM($W114:$AF114)-SUMIFS($AG114:$AP114,$AG$4:$AP$4,"&lt;"&amp;AO$4)))</f>
        <v/>
      </c>
      <c r="AZ114" s="160">
        <f>AF114+MAX(0,MIN(AP114,'Debt Payoff'!$C$12-SUM($W114:$AF114)-SUMIFS($AG114:$AP114,$AG$4:$AP$4,"&lt;"&amp;AP$4)))</f>
        <v/>
      </c>
      <c r="BA114" s="160">
        <f>SUM(C114:L114)</f>
        <v/>
      </c>
      <c r="BB114" s="160">
        <f>SUM(AQ114:AZ114)</f>
        <v/>
      </c>
      <c r="BC114" s="160">
        <f>SUM(M114:V114)</f>
        <v/>
      </c>
    </row>
    <row r="115">
      <c r="A115" s="157" t="n">
        <v>110</v>
      </c>
      <c r="B115" s="159">
        <f>EDATE('Debt Payoff'!$C$6,109)</f>
        <v/>
      </c>
      <c r="C115" s="160">
        <f>MAX(0,ROUND(C114+M115-AQ115,2))</f>
        <v/>
      </c>
      <c r="D115" s="160">
        <f>MAX(0,ROUND(D114+N115-AR115,2))</f>
        <v/>
      </c>
      <c r="E115" s="160">
        <f>MAX(0,ROUND(E114+O115-AS115,2))</f>
        <v/>
      </c>
      <c r="F115" s="160">
        <f>MAX(0,ROUND(F114+P115-AT115,2))</f>
        <v/>
      </c>
      <c r="G115" s="160">
        <f>MAX(0,ROUND(G114+Q115-AU115,2))</f>
        <v/>
      </c>
      <c r="H115" s="160">
        <f>MAX(0,ROUND(H114+R115-AV115,2))</f>
        <v/>
      </c>
      <c r="I115" s="160">
        <f>MAX(0,ROUND(I114+S115-AW115,2))</f>
        <v/>
      </c>
      <c r="J115" s="160">
        <f>MAX(0,ROUND(J114+T115-AX115,2))</f>
        <v/>
      </c>
      <c r="K115" s="160">
        <f>MAX(0,ROUND(K114+U115-AY115,2))</f>
        <v/>
      </c>
      <c r="L115" s="160">
        <f>MAX(0,ROUND(L114+V115-AZ115,2))</f>
        <v/>
      </c>
      <c r="M115" s="160">
        <f>C114*N('Debt Payoff'!$D$15)/12</f>
        <v/>
      </c>
      <c r="N115" s="160">
        <f>D114*N('Debt Payoff'!$D$16)/12</f>
        <v/>
      </c>
      <c r="O115" s="160">
        <f>E114*N('Debt Payoff'!$D$17)/12</f>
        <v/>
      </c>
      <c r="P115" s="160">
        <f>F114*N('Debt Payoff'!$D$18)/12</f>
        <v/>
      </c>
      <c r="Q115" s="160">
        <f>G114*N('Debt Payoff'!$D$19)/12</f>
        <v/>
      </c>
      <c r="R115" s="160">
        <f>H114*N('Debt Payoff'!$D$20)/12</f>
        <v/>
      </c>
      <c r="S115" s="160">
        <f>I114*N('Debt Payoff'!$D$21)/12</f>
        <v/>
      </c>
      <c r="T115" s="160">
        <f>J114*N('Debt Payoff'!$D$22)/12</f>
        <v/>
      </c>
      <c r="U115" s="160">
        <f>K114*N('Debt Payoff'!$D$23)/12</f>
        <v/>
      </c>
      <c r="V115" s="160">
        <f>L114*N('Debt Payoff'!$D$24)/12</f>
        <v/>
      </c>
      <c r="W115" s="160">
        <f>MIN(N('Debt Payoff'!$E$15),C114+M115)</f>
        <v/>
      </c>
      <c r="X115" s="160">
        <f>MIN(N('Debt Payoff'!$E$16),D114+N115)</f>
        <v/>
      </c>
      <c r="Y115" s="160">
        <f>MIN(N('Debt Payoff'!$E$17),E114+O115)</f>
        <v/>
      </c>
      <c r="Z115" s="160">
        <f>MIN(N('Debt Payoff'!$E$18),F114+P115)</f>
        <v/>
      </c>
      <c r="AA115" s="160">
        <f>MIN(N('Debt Payoff'!$E$19),G114+Q115)</f>
        <v/>
      </c>
      <c r="AB115" s="160">
        <f>MIN(N('Debt Payoff'!$E$20),H114+R115)</f>
        <v/>
      </c>
      <c r="AC115" s="160">
        <f>MIN(N('Debt Payoff'!$E$21),I114+S115)</f>
        <v/>
      </c>
      <c r="AD115" s="160">
        <f>MIN(N('Debt Payoff'!$E$22),J114+T115)</f>
        <v/>
      </c>
      <c r="AE115" s="160">
        <f>MIN(N('Debt Payoff'!$E$23),K114+U115)</f>
        <v/>
      </c>
      <c r="AF115" s="160">
        <f>MIN(N('Debt Payoff'!$E$24),L114+V115)</f>
        <v/>
      </c>
      <c r="AG115" s="160">
        <f>C114+M115-W115</f>
        <v/>
      </c>
      <c r="AH115" s="160">
        <f>D114+N115-X115</f>
        <v/>
      </c>
      <c r="AI115" s="160">
        <f>E114+O115-Y115</f>
        <v/>
      </c>
      <c r="AJ115" s="160">
        <f>F114+P115-Z115</f>
        <v/>
      </c>
      <c r="AK115" s="160">
        <f>G114+Q115-AA115</f>
        <v/>
      </c>
      <c r="AL115" s="160">
        <f>H114+R115-AB115</f>
        <v/>
      </c>
      <c r="AM115" s="160">
        <f>I114+S115-AC115</f>
        <v/>
      </c>
      <c r="AN115" s="160">
        <f>J114+T115-AD115</f>
        <v/>
      </c>
      <c r="AO115" s="160">
        <f>K114+U115-AE115</f>
        <v/>
      </c>
      <c r="AP115" s="160">
        <f>L114+V115-AF115</f>
        <v/>
      </c>
      <c r="AQ115" s="160">
        <f>W115+MAX(0,MIN(AG115,'Debt Payoff'!$C$12-SUM($W115:$AF115)-SUMIFS($AG115:$AP115,$AG$4:$AP$4,"&lt;"&amp;AG$4)))</f>
        <v/>
      </c>
      <c r="AR115" s="160">
        <f>X115+MAX(0,MIN(AH115,'Debt Payoff'!$C$12-SUM($W115:$AF115)-SUMIFS($AG115:$AP115,$AG$4:$AP$4,"&lt;"&amp;AH$4)))</f>
        <v/>
      </c>
      <c r="AS115" s="160">
        <f>Y115+MAX(0,MIN(AI115,'Debt Payoff'!$C$12-SUM($W115:$AF115)-SUMIFS($AG115:$AP115,$AG$4:$AP$4,"&lt;"&amp;AI$4)))</f>
        <v/>
      </c>
      <c r="AT115" s="160">
        <f>Z115+MAX(0,MIN(AJ115,'Debt Payoff'!$C$12-SUM($W115:$AF115)-SUMIFS($AG115:$AP115,$AG$4:$AP$4,"&lt;"&amp;AJ$4)))</f>
        <v/>
      </c>
      <c r="AU115" s="160">
        <f>AA115+MAX(0,MIN(AK115,'Debt Payoff'!$C$12-SUM($W115:$AF115)-SUMIFS($AG115:$AP115,$AG$4:$AP$4,"&lt;"&amp;AK$4)))</f>
        <v/>
      </c>
      <c r="AV115" s="160">
        <f>AB115+MAX(0,MIN(AL115,'Debt Payoff'!$C$12-SUM($W115:$AF115)-SUMIFS($AG115:$AP115,$AG$4:$AP$4,"&lt;"&amp;AL$4)))</f>
        <v/>
      </c>
      <c r="AW115" s="160">
        <f>AC115+MAX(0,MIN(AM115,'Debt Payoff'!$C$12-SUM($W115:$AF115)-SUMIFS($AG115:$AP115,$AG$4:$AP$4,"&lt;"&amp;AM$4)))</f>
        <v/>
      </c>
      <c r="AX115" s="160">
        <f>AD115+MAX(0,MIN(AN115,'Debt Payoff'!$C$12-SUM($W115:$AF115)-SUMIFS($AG115:$AP115,$AG$4:$AP$4,"&lt;"&amp;AN$4)))</f>
        <v/>
      </c>
      <c r="AY115" s="160">
        <f>AE115+MAX(0,MIN(AO115,'Debt Payoff'!$C$12-SUM($W115:$AF115)-SUMIFS($AG115:$AP115,$AG$4:$AP$4,"&lt;"&amp;AO$4)))</f>
        <v/>
      </c>
      <c r="AZ115" s="160">
        <f>AF115+MAX(0,MIN(AP115,'Debt Payoff'!$C$12-SUM($W115:$AF115)-SUMIFS($AG115:$AP115,$AG$4:$AP$4,"&lt;"&amp;AP$4)))</f>
        <v/>
      </c>
      <c r="BA115" s="160">
        <f>SUM(C115:L115)</f>
        <v/>
      </c>
      <c r="BB115" s="160">
        <f>SUM(AQ115:AZ115)</f>
        <v/>
      </c>
      <c r="BC115" s="160">
        <f>SUM(M115:V115)</f>
        <v/>
      </c>
    </row>
    <row r="116">
      <c r="A116" s="157" t="n">
        <v>111</v>
      </c>
      <c r="B116" s="159">
        <f>EDATE('Debt Payoff'!$C$6,110)</f>
        <v/>
      </c>
      <c r="C116" s="160">
        <f>MAX(0,ROUND(C115+M116-AQ116,2))</f>
        <v/>
      </c>
      <c r="D116" s="160">
        <f>MAX(0,ROUND(D115+N116-AR116,2))</f>
        <v/>
      </c>
      <c r="E116" s="160">
        <f>MAX(0,ROUND(E115+O116-AS116,2))</f>
        <v/>
      </c>
      <c r="F116" s="160">
        <f>MAX(0,ROUND(F115+P116-AT116,2))</f>
        <v/>
      </c>
      <c r="G116" s="160">
        <f>MAX(0,ROUND(G115+Q116-AU116,2))</f>
        <v/>
      </c>
      <c r="H116" s="160">
        <f>MAX(0,ROUND(H115+R116-AV116,2))</f>
        <v/>
      </c>
      <c r="I116" s="160">
        <f>MAX(0,ROUND(I115+S116-AW116,2))</f>
        <v/>
      </c>
      <c r="J116" s="160">
        <f>MAX(0,ROUND(J115+T116-AX116,2))</f>
        <v/>
      </c>
      <c r="K116" s="160">
        <f>MAX(0,ROUND(K115+U116-AY116,2))</f>
        <v/>
      </c>
      <c r="L116" s="160">
        <f>MAX(0,ROUND(L115+V116-AZ116,2))</f>
        <v/>
      </c>
      <c r="M116" s="160">
        <f>C115*N('Debt Payoff'!$D$15)/12</f>
        <v/>
      </c>
      <c r="N116" s="160">
        <f>D115*N('Debt Payoff'!$D$16)/12</f>
        <v/>
      </c>
      <c r="O116" s="160">
        <f>E115*N('Debt Payoff'!$D$17)/12</f>
        <v/>
      </c>
      <c r="P116" s="160">
        <f>F115*N('Debt Payoff'!$D$18)/12</f>
        <v/>
      </c>
      <c r="Q116" s="160">
        <f>G115*N('Debt Payoff'!$D$19)/12</f>
        <v/>
      </c>
      <c r="R116" s="160">
        <f>H115*N('Debt Payoff'!$D$20)/12</f>
        <v/>
      </c>
      <c r="S116" s="160">
        <f>I115*N('Debt Payoff'!$D$21)/12</f>
        <v/>
      </c>
      <c r="T116" s="160">
        <f>J115*N('Debt Payoff'!$D$22)/12</f>
        <v/>
      </c>
      <c r="U116" s="160">
        <f>K115*N('Debt Payoff'!$D$23)/12</f>
        <v/>
      </c>
      <c r="V116" s="160">
        <f>L115*N('Debt Payoff'!$D$24)/12</f>
        <v/>
      </c>
      <c r="W116" s="160">
        <f>MIN(N('Debt Payoff'!$E$15),C115+M116)</f>
        <v/>
      </c>
      <c r="X116" s="160">
        <f>MIN(N('Debt Payoff'!$E$16),D115+N116)</f>
        <v/>
      </c>
      <c r="Y116" s="160">
        <f>MIN(N('Debt Payoff'!$E$17),E115+O116)</f>
        <v/>
      </c>
      <c r="Z116" s="160">
        <f>MIN(N('Debt Payoff'!$E$18),F115+P116)</f>
        <v/>
      </c>
      <c r="AA116" s="160">
        <f>MIN(N('Debt Payoff'!$E$19),G115+Q116)</f>
        <v/>
      </c>
      <c r="AB116" s="160">
        <f>MIN(N('Debt Payoff'!$E$20),H115+R116)</f>
        <v/>
      </c>
      <c r="AC116" s="160">
        <f>MIN(N('Debt Payoff'!$E$21),I115+S116)</f>
        <v/>
      </c>
      <c r="AD116" s="160">
        <f>MIN(N('Debt Payoff'!$E$22),J115+T116)</f>
        <v/>
      </c>
      <c r="AE116" s="160">
        <f>MIN(N('Debt Payoff'!$E$23),K115+U116)</f>
        <v/>
      </c>
      <c r="AF116" s="160">
        <f>MIN(N('Debt Payoff'!$E$24),L115+V116)</f>
        <v/>
      </c>
      <c r="AG116" s="160">
        <f>C115+M116-W116</f>
        <v/>
      </c>
      <c r="AH116" s="160">
        <f>D115+N116-X116</f>
        <v/>
      </c>
      <c r="AI116" s="160">
        <f>E115+O116-Y116</f>
        <v/>
      </c>
      <c r="AJ116" s="160">
        <f>F115+P116-Z116</f>
        <v/>
      </c>
      <c r="AK116" s="160">
        <f>G115+Q116-AA116</f>
        <v/>
      </c>
      <c r="AL116" s="160">
        <f>H115+R116-AB116</f>
        <v/>
      </c>
      <c r="AM116" s="160">
        <f>I115+S116-AC116</f>
        <v/>
      </c>
      <c r="AN116" s="160">
        <f>J115+T116-AD116</f>
        <v/>
      </c>
      <c r="AO116" s="160">
        <f>K115+U116-AE116</f>
        <v/>
      </c>
      <c r="AP116" s="160">
        <f>L115+V116-AF116</f>
        <v/>
      </c>
      <c r="AQ116" s="160">
        <f>W116+MAX(0,MIN(AG116,'Debt Payoff'!$C$12-SUM($W116:$AF116)-SUMIFS($AG116:$AP116,$AG$4:$AP$4,"&lt;"&amp;AG$4)))</f>
        <v/>
      </c>
      <c r="AR116" s="160">
        <f>X116+MAX(0,MIN(AH116,'Debt Payoff'!$C$12-SUM($W116:$AF116)-SUMIFS($AG116:$AP116,$AG$4:$AP$4,"&lt;"&amp;AH$4)))</f>
        <v/>
      </c>
      <c r="AS116" s="160">
        <f>Y116+MAX(0,MIN(AI116,'Debt Payoff'!$C$12-SUM($W116:$AF116)-SUMIFS($AG116:$AP116,$AG$4:$AP$4,"&lt;"&amp;AI$4)))</f>
        <v/>
      </c>
      <c r="AT116" s="160">
        <f>Z116+MAX(0,MIN(AJ116,'Debt Payoff'!$C$12-SUM($W116:$AF116)-SUMIFS($AG116:$AP116,$AG$4:$AP$4,"&lt;"&amp;AJ$4)))</f>
        <v/>
      </c>
      <c r="AU116" s="160">
        <f>AA116+MAX(0,MIN(AK116,'Debt Payoff'!$C$12-SUM($W116:$AF116)-SUMIFS($AG116:$AP116,$AG$4:$AP$4,"&lt;"&amp;AK$4)))</f>
        <v/>
      </c>
      <c r="AV116" s="160">
        <f>AB116+MAX(0,MIN(AL116,'Debt Payoff'!$C$12-SUM($W116:$AF116)-SUMIFS($AG116:$AP116,$AG$4:$AP$4,"&lt;"&amp;AL$4)))</f>
        <v/>
      </c>
      <c r="AW116" s="160">
        <f>AC116+MAX(0,MIN(AM116,'Debt Payoff'!$C$12-SUM($W116:$AF116)-SUMIFS($AG116:$AP116,$AG$4:$AP$4,"&lt;"&amp;AM$4)))</f>
        <v/>
      </c>
      <c r="AX116" s="160">
        <f>AD116+MAX(0,MIN(AN116,'Debt Payoff'!$C$12-SUM($W116:$AF116)-SUMIFS($AG116:$AP116,$AG$4:$AP$4,"&lt;"&amp;AN$4)))</f>
        <v/>
      </c>
      <c r="AY116" s="160">
        <f>AE116+MAX(0,MIN(AO116,'Debt Payoff'!$C$12-SUM($W116:$AF116)-SUMIFS($AG116:$AP116,$AG$4:$AP$4,"&lt;"&amp;AO$4)))</f>
        <v/>
      </c>
      <c r="AZ116" s="160">
        <f>AF116+MAX(0,MIN(AP116,'Debt Payoff'!$C$12-SUM($W116:$AF116)-SUMIFS($AG116:$AP116,$AG$4:$AP$4,"&lt;"&amp;AP$4)))</f>
        <v/>
      </c>
      <c r="BA116" s="160">
        <f>SUM(C116:L116)</f>
        <v/>
      </c>
      <c r="BB116" s="160">
        <f>SUM(AQ116:AZ116)</f>
        <v/>
      </c>
      <c r="BC116" s="160">
        <f>SUM(M116:V116)</f>
        <v/>
      </c>
    </row>
    <row r="117">
      <c r="A117" s="157" t="n">
        <v>112</v>
      </c>
      <c r="B117" s="159">
        <f>EDATE('Debt Payoff'!$C$6,111)</f>
        <v/>
      </c>
      <c r="C117" s="160">
        <f>MAX(0,ROUND(C116+M117-AQ117,2))</f>
        <v/>
      </c>
      <c r="D117" s="160">
        <f>MAX(0,ROUND(D116+N117-AR117,2))</f>
        <v/>
      </c>
      <c r="E117" s="160">
        <f>MAX(0,ROUND(E116+O117-AS117,2))</f>
        <v/>
      </c>
      <c r="F117" s="160">
        <f>MAX(0,ROUND(F116+P117-AT117,2))</f>
        <v/>
      </c>
      <c r="G117" s="160">
        <f>MAX(0,ROUND(G116+Q117-AU117,2))</f>
        <v/>
      </c>
      <c r="H117" s="160">
        <f>MAX(0,ROUND(H116+R117-AV117,2))</f>
        <v/>
      </c>
      <c r="I117" s="160">
        <f>MAX(0,ROUND(I116+S117-AW117,2))</f>
        <v/>
      </c>
      <c r="J117" s="160">
        <f>MAX(0,ROUND(J116+T117-AX117,2))</f>
        <v/>
      </c>
      <c r="K117" s="160">
        <f>MAX(0,ROUND(K116+U117-AY117,2))</f>
        <v/>
      </c>
      <c r="L117" s="160">
        <f>MAX(0,ROUND(L116+V117-AZ117,2))</f>
        <v/>
      </c>
      <c r="M117" s="160">
        <f>C116*N('Debt Payoff'!$D$15)/12</f>
        <v/>
      </c>
      <c r="N117" s="160">
        <f>D116*N('Debt Payoff'!$D$16)/12</f>
        <v/>
      </c>
      <c r="O117" s="160">
        <f>E116*N('Debt Payoff'!$D$17)/12</f>
        <v/>
      </c>
      <c r="P117" s="160">
        <f>F116*N('Debt Payoff'!$D$18)/12</f>
        <v/>
      </c>
      <c r="Q117" s="160">
        <f>G116*N('Debt Payoff'!$D$19)/12</f>
        <v/>
      </c>
      <c r="R117" s="160">
        <f>H116*N('Debt Payoff'!$D$20)/12</f>
        <v/>
      </c>
      <c r="S117" s="160">
        <f>I116*N('Debt Payoff'!$D$21)/12</f>
        <v/>
      </c>
      <c r="T117" s="160">
        <f>J116*N('Debt Payoff'!$D$22)/12</f>
        <v/>
      </c>
      <c r="U117" s="160">
        <f>K116*N('Debt Payoff'!$D$23)/12</f>
        <v/>
      </c>
      <c r="V117" s="160">
        <f>L116*N('Debt Payoff'!$D$24)/12</f>
        <v/>
      </c>
      <c r="W117" s="160">
        <f>MIN(N('Debt Payoff'!$E$15),C116+M117)</f>
        <v/>
      </c>
      <c r="X117" s="160">
        <f>MIN(N('Debt Payoff'!$E$16),D116+N117)</f>
        <v/>
      </c>
      <c r="Y117" s="160">
        <f>MIN(N('Debt Payoff'!$E$17),E116+O117)</f>
        <v/>
      </c>
      <c r="Z117" s="160">
        <f>MIN(N('Debt Payoff'!$E$18),F116+P117)</f>
        <v/>
      </c>
      <c r="AA117" s="160">
        <f>MIN(N('Debt Payoff'!$E$19),G116+Q117)</f>
        <v/>
      </c>
      <c r="AB117" s="160">
        <f>MIN(N('Debt Payoff'!$E$20),H116+R117)</f>
        <v/>
      </c>
      <c r="AC117" s="160">
        <f>MIN(N('Debt Payoff'!$E$21),I116+S117)</f>
        <v/>
      </c>
      <c r="AD117" s="160">
        <f>MIN(N('Debt Payoff'!$E$22),J116+T117)</f>
        <v/>
      </c>
      <c r="AE117" s="160">
        <f>MIN(N('Debt Payoff'!$E$23),K116+U117)</f>
        <v/>
      </c>
      <c r="AF117" s="160">
        <f>MIN(N('Debt Payoff'!$E$24),L116+V117)</f>
        <v/>
      </c>
      <c r="AG117" s="160">
        <f>C116+M117-W117</f>
        <v/>
      </c>
      <c r="AH117" s="160">
        <f>D116+N117-X117</f>
        <v/>
      </c>
      <c r="AI117" s="160">
        <f>E116+O117-Y117</f>
        <v/>
      </c>
      <c r="AJ117" s="160">
        <f>F116+P117-Z117</f>
        <v/>
      </c>
      <c r="AK117" s="160">
        <f>G116+Q117-AA117</f>
        <v/>
      </c>
      <c r="AL117" s="160">
        <f>H116+R117-AB117</f>
        <v/>
      </c>
      <c r="AM117" s="160">
        <f>I116+S117-AC117</f>
        <v/>
      </c>
      <c r="AN117" s="160">
        <f>J116+T117-AD117</f>
        <v/>
      </c>
      <c r="AO117" s="160">
        <f>K116+U117-AE117</f>
        <v/>
      </c>
      <c r="AP117" s="160">
        <f>L116+V117-AF117</f>
        <v/>
      </c>
      <c r="AQ117" s="160">
        <f>W117+MAX(0,MIN(AG117,'Debt Payoff'!$C$12-SUM($W117:$AF117)-SUMIFS($AG117:$AP117,$AG$4:$AP$4,"&lt;"&amp;AG$4)))</f>
        <v/>
      </c>
      <c r="AR117" s="160">
        <f>X117+MAX(0,MIN(AH117,'Debt Payoff'!$C$12-SUM($W117:$AF117)-SUMIFS($AG117:$AP117,$AG$4:$AP$4,"&lt;"&amp;AH$4)))</f>
        <v/>
      </c>
      <c r="AS117" s="160">
        <f>Y117+MAX(0,MIN(AI117,'Debt Payoff'!$C$12-SUM($W117:$AF117)-SUMIFS($AG117:$AP117,$AG$4:$AP$4,"&lt;"&amp;AI$4)))</f>
        <v/>
      </c>
      <c r="AT117" s="160">
        <f>Z117+MAX(0,MIN(AJ117,'Debt Payoff'!$C$12-SUM($W117:$AF117)-SUMIFS($AG117:$AP117,$AG$4:$AP$4,"&lt;"&amp;AJ$4)))</f>
        <v/>
      </c>
      <c r="AU117" s="160">
        <f>AA117+MAX(0,MIN(AK117,'Debt Payoff'!$C$12-SUM($W117:$AF117)-SUMIFS($AG117:$AP117,$AG$4:$AP$4,"&lt;"&amp;AK$4)))</f>
        <v/>
      </c>
      <c r="AV117" s="160">
        <f>AB117+MAX(0,MIN(AL117,'Debt Payoff'!$C$12-SUM($W117:$AF117)-SUMIFS($AG117:$AP117,$AG$4:$AP$4,"&lt;"&amp;AL$4)))</f>
        <v/>
      </c>
      <c r="AW117" s="160">
        <f>AC117+MAX(0,MIN(AM117,'Debt Payoff'!$C$12-SUM($W117:$AF117)-SUMIFS($AG117:$AP117,$AG$4:$AP$4,"&lt;"&amp;AM$4)))</f>
        <v/>
      </c>
      <c r="AX117" s="160">
        <f>AD117+MAX(0,MIN(AN117,'Debt Payoff'!$C$12-SUM($W117:$AF117)-SUMIFS($AG117:$AP117,$AG$4:$AP$4,"&lt;"&amp;AN$4)))</f>
        <v/>
      </c>
      <c r="AY117" s="160">
        <f>AE117+MAX(0,MIN(AO117,'Debt Payoff'!$C$12-SUM($W117:$AF117)-SUMIFS($AG117:$AP117,$AG$4:$AP$4,"&lt;"&amp;AO$4)))</f>
        <v/>
      </c>
      <c r="AZ117" s="160">
        <f>AF117+MAX(0,MIN(AP117,'Debt Payoff'!$C$12-SUM($W117:$AF117)-SUMIFS($AG117:$AP117,$AG$4:$AP$4,"&lt;"&amp;AP$4)))</f>
        <v/>
      </c>
      <c r="BA117" s="160">
        <f>SUM(C117:L117)</f>
        <v/>
      </c>
      <c r="BB117" s="160">
        <f>SUM(AQ117:AZ117)</f>
        <v/>
      </c>
      <c r="BC117" s="160">
        <f>SUM(M117:V117)</f>
        <v/>
      </c>
    </row>
    <row r="118">
      <c r="A118" s="157" t="n">
        <v>113</v>
      </c>
      <c r="B118" s="159">
        <f>EDATE('Debt Payoff'!$C$6,112)</f>
        <v/>
      </c>
      <c r="C118" s="160">
        <f>MAX(0,ROUND(C117+M118-AQ118,2))</f>
        <v/>
      </c>
      <c r="D118" s="160">
        <f>MAX(0,ROUND(D117+N118-AR118,2))</f>
        <v/>
      </c>
      <c r="E118" s="160">
        <f>MAX(0,ROUND(E117+O118-AS118,2))</f>
        <v/>
      </c>
      <c r="F118" s="160">
        <f>MAX(0,ROUND(F117+P118-AT118,2))</f>
        <v/>
      </c>
      <c r="G118" s="160">
        <f>MAX(0,ROUND(G117+Q118-AU118,2))</f>
        <v/>
      </c>
      <c r="H118" s="160">
        <f>MAX(0,ROUND(H117+R118-AV118,2))</f>
        <v/>
      </c>
      <c r="I118" s="160">
        <f>MAX(0,ROUND(I117+S118-AW118,2))</f>
        <v/>
      </c>
      <c r="J118" s="160">
        <f>MAX(0,ROUND(J117+T118-AX118,2))</f>
        <v/>
      </c>
      <c r="K118" s="160">
        <f>MAX(0,ROUND(K117+U118-AY118,2))</f>
        <v/>
      </c>
      <c r="L118" s="160">
        <f>MAX(0,ROUND(L117+V118-AZ118,2))</f>
        <v/>
      </c>
      <c r="M118" s="160">
        <f>C117*N('Debt Payoff'!$D$15)/12</f>
        <v/>
      </c>
      <c r="N118" s="160">
        <f>D117*N('Debt Payoff'!$D$16)/12</f>
        <v/>
      </c>
      <c r="O118" s="160">
        <f>E117*N('Debt Payoff'!$D$17)/12</f>
        <v/>
      </c>
      <c r="P118" s="160">
        <f>F117*N('Debt Payoff'!$D$18)/12</f>
        <v/>
      </c>
      <c r="Q118" s="160">
        <f>G117*N('Debt Payoff'!$D$19)/12</f>
        <v/>
      </c>
      <c r="R118" s="160">
        <f>H117*N('Debt Payoff'!$D$20)/12</f>
        <v/>
      </c>
      <c r="S118" s="160">
        <f>I117*N('Debt Payoff'!$D$21)/12</f>
        <v/>
      </c>
      <c r="T118" s="160">
        <f>J117*N('Debt Payoff'!$D$22)/12</f>
        <v/>
      </c>
      <c r="U118" s="160">
        <f>K117*N('Debt Payoff'!$D$23)/12</f>
        <v/>
      </c>
      <c r="V118" s="160">
        <f>L117*N('Debt Payoff'!$D$24)/12</f>
        <v/>
      </c>
      <c r="W118" s="160">
        <f>MIN(N('Debt Payoff'!$E$15),C117+M118)</f>
        <v/>
      </c>
      <c r="X118" s="160">
        <f>MIN(N('Debt Payoff'!$E$16),D117+N118)</f>
        <v/>
      </c>
      <c r="Y118" s="160">
        <f>MIN(N('Debt Payoff'!$E$17),E117+O118)</f>
        <v/>
      </c>
      <c r="Z118" s="160">
        <f>MIN(N('Debt Payoff'!$E$18),F117+P118)</f>
        <v/>
      </c>
      <c r="AA118" s="160">
        <f>MIN(N('Debt Payoff'!$E$19),G117+Q118)</f>
        <v/>
      </c>
      <c r="AB118" s="160">
        <f>MIN(N('Debt Payoff'!$E$20),H117+R118)</f>
        <v/>
      </c>
      <c r="AC118" s="160">
        <f>MIN(N('Debt Payoff'!$E$21),I117+S118)</f>
        <v/>
      </c>
      <c r="AD118" s="160">
        <f>MIN(N('Debt Payoff'!$E$22),J117+T118)</f>
        <v/>
      </c>
      <c r="AE118" s="160">
        <f>MIN(N('Debt Payoff'!$E$23),K117+U118)</f>
        <v/>
      </c>
      <c r="AF118" s="160">
        <f>MIN(N('Debt Payoff'!$E$24),L117+V118)</f>
        <v/>
      </c>
      <c r="AG118" s="160">
        <f>C117+M118-W118</f>
        <v/>
      </c>
      <c r="AH118" s="160">
        <f>D117+N118-X118</f>
        <v/>
      </c>
      <c r="AI118" s="160">
        <f>E117+O118-Y118</f>
        <v/>
      </c>
      <c r="AJ118" s="160">
        <f>F117+P118-Z118</f>
        <v/>
      </c>
      <c r="AK118" s="160">
        <f>G117+Q118-AA118</f>
        <v/>
      </c>
      <c r="AL118" s="160">
        <f>H117+R118-AB118</f>
        <v/>
      </c>
      <c r="AM118" s="160">
        <f>I117+S118-AC118</f>
        <v/>
      </c>
      <c r="AN118" s="160">
        <f>J117+T118-AD118</f>
        <v/>
      </c>
      <c r="AO118" s="160">
        <f>K117+U118-AE118</f>
        <v/>
      </c>
      <c r="AP118" s="160">
        <f>L117+V118-AF118</f>
        <v/>
      </c>
      <c r="AQ118" s="160">
        <f>W118+MAX(0,MIN(AG118,'Debt Payoff'!$C$12-SUM($W118:$AF118)-SUMIFS($AG118:$AP118,$AG$4:$AP$4,"&lt;"&amp;AG$4)))</f>
        <v/>
      </c>
      <c r="AR118" s="160">
        <f>X118+MAX(0,MIN(AH118,'Debt Payoff'!$C$12-SUM($W118:$AF118)-SUMIFS($AG118:$AP118,$AG$4:$AP$4,"&lt;"&amp;AH$4)))</f>
        <v/>
      </c>
      <c r="AS118" s="160">
        <f>Y118+MAX(0,MIN(AI118,'Debt Payoff'!$C$12-SUM($W118:$AF118)-SUMIFS($AG118:$AP118,$AG$4:$AP$4,"&lt;"&amp;AI$4)))</f>
        <v/>
      </c>
      <c r="AT118" s="160">
        <f>Z118+MAX(0,MIN(AJ118,'Debt Payoff'!$C$12-SUM($W118:$AF118)-SUMIFS($AG118:$AP118,$AG$4:$AP$4,"&lt;"&amp;AJ$4)))</f>
        <v/>
      </c>
      <c r="AU118" s="160">
        <f>AA118+MAX(0,MIN(AK118,'Debt Payoff'!$C$12-SUM($W118:$AF118)-SUMIFS($AG118:$AP118,$AG$4:$AP$4,"&lt;"&amp;AK$4)))</f>
        <v/>
      </c>
      <c r="AV118" s="160">
        <f>AB118+MAX(0,MIN(AL118,'Debt Payoff'!$C$12-SUM($W118:$AF118)-SUMIFS($AG118:$AP118,$AG$4:$AP$4,"&lt;"&amp;AL$4)))</f>
        <v/>
      </c>
      <c r="AW118" s="160">
        <f>AC118+MAX(0,MIN(AM118,'Debt Payoff'!$C$12-SUM($W118:$AF118)-SUMIFS($AG118:$AP118,$AG$4:$AP$4,"&lt;"&amp;AM$4)))</f>
        <v/>
      </c>
      <c r="AX118" s="160">
        <f>AD118+MAX(0,MIN(AN118,'Debt Payoff'!$C$12-SUM($W118:$AF118)-SUMIFS($AG118:$AP118,$AG$4:$AP$4,"&lt;"&amp;AN$4)))</f>
        <v/>
      </c>
      <c r="AY118" s="160">
        <f>AE118+MAX(0,MIN(AO118,'Debt Payoff'!$C$12-SUM($W118:$AF118)-SUMIFS($AG118:$AP118,$AG$4:$AP$4,"&lt;"&amp;AO$4)))</f>
        <v/>
      </c>
      <c r="AZ118" s="160">
        <f>AF118+MAX(0,MIN(AP118,'Debt Payoff'!$C$12-SUM($W118:$AF118)-SUMIFS($AG118:$AP118,$AG$4:$AP$4,"&lt;"&amp;AP$4)))</f>
        <v/>
      </c>
      <c r="BA118" s="160">
        <f>SUM(C118:L118)</f>
        <v/>
      </c>
      <c r="BB118" s="160">
        <f>SUM(AQ118:AZ118)</f>
        <v/>
      </c>
      <c r="BC118" s="160">
        <f>SUM(M118:V118)</f>
        <v/>
      </c>
    </row>
    <row r="119">
      <c r="A119" s="157" t="n">
        <v>114</v>
      </c>
      <c r="B119" s="159">
        <f>EDATE('Debt Payoff'!$C$6,113)</f>
        <v/>
      </c>
      <c r="C119" s="160">
        <f>MAX(0,ROUND(C118+M119-AQ119,2))</f>
        <v/>
      </c>
      <c r="D119" s="160">
        <f>MAX(0,ROUND(D118+N119-AR119,2))</f>
        <v/>
      </c>
      <c r="E119" s="160">
        <f>MAX(0,ROUND(E118+O119-AS119,2))</f>
        <v/>
      </c>
      <c r="F119" s="160">
        <f>MAX(0,ROUND(F118+P119-AT119,2))</f>
        <v/>
      </c>
      <c r="G119" s="160">
        <f>MAX(0,ROUND(G118+Q119-AU119,2))</f>
        <v/>
      </c>
      <c r="H119" s="160">
        <f>MAX(0,ROUND(H118+R119-AV119,2))</f>
        <v/>
      </c>
      <c r="I119" s="160">
        <f>MAX(0,ROUND(I118+S119-AW119,2))</f>
        <v/>
      </c>
      <c r="J119" s="160">
        <f>MAX(0,ROUND(J118+T119-AX119,2))</f>
        <v/>
      </c>
      <c r="K119" s="160">
        <f>MAX(0,ROUND(K118+U119-AY119,2))</f>
        <v/>
      </c>
      <c r="L119" s="160">
        <f>MAX(0,ROUND(L118+V119-AZ119,2))</f>
        <v/>
      </c>
      <c r="M119" s="160">
        <f>C118*N('Debt Payoff'!$D$15)/12</f>
        <v/>
      </c>
      <c r="N119" s="160">
        <f>D118*N('Debt Payoff'!$D$16)/12</f>
        <v/>
      </c>
      <c r="O119" s="160">
        <f>E118*N('Debt Payoff'!$D$17)/12</f>
        <v/>
      </c>
      <c r="P119" s="160">
        <f>F118*N('Debt Payoff'!$D$18)/12</f>
        <v/>
      </c>
      <c r="Q119" s="160">
        <f>G118*N('Debt Payoff'!$D$19)/12</f>
        <v/>
      </c>
      <c r="R119" s="160">
        <f>H118*N('Debt Payoff'!$D$20)/12</f>
        <v/>
      </c>
      <c r="S119" s="160">
        <f>I118*N('Debt Payoff'!$D$21)/12</f>
        <v/>
      </c>
      <c r="T119" s="160">
        <f>J118*N('Debt Payoff'!$D$22)/12</f>
        <v/>
      </c>
      <c r="U119" s="160">
        <f>K118*N('Debt Payoff'!$D$23)/12</f>
        <v/>
      </c>
      <c r="V119" s="160">
        <f>L118*N('Debt Payoff'!$D$24)/12</f>
        <v/>
      </c>
      <c r="W119" s="160">
        <f>MIN(N('Debt Payoff'!$E$15),C118+M119)</f>
        <v/>
      </c>
      <c r="X119" s="160">
        <f>MIN(N('Debt Payoff'!$E$16),D118+N119)</f>
        <v/>
      </c>
      <c r="Y119" s="160">
        <f>MIN(N('Debt Payoff'!$E$17),E118+O119)</f>
        <v/>
      </c>
      <c r="Z119" s="160">
        <f>MIN(N('Debt Payoff'!$E$18),F118+P119)</f>
        <v/>
      </c>
      <c r="AA119" s="160">
        <f>MIN(N('Debt Payoff'!$E$19),G118+Q119)</f>
        <v/>
      </c>
      <c r="AB119" s="160">
        <f>MIN(N('Debt Payoff'!$E$20),H118+R119)</f>
        <v/>
      </c>
      <c r="AC119" s="160">
        <f>MIN(N('Debt Payoff'!$E$21),I118+S119)</f>
        <v/>
      </c>
      <c r="AD119" s="160">
        <f>MIN(N('Debt Payoff'!$E$22),J118+T119)</f>
        <v/>
      </c>
      <c r="AE119" s="160">
        <f>MIN(N('Debt Payoff'!$E$23),K118+U119)</f>
        <v/>
      </c>
      <c r="AF119" s="160">
        <f>MIN(N('Debt Payoff'!$E$24),L118+V119)</f>
        <v/>
      </c>
      <c r="AG119" s="160">
        <f>C118+M119-W119</f>
        <v/>
      </c>
      <c r="AH119" s="160">
        <f>D118+N119-X119</f>
        <v/>
      </c>
      <c r="AI119" s="160">
        <f>E118+O119-Y119</f>
        <v/>
      </c>
      <c r="AJ119" s="160">
        <f>F118+P119-Z119</f>
        <v/>
      </c>
      <c r="AK119" s="160">
        <f>G118+Q119-AA119</f>
        <v/>
      </c>
      <c r="AL119" s="160">
        <f>H118+R119-AB119</f>
        <v/>
      </c>
      <c r="AM119" s="160">
        <f>I118+S119-AC119</f>
        <v/>
      </c>
      <c r="AN119" s="160">
        <f>J118+T119-AD119</f>
        <v/>
      </c>
      <c r="AO119" s="160">
        <f>K118+U119-AE119</f>
        <v/>
      </c>
      <c r="AP119" s="160">
        <f>L118+V119-AF119</f>
        <v/>
      </c>
      <c r="AQ119" s="160">
        <f>W119+MAX(0,MIN(AG119,'Debt Payoff'!$C$12-SUM($W119:$AF119)-SUMIFS($AG119:$AP119,$AG$4:$AP$4,"&lt;"&amp;AG$4)))</f>
        <v/>
      </c>
      <c r="AR119" s="160">
        <f>X119+MAX(0,MIN(AH119,'Debt Payoff'!$C$12-SUM($W119:$AF119)-SUMIFS($AG119:$AP119,$AG$4:$AP$4,"&lt;"&amp;AH$4)))</f>
        <v/>
      </c>
      <c r="AS119" s="160">
        <f>Y119+MAX(0,MIN(AI119,'Debt Payoff'!$C$12-SUM($W119:$AF119)-SUMIFS($AG119:$AP119,$AG$4:$AP$4,"&lt;"&amp;AI$4)))</f>
        <v/>
      </c>
      <c r="AT119" s="160">
        <f>Z119+MAX(0,MIN(AJ119,'Debt Payoff'!$C$12-SUM($W119:$AF119)-SUMIFS($AG119:$AP119,$AG$4:$AP$4,"&lt;"&amp;AJ$4)))</f>
        <v/>
      </c>
      <c r="AU119" s="160">
        <f>AA119+MAX(0,MIN(AK119,'Debt Payoff'!$C$12-SUM($W119:$AF119)-SUMIFS($AG119:$AP119,$AG$4:$AP$4,"&lt;"&amp;AK$4)))</f>
        <v/>
      </c>
      <c r="AV119" s="160">
        <f>AB119+MAX(0,MIN(AL119,'Debt Payoff'!$C$12-SUM($W119:$AF119)-SUMIFS($AG119:$AP119,$AG$4:$AP$4,"&lt;"&amp;AL$4)))</f>
        <v/>
      </c>
      <c r="AW119" s="160">
        <f>AC119+MAX(0,MIN(AM119,'Debt Payoff'!$C$12-SUM($W119:$AF119)-SUMIFS($AG119:$AP119,$AG$4:$AP$4,"&lt;"&amp;AM$4)))</f>
        <v/>
      </c>
      <c r="AX119" s="160">
        <f>AD119+MAX(0,MIN(AN119,'Debt Payoff'!$C$12-SUM($W119:$AF119)-SUMIFS($AG119:$AP119,$AG$4:$AP$4,"&lt;"&amp;AN$4)))</f>
        <v/>
      </c>
      <c r="AY119" s="160">
        <f>AE119+MAX(0,MIN(AO119,'Debt Payoff'!$C$12-SUM($W119:$AF119)-SUMIFS($AG119:$AP119,$AG$4:$AP$4,"&lt;"&amp;AO$4)))</f>
        <v/>
      </c>
      <c r="AZ119" s="160">
        <f>AF119+MAX(0,MIN(AP119,'Debt Payoff'!$C$12-SUM($W119:$AF119)-SUMIFS($AG119:$AP119,$AG$4:$AP$4,"&lt;"&amp;AP$4)))</f>
        <v/>
      </c>
      <c r="BA119" s="160">
        <f>SUM(C119:L119)</f>
        <v/>
      </c>
      <c r="BB119" s="160">
        <f>SUM(AQ119:AZ119)</f>
        <v/>
      </c>
      <c r="BC119" s="160">
        <f>SUM(M119:V119)</f>
        <v/>
      </c>
    </row>
    <row r="120">
      <c r="A120" s="157" t="n">
        <v>115</v>
      </c>
      <c r="B120" s="159">
        <f>EDATE('Debt Payoff'!$C$6,114)</f>
        <v/>
      </c>
      <c r="C120" s="160">
        <f>MAX(0,ROUND(C119+M120-AQ120,2))</f>
        <v/>
      </c>
      <c r="D120" s="160">
        <f>MAX(0,ROUND(D119+N120-AR120,2))</f>
        <v/>
      </c>
      <c r="E120" s="160">
        <f>MAX(0,ROUND(E119+O120-AS120,2))</f>
        <v/>
      </c>
      <c r="F120" s="160">
        <f>MAX(0,ROUND(F119+P120-AT120,2))</f>
        <v/>
      </c>
      <c r="G120" s="160">
        <f>MAX(0,ROUND(G119+Q120-AU120,2))</f>
        <v/>
      </c>
      <c r="H120" s="160">
        <f>MAX(0,ROUND(H119+R120-AV120,2))</f>
        <v/>
      </c>
      <c r="I120" s="160">
        <f>MAX(0,ROUND(I119+S120-AW120,2))</f>
        <v/>
      </c>
      <c r="J120" s="160">
        <f>MAX(0,ROUND(J119+T120-AX120,2))</f>
        <v/>
      </c>
      <c r="K120" s="160">
        <f>MAX(0,ROUND(K119+U120-AY120,2))</f>
        <v/>
      </c>
      <c r="L120" s="160">
        <f>MAX(0,ROUND(L119+V120-AZ120,2))</f>
        <v/>
      </c>
      <c r="M120" s="160">
        <f>C119*N('Debt Payoff'!$D$15)/12</f>
        <v/>
      </c>
      <c r="N120" s="160">
        <f>D119*N('Debt Payoff'!$D$16)/12</f>
        <v/>
      </c>
      <c r="O120" s="160">
        <f>E119*N('Debt Payoff'!$D$17)/12</f>
        <v/>
      </c>
      <c r="P120" s="160">
        <f>F119*N('Debt Payoff'!$D$18)/12</f>
        <v/>
      </c>
      <c r="Q120" s="160">
        <f>G119*N('Debt Payoff'!$D$19)/12</f>
        <v/>
      </c>
      <c r="R120" s="160">
        <f>H119*N('Debt Payoff'!$D$20)/12</f>
        <v/>
      </c>
      <c r="S120" s="160">
        <f>I119*N('Debt Payoff'!$D$21)/12</f>
        <v/>
      </c>
      <c r="T120" s="160">
        <f>J119*N('Debt Payoff'!$D$22)/12</f>
        <v/>
      </c>
      <c r="U120" s="160">
        <f>K119*N('Debt Payoff'!$D$23)/12</f>
        <v/>
      </c>
      <c r="V120" s="160">
        <f>L119*N('Debt Payoff'!$D$24)/12</f>
        <v/>
      </c>
      <c r="W120" s="160">
        <f>MIN(N('Debt Payoff'!$E$15),C119+M120)</f>
        <v/>
      </c>
      <c r="X120" s="160">
        <f>MIN(N('Debt Payoff'!$E$16),D119+N120)</f>
        <v/>
      </c>
      <c r="Y120" s="160">
        <f>MIN(N('Debt Payoff'!$E$17),E119+O120)</f>
        <v/>
      </c>
      <c r="Z120" s="160">
        <f>MIN(N('Debt Payoff'!$E$18),F119+P120)</f>
        <v/>
      </c>
      <c r="AA120" s="160">
        <f>MIN(N('Debt Payoff'!$E$19),G119+Q120)</f>
        <v/>
      </c>
      <c r="AB120" s="160">
        <f>MIN(N('Debt Payoff'!$E$20),H119+R120)</f>
        <v/>
      </c>
      <c r="AC120" s="160">
        <f>MIN(N('Debt Payoff'!$E$21),I119+S120)</f>
        <v/>
      </c>
      <c r="AD120" s="160">
        <f>MIN(N('Debt Payoff'!$E$22),J119+T120)</f>
        <v/>
      </c>
      <c r="AE120" s="160">
        <f>MIN(N('Debt Payoff'!$E$23),K119+U120)</f>
        <v/>
      </c>
      <c r="AF120" s="160">
        <f>MIN(N('Debt Payoff'!$E$24),L119+V120)</f>
        <v/>
      </c>
      <c r="AG120" s="160">
        <f>C119+M120-W120</f>
        <v/>
      </c>
      <c r="AH120" s="160">
        <f>D119+N120-X120</f>
        <v/>
      </c>
      <c r="AI120" s="160">
        <f>E119+O120-Y120</f>
        <v/>
      </c>
      <c r="AJ120" s="160">
        <f>F119+P120-Z120</f>
        <v/>
      </c>
      <c r="AK120" s="160">
        <f>G119+Q120-AA120</f>
        <v/>
      </c>
      <c r="AL120" s="160">
        <f>H119+R120-AB120</f>
        <v/>
      </c>
      <c r="AM120" s="160">
        <f>I119+S120-AC120</f>
        <v/>
      </c>
      <c r="AN120" s="160">
        <f>J119+T120-AD120</f>
        <v/>
      </c>
      <c r="AO120" s="160">
        <f>K119+U120-AE120</f>
        <v/>
      </c>
      <c r="AP120" s="160">
        <f>L119+V120-AF120</f>
        <v/>
      </c>
      <c r="AQ120" s="160">
        <f>W120+MAX(0,MIN(AG120,'Debt Payoff'!$C$12-SUM($W120:$AF120)-SUMIFS($AG120:$AP120,$AG$4:$AP$4,"&lt;"&amp;AG$4)))</f>
        <v/>
      </c>
      <c r="AR120" s="160">
        <f>X120+MAX(0,MIN(AH120,'Debt Payoff'!$C$12-SUM($W120:$AF120)-SUMIFS($AG120:$AP120,$AG$4:$AP$4,"&lt;"&amp;AH$4)))</f>
        <v/>
      </c>
      <c r="AS120" s="160">
        <f>Y120+MAX(0,MIN(AI120,'Debt Payoff'!$C$12-SUM($W120:$AF120)-SUMIFS($AG120:$AP120,$AG$4:$AP$4,"&lt;"&amp;AI$4)))</f>
        <v/>
      </c>
      <c r="AT120" s="160">
        <f>Z120+MAX(0,MIN(AJ120,'Debt Payoff'!$C$12-SUM($W120:$AF120)-SUMIFS($AG120:$AP120,$AG$4:$AP$4,"&lt;"&amp;AJ$4)))</f>
        <v/>
      </c>
      <c r="AU120" s="160">
        <f>AA120+MAX(0,MIN(AK120,'Debt Payoff'!$C$12-SUM($W120:$AF120)-SUMIFS($AG120:$AP120,$AG$4:$AP$4,"&lt;"&amp;AK$4)))</f>
        <v/>
      </c>
      <c r="AV120" s="160">
        <f>AB120+MAX(0,MIN(AL120,'Debt Payoff'!$C$12-SUM($W120:$AF120)-SUMIFS($AG120:$AP120,$AG$4:$AP$4,"&lt;"&amp;AL$4)))</f>
        <v/>
      </c>
      <c r="AW120" s="160">
        <f>AC120+MAX(0,MIN(AM120,'Debt Payoff'!$C$12-SUM($W120:$AF120)-SUMIFS($AG120:$AP120,$AG$4:$AP$4,"&lt;"&amp;AM$4)))</f>
        <v/>
      </c>
      <c r="AX120" s="160">
        <f>AD120+MAX(0,MIN(AN120,'Debt Payoff'!$C$12-SUM($W120:$AF120)-SUMIFS($AG120:$AP120,$AG$4:$AP$4,"&lt;"&amp;AN$4)))</f>
        <v/>
      </c>
      <c r="AY120" s="160">
        <f>AE120+MAX(0,MIN(AO120,'Debt Payoff'!$C$12-SUM($W120:$AF120)-SUMIFS($AG120:$AP120,$AG$4:$AP$4,"&lt;"&amp;AO$4)))</f>
        <v/>
      </c>
      <c r="AZ120" s="160">
        <f>AF120+MAX(0,MIN(AP120,'Debt Payoff'!$C$12-SUM($W120:$AF120)-SUMIFS($AG120:$AP120,$AG$4:$AP$4,"&lt;"&amp;AP$4)))</f>
        <v/>
      </c>
      <c r="BA120" s="160">
        <f>SUM(C120:L120)</f>
        <v/>
      </c>
      <c r="BB120" s="160">
        <f>SUM(AQ120:AZ120)</f>
        <v/>
      </c>
      <c r="BC120" s="160">
        <f>SUM(M120:V120)</f>
        <v/>
      </c>
    </row>
    <row r="121">
      <c r="A121" s="157" t="n">
        <v>116</v>
      </c>
      <c r="B121" s="159">
        <f>EDATE('Debt Payoff'!$C$6,115)</f>
        <v/>
      </c>
      <c r="C121" s="160">
        <f>MAX(0,ROUND(C120+M121-AQ121,2))</f>
        <v/>
      </c>
      <c r="D121" s="160">
        <f>MAX(0,ROUND(D120+N121-AR121,2))</f>
        <v/>
      </c>
      <c r="E121" s="160">
        <f>MAX(0,ROUND(E120+O121-AS121,2))</f>
        <v/>
      </c>
      <c r="F121" s="160">
        <f>MAX(0,ROUND(F120+P121-AT121,2))</f>
        <v/>
      </c>
      <c r="G121" s="160">
        <f>MAX(0,ROUND(G120+Q121-AU121,2))</f>
        <v/>
      </c>
      <c r="H121" s="160">
        <f>MAX(0,ROUND(H120+R121-AV121,2))</f>
        <v/>
      </c>
      <c r="I121" s="160">
        <f>MAX(0,ROUND(I120+S121-AW121,2))</f>
        <v/>
      </c>
      <c r="J121" s="160">
        <f>MAX(0,ROUND(J120+T121-AX121,2))</f>
        <v/>
      </c>
      <c r="K121" s="160">
        <f>MAX(0,ROUND(K120+U121-AY121,2))</f>
        <v/>
      </c>
      <c r="L121" s="160">
        <f>MAX(0,ROUND(L120+V121-AZ121,2))</f>
        <v/>
      </c>
      <c r="M121" s="160">
        <f>C120*N('Debt Payoff'!$D$15)/12</f>
        <v/>
      </c>
      <c r="N121" s="160">
        <f>D120*N('Debt Payoff'!$D$16)/12</f>
        <v/>
      </c>
      <c r="O121" s="160">
        <f>E120*N('Debt Payoff'!$D$17)/12</f>
        <v/>
      </c>
      <c r="P121" s="160">
        <f>F120*N('Debt Payoff'!$D$18)/12</f>
        <v/>
      </c>
      <c r="Q121" s="160">
        <f>G120*N('Debt Payoff'!$D$19)/12</f>
        <v/>
      </c>
      <c r="R121" s="160">
        <f>H120*N('Debt Payoff'!$D$20)/12</f>
        <v/>
      </c>
      <c r="S121" s="160">
        <f>I120*N('Debt Payoff'!$D$21)/12</f>
        <v/>
      </c>
      <c r="T121" s="160">
        <f>J120*N('Debt Payoff'!$D$22)/12</f>
        <v/>
      </c>
      <c r="U121" s="160">
        <f>K120*N('Debt Payoff'!$D$23)/12</f>
        <v/>
      </c>
      <c r="V121" s="160">
        <f>L120*N('Debt Payoff'!$D$24)/12</f>
        <v/>
      </c>
      <c r="W121" s="160">
        <f>MIN(N('Debt Payoff'!$E$15),C120+M121)</f>
        <v/>
      </c>
      <c r="X121" s="160">
        <f>MIN(N('Debt Payoff'!$E$16),D120+N121)</f>
        <v/>
      </c>
      <c r="Y121" s="160">
        <f>MIN(N('Debt Payoff'!$E$17),E120+O121)</f>
        <v/>
      </c>
      <c r="Z121" s="160">
        <f>MIN(N('Debt Payoff'!$E$18),F120+P121)</f>
        <v/>
      </c>
      <c r="AA121" s="160">
        <f>MIN(N('Debt Payoff'!$E$19),G120+Q121)</f>
        <v/>
      </c>
      <c r="AB121" s="160">
        <f>MIN(N('Debt Payoff'!$E$20),H120+R121)</f>
        <v/>
      </c>
      <c r="AC121" s="160">
        <f>MIN(N('Debt Payoff'!$E$21),I120+S121)</f>
        <v/>
      </c>
      <c r="AD121" s="160">
        <f>MIN(N('Debt Payoff'!$E$22),J120+T121)</f>
        <v/>
      </c>
      <c r="AE121" s="160">
        <f>MIN(N('Debt Payoff'!$E$23),K120+U121)</f>
        <v/>
      </c>
      <c r="AF121" s="160">
        <f>MIN(N('Debt Payoff'!$E$24),L120+V121)</f>
        <v/>
      </c>
      <c r="AG121" s="160">
        <f>C120+M121-W121</f>
        <v/>
      </c>
      <c r="AH121" s="160">
        <f>D120+N121-X121</f>
        <v/>
      </c>
      <c r="AI121" s="160">
        <f>E120+O121-Y121</f>
        <v/>
      </c>
      <c r="AJ121" s="160">
        <f>F120+P121-Z121</f>
        <v/>
      </c>
      <c r="AK121" s="160">
        <f>G120+Q121-AA121</f>
        <v/>
      </c>
      <c r="AL121" s="160">
        <f>H120+R121-AB121</f>
        <v/>
      </c>
      <c r="AM121" s="160">
        <f>I120+S121-AC121</f>
        <v/>
      </c>
      <c r="AN121" s="160">
        <f>J120+T121-AD121</f>
        <v/>
      </c>
      <c r="AO121" s="160">
        <f>K120+U121-AE121</f>
        <v/>
      </c>
      <c r="AP121" s="160">
        <f>L120+V121-AF121</f>
        <v/>
      </c>
      <c r="AQ121" s="160">
        <f>W121+MAX(0,MIN(AG121,'Debt Payoff'!$C$12-SUM($W121:$AF121)-SUMIFS($AG121:$AP121,$AG$4:$AP$4,"&lt;"&amp;AG$4)))</f>
        <v/>
      </c>
      <c r="AR121" s="160">
        <f>X121+MAX(0,MIN(AH121,'Debt Payoff'!$C$12-SUM($W121:$AF121)-SUMIFS($AG121:$AP121,$AG$4:$AP$4,"&lt;"&amp;AH$4)))</f>
        <v/>
      </c>
      <c r="AS121" s="160">
        <f>Y121+MAX(0,MIN(AI121,'Debt Payoff'!$C$12-SUM($W121:$AF121)-SUMIFS($AG121:$AP121,$AG$4:$AP$4,"&lt;"&amp;AI$4)))</f>
        <v/>
      </c>
      <c r="AT121" s="160">
        <f>Z121+MAX(0,MIN(AJ121,'Debt Payoff'!$C$12-SUM($W121:$AF121)-SUMIFS($AG121:$AP121,$AG$4:$AP$4,"&lt;"&amp;AJ$4)))</f>
        <v/>
      </c>
      <c r="AU121" s="160">
        <f>AA121+MAX(0,MIN(AK121,'Debt Payoff'!$C$12-SUM($W121:$AF121)-SUMIFS($AG121:$AP121,$AG$4:$AP$4,"&lt;"&amp;AK$4)))</f>
        <v/>
      </c>
      <c r="AV121" s="160">
        <f>AB121+MAX(0,MIN(AL121,'Debt Payoff'!$C$12-SUM($W121:$AF121)-SUMIFS($AG121:$AP121,$AG$4:$AP$4,"&lt;"&amp;AL$4)))</f>
        <v/>
      </c>
      <c r="AW121" s="160">
        <f>AC121+MAX(0,MIN(AM121,'Debt Payoff'!$C$12-SUM($W121:$AF121)-SUMIFS($AG121:$AP121,$AG$4:$AP$4,"&lt;"&amp;AM$4)))</f>
        <v/>
      </c>
      <c r="AX121" s="160">
        <f>AD121+MAX(0,MIN(AN121,'Debt Payoff'!$C$12-SUM($W121:$AF121)-SUMIFS($AG121:$AP121,$AG$4:$AP$4,"&lt;"&amp;AN$4)))</f>
        <v/>
      </c>
      <c r="AY121" s="160">
        <f>AE121+MAX(0,MIN(AO121,'Debt Payoff'!$C$12-SUM($W121:$AF121)-SUMIFS($AG121:$AP121,$AG$4:$AP$4,"&lt;"&amp;AO$4)))</f>
        <v/>
      </c>
      <c r="AZ121" s="160">
        <f>AF121+MAX(0,MIN(AP121,'Debt Payoff'!$C$12-SUM($W121:$AF121)-SUMIFS($AG121:$AP121,$AG$4:$AP$4,"&lt;"&amp;AP$4)))</f>
        <v/>
      </c>
      <c r="BA121" s="160">
        <f>SUM(C121:L121)</f>
        <v/>
      </c>
      <c r="BB121" s="160">
        <f>SUM(AQ121:AZ121)</f>
        <v/>
      </c>
      <c r="BC121" s="160">
        <f>SUM(M121:V121)</f>
        <v/>
      </c>
    </row>
    <row r="122">
      <c r="A122" s="157" t="n">
        <v>117</v>
      </c>
      <c r="B122" s="159">
        <f>EDATE('Debt Payoff'!$C$6,116)</f>
        <v/>
      </c>
      <c r="C122" s="160">
        <f>MAX(0,ROUND(C121+M122-AQ122,2))</f>
        <v/>
      </c>
      <c r="D122" s="160">
        <f>MAX(0,ROUND(D121+N122-AR122,2))</f>
        <v/>
      </c>
      <c r="E122" s="160">
        <f>MAX(0,ROUND(E121+O122-AS122,2))</f>
        <v/>
      </c>
      <c r="F122" s="160">
        <f>MAX(0,ROUND(F121+P122-AT122,2))</f>
        <v/>
      </c>
      <c r="G122" s="160">
        <f>MAX(0,ROUND(G121+Q122-AU122,2))</f>
        <v/>
      </c>
      <c r="H122" s="160">
        <f>MAX(0,ROUND(H121+R122-AV122,2))</f>
        <v/>
      </c>
      <c r="I122" s="160">
        <f>MAX(0,ROUND(I121+S122-AW122,2))</f>
        <v/>
      </c>
      <c r="J122" s="160">
        <f>MAX(0,ROUND(J121+T122-AX122,2))</f>
        <v/>
      </c>
      <c r="K122" s="160">
        <f>MAX(0,ROUND(K121+U122-AY122,2))</f>
        <v/>
      </c>
      <c r="L122" s="160">
        <f>MAX(0,ROUND(L121+V122-AZ122,2))</f>
        <v/>
      </c>
      <c r="M122" s="160">
        <f>C121*N('Debt Payoff'!$D$15)/12</f>
        <v/>
      </c>
      <c r="N122" s="160">
        <f>D121*N('Debt Payoff'!$D$16)/12</f>
        <v/>
      </c>
      <c r="O122" s="160">
        <f>E121*N('Debt Payoff'!$D$17)/12</f>
        <v/>
      </c>
      <c r="P122" s="160">
        <f>F121*N('Debt Payoff'!$D$18)/12</f>
        <v/>
      </c>
      <c r="Q122" s="160">
        <f>G121*N('Debt Payoff'!$D$19)/12</f>
        <v/>
      </c>
      <c r="R122" s="160">
        <f>H121*N('Debt Payoff'!$D$20)/12</f>
        <v/>
      </c>
      <c r="S122" s="160">
        <f>I121*N('Debt Payoff'!$D$21)/12</f>
        <v/>
      </c>
      <c r="T122" s="160">
        <f>J121*N('Debt Payoff'!$D$22)/12</f>
        <v/>
      </c>
      <c r="U122" s="160">
        <f>K121*N('Debt Payoff'!$D$23)/12</f>
        <v/>
      </c>
      <c r="V122" s="160">
        <f>L121*N('Debt Payoff'!$D$24)/12</f>
        <v/>
      </c>
      <c r="W122" s="160">
        <f>MIN(N('Debt Payoff'!$E$15),C121+M122)</f>
        <v/>
      </c>
      <c r="X122" s="160">
        <f>MIN(N('Debt Payoff'!$E$16),D121+N122)</f>
        <v/>
      </c>
      <c r="Y122" s="160">
        <f>MIN(N('Debt Payoff'!$E$17),E121+O122)</f>
        <v/>
      </c>
      <c r="Z122" s="160">
        <f>MIN(N('Debt Payoff'!$E$18),F121+P122)</f>
        <v/>
      </c>
      <c r="AA122" s="160">
        <f>MIN(N('Debt Payoff'!$E$19),G121+Q122)</f>
        <v/>
      </c>
      <c r="AB122" s="160">
        <f>MIN(N('Debt Payoff'!$E$20),H121+R122)</f>
        <v/>
      </c>
      <c r="AC122" s="160">
        <f>MIN(N('Debt Payoff'!$E$21),I121+S122)</f>
        <v/>
      </c>
      <c r="AD122" s="160">
        <f>MIN(N('Debt Payoff'!$E$22),J121+T122)</f>
        <v/>
      </c>
      <c r="AE122" s="160">
        <f>MIN(N('Debt Payoff'!$E$23),K121+U122)</f>
        <v/>
      </c>
      <c r="AF122" s="160">
        <f>MIN(N('Debt Payoff'!$E$24),L121+V122)</f>
        <v/>
      </c>
      <c r="AG122" s="160">
        <f>C121+M122-W122</f>
        <v/>
      </c>
      <c r="AH122" s="160">
        <f>D121+N122-X122</f>
        <v/>
      </c>
      <c r="AI122" s="160">
        <f>E121+O122-Y122</f>
        <v/>
      </c>
      <c r="AJ122" s="160">
        <f>F121+P122-Z122</f>
        <v/>
      </c>
      <c r="AK122" s="160">
        <f>G121+Q122-AA122</f>
        <v/>
      </c>
      <c r="AL122" s="160">
        <f>H121+R122-AB122</f>
        <v/>
      </c>
      <c r="AM122" s="160">
        <f>I121+S122-AC122</f>
        <v/>
      </c>
      <c r="AN122" s="160">
        <f>J121+T122-AD122</f>
        <v/>
      </c>
      <c r="AO122" s="160">
        <f>K121+U122-AE122</f>
        <v/>
      </c>
      <c r="AP122" s="160">
        <f>L121+V122-AF122</f>
        <v/>
      </c>
      <c r="AQ122" s="160">
        <f>W122+MAX(0,MIN(AG122,'Debt Payoff'!$C$12-SUM($W122:$AF122)-SUMIFS($AG122:$AP122,$AG$4:$AP$4,"&lt;"&amp;AG$4)))</f>
        <v/>
      </c>
      <c r="AR122" s="160">
        <f>X122+MAX(0,MIN(AH122,'Debt Payoff'!$C$12-SUM($W122:$AF122)-SUMIFS($AG122:$AP122,$AG$4:$AP$4,"&lt;"&amp;AH$4)))</f>
        <v/>
      </c>
      <c r="AS122" s="160">
        <f>Y122+MAX(0,MIN(AI122,'Debt Payoff'!$C$12-SUM($W122:$AF122)-SUMIFS($AG122:$AP122,$AG$4:$AP$4,"&lt;"&amp;AI$4)))</f>
        <v/>
      </c>
      <c r="AT122" s="160">
        <f>Z122+MAX(0,MIN(AJ122,'Debt Payoff'!$C$12-SUM($W122:$AF122)-SUMIFS($AG122:$AP122,$AG$4:$AP$4,"&lt;"&amp;AJ$4)))</f>
        <v/>
      </c>
      <c r="AU122" s="160">
        <f>AA122+MAX(0,MIN(AK122,'Debt Payoff'!$C$12-SUM($W122:$AF122)-SUMIFS($AG122:$AP122,$AG$4:$AP$4,"&lt;"&amp;AK$4)))</f>
        <v/>
      </c>
      <c r="AV122" s="160">
        <f>AB122+MAX(0,MIN(AL122,'Debt Payoff'!$C$12-SUM($W122:$AF122)-SUMIFS($AG122:$AP122,$AG$4:$AP$4,"&lt;"&amp;AL$4)))</f>
        <v/>
      </c>
      <c r="AW122" s="160">
        <f>AC122+MAX(0,MIN(AM122,'Debt Payoff'!$C$12-SUM($W122:$AF122)-SUMIFS($AG122:$AP122,$AG$4:$AP$4,"&lt;"&amp;AM$4)))</f>
        <v/>
      </c>
      <c r="AX122" s="160">
        <f>AD122+MAX(0,MIN(AN122,'Debt Payoff'!$C$12-SUM($W122:$AF122)-SUMIFS($AG122:$AP122,$AG$4:$AP$4,"&lt;"&amp;AN$4)))</f>
        <v/>
      </c>
      <c r="AY122" s="160">
        <f>AE122+MAX(0,MIN(AO122,'Debt Payoff'!$C$12-SUM($W122:$AF122)-SUMIFS($AG122:$AP122,$AG$4:$AP$4,"&lt;"&amp;AO$4)))</f>
        <v/>
      </c>
      <c r="AZ122" s="160">
        <f>AF122+MAX(0,MIN(AP122,'Debt Payoff'!$C$12-SUM($W122:$AF122)-SUMIFS($AG122:$AP122,$AG$4:$AP$4,"&lt;"&amp;AP$4)))</f>
        <v/>
      </c>
      <c r="BA122" s="160">
        <f>SUM(C122:L122)</f>
        <v/>
      </c>
      <c r="BB122" s="160">
        <f>SUM(AQ122:AZ122)</f>
        <v/>
      </c>
      <c r="BC122" s="160">
        <f>SUM(M122:V122)</f>
        <v/>
      </c>
    </row>
    <row r="123">
      <c r="A123" s="157" t="n">
        <v>118</v>
      </c>
      <c r="B123" s="159">
        <f>EDATE('Debt Payoff'!$C$6,117)</f>
        <v/>
      </c>
      <c r="C123" s="160">
        <f>MAX(0,ROUND(C122+M123-AQ123,2))</f>
        <v/>
      </c>
      <c r="D123" s="160">
        <f>MAX(0,ROUND(D122+N123-AR123,2))</f>
        <v/>
      </c>
      <c r="E123" s="160">
        <f>MAX(0,ROUND(E122+O123-AS123,2))</f>
        <v/>
      </c>
      <c r="F123" s="160">
        <f>MAX(0,ROUND(F122+P123-AT123,2))</f>
        <v/>
      </c>
      <c r="G123" s="160">
        <f>MAX(0,ROUND(G122+Q123-AU123,2))</f>
        <v/>
      </c>
      <c r="H123" s="160">
        <f>MAX(0,ROUND(H122+R123-AV123,2))</f>
        <v/>
      </c>
      <c r="I123" s="160">
        <f>MAX(0,ROUND(I122+S123-AW123,2))</f>
        <v/>
      </c>
      <c r="J123" s="160">
        <f>MAX(0,ROUND(J122+T123-AX123,2))</f>
        <v/>
      </c>
      <c r="K123" s="160">
        <f>MAX(0,ROUND(K122+U123-AY123,2))</f>
        <v/>
      </c>
      <c r="L123" s="160">
        <f>MAX(0,ROUND(L122+V123-AZ123,2))</f>
        <v/>
      </c>
      <c r="M123" s="160">
        <f>C122*N('Debt Payoff'!$D$15)/12</f>
        <v/>
      </c>
      <c r="N123" s="160">
        <f>D122*N('Debt Payoff'!$D$16)/12</f>
        <v/>
      </c>
      <c r="O123" s="160">
        <f>E122*N('Debt Payoff'!$D$17)/12</f>
        <v/>
      </c>
      <c r="P123" s="160">
        <f>F122*N('Debt Payoff'!$D$18)/12</f>
        <v/>
      </c>
      <c r="Q123" s="160">
        <f>G122*N('Debt Payoff'!$D$19)/12</f>
        <v/>
      </c>
      <c r="R123" s="160">
        <f>H122*N('Debt Payoff'!$D$20)/12</f>
        <v/>
      </c>
      <c r="S123" s="160">
        <f>I122*N('Debt Payoff'!$D$21)/12</f>
        <v/>
      </c>
      <c r="T123" s="160">
        <f>J122*N('Debt Payoff'!$D$22)/12</f>
        <v/>
      </c>
      <c r="U123" s="160">
        <f>K122*N('Debt Payoff'!$D$23)/12</f>
        <v/>
      </c>
      <c r="V123" s="160">
        <f>L122*N('Debt Payoff'!$D$24)/12</f>
        <v/>
      </c>
      <c r="W123" s="160">
        <f>MIN(N('Debt Payoff'!$E$15),C122+M123)</f>
        <v/>
      </c>
      <c r="X123" s="160">
        <f>MIN(N('Debt Payoff'!$E$16),D122+N123)</f>
        <v/>
      </c>
      <c r="Y123" s="160">
        <f>MIN(N('Debt Payoff'!$E$17),E122+O123)</f>
        <v/>
      </c>
      <c r="Z123" s="160">
        <f>MIN(N('Debt Payoff'!$E$18),F122+P123)</f>
        <v/>
      </c>
      <c r="AA123" s="160">
        <f>MIN(N('Debt Payoff'!$E$19),G122+Q123)</f>
        <v/>
      </c>
      <c r="AB123" s="160">
        <f>MIN(N('Debt Payoff'!$E$20),H122+R123)</f>
        <v/>
      </c>
      <c r="AC123" s="160">
        <f>MIN(N('Debt Payoff'!$E$21),I122+S123)</f>
        <v/>
      </c>
      <c r="AD123" s="160">
        <f>MIN(N('Debt Payoff'!$E$22),J122+T123)</f>
        <v/>
      </c>
      <c r="AE123" s="160">
        <f>MIN(N('Debt Payoff'!$E$23),K122+U123)</f>
        <v/>
      </c>
      <c r="AF123" s="160">
        <f>MIN(N('Debt Payoff'!$E$24),L122+V123)</f>
        <v/>
      </c>
      <c r="AG123" s="160">
        <f>C122+M123-W123</f>
        <v/>
      </c>
      <c r="AH123" s="160">
        <f>D122+N123-X123</f>
        <v/>
      </c>
      <c r="AI123" s="160">
        <f>E122+O123-Y123</f>
        <v/>
      </c>
      <c r="AJ123" s="160">
        <f>F122+P123-Z123</f>
        <v/>
      </c>
      <c r="AK123" s="160">
        <f>G122+Q123-AA123</f>
        <v/>
      </c>
      <c r="AL123" s="160">
        <f>H122+R123-AB123</f>
        <v/>
      </c>
      <c r="AM123" s="160">
        <f>I122+S123-AC123</f>
        <v/>
      </c>
      <c r="AN123" s="160">
        <f>J122+T123-AD123</f>
        <v/>
      </c>
      <c r="AO123" s="160">
        <f>K122+U123-AE123</f>
        <v/>
      </c>
      <c r="AP123" s="160">
        <f>L122+V123-AF123</f>
        <v/>
      </c>
      <c r="AQ123" s="160">
        <f>W123+MAX(0,MIN(AG123,'Debt Payoff'!$C$12-SUM($W123:$AF123)-SUMIFS($AG123:$AP123,$AG$4:$AP$4,"&lt;"&amp;AG$4)))</f>
        <v/>
      </c>
      <c r="AR123" s="160">
        <f>X123+MAX(0,MIN(AH123,'Debt Payoff'!$C$12-SUM($W123:$AF123)-SUMIFS($AG123:$AP123,$AG$4:$AP$4,"&lt;"&amp;AH$4)))</f>
        <v/>
      </c>
      <c r="AS123" s="160">
        <f>Y123+MAX(0,MIN(AI123,'Debt Payoff'!$C$12-SUM($W123:$AF123)-SUMIFS($AG123:$AP123,$AG$4:$AP$4,"&lt;"&amp;AI$4)))</f>
        <v/>
      </c>
      <c r="AT123" s="160">
        <f>Z123+MAX(0,MIN(AJ123,'Debt Payoff'!$C$12-SUM($W123:$AF123)-SUMIFS($AG123:$AP123,$AG$4:$AP$4,"&lt;"&amp;AJ$4)))</f>
        <v/>
      </c>
      <c r="AU123" s="160">
        <f>AA123+MAX(0,MIN(AK123,'Debt Payoff'!$C$12-SUM($W123:$AF123)-SUMIFS($AG123:$AP123,$AG$4:$AP$4,"&lt;"&amp;AK$4)))</f>
        <v/>
      </c>
      <c r="AV123" s="160">
        <f>AB123+MAX(0,MIN(AL123,'Debt Payoff'!$C$12-SUM($W123:$AF123)-SUMIFS($AG123:$AP123,$AG$4:$AP$4,"&lt;"&amp;AL$4)))</f>
        <v/>
      </c>
      <c r="AW123" s="160">
        <f>AC123+MAX(0,MIN(AM123,'Debt Payoff'!$C$12-SUM($W123:$AF123)-SUMIFS($AG123:$AP123,$AG$4:$AP$4,"&lt;"&amp;AM$4)))</f>
        <v/>
      </c>
      <c r="AX123" s="160">
        <f>AD123+MAX(0,MIN(AN123,'Debt Payoff'!$C$12-SUM($W123:$AF123)-SUMIFS($AG123:$AP123,$AG$4:$AP$4,"&lt;"&amp;AN$4)))</f>
        <v/>
      </c>
      <c r="AY123" s="160">
        <f>AE123+MAX(0,MIN(AO123,'Debt Payoff'!$C$12-SUM($W123:$AF123)-SUMIFS($AG123:$AP123,$AG$4:$AP$4,"&lt;"&amp;AO$4)))</f>
        <v/>
      </c>
      <c r="AZ123" s="160">
        <f>AF123+MAX(0,MIN(AP123,'Debt Payoff'!$C$12-SUM($W123:$AF123)-SUMIFS($AG123:$AP123,$AG$4:$AP$4,"&lt;"&amp;AP$4)))</f>
        <v/>
      </c>
      <c r="BA123" s="160">
        <f>SUM(C123:L123)</f>
        <v/>
      </c>
      <c r="BB123" s="160">
        <f>SUM(AQ123:AZ123)</f>
        <v/>
      </c>
      <c r="BC123" s="160">
        <f>SUM(M123:V123)</f>
        <v/>
      </c>
    </row>
    <row r="124">
      <c r="A124" s="157" t="n">
        <v>119</v>
      </c>
      <c r="B124" s="159">
        <f>EDATE('Debt Payoff'!$C$6,118)</f>
        <v/>
      </c>
      <c r="C124" s="160">
        <f>MAX(0,ROUND(C123+M124-AQ124,2))</f>
        <v/>
      </c>
      <c r="D124" s="160">
        <f>MAX(0,ROUND(D123+N124-AR124,2))</f>
        <v/>
      </c>
      <c r="E124" s="160">
        <f>MAX(0,ROUND(E123+O124-AS124,2))</f>
        <v/>
      </c>
      <c r="F124" s="160">
        <f>MAX(0,ROUND(F123+P124-AT124,2))</f>
        <v/>
      </c>
      <c r="G124" s="160">
        <f>MAX(0,ROUND(G123+Q124-AU124,2))</f>
        <v/>
      </c>
      <c r="H124" s="160">
        <f>MAX(0,ROUND(H123+R124-AV124,2))</f>
        <v/>
      </c>
      <c r="I124" s="160">
        <f>MAX(0,ROUND(I123+S124-AW124,2))</f>
        <v/>
      </c>
      <c r="J124" s="160">
        <f>MAX(0,ROUND(J123+T124-AX124,2))</f>
        <v/>
      </c>
      <c r="K124" s="160">
        <f>MAX(0,ROUND(K123+U124-AY124,2))</f>
        <v/>
      </c>
      <c r="L124" s="160">
        <f>MAX(0,ROUND(L123+V124-AZ124,2))</f>
        <v/>
      </c>
      <c r="M124" s="160">
        <f>C123*N('Debt Payoff'!$D$15)/12</f>
        <v/>
      </c>
      <c r="N124" s="160">
        <f>D123*N('Debt Payoff'!$D$16)/12</f>
        <v/>
      </c>
      <c r="O124" s="160">
        <f>E123*N('Debt Payoff'!$D$17)/12</f>
        <v/>
      </c>
      <c r="P124" s="160">
        <f>F123*N('Debt Payoff'!$D$18)/12</f>
        <v/>
      </c>
      <c r="Q124" s="160">
        <f>G123*N('Debt Payoff'!$D$19)/12</f>
        <v/>
      </c>
      <c r="R124" s="160">
        <f>H123*N('Debt Payoff'!$D$20)/12</f>
        <v/>
      </c>
      <c r="S124" s="160">
        <f>I123*N('Debt Payoff'!$D$21)/12</f>
        <v/>
      </c>
      <c r="T124" s="160">
        <f>J123*N('Debt Payoff'!$D$22)/12</f>
        <v/>
      </c>
      <c r="U124" s="160">
        <f>K123*N('Debt Payoff'!$D$23)/12</f>
        <v/>
      </c>
      <c r="V124" s="160">
        <f>L123*N('Debt Payoff'!$D$24)/12</f>
        <v/>
      </c>
      <c r="W124" s="160">
        <f>MIN(N('Debt Payoff'!$E$15),C123+M124)</f>
        <v/>
      </c>
      <c r="X124" s="160">
        <f>MIN(N('Debt Payoff'!$E$16),D123+N124)</f>
        <v/>
      </c>
      <c r="Y124" s="160">
        <f>MIN(N('Debt Payoff'!$E$17),E123+O124)</f>
        <v/>
      </c>
      <c r="Z124" s="160">
        <f>MIN(N('Debt Payoff'!$E$18),F123+P124)</f>
        <v/>
      </c>
      <c r="AA124" s="160">
        <f>MIN(N('Debt Payoff'!$E$19),G123+Q124)</f>
        <v/>
      </c>
      <c r="AB124" s="160">
        <f>MIN(N('Debt Payoff'!$E$20),H123+R124)</f>
        <v/>
      </c>
      <c r="AC124" s="160">
        <f>MIN(N('Debt Payoff'!$E$21),I123+S124)</f>
        <v/>
      </c>
      <c r="AD124" s="160">
        <f>MIN(N('Debt Payoff'!$E$22),J123+T124)</f>
        <v/>
      </c>
      <c r="AE124" s="160">
        <f>MIN(N('Debt Payoff'!$E$23),K123+U124)</f>
        <v/>
      </c>
      <c r="AF124" s="160">
        <f>MIN(N('Debt Payoff'!$E$24),L123+V124)</f>
        <v/>
      </c>
      <c r="AG124" s="160">
        <f>C123+M124-W124</f>
        <v/>
      </c>
      <c r="AH124" s="160">
        <f>D123+N124-X124</f>
        <v/>
      </c>
      <c r="AI124" s="160">
        <f>E123+O124-Y124</f>
        <v/>
      </c>
      <c r="AJ124" s="160">
        <f>F123+P124-Z124</f>
        <v/>
      </c>
      <c r="AK124" s="160">
        <f>G123+Q124-AA124</f>
        <v/>
      </c>
      <c r="AL124" s="160">
        <f>H123+R124-AB124</f>
        <v/>
      </c>
      <c r="AM124" s="160">
        <f>I123+S124-AC124</f>
        <v/>
      </c>
      <c r="AN124" s="160">
        <f>J123+T124-AD124</f>
        <v/>
      </c>
      <c r="AO124" s="160">
        <f>K123+U124-AE124</f>
        <v/>
      </c>
      <c r="AP124" s="160">
        <f>L123+V124-AF124</f>
        <v/>
      </c>
      <c r="AQ124" s="160">
        <f>W124+MAX(0,MIN(AG124,'Debt Payoff'!$C$12-SUM($W124:$AF124)-SUMIFS($AG124:$AP124,$AG$4:$AP$4,"&lt;"&amp;AG$4)))</f>
        <v/>
      </c>
      <c r="AR124" s="160">
        <f>X124+MAX(0,MIN(AH124,'Debt Payoff'!$C$12-SUM($W124:$AF124)-SUMIFS($AG124:$AP124,$AG$4:$AP$4,"&lt;"&amp;AH$4)))</f>
        <v/>
      </c>
      <c r="AS124" s="160">
        <f>Y124+MAX(0,MIN(AI124,'Debt Payoff'!$C$12-SUM($W124:$AF124)-SUMIFS($AG124:$AP124,$AG$4:$AP$4,"&lt;"&amp;AI$4)))</f>
        <v/>
      </c>
      <c r="AT124" s="160">
        <f>Z124+MAX(0,MIN(AJ124,'Debt Payoff'!$C$12-SUM($W124:$AF124)-SUMIFS($AG124:$AP124,$AG$4:$AP$4,"&lt;"&amp;AJ$4)))</f>
        <v/>
      </c>
      <c r="AU124" s="160">
        <f>AA124+MAX(0,MIN(AK124,'Debt Payoff'!$C$12-SUM($W124:$AF124)-SUMIFS($AG124:$AP124,$AG$4:$AP$4,"&lt;"&amp;AK$4)))</f>
        <v/>
      </c>
      <c r="AV124" s="160">
        <f>AB124+MAX(0,MIN(AL124,'Debt Payoff'!$C$12-SUM($W124:$AF124)-SUMIFS($AG124:$AP124,$AG$4:$AP$4,"&lt;"&amp;AL$4)))</f>
        <v/>
      </c>
      <c r="AW124" s="160">
        <f>AC124+MAX(0,MIN(AM124,'Debt Payoff'!$C$12-SUM($W124:$AF124)-SUMIFS($AG124:$AP124,$AG$4:$AP$4,"&lt;"&amp;AM$4)))</f>
        <v/>
      </c>
      <c r="AX124" s="160">
        <f>AD124+MAX(0,MIN(AN124,'Debt Payoff'!$C$12-SUM($W124:$AF124)-SUMIFS($AG124:$AP124,$AG$4:$AP$4,"&lt;"&amp;AN$4)))</f>
        <v/>
      </c>
      <c r="AY124" s="160">
        <f>AE124+MAX(0,MIN(AO124,'Debt Payoff'!$C$12-SUM($W124:$AF124)-SUMIFS($AG124:$AP124,$AG$4:$AP$4,"&lt;"&amp;AO$4)))</f>
        <v/>
      </c>
      <c r="AZ124" s="160">
        <f>AF124+MAX(0,MIN(AP124,'Debt Payoff'!$C$12-SUM($W124:$AF124)-SUMIFS($AG124:$AP124,$AG$4:$AP$4,"&lt;"&amp;AP$4)))</f>
        <v/>
      </c>
      <c r="BA124" s="160">
        <f>SUM(C124:L124)</f>
        <v/>
      </c>
      <c r="BB124" s="160">
        <f>SUM(AQ124:AZ124)</f>
        <v/>
      </c>
      <c r="BC124" s="160">
        <f>SUM(M124:V124)</f>
        <v/>
      </c>
    </row>
    <row r="125">
      <c r="A125" s="157" t="n">
        <v>120</v>
      </c>
      <c r="B125" s="159">
        <f>EDATE('Debt Payoff'!$C$6,119)</f>
        <v/>
      </c>
      <c r="C125" s="160">
        <f>MAX(0,ROUND(C124+M125-AQ125,2))</f>
        <v/>
      </c>
      <c r="D125" s="160">
        <f>MAX(0,ROUND(D124+N125-AR125,2))</f>
        <v/>
      </c>
      <c r="E125" s="160">
        <f>MAX(0,ROUND(E124+O125-AS125,2))</f>
        <v/>
      </c>
      <c r="F125" s="160">
        <f>MAX(0,ROUND(F124+P125-AT125,2))</f>
        <v/>
      </c>
      <c r="G125" s="160">
        <f>MAX(0,ROUND(G124+Q125-AU125,2))</f>
        <v/>
      </c>
      <c r="H125" s="160">
        <f>MAX(0,ROUND(H124+R125-AV125,2))</f>
        <v/>
      </c>
      <c r="I125" s="160">
        <f>MAX(0,ROUND(I124+S125-AW125,2))</f>
        <v/>
      </c>
      <c r="J125" s="160">
        <f>MAX(0,ROUND(J124+T125-AX125,2))</f>
        <v/>
      </c>
      <c r="K125" s="160">
        <f>MAX(0,ROUND(K124+U125-AY125,2))</f>
        <v/>
      </c>
      <c r="L125" s="160">
        <f>MAX(0,ROUND(L124+V125-AZ125,2))</f>
        <v/>
      </c>
      <c r="M125" s="160">
        <f>C124*N('Debt Payoff'!$D$15)/12</f>
        <v/>
      </c>
      <c r="N125" s="160">
        <f>D124*N('Debt Payoff'!$D$16)/12</f>
        <v/>
      </c>
      <c r="O125" s="160">
        <f>E124*N('Debt Payoff'!$D$17)/12</f>
        <v/>
      </c>
      <c r="P125" s="160">
        <f>F124*N('Debt Payoff'!$D$18)/12</f>
        <v/>
      </c>
      <c r="Q125" s="160">
        <f>G124*N('Debt Payoff'!$D$19)/12</f>
        <v/>
      </c>
      <c r="R125" s="160">
        <f>H124*N('Debt Payoff'!$D$20)/12</f>
        <v/>
      </c>
      <c r="S125" s="160">
        <f>I124*N('Debt Payoff'!$D$21)/12</f>
        <v/>
      </c>
      <c r="T125" s="160">
        <f>J124*N('Debt Payoff'!$D$22)/12</f>
        <v/>
      </c>
      <c r="U125" s="160">
        <f>K124*N('Debt Payoff'!$D$23)/12</f>
        <v/>
      </c>
      <c r="V125" s="160">
        <f>L124*N('Debt Payoff'!$D$24)/12</f>
        <v/>
      </c>
      <c r="W125" s="160">
        <f>MIN(N('Debt Payoff'!$E$15),C124+M125)</f>
        <v/>
      </c>
      <c r="X125" s="160">
        <f>MIN(N('Debt Payoff'!$E$16),D124+N125)</f>
        <v/>
      </c>
      <c r="Y125" s="160">
        <f>MIN(N('Debt Payoff'!$E$17),E124+O125)</f>
        <v/>
      </c>
      <c r="Z125" s="160">
        <f>MIN(N('Debt Payoff'!$E$18),F124+P125)</f>
        <v/>
      </c>
      <c r="AA125" s="160">
        <f>MIN(N('Debt Payoff'!$E$19),G124+Q125)</f>
        <v/>
      </c>
      <c r="AB125" s="160">
        <f>MIN(N('Debt Payoff'!$E$20),H124+R125)</f>
        <v/>
      </c>
      <c r="AC125" s="160">
        <f>MIN(N('Debt Payoff'!$E$21),I124+S125)</f>
        <v/>
      </c>
      <c r="AD125" s="160">
        <f>MIN(N('Debt Payoff'!$E$22),J124+T125)</f>
        <v/>
      </c>
      <c r="AE125" s="160">
        <f>MIN(N('Debt Payoff'!$E$23),K124+U125)</f>
        <v/>
      </c>
      <c r="AF125" s="160">
        <f>MIN(N('Debt Payoff'!$E$24),L124+V125)</f>
        <v/>
      </c>
      <c r="AG125" s="160">
        <f>C124+M125-W125</f>
        <v/>
      </c>
      <c r="AH125" s="160">
        <f>D124+N125-X125</f>
        <v/>
      </c>
      <c r="AI125" s="160">
        <f>E124+O125-Y125</f>
        <v/>
      </c>
      <c r="AJ125" s="160">
        <f>F124+P125-Z125</f>
        <v/>
      </c>
      <c r="AK125" s="160">
        <f>G124+Q125-AA125</f>
        <v/>
      </c>
      <c r="AL125" s="160">
        <f>H124+R125-AB125</f>
        <v/>
      </c>
      <c r="AM125" s="160">
        <f>I124+S125-AC125</f>
        <v/>
      </c>
      <c r="AN125" s="160">
        <f>J124+T125-AD125</f>
        <v/>
      </c>
      <c r="AO125" s="160">
        <f>K124+U125-AE125</f>
        <v/>
      </c>
      <c r="AP125" s="160">
        <f>L124+V125-AF125</f>
        <v/>
      </c>
      <c r="AQ125" s="160">
        <f>W125+MAX(0,MIN(AG125,'Debt Payoff'!$C$12-SUM($W125:$AF125)-SUMIFS($AG125:$AP125,$AG$4:$AP$4,"&lt;"&amp;AG$4)))</f>
        <v/>
      </c>
      <c r="AR125" s="160">
        <f>X125+MAX(0,MIN(AH125,'Debt Payoff'!$C$12-SUM($W125:$AF125)-SUMIFS($AG125:$AP125,$AG$4:$AP$4,"&lt;"&amp;AH$4)))</f>
        <v/>
      </c>
      <c r="AS125" s="160">
        <f>Y125+MAX(0,MIN(AI125,'Debt Payoff'!$C$12-SUM($W125:$AF125)-SUMIFS($AG125:$AP125,$AG$4:$AP$4,"&lt;"&amp;AI$4)))</f>
        <v/>
      </c>
      <c r="AT125" s="160">
        <f>Z125+MAX(0,MIN(AJ125,'Debt Payoff'!$C$12-SUM($W125:$AF125)-SUMIFS($AG125:$AP125,$AG$4:$AP$4,"&lt;"&amp;AJ$4)))</f>
        <v/>
      </c>
      <c r="AU125" s="160">
        <f>AA125+MAX(0,MIN(AK125,'Debt Payoff'!$C$12-SUM($W125:$AF125)-SUMIFS($AG125:$AP125,$AG$4:$AP$4,"&lt;"&amp;AK$4)))</f>
        <v/>
      </c>
      <c r="AV125" s="160">
        <f>AB125+MAX(0,MIN(AL125,'Debt Payoff'!$C$12-SUM($W125:$AF125)-SUMIFS($AG125:$AP125,$AG$4:$AP$4,"&lt;"&amp;AL$4)))</f>
        <v/>
      </c>
      <c r="AW125" s="160">
        <f>AC125+MAX(0,MIN(AM125,'Debt Payoff'!$C$12-SUM($W125:$AF125)-SUMIFS($AG125:$AP125,$AG$4:$AP$4,"&lt;"&amp;AM$4)))</f>
        <v/>
      </c>
      <c r="AX125" s="160">
        <f>AD125+MAX(0,MIN(AN125,'Debt Payoff'!$C$12-SUM($W125:$AF125)-SUMIFS($AG125:$AP125,$AG$4:$AP$4,"&lt;"&amp;AN$4)))</f>
        <v/>
      </c>
      <c r="AY125" s="160">
        <f>AE125+MAX(0,MIN(AO125,'Debt Payoff'!$C$12-SUM($W125:$AF125)-SUMIFS($AG125:$AP125,$AG$4:$AP$4,"&lt;"&amp;AO$4)))</f>
        <v/>
      </c>
      <c r="AZ125" s="160">
        <f>AF125+MAX(0,MIN(AP125,'Debt Payoff'!$C$12-SUM($W125:$AF125)-SUMIFS($AG125:$AP125,$AG$4:$AP$4,"&lt;"&amp;AP$4)))</f>
        <v/>
      </c>
      <c r="BA125" s="160">
        <f>SUM(C125:L125)</f>
        <v/>
      </c>
      <c r="BB125" s="160">
        <f>SUM(AQ125:AZ125)</f>
        <v/>
      </c>
      <c r="BC125" s="160">
        <f>SUM(M125:V125)</f>
        <v/>
      </c>
    </row>
    <row r="126">
      <c r="A126" s="157" t="n">
        <v>121</v>
      </c>
      <c r="B126" s="159">
        <f>EDATE('Debt Payoff'!$C$6,120)</f>
        <v/>
      </c>
      <c r="C126" s="160">
        <f>MAX(0,ROUND(C125+M126-AQ126,2))</f>
        <v/>
      </c>
      <c r="D126" s="160">
        <f>MAX(0,ROUND(D125+N126-AR126,2))</f>
        <v/>
      </c>
      <c r="E126" s="160">
        <f>MAX(0,ROUND(E125+O126-AS126,2))</f>
        <v/>
      </c>
      <c r="F126" s="160">
        <f>MAX(0,ROUND(F125+P126-AT126,2))</f>
        <v/>
      </c>
      <c r="G126" s="160">
        <f>MAX(0,ROUND(G125+Q126-AU126,2))</f>
        <v/>
      </c>
      <c r="H126" s="160">
        <f>MAX(0,ROUND(H125+R126-AV126,2))</f>
        <v/>
      </c>
      <c r="I126" s="160">
        <f>MAX(0,ROUND(I125+S126-AW126,2))</f>
        <v/>
      </c>
      <c r="J126" s="160">
        <f>MAX(0,ROUND(J125+T126-AX126,2))</f>
        <v/>
      </c>
      <c r="K126" s="160">
        <f>MAX(0,ROUND(K125+U126-AY126,2))</f>
        <v/>
      </c>
      <c r="L126" s="160">
        <f>MAX(0,ROUND(L125+V126-AZ126,2))</f>
        <v/>
      </c>
      <c r="M126" s="160">
        <f>C125*N('Debt Payoff'!$D$15)/12</f>
        <v/>
      </c>
      <c r="N126" s="160">
        <f>D125*N('Debt Payoff'!$D$16)/12</f>
        <v/>
      </c>
      <c r="O126" s="160">
        <f>E125*N('Debt Payoff'!$D$17)/12</f>
        <v/>
      </c>
      <c r="P126" s="160">
        <f>F125*N('Debt Payoff'!$D$18)/12</f>
        <v/>
      </c>
      <c r="Q126" s="160">
        <f>G125*N('Debt Payoff'!$D$19)/12</f>
        <v/>
      </c>
      <c r="R126" s="160">
        <f>H125*N('Debt Payoff'!$D$20)/12</f>
        <v/>
      </c>
      <c r="S126" s="160">
        <f>I125*N('Debt Payoff'!$D$21)/12</f>
        <v/>
      </c>
      <c r="T126" s="160">
        <f>J125*N('Debt Payoff'!$D$22)/12</f>
        <v/>
      </c>
      <c r="U126" s="160">
        <f>K125*N('Debt Payoff'!$D$23)/12</f>
        <v/>
      </c>
      <c r="V126" s="160">
        <f>L125*N('Debt Payoff'!$D$24)/12</f>
        <v/>
      </c>
      <c r="W126" s="160">
        <f>MIN(N('Debt Payoff'!$E$15),C125+M126)</f>
        <v/>
      </c>
      <c r="X126" s="160">
        <f>MIN(N('Debt Payoff'!$E$16),D125+N126)</f>
        <v/>
      </c>
      <c r="Y126" s="160">
        <f>MIN(N('Debt Payoff'!$E$17),E125+O126)</f>
        <v/>
      </c>
      <c r="Z126" s="160">
        <f>MIN(N('Debt Payoff'!$E$18),F125+P126)</f>
        <v/>
      </c>
      <c r="AA126" s="160">
        <f>MIN(N('Debt Payoff'!$E$19),G125+Q126)</f>
        <v/>
      </c>
      <c r="AB126" s="160">
        <f>MIN(N('Debt Payoff'!$E$20),H125+R126)</f>
        <v/>
      </c>
      <c r="AC126" s="160">
        <f>MIN(N('Debt Payoff'!$E$21),I125+S126)</f>
        <v/>
      </c>
      <c r="AD126" s="160">
        <f>MIN(N('Debt Payoff'!$E$22),J125+T126)</f>
        <v/>
      </c>
      <c r="AE126" s="160">
        <f>MIN(N('Debt Payoff'!$E$23),K125+U126)</f>
        <v/>
      </c>
      <c r="AF126" s="160">
        <f>MIN(N('Debt Payoff'!$E$24),L125+V126)</f>
        <v/>
      </c>
      <c r="AG126" s="160">
        <f>C125+M126-W126</f>
        <v/>
      </c>
      <c r="AH126" s="160">
        <f>D125+N126-X126</f>
        <v/>
      </c>
      <c r="AI126" s="160">
        <f>E125+O126-Y126</f>
        <v/>
      </c>
      <c r="AJ126" s="160">
        <f>F125+P126-Z126</f>
        <v/>
      </c>
      <c r="AK126" s="160">
        <f>G125+Q126-AA126</f>
        <v/>
      </c>
      <c r="AL126" s="160">
        <f>H125+R126-AB126</f>
        <v/>
      </c>
      <c r="AM126" s="160">
        <f>I125+S126-AC126</f>
        <v/>
      </c>
      <c r="AN126" s="160">
        <f>J125+T126-AD126</f>
        <v/>
      </c>
      <c r="AO126" s="160">
        <f>K125+U126-AE126</f>
        <v/>
      </c>
      <c r="AP126" s="160">
        <f>L125+V126-AF126</f>
        <v/>
      </c>
      <c r="AQ126" s="160">
        <f>W126+MAX(0,MIN(AG126,'Debt Payoff'!$C$12-SUM($W126:$AF126)-SUMIFS($AG126:$AP126,$AG$4:$AP$4,"&lt;"&amp;AG$4)))</f>
        <v/>
      </c>
      <c r="AR126" s="160">
        <f>X126+MAX(0,MIN(AH126,'Debt Payoff'!$C$12-SUM($W126:$AF126)-SUMIFS($AG126:$AP126,$AG$4:$AP$4,"&lt;"&amp;AH$4)))</f>
        <v/>
      </c>
      <c r="AS126" s="160">
        <f>Y126+MAX(0,MIN(AI126,'Debt Payoff'!$C$12-SUM($W126:$AF126)-SUMIFS($AG126:$AP126,$AG$4:$AP$4,"&lt;"&amp;AI$4)))</f>
        <v/>
      </c>
      <c r="AT126" s="160">
        <f>Z126+MAX(0,MIN(AJ126,'Debt Payoff'!$C$12-SUM($W126:$AF126)-SUMIFS($AG126:$AP126,$AG$4:$AP$4,"&lt;"&amp;AJ$4)))</f>
        <v/>
      </c>
      <c r="AU126" s="160">
        <f>AA126+MAX(0,MIN(AK126,'Debt Payoff'!$C$12-SUM($W126:$AF126)-SUMIFS($AG126:$AP126,$AG$4:$AP$4,"&lt;"&amp;AK$4)))</f>
        <v/>
      </c>
      <c r="AV126" s="160">
        <f>AB126+MAX(0,MIN(AL126,'Debt Payoff'!$C$12-SUM($W126:$AF126)-SUMIFS($AG126:$AP126,$AG$4:$AP$4,"&lt;"&amp;AL$4)))</f>
        <v/>
      </c>
      <c r="AW126" s="160">
        <f>AC126+MAX(0,MIN(AM126,'Debt Payoff'!$C$12-SUM($W126:$AF126)-SUMIFS($AG126:$AP126,$AG$4:$AP$4,"&lt;"&amp;AM$4)))</f>
        <v/>
      </c>
      <c r="AX126" s="160">
        <f>AD126+MAX(0,MIN(AN126,'Debt Payoff'!$C$12-SUM($W126:$AF126)-SUMIFS($AG126:$AP126,$AG$4:$AP$4,"&lt;"&amp;AN$4)))</f>
        <v/>
      </c>
      <c r="AY126" s="160">
        <f>AE126+MAX(0,MIN(AO126,'Debt Payoff'!$C$12-SUM($W126:$AF126)-SUMIFS($AG126:$AP126,$AG$4:$AP$4,"&lt;"&amp;AO$4)))</f>
        <v/>
      </c>
      <c r="AZ126" s="160">
        <f>AF126+MAX(0,MIN(AP126,'Debt Payoff'!$C$12-SUM($W126:$AF126)-SUMIFS($AG126:$AP126,$AG$4:$AP$4,"&lt;"&amp;AP$4)))</f>
        <v/>
      </c>
      <c r="BA126" s="160">
        <f>SUM(C126:L126)</f>
        <v/>
      </c>
      <c r="BB126" s="160">
        <f>SUM(AQ126:AZ126)</f>
        <v/>
      </c>
      <c r="BC126" s="160">
        <f>SUM(M126:V126)</f>
        <v/>
      </c>
    </row>
    <row r="127">
      <c r="A127" s="157" t="n">
        <v>122</v>
      </c>
      <c r="B127" s="159">
        <f>EDATE('Debt Payoff'!$C$6,121)</f>
        <v/>
      </c>
      <c r="C127" s="160">
        <f>MAX(0,ROUND(C126+M127-AQ127,2))</f>
        <v/>
      </c>
      <c r="D127" s="160">
        <f>MAX(0,ROUND(D126+N127-AR127,2))</f>
        <v/>
      </c>
      <c r="E127" s="160">
        <f>MAX(0,ROUND(E126+O127-AS127,2))</f>
        <v/>
      </c>
      <c r="F127" s="160">
        <f>MAX(0,ROUND(F126+P127-AT127,2))</f>
        <v/>
      </c>
      <c r="G127" s="160">
        <f>MAX(0,ROUND(G126+Q127-AU127,2))</f>
        <v/>
      </c>
      <c r="H127" s="160">
        <f>MAX(0,ROUND(H126+R127-AV127,2))</f>
        <v/>
      </c>
      <c r="I127" s="160">
        <f>MAX(0,ROUND(I126+S127-AW127,2))</f>
        <v/>
      </c>
      <c r="J127" s="160">
        <f>MAX(0,ROUND(J126+T127-AX127,2))</f>
        <v/>
      </c>
      <c r="K127" s="160">
        <f>MAX(0,ROUND(K126+U127-AY127,2))</f>
        <v/>
      </c>
      <c r="L127" s="160">
        <f>MAX(0,ROUND(L126+V127-AZ127,2))</f>
        <v/>
      </c>
      <c r="M127" s="160">
        <f>C126*N('Debt Payoff'!$D$15)/12</f>
        <v/>
      </c>
      <c r="N127" s="160">
        <f>D126*N('Debt Payoff'!$D$16)/12</f>
        <v/>
      </c>
      <c r="O127" s="160">
        <f>E126*N('Debt Payoff'!$D$17)/12</f>
        <v/>
      </c>
      <c r="P127" s="160">
        <f>F126*N('Debt Payoff'!$D$18)/12</f>
        <v/>
      </c>
      <c r="Q127" s="160">
        <f>G126*N('Debt Payoff'!$D$19)/12</f>
        <v/>
      </c>
      <c r="R127" s="160">
        <f>H126*N('Debt Payoff'!$D$20)/12</f>
        <v/>
      </c>
      <c r="S127" s="160">
        <f>I126*N('Debt Payoff'!$D$21)/12</f>
        <v/>
      </c>
      <c r="T127" s="160">
        <f>J126*N('Debt Payoff'!$D$22)/12</f>
        <v/>
      </c>
      <c r="U127" s="160">
        <f>K126*N('Debt Payoff'!$D$23)/12</f>
        <v/>
      </c>
      <c r="V127" s="160">
        <f>L126*N('Debt Payoff'!$D$24)/12</f>
        <v/>
      </c>
      <c r="W127" s="160">
        <f>MIN(N('Debt Payoff'!$E$15),C126+M127)</f>
        <v/>
      </c>
      <c r="X127" s="160">
        <f>MIN(N('Debt Payoff'!$E$16),D126+N127)</f>
        <v/>
      </c>
      <c r="Y127" s="160">
        <f>MIN(N('Debt Payoff'!$E$17),E126+O127)</f>
        <v/>
      </c>
      <c r="Z127" s="160">
        <f>MIN(N('Debt Payoff'!$E$18),F126+P127)</f>
        <v/>
      </c>
      <c r="AA127" s="160">
        <f>MIN(N('Debt Payoff'!$E$19),G126+Q127)</f>
        <v/>
      </c>
      <c r="AB127" s="160">
        <f>MIN(N('Debt Payoff'!$E$20),H126+R127)</f>
        <v/>
      </c>
      <c r="AC127" s="160">
        <f>MIN(N('Debt Payoff'!$E$21),I126+S127)</f>
        <v/>
      </c>
      <c r="AD127" s="160">
        <f>MIN(N('Debt Payoff'!$E$22),J126+T127)</f>
        <v/>
      </c>
      <c r="AE127" s="160">
        <f>MIN(N('Debt Payoff'!$E$23),K126+U127)</f>
        <v/>
      </c>
      <c r="AF127" s="160">
        <f>MIN(N('Debt Payoff'!$E$24),L126+V127)</f>
        <v/>
      </c>
      <c r="AG127" s="160">
        <f>C126+M127-W127</f>
        <v/>
      </c>
      <c r="AH127" s="160">
        <f>D126+N127-X127</f>
        <v/>
      </c>
      <c r="AI127" s="160">
        <f>E126+O127-Y127</f>
        <v/>
      </c>
      <c r="AJ127" s="160">
        <f>F126+P127-Z127</f>
        <v/>
      </c>
      <c r="AK127" s="160">
        <f>G126+Q127-AA127</f>
        <v/>
      </c>
      <c r="AL127" s="160">
        <f>H126+R127-AB127</f>
        <v/>
      </c>
      <c r="AM127" s="160">
        <f>I126+S127-AC127</f>
        <v/>
      </c>
      <c r="AN127" s="160">
        <f>J126+T127-AD127</f>
        <v/>
      </c>
      <c r="AO127" s="160">
        <f>K126+U127-AE127</f>
        <v/>
      </c>
      <c r="AP127" s="160">
        <f>L126+V127-AF127</f>
        <v/>
      </c>
      <c r="AQ127" s="160">
        <f>W127+MAX(0,MIN(AG127,'Debt Payoff'!$C$12-SUM($W127:$AF127)-SUMIFS($AG127:$AP127,$AG$4:$AP$4,"&lt;"&amp;AG$4)))</f>
        <v/>
      </c>
      <c r="AR127" s="160">
        <f>X127+MAX(0,MIN(AH127,'Debt Payoff'!$C$12-SUM($W127:$AF127)-SUMIFS($AG127:$AP127,$AG$4:$AP$4,"&lt;"&amp;AH$4)))</f>
        <v/>
      </c>
      <c r="AS127" s="160">
        <f>Y127+MAX(0,MIN(AI127,'Debt Payoff'!$C$12-SUM($W127:$AF127)-SUMIFS($AG127:$AP127,$AG$4:$AP$4,"&lt;"&amp;AI$4)))</f>
        <v/>
      </c>
      <c r="AT127" s="160">
        <f>Z127+MAX(0,MIN(AJ127,'Debt Payoff'!$C$12-SUM($W127:$AF127)-SUMIFS($AG127:$AP127,$AG$4:$AP$4,"&lt;"&amp;AJ$4)))</f>
        <v/>
      </c>
      <c r="AU127" s="160">
        <f>AA127+MAX(0,MIN(AK127,'Debt Payoff'!$C$12-SUM($W127:$AF127)-SUMIFS($AG127:$AP127,$AG$4:$AP$4,"&lt;"&amp;AK$4)))</f>
        <v/>
      </c>
      <c r="AV127" s="160">
        <f>AB127+MAX(0,MIN(AL127,'Debt Payoff'!$C$12-SUM($W127:$AF127)-SUMIFS($AG127:$AP127,$AG$4:$AP$4,"&lt;"&amp;AL$4)))</f>
        <v/>
      </c>
      <c r="AW127" s="160">
        <f>AC127+MAX(0,MIN(AM127,'Debt Payoff'!$C$12-SUM($W127:$AF127)-SUMIFS($AG127:$AP127,$AG$4:$AP$4,"&lt;"&amp;AM$4)))</f>
        <v/>
      </c>
      <c r="AX127" s="160">
        <f>AD127+MAX(0,MIN(AN127,'Debt Payoff'!$C$12-SUM($W127:$AF127)-SUMIFS($AG127:$AP127,$AG$4:$AP$4,"&lt;"&amp;AN$4)))</f>
        <v/>
      </c>
      <c r="AY127" s="160">
        <f>AE127+MAX(0,MIN(AO127,'Debt Payoff'!$C$12-SUM($W127:$AF127)-SUMIFS($AG127:$AP127,$AG$4:$AP$4,"&lt;"&amp;AO$4)))</f>
        <v/>
      </c>
      <c r="AZ127" s="160">
        <f>AF127+MAX(0,MIN(AP127,'Debt Payoff'!$C$12-SUM($W127:$AF127)-SUMIFS($AG127:$AP127,$AG$4:$AP$4,"&lt;"&amp;AP$4)))</f>
        <v/>
      </c>
      <c r="BA127" s="160">
        <f>SUM(C127:L127)</f>
        <v/>
      </c>
      <c r="BB127" s="160">
        <f>SUM(AQ127:AZ127)</f>
        <v/>
      </c>
      <c r="BC127" s="160">
        <f>SUM(M127:V127)</f>
        <v/>
      </c>
    </row>
    <row r="128">
      <c r="A128" s="157" t="n">
        <v>123</v>
      </c>
      <c r="B128" s="159">
        <f>EDATE('Debt Payoff'!$C$6,122)</f>
        <v/>
      </c>
      <c r="C128" s="160">
        <f>MAX(0,ROUND(C127+M128-AQ128,2))</f>
        <v/>
      </c>
      <c r="D128" s="160">
        <f>MAX(0,ROUND(D127+N128-AR128,2))</f>
        <v/>
      </c>
      <c r="E128" s="160">
        <f>MAX(0,ROUND(E127+O128-AS128,2))</f>
        <v/>
      </c>
      <c r="F128" s="160">
        <f>MAX(0,ROUND(F127+P128-AT128,2))</f>
        <v/>
      </c>
      <c r="G128" s="160">
        <f>MAX(0,ROUND(G127+Q128-AU128,2))</f>
        <v/>
      </c>
      <c r="H128" s="160">
        <f>MAX(0,ROUND(H127+R128-AV128,2))</f>
        <v/>
      </c>
      <c r="I128" s="160">
        <f>MAX(0,ROUND(I127+S128-AW128,2))</f>
        <v/>
      </c>
      <c r="J128" s="160">
        <f>MAX(0,ROUND(J127+T128-AX128,2))</f>
        <v/>
      </c>
      <c r="K128" s="160">
        <f>MAX(0,ROUND(K127+U128-AY128,2))</f>
        <v/>
      </c>
      <c r="L128" s="160">
        <f>MAX(0,ROUND(L127+V128-AZ128,2))</f>
        <v/>
      </c>
      <c r="M128" s="160">
        <f>C127*N('Debt Payoff'!$D$15)/12</f>
        <v/>
      </c>
      <c r="N128" s="160">
        <f>D127*N('Debt Payoff'!$D$16)/12</f>
        <v/>
      </c>
      <c r="O128" s="160">
        <f>E127*N('Debt Payoff'!$D$17)/12</f>
        <v/>
      </c>
      <c r="P128" s="160">
        <f>F127*N('Debt Payoff'!$D$18)/12</f>
        <v/>
      </c>
      <c r="Q128" s="160">
        <f>G127*N('Debt Payoff'!$D$19)/12</f>
        <v/>
      </c>
      <c r="R128" s="160">
        <f>H127*N('Debt Payoff'!$D$20)/12</f>
        <v/>
      </c>
      <c r="S128" s="160">
        <f>I127*N('Debt Payoff'!$D$21)/12</f>
        <v/>
      </c>
      <c r="T128" s="160">
        <f>J127*N('Debt Payoff'!$D$22)/12</f>
        <v/>
      </c>
      <c r="U128" s="160">
        <f>K127*N('Debt Payoff'!$D$23)/12</f>
        <v/>
      </c>
      <c r="V128" s="160">
        <f>L127*N('Debt Payoff'!$D$24)/12</f>
        <v/>
      </c>
      <c r="W128" s="160">
        <f>MIN(N('Debt Payoff'!$E$15),C127+M128)</f>
        <v/>
      </c>
      <c r="X128" s="160">
        <f>MIN(N('Debt Payoff'!$E$16),D127+N128)</f>
        <v/>
      </c>
      <c r="Y128" s="160">
        <f>MIN(N('Debt Payoff'!$E$17),E127+O128)</f>
        <v/>
      </c>
      <c r="Z128" s="160">
        <f>MIN(N('Debt Payoff'!$E$18),F127+P128)</f>
        <v/>
      </c>
      <c r="AA128" s="160">
        <f>MIN(N('Debt Payoff'!$E$19),G127+Q128)</f>
        <v/>
      </c>
      <c r="AB128" s="160">
        <f>MIN(N('Debt Payoff'!$E$20),H127+R128)</f>
        <v/>
      </c>
      <c r="AC128" s="160">
        <f>MIN(N('Debt Payoff'!$E$21),I127+S128)</f>
        <v/>
      </c>
      <c r="AD128" s="160">
        <f>MIN(N('Debt Payoff'!$E$22),J127+T128)</f>
        <v/>
      </c>
      <c r="AE128" s="160">
        <f>MIN(N('Debt Payoff'!$E$23),K127+U128)</f>
        <v/>
      </c>
      <c r="AF128" s="160">
        <f>MIN(N('Debt Payoff'!$E$24),L127+V128)</f>
        <v/>
      </c>
      <c r="AG128" s="160">
        <f>C127+M128-W128</f>
        <v/>
      </c>
      <c r="AH128" s="160">
        <f>D127+N128-X128</f>
        <v/>
      </c>
      <c r="AI128" s="160">
        <f>E127+O128-Y128</f>
        <v/>
      </c>
      <c r="AJ128" s="160">
        <f>F127+P128-Z128</f>
        <v/>
      </c>
      <c r="AK128" s="160">
        <f>G127+Q128-AA128</f>
        <v/>
      </c>
      <c r="AL128" s="160">
        <f>H127+R128-AB128</f>
        <v/>
      </c>
      <c r="AM128" s="160">
        <f>I127+S128-AC128</f>
        <v/>
      </c>
      <c r="AN128" s="160">
        <f>J127+T128-AD128</f>
        <v/>
      </c>
      <c r="AO128" s="160">
        <f>K127+U128-AE128</f>
        <v/>
      </c>
      <c r="AP128" s="160">
        <f>L127+V128-AF128</f>
        <v/>
      </c>
      <c r="AQ128" s="160">
        <f>W128+MAX(0,MIN(AG128,'Debt Payoff'!$C$12-SUM($W128:$AF128)-SUMIFS($AG128:$AP128,$AG$4:$AP$4,"&lt;"&amp;AG$4)))</f>
        <v/>
      </c>
      <c r="AR128" s="160">
        <f>X128+MAX(0,MIN(AH128,'Debt Payoff'!$C$12-SUM($W128:$AF128)-SUMIFS($AG128:$AP128,$AG$4:$AP$4,"&lt;"&amp;AH$4)))</f>
        <v/>
      </c>
      <c r="AS128" s="160">
        <f>Y128+MAX(0,MIN(AI128,'Debt Payoff'!$C$12-SUM($W128:$AF128)-SUMIFS($AG128:$AP128,$AG$4:$AP$4,"&lt;"&amp;AI$4)))</f>
        <v/>
      </c>
      <c r="AT128" s="160">
        <f>Z128+MAX(0,MIN(AJ128,'Debt Payoff'!$C$12-SUM($W128:$AF128)-SUMIFS($AG128:$AP128,$AG$4:$AP$4,"&lt;"&amp;AJ$4)))</f>
        <v/>
      </c>
      <c r="AU128" s="160">
        <f>AA128+MAX(0,MIN(AK128,'Debt Payoff'!$C$12-SUM($W128:$AF128)-SUMIFS($AG128:$AP128,$AG$4:$AP$4,"&lt;"&amp;AK$4)))</f>
        <v/>
      </c>
      <c r="AV128" s="160">
        <f>AB128+MAX(0,MIN(AL128,'Debt Payoff'!$C$12-SUM($W128:$AF128)-SUMIFS($AG128:$AP128,$AG$4:$AP$4,"&lt;"&amp;AL$4)))</f>
        <v/>
      </c>
      <c r="AW128" s="160">
        <f>AC128+MAX(0,MIN(AM128,'Debt Payoff'!$C$12-SUM($W128:$AF128)-SUMIFS($AG128:$AP128,$AG$4:$AP$4,"&lt;"&amp;AM$4)))</f>
        <v/>
      </c>
      <c r="AX128" s="160">
        <f>AD128+MAX(0,MIN(AN128,'Debt Payoff'!$C$12-SUM($W128:$AF128)-SUMIFS($AG128:$AP128,$AG$4:$AP$4,"&lt;"&amp;AN$4)))</f>
        <v/>
      </c>
      <c r="AY128" s="160">
        <f>AE128+MAX(0,MIN(AO128,'Debt Payoff'!$C$12-SUM($W128:$AF128)-SUMIFS($AG128:$AP128,$AG$4:$AP$4,"&lt;"&amp;AO$4)))</f>
        <v/>
      </c>
      <c r="AZ128" s="160">
        <f>AF128+MAX(0,MIN(AP128,'Debt Payoff'!$C$12-SUM($W128:$AF128)-SUMIFS($AG128:$AP128,$AG$4:$AP$4,"&lt;"&amp;AP$4)))</f>
        <v/>
      </c>
      <c r="BA128" s="160">
        <f>SUM(C128:L128)</f>
        <v/>
      </c>
      <c r="BB128" s="160">
        <f>SUM(AQ128:AZ128)</f>
        <v/>
      </c>
      <c r="BC128" s="160">
        <f>SUM(M128:V128)</f>
        <v/>
      </c>
    </row>
    <row r="129">
      <c r="A129" s="157" t="n">
        <v>124</v>
      </c>
      <c r="B129" s="159">
        <f>EDATE('Debt Payoff'!$C$6,123)</f>
        <v/>
      </c>
      <c r="C129" s="160">
        <f>MAX(0,ROUND(C128+M129-AQ129,2))</f>
        <v/>
      </c>
      <c r="D129" s="160">
        <f>MAX(0,ROUND(D128+N129-AR129,2))</f>
        <v/>
      </c>
      <c r="E129" s="160">
        <f>MAX(0,ROUND(E128+O129-AS129,2))</f>
        <v/>
      </c>
      <c r="F129" s="160">
        <f>MAX(0,ROUND(F128+P129-AT129,2))</f>
        <v/>
      </c>
      <c r="G129" s="160">
        <f>MAX(0,ROUND(G128+Q129-AU129,2))</f>
        <v/>
      </c>
      <c r="H129" s="160">
        <f>MAX(0,ROUND(H128+R129-AV129,2))</f>
        <v/>
      </c>
      <c r="I129" s="160">
        <f>MAX(0,ROUND(I128+S129-AW129,2))</f>
        <v/>
      </c>
      <c r="J129" s="160">
        <f>MAX(0,ROUND(J128+T129-AX129,2))</f>
        <v/>
      </c>
      <c r="K129" s="160">
        <f>MAX(0,ROUND(K128+U129-AY129,2))</f>
        <v/>
      </c>
      <c r="L129" s="160">
        <f>MAX(0,ROUND(L128+V129-AZ129,2))</f>
        <v/>
      </c>
      <c r="M129" s="160">
        <f>C128*N('Debt Payoff'!$D$15)/12</f>
        <v/>
      </c>
      <c r="N129" s="160">
        <f>D128*N('Debt Payoff'!$D$16)/12</f>
        <v/>
      </c>
      <c r="O129" s="160">
        <f>E128*N('Debt Payoff'!$D$17)/12</f>
        <v/>
      </c>
      <c r="P129" s="160">
        <f>F128*N('Debt Payoff'!$D$18)/12</f>
        <v/>
      </c>
      <c r="Q129" s="160">
        <f>G128*N('Debt Payoff'!$D$19)/12</f>
        <v/>
      </c>
      <c r="R129" s="160">
        <f>H128*N('Debt Payoff'!$D$20)/12</f>
        <v/>
      </c>
      <c r="S129" s="160">
        <f>I128*N('Debt Payoff'!$D$21)/12</f>
        <v/>
      </c>
      <c r="T129" s="160">
        <f>J128*N('Debt Payoff'!$D$22)/12</f>
        <v/>
      </c>
      <c r="U129" s="160">
        <f>K128*N('Debt Payoff'!$D$23)/12</f>
        <v/>
      </c>
      <c r="V129" s="160">
        <f>L128*N('Debt Payoff'!$D$24)/12</f>
        <v/>
      </c>
      <c r="W129" s="160">
        <f>MIN(N('Debt Payoff'!$E$15),C128+M129)</f>
        <v/>
      </c>
      <c r="X129" s="160">
        <f>MIN(N('Debt Payoff'!$E$16),D128+N129)</f>
        <v/>
      </c>
      <c r="Y129" s="160">
        <f>MIN(N('Debt Payoff'!$E$17),E128+O129)</f>
        <v/>
      </c>
      <c r="Z129" s="160">
        <f>MIN(N('Debt Payoff'!$E$18),F128+P129)</f>
        <v/>
      </c>
      <c r="AA129" s="160">
        <f>MIN(N('Debt Payoff'!$E$19),G128+Q129)</f>
        <v/>
      </c>
      <c r="AB129" s="160">
        <f>MIN(N('Debt Payoff'!$E$20),H128+R129)</f>
        <v/>
      </c>
      <c r="AC129" s="160">
        <f>MIN(N('Debt Payoff'!$E$21),I128+S129)</f>
        <v/>
      </c>
      <c r="AD129" s="160">
        <f>MIN(N('Debt Payoff'!$E$22),J128+T129)</f>
        <v/>
      </c>
      <c r="AE129" s="160">
        <f>MIN(N('Debt Payoff'!$E$23),K128+U129)</f>
        <v/>
      </c>
      <c r="AF129" s="160">
        <f>MIN(N('Debt Payoff'!$E$24),L128+V129)</f>
        <v/>
      </c>
      <c r="AG129" s="160">
        <f>C128+M129-W129</f>
        <v/>
      </c>
      <c r="AH129" s="160">
        <f>D128+N129-X129</f>
        <v/>
      </c>
      <c r="AI129" s="160">
        <f>E128+O129-Y129</f>
        <v/>
      </c>
      <c r="AJ129" s="160">
        <f>F128+P129-Z129</f>
        <v/>
      </c>
      <c r="AK129" s="160">
        <f>G128+Q129-AA129</f>
        <v/>
      </c>
      <c r="AL129" s="160">
        <f>H128+R129-AB129</f>
        <v/>
      </c>
      <c r="AM129" s="160">
        <f>I128+S129-AC129</f>
        <v/>
      </c>
      <c r="AN129" s="160">
        <f>J128+T129-AD129</f>
        <v/>
      </c>
      <c r="AO129" s="160">
        <f>K128+U129-AE129</f>
        <v/>
      </c>
      <c r="AP129" s="160">
        <f>L128+V129-AF129</f>
        <v/>
      </c>
      <c r="AQ129" s="160">
        <f>W129+MAX(0,MIN(AG129,'Debt Payoff'!$C$12-SUM($W129:$AF129)-SUMIFS($AG129:$AP129,$AG$4:$AP$4,"&lt;"&amp;AG$4)))</f>
        <v/>
      </c>
      <c r="AR129" s="160">
        <f>X129+MAX(0,MIN(AH129,'Debt Payoff'!$C$12-SUM($W129:$AF129)-SUMIFS($AG129:$AP129,$AG$4:$AP$4,"&lt;"&amp;AH$4)))</f>
        <v/>
      </c>
      <c r="AS129" s="160">
        <f>Y129+MAX(0,MIN(AI129,'Debt Payoff'!$C$12-SUM($W129:$AF129)-SUMIFS($AG129:$AP129,$AG$4:$AP$4,"&lt;"&amp;AI$4)))</f>
        <v/>
      </c>
      <c r="AT129" s="160">
        <f>Z129+MAX(0,MIN(AJ129,'Debt Payoff'!$C$12-SUM($W129:$AF129)-SUMIFS($AG129:$AP129,$AG$4:$AP$4,"&lt;"&amp;AJ$4)))</f>
        <v/>
      </c>
      <c r="AU129" s="160">
        <f>AA129+MAX(0,MIN(AK129,'Debt Payoff'!$C$12-SUM($W129:$AF129)-SUMIFS($AG129:$AP129,$AG$4:$AP$4,"&lt;"&amp;AK$4)))</f>
        <v/>
      </c>
      <c r="AV129" s="160">
        <f>AB129+MAX(0,MIN(AL129,'Debt Payoff'!$C$12-SUM($W129:$AF129)-SUMIFS($AG129:$AP129,$AG$4:$AP$4,"&lt;"&amp;AL$4)))</f>
        <v/>
      </c>
      <c r="AW129" s="160">
        <f>AC129+MAX(0,MIN(AM129,'Debt Payoff'!$C$12-SUM($W129:$AF129)-SUMIFS($AG129:$AP129,$AG$4:$AP$4,"&lt;"&amp;AM$4)))</f>
        <v/>
      </c>
      <c r="AX129" s="160">
        <f>AD129+MAX(0,MIN(AN129,'Debt Payoff'!$C$12-SUM($W129:$AF129)-SUMIFS($AG129:$AP129,$AG$4:$AP$4,"&lt;"&amp;AN$4)))</f>
        <v/>
      </c>
      <c r="AY129" s="160">
        <f>AE129+MAX(0,MIN(AO129,'Debt Payoff'!$C$12-SUM($W129:$AF129)-SUMIFS($AG129:$AP129,$AG$4:$AP$4,"&lt;"&amp;AO$4)))</f>
        <v/>
      </c>
      <c r="AZ129" s="160">
        <f>AF129+MAX(0,MIN(AP129,'Debt Payoff'!$C$12-SUM($W129:$AF129)-SUMIFS($AG129:$AP129,$AG$4:$AP$4,"&lt;"&amp;AP$4)))</f>
        <v/>
      </c>
      <c r="BA129" s="160">
        <f>SUM(C129:L129)</f>
        <v/>
      </c>
      <c r="BB129" s="160">
        <f>SUM(AQ129:AZ129)</f>
        <v/>
      </c>
      <c r="BC129" s="160">
        <f>SUM(M129:V129)</f>
        <v/>
      </c>
    </row>
    <row r="130">
      <c r="A130" s="157" t="n">
        <v>125</v>
      </c>
      <c r="B130" s="159">
        <f>EDATE('Debt Payoff'!$C$6,124)</f>
        <v/>
      </c>
      <c r="C130" s="160">
        <f>MAX(0,ROUND(C129+M130-AQ130,2))</f>
        <v/>
      </c>
      <c r="D130" s="160">
        <f>MAX(0,ROUND(D129+N130-AR130,2))</f>
        <v/>
      </c>
      <c r="E130" s="160">
        <f>MAX(0,ROUND(E129+O130-AS130,2))</f>
        <v/>
      </c>
      <c r="F130" s="160">
        <f>MAX(0,ROUND(F129+P130-AT130,2))</f>
        <v/>
      </c>
      <c r="G130" s="160">
        <f>MAX(0,ROUND(G129+Q130-AU130,2))</f>
        <v/>
      </c>
      <c r="H130" s="160">
        <f>MAX(0,ROUND(H129+R130-AV130,2))</f>
        <v/>
      </c>
      <c r="I130" s="160">
        <f>MAX(0,ROUND(I129+S130-AW130,2))</f>
        <v/>
      </c>
      <c r="J130" s="160">
        <f>MAX(0,ROUND(J129+T130-AX130,2))</f>
        <v/>
      </c>
      <c r="K130" s="160">
        <f>MAX(0,ROUND(K129+U130-AY130,2))</f>
        <v/>
      </c>
      <c r="L130" s="160">
        <f>MAX(0,ROUND(L129+V130-AZ130,2))</f>
        <v/>
      </c>
      <c r="M130" s="160">
        <f>C129*N('Debt Payoff'!$D$15)/12</f>
        <v/>
      </c>
      <c r="N130" s="160">
        <f>D129*N('Debt Payoff'!$D$16)/12</f>
        <v/>
      </c>
      <c r="O130" s="160">
        <f>E129*N('Debt Payoff'!$D$17)/12</f>
        <v/>
      </c>
      <c r="P130" s="160">
        <f>F129*N('Debt Payoff'!$D$18)/12</f>
        <v/>
      </c>
      <c r="Q130" s="160">
        <f>G129*N('Debt Payoff'!$D$19)/12</f>
        <v/>
      </c>
      <c r="R130" s="160">
        <f>H129*N('Debt Payoff'!$D$20)/12</f>
        <v/>
      </c>
      <c r="S130" s="160">
        <f>I129*N('Debt Payoff'!$D$21)/12</f>
        <v/>
      </c>
      <c r="T130" s="160">
        <f>J129*N('Debt Payoff'!$D$22)/12</f>
        <v/>
      </c>
      <c r="U130" s="160">
        <f>K129*N('Debt Payoff'!$D$23)/12</f>
        <v/>
      </c>
      <c r="V130" s="160">
        <f>L129*N('Debt Payoff'!$D$24)/12</f>
        <v/>
      </c>
      <c r="W130" s="160">
        <f>MIN(N('Debt Payoff'!$E$15),C129+M130)</f>
        <v/>
      </c>
      <c r="X130" s="160">
        <f>MIN(N('Debt Payoff'!$E$16),D129+N130)</f>
        <v/>
      </c>
      <c r="Y130" s="160">
        <f>MIN(N('Debt Payoff'!$E$17),E129+O130)</f>
        <v/>
      </c>
      <c r="Z130" s="160">
        <f>MIN(N('Debt Payoff'!$E$18),F129+P130)</f>
        <v/>
      </c>
      <c r="AA130" s="160">
        <f>MIN(N('Debt Payoff'!$E$19),G129+Q130)</f>
        <v/>
      </c>
      <c r="AB130" s="160">
        <f>MIN(N('Debt Payoff'!$E$20),H129+R130)</f>
        <v/>
      </c>
      <c r="AC130" s="160">
        <f>MIN(N('Debt Payoff'!$E$21),I129+S130)</f>
        <v/>
      </c>
      <c r="AD130" s="160">
        <f>MIN(N('Debt Payoff'!$E$22),J129+T130)</f>
        <v/>
      </c>
      <c r="AE130" s="160">
        <f>MIN(N('Debt Payoff'!$E$23),K129+U130)</f>
        <v/>
      </c>
      <c r="AF130" s="160">
        <f>MIN(N('Debt Payoff'!$E$24),L129+V130)</f>
        <v/>
      </c>
      <c r="AG130" s="160">
        <f>C129+M130-W130</f>
        <v/>
      </c>
      <c r="AH130" s="160">
        <f>D129+N130-X130</f>
        <v/>
      </c>
      <c r="AI130" s="160">
        <f>E129+O130-Y130</f>
        <v/>
      </c>
      <c r="AJ130" s="160">
        <f>F129+P130-Z130</f>
        <v/>
      </c>
      <c r="AK130" s="160">
        <f>G129+Q130-AA130</f>
        <v/>
      </c>
      <c r="AL130" s="160">
        <f>H129+R130-AB130</f>
        <v/>
      </c>
      <c r="AM130" s="160">
        <f>I129+S130-AC130</f>
        <v/>
      </c>
      <c r="AN130" s="160">
        <f>J129+T130-AD130</f>
        <v/>
      </c>
      <c r="AO130" s="160">
        <f>K129+U130-AE130</f>
        <v/>
      </c>
      <c r="AP130" s="160">
        <f>L129+V130-AF130</f>
        <v/>
      </c>
      <c r="AQ130" s="160">
        <f>W130+MAX(0,MIN(AG130,'Debt Payoff'!$C$12-SUM($W130:$AF130)-SUMIFS($AG130:$AP130,$AG$4:$AP$4,"&lt;"&amp;AG$4)))</f>
        <v/>
      </c>
      <c r="AR130" s="160">
        <f>X130+MAX(0,MIN(AH130,'Debt Payoff'!$C$12-SUM($W130:$AF130)-SUMIFS($AG130:$AP130,$AG$4:$AP$4,"&lt;"&amp;AH$4)))</f>
        <v/>
      </c>
      <c r="AS130" s="160">
        <f>Y130+MAX(0,MIN(AI130,'Debt Payoff'!$C$12-SUM($W130:$AF130)-SUMIFS($AG130:$AP130,$AG$4:$AP$4,"&lt;"&amp;AI$4)))</f>
        <v/>
      </c>
      <c r="AT130" s="160">
        <f>Z130+MAX(0,MIN(AJ130,'Debt Payoff'!$C$12-SUM($W130:$AF130)-SUMIFS($AG130:$AP130,$AG$4:$AP$4,"&lt;"&amp;AJ$4)))</f>
        <v/>
      </c>
      <c r="AU130" s="160">
        <f>AA130+MAX(0,MIN(AK130,'Debt Payoff'!$C$12-SUM($W130:$AF130)-SUMIFS($AG130:$AP130,$AG$4:$AP$4,"&lt;"&amp;AK$4)))</f>
        <v/>
      </c>
      <c r="AV130" s="160">
        <f>AB130+MAX(0,MIN(AL130,'Debt Payoff'!$C$12-SUM($W130:$AF130)-SUMIFS($AG130:$AP130,$AG$4:$AP$4,"&lt;"&amp;AL$4)))</f>
        <v/>
      </c>
      <c r="AW130" s="160">
        <f>AC130+MAX(0,MIN(AM130,'Debt Payoff'!$C$12-SUM($W130:$AF130)-SUMIFS($AG130:$AP130,$AG$4:$AP$4,"&lt;"&amp;AM$4)))</f>
        <v/>
      </c>
      <c r="AX130" s="160">
        <f>AD130+MAX(0,MIN(AN130,'Debt Payoff'!$C$12-SUM($W130:$AF130)-SUMIFS($AG130:$AP130,$AG$4:$AP$4,"&lt;"&amp;AN$4)))</f>
        <v/>
      </c>
      <c r="AY130" s="160">
        <f>AE130+MAX(0,MIN(AO130,'Debt Payoff'!$C$12-SUM($W130:$AF130)-SUMIFS($AG130:$AP130,$AG$4:$AP$4,"&lt;"&amp;AO$4)))</f>
        <v/>
      </c>
      <c r="AZ130" s="160">
        <f>AF130+MAX(0,MIN(AP130,'Debt Payoff'!$C$12-SUM($W130:$AF130)-SUMIFS($AG130:$AP130,$AG$4:$AP$4,"&lt;"&amp;AP$4)))</f>
        <v/>
      </c>
      <c r="BA130" s="160">
        <f>SUM(C130:L130)</f>
        <v/>
      </c>
      <c r="BB130" s="160">
        <f>SUM(AQ130:AZ130)</f>
        <v/>
      </c>
      <c r="BC130" s="160">
        <f>SUM(M130:V130)</f>
        <v/>
      </c>
    </row>
    <row r="131">
      <c r="A131" s="157" t="n">
        <v>126</v>
      </c>
      <c r="B131" s="159">
        <f>EDATE('Debt Payoff'!$C$6,125)</f>
        <v/>
      </c>
      <c r="C131" s="160">
        <f>MAX(0,ROUND(C130+M131-AQ131,2))</f>
        <v/>
      </c>
      <c r="D131" s="160">
        <f>MAX(0,ROUND(D130+N131-AR131,2))</f>
        <v/>
      </c>
      <c r="E131" s="160">
        <f>MAX(0,ROUND(E130+O131-AS131,2))</f>
        <v/>
      </c>
      <c r="F131" s="160">
        <f>MAX(0,ROUND(F130+P131-AT131,2))</f>
        <v/>
      </c>
      <c r="G131" s="160">
        <f>MAX(0,ROUND(G130+Q131-AU131,2))</f>
        <v/>
      </c>
      <c r="H131" s="160">
        <f>MAX(0,ROUND(H130+R131-AV131,2))</f>
        <v/>
      </c>
      <c r="I131" s="160">
        <f>MAX(0,ROUND(I130+S131-AW131,2))</f>
        <v/>
      </c>
      <c r="J131" s="160">
        <f>MAX(0,ROUND(J130+T131-AX131,2))</f>
        <v/>
      </c>
      <c r="K131" s="160">
        <f>MAX(0,ROUND(K130+U131-AY131,2))</f>
        <v/>
      </c>
      <c r="L131" s="160">
        <f>MAX(0,ROUND(L130+V131-AZ131,2))</f>
        <v/>
      </c>
      <c r="M131" s="160">
        <f>C130*N('Debt Payoff'!$D$15)/12</f>
        <v/>
      </c>
      <c r="N131" s="160">
        <f>D130*N('Debt Payoff'!$D$16)/12</f>
        <v/>
      </c>
      <c r="O131" s="160">
        <f>E130*N('Debt Payoff'!$D$17)/12</f>
        <v/>
      </c>
      <c r="P131" s="160">
        <f>F130*N('Debt Payoff'!$D$18)/12</f>
        <v/>
      </c>
      <c r="Q131" s="160">
        <f>G130*N('Debt Payoff'!$D$19)/12</f>
        <v/>
      </c>
      <c r="R131" s="160">
        <f>H130*N('Debt Payoff'!$D$20)/12</f>
        <v/>
      </c>
      <c r="S131" s="160">
        <f>I130*N('Debt Payoff'!$D$21)/12</f>
        <v/>
      </c>
      <c r="T131" s="160">
        <f>J130*N('Debt Payoff'!$D$22)/12</f>
        <v/>
      </c>
      <c r="U131" s="160">
        <f>K130*N('Debt Payoff'!$D$23)/12</f>
        <v/>
      </c>
      <c r="V131" s="160">
        <f>L130*N('Debt Payoff'!$D$24)/12</f>
        <v/>
      </c>
      <c r="W131" s="160">
        <f>MIN(N('Debt Payoff'!$E$15),C130+M131)</f>
        <v/>
      </c>
      <c r="X131" s="160">
        <f>MIN(N('Debt Payoff'!$E$16),D130+N131)</f>
        <v/>
      </c>
      <c r="Y131" s="160">
        <f>MIN(N('Debt Payoff'!$E$17),E130+O131)</f>
        <v/>
      </c>
      <c r="Z131" s="160">
        <f>MIN(N('Debt Payoff'!$E$18),F130+P131)</f>
        <v/>
      </c>
      <c r="AA131" s="160">
        <f>MIN(N('Debt Payoff'!$E$19),G130+Q131)</f>
        <v/>
      </c>
      <c r="AB131" s="160">
        <f>MIN(N('Debt Payoff'!$E$20),H130+R131)</f>
        <v/>
      </c>
      <c r="AC131" s="160">
        <f>MIN(N('Debt Payoff'!$E$21),I130+S131)</f>
        <v/>
      </c>
      <c r="AD131" s="160">
        <f>MIN(N('Debt Payoff'!$E$22),J130+T131)</f>
        <v/>
      </c>
      <c r="AE131" s="160">
        <f>MIN(N('Debt Payoff'!$E$23),K130+U131)</f>
        <v/>
      </c>
      <c r="AF131" s="160">
        <f>MIN(N('Debt Payoff'!$E$24),L130+V131)</f>
        <v/>
      </c>
      <c r="AG131" s="160">
        <f>C130+M131-W131</f>
        <v/>
      </c>
      <c r="AH131" s="160">
        <f>D130+N131-X131</f>
        <v/>
      </c>
      <c r="AI131" s="160">
        <f>E130+O131-Y131</f>
        <v/>
      </c>
      <c r="AJ131" s="160">
        <f>F130+P131-Z131</f>
        <v/>
      </c>
      <c r="AK131" s="160">
        <f>G130+Q131-AA131</f>
        <v/>
      </c>
      <c r="AL131" s="160">
        <f>H130+R131-AB131</f>
        <v/>
      </c>
      <c r="AM131" s="160">
        <f>I130+S131-AC131</f>
        <v/>
      </c>
      <c r="AN131" s="160">
        <f>J130+T131-AD131</f>
        <v/>
      </c>
      <c r="AO131" s="160">
        <f>K130+U131-AE131</f>
        <v/>
      </c>
      <c r="AP131" s="160">
        <f>L130+V131-AF131</f>
        <v/>
      </c>
      <c r="AQ131" s="160">
        <f>W131+MAX(0,MIN(AG131,'Debt Payoff'!$C$12-SUM($W131:$AF131)-SUMIFS($AG131:$AP131,$AG$4:$AP$4,"&lt;"&amp;AG$4)))</f>
        <v/>
      </c>
      <c r="AR131" s="160">
        <f>X131+MAX(0,MIN(AH131,'Debt Payoff'!$C$12-SUM($W131:$AF131)-SUMIFS($AG131:$AP131,$AG$4:$AP$4,"&lt;"&amp;AH$4)))</f>
        <v/>
      </c>
      <c r="AS131" s="160">
        <f>Y131+MAX(0,MIN(AI131,'Debt Payoff'!$C$12-SUM($W131:$AF131)-SUMIFS($AG131:$AP131,$AG$4:$AP$4,"&lt;"&amp;AI$4)))</f>
        <v/>
      </c>
      <c r="AT131" s="160">
        <f>Z131+MAX(0,MIN(AJ131,'Debt Payoff'!$C$12-SUM($W131:$AF131)-SUMIFS($AG131:$AP131,$AG$4:$AP$4,"&lt;"&amp;AJ$4)))</f>
        <v/>
      </c>
      <c r="AU131" s="160">
        <f>AA131+MAX(0,MIN(AK131,'Debt Payoff'!$C$12-SUM($W131:$AF131)-SUMIFS($AG131:$AP131,$AG$4:$AP$4,"&lt;"&amp;AK$4)))</f>
        <v/>
      </c>
      <c r="AV131" s="160">
        <f>AB131+MAX(0,MIN(AL131,'Debt Payoff'!$C$12-SUM($W131:$AF131)-SUMIFS($AG131:$AP131,$AG$4:$AP$4,"&lt;"&amp;AL$4)))</f>
        <v/>
      </c>
      <c r="AW131" s="160">
        <f>AC131+MAX(0,MIN(AM131,'Debt Payoff'!$C$12-SUM($W131:$AF131)-SUMIFS($AG131:$AP131,$AG$4:$AP$4,"&lt;"&amp;AM$4)))</f>
        <v/>
      </c>
      <c r="AX131" s="160">
        <f>AD131+MAX(0,MIN(AN131,'Debt Payoff'!$C$12-SUM($W131:$AF131)-SUMIFS($AG131:$AP131,$AG$4:$AP$4,"&lt;"&amp;AN$4)))</f>
        <v/>
      </c>
      <c r="AY131" s="160">
        <f>AE131+MAX(0,MIN(AO131,'Debt Payoff'!$C$12-SUM($W131:$AF131)-SUMIFS($AG131:$AP131,$AG$4:$AP$4,"&lt;"&amp;AO$4)))</f>
        <v/>
      </c>
      <c r="AZ131" s="160">
        <f>AF131+MAX(0,MIN(AP131,'Debt Payoff'!$C$12-SUM($W131:$AF131)-SUMIFS($AG131:$AP131,$AG$4:$AP$4,"&lt;"&amp;AP$4)))</f>
        <v/>
      </c>
      <c r="BA131" s="160">
        <f>SUM(C131:L131)</f>
        <v/>
      </c>
      <c r="BB131" s="160">
        <f>SUM(AQ131:AZ131)</f>
        <v/>
      </c>
      <c r="BC131" s="160">
        <f>SUM(M131:V131)</f>
        <v/>
      </c>
    </row>
    <row r="132">
      <c r="A132" s="157" t="n">
        <v>127</v>
      </c>
      <c r="B132" s="159">
        <f>EDATE('Debt Payoff'!$C$6,126)</f>
        <v/>
      </c>
      <c r="C132" s="160">
        <f>MAX(0,ROUND(C131+M132-AQ132,2))</f>
        <v/>
      </c>
      <c r="D132" s="160">
        <f>MAX(0,ROUND(D131+N132-AR132,2))</f>
        <v/>
      </c>
      <c r="E132" s="160">
        <f>MAX(0,ROUND(E131+O132-AS132,2))</f>
        <v/>
      </c>
      <c r="F132" s="160">
        <f>MAX(0,ROUND(F131+P132-AT132,2))</f>
        <v/>
      </c>
      <c r="G132" s="160">
        <f>MAX(0,ROUND(G131+Q132-AU132,2))</f>
        <v/>
      </c>
      <c r="H132" s="160">
        <f>MAX(0,ROUND(H131+R132-AV132,2))</f>
        <v/>
      </c>
      <c r="I132" s="160">
        <f>MAX(0,ROUND(I131+S132-AW132,2))</f>
        <v/>
      </c>
      <c r="J132" s="160">
        <f>MAX(0,ROUND(J131+T132-AX132,2))</f>
        <v/>
      </c>
      <c r="K132" s="160">
        <f>MAX(0,ROUND(K131+U132-AY132,2))</f>
        <v/>
      </c>
      <c r="L132" s="160">
        <f>MAX(0,ROUND(L131+V132-AZ132,2))</f>
        <v/>
      </c>
      <c r="M132" s="160">
        <f>C131*N('Debt Payoff'!$D$15)/12</f>
        <v/>
      </c>
      <c r="N132" s="160">
        <f>D131*N('Debt Payoff'!$D$16)/12</f>
        <v/>
      </c>
      <c r="O132" s="160">
        <f>E131*N('Debt Payoff'!$D$17)/12</f>
        <v/>
      </c>
      <c r="P132" s="160">
        <f>F131*N('Debt Payoff'!$D$18)/12</f>
        <v/>
      </c>
      <c r="Q132" s="160">
        <f>G131*N('Debt Payoff'!$D$19)/12</f>
        <v/>
      </c>
      <c r="R132" s="160">
        <f>H131*N('Debt Payoff'!$D$20)/12</f>
        <v/>
      </c>
      <c r="S132" s="160">
        <f>I131*N('Debt Payoff'!$D$21)/12</f>
        <v/>
      </c>
      <c r="T132" s="160">
        <f>J131*N('Debt Payoff'!$D$22)/12</f>
        <v/>
      </c>
      <c r="U132" s="160">
        <f>K131*N('Debt Payoff'!$D$23)/12</f>
        <v/>
      </c>
      <c r="V132" s="160">
        <f>L131*N('Debt Payoff'!$D$24)/12</f>
        <v/>
      </c>
      <c r="W132" s="160">
        <f>MIN(N('Debt Payoff'!$E$15),C131+M132)</f>
        <v/>
      </c>
      <c r="X132" s="160">
        <f>MIN(N('Debt Payoff'!$E$16),D131+N132)</f>
        <v/>
      </c>
      <c r="Y132" s="160">
        <f>MIN(N('Debt Payoff'!$E$17),E131+O132)</f>
        <v/>
      </c>
      <c r="Z132" s="160">
        <f>MIN(N('Debt Payoff'!$E$18),F131+P132)</f>
        <v/>
      </c>
      <c r="AA132" s="160">
        <f>MIN(N('Debt Payoff'!$E$19),G131+Q132)</f>
        <v/>
      </c>
      <c r="AB132" s="160">
        <f>MIN(N('Debt Payoff'!$E$20),H131+R132)</f>
        <v/>
      </c>
      <c r="AC132" s="160">
        <f>MIN(N('Debt Payoff'!$E$21),I131+S132)</f>
        <v/>
      </c>
      <c r="AD132" s="160">
        <f>MIN(N('Debt Payoff'!$E$22),J131+T132)</f>
        <v/>
      </c>
      <c r="AE132" s="160">
        <f>MIN(N('Debt Payoff'!$E$23),K131+U132)</f>
        <v/>
      </c>
      <c r="AF132" s="160">
        <f>MIN(N('Debt Payoff'!$E$24),L131+V132)</f>
        <v/>
      </c>
      <c r="AG132" s="160">
        <f>C131+M132-W132</f>
        <v/>
      </c>
      <c r="AH132" s="160">
        <f>D131+N132-X132</f>
        <v/>
      </c>
      <c r="AI132" s="160">
        <f>E131+O132-Y132</f>
        <v/>
      </c>
      <c r="AJ132" s="160">
        <f>F131+P132-Z132</f>
        <v/>
      </c>
      <c r="AK132" s="160">
        <f>G131+Q132-AA132</f>
        <v/>
      </c>
      <c r="AL132" s="160">
        <f>H131+R132-AB132</f>
        <v/>
      </c>
      <c r="AM132" s="160">
        <f>I131+S132-AC132</f>
        <v/>
      </c>
      <c r="AN132" s="160">
        <f>J131+T132-AD132</f>
        <v/>
      </c>
      <c r="AO132" s="160">
        <f>K131+U132-AE132</f>
        <v/>
      </c>
      <c r="AP132" s="160">
        <f>L131+V132-AF132</f>
        <v/>
      </c>
      <c r="AQ132" s="160">
        <f>W132+MAX(0,MIN(AG132,'Debt Payoff'!$C$12-SUM($W132:$AF132)-SUMIFS($AG132:$AP132,$AG$4:$AP$4,"&lt;"&amp;AG$4)))</f>
        <v/>
      </c>
      <c r="AR132" s="160">
        <f>X132+MAX(0,MIN(AH132,'Debt Payoff'!$C$12-SUM($W132:$AF132)-SUMIFS($AG132:$AP132,$AG$4:$AP$4,"&lt;"&amp;AH$4)))</f>
        <v/>
      </c>
      <c r="AS132" s="160">
        <f>Y132+MAX(0,MIN(AI132,'Debt Payoff'!$C$12-SUM($W132:$AF132)-SUMIFS($AG132:$AP132,$AG$4:$AP$4,"&lt;"&amp;AI$4)))</f>
        <v/>
      </c>
      <c r="AT132" s="160">
        <f>Z132+MAX(0,MIN(AJ132,'Debt Payoff'!$C$12-SUM($W132:$AF132)-SUMIFS($AG132:$AP132,$AG$4:$AP$4,"&lt;"&amp;AJ$4)))</f>
        <v/>
      </c>
      <c r="AU132" s="160">
        <f>AA132+MAX(0,MIN(AK132,'Debt Payoff'!$C$12-SUM($W132:$AF132)-SUMIFS($AG132:$AP132,$AG$4:$AP$4,"&lt;"&amp;AK$4)))</f>
        <v/>
      </c>
      <c r="AV132" s="160">
        <f>AB132+MAX(0,MIN(AL132,'Debt Payoff'!$C$12-SUM($W132:$AF132)-SUMIFS($AG132:$AP132,$AG$4:$AP$4,"&lt;"&amp;AL$4)))</f>
        <v/>
      </c>
      <c r="AW132" s="160">
        <f>AC132+MAX(0,MIN(AM132,'Debt Payoff'!$C$12-SUM($W132:$AF132)-SUMIFS($AG132:$AP132,$AG$4:$AP$4,"&lt;"&amp;AM$4)))</f>
        <v/>
      </c>
      <c r="AX132" s="160">
        <f>AD132+MAX(0,MIN(AN132,'Debt Payoff'!$C$12-SUM($W132:$AF132)-SUMIFS($AG132:$AP132,$AG$4:$AP$4,"&lt;"&amp;AN$4)))</f>
        <v/>
      </c>
      <c r="AY132" s="160">
        <f>AE132+MAX(0,MIN(AO132,'Debt Payoff'!$C$12-SUM($W132:$AF132)-SUMIFS($AG132:$AP132,$AG$4:$AP$4,"&lt;"&amp;AO$4)))</f>
        <v/>
      </c>
      <c r="AZ132" s="160">
        <f>AF132+MAX(0,MIN(AP132,'Debt Payoff'!$C$12-SUM($W132:$AF132)-SUMIFS($AG132:$AP132,$AG$4:$AP$4,"&lt;"&amp;AP$4)))</f>
        <v/>
      </c>
      <c r="BA132" s="160">
        <f>SUM(C132:L132)</f>
        <v/>
      </c>
      <c r="BB132" s="160">
        <f>SUM(AQ132:AZ132)</f>
        <v/>
      </c>
      <c r="BC132" s="160">
        <f>SUM(M132:V132)</f>
        <v/>
      </c>
    </row>
    <row r="133">
      <c r="A133" s="157" t="n">
        <v>128</v>
      </c>
      <c r="B133" s="159">
        <f>EDATE('Debt Payoff'!$C$6,127)</f>
        <v/>
      </c>
      <c r="C133" s="160">
        <f>MAX(0,ROUND(C132+M133-AQ133,2))</f>
        <v/>
      </c>
      <c r="D133" s="160">
        <f>MAX(0,ROUND(D132+N133-AR133,2))</f>
        <v/>
      </c>
      <c r="E133" s="160">
        <f>MAX(0,ROUND(E132+O133-AS133,2))</f>
        <v/>
      </c>
      <c r="F133" s="160">
        <f>MAX(0,ROUND(F132+P133-AT133,2))</f>
        <v/>
      </c>
      <c r="G133" s="160">
        <f>MAX(0,ROUND(G132+Q133-AU133,2))</f>
        <v/>
      </c>
      <c r="H133" s="160">
        <f>MAX(0,ROUND(H132+R133-AV133,2))</f>
        <v/>
      </c>
      <c r="I133" s="160">
        <f>MAX(0,ROUND(I132+S133-AW133,2))</f>
        <v/>
      </c>
      <c r="J133" s="160">
        <f>MAX(0,ROUND(J132+T133-AX133,2))</f>
        <v/>
      </c>
      <c r="K133" s="160">
        <f>MAX(0,ROUND(K132+U133-AY133,2))</f>
        <v/>
      </c>
      <c r="L133" s="160">
        <f>MAX(0,ROUND(L132+V133-AZ133,2))</f>
        <v/>
      </c>
      <c r="M133" s="160">
        <f>C132*N('Debt Payoff'!$D$15)/12</f>
        <v/>
      </c>
      <c r="N133" s="160">
        <f>D132*N('Debt Payoff'!$D$16)/12</f>
        <v/>
      </c>
      <c r="O133" s="160">
        <f>E132*N('Debt Payoff'!$D$17)/12</f>
        <v/>
      </c>
      <c r="P133" s="160">
        <f>F132*N('Debt Payoff'!$D$18)/12</f>
        <v/>
      </c>
      <c r="Q133" s="160">
        <f>G132*N('Debt Payoff'!$D$19)/12</f>
        <v/>
      </c>
      <c r="R133" s="160">
        <f>H132*N('Debt Payoff'!$D$20)/12</f>
        <v/>
      </c>
      <c r="S133" s="160">
        <f>I132*N('Debt Payoff'!$D$21)/12</f>
        <v/>
      </c>
      <c r="T133" s="160">
        <f>J132*N('Debt Payoff'!$D$22)/12</f>
        <v/>
      </c>
      <c r="U133" s="160">
        <f>K132*N('Debt Payoff'!$D$23)/12</f>
        <v/>
      </c>
      <c r="V133" s="160">
        <f>L132*N('Debt Payoff'!$D$24)/12</f>
        <v/>
      </c>
      <c r="W133" s="160">
        <f>MIN(N('Debt Payoff'!$E$15),C132+M133)</f>
        <v/>
      </c>
      <c r="X133" s="160">
        <f>MIN(N('Debt Payoff'!$E$16),D132+N133)</f>
        <v/>
      </c>
      <c r="Y133" s="160">
        <f>MIN(N('Debt Payoff'!$E$17),E132+O133)</f>
        <v/>
      </c>
      <c r="Z133" s="160">
        <f>MIN(N('Debt Payoff'!$E$18),F132+P133)</f>
        <v/>
      </c>
      <c r="AA133" s="160">
        <f>MIN(N('Debt Payoff'!$E$19),G132+Q133)</f>
        <v/>
      </c>
      <c r="AB133" s="160">
        <f>MIN(N('Debt Payoff'!$E$20),H132+R133)</f>
        <v/>
      </c>
      <c r="AC133" s="160">
        <f>MIN(N('Debt Payoff'!$E$21),I132+S133)</f>
        <v/>
      </c>
      <c r="AD133" s="160">
        <f>MIN(N('Debt Payoff'!$E$22),J132+T133)</f>
        <v/>
      </c>
      <c r="AE133" s="160">
        <f>MIN(N('Debt Payoff'!$E$23),K132+U133)</f>
        <v/>
      </c>
      <c r="AF133" s="160">
        <f>MIN(N('Debt Payoff'!$E$24),L132+V133)</f>
        <v/>
      </c>
      <c r="AG133" s="160">
        <f>C132+M133-W133</f>
        <v/>
      </c>
      <c r="AH133" s="160">
        <f>D132+N133-X133</f>
        <v/>
      </c>
      <c r="AI133" s="160">
        <f>E132+O133-Y133</f>
        <v/>
      </c>
      <c r="AJ133" s="160">
        <f>F132+P133-Z133</f>
        <v/>
      </c>
      <c r="AK133" s="160">
        <f>G132+Q133-AA133</f>
        <v/>
      </c>
      <c r="AL133" s="160">
        <f>H132+R133-AB133</f>
        <v/>
      </c>
      <c r="AM133" s="160">
        <f>I132+S133-AC133</f>
        <v/>
      </c>
      <c r="AN133" s="160">
        <f>J132+T133-AD133</f>
        <v/>
      </c>
      <c r="AO133" s="160">
        <f>K132+U133-AE133</f>
        <v/>
      </c>
      <c r="AP133" s="160">
        <f>L132+V133-AF133</f>
        <v/>
      </c>
      <c r="AQ133" s="160">
        <f>W133+MAX(0,MIN(AG133,'Debt Payoff'!$C$12-SUM($W133:$AF133)-SUMIFS($AG133:$AP133,$AG$4:$AP$4,"&lt;"&amp;AG$4)))</f>
        <v/>
      </c>
      <c r="AR133" s="160">
        <f>X133+MAX(0,MIN(AH133,'Debt Payoff'!$C$12-SUM($W133:$AF133)-SUMIFS($AG133:$AP133,$AG$4:$AP$4,"&lt;"&amp;AH$4)))</f>
        <v/>
      </c>
      <c r="AS133" s="160">
        <f>Y133+MAX(0,MIN(AI133,'Debt Payoff'!$C$12-SUM($W133:$AF133)-SUMIFS($AG133:$AP133,$AG$4:$AP$4,"&lt;"&amp;AI$4)))</f>
        <v/>
      </c>
      <c r="AT133" s="160">
        <f>Z133+MAX(0,MIN(AJ133,'Debt Payoff'!$C$12-SUM($W133:$AF133)-SUMIFS($AG133:$AP133,$AG$4:$AP$4,"&lt;"&amp;AJ$4)))</f>
        <v/>
      </c>
      <c r="AU133" s="160">
        <f>AA133+MAX(0,MIN(AK133,'Debt Payoff'!$C$12-SUM($W133:$AF133)-SUMIFS($AG133:$AP133,$AG$4:$AP$4,"&lt;"&amp;AK$4)))</f>
        <v/>
      </c>
      <c r="AV133" s="160">
        <f>AB133+MAX(0,MIN(AL133,'Debt Payoff'!$C$12-SUM($W133:$AF133)-SUMIFS($AG133:$AP133,$AG$4:$AP$4,"&lt;"&amp;AL$4)))</f>
        <v/>
      </c>
      <c r="AW133" s="160">
        <f>AC133+MAX(0,MIN(AM133,'Debt Payoff'!$C$12-SUM($W133:$AF133)-SUMIFS($AG133:$AP133,$AG$4:$AP$4,"&lt;"&amp;AM$4)))</f>
        <v/>
      </c>
      <c r="AX133" s="160">
        <f>AD133+MAX(0,MIN(AN133,'Debt Payoff'!$C$12-SUM($W133:$AF133)-SUMIFS($AG133:$AP133,$AG$4:$AP$4,"&lt;"&amp;AN$4)))</f>
        <v/>
      </c>
      <c r="AY133" s="160">
        <f>AE133+MAX(0,MIN(AO133,'Debt Payoff'!$C$12-SUM($W133:$AF133)-SUMIFS($AG133:$AP133,$AG$4:$AP$4,"&lt;"&amp;AO$4)))</f>
        <v/>
      </c>
      <c r="AZ133" s="160">
        <f>AF133+MAX(0,MIN(AP133,'Debt Payoff'!$C$12-SUM($W133:$AF133)-SUMIFS($AG133:$AP133,$AG$4:$AP$4,"&lt;"&amp;AP$4)))</f>
        <v/>
      </c>
      <c r="BA133" s="160">
        <f>SUM(C133:L133)</f>
        <v/>
      </c>
      <c r="BB133" s="160">
        <f>SUM(AQ133:AZ133)</f>
        <v/>
      </c>
      <c r="BC133" s="160">
        <f>SUM(M133:V133)</f>
        <v/>
      </c>
    </row>
    <row r="134">
      <c r="A134" s="157" t="n">
        <v>129</v>
      </c>
      <c r="B134" s="159">
        <f>EDATE('Debt Payoff'!$C$6,128)</f>
        <v/>
      </c>
      <c r="C134" s="160">
        <f>MAX(0,ROUND(C133+M134-AQ134,2))</f>
        <v/>
      </c>
      <c r="D134" s="160">
        <f>MAX(0,ROUND(D133+N134-AR134,2))</f>
        <v/>
      </c>
      <c r="E134" s="160">
        <f>MAX(0,ROUND(E133+O134-AS134,2))</f>
        <v/>
      </c>
      <c r="F134" s="160">
        <f>MAX(0,ROUND(F133+P134-AT134,2))</f>
        <v/>
      </c>
      <c r="G134" s="160">
        <f>MAX(0,ROUND(G133+Q134-AU134,2))</f>
        <v/>
      </c>
      <c r="H134" s="160">
        <f>MAX(0,ROUND(H133+R134-AV134,2))</f>
        <v/>
      </c>
      <c r="I134" s="160">
        <f>MAX(0,ROUND(I133+S134-AW134,2))</f>
        <v/>
      </c>
      <c r="J134" s="160">
        <f>MAX(0,ROUND(J133+T134-AX134,2))</f>
        <v/>
      </c>
      <c r="K134" s="160">
        <f>MAX(0,ROUND(K133+U134-AY134,2))</f>
        <v/>
      </c>
      <c r="L134" s="160">
        <f>MAX(0,ROUND(L133+V134-AZ134,2))</f>
        <v/>
      </c>
      <c r="M134" s="160">
        <f>C133*N('Debt Payoff'!$D$15)/12</f>
        <v/>
      </c>
      <c r="N134" s="160">
        <f>D133*N('Debt Payoff'!$D$16)/12</f>
        <v/>
      </c>
      <c r="O134" s="160">
        <f>E133*N('Debt Payoff'!$D$17)/12</f>
        <v/>
      </c>
      <c r="P134" s="160">
        <f>F133*N('Debt Payoff'!$D$18)/12</f>
        <v/>
      </c>
      <c r="Q134" s="160">
        <f>G133*N('Debt Payoff'!$D$19)/12</f>
        <v/>
      </c>
      <c r="R134" s="160">
        <f>H133*N('Debt Payoff'!$D$20)/12</f>
        <v/>
      </c>
      <c r="S134" s="160">
        <f>I133*N('Debt Payoff'!$D$21)/12</f>
        <v/>
      </c>
      <c r="T134" s="160">
        <f>J133*N('Debt Payoff'!$D$22)/12</f>
        <v/>
      </c>
      <c r="U134" s="160">
        <f>K133*N('Debt Payoff'!$D$23)/12</f>
        <v/>
      </c>
      <c r="V134" s="160">
        <f>L133*N('Debt Payoff'!$D$24)/12</f>
        <v/>
      </c>
      <c r="W134" s="160">
        <f>MIN(N('Debt Payoff'!$E$15),C133+M134)</f>
        <v/>
      </c>
      <c r="X134" s="160">
        <f>MIN(N('Debt Payoff'!$E$16),D133+N134)</f>
        <v/>
      </c>
      <c r="Y134" s="160">
        <f>MIN(N('Debt Payoff'!$E$17),E133+O134)</f>
        <v/>
      </c>
      <c r="Z134" s="160">
        <f>MIN(N('Debt Payoff'!$E$18),F133+P134)</f>
        <v/>
      </c>
      <c r="AA134" s="160">
        <f>MIN(N('Debt Payoff'!$E$19),G133+Q134)</f>
        <v/>
      </c>
      <c r="AB134" s="160">
        <f>MIN(N('Debt Payoff'!$E$20),H133+R134)</f>
        <v/>
      </c>
      <c r="AC134" s="160">
        <f>MIN(N('Debt Payoff'!$E$21),I133+S134)</f>
        <v/>
      </c>
      <c r="AD134" s="160">
        <f>MIN(N('Debt Payoff'!$E$22),J133+T134)</f>
        <v/>
      </c>
      <c r="AE134" s="160">
        <f>MIN(N('Debt Payoff'!$E$23),K133+U134)</f>
        <v/>
      </c>
      <c r="AF134" s="160">
        <f>MIN(N('Debt Payoff'!$E$24),L133+V134)</f>
        <v/>
      </c>
      <c r="AG134" s="160">
        <f>C133+M134-W134</f>
        <v/>
      </c>
      <c r="AH134" s="160">
        <f>D133+N134-X134</f>
        <v/>
      </c>
      <c r="AI134" s="160">
        <f>E133+O134-Y134</f>
        <v/>
      </c>
      <c r="AJ134" s="160">
        <f>F133+P134-Z134</f>
        <v/>
      </c>
      <c r="AK134" s="160">
        <f>G133+Q134-AA134</f>
        <v/>
      </c>
      <c r="AL134" s="160">
        <f>H133+R134-AB134</f>
        <v/>
      </c>
      <c r="AM134" s="160">
        <f>I133+S134-AC134</f>
        <v/>
      </c>
      <c r="AN134" s="160">
        <f>J133+T134-AD134</f>
        <v/>
      </c>
      <c r="AO134" s="160">
        <f>K133+U134-AE134</f>
        <v/>
      </c>
      <c r="AP134" s="160">
        <f>L133+V134-AF134</f>
        <v/>
      </c>
      <c r="AQ134" s="160">
        <f>W134+MAX(0,MIN(AG134,'Debt Payoff'!$C$12-SUM($W134:$AF134)-SUMIFS($AG134:$AP134,$AG$4:$AP$4,"&lt;"&amp;AG$4)))</f>
        <v/>
      </c>
      <c r="AR134" s="160">
        <f>X134+MAX(0,MIN(AH134,'Debt Payoff'!$C$12-SUM($W134:$AF134)-SUMIFS($AG134:$AP134,$AG$4:$AP$4,"&lt;"&amp;AH$4)))</f>
        <v/>
      </c>
      <c r="AS134" s="160">
        <f>Y134+MAX(0,MIN(AI134,'Debt Payoff'!$C$12-SUM($W134:$AF134)-SUMIFS($AG134:$AP134,$AG$4:$AP$4,"&lt;"&amp;AI$4)))</f>
        <v/>
      </c>
      <c r="AT134" s="160">
        <f>Z134+MAX(0,MIN(AJ134,'Debt Payoff'!$C$12-SUM($W134:$AF134)-SUMIFS($AG134:$AP134,$AG$4:$AP$4,"&lt;"&amp;AJ$4)))</f>
        <v/>
      </c>
      <c r="AU134" s="160">
        <f>AA134+MAX(0,MIN(AK134,'Debt Payoff'!$C$12-SUM($W134:$AF134)-SUMIFS($AG134:$AP134,$AG$4:$AP$4,"&lt;"&amp;AK$4)))</f>
        <v/>
      </c>
      <c r="AV134" s="160">
        <f>AB134+MAX(0,MIN(AL134,'Debt Payoff'!$C$12-SUM($W134:$AF134)-SUMIFS($AG134:$AP134,$AG$4:$AP$4,"&lt;"&amp;AL$4)))</f>
        <v/>
      </c>
      <c r="AW134" s="160">
        <f>AC134+MAX(0,MIN(AM134,'Debt Payoff'!$C$12-SUM($W134:$AF134)-SUMIFS($AG134:$AP134,$AG$4:$AP$4,"&lt;"&amp;AM$4)))</f>
        <v/>
      </c>
      <c r="AX134" s="160">
        <f>AD134+MAX(0,MIN(AN134,'Debt Payoff'!$C$12-SUM($W134:$AF134)-SUMIFS($AG134:$AP134,$AG$4:$AP$4,"&lt;"&amp;AN$4)))</f>
        <v/>
      </c>
      <c r="AY134" s="160">
        <f>AE134+MAX(0,MIN(AO134,'Debt Payoff'!$C$12-SUM($W134:$AF134)-SUMIFS($AG134:$AP134,$AG$4:$AP$4,"&lt;"&amp;AO$4)))</f>
        <v/>
      </c>
      <c r="AZ134" s="160">
        <f>AF134+MAX(0,MIN(AP134,'Debt Payoff'!$C$12-SUM($W134:$AF134)-SUMIFS($AG134:$AP134,$AG$4:$AP$4,"&lt;"&amp;AP$4)))</f>
        <v/>
      </c>
      <c r="BA134" s="160">
        <f>SUM(C134:L134)</f>
        <v/>
      </c>
      <c r="BB134" s="160">
        <f>SUM(AQ134:AZ134)</f>
        <v/>
      </c>
      <c r="BC134" s="160">
        <f>SUM(M134:V134)</f>
        <v/>
      </c>
    </row>
    <row r="135">
      <c r="A135" s="157" t="n">
        <v>130</v>
      </c>
      <c r="B135" s="159">
        <f>EDATE('Debt Payoff'!$C$6,129)</f>
        <v/>
      </c>
      <c r="C135" s="160">
        <f>MAX(0,ROUND(C134+M135-AQ135,2))</f>
        <v/>
      </c>
      <c r="D135" s="160">
        <f>MAX(0,ROUND(D134+N135-AR135,2))</f>
        <v/>
      </c>
      <c r="E135" s="160">
        <f>MAX(0,ROUND(E134+O135-AS135,2))</f>
        <v/>
      </c>
      <c r="F135" s="160">
        <f>MAX(0,ROUND(F134+P135-AT135,2))</f>
        <v/>
      </c>
      <c r="G135" s="160">
        <f>MAX(0,ROUND(G134+Q135-AU135,2))</f>
        <v/>
      </c>
      <c r="H135" s="160">
        <f>MAX(0,ROUND(H134+R135-AV135,2))</f>
        <v/>
      </c>
      <c r="I135" s="160">
        <f>MAX(0,ROUND(I134+S135-AW135,2))</f>
        <v/>
      </c>
      <c r="J135" s="160">
        <f>MAX(0,ROUND(J134+T135-AX135,2))</f>
        <v/>
      </c>
      <c r="K135" s="160">
        <f>MAX(0,ROUND(K134+U135-AY135,2))</f>
        <v/>
      </c>
      <c r="L135" s="160">
        <f>MAX(0,ROUND(L134+V135-AZ135,2))</f>
        <v/>
      </c>
      <c r="M135" s="160">
        <f>C134*N('Debt Payoff'!$D$15)/12</f>
        <v/>
      </c>
      <c r="N135" s="160">
        <f>D134*N('Debt Payoff'!$D$16)/12</f>
        <v/>
      </c>
      <c r="O135" s="160">
        <f>E134*N('Debt Payoff'!$D$17)/12</f>
        <v/>
      </c>
      <c r="P135" s="160">
        <f>F134*N('Debt Payoff'!$D$18)/12</f>
        <v/>
      </c>
      <c r="Q135" s="160">
        <f>G134*N('Debt Payoff'!$D$19)/12</f>
        <v/>
      </c>
      <c r="R135" s="160">
        <f>H134*N('Debt Payoff'!$D$20)/12</f>
        <v/>
      </c>
      <c r="S135" s="160">
        <f>I134*N('Debt Payoff'!$D$21)/12</f>
        <v/>
      </c>
      <c r="T135" s="160">
        <f>J134*N('Debt Payoff'!$D$22)/12</f>
        <v/>
      </c>
      <c r="U135" s="160">
        <f>K134*N('Debt Payoff'!$D$23)/12</f>
        <v/>
      </c>
      <c r="V135" s="160">
        <f>L134*N('Debt Payoff'!$D$24)/12</f>
        <v/>
      </c>
      <c r="W135" s="160">
        <f>MIN(N('Debt Payoff'!$E$15),C134+M135)</f>
        <v/>
      </c>
      <c r="X135" s="160">
        <f>MIN(N('Debt Payoff'!$E$16),D134+N135)</f>
        <v/>
      </c>
      <c r="Y135" s="160">
        <f>MIN(N('Debt Payoff'!$E$17),E134+O135)</f>
        <v/>
      </c>
      <c r="Z135" s="160">
        <f>MIN(N('Debt Payoff'!$E$18),F134+P135)</f>
        <v/>
      </c>
      <c r="AA135" s="160">
        <f>MIN(N('Debt Payoff'!$E$19),G134+Q135)</f>
        <v/>
      </c>
      <c r="AB135" s="160">
        <f>MIN(N('Debt Payoff'!$E$20),H134+R135)</f>
        <v/>
      </c>
      <c r="AC135" s="160">
        <f>MIN(N('Debt Payoff'!$E$21),I134+S135)</f>
        <v/>
      </c>
      <c r="AD135" s="160">
        <f>MIN(N('Debt Payoff'!$E$22),J134+T135)</f>
        <v/>
      </c>
      <c r="AE135" s="160">
        <f>MIN(N('Debt Payoff'!$E$23),K134+U135)</f>
        <v/>
      </c>
      <c r="AF135" s="160">
        <f>MIN(N('Debt Payoff'!$E$24),L134+V135)</f>
        <v/>
      </c>
      <c r="AG135" s="160">
        <f>C134+M135-W135</f>
        <v/>
      </c>
      <c r="AH135" s="160">
        <f>D134+N135-X135</f>
        <v/>
      </c>
      <c r="AI135" s="160">
        <f>E134+O135-Y135</f>
        <v/>
      </c>
      <c r="AJ135" s="160">
        <f>F134+P135-Z135</f>
        <v/>
      </c>
      <c r="AK135" s="160">
        <f>G134+Q135-AA135</f>
        <v/>
      </c>
      <c r="AL135" s="160">
        <f>H134+R135-AB135</f>
        <v/>
      </c>
      <c r="AM135" s="160">
        <f>I134+S135-AC135</f>
        <v/>
      </c>
      <c r="AN135" s="160">
        <f>J134+T135-AD135</f>
        <v/>
      </c>
      <c r="AO135" s="160">
        <f>K134+U135-AE135</f>
        <v/>
      </c>
      <c r="AP135" s="160">
        <f>L134+V135-AF135</f>
        <v/>
      </c>
      <c r="AQ135" s="160">
        <f>W135+MAX(0,MIN(AG135,'Debt Payoff'!$C$12-SUM($W135:$AF135)-SUMIFS($AG135:$AP135,$AG$4:$AP$4,"&lt;"&amp;AG$4)))</f>
        <v/>
      </c>
      <c r="AR135" s="160">
        <f>X135+MAX(0,MIN(AH135,'Debt Payoff'!$C$12-SUM($W135:$AF135)-SUMIFS($AG135:$AP135,$AG$4:$AP$4,"&lt;"&amp;AH$4)))</f>
        <v/>
      </c>
      <c r="AS135" s="160">
        <f>Y135+MAX(0,MIN(AI135,'Debt Payoff'!$C$12-SUM($W135:$AF135)-SUMIFS($AG135:$AP135,$AG$4:$AP$4,"&lt;"&amp;AI$4)))</f>
        <v/>
      </c>
      <c r="AT135" s="160">
        <f>Z135+MAX(0,MIN(AJ135,'Debt Payoff'!$C$12-SUM($W135:$AF135)-SUMIFS($AG135:$AP135,$AG$4:$AP$4,"&lt;"&amp;AJ$4)))</f>
        <v/>
      </c>
      <c r="AU135" s="160">
        <f>AA135+MAX(0,MIN(AK135,'Debt Payoff'!$C$12-SUM($W135:$AF135)-SUMIFS($AG135:$AP135,$AG$4:$AP$4,"&lt;"&amp;AK$4)))</f>
        <v/>
      </c>
      <c r="AV135" s="160">
        <f>AB135+MAX(0,MIN(AL135,'Debt Payoff'!$C$12-SUM($W135:$AF135)-SUMIFS($AG135:$AP135,$AG$4:$AP$4,"&lt;"&amp;AL$4)))</f>
        <v/>
      </c>
      <c r="AW135" s="160">
        <f>AC135+MAX(0,MIN(AM135,'Debt Payoff'!$C$12-SUM($W135:$AF135)-SUMIFS($AG135:$AP135,$AG$4:$AP$4,"&lt;"&amp;AM$4)))</f>
        <v/>
      </c>
      <c r="AX135" s="160">
        <f>AD135+MAX(0,MIN(AN135,'Debt Payoff'!$C$12-SUM($W135:$AF135)-SUMIFS($AG135:$AP135,$AG$4:$AP$4,"&lt;"&amp;AN$4)))</f>
        <v/>
      </c>
      <c r="AY135" s="160">
        <f>AE135+MAX(0,MIN(AO135,'Debt Payoff'!$C$12-SUM($W135:$AF135)-SUMIFS($AG135:$AP135,$AG$4:$AP$4,"&lt;"&amp;AO$4)))</f>
        <v/>
      </c>
      <c r="AZ135" s="160">
        <f>AF135+MAX(0,MIN(AP135,'Debt Payoff'!$C$12-SUM($W135:$AF135)-SUMIFS($AG135:$AP135,$AG$4:$AP$4,"&lt;"&amp;AP$4)))</f>
        <v/>
      </c>
      <c r="BA135" s="160">
        <f>SUM(C135:L135)</f>
        <v/>
      </c>
      <c r="BB135" s="160">
        <f>SUM(AQ135:AZ135)</f>
        <v/>
      </c>
      <c r="BC135" s="160">
        <f>SUM(M135:V135)</f>
        <v/>
      </c>
    </row>
    <row r="136">
      <c r="A136" s="157" t="n">
        <v>131</v>
      </c>
      <c r="B136" s="159">
        <f>EDATE('Debt Payoff'!$C$6,130)</f>
        <v/>
      </c>
      <c r="C136" s="160">
        <f>MAX(0,ROUND(C135+M136-AQ136,2))</f>
        <v/>
      </c>
      <c r="D136" s="160">
        <f>MAX(0,ROUND(D135+N136-AR136,2))</f>
        <v/>
      </c>
      <c r="E136" s="160">
        <f>MAX(0,ROUND(E135+O136-AS136,2))</f>
        <v/>
      </c>
      <c r="F136" s="160">
        <f>MAX(0,ROUND(F135+P136-AT136,2))</f>
        <v/>
      </c>
      <c r="G136" s="160">
        <f>MAX(0,ROUND(G135+Q136-AU136,2))</f>
        <v/>
      </c>
      <c r="H136" s="160">
        <f>MAX(0,ROUND(H135+R136-AV136,2))</f>
        <v/>
      </c>
      <c r="I136" s="160">
        <f>MAX(0,ROUND(I135+S136-AW136,2))</f>
        <v/>
      </c>
      <c r="J136" s="160">
        <f>MAX(0,ROUND(J135+T136-AX136,2))</f>
        <v/>
      </c>
      <c r="K136" s="160">
        <f>MAX(0,ROUND(K135+U136-AY136,2))</f>
        <v/>
      </c>
      <c r="L136" s="160">
        <f>MAX(0,ROUND(L135+V136-AZ136,2))</f>
        <v/>
      </c>
      <c r="M136" s="160">
        <f>C135*N('Debt Payoff'!$D$15)/12</f>
        <v/>
      </c>
      <c r="N136" s="160">
        <f>D135*N('Debt Payoff'!$D$16)/12</f>
        <v/>
      </c>
      <c r="O136" s="160">
        <f>E135*N('Debt Payoff'!$D$17)/12</f>
        <v/>
      </c>
      <c r="P136" s="160">
        <f>F135*N('Debt Payoff'!$D$18)/12</f>
        <v/>
      </c>
      <c r="Q136" s="160">
        <f>G135*N('Debt Payoff'!$D$19)/12</f>
        <v/>
      </c>
      <c r="R136" s="160">
        <f>H135*N('Debt Payoff'!$D$20)/12</f>
        <v/>
      </c>
      <c r="S136" s="160">
        <f>I135*N('Debt Payoff'!$D$21)/12</f>
        <v/>
      </c>
      <c r="T136" s="160">
        <f>J135*N('Debt Payoff'!$D$22)/12</f>
        <v/>
      </c>
      <c r="U136" s="160">
        <f>K135*N('Debt Payoff'!$D$23)/12</f>
        <v/>
      </c>
      <c r="V136" s="160">
        <f>L135*N('Debt Payoff'!$D$24)/12</f>
        <v/>
      </c>
      <c r="W136" s="160">
        <f>MIN(N('Debt Payoff'!$E$15),C135+M136)</f>
        <v/>
      </c>
      <c r="X136" s="160">
        <f>MIN(N('Debt Payoff'!$E$16),D135+N136)</f>
        <v/>
      </c>
      <c r="Y136" s="160">
        <f>MIN(N('Debt Payoff'!$E$17),E135+O136)</f>
        <v/>
      </c>
      <c r="Z136" s="160">
        <f>MIN(N('Debt Payoff'!$E$18),F135+P136)</f>
        <v/>
      </c>
      <c r="AA136" s="160">
        <f>MIN(N('Debt Payoff'!$E$19),G135+Q136)</f>
        <v/>
      </c>
      <c r="AB136" s="160">
        <f>MIN(N('Debt Payoff'!$E$20),H135+R136)</f>
        <v/>
      </c>
      <c r="AC136" s="160">
        <f>MIN(N('Debt Payoff'!$E$21),I135+S136)</f>
        <v/>
      </c>
      <c r="AD136" s="160">
        <f>MIN(N('Debt Payoff'!$E$22),J135+T136)</f>
        <v/>
      </c>
      <c r="AE136" s="160">
        <f>MIN(N('Debt Payoff'!$E$23),K135+U136)</f>
        <v/>
      </c>
      <c r="AF136" s="160">
        <f>MIN(N('Debt Payoff'!$E$24),L135+V136)</f>
        <v/>
      </c>
      <c r="AG136" s="160">
        <f>C135+M136-W136</f>
        <v/>
      </c>
      <c r="AH136" s="160">
        <f>D135+N136-X136</f>
        <v/>
      </c>
      <c r="AI136" s="160">
        <f>E135+O136-Y136</f>
        <v/>
      </c>
      <c r="AJ136" s="160">
        <f>F135+P136-Z136</f>
        <v/>
      </c>
      <c r="AK136" s="160">
        <f>G135+Q136-AA136</f>
        <v/>
      </c>
      <c r="AL136" s="160">
        <f>H135+R136-AB136</f>
        <v/>
      </c>
      <c r="AM136" s="160">
        <f>I135+S136-AC136</f>
        <v/>
      </c>
      <c r="AN136" s="160">
        <f>J135+T136-AD136</f>
        <v/>
      </c>
      <c r="AO136" s="160">
        <f>K135+U136-AE136</f>
        <v/>
      </c>
      <c r="AP136" s="160">
        <f>L135+V136-AF136</f>
        <v/>
      </c>
      <c r="AQ136" s="160">
        <f>W136+MAX(0,MIN(AG136,'Debt Payoff'!$C$12-SUM($W136:$AF136)-SUMIFS($AG136:$AP136,$AG$4:$AP$4,"&lt;"&amp;AG$4)))</f>
        <v/>
      </c>
      <c r="AR136" s="160">
        <f>X136+MAX(0,MIN(AH136,'Debt Payoff'!$C$12-SUM($W136:$AF136)-SUMIFS($AG136:$AP136,$AG$4:$AP$4,"&lt;"&amp;AH$4)))</f>
        <v/>
      </c>
      <c r="AS136" s="160">
        <f>Y136+MAX(0,MIN(AI136,'Debt Payoff'!$C$12-SUM($W136:$AF136)-SUMIFS($AG136:$AP136,$AG$4:$AP$4,"&lt;"&amp;AI$4)))</f>
        <v/>
      </c>
      <c r="AT136" s="160">
        <f>Z136+MAX(0,MIN(AJ136,'Debt Payoff'!$C$12-SUM($W136:$AF136)-SUMIFS($AG136:$AP136,$AG$4:$AP$4,"&lt;"&amp;AJ$4)))</f>
        <v/>
      </c>
      <c r="AU136" s="160">
        <f>AA136+MAX(0,MIN(AK136,'Debt Payoff'!$C$12-SUM($W136:$AF136)-SUMIFS($AG136:$AP136,$AG$4:$AP$4,"&lt;"&amp;AK$4)))</f>
        <v/>
      </c>
      <c r="AV136" s="160">
        <f>AB136+MAX(0,MIN(AL136,'Debt Payoff'!$C$12-SUM($W136:$AF136)-SUMIFS($AG136:$AP136,$AG$4:$AP$4,"&lt;"&amp;AL$4)))</f>
        <v/>
      </c>
      <c r="AW136" s="160">
        <f>AC136+MAX(0,MIN(AM136,'Debt Payoff'!$C$12-SUM($W136:$AF136)-SUMIFS($AG136:$AP136,$AG$4:$AP$4,"&lt;"&amp;AM$4)))</f>
        <v/>
      </c>
      <c r="AX136" s="160">
        <f>AD136+MAX(0,MIN(AN136,'Debt Payoff'!$C$12-SUM($W136:$AF136)-SUMIFS($AG136:$AP136,$AG$4:$AP$4,"&lt;"&amp;AN$4)))</f>
        <v/>
      </c>
      <c r="AY136" s="160">
        <f>AE136+MAX(0,MIN(AO136,'Debt Payoff'!$C$12-SUM($W136:$AF136)-SUMIFS($AG136:$AP136,$AG$4:$AP$4,"&lt;"&amp;AO$4)))</f>
        <v/>
      </c>
      <c r="AZ136" s="160">
        <f>AF136+MAX(0,MIN(AP136,'Debt Payoff'!$C$12-SUM($W136:$AF136)-SUMIFS($AG136:$AP136,$AG$4:$AP$4,"&lt;"&amp;AP$4)))</f>
        <v/>
      </c>
      <c r="BA136" s="160">
        <f>SUM(C136:L136)</f>
        <v/>
      </c>
      <c r="BB136" s="160">
        <f>SUM(AQ136:AZ136)</f>
        <v/>
      </c>
      <c r="BC136" s="160">
        <f>SUM(M136:V136)</f>
        <v/>
      </c>
    </row>
    <row r="137">
      <c r="A137" s="157" t="n">
        <v>132</v>
      </c>
      <c r="B137" s="159">
        <f>EDATE('Debt Payoff'!$C$6,131)</f>
        <v/>
      </c>
      <c r="C137" s="160">
        <f>MAX(0,ROUND(C136+M137-AQ137,2))</f>
        <v/>
      </c>
      <c r="D137" s="160">
        <f>MAX(0,ROUND(D136+N137-AR137,2))</f>
        <v/>
      </c>
      <c r="E137" s="160">
        <f>MAX(0,ROUND(E136+O137-AS137,2))</f>
        <v/>
      </c>
      <c r="F137" s="160">
        <f>MAX(0,ROUND(F136+P137-AT137,2))</f>
        <v/>
      </c>
      <c r="G137" s="160">
        <f>MAX(0,ROUND(G136+Q137-AU137,2))</f>
        <v/>
      </c>
      <c r="H137" s="160">
        <f>MAX(0,ROUND(H136+R137-AV137,2))</f>
        <v/>
      </c>
      <c r="I137" s="160">
        <f>MAX(0,ROUND(I136+S137-AW137,2))</f>
        <v/>
      </c>
      <c r="J137" s="160">
        <f>MAX(0,ROUND(J136+T137-AX137,2))</f>
        <v/>
      </c>
      <c r="K137" s="160">
        <f>MAX(0,ROUND(K136+U137-AY137,2))</f>
        <v/>
      </c>
      <c r="L137" s="160">
        <f>MAX(0,ROUND(L136+V137-AZ137,2))</f>
        <v/>
      </c>
      <c r="M137" s="160">
        <f>C136*N('Debt Payoff'!$D$15)/12</f>
        <v/>
      </c>
      <c r="N137" s="160">
        <f>D136*N('Debt Payoff'!$D$16)/12</f>
        <v/>
      </c>
      <c r="O137" s="160">
        <f>E136*N('Debt Payoff'!$D$17)/12</f>
        <v/>
      </c>
      <c r="P137" s="160">
        <f>F136*N('Debt Payoff'!$D$18)/12</f>
        <v/>
      </c>
      <c r="Q137" s="160">
        <f>G136*N('Debt Payoff'!$D$19)/12</f>
        <v/>
      </c>
      <c r="R137" s="160">
        <f>H136*N('Debt Payoff'!$D$20)/12</f>
        <v/>
      </c>
      <c r="S137" s="160">
        <f>I136*N('Debt Payoff'!$D$21)/12</f>
        <v/>
      </c>
      <c r="T137" s="160">
        <f>J136*N('Debt Payoff'!$D$22)/12</f>
        <v/>
      </c>
      <c r="U137" s="160">
        <f>K136*N('Debt Payoff'!$D$23)/12</f>
        <v/>
      </c>
      <c r="V137" s="160">
        <f>L136*N('Debt Payoff'!$D$24)/12</f>
        <v/>
      </c>
      <c r="W137" s="160">
        <f>MIN(N('Debt Payoff'!$E$15),C136+M137)</f>
        <v/>
      </c>
      <c r="X137" s="160">
        <f>MIN(N('Debt Payoff'!$E$16),D136+N137)</f>
        <v/>
      </c>
      <c r="Y137" s="160">
        <f>MIN(N('Debt Payoff'!$E$17),E136+O137)</f>
        <v/>
      </c>
      <c r="Z137" s="160">
        <f>MIN(N('Debt Payoff'!$E$18),F136+P137)</f>
        <v/>
      </c>
      <c r="AA137" s="160">
        <f>MIN(N('Debt Payoff'!$E$19),G136+Q137)</f>
        <v/>
      </c>
      <c r="AB137" s="160">
        <f>MIN(N('Debt Payoff'!$E$20),H136+R137)</f>
        <v/>
      </c>
      <c r="AC137" s="160">
        <f>MIN(N('Debt Payoff'!$E$21),I136+S137)</f>
        <v/>
      </c>
      <c r="AD137" s="160">
        <f>MIN(N('Debt Payoff'!$E$22),J136+T137)</f>
        <v/>
      </c>
      <c r="AE137" s="160">
        <f>MIN(N('Debt Payoff'!$E$23),K136+U137)</f>
        <v/>
      </c>
      <c r="AF137" s="160">
        <f>MIN(N('Debt Payoff'!$E$24),L136+V137)</f>
        <v/>
      </c>
      <c r="AG137" s="160">
        <f>C136+M137-W137</f>
        <v/>
      </c>
      <c r="AH137" s="160">
        <f>D136+N137-X137</f>
        <v/>
      </c>
      <c r="AI137" s="160">
        <f>E136+O137-Y137</f>
        <v/>
      </c>
      <c r="AJ137" s="160">
        <f>F136+P137-Z137</f>
        <v/>
      </c>
      <c r="AK137" s="160">
        <f>G136+Q137-AA137</f>
        <v/>
      </c>
      <c r="AL137" s="160">
        <f>H136+R137-AB137</f>
        <v/>
      </c>
      <c r="AM137" s="160">
        <f>I136+S137-AC137</f>
        <v/>
      </c>
      <c r="AN137" s="160">
        <f>J136+T137-AD137</f>
        <v/>
      </c>
      <c r="AO137" s="160">
        <f>K136+U137-AE137</f>
        <v/>
      </c>
      <c r="AP137" s="160">
        <f>L136+V137-AF137</f>
        <v/>
      </c>
      <c r="AQ137" s="160">
        <f>W137+MAX(0,MIN(AG137,'Debt Payoff'!$C$12-SUM($W137:$AF137)-SUMIFS($AG137:$AP137,$AG$4:$AP$4,"&lt;"&amp;AG$4)))</f>
        <v/>
      </c>
      <c r="AR137" s="160">
        <f>X137+MAX(0,MIN(AH137,'Debt Payoff'!$C$12-SUM($W137:$AF137)-SUMIFS($AG137:$AP137,$AG$4:$AP$4,"&lt;"&amp;AH$4)))</f>
        <v/>
      </c>
      <c r="AS137" s="160">
        <f>Y137+MAX(0,MIN(AI137,'Debt Payoff'!$C$12-SUM($W137:$AF137)-SUMIFS($AG137:$AP137,$AG$4:$AP$4,"&lt;"&amp;AI$4)))</f>
        <v/>
      </c>
      <c r="AT137" s="160">
        <f>Z137+MAX(0,MIN(AJ137,'Debt Payoff'!$C$12-SUM($W137:$AF137)-SUMIFS($AG137:$AP137,$AG$4:$AP$4,"&lt;"&amp;AJ$4)))</f>
        <v/>
      </c>
      <c r="AU137" s="160">
        <f>AA137+MAX(0,MIN(AK137,'Debt Payoff'!$C$12-SUM($W137:$AF137)-SUMIFS($AG137:$AP137,$AG$4:$AP$4,"&lt;"&amp;AK$4)))</f>
        <v/>
      </c>
      <c r="AV137" s="160">
        <f>AB137+MAX(0,MIN(AL137,'Debt Payoff'!$C$12-SUM($W137:$AF137)-SUMIFS($AG137:$AP137,$AG$4:$AP$4,"&lt;"&amp;AL$4)))</f>
        <v/>
      </c>
      <c r="AW137" s="160">
        <f>AC137+MAX(0,MIN(AM137,'Debt Payoff'!$C$12-SUM($W137:$AF137)-SUMIFS($AG137:$AP137,$AG$4:$AP$4,"&lt;"&amp;AM$4)))</f>
        <v/>
      </c>
      <c r="AX137" s="160">
        <f>AD137+MAX(0,MIN(AN137,'Debt Payoff'!$C$12-SUM($W137:$AF137)-SUMIFS($AG137:$AP137,$AG$4:$AP$4,"&lt;"&amp;AN$4)))</f>
        <v/>
      </c>
      <c r="AY137" s="160">
        <f>AE137+MAX(0,MIN(AO137,'Debt Payoff'!$C$12-SUM($W137:$AF137)-SUMIFS($AG137:$AP137,$AG$4:$AP$4,"&lt;"&amp;AO$4)))</f>
        <v/>
      </c>
      <c r="AZ137" s="160">
        <f>AF137+MAX(0,MIN(AP137,'Debt Payoff'!$C$12-SUM($W137:$AF137)-SUMIFS($AG137:$AP137,$AG$4:$AP$4,"&lt;"&amp;AP$4)))</f>
        <v/>
      </c>
      <c r="BA137" s="160">
        <f>SUM(C137:L137)</f>
        <v/>
      </c>
      <c r="BB137" s="160">
        <f>SUM(AQ137:AZ137)</f>
        <v/>
      </c>
      <c r="BC137" s="160">
        <f>SUM(M137:V137)</f>
        <v/>
      </c>
    </row>
    <row r="138">
      <c r="A138" s="157" t="n">
        <v>133</v>
      </c>
      <c r="B138" s="159">
        <f>EDATE('Debt Payoff'!$C$6,132)</f>
        <v/>
      </c>
      <c r="C138" s="160">
        <f>MAX(0,ROUND(C137+M138-AQ138,2))</f>
        <v/>
      </c>
      <c r="D138" s="160">
        <f>MAX(0,ROUND(D137+N138-AR138,2))</f>
        <v/>
      </c>
      <c r="E138" s="160">
        <f>MAX(0,ROUND(E137+O138-AS138,2))</f>
        <v/>
      </c>
      <c r="F138" s="160">
        <f>MAX(0,ROUND(F137+P138-AT138,2))</f>
        <v/>
      </c>
      <c r="G138" s="160">
        <f>MAX(0,ROUND(G137+Q138-AU138,2))</f>
        <v/>
      </c>
      <c r="H138" s="160">
        <f>MAX(0,ROUND(H137+R138-AV138,2))</f>
        <v/>
      </c>
      <c r="I138" s="160">
        <f>MAX(0,ROUND(I137+S138-AW138,2))</f>
        <v/>
      </c>
      <c r="J138" s="160">
        <f>MAX(0,ROUND(J137+T138-AX138,2))</f>
        <v/>
      </c>
      <c r="K138" s="160">
        <f>MAX(0,ROUND(K137+U138-AY138,2))</f>
        <v/>
      </c>
      <c r="L138" s="160">
        <f>MAX(0,ROUND(L137+V138-AZ138,2))</f>
        <v/>
      </c>
      <c r="M138" s="160">
        <f>C137*N('Debt Payoff'!$D$15)/12</f>
        <v/>
      </c>
      <c r="N138" s="160">
        <f>D137*N('Debt Payoff'!$D$16)/12</f>
        <v/>
      </c>
      <c r="O138" s="160">
        <f>E137*N('Debt Payoff'!$D$17)/12</f>
        <v/>
      </c>
      <c r="P138" s="160">
        <f>F137*N('Debt Payoff'!$D$18)/12</f>
        <v/>
      </c>
      <c r="Q138" s="160">
        <f>G137*N('Debt Payoff'!$D$19)/12</f>
        <v/>
      </c>
      <c r="R138" s="160">
        <f>H137*N('Debt Payoff'!$D$20)/12</f>
        <v/>
      </c>
      <c r="S138" s="160">
        <f>I137*N('Debt Payoff'!$D$21)/12</f>
        <v/>
      </c>
      <c r="T138" s="160">
        <f>J137*N('Debt Payoff'!$D$22)/12</f>
        <v/>
      </c>
      <c r="U138" s="160">
        <f>K137*N('Debt Payoff'!$D$23)/12</f>
        <v/>
      </c>
      <c r="V138" s="160">
        <f>L137*N('Debt Payoff'!$D$24)/12</f>
        <v/>
      </c>
      <c r="W138" s="160">
        <f>MIN(N('Debt Payoff'!$E$15),C137+M138)</f>
        <v/>
      </c>
      <c r="X138" s="160">
        <f>MIN(N('Debt Payoff'!$E$16),D137+N138)</f>
        <v/>
      </c>
      <c r="Y138" s="160">
        <f>MIN(N('Debt Payoff'!$E$17),E137+O138)</f>
        <v/>
      </c>
      <c r="Z138" s="160">
        <f>MIN(N('Debt Payoff'!$E$18),F137+P138)</f>
        <v/>
      </c>
      <c r="AA138" s="160">
        <f>MIN(N('Debt Payoff'!$E$19),G137+Q138)</f>
        <v/>
      </c>
      <c r="AB138" s="160">
        <f>MIN(N('Debt Payoff'!$E$20),H137+R138)</f>
        <v/>
      </c>
      <c r="AC138" s="160">
        <f>MIN(N('Debt Payoff'!$E$21),I137+S138)</f>
        <v/>
      </c>
      <c r="AD138" s="160">
        <f>MIN(N('Debt Payoff'!$E$22),J137+T138)</f>
        <v/>
      </c>
      <c r="AE138" s="160">
        <f>MIN(N('Debt Payoff'!$E$23),K137+U138)</f>
        <v/>
      </c>
      <c r="AF138" s="160">
        <f>MIN(N('Debt Payoff'!$E$24),L137+V138)</f>
        <v/>
      </c>
      <c r="AG138" s="160">
        <f>C137+M138-W138</f>
        <v/>
      </c>
      <c r="AH138" s="160">
        <f>D137+N138-X138</f>
        <v/>
      </c>
      <c r="AI138" s="160">
        <f>E137+O138-Y138</f>
        <v/>
      </c>
      <c r="AJ138" s="160">
        <f>F137+P138-Z138</f>
        <v/>
      </c>
      <c r="AK138" s="160">
        <f>G137+Q138-AA138</f>
        <v/>
      </c>
      <c r="AL138" s="160">
        <f>H137+R138-AB138</f>
        <v/>
      </c>
      <c r="AM138" s="160">
        <f>I137+S138-AC138</f>
        <v/>
      </c>
      <c r="AN138" s="160">
        <f>J137+T138-AD138</f>
        <v/>
      </c>
      <c r="AO138" s="160">
        <f>K137+U138-AE138</f>
        <v/>
      </c>
      <c r="AP138" s="160">
        <f>L137+V138-AF138</f>
        <v/>
      </c>
      <c r="AQ138" s="160">
        <f>W138+MAX(0,MIN(AG138,'Debt Payoff'!$C$12-SUM($W138:$AF138)-SUMIFS($AG138:$AP138,$AG$4:$AP$4,"&lt;"&amp;AG$4)))</f>
        <v/>
      </c>
      <c r="AR138" s="160">
        <f>X138+MAX(0,MIN(AH138,'Debt Payoff'!$C$12-SUM($W138:$AF138)-SUMIFS($AG138:$AP138,$AG$4:$AP$4,"&lt;"&amp;AH$4)))</f>
        <v/>
      </c>
      <c r="AS138" s="160">
        <f>Y138+MAX(0,MIN(AI138,'Debt Payoff'!$C$12-SUM($W138:$AF138)-SUMIFS($AG138:$AP138,$AG$4:$AP$4,"&lt;"&amp;AI$4)))</f>
        <v/>
      </c>
      <c r="AT138" s="160">
        <f>Z138+MAX(0,MIN(AJ138,'Debt Payoff'!$C$12-SUM($W138:$AF138)-SUMIFS($AG138:$AP138,$AG$4:$AP$4,"&lt;"&amp;AJ$4)))</f>
        <v/>
      </c>
      <c r="AU138" s="160">
        <f>AA138+MAX(0,MIN(AK138,'Debt Payoff'!$C$12-SUM($W138:$AF138)-SUMIFS($AG138:$AP138,$AG$4:$AP$4,"&lt;"&amp;AK$4)))</f>
        <v/>
      </c>
      <c r="AV138" s="160">
        <f>AB138+MAX(0,MIN(AL138,'Debt Payoff'!$C$12-SUM($W138:$AF138)-SUMIFS($AG138:$AP138,$AG$4:$AP$4,"&lt;"&amp;AL$4)))</f>
        <v/>
      </c>
      <c r="AW138" s="160">
        <f>AC138+MAX(0,MIN(AM138,'Debt Payoff'!$C$12-SUM($W138:$AF138)-SUMIFS($AG138:$AP138,$AG$4:$AP$4,"&lt;"&amp;AM$4)))</f>
        <v/>
      </c>
      <c r="AX138" s="160">
        <f>AD138+MAX(0,MIN(AN138,'Debt Payoff'!$C$12-SUM($W138:$AF138)-SUMIFS($AG138:$AP138,$AG$4:$AP$4,"&lt;"&amp;AN$4)))</f>
        <v/>
      </c>
      <c r="AY138" s="160">
        <f>AE138+MAX(0,MIN(AO138,'Debt Payoff'!$C$12-SUM($W138:$AF138)-SUMIFS($AG138:$AP138,$AG$4:$AP$4,"&lt;"&amp;AO$4)))</f>
        <v/>
      </c>
      <c r="AZ138" s="160">
        <f>AF138+MAX(0,MIN(AP138,'Debt Payoff'!$C$12-SUM($W138:$AF138)-SUMIFS($AG138:$AP138,$AG$4:$AP$4,"&lt;"&amp;AP$4)))</f>
        <v/>
      </c>
      <c r="BA138" s="160">
        <f>SUM(C138:L138)</f>
        <v/>
      </c>
      <c r="BB138" s="160">
        <f>SUM(AQ138:AZ138)</f>
        <v/>
      </c>
      <c r="BC138" s="160">
        <f>SUM(M138:V138)</f>
        <v/>
      </c>
    </row>
    <row r="139">
      <c r="A139" s="157" t="n">
        <v>134</v>
      </c>
      <c r="B139" s="159">
        <f>EDATE('Debt Payoff'!$C$6,133)</f>
        <v/>
      </c>
      <c r="C139" s="160">
        <f>MAX(0,ROUND(C138+M139-AQ139,2))</f>
        <v/>
      </c>
      <c r="D139" s="160">
        <f>MAX(0,ROUND(D138+N139-AR139,2))</f>
        <v/>
      </c>
      <c r="E139" s="160">
        <f>MAX(0,ROUND(E138+O139-AS139,2))</f>
        <v/>
      </c>
      <c r="F139" s="160">
        <f>MAX(0,ROUND(F138+P139-AT139,2))</f>
        <v/>
      </c>
      <c r="G139" s="160">
        <f>MAX(0,ROUND(G138+Q139-AU139,2))</f>
        <v/>
      </c>
      <c r="H139" s="160">
        <f>MAX(0,ROUND(H138+R139-AV139,2))</f>
        <v/>
      </c>
      <c r="I139" s="160">
        <f>MAX(0,ROUND(I138+S139-AW139,2))</f>
        <v/>
      </c>
      <c r="J139" s="160">
        <f>MAX(0,ROUND(J138+T139-AX139,2))</f>
        <v/>
      </c>
      <c r="K139" s="160">
        <f>MAX(0,ROUND(K138+U139-AY139,2))</f>
        <v/>
      </c>
      <c r="L139" s="160">
        <f>MAX(0,ROUND(L138+V139-AZ139,2))</f>
        <v/>
      </c>
      <c r="M139" s="160">
        <f>C138*N('Debt Payoff'!$D$15)/12</f>
        <v/>
      </c>
      <c r="N139" s="160">
        <f>D138*N('Debt Payoff'!$D$16)/12</f>
        <v/>
      </c>
      <c r="O139" s="160">
        <f>E138*N('Debt Payoff'!$D$17)/12</f>
        <v/>
      </c>
      <c r="P139" s="160">
        <f>F138*N('Debt Payoff'!$D$18)/12</f>
        <v/>
      </c>
      <c r="Q139" s="160">
        <f>G138*N('Debt Payoff'!$D$19)/12</f>
        <v/>
      </c>
      <c r="R139" s="160">
        <f>H138*N('Debt Payoff'!$D$20)/12</f>
        <v/>
      </c>
      <c r="S139" s="160">
        <f>I138*N('Debt Payoff'!$D$21)/12</f>
        <v/>
      </c>
      <c r="T139" s="160">
        <f>J138*N('Debt Payoff'!$D$22)/12</f>
        <v/>
      </c>
      <c r="U139" s="160">
        <f>K138*N('Debt Payoff'!$D$23)/12</f>
        <v/>
      </c>
      <c r="V139" s="160">
        <f>L138*N('Debt Payoff'!$D$24)/12</f>
        <v/>
      </c>
      <c r="W139" s="160">
        <f>MIN(N('Debt Payoff'!$E$15),C138+M139)</f>
        <v/>
      </c>
      <c r="X139" s="160">
        <f>MIN(N('Debt Payoff'!$E$16),D138+N139)</f>
        <v/>
      </c>
      <c r="Y139" s="160">
        <f>MIN(N('Debt Payoff'!$E$17),E138+O139)</f>
        <v/>
      </c>
      <c r="Z139" s="160">
        <f>MIN(N('Debt Payoff'!$E$18),F138+P139)</f>
        <v/>
      </c>
      <c r="AA139" s="160">
        <f>MIN(N('Debt Payoff'!$E$19),G138+Q139)</f>
        <v/>
      </c>
      <c r="AB139" s="160">
        <f>MIN(N('Debt Payoff'!$E$20),H138+R139)</f>
        <v/>
      </c>
      <c r="AC139" s="160">
        <f>MIN(N('Debt Payoff'!$E$21),I138+S139)</f>
        <v/>
      </c>
      <c r="AD139" s="160">
        <f>MIN(N('Debt Payoff'!$E$22),J138+T139)</f>
        <v/>
      </c>
      <c r="AE139" s="160">
        <f>MIN(N('Debt Payoff'!$E$23),K138+U139)</f>
        <v/>
      </c>
      <c r="AF139" s="160">
        <f>MIN(N('Debt Payoff'!$E$24),L138+V139)</f>
        <v/>
      </c>
      <c r="AG139" s="160">
        <f>C138+M139-W139</f>
        <v/>
      </c>
      <c r="AH139" s="160">
        <f>D138+N139-X139</f>
        <v/>
      </c>
      <c r="AI139" s="160">
        <f>E138+O139-Y139</f>
        <v/>
      </c>
      <c r="AJ139" s="160">
        <f>F138+P139-Z139</f>
        <v/>
      </c>
      <c r="AK139" s="160">
        <f>G138+Q139-AA139</f>
        <v/>
      </c>
      <c r="AL139" s="160">
        <f>H138+R139-AB139</f>
        <v/>
      </c>
      <c r="AM139" s="160">
        <f>I138+S139-AC139</f>
        <v/>
      </c>
      <c r="AN139" s="160">
        <f>J138+T139-AD139</f>
        <v/>
      </c>
      <c r="AO139" s="160">
        <f>K138+U139-AE139</f>
        <v/>
      </c>
      <c r="AP139" s="160">
        <f>L138+V139-AF139</f>
        <v/>
      </c>
      <c r="AQ139" s="160">
        <f>W139+MAX(0,MIN(AG139,'Debt Payoff'!$C$12-SUM($W139:$AF139)-SUMIFS($AG139:$AP139,$AG$4:$AP$4,"&lt;"&amp;AG$4)))</f>
        <v/>
      </c>
      <c r="AR139" s="160">
        <f>X139+MAX(0,MIN(AH139,'Debt Payoff'!$C$12-SUM($W139:$AF139)-SUMIFS($AG139:$AP139,$AG$4:$AP$4,"&lt;"&amp;AH$4)))</f>
        <v/>
      </c>
      <c r="AS139" s="160">
        <f>Y139+MAX(0,MIN(AI139,'Debt Payoff'!$C$12-SUM($W139:$AF139)-SUMIFS($AG139:$AP139,$AG$4:$AP$4,"&lt;"&amp;AI$4)))</f>
        <v/>
      </c>
      <c r="AT139" s="160">
        <f>Z139+MAX(0,MIN(AJ139,'Debt Payoff'!$C$12-SUM($W139:$AF139)-SUMIFS($AG139:$AP139,$AG$4:$AP$4,"&lt;"&amp;AJ$4)))</f>
        <v/>
      </c>
      <c r="AU139" s="160">
        <f>AA139+MAX(0,MIN(AK139,'Debt Payoff'!$C$12-SUM($W139:$AF139)-SUMIFS($AG139:$AP139,$AG$4:$AP$4,"&lt;"&amp;AK$4)))</f>
        <v/>
      </c>
      <c r="AV139" s="160">
        <f>AB139+MAX(0,MIN(AL139,'Debt Payoff'!$C$12-SUM($W139:$AF139)-SUMIFS($AG139:$AP139,$AG$4:$AP$4,"&lt;"&amp;AL$4)))</f>
        <v/>
      </c>
      <c r="AW139" s="160">
        <f>AC139+MAX(0,MIN(AM139,'Debt Payoff'!$C$12-SUM($W139:$AF139)-SUMIFS($AG139:$AP139,$AG$4:$AP$4,"&lt;"&amp;AM$4)))</f>
        <v/>
      </c>
      <c r="AX139" s="160">
        <f>AD139+MAX(0,MIN(AN139,'Debt Payoff'!$C$12-SUM($W139:$AF139)-SUMIFS($AG139:$AP139,$AG$4:$AP$4,"&lt;"&amp;AN$4)))</f>
        <v/>
      </c>
      <c r="AY139" s="160">
        <f>AE139+MAX(0,MIN(AO139,'Debt Payoff'!$C$12-SUM($W139:$AF139)-SUMIFS($AG139:$AP139,$AG$4:$AP$4,"&lt;"&amp;AO$4)))</f>
        <v/>
      </c>
      <c r="AZ139" s="160">
        <f>AF139+MAX(0,MIN(AP139,'Debt Payoff'!$C$12-SUM($W139:$AF139)-SUMIFS($AG139:$AP139,$AG$4:$AP$4,"&lt;"&amp;AP$4)))</f>
        <v/>
      </c>
      <c r="BA139" s="160">
        <f>SUM(C139:L139)</f>
        <v/>
      </c>
      <c r="BB139" s="160">
        <f>SUM(AQ139:AZ139)</f>
        <v/>
      </c>
      <c r="BC139" s="160">
        <f>SUM(M139:V139)</f>
        <v/>
      </c>
    </row>
    <row r="140">
      <c r="A140" s="157" t="n">
        <v>135</v>
      </c>
      <c r="B140" s="159">
        <f>EDATE('Debt Payoff'!$C$6,134)</f>
        <v/>
      </c>
      <c r="C140" s="160">
        <f>MAX(0,ROUND(C139+M140-AQ140,2))</f>
        <v/>
      </c>
      <c r="D140" s="160">
        <f>MAX(0,ROUND(D139+N140-AR140,2))</f>
        <v/>
      </c>
      <c r="E140" s="160">
        <f>MAX(0,ROUND(E139+O140-AS140,2))</f>
        <v/>
      </c>
      <c r="F140" s="160">
        <f>MAX(0,ROUND(F139+P140-AT140,2))</f>
        <v/>
      </c>
      <c r="G140" s="160">
        <f>MAX(0,ROUND(G139+Q140-AU140,2))</f>
        <v/>
      </c>
      <c r="H140" s="160">
        <f>MAX(0,ROUND(H139+R140-AV140,2))</f>
        <v/>
      </c>
      <c r="I140" s="160">
        <f>MAX(0,ROUND(I139+S140-AW140,2))</f>
        <v/>
      </c>
      <c r="J140" s="160">
        <f>MAX(0,ROUND(J139+T140-AX140,2))</f>
        <v/>
      </c>
      <c r="K140" s="160">
        <f>MAX(0,ROUND(K139+U140-AY140,2))</f>
        <v/>
      </c>
      <c r="L140" s="160">
        <f>MAX(0,ROUND(L139+V140-AZ140,2))</f>
        <v/>
      </c>
      <c r="M140" s="160">
        <f>C139*N('Debt Payoff'!$D$15)/12</f>
        <v/>
      </c>
      <c r="N140" s="160">
        <f>D139*N('Debt Payoff'!$D$16)/12</f>
        <v/>
      </c>
      <c r="O140" s="160">
        <f>E139*N('Debt Payoff'!$D$17)/12</f>
        <v/>
      </c>
      <c r="P140" s="160">
        <f>F139*N('Debt Payoff'!$D$18)/12</f>
        <v/>
      </c>
      <c r="Q140" s="160">
        <f>G139*N('Debt Payoff'!$D$19)/12</f>
        <v/>
      </c>
      <c r="R140" s="160">
        <f>H139*N('Debt Payoff'!$D$20)/12</f>
        <v/>
      </c>
      <c r="S140" s="160">
        <f>I139*N('Debt Payoff'!$D$21)/12</f>
        <v/>
      </c>
      <c r="T140" s="160">
        <f>J139*N('Debt Payoff'!$D$22)/12</f>
        <v/>
      </c>
      <c r="U140" s="160">
        <f>K139*N('Debt Payoff'!$D$23)/12</f>
        <v/>
      </c>
      <c r="V140" s="160">
        <f>L139*N('Debt Payoff'!$D$24)/12</f>
        <v/>
      </c>
      <c r="W140" s="160">
        <f>MIN(N('Debt Payoff'!$E$15),C139+M140)</f>
        <v/>
      </c>
      <c r="X140" s="160">
        <f>MIN(N('Debt Payoff'!$E$16),D139+N140)</f>
        <v/>
      </c>
      <c r="Y140" s="160">
        <f>MIN(N('Debt Payoff'!$E$17),E139+O140)</f>
        <v/>
      </c>
      <c r="Z140" s="160">
        <f>MIN(N('Debt Payoff'!$E$18),F139+P140)</f>
        <v/>
      </c>
      <c r="AA140" s="160">
        <f>MIN(N('Debt Payoff'!$E$19),G139+Q140)</f>
        <v/>
      </c>
      <c r="AB140" s="160">
        <f>MIN(N('Debt Payoff'!$E$20),H139+R140)</f>
        <v/>
      </c>
      <c r="AC140" s="160">
        <f>MIN(N('Debt Payoff'!$E$21),I139+S140)</f>
        <v/>
      </c>
      <c r="AD140" s="160">
        <f>MIN(N('Debt Payoff'!$E$22),J139+T140)</f>
        <v/>
      </c>
      <c r="AE140" s="160">
        <f>MIN(N('Debt Payoff'!$E$23),K139+U140)</f>
        <v/>
      </c>
      <c r="AF140" s="160">
        <f>MIN(N('Debt Payoff'!$E$24),L139+V140)</f>
        <v/>
      </c>
      <c r="AG140" s="160">
        <f>C139+M140-W140</f>
        <v/>
      </c>
      <c r="AH140" s="160">
        <f>D139+N140-X140</f>
        <v/>
      </c>
      <c r="AI140" s="160">
        <f>E139+O140-Y140</f>
        <v/>
      </c>
      <c r="AJ140" s="160">
        <f>F139+P140-Z140</f>
        <v/>
      </c>
      <c r="AK140" s="160">
        <f>G139+Q140-AA140</f>
        <v/>
      </c>
      <c r="AL140" s="160">
        <f>H139+R140-AB140</f>
        <v/>
      </c>
      <c r="AM140" s="160">
        <f>I139+S140-AC140</f>
        <v/>
      </c>
      <c r="AN140" s="160">
        <f>J139+T140-AD140</f>
        <v/>
      </c>
      <c r="AO140" s="160">
        <f>K139+U140-AE140</f>
        <v/>
      </c>
      <c r="AP140" s="160">
        <f>L139+V140-AF140</f>
        <v/>
      </c>
      <c r="AQ140" s="160">
        <f>W140+MAX(0,MIN(AG140,'Debt Payoff'!$C$12-SUM($W140:$AF140)-SUMIFS($AG140:$AP140,$AG$4:$AP$4,"&lt;"&amp;AG$4)))</f>
        <v/>
      </c>
      <c r="AR140" s="160">
        <f>X140+MAX(0,MIN(AH140,'Debt Payoff'!$C$12-SUM($W140:$AF140)-SUMIFS($AG140:$AP140,$AG$4:$AP$4,"&lt;"&amp;AH$4)))</f>
        <v/>
      </c>
      <c r="AS140" s="160">
        <f>Y140+MAX(0,MIN(AI140,'Debt Payoff'!$C$12-SUM($W140:$AF140)-SUMIFS($AG140:$AP140,$AG$4:$AP$4,"&lt;"&amp;AI$4)))</f>
        <v/>
      </c>
      <c r="AT140" s="160">
        <f>Z140+MAX(0,MIN(AJ140,'Debt Payoff'!$C$12-SUM($W140:$AF140)-SUMIFS($AG140:$AP140,$AG$4:$AP$4,"&lt;"&amp;AJ$4)))</f>
        <v/>
      </c>
      <c r="AU140" s="160">
        <f>AA140+MAX(0,MIN(AK140,'Debt Payoff'!$C$12-SUM($W140:$AF140)-SUMIFS($AG140:$AP140,$AG$4:$AP$4,"&lt;"&amp;AK$4)))</f>
        <v/>
      </c>
      <c r="AV140" s="160">
        <f>AB140+MAX(0,MIN(AL140,'Debt Payoff'!$C$12-SUM($W140:$AF140)-SUMIFS($AG140:$AP140,$AG$4:$AP$4,"&lt;"&amp;AL$4)))</f>
        <v/>
      </c>
      <c r="AW140" s="160">
        <f>AC140+MAX(0,MIN(AM140,'Debt Payoff'!$C$12-SUM($W140:$AF140)-SUMIFS($AG140:$AP140,$AG$4:$AP$4,"&lt;"&amp;AM$4)))</f>
        <v/>
      </c>
      <c r="AX140" s="160">
        <f>AD140+MAX(0,MIN(AN140,'Debt Payoff'!$C$12-SUM($W140:$AF140)-SUMIFS($AG140:$AP140,$AG$4:$AP$4,"&lt;"&amp;AN$4)))</f>
        <v/>
      </c>
      <c r="AY140" s="160">
        <f>AE140+MAX(0,MIN(AO140,'Debt Payoff'!$C$12-SUM($W140:$AF140)-SUMIFS($AG140:$AP140,$AG$4:$AP$4,"&lt;"&amp;AO$4)))</f>
        <v/>
      </c>
      <c r="AZ140" s="160">
        <f>AF140+MAX(0,MIN(AP140,'Debt Payoff'!$C$12-SUM($W140:$AF140)-SUMIFS($AG140:$AP140,$AG$4:$AP$4,"&lt;"&amp;AP$4)))</f>
        <v/>
      </c>
      <c r="BA140" s="160">
        <f>SUM(C140:L140)</f>
        <v/>
      </c>
      <c r="BB140" s="160">
        <f>SUM(AQ140:AZ140)</f>
        <v/>
      </c>
      <c r="BC140" s="160">
        <f>SUM(M140:V140)</f>
        <v/>
      </c>
    </row>
    <row r="141">
      <c r="A141" s="157" t="n">
        <v>136</v>
      </c>
      <c r="B141" s="159">
        <f>EDATE('Debt Payoff'!$C$6,135)</f>
        <v/>
      </c>
      <c r="C141" s="160">
        <f>MAX(0,ROUND(C140+M141-AQ141,2))</f>
        <v/>
      </c>
      <c r="D141" s="160">
        <f>MAX(0,ROUND(D140+N141-AR141,2))</f>
        <v/>
      </c>
      <c r="E141" s="160">
        <f>MAX(0,ROUND(E140+O141-AS141,2))</f>
        <v/>
      </c>
      <c r="F141" s="160">
        <f>MAX(0,ROUND(F140+P141-AT141,2))</f>
        <v/>
      </c>
      <c r="G141" s="160">
        <f>MAX(0,ROUND(G140+Q141-AU141,2))</f>
        <v/>
      </c>
      <c r="H141" s="160">
        <f>MAX(0,ROUND(H140+R141-AV141,2))</f>
        <v/>
      </c>
      <c r="I141" s="160">
        <f>MAX(0,ROUND(I140+S141-AW141,2))</f>
        <v/>
      </c>
      <c r="J141" s="160">
        <f>MAX(0,ROUND(J140+T141-AX141,2))</f>
        <v/>
      </c>
      <c r="K141" s="160">
        <f>MAX(0,ROUND(K140+U141-AY141,2))</f>
        <v/>
      </c>
      <c r="L141" s="160">
        <f>MAX(0,ROUND(L140+V141-AZ141,2))</f>
        <v/>
      </c>
      <c r="M141" s="160">
        <f>C140*N('Debt Payoff'!$D$15)/12</f>
        <v/>
      </c>
      <c r="N141" s="160">
        <f>D140*N('Debt Payoff'!$D$16)/12</f>
        <v/>
      </c>
      <c r="O141" s="160">
        <f>E140*N('Debt Payoff'!$D$17)/12</f>
        <v/>
      </c>
      <c r="P141" s="160">
        <f>F140*N('Debt Payoff'!$D$18)/12</f>
        <v/>
      </c>
      <c r="Q141" s="160">
        <f>G140*N('Debt Payoff'!$D$19)/12</f>
        <v/>
      </c>
      <c r="R141" s="160">
        <f>H140*N('Debt Payoff'!$D$20)/12</f>
        <v/>
      </c>
      <c r="S141" s="160">
        <f>I140*N('Debt Payoff'!$D$21)/12</f>
        <v/>
      </c>
      <c r="T141" s="160">
        <f>J140*N('Debt Payoff'!$D$22)/12</f>
        <v/>
      </c>
      <c r="U141" s="160">
        <f>K140*N('Debt Payoff'!$D$23)/12</f>
        <v/>
      </c>
      <c r="V141" s="160">
        <f>L140*N('Debt Payoff'!$D$24)/12</f>
        <v/>
      </c>
      <c r="W141" s="160">
        <f>MIN(N('Debt Payoff'!$E$15),C140+M141)</f>
        <v/>
      </c>
      <c r="X141" s="160">
        <f>MIN(N('Debt Payoff'!$E$16),D140+N141)</f>
        <v/>
      </c>
      <c r="Y141" s="160">
        <f>MIN(N('Debt Payoff'!$E$17),E140+O141)</f>
        <v/>
      </c>
      <c r="Z141" s="160">
        <f>MIN(N('Debt Payoff'!$E$18),F140+P141)</f>
        <v/>
      </c>
      <c r="AA141" s="160">
        <f>MIN(N('Debt Payoff'!$E$19),G140+Q141)</f>
        <v/>
      </c>
      <c r="AB141" s="160">
        <f>MIN(N('Debt Payoff'!$E$20),H140+R141)</f>
        <v/>
      </c>
      <c r="AC141" s="160">
        <f>MIN(N('Debt Payoff'!$E$21),I140+S141)</f>
        <v/>
      </c>
      <c r="AD141" s="160">
        <f>MIN(N('Debt Payoff'!$E$22),J140+T141)</f>
        <v/>
      </c>
      <c r="AE141" s="160">
        <f>MIN(N('Debt Payoff'!$E$23),K140+U141)</f>
        <v/>
      </c>
      <c r="AF141" s="160">
        <f>MIN(N('Debt Payoff'!$E$24),L140+V141)</f>
        <v/>
      </c>
      <c r="AG141" s="160">
        <f>C140+M141-W141</f>
        <v/>
      </c>
      <c r="AH141" s="160">
        <f>D140+N141-X141</f>
        <v/>
      </c>
      <c r="AI141" s="160">
        <f>E140+O141-Y141</f>
        <v/>
      </c>
      <c r="AJ141" s="160">
        <f>F140+P141-Z141</f>
        <v/>
      </c>
      <c r="AK141" s="160">
        <f>G140+Q141-AA141</f>
        <v/>
      </c>
      <c r="AL141" s="160">
        <f>H140+R141-AB141</f>
        <v/>
      </c>
      <c r="AM141" s="160">
        <f>I140+S141-AC141</f>
        <v/>
      </c>
      <c r="AN141" s="160">
        <f>J140+T141-AD141</f>
        <v/>
      </c>
      <c r="AO141" s="160">
        <f>K140+U141-AE141</f>
        <v/>
      </c>
      <c r="AP141" s="160">
        <f>L140+V141-AF141</f>
        <v/>
      </c>
      <c r="AQ141" s="160">
        <f>W141+MAX(0,MIN(AG141,'Debt Payoff'!$C$12-SUM($W141:$AF141)-SUMIFS($AG141:$AP141,$AG$4:$AP$4,"&lt;"&amp;AG$4)))</f>
        <v/>
      </c>
      <c r="AR141" s="160">
        <f>X141+MAX(0,MIN(AH141,'Debt Payoff'!$C$12-SUM($W141:$AF141)-SUMIFS($AG141:$AP141,$AG$4:$AP$4,"&lt;"&amp;AH$4)))</f>
        <v/>
      </c>
      <c r="AS141" s="160">
        <f>Y141+MAX(0,MIN(AI141,'Debt Payoff'!$C$12-SUM($W141:$AF141)-SUMIFS($AG141:$AP141,$AG$4:$AP$4,"&lt;"&amp;AI$4)))</f>
        <v/>
      </c>
      <c r="AT141" s="160">
        <f>Z141+MAX(0,MIN(AJ141,'Debt Payoff'!$C$12-SUM($W141:$AF141)-SUMIFS($AG141:$AP141,$AG$4:$AP$4,"&lt;"&amp;AJ$4)))</f>
        <v/>
      </c>
      <c r="AU141" s="160">
        <f>AA141+MAX(0,MIN(AK141,'Debt Payoff'!$C$12-SUM($W141:$AF141)-SUMIFS($AG141:$AP141,$AG$4:$AP$4,"&lt;"&amp;AK$4)))</f>
        <v/>
      </c>
      <c r="AV141" s="160">
        <f>AB141+MAX(0,MIN(AL141,'Debt Payoff'!$C$12-SUM($W141:$AF141)-SUMIFS($AG141:$AP141,$AG$4:$AP$4,"&lt;"&amp;AL$4)))</f>
        <v/>
      </c>
      <c r="AW141" s="160">
        <f>AC141+MAX(0,MIN(AM141,'Debt Payoff'!$C$12-SUM($W141:$AF141)-SUMIFS($AG141:$AP141,$AG$4:$AP$4,"&lt;"&amp;AM$4)))</f>
        <v/>
      </c>
      <c r="AX141" s="160">
        <f>AD141+MAX(0,MIN(AN141,'Debt Payoff'!$C$12-SUM($W141:$AF141)-SUMIFS($AG141:$AP141,$AG$4:$AP$4,"&lt;"&amp;AN$4)))</f>
        <v/>
      </c>
      <c r="AY141" s="160">
        <f>AE141+MAX(0,MIN(AO141,'Debt Payoff'!$C$12-SUM($W141:$AF141)-SUMIFS($AG141:$AP141,$AG$4:$AP$4,"&lt;"&amp;AO$4)))</f>
        <v/>
      </c>
      <c r="AZ141" s="160">
        <f>AF141+MAX(0,MIN(AP141,'Debt Payoff'!$C$12-SUM($W141:$AF141)-SUMIFS($AG141:$AP141,$AG$4:$AP$4,"&lt;"&amp;AP$4)))</f>
        <v/>
      </c>
      <c r="BA141" s="160">
        <f>SUM(C141:L141)</f>
        <v/>
      </c>
      <c r="BB141" s="160">
        <f>SUM(AQ141:AZ141)</f>
        <v/>
      </c>
      <c r="BC141" s="160">
        <f>SUM(M141:V141)</f>
        <v/>
      </c>
    </row>
    <row r="142">
      <c r="A142" s="157" t="n">
        <v>137</v>
      </c>
      <c r="B142" s="159">
        <f>EDATE('Debt Payoff'!$C$6,136)</f>
        <v/>
      </c>
      <c r="C142" s="160">
        <f>MAX(0,ROUND(C141+M142-AQ142,2))</f>
        <v/>
      </c>
      <c r="D142" s="160">
        <f>MAX(0,ROUND(D141+N142-AR142,2))</f>
        <v/>
      </c>
      <c r="E142" s="160">
        <f>MAX(0,ROUND(E141+O142-AS142,2))</f>
        <v/>
      </c>
      <c r="F142" s="160">
        <f>MAX(0,ROUND(F141+P142-AT142,2))</f>
        <v/>
      </c>
      <c r="G142" s="160">
        <f>MAX(0,ROUND(G141+Q142-AU142,2))</f>
        <v/>
      </c>
      <c r="H142" s="160">
        <f>MAX(0,ROUND(H141+R142-AV142,2))</f>
        <v/>
      </c>
      <c r="I142" s="160">
        <f>MAX(0,ROUND(I141+S142-AW142,2))</f>
        <v/>
      </c>
      <c r="J142" s="160">
        <f>MAX(0,ROUND(J141+T142-AX142,2))</f>
        <v/>
      </c>
      <c r="K142" s="160">
        <f>MAX(0,ROUND(K141+U142-AY142,2))</f>
        <v/>
      </c>
      <c r="L142" s="160">
        <f>MAX(0,ROUND(L141+V142-AZ142,2))</f>
        <v/>
      </c>
      <c r="M142" s="160">
        <f>C141*N('Debt Payoff'!$D$15)/12</f>
        <v/>
      </c>
      <c r="N142" s="160">
        <f>D141*N('Debt Payoff'!$D$16)/12</f>
        <v/>
      </c>
      <c r="O142" s="160">
        <f>E141*N('Debt Payoff'!$D$17)/12</f>
        <v/>
      </c>
      <c r="P142" s="160">
        <f>F141*N('Debt Payoff'!$D$18)/12</f>
        <v/>
      </c>
      <c r="Q142" s="160">
        <f>G141*N('Debt Payoff'!$D$19)/12</f>
        <v/>
      </c>
      <c r="R142" s="160">
        <f>H141*N('Debt Payoff'!$D$20)/12</f>
        <v/>
      </c>
      <c r="S142" s="160">
        <f>I141*N('Debt Payoff'!$D$21)/12</f>
        <v/>
      </c>
      <c r="T142" s="160">
        <f>J141*N('Debt Payoff'!$D$22)/12</f>
        <v/>
      </c>
      <c r="U142" s="160">
        <f>K141*N('Debt Payoff'!$D$23)/12</f>
        <v/>
      </c>
      <c r="V142" s="160">
        <f>L141*N('Debt Payoff'!$D$24)/12</f>
        <v/>
      </c>
      <c r="W142" s="160">
        <f>MIN(N('Debt Payoff'!$E$15),C141+M142)</f>
        <v/>
      </c>
      <c r="X142" s="160">
        <f>MIN(N('Debt Payoff'!$E$16),D141+N142)</f>
        <v/>
      </c>
      <c r="Y142" s="160">
        <f>MIN(N('Debt Payoff'!$E$17),E141+O142)</f>
        <v/>
      </c>
      <c r="Z142" s="160">
        <f>MIN(N('Debt Payoff'!$E$18),F141+P142)</f>
        <v/>
      </c>
      <c r="AA142" s="160">
        <f>MIN(N('Debt Payoff'!$E$19),G141+Q142)</f>
        <v/>
      </c>
      <c r="AB142" s="160">
        <f>MIN(N('Debt Payoff'!$E$20),H141+R142)</f>
        <v/>
      </c>
      <c r="AC142" s="160">
        <f>MIN(N('Debt Payoff'!$E$21),I141+S142)</f>
        <v/>
      </c>
      <c r="AD142" s="160">
        <f>MIN(N('Debt Payoff'!$E$22),J141+T142)</f>
        <v/>
      </c>
      <c r="AE142" s="160">
        <f>MIN(N('Debt Payoff'!$E$23),K141+U142)</f>
        <v/>
      </c>
      <c r="AF142" s="160">
        <f>MIN(N('Debt Payoff'!$E$24),L141+V142)</f>
        <v/>
      </c>
      <c r="AG142" s="160">
        <f>C141+M142-W142</f>
        <v/>
      </c>
      <c r="AH142" s="160">
        <f>D141+N142-X142</f>
        <v/>
      </c>
      <c r="AI142" s="160">
        <f>E141+O142-Y142</f>
        <v/>
      </c>
      <c r="AJ142" s="160">
        <f>F141+P142-Z142</f>
        <v/>
      </c>
      <c r="AK142" s="160">
        <f>G141+Q142-AA142</f>
        <v/>
      </c>
      <c r="AL142" s="160">
        <f>H141+R142-AB142</f>
        <v/>
      </c>
      <c r="AM142" s="160">
        <f>I141+S142-AC142</f>
        <v/>
      </c>
      <c r="AN142" s="160">
        <f>J141+T142-AD142</f>
        <v/>
      </c>
      <c r="AO142" s="160">
        <f>K141+U142-AE142</f>
        <v/>
      </c>
      <c r="AP142" s="160">
        <f>L141+V142-AF142</f>
        <v/>
      </c>
      <c r="AQ142" s="160">
        <f>W142+MAX(0,MIN(AG142,'Debt Payoff'!$C$12-SUM($W142:$AF142)-SUMIFS($AG142:$AP142,$AG$4:$AP$4,"&lt;"&amp;AG$4)))</f>
        <v/>
      </c>
      <c r="AR142" s="160">
        <f>X142+MAX(0,MIN(AH142,'Debt Payoff'!$C$12-SUM($W142:$AF142)-SUMIFS($AG142:$AP142,$AG$4:$AP$4,"&lt;"&amp;AH$4)))</f>
        <v/>
      </c>
      <c r="AS142" s="160">
        <f>Y142+MAX(0,MIN(AI142,'Debt Payoff'!$C$12-SUM($W142:$AF142)-SUMIFS($AG142:$AP142,$AG$4:$AP$4,"&lt;"&amp;AI$4)))</f>
        <v/>
      </c>
      <c r="AT142" s="160">
        <f>Z142+MAX(0,MIN(AJ142,'Debt Payoff'!$C$12-SUM($W142:$AF142)-SUMIFS($AG142:$AP142,$AG$4:$AP$4,"&lt;"&amp;AJ$4)))</f>
        <v/>
      </c>
      <c r="AU142" s="160">
        <f>AA142+MAX(0,MIN(AK142,'Debt Payoff'!$C$12-SUM($W142:$AF142)-SUMIFS($AG142:$AP142,$AG$4:$AP$4,"&lt;"&amp;AK$4)))</f>
        <v/>
      </c>
      <c r="AV142" s="160">
        <f>AB142+MAX(0,MIN(AL142,'Debt Payoff'!$C$12-SUM($W142:$AF142)-SUMIFS($AG142:$AP142,$AG$4:$AP$4,"&lt;"&amp;AL$4)))</f>
        <v/>
      </c>
      <c r="AW142" s="160">
        <f>AC142+MAX(0,MIN(AM142,'Debt Payoff'!$C$12-SUM($W142:$AF142)-SUMIFS($AG142:$AP142,$AG$4:$AP$4,"&lt;"&amp;AM$4)))</f>
        <v/>
      </c>
      <c r="AX142" s="160">
        <f>AD142+MAX(0,MIN(AN142,'Debt Payoff'!$C$12-SUM($W142:$AF142)-SUMIFS($AG142:$AP142,$AG$4:$AP$4,"&lt;"&amp;AN$4)))</f>
        <v/>
      </c>
      <c r="AY142" s="160">
        <f>AE142+MAX(0,MIN(AO142,'Debt Payoff'!$C$12-SUM($W142:$AF142)-SUMIFS($AG142:$AP142,$AG$4:$AP$4,"&lt;"&amp;AO$4)))</f>
        <v/>
      </c>
      <c r="AZ142" s="160">
        <f>AF142+MAX(0,MIN(AP142,'Debt Payoff'!$C$12-SUM($W142:$AF142)-SUMIFS($AG142:$AP142,$AG$4:$AP$4,"&lt;"&amp;AP$4)))</f>
        <v/>
      </c>
      <c r="BA142" s="160">
        <f>SUM(C142:L142)</f>
        <v/>
      </c>
      <c r="BB142" s="160">
        <f>SUM(AQ142:AZ142)</f>
        <v/>
      </c>
      <c r="BC142" s="160">
        <f>SUM(M142:V142)</f>
        <v/>
      </c>
    </row>
    <row r="143">
      <c r="A143" s="157" t="n">
        <v>138</v>
      </c>
      <c r="B143" s="159">
        <f>EDATE('Debt Payoff'!$C$6,137)</f>
        <v/>
      </c>
      <c r="C143" s="160">
        <f>MAX(0,ROUND(C142+M143-AQ143,2))</f>
        <v/>
      </c>
      <c r="D143" s="160">
        <f>MAX(0,ROUND(D142+N143-AR143,2))</f>
        <v/>
      </c>
      <c r="E143" s="160">
        <f>MAX(0,ROUND(E142+O143-AS143,2))</f>
        <v/>
      </c>
      <c r="F143" s="160">
        <f>MAX(0,ROUND(F142+P143-AT143,2))</f>
        <v/>
      </c>
      <c r="G143" s="160">
        <f>MAX(0,ROUND(G142+Q143-AU143,2))</f>
        <v/>
      </c>
      <c r="H143" s="160">
        <f>MAX(0,ROUND(H142+R143-AV143,2))</f>
        <v/>
      </c>
      <c r="I143" s="160">
        <f>MAX(0,ROUND(I142+S143-AW143,2))</f>
        <v/>
      </c>
      <c r="J143" s="160">
        <f>MAX(0,ROUND(J142+T143-AX143,2))</f>
        <v/>
      </c>
      <c r="K143" s="160">
        <f>MAX(0,ROUND(K142+U143-AY143,2))</f>
        <v/>
      </c>
      <c r="L143" s="160">
        <f>MAX(0,ROUND(L142+V143-AZ143,2))</f>
        <v/>
      </c>
      <c r="M143" s="160">
        <f>C142*N('Debt Payoff'!$D$15)/12</f>
        <v/>
      </c>
      <c r="N143" s="160">
        <f>D142*N('Debt Payoff'!$D$16)/12</f>
        <v/>
      </c>
      <c r="O143" s="160">
        <f>E142*N('Debt Payoff'!$D$17)/12</f>
        <v/>
      </c>
      <c r="P143" s="160">
        <f>F142*N('Debt Payoff'!$D$18)/12</f>
        <v/>
      </c>
      <c r="Q143" s="160">
        <f>G142*N('Debt Payoff'!$D$19)/12</f>
        <v/>
      </c>
      <c r="R143" s="160">
        <f>H142*N('Debt Payoff'!$D$20)/12</f>
        <v/>
      </c>
      <c r="S143" s="160">
        <f>I142*N('Debt Payoff'!$D$21)/12</f>
        <v/>
      </c>
      <c r="T143" s="160">
        <f>J142*N('Debt Payoff'!$D$22)/12</f>
        <v/>
      </c>
      <c r="U143" s="160">
        <f>K142*N('Debt Payoff'!$D$23)/12</f>
        <v/>
      </c>
      <c r="V143" s="160">
        <f>L142*N('Debt Payoff'!$D$24)/12</f>
        <v/>
      </c>
      <c r="W143" s="160">
        <f>MIN(N('Debt Payoff'!$E$15),C142+M143)</f>
        <v/>
      </c>
      <c r="X143" s="160">
        <f>MIN(N('Debt Payoff'!$E$16),D142+N143)</f>
        <v/>
      </c>
      <c r="Y143" s="160">
        <f>MIN(N('Debt Payoff'!$E$17),E142+O143)</f>
        <v/>
      </c>
      <c r="Z143" s="160">
        <f>MIN(N('Debt Payoff'!$E$18),F142+P143)</f>
        <v/>
      </c>
      <c r="AA143" s="160">
        <f>MIN(N('Debt Payoff'!$E$19),G142+Q143)</f>
        <v/>
      </c>
      <c r="AB143" s="160">
        <f>MIN(N('Debt Payoff'!$E$20),H142+R143)</f>
        <v/>
      </c>
      <c r="AC143" s="160">
        <f>MIN(N('Debt Payoff'!$E$21),I142+S143)</f>
        <v/>
      </c>
      <c r="AD143" s="160">
        <f>MIN(N('Debt Payoff'!$E$22),J142+T143)</f>
        <v/>
      </c>
      <c r="AE143" s="160">
        <f>MIN(N('Debt Payoff'!$E$23),K142+U143)</f>
        <v/>
      </c>
      <c r="AF143" s="160">
        <f>MIN(N('Debt Payoff'!$E$24),L142+V143)</f>
        <v/>
      </c>
      <c r="AG143" s="160">
        <f>C142+M143-W143</f>
        <v/>
      </c>
      <c r="AH143" s="160">
        <f>D142+N143-X143</f>
        <v/>
      </c>
      <c r="AI143" s="160">
        <f>E142+O143-Y143</f>
        <v/>
      </c>
      <c r="AJ143" s="160">
        <f>F142+P143-Z143</f>
        <v/>
      </c>
      <c r="AK143" s="160">
        <f>G142+Q143-AA143</f>
        <v/>
      </c>
      <c r="AL143" s="160">
        <f>H142+R143-AB143</f>
        <v/>
      </c>
      <c r="AM143" s="160">
        <f>I142+S143-AC143</f>
        <v/>
      </c>
      <c r="AN143" s="160">
        <f>J142+T143-AD143</f>
        <v/>
      </c>
      <c r="AO143" s="160">
        <f>K142+U143-AE143</f>
        <v/>
      </c>
      <c r="AP143" s="160">
        <f>L142+V143-AF143</f>
        <v/>
      </c>
      <c r="AQ143" s="160">
        <f>W143+MAX(0,MIN(AG143,'Debt Payoff'!$C$12-SUM($W143:$AF143)-SUMIFS($AG143:$AP143,$AG$4:$AP$4,"&lt;"&amp;AG$4)))</f>
        <v/>
      </c>
      <c r="AR143" s="160">
        <f>X143+MAX(0,MIN(AH143,'Debt Payoff'!$C$12-SUM($W143:$AF143)-SUMIFS($AG143:$AP143,$AG$4:$AP$4,"&lt;"&amp;AH$4)))</f>
        <v/>
      </c>
      <c r="AS143" s="160">
        <f>Y143+MAX(0,MIN(AI143,'Debt Payoff'!$C$12-SUM($W143:$AF143)-SUMIFS($AG143:$AP143,$AG$4:$AP$4,"&lt;"&amp;AI$4)))</f>
        <v/>
      </c>
      <c r="AT143" s="160">
        <f>Z143+MAX(0,MIN(AJ143,'Debt Payoff'!$C$12-SUM($W143:$AF143)-SUMIFS($AG143:$AP143,$AG$4:$AP$4,"&lt;"&amp;AJ$4)))</f>
        <v/>
      </c>
      <c r="AU143" s="160">
        <f>AA143+MAX(0,MIN(AK143,'Debt Payoff'!$C$12-SUM($W143:$AF143)-SUMIFS($AG143:$AP143,$AG$4:$AP$4,"&lt;"&amp;AK$4)))</f>
        <v/>
      </c>
      <c r="AV143" s="160">
        <f>AB143+MAX(0,MIN(AL143,'Debt Payoff'!$C$12-SUM($W143:$AF143)-SUMIFS($AG143:$AP143,$AG$4:$AP$4,"&lt;"&amp;AL$4)))</f>
        <v/>
      </c>
      <c r="AW143" s="160">
        <f>AC143+MAX(0,MIN(AM143,'Debt Payoff'!$C$12-SUM($W143:$AF143)-SUMIFS($AG143:$AP143,$AG$4:$AP$4,"&lt;"&amp;AM$4)))</f>
        <v/>
      </c>
      <c r="AX143" s="160">
        <f>AD143+MAX(0,MIN(AN143,'Debt Payoff'!$C$12-SUM($W143:$AF143)-SUMIFS($AG143:$AP143,$AG$4:$AP$4,"&lt;"&amp;AN$4)))</f>
        <v/>
      </c>
      <c r="AY143" s="160">
        <f>AE143+MAX(0,MIN(AO143,'Debt Payoff'!$C$12-SUM($W143:$AF143)-SUMIFS($AG143:$AP143,$AG$4:$AP$4,"&lt;"&amp;AO$4)))</f>
        <v/>
      </c>
      <c r="AZ143" s="160">
        <f>AF143+MAX(0,MIN(AP143,'Debt Payoff'!$C$12-SUM($W143:$AF143)-SUMIFS($AG143:$AP143,$AG$4:$AP$4,"&lt;"&amp;AP$4)))</f>
        <v/>
      </c>
      <c r="BA143" s="160">
        <f>SUM(C143:L143)</f>
        <v/>
      </c>
      <c r="BB143" s="160">
        <f>SUM(AQ143:AZ143)</f>
        <v/>
      </c>
      <c r="BC143" s="160">
        <f>SUM(M143:V143)</f>
        <v/>
      </c>
    </row>
    <row r="144">
      <c r="A144" s="157" t="n">
        <v>139</v>
      </c>
      <c r="B144" s="159">
        <f>EDATE('Debt Payoff'!$C$6,138)</f>
        <v/>
      </c>
      <c r="C144" s="160">
        <f>MAX(0,ROUND(C143+M144-AQ144,2))</f>
        <v/>
      </c>
      <c r="D144" s="160">
        <f>MAX(0,ROUND(D143+N144-AR144,2))</f>
        <v/>
      </c>
      <c r="E144" s="160">
        <f>MAX(0,ROUND(E143+O144-AS144,2))</f>
        <v/>
      </c>
      <c r="F144" s="160">
        <f>MAX(0,ROUND(F143+P144-AT144,2))</f>
        <v/>
      </c>
      <c r="G144" s="160">
        <f>MAX(0,ROUND(G143+Q144-AU144,2))</f>
        <v/>
      </c>
      <c r="H144" s="160">
        <f>MAX(0,ROUND(H143+R144-AV144,2))</f>
        <v/>
      </c>
      <c r="I144" s="160">
        <f>MAX(0,ROUND(I143+S144-AW144,2))</f>
        <v/>
      </c>
      <c r="J144" s="160">
        <f>MAX(0,ROUND(J143+T144-AX144,2))</f>
        <v/>
      </c>
      <c r="K144" s="160">
        <f>MAX(0,ROUND(K143+U144-AY144,2))</f>
        <v/>
      </c>
      <c r="L144" s="160">
        <f>MAX(0,ROUND(L143+V144-AZ144,2))</f>
        <v/>
      </c>
      <c r="M144" s="160">
        <f>C143*N('Debt Payoff'!$D$15)/12</f>
        <v/>
      </c>
      <c r="N144" s="160">
        <f>D143*N('Debt Payoff'!$D$16)/12</f>
        <v/>
      </c>
      <c r="O144" s="160">
        <f>E143*N('Debt Payoff'!$D$17)/12</f>
        <v/>
      </c>
      <c r="P144" s="160">
        <f>F143*N('Debt Payoff'!$D$18)/12</f>
        <v/>
      </c>
      <c r="Q144" s="160">
        <f>G143*N('Debt Payoff'!$D$19)/12</f>
        <v/>
      </c>
      <c r="R144" s="160">
        <f>H143*N('Debt Payoff'!$D$20)/12</f>
        <v/>
      </c>
      <c r="S144" s="160">
        <f>I143*N('Debt Payoff'!$D$21)/12</f>
        <v/>
      </c>
      <c r="T144" s="160">
        <f>J143*N('Debt Payoff'!$D$22)/12</f>
        <v/>
      </c>
      <c r="U144" s="160">
        <f>K143*N('Debt Payoff'!$D$23)/12</f>
        <v/>
      </c>
      <c r="V144" s="160">
        <f>L143*N('Debt Payoff'!$D$24)/12</f>
        <v/>
      </c>
      <c r="W144" s="160">
        <f>MIN(N('Debt Payoff'!$E$15),C143+M144)</f>
        <v/>
      </c>
      <c r="X144" s="160">
        <f>MIN(N('Debt Payoff'!$E$16),D143+N144)</f>
        <v/>
      </c>
      <c r="Y144" s="160">
        <f>MIN(N('Debt Payoff'!$E$17),E143+O144)</f>
        <v/>
      </c>
      <c r="Z144" s="160">
        <f>MIN(N('Debt Payoff'!$E$18),F143+P144)</f>
        <v/>
      </c>
      <c r="AA144" s="160">
        <f>MIN(N('Debt Payoff'!$E$19),G143+Q144)</f>
        <v/>
      </c>
      <c r="AB144" s="160">
        <f>MIN(N('Debt Payoff'!$E$20),H143+R144)</f>
        <v/>
      </c>
      <c r="AC144" s="160">
        <f>MIN(N('Debt Payoff'!$E$21),I143+S144)</f>
        <v/>
      </c>
      <c r="AD144" s="160">
        <f>MIN(N('Debt Payoff'!$E$22),J143+T144)</f>
        <v/>
      </c>
      <c r="AE144" s="160">
        <f>MIN(N('Debt Payoff'!$E$23),K143+U144)</f>
        <v/>
      </c>
      <c r="AF144" s="160">
        <f>MIN(N('Debt Payoff'!$E$24),L143+V144)</f>
        <v/>
      </c>
      <c r="AG144" s="160">
        <f>C143+M144-W144</f>
        <v/>
      </c>
      <c r="AH144" s="160">
        <f>D143+N144-X144</f>
        <v/>
      </c>
      <c r="AI144" s="160">
        <f>E143+O144-Y144</f>
        <v/>
      </c>
      <c r="AJ144" s="160">
        <f>F143+P144-Z144</f>
        <v/>
      </c>
      <c r="AK144" s="160">
        <f>G143+Q144-AA144</f>
        <v/>
      </c>
      <c r="AL144" s="160">
        <f>H143+R144-AB144</f>
        <v/>
      </c>
      <c r="AM144" s="160">
        <f>I143+S144-AC144</f>
        <v/>
      </c>
      <c r="AN144" s="160">
        <f>J143+T144-AD144</f>
        <v/>
      </c>
      <c r="AO144" s="160">
        <f>K143+U144-AE144</f>
        <v/>
      </c>
      <c r="AP144" s="160">
        <f>L143+V144-AF144</f>
        <v/>
      </c>
      <c r="AQ144" s="160">
        <f>W144+MAX(0,MIN(AG144,'Debt Payoff'!$C$12-SUM($W144:$AF144)-SUMIFS($AG144:$AP144,$AG$4:$AP$4,"&lt;"&amp;AG$4)))</f>
        <v/>
      </c>
      <c r="AR144" s="160">
        <f>X144+MAX(0,MIN(AH144,'Debt Payoff'!$C$12-SUM($W144:$AF144)-SUMIFS($AG144:$AP144,$AG$4:$AP$4,"&lt;"&amp;AH$4)))</f>
        <v/>
      </c>
      <c r="AS144" s="160">
        <f>Y144+MAX(0,MIN(AI144,'Debt Payoff'!$C$12-SUM($W144:$AF144)-SUMIFS($AG144:$AP144,$AG$4:$AP$4,"&lt;"&amp;AI$4)))</f>
        <v/>
      </c>
      <c r="AT144" s="160">
        <f>Z144+MAX(0,MIN(AJ144,'Debt Payoff'!$C$12-SUM($W144:$AF144)-SUMIFS($AG144:$AP144,$AG$4:$AP$4,"&lt;"&amp;AJ$4)))</f>
        <v/>
      </c>
      <c r="AU144" s="160">
        <f>AA144+MAX(0,MIN(AK144,'Debt Payoff'!$C$12-SUM($W144:$AF144)-SUMIFS($AG144:$AP144,$AG$4:$AP$4,"&lt;"&amp;AK$4)))</f>
        <v/>
      </c>
      <c r="AV144" s="160">
        <f>AB144+MAX(0,MIN(AL144,'Debt Payoff'!$C$12-SUM($W144:$AF144)-SUMIFS($AG144:$AP144,$AG$4:$AP$4,"&lt;"&amp;AL$4)))</f>
        <v/>
      </c>
      <c r="AW144" s="160">
        <f>AC144+MAX(0,MIN(AM144,'Debt Payoff'!$C$12-SUM($W144:$AF144)-SUMIFS($AG144:$AP144,$AG$4:$AP$4,"&lt;"&amp;AM$4)))</f>
        <v/>
      </c>
      <c r="AX144" s="160">
        <f>AD144+MAX(0,MIN(AN144,'Debt Payoff'!$C$12-SUM($W144:$AF144)-SUMIFS($AG144:$AP144,$AG$4:$AP$4,"&lt;"&amp;AN$4)))</f>
        <v/>
      </c>
      <c r="AY144" s="160">
        <f>AE144+MAX(0,MIN(AO144,'Debt Payoff'!$C$12-SUM($W144:$AF144)-SUMIFS($AG144:$AP144,$AG$4:$AP$4,"&lt;"&amp;AO$4)))</f>
        <v/>
      </c>
      <c r="AZ144" s="160">
        <f>AF144+MAX(0,MIN(AP144,'Debt Payoff'!$C$12-SUM($W144:$AF144)-SUMIFS($AG144:$AP144,$AG$4:$AP$4,"&lt;"&amp;AP$4)))</f>
        <v/>
      </c>
      <c r="BA144" s="160">
        <f>SUM(C144:L144)</f>
        <v/>
      </c>
      <c r="BB144" s="160">
        <f>SUM(AQ144:AZ144)</f>
        <v/>
      </c>
      <c r="BC144" s="160">
        <f>SUM(M144:V144)</f>
        <v/>
      </c>
    </row>
    <row r="145">
      <c r="A145" s="157" t="n">
        <v>140</v>
      </c>
      <c r="B145" s="159">
        <f>EDATE('Debt Payoff'!$C$6,139)</f>
        <v/>
      </c>
      <c r="C145" s="160">
        <f>MAX(0,ROUND(C144+M145-AQ145,2))</f>
        <v/>
      </c>
      <c r="D145" s="160">
        <f>MAX(0,ROUND(D144+N145-AR145,2))</f>
        <v/>
      </c>
      <c r="E145" s="160">
        <f>MAX(0,ROUND(E144+O145-AS145,2))</f>
        <v/>
      </c>
      <c r="F145" s="160">
        <f>MAX(0,ROUND(F144+P145-AT145,2))</f>
        <v/>
      </c>
      <c r="G145" s="160">
        <f>MAX(0,ROUND(G144+Q145-AU145,2))</f>
        <v/>
      </c>
      <c r="H145" s="160">
        <f>MAX(0,ROUND(H144+R145-AV145,2))</f>
        <v/>
      </c>
      <c r="I145" s="160">
        <f>MAX(0,ROUND(I144+S145-AW145,2))</f>
        <v/>
      </c>
      <c r="J145" s="160">
        <f>MAX(0,ROUND(J144+T145-AX145,2))</f>
        <v/>
      </c>
      <c r="K145" s="160">
        <f>MAX(0,ROUND(K144+U145-AY145,2))</f>
        <v/>
      </c>
      <c r="L145" s="160">
        <f>MAX(0,ROUND(L144+V145-AZ145,2))</f>
        <v/>
      </c>
      <c r="M145" s="160">
        <f>C144*N('Debt Payoff'!$D$15)/12</f>
        <v/>
      </c>
      <c r="N145" s="160">
        <f>D144*N('Debt Payoff'!$D$16)/12</f>
        <v/>
      </c>
      <c r="O145" s="160">
        <f>E144*N('Debt Payoff'!$D$17)/12</f>
        <v/>
      </c>
      <c r="P145" s="160">
        <f>F144*N('Debt Payoff'!$D$18)/12</f>
        <v/>
      </c>
      <c r="Q145" s="160">
        <f>G144*N('Debt Payoff'!$D$19)/12</f>
        <v/>
      </c>
      <c r="R145" s="160">
        <f>H144*N('Debt Payoff'!$D$20)/12</f>
        <v/>
      </c>
      <c r="S145" s="160">
        <f>I144*N('Debt Payoff'!$D$21)/12</f>
        <v/>
      </c>
      <c r="T145" s="160">
        <f>J144*N('Debt Payoff'!$D$22)/12</f>
        <v/>
      </c>
      <c r="U145" s="160">
        <f>K144*N('Debt Payoff'!$D$23)/12</f>
        <v/>
      </c>
      <c r="V145" s="160">
        <f>L144*N('Debt Payoff'!$D$24)/12</f>
        <v/>
      </c>
      <c r="W145" s="160">
        <f>MIN(N('Debt Payoff'!$E$15),C144+M145)</f>
        <v/>
      </c>
      <c r="X145" s="160">
        <f>MIN(N('Debt Payoff'!$E$16),D144+N145)</f>
        <v/>
      </c>
      <c r="Y145" s="160">
        <f>MIN(N('Debt Payoff'!$E$17),E144+O145)</f>
        <v/>
      </c>
      <c r="Z145" s="160">
        <f>MIN(N('Debt Payoff'!$E$18),F144+P145)</f>
        <v/>
      </c>
      <c r="AA145" s="160">
        <f>MIN(N('Debt Payoff'!$E$19),G144+Q145)</f>
        <v/>
      </c>
      <c r="AB145" s="160">
        <f>MIN(N('Debt Payoff'!$E$20),H144+R145)</f>
        <v/>
      </c>
      <c r="AC145" s="160">
        <f>MIN(N('Debt Payoff'!$E$21),I144+S145)</f>
        <v/>
      </c>
      <c r="AD145" s="160">
        <f>MIN(N('Debt Payoff'!$E$22),J144+T145)</f>
        <v/>
      </c>
      <c r="AE145" s="160">
        <f>MIN(N('Debt Payoff'!$E$23),K144+U145)</f>
        <v/>
      </c>
      <c r="AF145" s="160">
        <f>MIN(N('Debt Payoff'!$E$24),L144+V145)</f>
        <v/>
      </c>
      <c r="AG145" s="160">
        <f>C144+M145-W145</f>
        <v/>
      </c>
      <c r="AH145" s="160">
        <f>D144+N145-X145</f>
        <v/>
      </c>
      <c r="AI145" s="160">
        <f>E144+O145-Y145</f>
        <v/>
      </c>
      <c r="AJ145" s="160">
        <f>F144+P145-Z145</f>
        <v/>
      </c>
      <c r="AK145" s="160">
        <f>G144+Q145-AA145</f>
        <v/>
      </c>
      <c r="AL145" s="160">
        <f>H144+R145-AB145</f>
        <v/>
      </c>
      <c r="AM145" s="160">
        <f>I144+S145-AC145</f>
        <v/>
      </c>
      <c r="AN145" s="160">
        <f>J144+T145-AD145</f>
        <v/>
      </c>
      <c r="AO145" s="160">
        <f>K144+U145-AE145</f>
        <v/>
      </c>
      <c r="AP145" s="160">
        <f>L144+V145-AF145</f>
        <v/>
      </c>
      <c r="AQ145" s="160">
        <f>W145+MAX(0,MIN(AG145,'Debt Payoff'!$C$12-SUM($W145:$AF145)-SUMIFS($AG145:$AP145,$AG$4:$AP$4,"&lt;"&amp;AG$4)))</f>
        <v/>
      </c>
      <c r="AR145" s="160">
        <f>X145+MAX(0,MIN(AH145,'Debt Payoff'!$C$12-SUM($W145:$AF145)-SUMIFS($AG145:$AP145,$AG$4:$AP$4,"&lt;"&amp;AH$4)))</f>
        <v/>
      </c>
      <c r="AS145" s="160">
        <f>Y145+MAX(0,MIN(AI145,'Debt Payoff'!$C$12-SUM($W145:$AF145)-SUMIFS($AG145:$AP145,$AG$4:$AP$4,"&lt;"&amp;AI$4)))</f>
        <v/>
      </c>
      <c r="AT145" s="160">
        <f>Z145+MAX(0,MIN(AJ145,'Debt Payoff'!$C$12-SUM($W145:$AF145)-SUMIFS($AG145:$AP145,$AG$4:$AP$4,"&lt;"&amp;AJ$4)))</f>
        <v/>
      </c>
      <c r="AU145" s="160">
        <f>AA145+MAX(0,MIN(AK145,'Debt Payoff'!$C$12-SUM($W145:$AF145)-SUMIFS($AG145:$AP145,$AG$4:$AP$4,"&lt;"&amp;AK$4)))</f>
        <v/>
      </c>
      <c r="AV145" s="160">
        <f>AB145+MAX(0,MIN(AL145,'Debt Payoff'!$C$12-SUM($W145:$AF145)-SUMIFS($AG145:$AP145,$AG$4:$AP$4,"&lt;"&amp;AL$4)))</f>
        <v/>
      </c>
      <c r="AW145" s="160">
        <f>AC145+MAX(0,MIN(AM145,'Debt Payoff'!$C$12-SUM($W145:$AF145)-SUMIFS($AG145:$AP145,$AG$4:$AP$4,"&lt;"&amp;AM$4)))</f>
        <v/>
      </c>
      <c r="AX145" s="160">
        <f>AD145+MAX(0,MIN(AN145,'Debt Payoff'!$C$12-SUM($W145:$AF145)-SUMIFS($AG145:$AP145,$AG$4:$AP$4,"&lt;"&amp;AN$4)))</f>
        <v/>
      </c>
      <c r="AY145" s="160">
        <f>AE145+MAX(0,MIN(AO145,'Debt Payoff'!$C$12-SUM($W145:$AF145)-SUMIFS($AG145:$AP145,$AG$4:$AP$4,"&lt;"&amp;AO$4)))</f>
        <v/>
      </c>
      <c r="AZ145" s="160">
        <f>AF145+MAX(0,MIN(AP145,'Debt Payoff'!$C$12-SUM($W145:$AF145)-SUMIFS($AG145:$AP145,$AG$4:$AP$4,"&lt;"&amp;AP$4)))</f>
        <v/>
      </c>
      <c r="BA145" s="160">
        <f>SUM(C145:L145)</f>
        <v/>
      </c>
      <c r="BB145" s="160">
        <f>SUM(AQ145:AZ145)</f>
        <v/>
      </c>
      <c r="BC145" s="160">
        <f>SUM(M145:V145)</f>
        <v/>
      </c>
    </row>
    <row r="146">
      <c r="A146" s="157" t="n">
        <v>141</v>
      </c>
      <c r="B146" s="159">
        <f>EDATE('Debt Payoff'!$C$6,140)</f>
        <v/>
      </c>
      <c r="C146" s="160">
        <f>MAX(0,ROUND(C145+M146-AQ146,2))</f>
        <v/>
      </c>
      <c r="D146" s="160">
        <f>MAX(0,ROUND(D145+N146-AR146,2))</f>
        <v/>
      </c>
      <c r="E146" s="160">
        <f>MAX(0,ROUND(E145+O146-AS146,2))</f>
        <v/>
      </c>
      <c r="F146" s="160">
        <f>MAX(0,ROUND(F145+P146-AT146,2))</f>
        <v/>
      </c>
      <c r="G146" s="160">
        <f>MAX(0,ROUND(G145+Q146-AU146,2))</f>
        <v/>
      </c>
      <c r="H146" s="160">
        <f>MAX(0,ROUND(H145+R146-AV146,2))</f>
        <v/>
      </c>
      <c r="I146" s="160">
        <f>MAX(0,ROUND(I145+S146-AW146,2))</f>
        <v/>
      </c>
      <c r="J146" s="160">
        <f>MAX(0,ROUND(J145+T146-AX146,2))</f>
        <v/>
      </c>
      <c r="K146" s="160">
        <f>MAX(0,ROUND(K145+U146-AY146,2))</f>
        <v/>
      </c>
      <c r="L146" s="160">
        <f>MAX(0,ROUND(L145+V146-AZ146,2))</f>
        <v/>
      </c>
      <c r="M146" s="160">
        <f>C145*N('Debt Payoff'!$D$15)/12</f>
        <v/>
      </c>
      <c r="N146" s="160">
        <f>D145*N('Debt Payoff'!$D$16)/12</f>
        <v/>
      </c>
      <c r="O146" s="160">
        <f>E145*N('Debt Payoff'!$D$17)/12</f>
        <v/>
      </c>
      <c r="P146" s="160">
        <f>F145*N('Debt Payoff'!$D$18)/12</f>
        <v/>
      </c>
      <c r="Q146" s="160">
        <f>G145*N('Debt Payoff'!$D$19)/12</f>
        <v/>
      </c>
      <c r="R146" s="160">
        <f>H145*N('Debt Payoff'!$D$20)/12</f>
        <v/>
      </c>
      <c r="S146" s="160">
        <f>I145*N('Debt Payoff'!$D$21)/12</f>
        <v/>
      </c>
      <c r="T146" s="160">
        <f>J145*N('Debt Payoff'!$D$22)/12</f>
        <v/>
      </c>
      <c r="U146" s="160">
        <f>K145*N('Debt Payoff'!$D$23)/12</f>
        <v/>
      </c>
      <c r="V146" s="160">
        <f>L145*N('Debt Payoff'!$D$24)/12</f>
        <v/>
      </c>
      <c r="W146" s="160">
        <f>MIN(N('Debt Payoff'!$E$15),C145+M146)</f>
        <v/>
      </c>
      <c r="X146" s="160">
        <f>MIN(N('Debt Payoff'!$E$16),D145+N146)</f>
        <v/>
      </c>
      <c r="Y146" s="160">
        <f>MIN(N('Debt Payoff'!$E$17),E145+O146)</f>
        <v/>
      </c>
      <c r="Z146" s="160">
        <f>MIN(N('Debt Payoff'!$E$18),F145+P146)</f>
        <v/>
      </c>
      <c r="AA146" s="160">
        <f>MIN(N('Debt Payoff'!$E$19),G145+Q146)</f>
        <v/>
      </c>
      <c r="AB146" s="160">
        <f>MIN(N('Debt Payoff'!$E$20),H145+R146)</f>
        <v/>
      </c>
      <c r="AC146" s="160">
        <f>MIN(N('Debt Payoff'!$E$21),I145+S146)</f>
        <v/>
      </c>
      <c r="AD146" s="160">
        <f>MIN(N('Debt Payoff'!$E$22),J145+T146)</f>
        <v/>
      </c>
      <c r="AE146" s="160">
        <f>MIN(N('Debt Payoff'!$E$23),K145+U146)</f>
        <v/>
      </c>
      <c r="AF146" s="160">
        <f>MIN(N('Debt Payoff'!$E$24),L145+V146)</f>
        <v/>
      </c>
      <c r="AG146" s="160">
        <f>C145+M146-W146</f>
        <v/>
      </c>
      <c r="AH146" s="160">
        <f>D145+N146-X146</f>
        <v/>
      </c>
      <c r="AI146" s="160">
        <f>E145+O146-Y146</f>
        <v/>
      </c>
      <c r="AJ146" s="160">
        <f>F145+P146-Z146</f>
        <v/>
      </c>
      <c r="AK146" s="160">
        <f>G145+Q146-AA146</f>
        <v/>
      </c>
      <c r="AL146" s="160">
        <f>H145+R146-AB146</f>
        <v/>
      </c>
      <c r="AM146" s="160">
        <f>I145+S146-AC146</f>
        <v/>
      </c>
      <c r="AN146" s="160">
        <f>J145+T146-AD146</f>
        <v/>
      </c>
      <c r="AO146" s="160">
        <f>K145+U146-AE146</f>
        <v/>
      </c>
      <c r="AP146" s="160">
        <f>L145+V146-AF146</f>
        <v/>
      </c>
      <c r="AQ146" s="160">
        <f>W146+MAX(0,MIN(AG146,'Debt Payoff'!$C$12-SUM($W146:$AF146)-SUMIFS($AG146:$AP146,$AG$4:$AP$4,"&lt;"&amp;AG$4)))</f>
        <v/>
      </c>
      <c r="AR146" s="160">
        <f>X146+MAX(0,MIN(AH146,'Debt Payoff'!$C$12-SUM($W146:$AF146)-SUMIFS($AG146:$AP146,$AG$4:$AP$4,"&lt;"&amp;AH$4)))</f>
        <v/>
      </c>
      <c r="AS146" s="160">
        <f>Y146+MAX(0,MIN(AI146,'Debt Payoff'!$C$12-SUM($W146:$AF146)-SUMIFS($AG146:$AP146,$AG$4:$AP$4,"&lt;"&amp;AI$4)))</f>
        <v/>
      </c>
      <c r="AT146" s="160">
        <f>Z146+MAX(0,MIN(AJ146,'Debt Payoff'!$C$12-SUM($W146:$AF146)-SUMIFS($AG146:$AP146,$AG$4:$AP$4,"&lt;"&amp;AJ$4)))</f>
        <v/>
      </c>
      <c r="AU146" s="160">
        <f>AA146+MAX(0,MIN(AK146,'Debt Payoff'!$C$12-SUM($W146:$AF146)-SUMIFS($AG146:$AP146,$AG$4:$AP$4,"&lt;"&amp;AK$4)))</f>
        <v/>
      </c>
      <c r="AV146" s="160">
        <f>AB146+MAX(0,MIN(AL146,'Debt Payoff'!$C$12-SUM($W146:$AF146)-SUMIFS($AG146:$AP146,$AG$4:$AP$4,"&lt;"&amp;AL$4)))</f>
        <v/>
      </c>
      <c r="AW146" s="160">
        <f>AC146+MAX(0,MIN(AM146,'Debt Payoff'!$C$12-SUM($W146:$AF146)-SUMIFS($AG146:$AP146,$AG$4:$AP$4,"&lt;"&amp;AM$4)))</f>
        <v/>
      </c>
      <c r="AX146" s="160">
        <f>AD146+MAX(0,MIN(AN146,'Debt Payoff'!$C$12-SUM($W146:$AF146)-SUMIFS($AG146:$AP146,$AG$4:$AP$4,"&lt;"&amp;AN$4)))</f>
        <v/>
      </c>
      <c r="AY146" s="160">
        <f>AE146+MAX(0,MIN(AO146,'Debt Payoff'!$C$12-SUM($W146:$AF146)-SUMIFS($AG146:$AP146,$AG$4:$AP$4,"&lt;"&amp;AO$4)))</f>
        <v/>
      </c>
      <c r="AZ146" s="160">
        <f>AF146+MAX(0,MIN(AP146,'Debt Payoff'!$C$12-SUM($W146:$AF146)-SUMIFS($AG146:$AP146,$AG$4:$AP$4,"&lt;"&amp;AP$4)))</f>
        <v/>
      </c>
      <c r="BA146" s="160">
        <f>SUM(C146:L146)</f>
        <v/>
      </c>
      <c r="BB146" s="160">
        <f>SUM(AQ146:AZ146)</f>
        <v/>
      </c>
      <c r="BC146" s="160">
        <f>SUM(M146:V146)</f>
        <v/>
      </c>
    </row>
    <row r="147">
      <c r="A147" s="157" t="n">
        <v>142</v>
      </c>
      <c r="B147" s="159">
        <f>EDATE('Debt Payoff'!$C$6,141)</f>
        <v/>
      </c>
      <c r="C147" s="160">
        <f>MAX(0,ROUND(C146+M147-AQ147,2))</f>
        <v/>
      </c>
      <c r="D147" s="160">
        <f>MAX(0,ROUND(D146+N147-AR147,2))</f>
        <v/>
      </c>
      <c r="E147" s="160">
        <f>MAX(0,ROUND(E146+O147-AS147,2))</f>
        <v/>
      </c>
      <c r="F147" s="160">
        <f>MAX(0,ROUND(F146+P147-AT147,2))</f>
        <v/>
      </c>
      <c r="G147" s="160">
        <f>MAX(0,ROUND(G146+Q147-AU147,2))</f>
        <v/>
      </c>
      <c r="H147" s="160">
        <f>MAX(0,ROUND(H146+R147-AV147,2))</f>
        <v/>
      </c>
      <c r="I147" s="160">
        <f>MAX(0,ROUND(I146+S147-AW147,2))</f>
        <v/>
      </c>
      <c r="J147" s="160">
        <f>MAX(0,ROUND(J146+T147-AX147,2))</f>
        <v/>
      </c>
      <c r="K147" s="160">
        <f>MAX(0,ROUND(K146+U147-AY147,2))</f>
        <v/>
      </c>
      <c r="L147" s="160">
        <f>MAX(0,ROUND(L146+V147-AZ147,2))</f>
        <v/>
      </c>
      <c r="M147" s="160">
        <f>C146*N('Debt Payoff'!$D$15)/12</f>
        <v/>
      </c>
      <c r="N147" s="160">
        <f>D146*N('Debt Payoff'!$D$16)/12</f>
        <v/>
      </c>
      <c r="O147" s="160">
        <f>E146*N('Debt Payoff'!$D$17)/12</f>
        <v/>
      </c>
      <c r="P147" s="160">
        <f>F146*N('Debt Payoff'!$D$18)/12</f>
        <v/>
      </c>
      <c r="Q147" s="160">
        <f>G146*N('Debt Payoff'!$D$19)/12</f>
        <v/>
      </c>
      <c r="R147" s="160">
        <f>H146*N('Debt Payoff'!$D$20)/12</f>
        <v/>
      </c>
      <c r="S147" s="160">
        <f>I146*N('Debt Payoff'!$D$21)/12</f>
        <v/>
      </c>
      <c r="T147" s="160">
        <f>J146*N('Debt Payoff'!$D$22)/12</f>
        <v/>
      </c>
      <c r="U147" s="160">
        <f>K146*N('Debt Payoff'!$D$23)/12</f>
        <v/>
      </c>
      <c r="V147" s="160">
        <f>L146*N('Debt Payoff'!$D$24)/12</f>
        <v/>
      </c>
      <c r="W147" s="160">
        <f>MIN(N('Debt Payoff'!$E$15),C146+M147)</f>
        <v/>
      </c>
      <c r="X147" s="160">
        <f>MIN(N('Debt Payoff'!$E$16),D146+N147)</f>
        <v/>
      </c>
      <c r="Y147" s="160">
        <f>MIN(N('Debt Payoff'!$E$17),E146+O147)</f>
        <v/>
      </c>
      <c r="Z147" s="160">
        <f>MIN(N('Debt Payoff'!$E$18),F146+P147)</f>
        <v/>
      </c>
      <c r="AA147" s="160">
        <f>MIN(N('Debt Payoff'!$E$19),G146+Q147)</f>
        <v/>
      </c>
      <c r="AB147" s="160">
        <f>MIN(N('Debt Payoff'!$E$20),H146+R147)</f>
        <v/>
      </c>
      <c r="AC147" s="160">
        <f>MIN(N('Debt Payoff'!$E$21),I146+S147)</f>
        <v/>
      </c>
      <c r="AD147" s="160">
        <f>MIN(N('Debt Payoff'!$E$22),J146+T147)</f>
        <v/>
      </c>
      <c r="AE147" s="160">
        <f>MIN(N('Debt Payoff'!$E$23),K146+U147)</f>
        <v/>
      </c>
      <c r="AF147" s="160">
        <f>MIN(N('Debt Payoff'!$E$24),L146+V147)</f>
        <v/>
      </c>
      <c r="AG147" s="160">
        <f>C146+M147-W147</f>
        <v/>
      </c>
      <c r="AH147" s="160">
        <f>D146+N147-X147</f>
        <v/>
      </c>
      <c r="AI147" s="160">
        <f>E146+O147-Y147</f>
        <v/>
      </c>
      <c r="AJ147" s="160">
        <f>F146+P147-Z147</f>
        <v/>
      </c>
      <c r="AK147" s="160">
        <f>G146+Q147-AA147</f>
        <v/>
      </c>
      <c r="AL147" s="160">
        <f>H146+R147-AB147</f>
        <v/>
      </c>
      <c r="AM147" s="160">
        <f>I146+S147-AC147</f>
        <v/>
      </c>
      <c r="AN147" s="160">
        <f>J146+T147-AD147</f>
        <v/>
      </c>
      <c r="AO147" s="160">
        <f>K146+U147-AE147</f>
        <v/>
      </c>
      <c r="AP147" s="160">
        <f>L146+V147-AF147</f>
        <v/>
      </c>
      <c r="AQ147" s="160">
        <f>W147+MAX(0,MIN(AG147,'Debt Payoff'!$C$12-SUM($W147:$AF147)-SUMIFS($AG147:$AP147,$AG$4:$AP$4,"&lt;"&amp;AG$4)))</f>
        <v/>
      </c>
      <c r="AR147" s="160">
        <f>X147+MAX(0,MIN(AH147,'Debt Payoff'!$C$12-SUM($W147:$AF147)-SUMIFS($AG147:$AP147,$AG$4:$AP$4,"&lt;"&amp;AH$4)))</f>
        <v/>
      </c>
      <c r="AS147" s="160">
        <f>Y147+MAX(0,MIN(AI147,'Debt Payoff'!$C$12-SUM($W147:$AF147)-SUMIFS($AG147:$AP147,$AG$4:$AP$4,"&lt;"&amp;AI$4)))</f>
        <v/>
      </c>
      <c r="AT147" s="160">
        <f>Z147+MAX(0,MIN(AJ147,'Debt Payoff'!$C$12-SUM($W147:$AF147)-SUMIFS($AG147:$AP147,$AG$4:$AP$4,"&lt;"&amp;AJ$4)))</f>
        <v/>
      </c>
      <c r="AU147" s="160">
        <f>AA147+MAX(0,MIN(AK147,'Debt Payoff'!$C$12-SUM($W147:$AF147)-SUMIFS($AG147:$AP147,$AG$4:$AP$4,"&lt;"&amp;AK$4)))</f>
        <v/>
      </c>
      <c r="AV147" s="160">
        <f>AB147+MAX(0,MIN(AL147,'Debt Payoff'!$C$12-SUM($W147:$AF147)-SUMIFS($AG147:$AP147,$AG$4:$AP$4,"&lt;"&amp;AL$4)))</f>
        <v/>
      </c>
      <c r="AW147" s="160">
        <f>AC147+MAX(0,MIN(AM147,'Debt Payoff'!$C$12-SUM($W147:$AF147)-SUMIFS($AG147:$AP147,$AG$4:$AP$4,"&lt;"&amp;AM$4)))</f>
        <v/>
      </c>
      <c r="AX147" s="160">
        <f>AD147+MAX(0,MIN(AN147,'Debt Payoff'!$C$12-SUM($W147:$AF147)-SUMIFS($AG147:$AP147,$AG$4:$AP$4,"&lt;"&amp;AN$4)))</f>
        <v/>
      </c>
      <c r="AY147" s="160">
        <f>AE147+MAX(0,MIN(AO147,'Debt Payoff'!$C$12-SUM($W147:$AF147)-SUMIFS($AG147:$AP147,$AG$4:$AP$4,"&lt;"&amp;AO$4)))</f>
        <v/>
      </c>
      <c r="AZ147" s="160">
        <f>AF147+MAX(0,MIN(AP147,'Debt Payoff'!$C$12-SUM($W147:$AF147)-SUMIFS($AG147:$AP147,$AG$4:$AP$4,"&lt;"&amp;AP$4)))</f>
        <v/>
      </c>
      <c r="BA147" s="160">
        <f>SUM(C147:L147)</f>
        <v/>
      </c>
      <c r="BB147" s="160">
        <f>SUM(AQ147:AZ147)</f>
        <v/>
      </c>
      <c r="BC147" s="160">
        <f>SUM(M147:V147)</f>
        <v/>
      </c>
    </row>
    <row r="148">
      <c r="A148" s="157" t="n">
        <v>143</v>
      </c>
      <c r="B148" s="159">
        <f>EDATE('Debt Payoff'!$C$6,142)</f>
        <v/>
      </c>
      <c r="C148" s="160">
        <f>MAX(0,ROUND(C147+M148-AQ148,2))</f>
        <v/>
      </c>
      <c r="D148" s="160">
        <f>MAX(0,ROUND(D147+N148-AR148,2))</f>
        <v/>
      </c>
      <c r="E148" s="160">
        <f>MAX(0,ROUND(E147+O148-AS148,2))</f>
        <v/>
      </c>
      <c r="F148" s="160">
        <f>MAX(0,ROUND(F147+P148-AT148,2))</f>
        <v/>
      </c>
      <c r="G148" s="160">
        <f>MAX(0,ROUND(G147+Q148-AU148,2))</f>
        <v/>
      </c>
      <c r="H148" s="160">
        <f>MAX(0,ROUND(H147+R148-AV148,2))</f>
        <v/>
      </c>
      <c r="I148" s="160">
        <f>MAX(0,ROUND(I147+S148-AW148,2))</f>
        <v/>
      </c>
      <c r="J148" s="160">
        <f>MAX(0,ROUND(J147+T148-AX148,2))</f>
        <v/>
      </c>
      <c r="K148" s="160">
        <f>MAX(0,ROUND(K147+U148-AY148,2))</f>
        <v/>
      </c>
      <c r="L148" s="160">
        <f>MAX(0,ROUND(L147+V148-AZ148,2))</f>
        <v/>
      </c>
      <c r="M148" s="160">
        <f>C147*N('Debt Payoff'!$D$15)/12</f>
        <v/>
      </c>
      <c r="N148" s="160">
        <f>D147*N('Debt Payoff'!$D$16)/12</f>
        <v/>
      </c>
      <c r="O148" s="160">
        <f>E147*N('Debt Payoff'!$D$17)/12</f>
        <v/>
      </c>
      <c r="P148" s="160">
        <f>F147*N('Debt Payoff'!$D$18)/12</f>
        <v/>
      </c>
      <c r="Q148" s="160">
        <f>G147*N('Debt Payoff'!$D$19)/12</f>
        <v/>
      </c>
      <c r="R148" s="160">
        <f>H147*N('Debt Payoff'!$D$20)/12</f>
        <v/>
      </c>
      <c r="S148" s="160">
        <f>I147*N('Debt Payoff'!$D$21)/12</f>
        <v/>
      </c>
      <c r="T148" s="160">
        <f>J147*N('Debt Payoff'!$D$22)/12</f>
        <v/>
      </c>
      <c r="U148" s="160">
        <f>K147*N('Debt Payoff'!$D$23)/12</f>
        <v/>
      </c>
      <c r="V148" s="160">
        <f>L147*N('Debt Payoff'!$D$24)/12</f>
        <v/>
      </c>
      <c r="W148" s="160">
        <f>MIN(N('Debt Payoff'!$E$15),C147+M148)</f>
        <v/>
      </c>
      <c r="X148" s="160">
        <f>MIN(N('Debt Payoff'!$E$16),D147+N148)</f>
        <v/>
      </c>
      <c r="Y148" s="160">
        <f>MIN(N('Debt Payoff'!$E$17),E147+O148)</f>
        <v/>
      </c>
      <c r="Z148" s="160">
        <f>MIN(N('Debt Payoff'!$E$18),F147+P148)</f>
        <v/>
      </c>
      <c r="AA148" s="160">
        <f>MIN(N('Debt Payoff'!$E$19),G147+Q148)</f>
        <v/>
      </c>
      <c r="AB148" s="160">
        <f>MIN(N('Debt Payoff'!$E$20),H147+R148)</f>
        <v/>
      </c>
      <c r="AC148" s="160">
        <f>MIN(N('Debt Payoff'!$E$21),I147+S148)</f>
        <v/>
      </c>
      <c r="AD148" s="160">
        <f>MIN(N('Debt Payoff'!$E$22),J147+T148)</f>
        <v/>
      </c>
      <c r="AE148" s="160">
        <f>MIN(N('Debt Payoff'!$E$23),K147+U148)</f>
        <v/>
      </c>
      <c r="AF148" s="160">
        <f>MIN(N('Debt Payoff'!$E$24),L147+V148)</f>
        <v/>
      </c>
      <c r="AG148" s="160">
        <f>C147+M148-W148</f>
        <v/>
      </c>
      <c r="AH148" s="160">
        <f>D147+N148-X148</f>
        <v/>
      </c>
      <c r="AI148" s="160">
        <f>E147+O148-Y148</f>
        <v/>
      </c>
      <c r="AJ148" s="160">
        <f>F147+P148-Z148</f>
        <v/>
      </c>
      <c r="AK148" s="160">
        <f>G147+Q148-AA148</f>
        <v/>
      </c>
      <c r="AL148" s="160">
        <f>H147+R148-AB148</f>
        <v/>
      </c>
      <c r="AM148" s="160">
        <f>I147+S148-AC148</f>
        <v/>
      </c>
      <c r="AN148" s="160">
        <f>J147+T148-AD148</f>
        <v/>
      </c>
      <c r="AO148" s="160">
        <f>K147+U148-AE148</f>
        <v/>
      </c>
      <c r="AP148" s="160">
        <f>L147+V148-AF148</f>
        <v/>
      </c>
      <c r="AQ148" s="160">
        <f>W148+MAX(0,MIN(AG148,'Debt Payoff'!$C$12-SUM($W148:$AF148)-SUMIFS($AG148:$AP148,$AG$4:$AP$4,"&lt;"&amp;AG$4)))</f>
        <v/>
      </c>
      <c r="AR148" s="160">
        <f>X148+MAX(0,MIN(AH148,'Debt Payoff'!$C$12-SUM($W148:$AF148)-SUMIFS($AG148:$AP148,$AG$4:$AP$4,"&lt;"&amp;AH$4)))</f>
        <v/>
      </c>
      <c r="AS148" s="160">
        <f>Y148+MAX(0,MIN(AI148,'Debt Payoff'!$C$12-SUM($W148:$AF148)-SUMIFS($AG148:$AP148,$AG$4:$AP$4,"&lt;"&amp;AI$4)))</f>
        <v/>
      </c>
      <c r="AT148" s="160">
        <f>Z148+MAX(0,MIN(AJ148,'Debt Payoff'!$C$12-SUM($W148:$AF148)-SUMIFS($AG148:$AP148,$AG$4:$AP$4,"&lt;"&amp;AJ$4)))</f>
        <v/>
      </c>
      <c r="AU148" s="160">
        <f>AA148+MAX(0,MIN(AK148,'Debt Payoff'!$C$12-SUM($W148:$AF148)-SUMIFS($AG148:$AP148,$AG$4:$AP$4,"&lt;"&amp;AK$4)))</f>
        <v/>
      </c>
      <c r="AV148" s="160">
        <f>AB148+MAX(0,MIN(AL148,'Debt Payoff'!$C$12-SUM($W148:$AF148)-SUMIFS($AG148:$AP148,$AG$4:$AP$4,"&lt;"&amp;AL$4)))</f>
        <v/>
      </c>
      <c r="AW148" s="160">
        <f>AC148+MAX(0,MIN(AM148,'Debt Payoff'!$C$12-SUM($W148:$AF148)-SUMIFS($AG148:$AP148,$AG$4:$AP$4,"&lt;"&amp;AM$4)))</f>
        <v/>
      </c>
      <c r="AX148" s="160">
        <f>AD148+MAX(0,MIN(AN148,'Debt Payoff'!$C$12-SUM($W148:$AF148)-SUMIFS($AG148:$AP148,$AG$4:$AP$4,"&lt;"&amp;AN$4)))</f>
        <v/>
      </c>
      <c r="AY148" s="160">
        <f>AE148+MAX(0,MIN(AO148,'Debt Payoff'!$C$12-SUM($W148:$AF148)-SUMIFS($AG148:$AP148,$AG$4:$AP$4,"&lt;"&amp;AO$4)))</f>
        <v/>
      </c>
      <c r="AZ148" s="160">
        <f>AF148+MAX(0,MIN(AP148,'Debt Payoff'!$C$12-SUM($W148:$AF148)-SUMIFS($AG148:$AP148,$AG$4:$AP$4,"&lt;"&amp;AP$4)))</f>
        <v/>
      </c>
      <c r="BA148" s="160">
        <f>SUM(C148:L148)</f>
        <v/>
      </c>
      <c r="BB148" s="160">
        <f>SUM(AQ148:AZ148)</f>
        <v/>
      </c>
      <c r="BC148" s="160">
        <f>SUM(M148:V148)</f>
        <v/>
      </c>
    </row>
    <row r="149">
      <c r="A149" s="157" t="n">
        <v>144</v>
      </c>
      <c r="B149" s="159">
        <f>EDATE('Debt Payoff'!$C$6,143)</f>
        <v/>
      </c>
      <c r="C149" s="160">
        <f>MAX(0,ROUND(C148+M149-AQ149,2))</f>
        <v/>
      </c>
      <c r="D149" s="160">
        <f>MAX(0,ROUND(D148+N149-AR149,2))</f>
        <v/>
      </c>
      <c r="E149" s="160">
        <f>MAX(0,ROUND(E148+O149-AS149,2))</f>
        <v/>
      </c>
      <c r="F149" s="160">
        <f>MAX(0,ROUND(F148+P149-AT149,2))</f>
        <v/>
      </c>
      <c r="G149" s="160">
        <f>MAX(0,ROUND(G148+Q149-AU149,2))</f>
        <v/>
      </c>
      <c r="H149" s="160">
        <f>MAX(0,ROUND(H148+R149-AV149,2))</f>
        <v/>
      </c>
      <c r="I149" s="160">
        <f>MAX(0,ROUND(I148+S149-AW149,2))</f>
        <v/>
      </c>
      <c r="J149" s="160">
        <f>MAX(0,ROUND(J148+T149-AX149,2))</f>
        <v/>
      </c>
      <c r="K149" s="160">
        <f>MAX(0,ROUND(K148+U149-AY149,2))</f>
        <v/>
      </c>
      <c r="L149" s="160">
        <f>MAX(0,ROUND(L148+V149-AZ149,2))</f>
        <v/>
      </c>
      <c r="M149" s="160">
        <f>C148*N('Debt Payoff'!$D$15)/12</f>
        <v/>
      </c>
      <c r="N149" s="160">
        <f>D148*N('Debt Payoff'!$D$16)/12</f>
        <v/>
      </c>
      <c r="O149" s="160">
        <f>E148*N('Debt Payoff'!$D$17)/12</f>
        <v/>
      </c>
      <c r="P149" s="160">
        <f>F148*N('Debt Payoff'!$D$18)/12</f>
        <v/>
      </c>
      <c r="Q149" s="160">
        <f>G148*N('Debt Payoff'!$D$19)/12</f>
        <v/>
      </c>
      <c r="R149" s="160">
        <f>H148*N('Debt Payoff'!$D$20)/12</f>
        <v/>
      </c>
      <c r="S149" s="160">
        <f>I148*N('Debt Payoff'!$D$21)/12</f>
        <v/>
      </c>
      <c r="T149" s="160">
        <f>J148*N('Debt Payoff'!$D$22)/12</f>
        <v/>
      </c>
      <c r="U149" s="160">
        <f>K148*N('Debt Payoff'!$D$23)/12</f>
        <v/>
      </c>
      <c r="V149" s="160">
        <f>L148*N('Debt Payoff'!$D$24)/12</f>
        <v/>
      </c>
      <c r="W149" s="160">
        <f>MIN(N('Debt Payoff'!$E$15),C148+M149)</f>
        <v/>
      </c>
      <c r="X149" s="160">
        <f>MIN(N('Debt Payoff'!$E$16),D148+N149)</f>
        <v/>
      </c>
      <c r="Y149" s="160">
        <f>MIN(N('Debt Payoff'!$E$17),E148+O149)</f>
        <v/>
      </c>
      <c r="Z149" s="160">
        <f>MIN(N('Debt Payoff'!$E$18),F148+P149)</f>
        <v/>
      </c>
      <c r="AA149" s="160">
        <f>MIN(N('Debt Payoff'!$E$19),G148+Q149)</f>
        <v/>
      </c>
      <c r="AB149" s="160">
        <f>MIN(N('Debt Payoff'!$E$20),H148+R149)</f>
        <v/>
      </c>
      <c r="AC149" s="160">
        <f>MIN(N('Debt Payoff'!$E$21),I148+S149)</f>
        <v/>
      </c>
      <c r="AD149" s="160">
        <f>MIN(N('Debt Payoff'!$E$22),J148+T149)</f>
        <v/>
      </c>
      <c r="AE149" s="160">
        <f>MIN(N('Debt Payoff'!$E$23),K148+U149)</f>
        <v/>
      </c>
      <c r="AF149" s="160">
        <f>MIN(N('Debt Payoff'!$E$24),L148+V149)</f>
        <v/>
      </c>
      <c r="AG149" s="160">
        <f>C148+M149-W149</f>
        <v/>
      </c>
      <c r="AH149" s="160">
        <f>D148+N149-X149</f>
        <v/>
      </c>
      <c r="AI149" s="160">
        <f>E148+O149-Y149</f>
        <v/>
      </c>
      <c r="AJ149" s="160">
        <f>F148+P149-Z149</f>
        <v/>
      </c>
      <c r="AK149" s="160">
        <f>G148+Q149-AA149</f>
        <v/>
      </c>
      <c r="AL149" s="160">
        <f>H148+R149-AB149</f>
        <v/>
      </c>
      <c r="AM149" s="160">
        <f>I148+S149-AC149</f>
        <v/>
      </c>
      <c r="AN149" s="160">
        <f>J148+T149-AD149</f>
        <v/>
      </c>
      <c r="AO149" s="160">
        <f>K148+U149-AE149</f>
        <v/>
      </c>
      <c r="AP149" s="160">
        <f>L148+V149-AF149</f>
        <v/>
      </c>
      <c r="AQ149" s="160">
        <f>W149+MAX(0,MIN(AG149,'Debt Payoff'!$C$12-SUM($W149:$AF149)-SUMIFS($AG149:$AP149,$AG$4:$AP$4,"&lt;"&amp;AG$4)))</f>
        <v/>
      </c>
      <c r="AR149" s="160">
        <f>X149+MAX(0,MIN(AH149,'Debt Payoff'!$C$12-SUM($W149:$AF149)-SUMIFS($AG149:$AP149,$AG$4:$AP$4,"&lt;"&amp;AH$4)))</f>
        <v/>
      </c>
      <c r="AS149" s="160">
        <f>Y149+MAX(0,MIN(AI149,'Debt Payoff'!$C$12-SUM($W149:$AF149)-SUMIFS($AG149:$AP149,$AG$4:$AP$4,"&lt;"&amp;AI$4)))</f>
        <v/>
      </c>
      <c r="AT149" s="160">
        <f>Z149+MAX(0,MIN(AJ149,'Debt Payoff'!$C$12-SUM($W149:$AF149)-SUMIFS($AG149:$AP149,$AG$4:$AP$4,"&lt;"&amp;AJ$4)))</f>
        <v/>
      </c>
      <c r="AU149" s="160">
        <f>AA149+MAX(0,MIN(AK149,'Debt Payoff'!$C$12-SUM($W149:$AF149)-SUMIFS($AG149:$AP149,$AG$4:$AP$4,"&lt;"&amp;AK$4)))</f>
        <v/>
      </c>
      <c r="AV149" s="160">
        <f>AB149+MAX(0,MIN(AL149,'Debt Payoff'!$C$12-SUM($W149:$AF149)-SUMIFS($AG149:$AP149,$AG$4:$AP$4,"&lt;"&amp;AL$4)))</f>
        <v/>
      </c>
      <c r="AW149" s="160">
        <f>AC149+MAX(0,MIN(AM149,'Debt Payoff'!$C$12-SUM($W149:$AF149)-SUMIFS($AG149:$AP149,$AG$4:$AP$4,"&lt;"&amp;AM$4)))</f>
        <v/>
      </c>
      <c r="AX149" s="160">
        <f>AD149+MAX(0,MIN(AN149,'Debt Payoff'!$C$12-SUM($W149:$AF149)-SUMIFS($AG149:$AP149,$AG$4:$AP$4,"&lt;"&amp;AN$4)))</f>
        <v/>
      </c>
      <c r="AY149" s="160">
        <f>AE149+MAX(0,MIN(AO149,'Debt Payoff'!$C$12-SUM($W149:$AF149)-SUMIFS($AG149:$AP149,$AG$4:$AP$4,"&lt;"&amp;AO$4)))</f>
        <v/>
      </c>
      <c r="AZ149" s="160">
        <f>AF149+MAX(0,MIN(AP149,'Debt Payoff'!$C$12-SUM($W149:$AF149)-SUMIFS($AG149:$AP149,$AG$4:$AP$4,"&lt;"&amp;AP$4)))</f>
        <v/>
      </c>
      <c r="BA149" s="160">
        <f>SUM(C149:L149)</f>
        <v/>
      </c>
      <c r="BB149" s="160">
        <f>SUM(AQ149:AZ149)</f>
        <v/>
      </c>
      <c r="BC149" s="160">
        <f>SUM(M149:V149)</f>
        <v/>
      </c>
    </row>
    <row r="150">
      <c r="A150" s="157" t="n">
        <v>145</v>
      </c>
      <c r="B150" s="159">
        <f>EDATE('Debt Payoff'!$C$6,144)</f>
        <v/>
      </c>
      <c r="C150" s="160">
        <f>MAX(0,ROUND(C149+M150-AQ150,2))</f>
        <v/>
      </c>
      <c r="D150" s="160">
        <f>MAX(0,ROUND(D149+N150-AR150,2))</f>
        <v/>
      </c>
      <c r="E150" s="160">
        <f>MAX(0,ROUND(E149+O150-AS150,2))</f>
        <v/>
      </c>
      <c r="F150" s="160">
        <f>MAX(0,ROUND(F149+P150-AT150,2))</f>
        <v/>
      </c>
      <c r="G150" s="160">
        <f>MAX(0,ROUND(G149+Q150-AU150,2))</f>
        <v/>
      </c>
      <c r="H150" s="160">
        <f>MAX(0,ROUND(H149+R150-AV150,2))</f>
        <v/>
      </c>
      <c r="I150" s="160">
        <f>MAX(0,ROUND(I149+S150-AW150,2))</f>
        <v/>
      </c>
      <c r="J150" s="160">
        <f>MAX(0,ROUND(J149+T150-AX150,2))</f>
        <v/>
      </c>
      <c r="K150" s="160">
        <f>MAX(0,ROUND(K149+U150-AY150,2))</f>
        <v/>
      </c>
      <c r="L150" s="160">
        <f>MAX(0,ROUND(L149+V150-AZ150,2))</f>
        <v/>
      </c>
      <c r="M150" s="160">
        <f>C149*N('Debt Payoff'!$D$15)/12</f>
        <v/>
      </c>
      <c r="N150" s="160">
        <f>D149*N('Debt Payoff'!$D$16)/12</f>
        <v/>
      </c>
      <c r="O150" s="160">
        <f>E149*N('Debt Payoff'!$D$17)/12</f>
        <v/>
      </c>
      <c r="P150" s="160">
        <f>F149*N('Debt Payoff'!$D$18)/12</f>
        <v/>
      </c>
      <c r="Q150" s="160">
        <f>G149*N('Debt Payoff'!$D$19)/12</f>
        <v/>
      </c>
      <c r="R150" s="160">
        <f>H149*N('Debt Payoff'!$D$20)/12</f>
        <v/>
      </c>
      <c r="S150" s="160">
        <f>I149*N('Debt Payoff'!$D$21)/12</f>
        <v/>
      </c>
      <c r="T150" s="160">
        <f>J149*N('Debt Payoff'!$D$22)/12</f>
        <v/>
      </c>
      <c r="U150" s="160">
        <f>K149*N('Debt Payoff'!$D$23)/12</f>
        <v/>
      </c>
      <c r="V150" s="160">
        <f>L149*N('Debt Payoff'!$D$24)/12</f>
        <v/>
      </c>
      <c r="W150" s="160">
        <f>MIN(N('Debt Payoff'!$E$15),C149+M150)</f>
        <v/>
      </c>
      <c r="X150" s="160">
        <f>MIN(N('Debt Payoff'!$E$16),D149+N150)</f>
        <v/>
      </c>
      <c r="Y150" s="160">
        <f>MIN(N('Debt Payoff'!$E$17),E149+O150)</f>
        <v/>
      </c>
      <c r="Z150" s="160">
        <f>MIN(N('Debt Payoff'!$E$18),F149+P150)</f>
        <v/>
      </c>
      <c r="AA150" s="160">
        <f>MIN(N('Debt Payoff'!$E$19),G149+Q150)</f>
        <v/>
      </c>
      <c r="AB150" s="160">
        <f>MIN(N('Debt Payoff'!$E$20),H149+R150)</f>
        <v/>
      </c>
      <c r="AC150" s="160">
        <f>MIN(N('Debt Payoff'!$E$21),I149+S150)</f>
        <v/>
      </c>
      <c r="AD150" s="160">
        <f>MIN(N('Debt Payoff'!$E$22),J149+T150)</f>
        <v/>
      </c>
      <c r="AE150" s="160">
        <f>MIN(N('Debt Payoff'!$E$23),K149+U150)</f>
        <v/>
      </c>
      <c r="AF150" s="160">
        <f>MIN(N('Debt Payoff'!$E$24),L149+V150)</f>
        <v/>
      </c>
      <c r="AG150" s="160">
        <f>C149+M150-W150</f>
        <v/>
      </c>
      <c r="AH150" s="160">
        <f>D149+N150-X150</f>
        <v/>
      </c>
      <c r="AI150" s="160">
        <f>E149+O150-Y150</f>
        <v/>
      </c>
      <c r="AJ150" s="160">
        <f>F149+P150-Z150</f>
        <v/>
      </c>
      <c r="AK150" s="160">
        <f>G149+Q150-AA150</f>
        <v/>
      </c>
      <c r="AL150" s="160">
        <f>H149+R150-AB150</f>
        <v/>
      </c>
      <c r="AM150" s="160">
        <f>I149+S150-AC150</f>
        <v/>
      </c>
      <c r="AN150" s="160">
        <f>J149+T150-AD150</f>
        <v/>
      </c>
      <c r="AO150" s="160">
        <f>K149+U150-AE150</f>
        <v/>
      </c>
      <c r="AP150" s="160">
        <f>L149+V150-AF150</f>
        <v/>
      </c>
      <c r="AQ150" s="160">
        <f>W150+MAX(0,MIN(AG150,'Debt Payoff'!$C$12-SUM($W150:$AF150)-SUMIFS($AG150:$AP150,$AG$4:$AP$4,"&lt;"&amp;AG$4)))</f>
        <v/>
      </c>
      <c r="AR150" s="160">
        <f>X150+MAX(0,MIN(AH150,'Debt Payoff'!$C$12-SUM($W150:$AF150)-SUMIFS($AG150:$AP150,$AG$4:$AP$4,"&lt;"&amp;AH$4)))</f>
        <v/>
      </c>
      <c r="AS150" s="160">
        <f>Y150+MAX(0,MIN(AI150,'Debt Payoff'!$C$12-SUM($W150:$AF150)-SUMIFS($AG150:$AP150,$AG$4:$AP$4,"&lt;"&amp;AI$4)))</f>
        <v/>
      </c>
      <c r="AT150" s="160">
        <f>Z150+MAX(0,MIN(AJ150,'Debt Payoff'!$C$12-SUM($W150:$AF150)-SUMIFS($AG150:$AP150,$AG$4:$AP$4,"&lt;"&amp;AJ$4)))</f>
        <v/>
      </c>
      <c r="AU150" s="160">
        <f>AA150+MAX(0,MIN(AK150,'Debt Payoff'!$C$12-SUM($W150:$AF150)-SUMIFS($AG150:$AP150,$AG$4:$AP$4,"&lt;"&amp;AK$4)))</f>
        <v/>
      </c>
      <c r="AV150" s="160">
        <f>AB150+MAX(0,MIN(AL150,'Debt Payoff'!$C$12-SUM($W150:$AF150)-SUMIFS($AG150:$AP150,$AG$4:$AP$4,"&lt;"&amp;AL$4)))</f>
        <v/>
      </c>
      <c r="AW150" s="160">
        <f>AC150+MAX(0,MIN(AM150,'Debt Payoff'!$C$12-SUM($W150:$AF150)-SUMIFS($AG150:$AP150,$AG$4:$AP$4,"&lt;"&amp;AM$4)))</f>
        <v/>
      </c>
      <c r="AX150" s="160">
        <f>AD150+MAX(0,MIN(AN150,'Debt Payoff'!$C$12-SUM($W150:$AF150)-SUMIFS($AG150:$AP150,$AG$4:$AP$4,"&lt;"&amp;AN$4)))</f>
        <v/>
      </c>
      <c r="AY150" s="160">
        <f>AE150+MAX(0,MIN(AO150,'Debt Payoff'!$C$12-SUM($W150:$AF150)-SUMIFS($AG150:$AP150,$AG$4:$AP$4,"&lt;"&amp;AO$4)))</f>
        <v/>
      </c>
      <c r="AZ150" s="160">
        <f>AF150+MAX(0,MIN(AP150,'Debt Payoff'!$C$12-SUM($W150:$AF150)-SUMIFS($AG150:$AP150,$AG$4:$AP$4,"&lt;"&amp;AP$4)))</f>
        <v/>
      </c>
      <c r="BA150" s="160">
        <f>SUM(C150:L150)</f>
        <v/>
      </c>
      <c r="BB150" s="160">
        <f>SUM(AQ150:AZ150)</f>
        <v/>
      </c>
      <c r="BC150" s="160">
        <f>SUM(M150:V150)</f>
        <v/>
      </c>
    </row>
    <row r="151">
      <c r="A151" s="157" t="n">
        <v>146</v>
      </c>
      <c r="B151" s="159">
        <f>EDATE('Debt Payoff'!$C$6,145)</f>
        <v/>
      </c>
      <c r="C151" s="160">
        <f>MAX(0,ROUND(C150+M151-AQ151,2))</f>
        <v/>
      </c>
      <c r="D151" s="160">
        <f>MAX(0,ROUND(D150+N151-AR151,2))</f>
        <v/>
      </c>
      <c r="E151" s="160">
        <f>MAX(0,ROUND(E150+O151-AS151,2))</f>
        <v/>
      </c>
      <c r="F151" s="160">
        <f>MAX(0,ROUND(F150+P151-AT151,2))</f>
        <v/>
      </c>
      <c r="G151" s="160">
        <f>MAX(0,ROUND(G150+Q151-AU151,2))</f>
        <v/>
      </c>
      <c r="H151" s="160">
        <f>MAX(0,ROUND(H150+R151-AV151,2))</f>
        <v/>
      </c>
      <c r="I151" s="160">
        <f>MAX(0,ROUND(I150+S151-AW151,2))</f>
        <v/>
      </c>
      <c r="J151" s="160">
        <f>MAX(0,ROUND(J150+T151-AX151,2))</f>
        <v/>
      </c>
      <c r="K151" s="160">
        <f>MAX(0,ROUND(K150+U151-AY151,2))</f>
        <v/>
      </c>
      <c r="L151" s="160">
        <f>MAX(0,ROUND(L150+V151-AZ151,2))</f>
        <v/>
      </c>
      <c r="M151" s="160">
        <f>C150*N('Debt Payoff'!$D$15)/12</f>
        <v/>
      </c>
      <c r="N151" s="160">
        <f>D150*N('Debt Payoff'!$D$16)/12</f>
        <v/>
      </c>
      <c r="O151" s="160">
        <f>E150*N('Debt Payoff'!$D$17)/12</f>
        <v/>
      </c>
      <c r="P151" s="160">
        <f>F150*N('Debt Payoff'!$D$18)/12</f>
        <v/>
      </c>
      <c r="Q151" s="160">
        <f>G150*N('Debt Payoff'!$D$19)/12</f>
        <v/>
      </c>
      <c r="R151" s="160">
        <f>H150*N('Debt Payoff'!$D$20)/12</f>
        <v/>
      </c>
      <c r="S151" s="160">
        <f>I150*N('Debt Payoff'!$D$21)/12</f>
        <v/>
      </c>
      <c r="T151" s="160">
        <f>J150*N('Debt Payoff'!$D$22)/12</f>
        <v/>
      </c>
      <c r="U151" s="160">
        <f>K150*N('Debt Payoff'!$D$23)/12</f>
        <v/>
      </c>
      <c r="V151" s="160">
        <f>L150*N('Debt Payoff'!$D$24)/12</f>
        <v/>
      </c>
      <c r="W151" s="160">
        <f>MIN(N('Debt Payoff'!$E$15),C150+M151)</f>
        <v/>
      </c>
      <c r="X151" s="160">
        <f>MIN(N('Debt Payoff'!$E$16),D150+N151)</f>
        <v/>
      </c>
      <c r="Y151" s="160">
        <f>MIN(N('Debt Payoff'!$E$17),E150+O151)</f>
        <v/>
      </c>
      <c r="Z151" s="160">
        <f>MIN(N('Debt Payoff'!$E$18),F150+P151)</f>
        <v/>
      </c>
      <c r="AA151" s="160">
        <f>MIN(N('Debt Payoff'!$E$19),G150+Q151)</f>
        <v/>
      </c>
      <c r="AB151" s="160">
        <f>MIN(N('Debt Payoff'!$E$20),H150+R151)</f>
        <v/>
      </c>
      <c r="AC151" s="160">
        <f>MIN(N('Debt Payoff'!$E$21),I150+S151)</f>
        <v/>
      </c>
      <c r="AD151" s="160">
        <f>MIN(N('Debt Payoff'!$E$22),J150+T151)</f>
        <v/>
      </c>
      <c r="AE151" s="160">
        <f>MIN(N('Debt Payoff'!$E$23),K150+U151)</f>
        <v/>
      </c>
      <c r="AF151" s="160">
        <f>MIN(N('Debt Payoff'!$E$24),L150+V151)</f>
        <v/>
      </c>
      <c r="AG151" s="160">
        <f>C150+M151-W151</f>
        <v/>
      </c>
      <c r="AH151" s="160">
        <f>D150+N151-X151</f>
        <v/>
      </c>
      <c r="AI151" s="160">
        <f>E150+O151-Y151</f>
        <v/>
      </c>
      <c r="AJ151" s="160">
        <f>F150+P151-Z151</f>
        <v/>
      </c>
      <c r="AK151" s="160">
        <f>G150+Q151-AA151</f>
        <v/>
      </c>
      <c r="AL151" s="160">
        <f>H150+R151-AB151</f>
        <v/>
      </c>
      <c r="AM151" s="160">
        <f>I150+S151-AC151</f>
        <v/>
      </c>
      <c r="AN151" s="160">
        <f>J150+T151-AD151</f>
        <v/>
      </c>
      <c r="AO151" s="160">
        <f>K150+U151-AE151</f>
        <v/>
      </c>
      <c r="AP151" s="160">
        <f>L150+V151-AF151</f>
        <v/>
      </c>
      <c r="AQ151" s="160">
        <f>W151+MAX(0,MIN(AG151,'Debt Payoff'!$C$12-SUM($W151:$AF151)-SUMIFS($AG151:$AP151,$AG$4:$AP$4,"&lt;"&amp;AG$4)))</f>
        <v/>
      </c>
      <c r="AR151" s="160">
        <f>X151+MAX(0,MIN(AH151,'Debt Payoff'!$C$12-SUM($W151:$AF151)-SUMIFS($AG151:$AP151,$AG$4:$AP$4,"&lt;"&amp;AH$4)))</f>
        <v/>
      </c>
      <c r="AS151" s="160">
        <f>Y151+MAX(0,MIN(AI151,'Debt Payoff'!$C$12-SUM($W151:$AF151)-SUMIFS($AG151:$AP151,$AG$4:$AP$4,"&lt;"&amp;AI$4)))</f>
        <v/>
      </c>
      <c r="AT151" s="160">
        <f>Z151+MAX(0,MIN(AJ151,'Debt Payoff'!$C$12-SUM($W151:$AF151)-SUMIFS($AG151:$AP151,$AG$4:$AP$4,"&lt;"&amp;AJ$4)))</f>
        <v/>
      </c>
      <c r="AU151" s="160">
        <f>AA151+MAX(0,MIN(AK151,'Debt Payoff'!$C$12-SUM($W151:$AF151)-SUMIFS($AG151:$AP151,$AG$4:$AP$4,"&lt;"&amp;AK$4)))</f>
        <v/>
      </c>
      <c r="AV151" s="160">
        <f>AB151+MAX(0,MIN(AL151,'Debt Payoff'!$C$12-SUM($W151:$AF151)-SUMIFS($AG151:$AP151,$AG$4:$AP$4,"&lt;"&amp;AL$4)))</f>
        <v/>
      </c>
      <c r="AW151" s="160">
        <f>AC151+MAX(0,MIN(AM151,'Debt Payoff'!$C$12-SUM($W151:$AF151)-SUMIFS($AG151:$AP151,$AG$4:$AP$4,"&lt;"&amp;AM$4)))</f>
        <v/>
      </c>
      <c r="AX151" s="160">
        <f>AD151+MAX(0,MIN(AN151,'Debt Payoff'!$C$12-SUM($W151:$AF151)-SUMIFS($AG151:$AP151,$AG$4:$AP$4,"&lt;"&amp;AN$4)))</f>
        <v/>
      </c>
      <c r="AY151" s="160">
        <f>AE151+MAX(0,MIN(AO151,'Debt Payoff'!$C$12-SUM($W151:$AF151)-SUMIFS($AG151:$AP151,$AG$4:$AP$4,"&lt;"&amp;AO$4)))</f>
        <v/>
      </c>
      <c r="AZ151" s="160">
        <f>AF151+MAX(0,MIN(AP151,'Debt Payoff'!$C$12-SUM($W151:$AF151)-SUMIFS($AG151:$AP151,$AG$4:$AP$4,"&lt;"&amp;AP$4)))</f>
        <v/>
      </c>
      <c r="BA151" s="160">
        <f>SUM(C151:L151)</f>
        <v/>
      </c>
      <c r="BB151" s="160">
        <f>SUM(AQ151:AZ151)</f>
        <v/>
      </c>
      <c r="BC151" s="160">
        <f>SUM(M151:V151)</f>
        <v/>
      </c>
    </row>
    <row r="152">
      <c r="A152" s="157" t="n">
        <v>147</v>
      </c>
      <c r="B152" s="159">
        <f>EDATE('Debt Payoff'!$C$6,146)</f>
        <v/>
      </c>
      <c r="C152" s="160">
        <f>MAX(0,ROUND(C151+M152-AQ152,2))</f>
        <v/>
      </c>
      <c r="D152" s="160">
        <f>MAX(0,ROUND(D151+N152-AR152,2))</f>
        <v/>
      </c>
      <c r="E152" s="160">
        <f>MAX(0,ROUND(E151+O152-AS152,2))</f>
        <v/>
      </c>
      <c r="F152" s="160">
        <f>MAX(0,ROUND(F151+P152-AT152,2))</f>
        <v/>
      </c>
      <c r="G152" s="160">
        <f>MAX(0,ROUND(G151+Q152-AU152,2))</f>
        <v/>
      </c>
      <c r="H152" s="160">
        <f>MAX(0,ROUND(H151+R152-AV152,2))</f>
        <v/>
      </c>
      <c r="I152" s="160">
        <f>MAX(0,ROUND(I151+S152-AW152,2))</f>
        <v/>
      </c>
      <c r="J152" s="160">
        <f>MAX(0,ROUND(J151+T152-AX152,2))</f>
        <v/>
      </c>
      <c r="K152" s="160">
        <f>MAX(0,ROUND(K151+U152-AY152,2))</f>
        <v/>
      </c>
      <c r="L152" s="160">
        <f>MAX(0,ROUND(L151+V152-AZ152,2))</f>
        <v/>
      </c>
      <c r="M152" s="160">
        <f>C151*N('Debt Payoff'!$D$15)/12</f>
        <v/>
      </c>
      <c r="N152" s="160">
        <f>D151*N('Debt Payoff'!$D$16)/12</f>
        <v/>
      </c>
      <c r="O152" s="160">
        <f>E151*N('Debt Payoff'!$D$17)/12</f>
        <v/>
      </c>
      <c r="P152" s="160">
        <f>F151*N('Debt Payoff'!$D$18)/12</f>
        <v/>
      </c>
      <c r="Q152" s="160">
        <f>G151*N('Debt Payoff'!$D$19)/12</f>
        <v/>
      </c>
      <c r="R152" s="160">
        <f>H151*N('Debt Payoff'!$D$20)/12</f>
        <v/>
      </c>
      <c r="S152" s="160">
        <f>I151*N('Debt Payoff'!$D$21)/12</f>
        <v/>
      </c>
      <c r="T152" s="160">
        <f>J151*N('Debt Payoff'!$D$22)/12</f>
        <v/>
      </c>
      <c r="U152" s="160">
        <f>K151*N('Debt Payoff'!$D$23)/12</f>
        <v/>
      </c>
      <c r="V152" s="160">
        <f>L151*N('Debt Payoff'!$D$24)/12</f>
        <v/>
      </c>
      <c r="W152" s="160">
        <f>MIN(N('Debt Payoff'!$E$15),C151+M152)</f>
        <v/>
      </c>
      <c r="X152" s="160">
        <f>MIN(N('Debt Payoff'!$E$16),D151+N152)</f>
        <v/>
      </c>
      <c r="Y152" s="160">
        <f>MIN(N('Debt Payoff'!$E$17),E151+O152)</f>
        <v/>
      </c>
      <c r="Z152" s="160">
        <f>MIN(N('Debt Payoff'!$E$18),F151+P152)</f>
        <v/>
      </c>
      <c r="AA152" s="160">
        <f>MIN(N('Debt Payoff'!$E$19),G151+Q152)</f>
        <v/>
      </c>
      <c r="AB152" s="160">
        <f>MIN(N('Debt Payoff'!$E$20),H151+R152)</f>
        <v/>
      </c>
      <c r="AC152" s="160">
        <f>MIN(N('Debt Payoff'!$E$21),I151+S152)</f>
        <v/>
      </c>
      <c r="AD152" s="160">
        <f>MIN(N('Debt Payoff'!$E$22),J151+T152)</f>
        <v/>
      </c>
      <c r="AE152" s="160">
        <f>MIN(N('Debt Payoff'!$E$23),K151+U152)</f>
        <v/>
      </c>
      <c r="AF152" s="160">
        <f>MIN(N('Debt Payoff'!$E$24),L151+V152)</f>
        <v/>
      </c>
      <c r="AG152" s="160">
        <f>C151+M152-W152</f>
        <v/>
      </c>
      <c r="AH152" s="160">
        <f>D151+N152-X152</f>
        <v/>
      </c>
      <c r="AI152" s="160">
        <f>E151+O152-Y152</f>
        <v/>
      </c>
      <c r="AJ152" s="160">
        <f>F151+P152-Z152</f>
        <v/>
      </c>
      <c r="AK152" s="160">
        <f>G151+Q152-AA152</f>
        <v/>
      </c>
      <c r="AL152" s="160">
        <f>H151+R152-AB152</f>
        <v/>
      </c>
      <c r="AM152" s="160">
        <f>I151+S152-AC152</f>
        <v/>
      </c>
      <c r="AN152" s="160">
        <f>J151+T152-AD152</f>
        <v/>
      </c>
      <c r="AO152" s="160">
        <f>K151+U152-AE152</f>
        <v/>
      </c>
      <c r="AP152" s="160">
        <f>L151+V152-AF152</f>
        <v/>
      </c>
      <c r="AQ152" s="160">
        <f>W152+MAX(0,MIN(AG152,'Debt Payoff'!$C$12-SUM($W152:$AF152)-SUMIFS($AG152:$AP152,$AG$4:$AP$4,"&lt;"&amp;AG$4)))</f>
        <v/>
      </c>
      <c r="AR152" s="160">
        <f>X152+MAX(0,MIN(AH152,'Debt Payoff'!$C$12-SUM($W152:$AF152)-SUMIFS($AG152:$AP152,$AG$4:$AP$4,"&lt;"&amp;AH$4)))</f>
        <v/>
      </c>
      <c r="AS152" s="160">
        <f>Y152+MAX(0,MIN(AI152,'Debt Payoff'!$C$12-SUM($W152:$AF152)-SUMIFS($AG152:$AP152,$AG$4:$AP$4,"&lt;"&amp;AI$4)))</f>
        <v/>
      </c>
      <c r="AT152" s="160">
        <f>Z152+MAX(0,MIN(AJ152,'Debt Payoff'!$C$12-SUM($W152:$AF152)-SUMIFS($AG152:$AP152,$AG$4:$AP$4,"&lt;"&amp;AJ$4)))</f>
        <v/>
      </c>
      <c r="AU152" s="160">
        <f>AA152+MAX(0,MIN(AK152,'Debt Payoff'!$C$12-SUM($W152:$AF152)-SUMIFS($AG152:$AP152,$AG$4:$AP$4,"&lt;"&amp;AK$4)))</f>
        <v/>
      </c>
      <c r="AV152" s="160">
        <f>AB152+MAX(0,MIN(AL152,'Debt Payoff'!$C$12-SUM($W152:$AF152)-SUMIFS($AG152:$AP152,$AG$4:$AP$4,"&lt;"&amp;AL$4)))</f>
        <v/>
      </c>
      <c r="AW152" s="160">
        <f>AC152+MAX(0,MIN(AM152,'Debt Payoff'!$C$12-SUM($W152:$AF152)-SUMIFS($AG152:$AP152,$AG$4:$AP$4,"&lt;"&amp;AM$4)))</f>
        <v/>
      </c>
      <c r="AX152" s="160">
        <f>AD152+MAX(0,MIN(AN152,'Debt Payoff'!$C$12-SUM($W152:$AF152)-SUMIFS($AG152:$AP152,$AG$4:$AP$4,"&lt;"&amp;AN$4)))</f>
        <v/>
      </c>
      <c r="AY152" s="160">
        <f>AE152+MAX(0,MIN(AO152,'Debt Payoff'!$C$12-SUM($W152:$AF152)-SUMIFS($AG152:$AP152,$AG$4:$AP$4,"&lt;"&amp;AO$4)))</f>
        <v/>
      </c>
      <c r="AZ152" s="160">
        <f>AF152+MAX(0,MIN(AP152,'Debt Payoff'!$C$12-SUM($W152:$AF152)-SUMIFS($AG152:$AP152,$AG$4:$AP$4,"&lt;"&amp;AP$4)))</f>
        <v/>
      </c>
      <c r="BA152" s="160">
        <f>SUM(C152:L152)</f>
        <v/>
      </c>
      <c r="BB152" s="160">
        <f>SUM(AQ152:AZ152)</f>
        <v/>
      </c>
      <c r="BC152" s="160">
        <f>SUM(M152:V152)</f>
        <v/>
      </c>
    </row>
    <row r="153">
      <c r="A153" s="157" t="n">
        <v>148</v>
      </c>
      <c r="B153" s="159">
        <f>EDATE('Debt Payoff'!$C$6,147)</f>
        <v/>
      </c>
      <c r="C153" s="160">
        <f>MAX(0,ROUND(C152+M153-AQ153,2))</f>
        <v/>
      </c>
      <c r="D153" s="160">
        <f>MAX(0,ROUND(D152+N153-AR153,2))</f>
        <v/>
      </c>
      <c r="E153" s="160">
        <f>MAX(0,ROUND(E152+O153-AS153,2))</f>
        <v/>
      </c>
      <c r="F153" s="160">
        <f>MAX(0,ROUND(F152+P153-AT153,2))</f>
        <v/>
      </c>
      <c r="G153" s="160">
        <f>MAX(0,ROUND(G152+Q153-AU153,2))</f>
        <v/>
      </c>
      <c r="H153" s="160">
        <f>MAX(0,ROUND(H152+R153-AV153,2))</f>
        <v/>
      </c>
      <c r="I153" s="160">
        <f>MAX(0,ROUND(I152+S153-AW153,2))</f>
        <v/>
      </c>
      <c r="J153" s="160">
        <f>MAX(0,ROUND(J152+T153-AX153,2))</f>
        <v/>
      </c>
      <c r="K153" s="160">
        <f>MAX(0,ROUND(K152+U153-AY153,2))</f>
        <v/>
      </c>
      <c r="L153" s="160">
        <f>MAX(0,ROUND(L152+V153-AZ153,2))</f>
        <v/>
      </c>
      <c r="M153" s="160">
        <f>C152*N('Debt Payoff'!$D$15)/12</f>
        <v/>
      </c>
      <c r="N153" s="160">
        <f>D152*N('Debt Payoff'!$D$16)/12</f>
        <v/>
      </c>
      <c r="O153" s="160">
        <f>E152*N('Debt Payoff'!$D$17)/12</f>
        <v/>
      </c>
      <c r="P153" s="160">
        <f>F152*N('Debt Payoff'!$D$18)/12</f>
        <v/>
      </c>
      <c r="Q153" s="160">
        <f>G152*N('Debt Payoff'!$D$19)/12</f>
        <v/>
      </c>
      <c r="R153" s="160">
        <f>H152*N('Debt Payoff'!$D$20)/12</f>
        <v/>
      </c>
      <c r="S153" s="160">
        <f>I152*N('Debt Payoff'!$D$21)/12</f>
        <v/>
      </c>
      <c r="T153" s="160">
        <f>J152*N('Debt Payoff'!$D$22)/12</f>
        <v/>
      </c>
      <c r="U153" s="160">
        <f>K152*N('Debt Payoff'!$D$23)/12</f>
        <v/>
      </c>
      <c r="V153" s="160">
        <f>L152*N('Debt Payoff'!$D$24)/12</f>
        <v/>
      </c>
      <c r="W153" s="160">
        <f>MIN(N('Debt Payoff'!$E$15),C152+M153)</f>
        <v/>
      </c>
      <c r="X153" s="160">
        <f>MIN(N('Debt Payoff'!$E$16),D152+N153)</f>
        <v/>
      </c>
      <c r="Y153" s="160">
        <f>MIN(N('Debt Payoff'!$E$17),E152+O153)</f>
        <v/>
      </c>
      <c r="Z153" s="160">
        <f>MIN(N('Debt Payoff'!$E$18),F152+P153)</f>
        <v/>
      </c>
      <c r="AA153" s="160">
        <f>MIN(N('Debt Payoff'!$E$19),G152+Q153)</f>
        <v/>
      </c>
      <c r="AB153" s="160">
        <f>MIN(N('Debt Payoff'!$E$20),H152+R153)</f>
        <v/>
      </c>
      <c r="AC153" s="160">
        <f>MIN(N('Debt Payoff'!$E$21),I152+S153)</f>
        <v/>
      </c>
      <c r="AD153" s="160">
        <f>MIN(N('Debt Payoff'!$E$22),J152+T153)</f>
        <v/>
      </c>
      <c r="AE153" s="160">
        <f>MIN(N('Debt Payoff'!$E$23),K152+U153)</f>
        <v/>
      </c>
      <c r="AF153" s="160">
        <f>MIN(N('Debt Payoff'!$E$24),L152+V153)</f>
        <v/>
      </c>
      <c r="AG153" s="160">
        <f>C152+M153-W153</f>
        <v/>
      </c>
      <c r="AH153" s="160">
        <f>D152+N153-X153</f>
        <v/>
      </c>
      <c r="AI153" s="160">
        <f>E152+O153-Y153</f>
        <v/>
      </c>
      <c r="AJ153" s="160">
        <f>F152+P153-Z153</f>
        <v/>
      </c>
      <c r="AK153" s="160">
        <f>G152+Q153-AA153</f>
        <v/>
      </c>
      <c r="AL153" s="160">
        <f>H152+R153-AB153</f>
        <v/>
      </c>
      <c r="AM153" s="160">
        <f>I152+S153-AC153</f>
        <v/>
      </c>
      <c r="AN153" s="160">
        <f>J152+T153-AD153</f>
        <v/>
      </c>
      <c r="AO153" s="160">
        <f>K152+U153-AE153</f>
        <v/>
      </c>
      <c r="AP153" s="160">
        <f>L152+V153-AF153</f>
        <v/>
      </c>
      <c r="AQ153" s="160">
        <f>W153+MAX(0,MIN(AG153,'Debt Payoff'!$C$12-SUM($W153:$AF153)-SUMIFS($AG153:$AP153,$AG$4:$AP$4,"&lt;"&amp;AG$4)))</f>
        <v/>
      </c>
      <c r="AR153" s="160">
        <f>X153+MAX(0,MIN(AH153,'Debt Payoff'!$C$12-SUM($W153:$AF153)-SUMIFS($AG153:$AP153,$AG$4:$AP$4,"&lt;"&amp;AH$4)))</f>
        <v/>
      </c>
      <c r="AS153" s="160">
        <f>Y153+MAX(0,MIN(AI153,'Debt Payoff'!$C$12-SUM($W153:$AF153)-SUMIFS($AG153:$AP153,$AG$4:$AP$4,"&lt;"&amp;AI$4)))</f>
        <v/>
      </c>
      <c r="AT153" s="160">
        <f>Z153+MAX(0,MIN(AJ153,'Debt Payoff'!$C$12-SUM($W153:$AF153)-SUMIFS($AG153:$AP153,$AG$4:$AP$4,"&lt;"&amp;AJ$4)))</f>
        <v/>
      </c>
      <c r="AU153" s="160">
        <f>AA153+MAX(0,MIN(AK153,'Debt Payoff'!$C$12-SUM($W153:$AF153)-SUMIFS($AG153:$AP153,$AG$4:$AP$4,"&lt;"&amp;AK$4)))</f>
        <v/>
      </c>
      <c r="AV153" s="160">
        <f>AB153+MAX(0,MIN(AL153,'Debt Payoff'!$C$12-SUM($W153:$AF153)-SUMIFS($AG153:$AP153,$AG$4:$AP$4,"&lt;"&amp;AL$4)))</f>
        <v/>
      </c>
      <c r="AW153" s="160">
        <f>AC153+MAX(0,MIN(AM153,'Debt Payoff'!$C$12-SUM($W153:$AF153)-SUMIFS($AG153:$AP153,$AG$4:$AP$4,"&lt;"&amp;AM$4)))</f>
        <v/>
      </c>
      <c r="AX153" s="160">
        <f>AD153+MAX(0,MIN(AN153,'Debt Payoff'!$C$12-SUM($W153:$AF153)-SUMIFS($AG153:$AP153,$AG$4:$AP$4,"&lt;"&amp;AN$4)))</f>
        <v/>
      </c>
      <c r="AY153" s="160">
        <f>AE153+MAX(0,MIN(AO153,'Debt Payoff'!$C$12-SUM($W153:$AF153)-SUMIFS($AG153:$AP153,$AG$4:$AP$4,"&lt;"&amp;AO$4)))</f>
        <v/>
      </c>
      <c r="AZ153" s="160">
        <f>AF153+MAX(0,MIN(AP153,'Debt Payoff'!$C$12-SUM($W153:$AF153)-SUMIFS($AG153:$AP153,$AG$4:$AP$4,"&lt;"&amp;AP$4)))</f>
        <v/>
      </c>
      <c r="BA153" s="160">
        <f>SUM(C153:L153)</f>
        <v/>
      </c>
      <c r="BB153" s="160">
        <f>SUM(AQ153:AZ153)</f>
        <v/>
      </c>
      <c r="BC153" s="160">
        <f>SUM(M153:V153)</f>
        <v/>
      </c>
    </row>
    <row r="154">
      <c r="A154" s="157" t="n">
        <v>149</v>
      </c>
      <c r="B154" s="159">
        <f>EDATE('Debt Payoff'!$C$6,148)</f>
        <v/>
      </c>
      <c r="C154" s="160">
        <f>MAX(0,ROUND(C153+M154-AQ154,2))</f>
        <v/>
      </c>
      <c r="D154" s="160">
        <f>MAX(0,ROUND(D153+N154-AR154,2))</f>
        <v/>
      </c>
      <c r="E154" s="160">
        <f>MAX(0,ROUND(E153+O154-AS154,2))</f>
        <v/>
      </c>
      <c r="F154" s="160">
        <f>MAX(0,ROUND(F153+P154-AT154,2))</f>
        <v/>
      </c>
      <c r="G154" s="160">
        <f>MAX(0,ROUND(G153+Q154-AU154,2))</f>
        <v/>
      </c>
      <c r="H154" s="160">
        <f>MAX(0,ROUND(H153+R154-AV154,2))</f>
        <v/>
      </c>
      <c r="I154" s="160">
        <f>MAX(0,ROUND(I153+S154-AW154,2))</f>
        <v/>
      </c>
      <c r="J154" s="160">
        <f>MAX(0,ROUND(J153+T154-AX154,2))</f>
        <v/>
      </c>
      <c r="K154" s="160">
        <f>MAX(0,ROUND(K153+U154-AY154,2))</f>
        <v/>
      </c>
      <c r="L154" s="160">
        <f>MAX(0,ROUND(L153+V154-AZ154,2))</f>
        <v/>
      </c>
      <c r="M154" s="160">
        <f>C153*N('Debt Payoff'!$D$15)/12</f>
        <v/>
      </c>
      <c r="N154" s="160">
        <f>D153*N('Debt Payoff'!$D$16)/12</f>
        <v/>
      </c>
      <c r="O154" s="160">
        <f>E153*N('Debt Payoff'!$D$17)/12</f>
        <v/>
      </c>
      <c r="P154" s="160">
        <f>F153*N('Debt Payoff'!$D$18)/12</f>
        <v/>
      </c>
      <c r="Q154" s="160">
        <f>G153*N('Debt Payoff'!$D$19)/12</f>
        <v/>
      </c>
      <c r="R154" s="160">
        <f>H153*N('Debt Payoff'!$D$20)/12</f>
        <v/>
      </c>
      <c r="S154" s="160">
        <f>I153*N('Debt Payoff'!$D$21)/12</f>
        <v/>
      </c>
      <c r="T154" s="160">
        <f>J153*N('Debt Payoff'!$D$22)/12</f>
        <v/>
      </c>
      <c r="U154" s="160">
        <f>K153*N('Debt Payoff'!$D$23)/12</f>
        <v/>
      </c>
      <c r="V154" s="160">
        <f>L153*N('Debt Payoff'!$D$24)/12</f>
        <v/>
      </c>
      <c r="W154" s="160">
        <f>MIN(N('Debt Payoff'!$E$15),C153+M154)</f>
        <v/>
      </c>
      <c r="X154" s="160">
        <f>MIN(N('Debt Payoff'!$E$16),D153+N154)</f>
        <v/>
      </c>
      <c r="Y154" s="160">
        <f>MIN(N('Debt Payoff'!$E$17),E153+O154)</f>
        <v/>
      </c>
      <c r="Z154" s="160">
        <f>MIN(N('Debt Payoff'!$E$18),F153+P154)</f>
        <v/>
      </c>
      <c r="AA154" s="160">
        <f>MIN(N('Debt Payoff'!$E$19),G153+Q154)</f>
        <v/>
      </c>
      <c r="AB154" s="160">
        <f>MIN(N('Debt Payoff'!$E$20),H153+R154)</f>
        <v/>
      </c>
      <c r="AC154" s="160">
        <f>MIN(N('Debt Payoff'!$E$21),I153+S154)</f>
        <v/>
      </c>
      <c r="AD154" s="160">
        <f>MIN(N('Debt Payoff'!$E$22),J153+T154)</f>
        <v/>
      </c>
      <c r="AE154" s="160">
        <f>MIN(N('Debt Payoff'!$E$23),K153+U154)</f>
        <v/>
      </c>
      <c r="AF154" s="160">
        <f>MIN(N('Debt Payoff'!$E$24),L153+V154)</f>
        <v/>
      </c>
      <c r="AG154" s="160">
        <f>C153+M154-W154</f>
        <v/>
      </c>
      <c r="AH154" s="160">
        <f>D153+N154-X154</f>
        <v/>
      </c>
      <c r="AI154" s="160">
        <f>E153+O154-Y154</f>
        <v/>
      </c>
      <c r="AJ154" s="160">
        <f>F153+P154-Z154</f>
        <v/>
      </c>
      <c r="AK154" s="160">
        <f>G153+Q154-AA154</f>
        <v/>
      </c>
      <c r="AL154" s="160">
        <f>H153+R154-AB154</f>
        <v/>
      </c>
      <c r="AM154" s="160">
        <f>I153+S154-AC154</f>
        <v/>
      </c>
      <c r="AN154" s="160">
        <f>J153+T154-AD154</f>
        <v/>
      </c>
      <c r="AO154" s="160">
        <f>K153+U154-AE154</f>
        <v/>
      </c>
      <c r="AP154" s="160">
        <f>L153+V154-AF154</f>
        <v/>
      </c>
      <c r="AQ154" s="160">
        <f>W154+MAX(0,MIN(AG154,'Debt Payoff'!$C$12-SUM($W154:$AF154)-SUMIFS($AG154:$AP154,$AG$4:$AP$4,"&lt;"&amp;AG$4)))</f>
        <v/>
      </c>
      <c r="AR154" s="160">
        <f>X154+MAX(0,MIN(AH154,'Debt Payoff'!$C$12-SUM($W154:$AF154)-SUMIFS($AG154:$AP154,$AG$4:$AP$4,"&lt;"&amp;AH$4)))</f>
        <v/>
      </c>
      <c r="AS154" s="160">
        <f>Y154+MAX(0,MIN(AI154,'Debt Payoff'!$C$12-SUM($W154:$AF154)-SUMIFS($AG154:$AP154,$AG$4:$AP$4,"&lt;"&amp;AI$4)))</f>
        <v/>
      </c>
      <c r="AT154" s="160">
        <f>Z154+MAX(0,MIN(AJ154,'Debt Payoff'!$C$12-SUM($W154:$AF154)-SUMIFS($AG154:$AP154,$AG$4:$AP$4,"&lt;"&amp;AJ$4)))</f>
        <v/>
      </c>
      <c r="AU154" s="160">
        <f>AA154+MAX(0,MIN(AK154,'Debt Payoff'!$C$12-SUM($W154:$AF154)-SUMIFS($AG154:$AP154,$AG$4:$AP$4,"&lt;"&amp;AK$4)))</f>
        <v/>
      </c>
      <c r="AV154" s="160">
        <f>AB154+MAX(0,MIN(AL154,'Debt Payoff'!$C$12-SUM($W154:$AF154)-SUMIFS($AG154:$AP154,$AG$4:$AP$4,"&lt;"&amp;AL$4)))</f>
        <v/>
      </c>
      <c r="AW154" s="160">
        <f>AC154+MAX(0,MIN(AM154,'Debt Payoff'!$C$12-SUM($W154:$AF154)-SUMIFS($AG154:$AP154,$AG$4:$AP$4,"&lt;"&amp;AM$4)))</f>
        <v/>
      </c>
      <c r="AX154" s="160">
        <f>AD154+MAX(0,MIN(AN154,'Debt Payoff'!$C$12-SUM($W154:$AF154)-SUMIFS($AG154:$AP154,$AG$4:$AP$4,"&lt;"&amp;AN$4)))</f>
        <v/>
      </c>
      <c r="AY154" s="160">
        <f>AE154+MAX(0,MIN(AO154,'Debt Payoff'!$C$12-SUM($W154:$AF154)-SUMIFS($AG154:$AP154,$AG$4:$AP$4,"&lt;"&amp;AO$4)))</f>
        <v/>
      </c>
      <c r="AZ154" s="160">
        <f>AF154+MAX(0,MIN(AP154,'Debt Payoff'!$C$12-SUM($W154:$AF154)-SUMIFS($AG154:$AP154,$AG$4:$AP$4,"&lt;"&amp;AP$4)))</f>
        <v/>
      </c>
      <c r="BA154" s="160">
        <f>SUM(C154:L154)</f>
        <v/>
      </c>
      <c r="BB154" s="160">
        <f>SUM(AQ154:AZ154)</f>
        <v/>
      </c>
      <c r="BC154" s="160">
        <f>SUM(M154:V154)</f>
        <v/>
      </c>
    </row>
    <row r="155">
      <c r="A155" s="157" t="n">
        <v>150</v>
      </c>
      <c r="B155" s="159">
        <f>EDATE('Debt Payoff'!$C$6,149)</f>
        <v/>
      </c>
      <c r="C155" s="160">
        <f>MAX(0,ROUND(C154+M155-AQ155,2))</f>
        <v/>
      </c>
      <c r="D155" s="160">
        <f>MAX(0,ROUND(D154+N155-AR155,2))</f>
        <v/>
      </c>
      <c r="E155" s="160">
        <f>MAX(0,ROUND(E154+O155-AS155,2))</f>
        <v/>
      </c>
      <c r="F155" s="160">
        <f>MAX(0,ROUND(F154+P155-AT155,2))</f>
        <v/>
      </c>
      <c r="G155" s="160">
        <f>MAX(0,ROUND(G154+Q155-AU155,2))</f>
        <v/>
      </c>
      <c r="H155" s="160">
        <f>MAX(0,ROUND(H154+R155-AV155,2))</f>
        <v/>
      </c>
      <c r="I155" s="160">
        <f>MAX(0,ROUND(I154+S155-AW155,2))</f>
        <v/>
      </c>
      <c r="J155" s="160">
        <f>MAX(0,ROUND(J154+T155-AX155,2))</f>
        <v/>
      </c>
      <c r="K155" s="160">
        <f>MAX(0,ROUND(K154+U155-AY155,2))</f>
        <v/>
      </c>
      <c r="L155" s="160">
        <f>MAX(0,ROUND(L154+V155-AZ155,2))</f>
        <v/>
      </c>
      <c r="M155" s="160">
        <f>C154*N('Debt Payoff'!$D$15)/12</f>
        <v/>
      </c>
      <c r="N155" s="160">
        <f>D154*N('Debt Payoff'!$D$16)/12</f>
        <v/>
      </c>
      <c r="O155" s="160">
        <f>E154*N('Debt Payoff'!$D$17)/12</f>
        <v/>
      </c>
      <c r="P155" s="160">
        <f>F154*N('Debt Payoff'!$D$18)/12</f>
        <v/>
      </c>
      <c r="Q155" s="160">
        <f>G154*N('Debt Payoff'!$D$19)/12</f>
        <v/>
      </c>
      <c r="R155" s="160">
        <f>H154*N('Debt Payoff'!$D$20)/12</f>
        <v/>
      </c>
      <c r="S155" s="160">
        <f>I154*N('Debt Payoff'!$D$21)/12</f>
        <v/>
      </c>
      <c r="T155" s="160">
        <f>J154*N('Debt Payoff'!$D$22)/12</f>
        <v/>
      </c>
      <c r="U155" s="160">
        <f>K154*N('Debt Payoff'!$D$23)/12</f>
        <v/>
      </c>
      <c r="V155" s="160">
        <f>L154*N('Debt Payoff'!$D$24)/12</f>
        <v/>
      </c>
      <c r="W155" s="160">
        <f>MIN(N('Debt Payoff'!$E$15),C154+M155)</f>
        <v/>
      </c>
      <c r="X155" s="160">
        <f>MIN(N('Debt Payoff'!$E$16),D154+N155)</f>
        <v/>
      </c>
      <c r="Y155" s="160">
        <f>MIN(N('Debt Payoff'!$E$17),E154+O155)</f>
        <v/>
      </c>
      <c r="Z155" s="160">
        <f>MIN(N('Debt Payoff'!$E$18),F154+P155)</f>
        <v/>
      </c>
      <c r="AA155" s="160">
        <f>MIN(N('Debt Payoff'!$E$19),G154+Q155)</f>
        <v/>
      </c>
      <c r="AB155" s="160">
        <f>MIN(N('Debt Payoff'!$E$20),H154+R155)</f>
        <v/>
      </c>
      <c r="AC155" s="160">
        <f>MIN(N('Debt Payoff'!$E$21),I154+S155)</f>
        <v/>
      </c>
      <c r="AD155" s="160">
        <f>MIN(N('Debt Payoff'!$E$22),J154+T155)</f>
        <v/>
      </c>
      <c r="AE155" s="160">
        <f>MIN(N('Debt Payoff'!$E$23),K154+U155)</f>
        <v/>
      </c>
      <c r="AF155" s="160">
        <f>MIN(N('Debt Payoff'!$E$24),L154+V155)</f>
        <v/>
      </c>
      <c r="AG155" s="160">
        <f>C154+M155-W155</f>
        <v/>
      </c>
      <c r="AH155" s="160">
        <f>D154+N155-X155</f>
        <v/>
      </c>
      <c r="AI155" s="160">
        <f>E154+O155-Y155</f>
        <v/>
      </c>
      <c r="AJ155" s="160">
        <f>F154+P155-Z155</f>
        <v/>
      </c>
      <c r="AK155" s="160">
        <f>G154+Q155-AA155</f>
        <v/>
      </c>
      <c r="AL155" s="160">
        <f>H154+R155-AB155</f>
        <v/>
      </c>
      <c r="AM155" s="160">
        <f>I154+S155-AC155</f>
        <v/>
      </c>
      <c r="AN155" s="160">
        <f>J154+T155-AD155</f>
        <v/>
      </c>
      <c r="AO155" s="160">
        <f>K154+U155-AE155</f>
        <v/>
      </c>
      <c r="AP155" s="160">
        <f>L154+V155-AF155</f>
        <v/>
      </c>
      <c r="AQ155" s="160">
        <f>W155+MAX(0,MIN(AG155,'Debt Payoff'!$C$12-SUM($W155:$AF155)-SUMIFS($AG155:$AP155,$AG$4:$AP$4,"&lt;"&amp;AG$4)))</f>
        <v/>
      </c>
      <c r="AR155" s="160">
        <f>X155+MAX(0,MIN(AH155,'Debt Payoff'!$C$12-SUM($W155:$AF155)-SUMIFS($AG155:$AP155,$AG$4:$AP$4,"&lt;"&amp;AH$4)))</f>
        <v/>
      </c>
      <c r="AS155" s="160">
        <f>Y155+MAX(0,MIN(AI155,'Debt Payoff'!$C$12-SUM($W155:$AF155)-SUMIFS($AG155:$AP155,$AG$4:$AP$4,"&lt;"&amp;AI$4)))</f>
        <v/>
      </c>
      <c r="AT155" s="160">
        <f>Z155+MAX(0,MIN(AJ155,'Debt Payoff'!$C$12-SUM($W155:$AF155)-SUMIFS($AG155:$AP155,$AG$4:$AP$4,"&lt;"&amp;AJ$4)))</f>
        <v/>
      </c>
      <c r="AU155" s="160">
        <f>AA155+MAX(0,MIN(AK155,'Debt Payoff'!$C$12-SUM($W155:$AF155)-SUMIFS($AG155:$AP155,$AG$4:$AP$4,"&lt;"&amp;AK$4)))</f>
        <v/>
      </c>
      <c r="AV155" s="160">
        <f>AB155+MAX(0,MIN(AL155,'Debt Payoff'!$C$12-SUM($W155:$AF155)-SUMIFS($AG155:$AP155,$AG$4:$AP$4,"&lt;"&amp;AL$4)))</f>
        <v/>
      </c>
      <c r="AW155" s="160">
        <f>AC155+MAX(0,MIN(AM155,'Debt Payoff'!$C$12-SUM($W155:$AF155)-SUMIFS($AG155:$AP155,$AG$4:$AP$4,"&lt;"&amp;AM$4)))</f>
        <v/>
      </c>
      <c r="AX155" s="160">
        <f>AD155+MAX(0,MIN(AN155,'Debt Payoff'!$C$12-SUM($W155:$AF155)-SUMIFS($AG155:$AP155,$AG$4:$AP$4,"&lt;"&amp;AN$4)))</f>
        <v/>
      </c>
      <c r="AY155" s="160">
        <f>AE155+MAX(0,MIN(AO155,'Debt Payoff'!$C$12-SUM($W155:$AF155)-SUMIFS($AG155:$AP155,$AG$4:$AP$4,"&lt;"&amp;AO$4)))</f>
        <v/>
      </c>
      <c r="AZ155" s="160">
        <f>AF155+MAX(0,MIN(AP155,'Debt Payoff'!$C$12-SUM($W155:$AF155)-SUMIFS($AG155:$AP155,$AG$4:$AP$4,"&lt;"&amp;AP$4)))</f>
        <v/>
      </c>
      <c r="BA155" s="160">
        <f>SUM(C155:L155)</f>
        <v/>
      </c>
      <c r="BB155" s="160">
        <f>SUM(AQ155:AZ155)</f>
        <v/>
      </c>
      <c r="BC155" s="160">
        <f>SUM(M155:V155)</f>
        <v/>
      </c>
    </row>
    <row r="156">
      <c r="A156" s="157" t="n">
        <v>151</v>
      </c>
      <c r="B156" s="159">
        <f>EDATE('Debt Payoff'!$C$6,150)</f>
        <v/>
      </c>
      <c r="C156" s="160">
        <f>MAX(0,ROUND(C155+M156-AQ156,2))</f>
        <v/>
      </c>
      <c r="D156" s="160">
        <f>MAX(0,ROUND(D155+N156-AR156,2))</f>
        <v/>
      </c>
      <c r="E156" s="160">
        <f>MAX(0,ROUND(E155+O156-AS156,2))</f>
        <v/>
      </c>
      <c r="F156" s="160">
        <f>MAX(0,ROUND(F155+P156-AT156,2))</f>
        <v/>
      </c>
      <c r="G156" s="160">
        <f>MAX(0,ROUND(G155+Q156-AU156,2))</f>
        <v/>
      </c>
      <c r="H156" s="160">
        <f>MAX(0,ROUND(H155+R156-AV156,2))</f>
        <v/>
      </c>
      <c r="I156" s="160">
        <f>MAX(0,ROUND(I155+S156-AW156,2))</f>
        <v/>
      </c>
      <c r="J156" s="160">
        <f>MAX(0,ROUND(J155+T156-AX156,2))</f>
        <v/>
      </c>
      <c r="K156" s="160">
        <f>MAX(0,ROUND(K155+U156-AY156,2))</f>
        <v/>
      </c>
      <c r="L156" s="160">
        <f>MAX(0,ROUND(L155+V156-AZ156,2))</f>
        <v/>
      </c>
      <c r="M156" s="160">
        <f>C155*N('Debt Payoff'!$D$15)/12</f>
        <v/>
      </c>
      <c r="N156" s="160">
        <f>D155*N('Debt Payoff'!$D$16)/12</f>
        <v/>
      </c>
      <c r="O156" s="160">
        <f>E155*N('Debt Payoff'!$D$17)/12</f>
        <v/>
      </c>
      <c r="P156" s="160">
        <f>F155*N('Debt Payoff'!$D$18)/12</f>
        <v/>
      </c>
      <c r="Q156" s="160">
        <f>G155*N('Debt Payoff'!$D$19)/12</f>
        <v/>
      </c>
      <c r="R156" s="160">
        <f>H155*N('Debt Payoff'!$D$20)/12</f>
        <v/>
      </c>
      <c r="S156" s="160">
        <f>I155*N('Debt Payoff'!$D$21)/12</f>
        <v/>
      </c>
      <c r="T156" s="160">
        <f>J155*N('Debt Payoff'!$D$22)/12</f>
        <v/>
      </c>
      <c r="U156" s="160">
        <f>K155*N('Debt Payoff'!$D$23)/12</f>
        <v/>
      </c>
      <c r="V156" s="160">
        <f>L155*N('Debt Payoff'!$D$24)/12</f>
        <v/>
      </c>
      <c r="W156" s="160">
        <f>MIN(N('Debt Payoff'!$E$15),C155+M156)</f>
        <v/>
      </c>
      <c r="X156" s="160">
        <f>MIN(N('Debt Payoff'!$E$16),D155+N156)</f>
        <v/>
      </c>
      <c r="Y156" s="160">
        <f>MIN(N('Debt Payoff'!$E$17),E155+O156)</f>
        <v/>
      </c>
      <c r="Z156" s="160">
        <f>MIN(N('Debt Payoff'!$E$18),F155+P156)</f>
        <v/>
      </c>
      <c r="AA156" s="160">
        <f>MIN(N('Debt Payoff'!$E$19),G155+Q156)</f>
        <v/>
      </c>
      <c r="AB156" s="160">
        <f>MIN(N('Debt Payoff'!$E$20),H155+R156)</f>
        <v/>
      </c>
      <c r="AC156" s="160">
        <f>MIN(N('Debt Payoff'!$E$21),I155+S156)</f>
        <v/>
      </c>
      <c r="AD156" s="160">
        <f>MIN(N('Debt Payoff'!$E$22),J155+T156)</f>
        <v/>
      </c>
      <c r="AE156" s="160">
        <f>MIN(N('Debt Payoff'!$E$23),K155+U156)</f>
        <v/>
      </c>
      <c r="AF156" s="160">
        <f>MIN(N('Debt Payoff'!$E$24),L155+V156)</f>
        <v/>
      </c>
      <c r="AG156" s="160">
        <f>C155+M156-W156</f>
        <v/>
      </c>
      <c r="AH156" s="160">
        <f>D155+N156-X156</f>
        <v/>
      </c>
      <c r="AI156" s="160">
        <f>E155+O156-Y156</f>
        <v/>
      </c>
      <c r="AJ156" s="160">
        <f>F155+P156-Z156</f>
        <v/>
      </c>
      <c r="AK156" s="160">
        <f>G155+Q156-AA156</f>
        <v/>
      </c>
      <c r="AL156" s="160">
        <f>H155+R156-AB156</f>
        <v/>
      </c>
      <c r="AM156" s="160">
        <f>I155+S156-AC156</f>
        <v/>
      </c>
      <c r="AN156" s="160">
        <f>J155+T156-AD156</f>
        <v/>
      </c>
      <c r="AO156" s="160">
        <f>K155+U156-AE156</f>
        <v/>
      </c>
      <c r="AP156" s="160">
        <f>L155+V156-AF156</f>
        <v/>
      </c>
      <c r="AQ156" s="160">
        <f>W156+MAX(0,MIN(AG156,'Debt Payoff'!$C$12-SUM($W156:$AF156)-SUMIFS($AG156:$AP156,$AG$4:$AP$4,"&lt;"&amp;AG$4)))</f>
        <v/>
      </c>
      <c r="AR156" s="160">
        <f>X156+MAX(0,MIN(AH156,'Debt Payoff'!$C$12-SUM($W156:$AF156)-SUMIFS($AG156:$AP156,$AG$4:$AP$4,"&lt;"&amp;AH$4)))</f>
        <v/>
      </c>
      <c r="AS156" s="160">
        <f>Y156+MAX(0,MIN(AI156,'Debt Payoff'!$C$12-SUM($W156:$AF156)-SUMIFS($AG156:$AP156,$AG$4:$AP$4,"&lt;"&amp;AI$4)))</f>
        <v/>
      </c>
      <c r="AT156" s="160">
        <f>Z156+MAX(0,MIN(AJ156,'Debt Payoff'!$C$12-SUM($W156:$AF156)-SUMIFS($AG156:$AP156,$AG$4:$AP$4,"&lt;"&amp;AJ$4)))</f>
        <v/>
      </c>
      <c r="AU156" s="160">
        <f>AA156+MAX(0,MIN(AK156,'Debt Payoff'!$C$12-SUM($W156:$AF156)-SUMIFS($AG156:$AP156,$AG$4:$AP$4,"&lt;"&amp;AK$4)))</f>
        <v/>
      </c>
      <c r="AV156" s="160">
        <f>AB156+MAX(0,MIN(AL156,'Debt Payoff'!$C$12-SUM($W156:$AF156)-SUMIFS($AG156:$AP156,$AG$4:$AP$4,"&lt;"&amp;AL$4)))</f>
        <v/>
      </c>
      <c r="AW156" s="160">
        <f>AC156+MAX(0,MIN(AM156,'Debt Payoff'!$C$12-SUM($W156:$AF156)-SUMIFS($AG156:$AP156,$AG$4:$AP$4,"&lt;"&amp;AM$4)))</f>
        <v/>
      </c>
      <c r="AX156" s="160">
        <f>AD156+MAX(0,MIN(AN156,'Debt Payoff'!$C$12-SUM($W156:$AF156)-SUMIFS($AG156:$AP156,$AG$4:$AP$4,"&lt;"&amp;AN$4)))</f>
        <v/>
      </c>
      <c r="AY156" s="160">
        <f>AE156+MAX(0,MIN(AO156,'Debt Payoff'!$C$12-SUM($W156:$AF156)-SUMIFS($AG156:$AP156,$AG$4:$AP$4,"&lt;"&amp;AO$4)))</f>
        <v/>
      </c>
      <c r="AZ156" s="160">
        <f>AF156+MAX(0,MIN(AP156,'Debt Payoff'!$C$12-SUM($W156:$AF156)-SUMIFS($AG156:$AP156,$AG$4:$AP$4,"&lt;"&amp;AP$4)))</f>
        <v/>
      </c>
      <c r="BA156" s="160">
        <f>SUM(C156:L156)</f>
        <v/>
      </c>
      <c r="BB156" s="160">
        <f>SUM(AQ156:AZ156)</f>
        <v/>
      </c>
      <c r="BC156" s="160">
        <f>SUM(M156:V156)</f>
        <v/>
      </c>
    </row>
    <row r="157">
      <c r="A157" s="157" t="n">
        <v>152</v>
      </c>
      <c r="B157" s="159">
        <f>EDATE('Debt Payoff'!$C$6,151)</f>
        <v/>
      </c>
      <c r="C157" s="160">
        <f>MAX(0,ROUND(C156+M157-AQ157,2))</f>
        <v/>
      </c>
      <c r="D157" s="160">
        <f>MAX(0,ROUND(D156+N157-AR157,2))</f>
        <v/>
      </c>
      <c r="E157" s="160">
        <f>MAX(0,ROUND(E156+O157-AS157,2))</f>
        <v/>
      </c>
      <c r="F157" s="160">
        <f>MAX(0,ROUND(F156+P157-AT157,2))</f>
        <v/>
      </c>
      <c r="G157" s="160">
        <f>MAX(0,ROUND(G156+Q157-AU157,2))</f>
        <v/>
      </c>
      <c r="H157" s="160">
        <f>MAX(0,ROUND(H156+R157-AV157,2))</f>
        <v/>
      </c>
      <c r="I157" s="160">
        <f>MAX(0,ROUND(I156+S157-AW157,2))</f>
        <v/>
      </c>
      <c r="J157" s="160">
        <f>MAX(0,ROUND(J156+T157-AX157,2))</f>
        <v/>
      </c>
      <c r="K157" s="160">
        <f>MAX(0,ROUND(K156+U157-AY157,2))</f>
        <v/>
      </c>
      <c r="L157" s="160">
        <f>MAX(0,ROUND(L156+V157-AZ157,2))</f>
        <v/>
      </c>
      <c r="M157" s="160">
        <f>C156*N('Debt Payoff'!$D$15)/12</f>
        <v/>
      </c>
      <c r="N157" s="160">
        <f>D156*N('Debt Payoff'!$D$16)/12</f>
        <v/>
      </c>
      <c r="O157" s="160">
        <f>E156*N('Debt Payoff'!$D$17)/12</f>
        <v/>
      </c>
      <c r="P157" s="160">
        <f>F156*N('Debt Payoff'!$D$18)/12</f>
        <v/>
      </c>
      <c r="Q157" s="160">
        <f>G156*N('Debt Payoff'!$D$19)/12</f>
        <v/>
      </c>
      <c r="R157" s="160">
        <f>H156*N('Debt Payoff'!$D$20)/12</f>
        <v/>
      </c>
      <c r="S157" s="160">
        <f>I156*N('Debt Payoff'!$D$21)/12</f>
        <v/>
      </c>
      <c r="T157" s="160">
        <f>J156*N('Debt Payoff'!$D$22)/12</f>
        <v/>
      </c>
      <c r="U157" s="160">
        <f>K156*N('Debt Payoff'!$D$23)/12</f>
        <v/>
      </c>
      <c r="V157" s="160">
        <f>L156*N('Debt Payoff'!$D$24)/12</f>
        <v/>
      </c>
      <c r="W157" s="160">
        <f>MIN(N('Debt Payoff'!$E$15),C156+M157)</f>
        <v/>
      </c>
      <c r="X157" s="160">
        <f>MIN(N('Debt Payoff'!$E$16),D156+N157)</f>
        <v/>
      </c>
      <c r="Y157" s="160">
        <f>MIN(N('Debt Payoff'!$E$17),E156+O157)</f>
        <v/>
      </c>
      <c r="Z157" s="160">
        <f>MIN(N('Debt Payoff'!$E$18),F156+P157)</f>
        <v/>
      </c>
      <c r="AA157" s="160">
        <f>MIN(N('Debt Payoff'!$E$19),G156+Q157)</f>
        <v/>
      </c>
      <c r="AB157" s="160">
        <f>MIN(N('Debt Payoff'!$E$20),H156+R157)</f>
        <v/>
      </c>
      <c r="AC157" s="160">
        <f>MIN(N('Debt Payoff'!$E$21),I156+S157)</f>
        <v/>
      </c>
      <c r="AD157" s="160">
        <f>MIN(N('Debt Payoff'!$E$22),J156+T157)</f>
        <v/>
      </c>
      <c r="AE157" s="160">
        <f>MIN(N('Debt Payoff'!$E$23),K156+U157)</f>
        <v/>
      </c>
      <c r="AF157" s="160">
        <f>MIN(N('Debt Payoff'!$E$24),L156+V157)</f>
        <v/>
      </c>
      <c r="AG157" s="160">
        <f>C156+M157-W157</f>
        <v/>
      </c>
      <c r="AH157" s="160">
        <f>D156+N157-X157</f>
        <v/>
      </c>
      <c r="AI157" s="160">
        <f>E156+O157-Y157</f>
        <v/>
      </c>
      <c r="AJ157" s="160">
        <f>F156+P157-Z157</f>
        <v/>
      </c>
      <c r="AK157" s="160">
        <f>G156+Q157-AA157</f>
        <v/>
      </c>
      <c r="AL157" s="160">
        <f>H156+R157-AB157</f>
        <v/>
      </c>
      <c r="AM157" s="160">
        <f>I156+S157-AC157</f>
        <v/>
      </c>
      <c r="AN157" s="160">
        <f>J156+T157-AD157</f>
        <v/>
      </c>
      <c r="AO157" s="160">
        <f>K156+U157-AE157</f>
        <v/>
      </c>
      <c r="AP157" s="160">
        <f>L156+V157-AF157</f>
        <v/>
      </c>
      <c r="AQ157" s="160">
        <f>W157+MAX(0,MIN(AG157,'Debt Payoff'!$C$12-SUM($W157:$AF157)-SUMIFS($AG157:$AP157,$AG$4:$AP$4,"&lt;"&amp;AG$4)))</f>
        <v/>
      </c>
      <c r="AR157" s="160">
        <f>X157+MAX(0,MIN(AH157,'Debt Payoff'!$C$12-SUM($W157:$AF157)-SUMIFS($AG157:$AP157,$AG$4:$AP$4,"&lt;"&amp;AH$4)))</f>
        <v/>
      </c>
      <c r="AS157" s="160">
        <f>Y157+MAX(0,MIN(AI157,'Debt Payoff'!$C$12-SUM($W157:$AF157)-SUMIFS($AG157:$AP157,$AG$4:$AP$4,"&lt;"&amp;AI$4)))</f>
        <v/>
      </c>
      <c r="AT157" s="160">
        <f>Z157+MAX(0,MIN(AJ157,'Debt Payoff'!$C$12-SUM($W157:$AF157)-SUMIFS($AG157:$AP157,$AG$4:$AP$4,"&lt;"&amp;AJ$4)))</f>
        <v/>
      </c>
      <c r="AU157" s="160">
        <f>AA157+MAX(0,MIN(AK157,'Debt Payoff'!$C$12-SUM($W157:$AF157)-SUMIFS($AG157:$AP157,$AG$4:$AP$4,"&lt;"&amp;AK$4)))</f>
        <v/>
      </c>
      <c r="AV157" s="160">
        <f>AB157+MAX(0,MIN(AL157,'Debt Payoff'!$C$12-SUM($W157:$AF157)-SUMIFS($AG157:$AP157,$AG$4:$AP$4,"&lt;"&amp;AL$4)))</f>
        <v/>
      </c>
      <c r="AW157" s="160">
        <f>AC157+MAX(0,MIN(AM157,'Debt Payoff'!$C$12-SUM($W157:$AF157)-SUMIFS($AG157:$AP157,$AG$4:$AP$4,"&lt;"&amp;AM$4)))</f>
        <v/>
      </c>
      <c r="AX157" s="160">
        <f>AD157+MAX(0,MIN(AN157,'Debt Payoff'!$C$12-SUM($W157:$AF157)-SUMIFS($AG157:$AP157,$AG$4:$AP$4,"&lt;"&amp;AN$4)))</f>
        <v/>
      </c>
      <c r="AY157" s="160">
        <f>AE157+MAX(0,MIN(AO157,'Debt Payoff'!$C$12-SUM($W157:$AF157)-SUMIFS($AG157:$AP157,$AG$4:$AP$4,"&lt;"&amp;AO$4)))</f>
        <v/>
      </c>
      <c r="AZ157" s="160">
        <f>AF157+MAX(0,MIN(AP157,'Debt Payoff'!$C$12-SUM($W157:$AF157)-SUMIFS($AG157:$AP157,$AG$4:$AP$4,"&lt;"&amp;AP$4)))</f>
        <v/>
      </c>
      <c r="BA157" s="160">
        <f>SUM(C157:L157)</f>
        <v/>
      </c>
      <c r="BB157" s="160">
        <f>SUM(AQ157:AZ157)</f>
        <v/>
      </c>
      <c r="BC157" s="160">
        <f>SUM(M157:V157)</f>
        <v/>
      </c>
    </row>
    <row r="158">
      <c r="A158" s="157" t="n">
        <v>153</v>
      </c>
      <c r="B158" s="159">
        <f>EDATE('Debt Payoff'!$C$6,152)</f>
        <v/>
      </c>
      <c r="C158" s="160">
        <f>MAX(0,ROUND(C157+M158-AQ158,2))</f>
        <v/>
      </c>
      <c r="D158" s="160">
        <f>MAX(0,ROUND(D157+N158-AR158,2))</f>
        <v/>
      </c>
      <c r="E158" s="160">
        <f>MAX(0,ROUND(E157+O158-AS158,2))</f>
        <v/>
      </c>
      <c r="F158" s="160">
        <f>MAX(0,ROUND(F157+P158-AT158,2))</f>
        <v/>
      </c>
      <c r="G158" s="160">
        <f>MAX(0,ROUND(G157+Q158-AU158,2))</f>
        <v/>
      </c>
      <c r="H158" s="160">
        <f>MAX(0,ROUND(H157+R158-AV158,2))</f>
        <v/>
      </c>
      <c r="I158" s="160">
        <f>MAX(0,ROUND(I157+S158-AW158,2))</f>
        <v/>
      </c>
      <c r="J158" s="160">
        <f>MAX(0,ROUND(J157+T158-AX158,2))</f>
        <v/>
      </c>
      <c r="K158" s="160">
        <f>MAX(0,ROUND(K157+U158-AY158,2))</f>
        <v/>
      </c>
      <c r="L158" s="160">
        <f>MAX(0,ROUND(L157+V158-AZ158,2))</f>
        <v/>
      </c>
      <c r="M158" s="160">
        <f>C157*N('Debt Payoff'!$D$15)/12</f>
        <v/>
      </c>
      <c r="N158" s="160">
        <f>D157*N('Debt Payoff'!$D$16)/12</f>
        <v/>
      </c>
      <c r="O158" s="160">
        <f>E157*N('Debt Payoff'!$D$17)/12</f>
        <v/>
      </c>
      <c r="P158" s="160">
        <f>F157*N('Debt Payoff'!$D$18)/12</f>
        <v/>
      </c>
      <c r="Q158" s="160">
        <f>G157*N('Debt Payoff'!$D$19)/12</f>
        <v/>
      </c>
      <c r="R158" s="160">
        <f>H157*N('Debt Payoff'!$D$20)/12</f>
        <v/>
      </c>
      <c r="S158" s="160">
        <f>I157*N('Debt Payoff'!$D$21)/12</f>
        <v/>
      </c>
      <c r="T158" s="160">
        <f>J157*N('Debt Payoff'!$D$22)/12</f>
        <v/>
      </c>
      <c r="U158" s="160">
        <f>K157*N('Debt Payoff'!$D$23)/12</f>
        <v/>
      </c>
      <c r="V158" s="160">
        <f>L157*N('Debt Payoff'!$D$24)/12</f>
        <v/>
      </c>
      <c r="W158" s="160">
        <f>MIN(N('Debt Payoff'!$E$15),C157+M158)</f>
        <v/>
      </c>
      <c r="X158" s="160">
        <f>MIN(N('Debt Payoff'!$E$16),D157+N158)</f>
        <v/>
      </c>
      <c r="Y158" s="160">
        <f>MIN(N('Debt Payoff'!$E$17),E157+O158)</f>
        <v/>
      </c>
      <c r="Z158" s="160">
        <f>MIN(N('Debt Payoff'!$E$18),F157+P158)</f>
        <v/>
      </c>
      <c r="AA158" s="160">
        <f>MIN(N('Debt Payoff'!$E$19),G157+Q158)</f>
        <v/>
      </c>
      <c r="AB158" s="160">
        <f>MIN(N('Debt Payoff'!$E$20),H157+R158)</f>
        <v/>
      </c>
      <c r="AC158" s="160">
        <f>MIN(N('Debt Payoff'!$E$21),I157+S158)</f>
        <v/>
      </c>
      <c r="AD158" s="160">
        <f>MIN(N('Debt Payoff'!$E$22),J157+T158)</f>
        <v/>
      </c>
      <c r="AE158" s="160">
        <f>MIN(N('Debt Payoff'!$E$23),K157+U158)</f>
        <v/>
      </c>
      <c r="AF158" s="160">
        <f>MIN(N('Debt Payoff'!$E$24),L157+V158)</f>
        <v/>
      </c>
      <c r="AG158" s="160">
        <f>C157+M158-W158</f>
        <v/>
      </c>
      <c r="AH158" s="160">
        <f>D157+N158-X158</f>
        <v/>
      </c>
      <c r="AI158" s="160">
        <f>E157+O158-Y158</f>
        <v/>
      </c>
      <c r="AJ158" s="160">
        <f>F157+P158-Z158</f>
        <v/>
      </c>
      <c r="AK158" s="160">
        <f>G157+Q158-AA158</f>
        <v/>
      </c>
      <c r="AL158" s="160">
        <f>H157+R158-AB158</f>
        <v/>
      </c>
      <c r="AM158" s="160">
        <f>I157+S158-AC158</f>
        <v/>
      </c>
      <c r="AN158" s="160">
        <f>J157+T158-AD158</f>
        <v/>
      </c>
      <c r="AO158" s="160">
        <f>K157+U158-AE158</f>
        <v/>
      </c>
      <c r="AP158" s="160">
        <f>L157+V158-AF158</f>
        <v/>
      </c>
      <c r="AQ158" s="160">
        <f>W158+MAX(0,MIN(AG158,'Debt Payoff'!$C$12-SUM($W158:$AF158)-SUMIFS($AG158:$AP158,$AG$4:$AP$4,"&lt;"&amp;AG$4)))</f>
        <v/>
      </c>
      <c r="AR158" s="160">
        <f>X158+MAX(0,MIN(AH158,'Debt Payoff'!$C$12-SUM($W158:$AF158)-SUMIFS($AG158:$AP158,$AG$4:$AP$4,"&lt;"&amp;AH$4)))</f>
        <v/>
      </c>
      <c r="AS158" s="160">
        <f>Y158+MAX(0,MIN(AI158,'Debt Payoff'!$C$12-SUM($W158:$AF158)-SUMIFS($AG158:$AP158,$AG$4:$AP$4,"&lt;"&amp;AI$4)))</f>
        <v/>
      </c>
      <c r="AT158" s="160">
        <f>Z158+MAX(0,MIN(AJ158,'Debt Payoff'!$C$12-SUM($W158:$AF158)-SUMIFS($AG158:$AP158,$AG$4:$AP$4,"&lt;"&amp;AJ$4)))</f>
        <v/>
      </c>
      <c r="AU158" s="160">
        <f>AA158+MAX(0,MIN(AK158,'Debt Payoff'!$C$12-SUM($W158:$AF158)-SUMIFS($AG158:$AP158,$AG$4:$AP$4,"&lt;"&amp;AK$4)))</f>
        <v/>
      </c>
      <c r="AV158" s="160">
        <f>AB158+MAX(0,MIN(AL158,'Debt Payoff'!$C$12-SUM($W158:$AF158)-SUMIFS($AG158:$AP158,$AG$4:$AP$4,"&lt;"&amp;AL$4)))</f>
        <v/>
      </c>
      <c r="AW158" s="160">
        <f>AC158+MAX(0,MIN(AM158,'Debt Payoff'!$C$12-SUM($W158:$AF158)-SUMIFS($AG158:$AP158,$AG$4:$AP$4,"&lt;"&amp;AM$4)))</f>
        <v/>
      </c>
      <c r="AX158" s="160">
        <f>AD158+MAX(0,MIN(AN158,'Debt Payoff'!$C$12-SUM($W158:$AF158)-SUMIFS($AG158:$AP158,$AG$4:$AP$4,"&lt;"&amp;AN$4)))</f>
        <v/>
      </c>
      <c r="AY158" s="160">
        <f>AE158+MAX(0,MIN(AO158,'Debt Payoff'!$C$12-SUM($W158:$AF158)-SUMIFS($AG158:$AP158,$AG$4:$AP$4,"&lt;"&amp;AO$4)))</f>
        <v/>
      </c>
      <c r="AZ158" s="160">
        <f>AF158+MAX(0,MIN(AP158,'Debt Payoff'!$C$12-SUM($W158:$AF158)-SUMIFS($AG158:$AP158,$AG$4:$AP$4,"&lt;"&amp;AP$4)))</f>
        <v/>
      </c>
      <c r="BA158" s="160">
        <f>SUM(C158:L158)</f>
        <v/>
      </c>
      <c r="BB158" s="160">
        <f>SUM(AQ158:AZ158)</f>
        <v/>
      </c>
      <c r="BC158" s="160">
        <f>SUM(M158:V158)</f>
        <v/>
      </c>
    </row>
    <row r="159">
      <c r="A159" s="157" t="n">
        <v>154</v>
      </c>
      <c r="B159" s="159">
        <f>EDATE('Debt Payoff'!$C$6,153)</f>
        <v/>
      </c>
      <c r="C159" s="160">
        <f>MAX(0,ROUND(C158+M159-AQ159,2))</f>
        <v/>
      </c>
      <c r="D159" s="160">
        <f>MAX(0,ROUND(D158+N159-AR159,2))</f>
        <v/>
      </c>
      <c r="E159" s="160">
        <f>MAX(0,ROUND(E158+O159-AS159,2))</f>
        <v/>
      </c>
      <c r="F159" s="160">
        <f>MAX(0,ROUND(F158+P159-AT159,2))</f>
        <v/>
      </c>
      <c r="G159" s="160">
        <f>MAX(0,ROUND(G158+Q159-AU159,2))</f>
        <v/>
      </c>
      <c r="H159" s="160">
        <f>MAX(0,ROUND(H158+R159-AV159,2))</f>
        <v/>
      </c>
      <c r="I159" s="160">
        <f>MAX(0,ROUND(I158+S159-AW159,2))</f>
        <v/>
      </c>
      <c r="J159" s="160">
        <f>MAX(0,ROUND(J158+T159-AX159,2))</f>
        <v/>
      </c>
      <c r="K159" s="160">
        <f>MAX(0,ROUND(K158+U159-AY159,2))</f>
        <v/>
      </c>
      <c r="L159" s="160">
        <f>MAX(0,ROUND(L158+V159-AZ159,2))</f>
        <v/>
      </c>
      <c r="M159" s="160">
        <f>C158*N('Debt Payoff'!$D$15)/12</f>
        <v/>
      </c>
      <c r="N159" s="160">
        <f>D158*N('Debt Payoff'!$D$16)/12</f>
        <v/>
      </c>
      <c r="O159" s="160">
        <f>E158*N('Debt Payoff'!$D$17)/12</f>
        <v/>
      </c>
      <c r="P159" s="160">
        <f>F158*N('Debt Payoff'!$D$18)/12</f>
        <v/>
      </c>
      <c r="Q159" s="160">
        <f>G158*N('Debt Payoff'!$D$19)/12</f>
        <v/>
      </c>
      <c r="R159" s="160">
        <f>H158*N('Debt Payoff'!$D$20)/12</f>
        <v/>
      </c>
      <c r="S159" s="160">
        <f>I158*N('Debt Payoff'!$D$21)/12</f>
        <v/>
      </c>
      <c r="T159" s="160">
        <f>J158*N('Debt Payoff'!$D$22)/12</f>
        <v/>
      </c>
      <c r="U159" s="160">
        <f>K158*N('Debt Payoff'!$D$23)/12</f>
        <v/>
      </c>
      <c r="V159" s="160">
        <f>L158*N('Debt Payoff'!$D$24)/12</f>
        <v/>
      </c>
      <c r="W159" s="160">
        <f>MIN(N('Debt Payoff'!$E$15),C158+M159)</f>
        <v/>
      </c>
      <c r="X159" s="160">
        <f>MIN(N('Debt Payoff'!$E$16),D158+N159)</f>
        <v/>
      </c>
      <c r="Y159" s="160">
        <f>MIN(N('Debt Payoff'!$E$17),E158+O159)</f>
        <v/>
      </c>
      <c r="Z159" s="160">
        <f>MIN(N('Debt Payoff'!$E$18),F158+P159)</f>
        <v/>
      </c>
      <c r="AA159" s="160">
        <f>MIN(N('Debt Payoff'!$E$19),G158+Q159)</f>
        <v/>
      </c>
      <c r="AB159" s="160">
        <f>MIN(N('Debt Payoff'!$E$20),H158+R159)</f>
        <v/>
      </c>
      <c r="AC159" s="160">
        <f>MIN(N('Debt Payoff'!$E$21),I158+S159)</f>
        <v/>
      </c>
      <c r="AD159" s="160">
        <f>MIN(N('Debt Payoff'!$E$22),J158+T159)</f>
        <v/>
      </c>
      <c r="AE159" s="160">
        <f>MIN(N('Debt Payoff'!$E$23),K158+U159)</f>
        <v/>
      </c>
      <c r="AF159" s="160">
        <f>MIN(N('Debt Payoff'!$E$24),L158+V159)</f>
        <v/>
      </c>
      <c r="AG159" s="160">
        <f>C158+M159-W159</f>
        <v/>
      </c>
      <c r="AH159" s="160">
        <f>D158+N159-X159</f>
        <v/>
      </c>
      <c r="AI159" s="160">
        <f>E158+O159-Y159</f>
        <v/>
      </c>
      <c r="AJ159" s="160">
        <f>F158+P159-Z159</f>
        <v/>
      </c>
      <c r="AK159" s="160">
        <f>G158+Q159-AA159</f>
        <v/>
      </c>
      <c r="AL159" s="160">
        <f>H158+R159-AB159</f>
        <v/>
      </c>
      <c r="AM159" s="160">
        <f>I158+S159-AC159</f>
        <v/>
      </c>
      <c r="AN159" s="160">
        <f>J158+T159-AD159</f>
        <v/>
      </c>
      <c r="AO159" s="160">
        <f>K158+U159-AE159</f>
        <v/>
      </c>
      <c r="AP159" s="160">
        <f>L158+V159-AF159</f>
        <v/>
      </c>
      <c r="AQ159" s="160">
        <f>W159+MAX(0,MIN(AG159,'Debt Payoff'!$C$12-SUM($W159:$AF159)-SUMIFS($AG159:$AP159,$AG$4:$AP$4,"&lt;"&amp;AG$4)))</f>
        <v/>
      </c>
      <c r="AR159" s="160">
        <f>X159+MAX(0,MIN(AH159,'Debt Payoff'!$C$12-SUM($W159:$AF159)-SUMIFS($AG159:$AP159,$AG$4:$AP$4,"&lt;"&amp;AH$4)))</f>
        <v/>
      </c>
      <c r="AS159" s="160">
        <f>Y159+MAX(0,MIN(AI159,'Debt Payoff'!$C$12-SUM($W159:$AF159)-SUMIFS($AG159:$AP159,$AG$4:$AP$4,"&lt;"&amp;AI$4)))</f>
        <v/>
      </c>
      <c r="AT159" s="160">
        <f>Z159+MAX(0,MIN(AJ159,'Debt Payoff'!$C$12-SUM($W159:$AF159)-SUMIFS($AG159:$AP159,$AG$4:$AP$4,"&lt;"&amp;AJ$4)))</f>
        <v/>
      </c>
      <c r="AU159" s="160">
        <f>AA159+MAX(0,MIN(AK159,'Debt Payoff'!$C$12-SUM($W159:$AF159)-SUMIFS($AG159:$AP159,$AG$4:$AP$4,"&lt;"&amp;AK$4)))</f>
        <v/>
      </c>
      <c r="AV159" s="160">
        <f>AB159+MAX(0,MIN(AL159,'Debt Payoff'!$C$12-SUM($W159:$AF159)-SUMIFS($AG159:$AP159,$AG$4:$AP$4,"&lt;"&amp;AL$4)))</f>
        <v/>
      </c>
      <c r="AW159" s="160">
        <f>AC159+MAX(0,MIN(AM159,'Debt Payoff'!$C$12-SUM($W159:$AF159)-SUMIFS($AG159:$AP159,$AG$4:$AP$4,"&lt;"&amp;AM$4)))</f>
        <v/>
      </c>
      <c r="AX159" s="160">
        <f>AD159+MAX(0,MIN(AN159,'Debt Payoff'!$C$12-SUM($W159:$AF159)-SUMIFS($AG159:$AP159,$AG$4:$AP$4,"&lt;"&amp;AN$4)))</f>
        <v/>
      </c>
      <c r="AY159" s="160">
        <f>AE159+MAX(0,MIN(AO159,'Debt Payoff'!$C$12-SUM($W159:$AF159)-SUMIFS($AG159:$AP159,$AG$4:$AP$4,"&lt;"&amp;AO$4)))</f>
        <v/>
      </c>
      <c r="AZ159" s="160">
        <f>AF159+MAX(0,MIN(AP159,'Debt Payoff'!$C$12-SUM($W159:$AF159)-SUMIFS($AG159:$AP159,$AG$4:$AP$4,"&lt;"&amp;AP$4)))</f>
        <v/>
      </c>
      <c r="BA159" s="160">
        <f>SUM(C159:L159)</f>
        <v/>
      </c>
      <c r="BB159" s="160">
        <f>SUM(AQ159:AZ159)</f>
        <v/>
      </c>
      <c r="BC159" s="160">
        <f>SUM(M159:V159)</f>
        <v/>
      </c>
    </row>
    <row r="160">
      <c r="A160" s="157" t="n">
        <v>155</v>
      </c>
      <c r="B160" s="159">
        <f>EDATE('Debt Payoff'!$C$6,154)</f>
        <v/>
      </c>
      <c r="C160" s="160">
        <f>MAX(0,ROUND(C159+M160-AQ160,2))</f>
        <v/>
      </c>
      <c r="D160" s="160">
        <f>MAX(0,ROUND(D159+N160-AR160,2))</f>
        <v/>
      </c>
      <c r="E160" s="160">
        <f>MAX(0,ROUND(E159+O160-AS160,2))</f>
        <v/>
      </c>
      <c r="F160" s="160">
        <f>MAX(0,ROUND(F159+P160-AT160,2))</f>
        <v/>
      </c>
      <c r="G160" s="160">
        <f>MAX(0,ROUND(G159+Q160-AU160,2))</f>
        <v/>
      </c>
      <c r="H160" s="160">
        <f>MAX(0,ROUND(H159+R160-AV160,2))</f>
        <v/>
      </c>
      <c r="I160" s="160">
        <f>MAX(0,ROUND(I159+S160-AW160,2))</f>
        <v/>
      </c>
      <c r="J160" s="160">
        <f>MAX(0,ROUND(J159+T160-AX160,2))</f>
        <v/>
      </c>
      <c r="K160" s="160">
        <f>MAX(0,ROUND(K159+U160-AY160,2))</f>
        <v/>
      </c>
      <c r="L160" s="160">
        <f>MAX(0,ROUND(L159+V160-AZ160,2))</f>
        <v/>
      </c>
      <c r="M160" s="160">
        <f>C159*N('Debt Payoff'!$D$15)/12</f>
        <v/>
      </c>
      <c r="N160" s="160">
        <f>D159*N('Debt Payoff'!$D$16)/12</f>
        <v/>
      </c>
      <c r="O160" s="160">
        <f>E159*N('Debt Payoff'!$D$17)/12</f>
        <v/>
      </c>
      <c r="P160" s="160">
        <f>F159*N('Debt Payoff'!$D$18)/12</f>
        <v/>
      </c>
      <c r="Q160" s="160">
        <f>G159*N('Debt Payoff'!$D$19)/12</f>
        <v/>
      </c>
      <c r="R160" s="160">
        <f>H159*N('Debt Payoff'!$D$20)/12</f>
        <v/>
      </c>
      <c r="S160" s="160">
        <f>I159*N('Debt Payoff'!$D$21)/12</f>
        <v/>
      </c>
      <c r="T160" s="160">
        <f>J159*N('Debt Payoff'!$D$22)/12</f>
        <v/>
      </c>
      <c r="U160" s="160">
        <f>K159*N('Debt Payoff'!$D$23)/12</f>
        <v/>
      </c>
      <c r="V160" s="160">
        <f>L159*N('Debt Payoff'!$D$24)/12</f>
        <v/>
      </c>
      <c r="W160" s="160">
        <f>MIN(N('Debt Payoff'!$E$15),C159+M160)</f>
        <v/>
      </c>
      <c r="X160" s="160">
        <f>MIN(N('Debt Payoff'!$E$16),D159+N160)</f>
        <v/>
      </c>
      <c r="Y160" s="160">
        <f>MIN(N('Debt Payoff'!$E$17),E159+O160)</f>
        <v/>
      </c>
      <c r="Z160" s="160">
        <f>MIN(N('Debt Payoff'!$E$18),F159+P160)</f>
        <v/>
      </c>
      <c r="AA160" s="160">
        <f>MIN(N('Debt Payoff'!$E$19),G159+Q160)</f>
        <v/>
      </c>
      <c r="AB160" s="160">
        <f>MIN(N('Debt Payoff'!$E$20),H159+R160)</f>
        <v/>
      </c>
      <c r="AC160" s="160">
        <f>MIN(N('Debt Payoff'!$E$21),I159+S160)</f>
        <v/>
      </c>
      <c r="AD160" s="160">
        <f>MIN(N('Debt Payoff'!$E$22),J159+T160)</f>
        <v/>
      </c>
      <c r="AE160" s="160">
        <f>MIN(N('Debt Payoff'!$E$23),K159+U160)</f>
        <v/>
      </c>
      <c r="AF160" s="160">
        <f>MIN(N('Debt Payoff'!$E$24),L159+V160)</f>
        <v/>
      </c>
      <c r="AG160" s="160">
        <f>C159+M160-W160</f>
        <v/>
      </c>
      <c r="AH160" s="160">
        <f>D159+N160-X160</f>
        <v/>
      </c>
      <c r="AI160" s="160">
        <f>E159+O160-Y160</f>
        <v/>
      </c>
      <c r="AJ160" s="160">
        <f>F159+P160-Z160</f>
        <v/>
      </c>
      <c r="AK160" s="160">
        <f>G159+Q160-AA160</f>
        <v/>
      </c>
      <c r="AL160" s="160">
        <f>H159+R160-AB160</f>
        <v/>
      </c>
      <c r="AM160" s="160">
        <f>I159+S160-AC160</f>
        <v/>
      </c>
      <c r="AN160" s="160">
        <f>J159+T160-AD160</f>
        <v/>
      </c>
      <c r="AO160" s="160">
        <f>K159+U160-AE160</f>
        <v/>
      </c>
      <c r="AP160" s="160">
        <f>L159+V160-AF160</f>
        <v/>
      </c>
      <c r="AQ160" s="160">
        <f>W160+MAX(0,MIN(AG160,'Debt Payoff'!$C$12-SUM($W160:$AF160)-SUMIFS($AG160:$AP160,$AG$4:$AP$4,"&lt;"&amp;AG$4)))</f>
        <v/>
      </c>
      <c r="AR160" s="160">
        <f>X160+MAX(0,MIN(AH160,'Debt Payoff'!$C$12-SUM($W160:$AF160)-SUMIFS($AG160:$AP160,$AG$4:$AP$4,"&lt;"&amp;AH$4)))</f>
        <v/>
      </c>
      <c r="AS160" s="160">
        <f>Y160+MAX(0,MIN(AI160,'Debt Payoff'!$C$12-SUM($W160:$AF160)-SUMIFS($AG160:$AP160,$AG$4:$AP$4,"&lt;"&amp;AI$4)))</f>
        <v/>
      </c>
      <c r="AT160" s="160">
        <f>Z160+MAX(0,MIN(AJ160,'Debt Payoff'!$C$12-SUM($W160:$AF160)-SUMIFS($AG160:$AP160,$AG$4:$AP$4,"&lt;"&amp;AJ$4)))</f>
        <v/>
      </c>
      <c r="AU160" s="160">
        <f>AA160+MAX(0,MIN(AK160,'Debt Payoff'!$C$12-SUM($W160:$AF160)-SUMIFS($AG160:$AP160,$AG$4:$AP$4,"&lt;"&amp;AK$4)))</f>
        <v/>
      </c>
      <c r="AV160" s="160">
        <f>AB160+MAX(0,MIN(AL160,'Debt Payoff'!$C$12-SUM($W160:$AF160)-SUMIFS($AG160:$AP160,$AG$4:$AP$4,"&lt;"&amp;AL$4)))</f>
        <v/>
      </c>
      <c r="AW160" s="160">
        <f>AC160+MAX(0,MIN(AM160,'Debt Payoff'!$C$12-SUM($W160:$AF160)-SUMIFS($AG160:$AP160,$AG$4:$AP$4,"&lt;"&amp;AM$4)))</f>
        <v/>
      </c>
      <c r="AX160" s="160">
        <f>AD160+MAX(0,MIN(AN160,'Debt Payoff'!$C$12-SUM($W160:$AF160)-SUMIFS($AG160:$AP160,$AG$4:$AP$4,"&lt;"&amp;AN$4)))</f>
        <v/>
      </c>
      <c r="AY160" s="160">
        <f>AE160+MAX(0,MIN(AO160,'Debt Payoff'!$C$12-SUM($W160:$AF160)-SUMIFS($AG160:$AP160,$AG$4:$AP$4,"&lt;"&amp;AO$4)))</f>
        <v/>
      </c>
      <c r="AZ160" s="160">
        <f>AF160+MAX(0,MIN(AP160,'Debt Payoff'!$C$12-SUM($W160:$AF160)-SUMIFS($AG160:$AP160,$AG$4:$AP$4,"&lt;"&amp;AP$4)))</f>
        <v/>
      </c>
      <c r="BA160" s="160">
        <f>SUM(C160:L160)</f>
        <v/>
      </c>
      <c r="BB160" s="160">
        <f>SUM(AQ160:AZ160)</f>
        <v/>
      </c>
      <c r="BC160" s="160">
        <f>SUM(M160:V160)</f>
        <v/>
      </c>
    </row>
    <row r="161">
      <c r="A161" s="157" t="n">
        <v>156</v>
      </c>
      <c r="B161" s="159">
        <f>EDATE('Debt Payoff'!$C$6,155)</f>
        <v/>
      </c>
      <c r="C161" s="160">
        <f>MAX(0,ROUND(C160+M161-AQ161,2))</f>
        <v/>
      </c>
      <c r="D161" s="160">
        <f>MAX(0,ROUND(D160+N161-AR161,2))</f>
        <v/>
      </c>
      <c r="E161" s="160">
        <f>MAX(0,ROUND(E160+O161-AS161,2))</f>
        <v/>
      </c>
      <c r="F161" s="160">
        <f>MAX(0,ROUND(F160+P161-AT161,2))</f>
        <v/>
      </c>
      <c r="G161" s="160">
        <f>MAX(0,ROUND(G160+Q161-AU161,2))</f>
        <v/>
      </c>
      <c r="H161" s="160">
        <f>MAX(0,ROUND(H160+R161-AV161,2))</f>
        <v/>
      </c>
      <c r="I161" s="160">
        <f>MAX(0,ROUND(I160+S161-AW161,2))</f>
        <v/>
      </c>
      <c r="J161" s="160">
        <f>MAX(0,ROUND(J160+T161-AX161,2))</f>
        <v/>
      </c>
      <c r="K161" s="160">
        <f>MAX(0,ROUND(K160+U161-AY161,2))</f>
        <v/>
      </c>
      <c r="L161" s="160">
        <f>MAX(0,ROUND(L160+V161-AZ161,2))</f>
        <v/>
      </c>
      <c r="M161" s="160">
        <f>C160*N('Debt Payoff'!$D$15)/12</f>
        <v/>
      </c>
      <c r="N161" s="160">
        <f>D160*N('Debt Payoff'!$D$16)/12</f>
        <v/>
      </c>
      <c r="O161" s="160">
        <f>E160*N('Debt Payoff'!$D$17)/12</f>
        <v/>
      </c>
      <c r="P161" s="160">
        <f>F160*N('Debt Payoff'!$D$18)/12</f>
        <v/>
      </c>
      <c r="Q161" s="160">
        <f>G160*N('Debt Payoff'!$D$19)/12</f>
        <v/>
      </c>
      <c r="R161" s="160">
        <f>H160*N('Debt Payoff'!$D$20)/12</f>
        <v/>
      </c>
      <c r="S161" s="160">
        <f>I160*N('Debt Payoff'!$D$21)/12</f>
        <v/>
      </c>
      <c r="T161" s="160">
        <f>J160*N('Debt Payoff'!$D$22)/12</f>
        <v/>
      </c>
      <c r="U161" s="160">
        <f>K160*N('Debt Payoff'!$D$23)/12</f>
        <v/>
      </c>
      <c r="V161" s="160">
        <f>L160*N('Debt Payoff'!$D$24)/12</f>
        <v/>
      </c>
      <c r="W161" s="160">
        <f>MIN(N('Debt Payoff'!$E$15),C160+M161)</f>
        <v/>
      </c>
      <c r="X161" s="160">
        <f>MIN(N('Debt Payoff'!$E$16),D160+N161)</f>
        <v/>
      </c>
      <c r="Y161" s="160">
        <f>MIN(N('Debt Payoff'!$E$17),E160+O161)</f>
        <v/>
      </c>
      <c r="Z161" s="160">
        <f>MIN(N('Debt Payoff'!$E$18),F160+P161)</f>
        <v/>
      </c>
      <c r="AA161" s="160">
        <f>MIN(N('Debt Payoff'!$E$19),G160+Q161)</f>
        <v/>
      </c>
      <c r="AB161" s="160">
        <f>MIN(N('Debt Payoff'!$E$20),H160+R161)</f>
        <v/>
      </c>
      <c r="AC161" s="160">
        <f>MIN(N('Debt Payoff'!$E$21),I160+S161)</f>
        <v/>
      </c>
      <c r="AD161" s="160">
        <f>MIN(N('Debt Payoff'!$E$22),J160+T161)</f>
        <v/>
      </c>
      <c r="AE161" s="160">
        <f>MIN(N('Debt Payoff'!$E$23),K160+U161)</f>
        <v/>
      </c>
      <c r="AF161" s="160">
        <f>MIN(N('Debt Payoff'!$E$24),L160+V161)</f>
        <v/>
      </c>
      <c r="AG161" s="160">
        <f>C160+M161-W161</f>
        <v/>
      </c>
      <c r="AH161" s="160">
        <f>D160+N161-X161</f>
        <v/>
      </c>
      <c r="AI161" s="160">
        <f>E160+O161-Y161</f>
        <v/>
      </c>
      <c r="AJ161" s="160">
        <f>F160+P161-Z161</f>
        <v/>
      </c>
      <c r="AK161" s="160">
        <f>G160+Q161-AA161</f>
        <v/>
      </c>
      <c r="AL161" s="160">
        <f>H160+R161-AB161</f>
        <v/>
      </c>
      <c r="AM161" s="160">
        <f>I160+S161-AC161</f>
        <v/>
      </c>
      <c r="AN161" s="160">
        <f>J160+T161-AD161</f>
        <v/>
      </c>
      <c r="AO161" s="160">
        <f>K160+U161-AE161</f>
        <v/>
      </c>
      <c r="AP161" s="160">
        <f>L160+V161-AF161</f>
        <v/>
      </c>
      <c r="AQ161" s="160">
        <f>W161+MAX(0,MIN(AG161,'Debt Payoff'!$C$12-SUM($W161:$AF161)-SUMIFS($AG161:$AP161,$AG$4:$AP$4,"&lt;"&amp;AG$4)))</f>
        <v/>
      </c>
      <c r="AR161" s="160">
        <f>X161+MAX(0,MIN(AH161,'Debt Payoff'!$C$12-SUM($W161:$AF161)-SUMIFS($AG161:$AP161,$AG$4:$AP$4,"&lt;"&amp;AH$4)))</f>
        <v/>
      </c>
      <c r="AS161" s="160">
        <f>Y161+MAX(0,MIN(AI161,'Debt Payoff'!$C$12-SUM($W161:$AF161)-SUMIFS($AG161:$AP161,$AG$4:$AP$4,"&lt;"&amp;AI$4)))</f>
        <v/>
      </c>
      <c r="AT161" s="160">
        <f>Z161+MAX(0,MIN(AJ161,'Debt Payoff'!$C$12-SUM($W161:$AF161)-SUMIFS($AG161:$AP161,$AG$4:$AP$4,"&lt;"&amp;AJ$4)))</f>
        <v/>
      </c>
      <c r="AU161" s="160">
        <f>AA161+MAX(0,MIN(AK161,'Debt Payoff'!$C$12-SUM($W161:$AF161)-SUMIFS($AG161:$AP161,$AG$4:$AP$4,"&lt;"&amp;AK$4)))</f>
        <v/>
      </c>
      <c r="AV161" s="160">
        <f>AB161+MAX(0,MIN(AL161,'Debt Payoff'!$C$12-SUM($W161:$AF161)-SUMIFS($AG161:$AP161,$AG$4:$AP$4,"&lt;"&amp;AL$4)))</f>
        <v/>
      </c>
      <c r="AW161" s="160">
        <f>AC161+MAX(0,MIN(AM161,'Debt Payoff'!$C$12-SUM($W161:$AF161)-SUMIFS($AG161:$AP161,$AG$4:$AP$4,"&lt;"&amp;AM$4)))</f>
        <v/>
      </c>
      <c r="AX161" s="160">
        <f>AD161+MAX(0,MIN(AN161,'Debt Payoff'!$C$12-SUM($W161:$AF161)-SUMIFS($AG161:$AP161,$AG$4:$AP$4,"&lt;"&amp;AN$4)))</f>
        <v/>
      </c>
      <c r="AY161" s="160">
        <f>AE161+MAX(0,MIN(AO161,'Debt Payoff'!$C$12-SUM($W161:$AF161)-SUMIFS($AG161:$AP161,$AG$4:$AP$4,"&lt;"&amp;AO$4)))</f>
        <v/>
      </c>
      <c r="AZ161" s="160">
        <f>AF161+MAX(0,MIN(AP161,'Debt Payoff'!$C$12-SUM($W161:$AF161)-SUMIFS($AG161:$AP161,$AG$4:$AP$4,"&lt;"&amp;AP$4)))</f>
        <v/>
      </c>
      <c r="BA161" s="160">
        <f>SUM(C161:L161)</f>
        <v/>
      </c>
      <c r="BB161" s="160">
        <f>SUM(AQ161:AZ161)</f>
        <v/>
      </c>
      <c r="BC161" s="160">
        <f>SUM(M161:V161)</f>
        <v/>
      </c>
    </row>
    <row r="162">
      <c r="A162" s="157" t="n">
        <v>157</v>
      </c>
      <c r="B162" s="159">
        <f>EDATE('Debt Payoff'!$C$6,156)</f>
        <v/>
      </c>
      <c r="C162" s="160">
        <f>MAX(0,ROUND(C161+M162-AQ162,2))</f>
        <v/>
      </c>
      <c r="D162" s="160">
        <f>MAX(0,ROUND(D161+N162-AR162,2))</f>
        <v/>
      </c>
      <c r="E162" s="160">
        <f>MAX(0,ROUND(E161+O162-AS162,2))</f>
        <v/>
      </c>
      <c r="F162" s="160">
        <f>MAX(0,ROUND(F161+P162-AT162,2))</f>
        <v/>
      </c>
      <c r="G162" s="160">
        <f>MAX(0,ROUND(G161+Q162-AU162,2))</f>
        <v/>
      </c>
      <c r="H162" s="160">
        <f>MAX(0,ROUND(H161+R162-AV162,2))</f>
        <v/>
      </c>
      <c r="I162" s="160">
        <f>MAX(0,ROUND(I161+S162-AW162,2))</f>
        <v/>
      </c>
      <c r="J162" s="160">
        <f>MAX(0,ROUND(J161+T162-AX162,2))</f>
        <v/>
      </c>
      <c r="K162" s="160">
        <f>MAX(0,ROUND(K161+U162-AY162,2))</f>
        <v/>
      </c>
      <c r="L162" s="160">
        <f>MAX(0,ROUND(L161+V162-AZ162,2))</f>
        <v/>
      </c>
      <c r="M162" s="160">
        <f>C161*N('Debt Payoff'!$D$15)/12</f>
        <v/>
      </c>
      <c r="N162" s="160">
        <f>D161*N('Debt Payoff'!$D$16)/12</f>
        <v/>
      </c>
      <c r="O162" s="160">
        <f>E161*N('Debt Payoff'!$D$17)/12</f>
        <v/>
      </c>
      <c r="P162" s="160">
        <f>F161*N('Debt Payoff'!$D$18)/12</f>
        <v/>
      </c>
      <c r="Q162" s="160">
        <f>G161*N('Debt Payoff'!$D$19)/12</f>
        <v/>
      </c>
      <c r="R162" s="160">
        <f>H161*N('Debt Payoff'!$D$20)/12</f>
        <v/>
      </c>
      <c r="S162" s="160">
        <f>I161*N('Debt Payoff'!$D$21)/12</f>
        <v/>
      </c>
      <c r="T162" s="160">
        <f>J161*N('Debt Payoff'!$D$22)/12</f>
        <v/>
      </c>
      <c r="U162" s="160">
        <f>K161*N('Debt Payoff'!$D$23)/12</f>
        <v/>
      </c>
      <c r="V162" s="160">
        <f>L161*N('Debt Payoff'!$D$24)/12</f>
        <v/>
      </c>
      <c r="W162" s="160">
        <f>MIN(N('Debt Payoff'!$E$15),C161+M162)</f>
        <v/>
      </c>
      <c r="X162" s="160">
        <f>MIN(N('Debt Payoff'!$E$16),D161+N162)</f>
        <v/>
      </c>
      <c r="Y162" s="160">
        <f>MIN(N('Debt Payoff'!$E$17),E161+O162)</f>
        <v/>
      </c>
      <c r="Z162" s="160">
        <f>MIN(N('Debt Payoff'!$E$18),F161+P162)</f>
        <v/>
      </c>
      <c r="AA162" s="160">
        <f>MIN(N('Debt Payoff'!$E$19),G161+Q162)</f>
        <v/>
      </c>
      <c r="AB162" s="160">
        <f>MIN(N('Debt Payoff'!$E$20),H161+R162)</f>
        <v/>
      </c>
      <c r="AC162" s="160">
        <f>MIN(N('Debt Payoff'!$E$21),I161+S162)</f>
        <v/>
      </c>
      <c r="AD162" s="160">
        <f>MIN(N('Debt Payoff'!$E$22),J161+T162)</f>
        <v/>
      </c>
      <c r="AE162" s="160">
        <f>MIN(N('Debt Payoff'!$E$23),K161+U162)</f>
        <v/>
      </c>
      <c r="AF162" s="160">
        <f>MIN(N('Debt Payoff'!$E$24),L161+V162)</f>
        <v/>
      </c>
      <c r="AG162" s="160">
        <f>C161+M162-W162</f>
        <v/>
      </c>
      <c r="AH162" s="160">
        <f>D161+N162-X162</f>
        <v/>
      </c>
      <c r="AI162" s="160">
        <f>E161+O162-Y162</f>
        <v/>
      </c>
      <c r="AJ162" s="160">
        <f>F161+P162-Z162</f>
        <v/>
      </c>
      <c r="AK162" s="160">
        <f>G161+Q162-AA162</f>
        <v/>
      </c>
      <c r="AL162" s="160">
        <f>H161+R162-AB162</f>
        <v/>
      </c>
      <c r="AM162" s="160">
        <f>I161+S162-AC162</f>
        <v/>
      </c>
      <c r="AN162" s="160">
        <f>J161+T162-AD162</f>
        <v/>
      </c>
      <c r="AO162" s="160">
        <f>K161+U162-AE162</f>
        <v/>
      </c>
      <c r="AP162" s="160">
        <f>L161+V162-AF162</f>
        <v/>
      </c>
      <c r="AQ162" s="160">
        <f>W162+MAX(0,MIN(AG162,'Debt Payoff'!$C$12-SUM($W162:$AF162)-SUMIFS($AG162:$AP162,$AG$4:$AP$4,"&lt;"&amp;AG$4)))</f>
        <v/>
      </c>
      <c r="AR162" s="160">
        <f>X162+MAX(0,MIN(AH162,'Debt Payoff'!$C$12-SUM($W162:$AF162)-SUMIFS($AG162:$AP162,$AG$4:$AP$4,"&lt;"&amp;AH$4)))</f>
        <v/>
      </c>
      <c r="AS162" s="160">
        <f>Y162+MAX(0,MIN(AI162,'Debt Payoff'!$C$12-SUM($W162:$AF162)-SUMIFS($AG162:$AP162,$AG$4:$AP$4,"&lt;"&amp;AI$4)))</f>
        <v/>
      </c>
      <c r="AT162" s="160">
        <f>Z162+MAX(0,MIN(AJ162,'Debt Payoff'!$C$12-SUM($W162:$AF162)-SUMIFS($AG162:$AP162,$AG$4:$AP$4,"&lt;"&amp;AJ$4)))</f>
        <v/>
      </c>
      <c r="AU162" s="160">
        <f>AA162+MAX(0,MIN(AK162,'Debt Payoff'!$C$12-SUM($W162:$AF162)-SUMIFS($AG162:$AP162,$AG$4:$AP$4,"&lt;"&amp;AK$4)))</f>
        <v/>
      </c>
      <c r="AV162" s="160">
        <f>AB162+MAX(0,MIN(AL162,'Debt Payoff'!$C$12-SUM($W162:$AF162)-SUMIFS($AG162:$AP162,$AG$4:$AP$4,"&lt;"&amp;AL$4)))</f>
        <v/>
      </c>
      <c r="AW162" s="160">
        <f>AC162+MAX(0,MIN(AM162,'Debt Payoff'!$C$12-SUM($W162:$AF162)-SUMIFS($AG162:$AP162,$AG$4:$AP$4,"&lt;"&amp;AM$4)))</f>
        <v/>
      </c>
      <c r="AX162" s="160">
        <f>AD162+MAX(0,MIN(AN162,'Debt Payoff'!$C$12-SUM($W162:$AF162)-SUMIFS($AG162:$AP162,$AG$4:$AP$4,"&lt;"&amp;AN$4)))</f>
        <v/>
      </c>
      <c r="AY162" s="160">
        <f>AE162+MAX(0,MIN(AO162,'Debt Payoff'!$C$12-SUM($W162:$AF162)-SUMIFS($AG162:$AP162,$AG$4:$AP$4,"&lt;"&amp;AO$4)))</f>
        <v/>
      </c>
      <c r="AZ162" s="160">
        <f>AF162+MAX(0,MIN(AP162,'Debt Payoff'!$C$12-SUM($W162:$AF162)-SUMIFS($AG162:$AP162,$AG$4:$AP$4,"&lt;"&amp;AP$4)))</f>
        <v/>
      </c>
      <c r="BA162" s="160">
        <f>SUM(C162:L162)</f>
        <v/>
      </c>
      <c r="BB162" s="160">
        <f>SUM(AQ162:AZ162)</f>
        <v/>
      </c>
      <c r="BC162" s="160">
        <f>SUM(M162:V162)</f>
        <v/>
      </c>
    </row>
    <row r="163">
      <c r="A163" s="157" t="n">
        <v>158</v>
      </c>
      <c r="B163" s="159">
        <f>EDATE('Debt Payoff'!$C$6,157)</f>
        <v/>
      </c>
      <c r="C163" s="160">
        <f>MAX(0,ROUND(C162+M163-AQ163,2))</f>
        <v/>
      </c>
      <c r="D163" s="160">
        <f>MAX(0,ROUND(D162+N163-AR163,2))</f>
        <v/>
      </c>
      <c r="E163" s="160">
        <f>MAX(0,ROUND(E162+O163-AS163,2))</f>
        <v/>
      </c>
      <c r="F163" s="160">
        <f>MAX(0,ROUND(F162+P163-AT163,2))</f>
        <v/>
      </c>
      <c r="G163" s="160">
        <f>MAX(0,ROUND(G162+Q163-AU163,2))</f>
        <v/>
      </c>
      <c r="H163" s="160">
        <f>MAX(0,ROUND(H162+R163-AV163,2))</f>
        <v/>
      </c>
      <c r="I163" s="160">
        <f>MAX(0,ROUND(I162+S163-AW163,2))</f>
        <v/>
      </c>
      <c r="J163" s="160">
        <f>MAX(0,ROUND(J162+T163-AX163,2))</f>
        <v/>
      </c>
      <c r="K163" s="160">
        <f>MAX(0,ROUND(K162+U163-AY163,2))</f>
        <v/>
      </c>
      <c r="L163" s="160">
        <f>MAX(0,ROUND(L162+V163-AZ163,2))</f>
        <v/>
      </c>
      <c r="M163" s="160">
        <f>C162*N('Debt Payoff'!$D$15)/12</f>
        <v/>
      </c>
      <c r="N163" s="160">
        <f>D162*N('Debt Payoff'!$D$16)/12</f>
        <v/>
      </c>
      <c r="O163" s="160">
        <f>E162*N('Debt Payoff'!$D$17)/12</f>
        <v/>
      </c>
      <c r="P163" s="160">
        <f>F162*N('Debt Payoff'!$D$18)/12</f>
        <v/>
      </c>
      <c r="Q163" s="160">
        <f>G162*N('Debt Payoff'!$D$19)/12</f>
        <v/>
      </c>
      <c r="R163" s="160">
        <f>H162*N('Debt Payoff'!$D$20)/12</f>
        <v/>
      </c>
      <c r="S163" s="160">
        <f>I162*N('Debt Payoff'!$D$21)/12</f>
        <v/>
      </c>
      <c r="T163" s="160">
        <f>J162*N('Debt Payoff'!$D$22)/12</f>
        <v/>
      </c>
      <c r="U163" s="160">
        <f>K162*N('Debt Payoff'!$D$23)/12</f>
        <v/>
      </c>
      <c r="V163" s="160">
        <f>L162*N('Debt Payoff'!$D$24)/12</f>
        <v/>
      </c>
      <c r="W163" s="160">
        <f>MIN(N('Debt Payoff'!$E$15),C162+M163)</f>
        <v/>
      </c>
      <c r="X163" s="160">
        <f>MIN(N('Debt Payoff'!$E$16),D162+N163)</f>
        <v/>
      </c>
      <c r="Y163" s="160">
        <f>MIN(N('Debt Payoff'!$E$17),E162+O163)</f>
        <v/>
      </c>
      <c r="Z163" s="160">
        <f>MIN(N('Debt Payoff'!$E$18),F162+P163)</f>
        <v/>
      </c>
      <c r="AA163" s="160">
        <f>MIN(N('Debt Payoff'!$E$19),G162+Q163)</f>
        <v/>
      </c>
      <c r="AB163" s="160">
        <f>MIN(N('Debt Payoff'!$E$20),H162+R163)</f>
        <v/>
      </c>
      <c r="AC163" s="160">
        <f>MIN(N('Debt Payoff'!$E$21),I162+S163)</f>
        <v/>
      </c>
      <c r="AD163" s="160">
        <f>MIN(N('Debt Payoff'!$E$22),J162+T163)</f>
        <v/>
      </c>
      <c r="AE163" s="160">
        <f>MIN(N('Debt Payoff'!$E$23),K162+U163)</f>
        <v/>
      </c>
      <c r="AF163" s="160">
        <f>MIN(N('Debt Payoff'!$E$24),L162+V163)</f>
        <v/>
      </c>
      <c r="AG163" s="160">
        <f>C162+M163-W163</f>
        <v/>
      </c>
      <c r="AH163" s="160">
        <f>D162+N163-X163</f>
        <v/>
      </c>
      <c r="AI163" s="160">
        <f>E162+O163-Y163</f>
        <v/>
      </c>
      <c r="AJ163" s="160">
        <f>F162+P163-Z163</f>
        <v/>
      </c>
      <c r="AK163" s="160">
        <f>G162+Q163-AA163</f>
        <v/>
      </c>
      <c r="AL163" s="160">
        <f>H162+R163-AB163</f>
        <v/>
      </c>
      <c r="AM163" s="160">
        <f>I162+S163-AC163</f>
        <v/>
      </c>
      <c r="AN163" s="160">
        <f>J162+T163-AD163</f>
        <v/>
      </c>
      <c r="AO163" s="160">
        <f>K162+U163-AE163</f>
        <v/>
      </c>
      <c r="AP163" s="160">
        <f>L162+V163-AF163</f>
        <v/>
      </c>
      <c r="AQ163" s="160">
        <f>W163+MAX(0,MIN(AG163,'Debt Payoff'!$C$12-SUM($W163:$AF163)-SUMIFS($AG163:$AP163,$AG$4:$AP$4,"&lt;"&amp;AG$4)))</f>
        <v/>
      </c>
      <c r="AR163" s="160">
        <f>X163+MAX(0,MIN(AH163,'Debt Payoff'!$C$12-SUM($W163:$AF163)-SUMIFS($AG163:$AP163,$AG$4:$AP$4,"&lt;"&amp;AH$4)))</f>
        <v/>
      </c>
      <c r="AS163" s="160">
        <f>Y163+MAX(0,MIN(AI163,'Debt Payoff'!$C$12-SUM($W163:$AF163)-SUMIFS($AG163:$AP163,$AG$4:$AP$4,"&lt;"&amp;AI$4)))</f>
        <v/>
      </c>
      <c r="AT163" s="160">
        <f>Z163+MAX(0,MIN(AJ163,'Debt Payoff'!$C$12-SUM($W163:$AF163)-SUMIFS($AG163:$AP163,$AG$4:$AP$4,"&lt;"&amp;AJ$4)))</f>
        <v/>
      </c>
      <c r="AU163" s="160">
        <f>AA163+MAX(0,MIN(AK163,'Debt Payoff'!$C$12-SUM($W163:$AF163)-SUMIFS($AG163:$AP163,$AG$4:$AP$4,"&lt;"&amp;AK$4)))</f>
        <v/>
      </c>
      <c r="AV163" s="160">
        <f>AB163+MAX(0,MIN(AL163,'Debt Payoff'!$C$12-SUM($W163:$AF163)-SUMIFS($AG163:$AP163,$AG$4:$AP$4,"&lt;"&amp;AL$4)))</f>
        <v/>
      </c>
      <c r="AW163" s="160">
        <f>AC163+MAX(0,MIN(AM163,'Debt Payoff'!$C$12-SUM($W163:$AF163)-SUMIFS($AG163:$AP163,$AG$4:$AP$4,"&lt;"&amp;AM$4)))</f>
        <v/>
      </c>
      <c r="AX163" s="160">
        <f>AD163+MAX(0,MIN(AN163,'Debt Payoff'!$C$12-SUM($W163:$AF163)-SUMIFS($AG163:$AP163,$AG$4:$AP$4,"&lt;"&amp;AN$4)))</f>
        <v/>
      </c>
      <c r="AY163" s="160">
        <f>AE163+MAX(0,MIN(AO163,'Debt Payoff'!$C$12-SUM($W163:$AF163)-SUMIFS($AG163:$AP163,$AG$4:$AP$4,"&lt;"&amp;AO$4)))</f>
        <v/>
      </c>
      <c r="AZ163" s="160">
        <f>AF163+MAX(0,MIN(AP163,'Debt Payoff'!$C$12-SUM($W163:$AF163)-SUMIFS($AG163:$AP163,$AG$4:$AP$4,"&lt;"&amp;AP$4)))</f>
        <v/>
      </c>
      <c r="BA163" s="160">
        <f>SUM(C163:L163)</f>
        <v/>
      </c>
      <c r="BB163" s="160">
        <f>SUM(AQ163:AZ163)</f>
        <v/>
      </c>
      <c r="BC163" s="160">
        <f>SUM(M163:V163)</f>
        <v/>
      </c>
    </row>
    <row r="164">
      <c r="A164" s="157" t="n">
        <v>159</v>
      </c>
      <c r="B164" s="159">
        <f>EDATE('Debt Payoff'!$C$6,158)</f>
        <v/>
      </c>
      <c r="C164" s="160">
        <f>MAX(0,ROUND(C163+M164-AQ164,2))</f>
        <v/>
      </c>
      <c r="D164" s="160">
        <f>MAX(0,ROUND(D163+N164-AR164,2))</f>
        <v/>
      </c>
      <c r="E164" s="160">
        <f>MAX(0,ROUND(E163+O164-AS164,2))</f>
        <v/>
      </c>
      <c r="F164" s="160">
        <f>MAX(0,ROUND(F163+P164-AT164,2))</f>
        <v/>
      </c>
      <c r="G164" s="160">
        <f>MAX(0,ROUND(G163+Q164-AU164,2))</f>
        <v/>
      </c>
      <c r="H164" s="160">
        <f>MAX(0,ROUND(H163+R164-AV164,2))</f>
        <v/>
      </c>
      <c r="I164" s="160">
        <f>MAX(0,ROUND(I163+S164-AW164,2))</f>
        <v/>
      </c>
      <c r="J164" s="160">
        <f>MAX(0,ROUND(J163+T164-AX164,2))</f>
        <v/>
      </c>
      <c r="K164" s="160">
        <f>MAX(0,ROUND(K163+U164-AY164,2))</f>
        <v/>
      </c>
      <c r="L164" s="160">
        <f>MAX(0,ROUND(L163+V164-AZ164,2))</f>
        <v/>
      </c>
      <c r="M164" s="160">
        <f>C163*N('Debt Payoff'!$D$15)/12</f>
        <v/>
      </c>
      <c r="N164" s="160">
        <f>D163*N('Debt Payoff'!$D$16)/12</f>
        <v/>
      </c>
      <c r="O164" s="160">
        <f>E163*N('Debt Payoff'!$D$17)/12</f>
        <v/>
      </c>
      <c r="P164" s="160">
        <f>F163*N('Debt Payoff'!$D$18)/12</f>
        <v/>
      </c>
      <c r="Q164" s="160">
        <f>G163*N('Debt Payoff'!$D$19)/12</f>
        <v/>
      </c>
      <c r="R164" s="160">
        <f>H163*N('Debt Payoff'!$D$20)/12</f>
        <v/>
      </c>
      <c r="S164" s="160">
        <f>I163*N('Debt Payoff'!$D$21)/12</f>
        <v/>
      </c>
      <c r="T164" s="160">
        <f>J163*N('Debt Payoff'!$D$22)/12</f>
        <v/>
      </c>
      <c r="U164" s="160">
        <f>K163*N('Debt Payoff'!$D$23)/12</f>
        <v/>
      </c>
      <c r="V164" s="160">
        <f>L163*N('Debt Payoff'!$D$24)/12</f>
        <v/>
      </c>
      <c r="W164" s="160">
        <f>MIN(N('Debt Payoff'!$E$15),C163+M164)</f>
        <v/>
      </c>
      <c r="X164" s="160">
        <f>MIN(N('Debt Payoff'!$E$16),D163+N164)</f>
        <v/>
      </c>
      <c r="Y164" s="160">
        <f>MIN(N('Debt Payoff'!$E$17),E163+O164)</f>
        <v/>
      </c>
      <c r="Z164" s="160">
        <f>MIN(N('Debt Payoff'!$E$18),F163+P164)</f>
        <v/>
      </c>
      <c r="AA164" s="160">
        <f>MIN(N('Debt Payoff'!$E$19),G163+Q164)</f>
        <v/>
      </c>
      <c r="AB164" s="160">
        <f>MIN(N('Debt Payoff'!$E$20),H163+R164)</f>
        <v/>
      </c>
      <c r="AC164" s="160">
        <f>MIN(N('Debt Payoff'!$E$21),I163+S164)</f>
        <v/>
      </c>
      <c r="AD164" s="160">
        <f>MIN(N('Debt Payoff'!$E$22),J163+T164)</f>
        <v/>
      </c>
      <c r="AE164" s="160">
        <f>MIN(N('Debt Payoff'!$E$23),K163+U164)</f>
        <v/>
      </c>
      <c r="AF164" s="160">
        <f>MIN(N('Debt Payoff'!$E$24),L163+V164)</f>
        <v/>
      </c>
      <c r="AG164" s="160">
        <f>C163+M164-W164</f>
        <v/>
      </c>
      <c r="AH164" s="160">
        <f>D163+N164-X164</f>
        <v/>
      </c>
      <c r="AI164" s="160">
        <f>E163+O164-Y164</f>
        <v/>
      </c>
      <c r="AJ164" s="160">
        <f>F163+P164-Z164</f>
        <v/>
      </c>
      <c r="AK164" s="160">
        <f>G163+Q164-AA164</f>
        <v/>
      </c>
      <c r="AL164" s="160">
        <f>H163+R164-AB164</f>
        <v/>
      </c>
      <c r="AM164" s="160">
        <f>I163+S164-AC164</f>
        <v/>
      </c>
      <c r="AN164" s="160">
        <f>J163+T164-AD164</f>
        <v/>
      </c>
      <c r="AO164" s="160">
        <f>K163+U164-AE164</f>
        <v/>
      </c>
      <c r="AP164" s="160">
        <f>L163+V164-AF164</f>
        <v/>
      </c>
      <c r="AQ164" s="160">
        <f>W164+MAX(0,MIN(AG164,'Debt Payoff'!$C$12-SUM($W164:$AF164)-SUMIFS($AG164:$AP164,$AG$4:$AP$4,"&lt;"&amp;AG$4)))</f>
        <v/>
      </c>
      <c r="AR164" s="160">
        <f>X164+MAX(0,MIN(AH164,'Debt Payoff'!$C$12-SUM($W164:$AF164)-SUMIFS($AG164:$AP164,$AG$4:$AP$4,"&lt;"&amp;AH$4)))</f>
        <v/>
      </c>
      <c r="AS164" s="160">
        <f>Y164+MAX(0,MIN(AI164,'Debt Payoff'!$C$12-SUM($W164:$AF164)-SUMIFS($AG164:$AP164,$AG$4:$AP$4,"&lt;"&amp;AI$4)))</f>
        <v/>
      </c>
      <c r="AT164" s="160">
        <f>Z164+MAX(0,MIN(AJ164,'Debt Payoff'!$C$12-SUM($W164:$AF164)-SUMIFS($AG164:$AP164,$AG$4:$AP$4,"&lt;"&amp;AJ$4)))</f>
        <v/>
      </c>
      <c r="AU164" s="160">
        <f>AA164+MAX(0,MIN(AK164,'Debt Payoff'!$C$12-SUM($W164:$AF164)-SUMIFS($AG164:$AP164,$AG$4:$AP$4,"&lt;"&amp;AK$4)))</f>
        <v/>
      </c>
      <c r="AV164" s="160">
        <f>AB164+MAX(0,MIN(AL164,'Debt Payoff'!$C$12-SUM($W164:$AF164)-SUMIFS($AG164:$AP164,$AG$4:$AP$4,"&lt;"&amp;AL$4)))</f>
        <v/>
      </c>
      <c r="AW164" s="160">
        <f>AC164+MAX(0,MIN(AM164,'Debt Payoff'!$C$12-SUM($W164:$AF164)-SUMIFS($AG164:$AP164,$AG$4:$AP$4,"&lt;"&amp;AM$4)))</f>
        <v/>
      </c>
      <c r="AX164" s="160">
        <f>AD164+MAX(0,MIN(AN164,'Debt Payoff'!$C$12-SUM($W164:$AF164)-SUMIFS($AG164:$AP164,$AG$4:$AP$4,"&lt;"&amp;AN$4)))</f>
        <v/>
      </c>
      <c r="AY164" s="160">
        <f>AE164+MAX(0,MIN(AO164,'Debt Payoff'!$C$12-SUM($W164:$AF164)-SUMIFS($AG164:$AP164,$AG$4:$AP$4,"&lt;"&amp;AO$4)))</f>
        <v/>
      </c>
      <c r="AZ164" s="160">
        <f>AF164+MAX(0,MIN(AP164,'Debt Payoff'!$C$12-SUM($W164:$AF164)-SUMIFS($AG164:$AP164,$AG$4:$AP$4,"&lt;"&amp;AP$4)))</f>
        <v/>
      </c>
      <c r="BA164" s="160">
        <f>SUM(C164:L164)</f>
        <v/>
      </c>
      <c r="BB164" s="160">
        <f>SUM(AQ164:AZ164)</f>
        <v/>
      </c>
      <c r="BC164" s="160">
        <f>SUM(M164:V164)</f>
        <v/>
      </c>
    </row>
    <row r="165">
      <c r="A165" s="157" t="n">
        <v>160</v>
      </c>
      <c r="B165" s="159">
        <f>EDATE('Debt Payoff'!$C$6,159)</f>
        <v/>
      </c>
      <c r="C165" s="160">
        <f>MAX(0,ROUND(C164+M165-AQ165,2))</f>
        <v/>
      </c>
      <c r="D165" s="160">
        <f>MAX(0,ROUND(D164+N165-AR165,2))</f>
        <v/>
      </c>
      <c r="E165" s="160">
        <f>MAX(0,ROUND(E164+O165-AS165,2))</f>
        <v/>
      </c>
      <c r="F165" s="160">
        <f>MAX(0,ROUND(F164+P165-AT165,2))</f>
        <v/>
      </c>
      <c r="G165" s="160">
        <f>MAX(0,ROUND(G164+Q165-AU165,2))</f>
        <v/>
      </c>
      <c r="H165" s="160">
        <f>MAX(0,ROUND(H164+R165-AV165,2))</f>
        <v/>
      </c>
      <c r="I165" s="160">
        <f>MAX(0,ROUND(I164+S165-AW165,2))</f>
        <v/>
      </c>
      <c r="J165" s="160">
        <f>MAX(0,ROUND(J164+T165-AX165,2))</f>
        <v/>
      </c>
      <c r="K165" s="160">
        <f>MAX(0,ROUND(K164+U165-AY165,2))</f>
        <v/>
      </c>
      <c r="L165" s="160">
        <f>MAX(0,ROUND(L164+V165-AZ165,2))</f>
        <v/>
      </c>
      <c r="M165" s="160">
        <f>C164*N('Debt Payoff'!$D$15)/12</f>
        <v/>
      </c>
      <c r="N165" s="160">
        <f>D164*N('Debt Payoff'!$D$16)/12</f>
        <v/>
      </c>
      <c r="O165" s="160">
        <f>E164*N('Debt Payoff'!$D$17)/12</f>
        <v/>
      </c>
      <c r="P165" s="160">
        <f>F164*N('Debt Payoff'!$D$18)/12</f>
        <v/>
      </c>
      <c r="Q165" s="160">
        <f>G164*N('Debt Payoff'!$D$19)/12</f>
        <v/>
      </c>
      <c r="R165" s="160">
        <f>H164*N('Debt Payoff'!$D$20)/12</f>
        <v/>
      </c>
      <c r="S165" s="160">
        <f>I164*N('Debt Payoff'!$D$21)/12</f>
        <v/>
      </c>
      <c r="T165" s="160">
        <f>J164*N('Debt Payoff'!$D$22)/12</f>
        <v/>
      </c>
      <c r="U165" s="160">
        <f>K164*N('Debt Payoff'!$D$23)/12</f>
        <v/>
      </c>
      <c r="V165" s="160">
        <f>L164*N('Debt Payoff'!$D$24)/12</f>
        <v/>
      </c>
      <c r="W165" s="160">
        <f>MIN(N('Debt Payoff'!$E$15),C164+M165)</f>
        <v/>
      </c>
      <c r="X165" s="160">
        <f>MIN(N('Debt Payoff'!$E$16),D164+N165)</f>
        <v/>
      </c>
      <c r="Y165" s="160">
        <f>MIN(N('Debt Payoff'!$E$17),E164+O165)</f>
        <v/>
      </c>
      <c r="Z165" s="160">
        <f>MIN(N('Debt Payoff'!$E$18),F164+P165)</f>
        <v/>
      </c>
      <c r="AA165" s="160">
        <f>MIN(N('Debt Payoff'!$E$19),G164+Q165)</f>
        <v/>
      </c>
      <c r="AB165" s="160">
        <f>MIN(N('Debt Payoff'!$E$20),H164+R165)</f>
        <v/>
      </c>
      <c r="AC165" s="160">
        <f>MIN(N('Debt Payoff'!$E$21),I164+S165)</f>
        <v/>
      </c>
      <c r="AD165" s="160">
        <f>MIN(N('Debt Payoff'!$E$22),J164+T165)</f>
        <v/>
      </c>
      <c r="AE165" s="160">
        <f>MIN(N('Debt Payoff'!$E$23),K164+U165)</f>
        <v/>
      </c>
      <c r="AF165" s="160">
        <f>MIN(N('Debt Payoff'!$E$24),L164+V165)</f>
        <v/>
      </c>
      <c r="AG165" s="160">
        <f>C164+M165-W165</f>
        <v/>
      </c>
      <c r="AH165" s="160">
        <f>D164+N165-X165</f>
        <v/>
      </c>
      <c r="AI165" s="160">
        <f>E164+O165-Y165</f>
        <v/>
      </c>
      <c r="AJ165" s="160">
        <f>F164+P165-Z165</f>
        <v/>
      </c>
      <c r="AK165" s="160">
        <f>G164+Q165-AA165</f>
        <v/>
      </c>
      <c r="AL165" s="160">
        <f>H164+R165-AB165</f>
        <v/>
      </c>
      <c r="AM165" s="160">
        <f>I164+S165-AC165</f>
        <v/>
      </c>
      <c r="AN165" s="160">
        <f>J164+T165-AD165</f>
        <v/>
      </c>
      <c r="AO165" s="160">
        <f>K164+U165-AE165</f>
        <v/>
      </c>
      <c r="AP165" s="160">
        <f>L164+V165-AF165</f>
        <v/>
      </c>
      <c r="AQ165" s="160">
        <f>W165+MAX(0,MIN(AG165,'Debt Payoff'!$C$12-SUM($W165:$AF165)-SUMIFS($AG165:$AP165,$AG$4:$AP$4,"&lt;"&amp;AG$4)))</f>
        <v/>
      </c>
      <c r="AR165" s="160">
        <f>X165+MAX(0,MIN(AH165,'Debt Payoff'!$C$12-SUM($W165:$AF165)-SUMIFS($AG165:$AP165,$AG$4:$AP$4,"&lt;"&amp;AH$4)))</f>
        <v/>
      </c>
      <c r="AS165" s="160">
        <f>Y165+MAX(0,MIN(AI165,'Debt Payoff'!$C$12-SUM($W165:$AF165)-SUMIFS($AG165:$AP165,$AG$4:$AP$4,"&lt;"&amp;AI$4)))</f>
        <v/>
      </c>
      <c r="AT165" s="160">
        <f>Z165+MAX(0,MIN(AJ165,'Debt Payoff'!$C$12-SUM($W165:$AF165)-SUMIFS($AG165:$AP165,$AG$4:$AP$4,"&lt;"&amp;AJ$4)))</f>
        <v/>
      </c>
      <c r="AU165" s="160">
        <f>AA165+MAX(0,MIN(AK165,'Debt Payoff'!$C$12-SUM($W165:$AF165)-SUMIFS($AG165:$AP165,$AG$4:$AP$4,"&lt;"&amp;AK$4)))</f>
        <v/>
      </c>
      <c r="AV165" s="160">
        <f>AB165+MAX(0,MIN(AL165,'Debt Payoff'!$C$12-SUM($W165:$AF165)-SUMIFS($AG165:$AP165,$AG$4:$AP$4,"&lt;"&amp;AL$4)))</f>
        <v/>
      </c>
      <c r="AW165" s="160">
        <f>AC165+MAX(0,MIN(AM165,'Debt Payoff'!$C$12-SUM($W165:$AF165)-SUMIFS($AG165:$AP165,$AG$4:$AP$4,"&lt;"&amp;AM$4)))</f>
        <v/>
      </c>
      <c r="AX165" s="160">
        <f>AD165+MAX(0,MIN(AN165,'Debt Payoff'!$C$12-SUM($W165:$AF165)-SUMIFS($AG165:$AP165,$AG$4:$AP$4,"&lt;"&amp;AN$4)))</f>
        <v/>
      </c>
      <c r="AY165" s="160">
        <f>AE165+MAX(0,MIN(AO165,'Debt Payoff'!$C$12-SUM($W165:$AF165)-SUMIFS($AG165:$AP165,$AG$4:$AP$4,"&lt;"&amp;AO$4)))</f>
        <v/>
      </c>
      <c r="AZ165" s="160">
        <f>AF165+MAX(0,MIN(AP165,'Debt Payoff'!$C$12-SUM($W165:$AF165)-SUMIFS($AG165:$AP165,$AG$4:$AP$4,"&lt;"&amp;AP$4)))</f>
        <v/>
      </c>
      <c r="BA165" s="160">
        <f>SUM(C165:L165)</f>
        <v/>
      </c>
      <c r="BB165" s="160">
        <f>SUM(AQ165:AZ165)</f>
        <v/>
      </c>
      <c r="BC165" s="160">
        <f>SUM(M165:V165)</f>
        <v/>
      </c>
    </row>
    <row r="166">
      <c r="A166" s="157" t="n">
        <v>161</v>
      </c>
      <c r="B166" s="159">
        <f>EDATE('Debt Payoff'!$C$6,160)</f>
        <v/>
      </c>
      <c r="C166" s="160">
        <f>MAX(0,ROUND(C165+M166-AQ166,2))</f>
        <v/>
      </c>
      <c r="D166" s="160">
        <f>MAX(0,ROUND(D165+N166-AR166,2))</f>
        <v/>
      </c>
      <c r="E166" s="160">
        <f>MAX(0,ROUND(E165+O166-AS166,2))</f>
        <v/>
      </c>
      <c r="F166" s="160">
        <f>MAX(0,ROUND(F165+P166-AT166,2))</f>
        <v/>
      </c>
      <c r="G166" s="160">
        <f>MAX(0,ROUND(G165+Q166-AU166,2))</f>
        <v/>
      </c>
      <c r="H166" s="160">
        <f>MAX(0,ROUND(H165+R166-AV166,2))</f>
        <v/>
      </c>
      <c r="I166" s="160">
        <f>MAX(0,ROUND(I165+S166-AW166,2))</f>
        <v/>
      </c>
      <c r="J166" s="160">
        <f>MAX(0,ROUND(J165+T166-AX166,2))</f>
        <v/>
      </c>
      <c r="K166" s="160">
        <f>MAX(0,ROUND(K165+U166-AY166,2))</f>
        <v/>
      </c>
      <c r="L166" s="160">
        <f>MAX(0,ROUND(L165+V166-AZ166,2))</f>
        <v/>
      </c>
      <c r="M166" s="160">
        <f>C165*N('Debt Payoff'!$D$15)/12</f>
        <v/>
      </c>
      <c r="N166" s="160">
        <f>D165*N('Debt Payoff'!$D$16)/12</f>
        <v/>
      </c>
      <c r="O166" s="160">
        <f>E165*N('Debt Payoff'!$D$17)/12</f>
        <v/>
      </c>
      <c r="P166" s="160">
        <f>F165*N('Debt Payoff'!$D$18)/12</f>
        <v/>
      </c>
      <c r="Q166" s="160">
        <f>G165*N('Debt Payoff'!$D$19)/12</f>
        <v/>
      </c>
      <c r="R166" s="160">
        <f>H165*N('Debt Payoff'!$D$20)/12</f>
        <v/>
      </c>
      <c r="S166" s="160">
        <f>I165*N('Debt Payoff'!$D$21)/12</f>
        <v/>
      </c>
      <c r="T166" s="160">
        <f>J165*N('Debt Payoff'!$D$22)/12</f>
        <v/>
      </c>
      <c r="U166" s="160">
        <f>K165*N('Debt Payoff'!$D$23)/12</f>
        <v/>
      </c>
      <c r="V166" s="160">
        <f>L165*N('Debt Payoff'!$D$24)/12</f>
        <v/>
      </c>
      <c r="W166" s="160">
        <f>MIN(N('Debt Payoff'!$E$15),C165+M166)</f>
        <v/>
      </c>
      <c r="X166" s="160">
        <f>MIN(N('Debt Payoff'!$E$16),D165+N166)</f>
        <v/>
      </c>
      <c r="Y166" s="160">
        <f>MIN(N('Debt Payoff'!$E$17),E165+O166)</f>
        <v/>
      </c>
      <c r="Z166" s="160">
        <f>MIN(N('Debt Payoff'!$E$18),F165+P166)</f>
        <v/>
      </c>
      <c r="AA166" s="160">
        <f>MIN(N('Debt Payoff'!$E$19),G165+Q166)</f>
        <v/>
      </c>
      <c r="AB166" s="160">
        <f>MIN(N('Debt Payoff'!$E$20),H165+R166)</f>
        <v/>
      </c>
      <c r="AC166" s="160">
        <f>MIN(N('Debt Payoff'!$E$21),I165+S166)</f>
        <v/>
      </c>
      <c r="AD166" s="160">
        <f>MIN(N('Debt Payoff'!$E$22),J165+T166)</f>
        <v/>
      </c>
      <c r="AE166" s="160">
        <f>MIN(N('Debt Payoff'!$E$23),K165+U166)</f>
        <v/>
      </c>
      <c r="AF166" s="160">
        <f>MIN(N('Debt Payoff'!$E$24),L165+V166)</f>
        <v/>
      </c>
      <c r="AG166" s="160">
        <f>C165+M166-W166</f>
        <v/>
      </c>
      <c r="AH166" s="160">
        <f>D165+N166-X166</f>
        <v/>
      </c>
      <c r="AI166" s="160">
        <f>E165+O166-Y166</f>
        <v/>
      </c>
      <c r="AJ166" s="160">
        <f>F165+P166-Z166</f>
        <v/>
      </c>
      <c r="AK166" s="160">
        <f>G165+Q166-AA166</f>
        <v/>
      </c>
      <c r="AL166" s="160">
        <f>H165+R166-AB166</f>
        <v/>
      </c>
      <c r="AM166" s="160">
        <f>I165+S166-AC166</f>
        <v/>
      </c>
      <c r="AN166" s="160">
        <f>J165+T166-AD166</f>
        <v/>
      </c>
      <c r="AO166" s="160">
        <f>K165+U166-AE166</f>
        <v/>
      </c>
      <c r="AP166" s="160">
        <f>L165+V166-AF166</f>
        <v/>
      </c>
      <c r="AQ166" s="160">
        <f>W166+MAX(0,MIN(AG166,'Debt Payoff'!$C$12-SUM($W166:$AF166)-SUMIFS($AG166:$AP166,$AG$4:$AP$4,"&lt;"&amp;AG$4)))</f>
        <v/>
      </c>
      <c r="AR166" s="160">
        <f>X166+MAX(0,MIN(AH166,'Debt Payoff'!$C$12-SUM($W166:$AF166)-SUMIFS($AG166:$AP166,$AG$4:$AP$4,"&lt;"&amp;AH$4)))</f>
        <v/>
      </c>
      <c r="AS166" s="160">
        <f>Y166+MAX(0,MIN(AI166,'Debt Payoff'!$C$12-SUM($W166:$AF166)-SUMIFS($AG166:$AP166,$AG$4:$AP$4,"&lt;"&amp;AI$4)))</f>
        <v/>
      </c>
      <c r="AT166" s="160">
        <f>Z166+MAX(0,MIN(AJ166,'Debt Payoff'!$C$12-SUM($W166:$AF166)-SUMIFS($AG166:$AP166,$AG$4:$AP$4,"&lt;"&amp;AJ$4)))</f>
        <v/>
      </c>
      <c r="AU166" s="160">
        <f>AA166+MAX(0,MIN(AK166,'Debt Payoff'!$C$12-SUM($W166:$AF166)-SUMIFS($AG166:$AP166,$AG$4:$AP$4,"&lt;"&amp;AK$4)))</f>
        <v/>
      </c>
      <c r="AV166" s="160">
        <f>AB166+MAX(0,MIN(AL166,'Debt Payoff'!$C$12-SUM($W166:$AF166)-SUMIFS($AG166:$AP166,$AG$4:$AP$4,"&lt;"&amp;AL$4)))</f>
        <v/>
      </c>
      <c r="AW166" s="160">
        <f>AC166+MAX(0,MIN(AM166,'Debt Payoff'!$C$12-SUM($W166:$AF166)-SUMIFS($AG166:$AP166,$AG$4:$AP$4,"&lt;"&amp;AM$4)))</f>
        <v/>
      </c>
      <c r="AX166" s="160">
        <f>AD166+MAX(0,MIN(AN166,'Debt Payoff'!$C$12-SUM($W166:$AF166)-SUMIFS($AG166:$AP166,$AG$4:$AP$4,"&lt;"&amp;AN$4)))</f>
        <v/>
      </c>
      <c r="AY166" s="160">
        <f>AE166+MAX(0,MIN(AO166,'Debt Payoff'!$C$12-SUM($W166:$AF166)-SUMIFS($AG166:$AP166,$AG$4:$AP$4,"&lt;"&amp;AO$4)))</f>
        <v/>
      </c>
      <c r="AZ166" s="160">
        <f>AF166+MAX(0,MIN(AP166,'Debt Payoff'!$C$12-SUM($W166:$AF166)-SUMIFS($AG166:$AP166,$AG$4:$AP$4,"&lt;"&amp;AP$4)))</f>
        <v/>
      </c>
      <c r="BA166" s="160">
        <f>SUM(C166:L166)</f>
        <v/>
      </c>
      <c r="BB166" s="160">
        <f>SUM(AQ166:AZ166)</f>
        <v/>
      </c>
      <c r="BC166" s="160">
        <f>SUM(M166:V166)</f>
        <v/>
      </c>
    </row>
    <row r="167">
      <c r="A167" s="157" t="n">
        <v>162</v>
      </c>
      <c r="B167" s="159">
        <f>EDATE('Debt Payoff'!$C$6,161)</f>
        <v/>
      </c>
      <c r="C167" s="160">
        <f>MAX(0,ROUND(C166+M167-AQ167,2))</f>
        <v/>
      </c>
      <c r="D167" s="160">
        <f>MAX(0,ROUND(D166+N167-AR167,2))</f>
        <v/>
      </c>
      <c r="E167" s="160">
        <f>MAX(0,ROUND(E166+O167-AS167,2))</f>
        <v/>
      </c>
      <c r="F167" s="160">
        <f>MAX(0,ROUND(F166+P167-AT167,2))</f>
        <v/>
      </c>
      <c r="G167" s="160">
        <f>MAX(0,ROUND(G166+Q167-AU167,2))</f>
        <v/>
      </c>
      <c r="H167" s="160">
        <f>MAX(0,ROUND(H166+R167-AV167,2))</f>
        <v/>
      </c>
      <c r="I167" s="160">
        <f>MAX(0,ROUND(I166+S167-AW167,2))</f>
        <v/>
      </c>
      <c r="J167" s="160">
        <f>MAX(0,ROUND(J166+T167-AX167,2))</f>
        <v/>
      </c>
      <c r="K167" s="160">
        <f>MAX(0,ROUND(K166+U167-AY167,2))</f>
        <v/>
      </c>
      <c r="L167" s="160">
        <f>MAX(0,ROUND(L166+V167-AZ167,2))</f>
        <v/>
      </c>
      <c r="M167" s="160">
        <f>C166*N('Debt Payoff'!$D$15)/12</f>
        <v/>
      </c>
      <c r="N167" s="160">
        <f>D166*N('Debt Payoff'!$D$16)/12</f>
        <v/>
      </c>
      <c r="O167" s="160">
        <f>E166*N('Debt Payoff'!$D$17)/12</f>
        <v/>
      </c>
      <c r="P167" s="160">
        <f>F166*N('Debt Payoff'!$D$18)/12</f>
        <v/>
      </c>
      <c r="Q167" s="160">
        <f>G166*N('Debt Payoff'!$D$19)/12</f>
        <v/>
      </c>
      <c r="R167" s="160">
        <f>H166*N('Debt Payoff'!$D$20)/12</f>
        <v/>
      </c>
      <c r="S167" s="160">
        <f>I166*N('Debt Payoff'!$D$21)/12</f>
        <v/>
      </c>
      <c r="T167" s="160">
        <f>J166*N('Debt Payoff'!$D$22)/12</f>
        <v/>
      </c>
      <c r="U167" s="160">
        <f>K166*N('Debt Payoff'!$D$23)/12</f>
        <v/>
      </c>
      <c r="V167" s="160">
        <f>L166*N('Debt Payoff'!$D$24)/12</f>
        <v/>
      </c>
      <c r="W167" s="160">
        <f>MIN(N('Debt Payoff'!$E$15),C166+M167)</f>
        <v/>
      </c>
      <c r="X167" s="160">
        <f>MIN(N('Debt Payoff'!$E$16),D166+N167)</f>
        <v/>
      </c>
      <c r="Y167" s="160">
        <f>MIN(N('Debt Payoff'!$E$17),E166+O167)</f>
        <v/>
      </c>
      <c r="Z167" s="160">
        <f>MIN(N('Debt Payoff'!$E$18),F166+P167)</f>
        <v/>
      </c>
      <c r="AA167" s="160">
        <f>MIN(N('Debt Payoff'!$E$19),G166+Q167)</f>
        <v/>
      </c>
      <c r="AB167" s="160">
        <f>MIN(N('Debt Payoff'!$E$20),H166+R167)</f>
        <v/>
      </c>
      <c r="AC167" s="160">
        <f>MIN(N('Debt Payoff'!$E$21),I166+S167)</f>
        <v/>
      </c>
      <c r="AD167" s="160">
        <f>MIN(N('Debt Payoff'!$E$22),J166+T167)</f>
        <v/>
      </c>
      <c r="AE167" s="160">
        <f>MIN(N('Debt Payoff'!$E$23),K166+U167)</f>
        <v/>
      </c>
      <c r="AF167" s="160">
        <f>MIN(N('Debt Payoff'!$E$24),L166+V167)</f>
        <v/>
      </c>
      <c r="AG167" s="160">
        <f>C166+M167-W167</f>
        <v/>
      </c>
      <c r="AH167" s="160">
        <f>D166+N167-X167</f>
        <v/>
      </c>
      <c r="AI167" s="160">
        <f>E166+O167-Y167</f>
        <v/>
      </c>
      <c r="AJ167" s="160">
        <f>F166+P167-Z167</f>
        <v/>
      </c>
      <c r="AK167" s="160">
        <f>G166+Q167-AA167</f>
        <v/>
      </c>
      <c r="AL167" s="160">
        <f>H166+R167-AB167</f>
        <v/>
      </c>
      <c r="AM167" s="160">
        <f>I166+S167-AC167</f>
        <v/>
      </c>
      <c r="AN167" s="160">
        <f>J166+T167-AD167</f>
        <v/>
      </c>
      <c r="AO167" s="160">
        <f>K166+U167-AE167</f>
        <v/>
      </c>
      <c r="AP167" s="160">
        <f>L166+V167-AF167</f>
        <v/>
      </c>
      <c r="AQ167" s="160">
        <f>W167+MAX(0,MIN(AG167,'Debt Payoff'!$C$12-SUM($W167:$AF167)-SUMIFS($AG167:$AP167,$AG$4:$AP$4,"&lt;"&amp;AG$4)))</f>
        <v/>
      </c>
      <c r="AR167" s="160">
        <f>X167+MAX(0,MIN(AH167,'Debt Payoff'!$C$12-SUM($W167:$AF167)-SUMIFS($AG167:$AP167,$AG$4:$AP$4,"&lt;"&amp;AH$4)))</f>
        <v/>
      </c>
      <c r="AS167" s="160">
        <f>Y167+MAX(0,MIN(AI167,'Debt Payoff'!$C$12-SUM($W167:$AF167)-SUMIFS($AG167:$AP167,$AG$4:$AP$4,"&lt;"&amp;AI$4)))</f>
        <v/>
      </c>
      <c r="AT167" s="160">
        <f>Z167+MAX(0,MIN(AJ167,'Debt Payoff'!$C$12-SUM($W167:$AF167)-SUMIFS($AG167:$AP167,$AG$4:$AP$4,"&lt;"&amp;AJ$4)))</f>
        <v/>
      </c>
      <c r="AU167" s="160">
        <f>AA167+MAX(0,MIN(AK167,'Debt Payoff'!$C$12-SUM($W167:$AF167)-SUMIFS($AG167:$AP167,$AG$4:$AP$4,"&lt;"&amp;AK$4)))</f>
        <v/>
      </c>
      <c r="AV167" s="160">
        <f>AB167+MAX(0,MIN(AL167,'Debt Payoff'!$C$12-SUM($W167:$AF167)-SUMIFS($AG167:$AP167,$AG$4:$AP$4,"&lt;"&amp;AL$4)))</f>
        <v/>
      </c>
      <c r="AW167" s="160">
        <f>AC167+MAX(0,MIN(AM167,'Debt Payoff'!$C$12-SUM($W167:$AF167)-SUMIFS($AG167:$AP167,$AG$4:$AP$4,"&lt;"&amp;AM$4)))</f>
        <v/>
      </c>
      <c r="AX167" s="160">
        <f>AD167+MAX(0,MIN(AN167,'Debt Payoff'!$C$12-SUM($W167:$AF167)-SUMIFS($AG167:$AP167,$AG$4:$AP$4,"&lt;"&amp;AN$4)))</f>
        <v/>
      </c>
      <c r="AY167" s="160">
        <f>AE167+MAX(0,MIN(AO167,'Debt Payoff'!$C$12-SUM($W167:$AF167)-SUMIFS($AG167:$AP167,$AG$4:$AP$4,"&lt;"&amp;AO$4)))</f>
        <v/>
      </c>
      <c r="AZ167" s="160">
        <f>AF167+MAX(0,MIN(AP167,'Debt Payoff'!$C$12-SUM($W167:$AF167)-SUMIFS($AG167:$AP167,$AG$4:$AP$4,"&lt;"&amp;AP$4)))</f>
        <v/>
      </c>
      <c r="BA167" s="160">
        <f>SUM(C167:L167)</f>
        <v/>
      </c>
      <c r="BB167" s="160">
        <f>SUM(AQ167:AZ167)</f>
        <v/>
      </c>
      <c r="BC167" s="160">
        <f>SUM(M167:V167)</f>
        <v/>
      </c>
    </row>
    <row r="168">
      <c r="A168" s="157" t="n">
        <v>163</v>
      </c>
      <c r="B168" s="159">
        <f>EDATE('Debt Payoff'!$C$6,162)</f>
        <v/>
      </c>
      <c r="C168" s="160">
        <f>MAX(0,ROUND(C167+M168-AQ168,2))</f>
        <v/>
      </c>
      <c r="D168" s="160">
        <f>MAX(0,ROUND(D167+N168-AR168,2))</f>
        <v/>
      </c>
      <c r="E168" s="160">
        <f>MAX(0,ROUND(E167+O168-AS168,2))</f>
        <v/>
      </c>
      <c r="F168" s="160">
        <f>MAX(0,ROUND(F167+P168-AT168,2))</f>
        <v/>
      </c>
      <c r="G168" s="160">
        <f>MAX(0,ROUND(G167+Q168-AU168,2))</f>
        <v/>
      </c>
      <c r="H168" s="160">
        <f>MAX(0,ROUND(H167+R168-AV168,2))</f>
        <v/>
      </c>
      <c r="I168" s="160">
        <f>MAX(0,ROUND(I167+S168-AW168,2))</f>
        <v/>
      </c>
      <c r="J168" s="160">
        <f>MAX(0,ROUND(J167+T168-AX168,2))</f>
        <v/>
      </c>
      <c r="K168" s="160">
        <f>MAX(0,ROUND(K167+U168-AY168,2))</f>
        <v/>
      </c>
      <c r="L168" s="160">
        <f>MAX(0,ROUND(L167+V168-AZ168,2))</f>
        <v/>
      </c>
      <c r="M168" s="160">
        <f>C167*N('Debt Payoff'!$D$15)/12</f>
        <v/>
      </c>
      <c r="N168" s="160">
        <f>D167*N('Debt Payoff'!$D$16)/12</f>
        <v/>
      </c>
      <c r="O168" s="160">
        <f>E167*N('Debt Payoff'!$D$17)/12</f>
        <v/>
      </c>
      <c r="P168" s="160">
        <f>F167*N('Debt Payoff'!$D$18)/12</f>
        <v/>
      </c>
      <c r="Q168" s="160">
        <f>G167*N('Debt Payoff'!$D$19)/12</f>
        <v/>
      </c>
      <c r="R168" s="160">
        <f>H167*N('Debt Payoff'!$D$20)/12</f>
        <v/>
      </c>
      <c r="S168" s="160">
        <f>I167*N('Debt Payoff'!$D$21)/12</f>
        <v/>
      </c>
      <c r="T168" s="160">
        <f>J167*N('Debt Payoff'!$D$22)/12</f>
        <v/>
      </c>
      <c r="U168" s="160">
        <f>K167*N('Debt Payoff'!$D$23)/12</f>
        <v/>
      </c>
      <c r="V168" s="160">
        <f>L167*N('Debt Payoff'!$D$24)/12</f>
        <v/>
      </c>
      <c r="W168" s="160">
        <f>MIN(N('Debt Payoff'!$E$15),C167+M168)</f>
        <v/>
      </c>
      <c r="X168" s="160">
        <f>MIN(N('Debt Payoff'!$E$16),D167+N168)</f>
        <v/>
      </c>
      <c r="Y168" s="160">
        <f>MIN(N('Debt Payoff'!$E$17),E167+O168)</f>
        <v/>
      </c>
      <c r="Z168" s="160">
        <f>MIN(N('Debt Payoff'!$E$18),F167+P168)</f>
        <v/>
      </c>
      <c r="AA168" s="160">
        <f>MIN(N('Debt Payoff'!$E$19),G167+Q168)</f>
        <v/>
      </c>
      <c r="AB168" s="160">
        <f>MIN(N('Debt Payoff'!$E$20),H167+R168)</f>
        <v/>
      </c>
      <c r="AC168" s="160">
        <f>MIN(N('Debt Payoff'!$E$21),I167+S168)</f>
        <v/>
      </c>
      <c r="AD168" s="160">
        <f>MIN(N('Debt Payoff'!$E$22),J167+T168)</f>
        <v/>
      </c>
      <c r="AE168" s="160">
        <f>MIN(N('Debt Payoff'!$E$23),K167+U168)</f>
        <v/>
      </c>
      <c r="AF168" s="160">
        <f>MIN(N('Debt Payoff'!$E$24),L167+V168)</f>
        <v/>
      </c>
      <c r="AG168" s="160">
        <f>C167+M168-W168</f>
        <v/>
      </c>
      <c r="AH168" s="160">
        <f>D167+N168-X168</f>
        <v/>
      </c>
      <c r="AI168" s="160">
        <f>E167+O168-Y168</f>
        <v/>
      </c>
      <c r="AJ168" s="160">
        <f>F167+P168-Z168</f>
        <v/>
      </c>
      <c r="AK168" s="160">
        <f>G167+Q168-AA168</f>
        <v/>
      </c>
      <c r="AL168" s="160">
        <f>H167+R168-AB168</f>
        <v/>
      </c>
      <c r="AM168" s="160">
        <f>I167+S168-AC168</f>
        <v/>
      </c>
      <c r="AN168" s="160">
        <f>J167+T168-AD168</f>
        <v/>
      </c>
      <c r="AO168" s="160">
        <f>K167+U168-AE168</f>
        <v/>
      </c>
      <c r="AP168" s="160">
        <f>L167+V168-AF168</f>
        <v/>
      </c>
      <c r="AQ168" s="160">
        <f>W168+MAX(0,MIN(AG168,'Debt Payoff'!$C$12-SUM($W168:$AF168)-SUMIFS($AG168:$AP168,$AG$4:$AP$4,"&lt;"&amp;AG$4)))</f>
        <v/>
      </c>
      <c r="AR168" s="160">
        <f>X168+MAX(0,MIN(AH168,'Debt Payoff'!$C$12-SUM($W168:$AF168)-SUMIFS($AG168:$AP168,$AG$4:$AP$4,"&lt;"&amp;AH$4)))</f>
        <v/>
      </c>
      <c r="AS168" s="160">
        <f>Y168+MAX(0,MIN(AI168,'Debt Payoff'!$C$12-SUM($W168:$AF168)-SUMIFS($AG168:$AP168,$AG$4:$AP$4,"&lt;"&amp;AI$4)))</f>
        <v/>
      </c>
      <c r="AT168" s="160">
        <f>Z168+MAX(0,MIN(AJ168,'Debt Payoff'!$C$12-SUM($W168:$AF168)-SUMIFS($AG168:$AP168,$AG$4:$AP$4,"&lt;"&amp;AJ$4)))</f>
        <v/>
      </c>
      <c r="AU168" s="160">
        <f>AA168+MAX(0,MIN(AK168,'Debt Payoff'!$C$12-SUM($W168:$AF168)-SUMIFS($AG168:$AP168,$AG$4:$AP$4,"&lt;"&amp;AK$4)))</f>
        <v/>
      </c>
      <c r="AV168" s="160">
        <f>AB168+MAX(0,MIN(AL168,'Debt Payoff'!$C$12-SUM($W168:$AF168)-SUMIFS($AG168:$AP168,$AG$4:$AP$4,"&lt;"&amp;AL$4)))</f>
        <v/>
      </c>
      <c r="AW168" s="160">
        <f>AC168+MAX(0,MIN(AM168,'Debt Payoff'!$C$12-SUM($W168:$AF168)-SUMIFS($AG168:$AP168,$AG$4:$AP$4,"&lt;"&amp;AM$4)))</f>
        <v/>
      </c>
      <c r="AX168" s="160">
        <f>AD168+MAX(0,MIN(AN168,'Debt Payoff'!$C$12-SUM($W168:$AF168)-SUMIFS($AG168:$AP168,$AG$4:$AP$4,"&lt;"&amp;AN$4)))</f>
        <v/>
      </c>
      <c r="AY168" s="160">
        <f>AE168+MAX(0,MIN(AO168,'Debt Payoff'!$C$12-SUM($W168:$AF168)-SUMIFS($AG168:$AP168,$AG$4:$AP$4,"&lt;"&amp;AO$4)))</f>
        <v/>
      </c>
      <c r="AZ168" s="160">
        <f>AF168+MAX(0,MIN(AP168,'Debt Payoff'!$C$12-SUM($W168:$AF168)-SUMIFS($AG168:$AP168,$AG$4:$AP$4,"&lt;"&amp;AP$4)))</f>
        <v/>
      </c>
      <c r="BA168" s="160">
        <f>SUM(C168:L168)</f>
        <v/>
      </c>
      <c r="BB168" s="160">
        <f>SUM(AQ168:AZ168)</f>
        <v/>
      </c>
      <c r="BC168" s="160">
        <f>SUM(M168:V168)</f>
        <v/>
      </c>
    </row>
    <row r="169">
      <c r="A169" s="157" t="n">
        <v>164</v>
      </c>
      <c r="B169" s="159">
        <f>EDATE('Debt Payoff'!$C$6,163)</f>
        <v/>
      </c>
      <c r="C169" s="160">
        <f>MAX(0,ROUND(C168+M169-AQ169,2))</f>
        <v/>
      </c>
      <c r="D169" s="160">
        <f>MAX(0,ROUND(D168+N169-AR169,2))</f>
        <v/>
      </c>
      <c r="E169" s="160">
        <f>MAX(0,ROUND(E168+O169-AS169,2))</f>
        <v/>
      </c>
      <c r="F169" s="160">
        <f>MAX(0,ROUND(F168+P169-AT169,2))</f>
        <v/>
      </c>
      <c r="G169" s="160">
        <f>MAX(0,ROUND(G168+Q169-AU169,2))</f>
        <v/>
      </c>
      <c r="H169" s="160">
        <f>MAX(0,ROUND(H168+R169-AV169,2))</f>
        <v/>
      </c>
      <c r="I169" s="160">
        <f>MAX(0,ROUND(I168+S169-AW169,2))</f>
        <v/>
      </c>
      <c r="J169" s="160">
        <f>MAX(0,ROUND(J168+T169-AX169,2))</f>
        <v/>
      </c>
      <c r="K169" s="160">
        <f>MAX(0,ROUND(K168+U169-AY169,2))</f>
        <v/>
      </c>
      <c r="L169" s="160">
        <f>MAX(0,ROUND(L168+V169-AZ169,2))</f>
        <v/>
      </c>
      <c r="M169" s="160">
        <f>C168*N('Debt Payoff'!$D$15)/12</f>
        <v/>
      </c>
      <c r="N169" s="160">
        <f>D168*N('Debt Payoff'!$D$16)/12</f>
        <v/>
      </c>
      <c r="O169" s="160">
        <f>E168*N('Debt Payoff'!$D$17)/12</f>
        <v/>
      </c>
      <c r="P169" s="160">
        <f>F168*N('Debt Payoff'!$D$18)/12</f>
        <v/>
      </c>
      <c r="Q169" s="160">
        <f>G168*N('Debt Payoff'!$D$19)/12</f>
        <v/>
      </c>
      <c r="R169" s="160">
        <f>H168*N('Debt Payoff'!$D$20)/12</f>
        <v/>
      </c>
      <c r="S169" s="160">
        <f>I168*N('Debt Payoff'!$D$21)/12</f>
        <v/>
      </c>
      <c r="T169" s="160">
        <f>J168*N('Debt Payoff'!$D$22)/12</f>
        <v/>
      </c>
      <c r="U169" s="160">
        <f>K168*N('Debt Payoff'!$D$23)/12</f>
        <v/>
      </c>
      <c r="V169" s="160">
        <f>L168*N('Debt Payoff'!$D$24)/12</f>
        <v/>
      </c>
      <c r="W169" s="160">
        <f>MIN(N('Debt Payoff'!$E$15),C168+M169)</f>
        <v/>
      </c>
      <c r="X169" s="160">
        <f>MIN(N('Debt Payoff'!$E$16),D168+N169)</f>
        <v/>
      </c>
      <c r="Y169" s="160">
        <f>MIN(N('Debt Payoff'!$E$17),E168+O169)</f>
        <v/>
      </c>
      <c r="Z169" s="160">
        <f>MIN(N('Debt Payoff'!$E$18),F168+P169)</f>
        <v/>
      </c>
      <c r="AA169" s="160">
        <f>MIN(N('Debt Payoff'!$E$19),G168+Q169)</f>
        <v/>
      </c>
      <c r="AB169" s="160">
        <f>MIN(N('Debt Payoff'!$E$20),H168+R169)</f>
        <v/>
      </c>
      <c r="AC169" s="160">
        <f>MIN(N('Debt Payoff'!$E$21),I168+S169)</f>
        <v/>
      </c>
      <c r="AD169" s="160">
        <f>MIN(N('Debt Payoff'!$E$22),J168+T169)</f>
        <v/>
      </c>
      <c r="AE169" s="160">
        <f>MIN(N('Debt Payoff'!$E$23),K168+U169)</f>
        <v/>
      </c>
      <c r="AF169" s="160">
        <f>MIN(N('Debt Payoff'!$E$24),L168+V169)</f>
        <v/>
      </c>
      <c r="AG169" s="160">
        <f>C168+M169-W169</f>
        <v/>
      </c>
      <c r="AH169" s="160">
        <f>D168+N169-X169</f>
        <v/>
      </c>
      <c r="AI169" s="160">
        <f>E168+O169-Y169</f>
        <v/>
      </c>
      <c r="AJ169" s="160">
        <f>F168+P169-Z169</f>
        <v/>
      </c>
      <c r="AK169" s="160">
        <f>G168+Q169-AA169</f>
        <v/>
      </c>
      <c r="AL169" s="160">
        <f>H168+R169-AB169</f>
        <v/>
      </c>
      <c r="AM169" s="160">
        <f>I168+S169-AC169</f>
        <v/>
      </c>
      <c r="AN169" s="160">
        <f>J168+T169-AD169</f>
        <v/>
      </c>
      <c r="AO169" s="160">
        <f>K168+U169-AE169</f>
        <v/>
      </c>
      <c r="AP169" s="160">
        <f>L168+V169-AF169</f>
        <v/>
      </c>
      <c r="AQ169" s="160">
        <f>W169+MAX(0,MIN(AG169,'Debt Payoff'!$C$12-SUM($W169:$AF169)-SUMIFS($AG169:$AP169,$AG$4:$AP$4,"&lt;"&amp;AG$4)))</f>
        <v/>
      </c>
      <c r="AR169" s="160">
        <f>X169+MAX(0,MIN(AH169,'Debt Payoff'!$C$12-SUM($W169:$AF169)-SUMIFS($AG169:$AP169,$AG$4:$AP$4,"&lt;"&amp;AH$4)))</f>
        <v/>
      </c>
      <c r="AS169" s="160">
        <f>Y169+MAX(0,MIN(AI169,'Debt Payoff'!$C$12-SUM($W169:$AF169)-SUMIFS($AG169:$AP169,$AG$4:$AP$4,"&lt;"&amp;AI$4)))</f>
        <v/>
      </c>
      <c r="AT169" s="160">
        <f>Z169+MAX(0,MIN(AJ169,'Debt Payoff'!$C$12-SUM($W169:$AF169)-SUMIFS($AG169:$AP169,$AG$4:$AP$4,"&lt;"&amp;AJ$4)))</f>
        <v/>
      </c>
      <c r="AU169" s="160">
        <f>AA169+MAX(0,MIN(AK169,'Debt Payoff'!$C$12-SUM($W169:$AF169)-SUMIFS($AG169:$AP169,$AG$4:$AP$4,"&lt;"&amp;AK$4)))</f>
        <v/>
      </c>
      <c r="AV169" s="160">
        <f>AB169+MAX(0,MIN(AL169,'Debt Payoff'!$C$12-SUM($W169:$AF169)-SUMIFS($AG169:$AP169,$AG$4:$AP$4,"&lt;"&amp;AL$4)))</f>
        <v/>
      </c>
      <c r="AW169" s="160">
        <f>AC169+MAX(0,MIN(AM169,'Debt Payoff'!$C$12-SUM($W169:$AF169)-SUMIFS($AG169:$AP169,$AG$4:$AP$4,"&lt;"&amp;AM$4)))</f>
        <v/>
      </c>
      <c r="AX169" s="160">
        <f>AD169+MAX(0,MIN(AN169,'Debt Payoff'!$C$12-SUM($W169:$AF169)-SUMIFS($AG169:$AP169,$AG$4:$AP$4,"&lt;"&amp;AN$4)))</f>
        <v/>
      </c>
      <c r="AY169" s="160">
        <f>AE169+MAX(0,MIN(AO169,'Debt Payoff'!$C$12-SUM($W169:$AF169)-SUMIFS($AG169:$AP169,$AG$4:$AP$4,"&lt;"&amp;AO$4)))</f>
        <v/>
      </c>
      <c r="AZ169" s="160">
        <f>AF169+MAX(0,MIN(AP169,'Debt Payoff'!$C$12-SUM($W169:$AF169)-SUMIFS($AG169:$AP169,$AG$4:$AP$4,"&lt;"&amp;AP$4)))</f>
        <v/>
      </c>
      <c r="BA169" s="160">
        <f>SUM(C169:L169)</f>
        <v/>
      </c>
      <c r="BB169" s="160">
        <f>SUM(AQ169:AZ169)</f>
        <v/>
      </c>
      <c r="BC169" s="160">
        <f>SUM(M169:V169)</f>
        <v/>
      </c>
    </row>
    <row r="170">
      <c r="A170" s="157" t="n">
        <v>165</v>
      </c>
      <c r="B170" s="159">
        <f>EDATE('Debt Payoff'!$C$6,164)</f>
        <v/>
      </c>
      <c r="C170" s="160">
        <f>MAX(0,ROUND(C169+M170-AQ170,2))</f>
        <v/>
      </c>
      <c r="D170" s="160">
        <f>MAX(0,ROUND(D169+N170-AR170,2))</f>
        <v/>
      </c>
      <c r="E170" s="160">
        <f>MAX(0,ROUND(E169+O170-AS170,2))</f>
        <v/>
      </c>
      <c r="F170" s="160">
        <f>MAX(0,ROUND(F169+P170-AT170,2))</f>
        <v/>
      </c>
      <c r="G170" s="160">
        <f>MAX(0,ROUND(G169+Q170-AU170,2))</f>
        <v/>
      </c>
      <c r="H170" s="160">
        <f>MAX(0,ROUND(H169+R170-AV170,2))</f>
        <v/>
      </c>
      <c r="I170" s="160">
        <f>MAX(0,ROUND(I169+S170-AW170,2))</f>
        <v/>
      </c>
      <c r="J170" s="160">
        <f>MAX(0,ROUND(J169+T170-AX170,2))</f>
        <v/>
      </c>
      <c r="K170" s="160">
        <f>MAX(0,ROUND(K169+U170-AY170,2))</f>
        <v/>
      </c>
      <c r="L170" s="160">
        <f>MAX(0,ROUND(L169+V170-AZ170,2))</f>
        <v/>
      </c>
      <c r="M170" s="160">
        <f>C169*N('Debt Payoff'!$D$15)/12</f>
        <v/>
      </c>
      <c r="N170" s="160">
        <f>D169*N('Debt Payoff'!$D$16)/12</f>
        <v/>
      </c>
      <c r="O170" s="160">
        <f>E169*N('Debt Payoff'!$D$17)/12</f>
        <v/>
      </c>
      <c r="P170" s="160">
        <f>F169*N('Debt Payoff'!$D$18)/12</f>
        <v/>
      </c>
      <c r="Q170" s="160">
        <f>G169*N('Debt Payoff'!$D$19)/12</f>
        <v/>
      </c>
      <c r="R170" s="160">
        <f>H169*N('Debt Payoff'!$D$20)/12</f>
        <v/>
      </c>
      <c r="S170" s="160">
        <f>I169*N('Debt Payoff'!$D$21)/12</f>
        <v/>
      </c>
      <c r="T170" s="160">
        <f>J169*N('Debt Payoff'!$D$22)/12</f>
        <v/>
      </c>
      <c r="U170" s="160">
        <f>K169*N('Debt Payoff'!$D$23)/12</f>
        <v/>
      </c>
      <c r="V170" s="160">
        <f>L169*N('Debt Payoff'!$D$24)/12</f>
        <v/>
      </c>
      <c r="W170" s="160">
        <f>MIN(N('Debt Payoff'!$E$15),C169+M170)</f>
        <v/>
      </c>
      <c r="X170" s="160">
        <f>MIN(N('Debt Payoff'!$E$16),D169+N170)</f>
        <v/>
      </c>
      <c r="Y170" s="160">
        <f>MIN(N('Debt Payoff'!$E$17),E169+O170)</f>
        <v/>
      </c>
      <c r="Z170" s="160">
        <f>MIN(N('Debt Payoff'!$E$18),F169+P170)</f>
        <v/>
      </c>
      <c r="AA170" s="160">
        <f>MIN(N('Debt Payoff'!$E$19),G169+Q170)</f>
        <v/>
      </c>
      <c r="AB170" s="160">
        <f>MIN(N('Debt Payoff'!$E$20),H169+R170)</f>
        <v/>
      </c>
      <c r="AC170" s="160">
        <f>MIN(N('Debt Payoff'!$E$21),I169+S170)</f>
        <v/>
      </c>
      <c r="AD170" s="160">
        <f>MIN(N('Debt Payoff'!$E$22),J169+T170)</f>
        <v/>
      </c>
      <c r="AE170" s="160">
        <f>MIN(N('Debt Payoff'!$E$23),K169+U170)</f>
        <v/>
      </c>
      <c r="AF170" s="160">
        <f>MIN(N('Debt Payoff'!$E$24),L169+V170)</f>
        <v/>
      </c>
      <c r="AG170" s="160">
        <f>C169+M170-W170</f>
        <v/>
      </c>
      <c r="AH170" s="160">
        <f>D169+N170-X170</f>
        <v/>
      </c>
      <c r="AI170" s="160">
        <f>E169+O170-Y170</f>
        <v/>
      </c>
      <c r="AJ170" s="160">
        <f>F169+P170-Z170</f>
        <v/>
      </c>
      <c r="AK170" s="160">
        <f>G169+Q170-AA170</f>
        <v/>
      </c>
      <c r="AL170" s="160">
        <f>H169+R170-AB170</f>
        <v/>
      </c>
      <c r="AM170" s="160">
        <f>I169+S170-AC170</f>
        <v/>
      </c>
      <c r="AN170" s="160">
        <f>J169+T170-AD170</f>
        <v/>
      </c>
      <c r="AO170" s="160">
        <f>K169+U170-AE170</f>
        <v/>
      </c>
      <c r="AP170" s="160">
        <f>L169+V170-AF170</f>
        <v/>
      </c>
      <c r="AQ170" s="160">
        <f>W170+MAX(0,MIN(AG170,'Debt Payoff'!$C$12-SUM($W170:$AF170)-SUMIFS($AG170:$AP170,$AG$4:$AP$4,"&lt;"&amp;AG$4)))</f>
        <v/>
      </c>
      <c r="AR170" s="160">
        <f>X170+MAX(0,MIN(AH170,'Debt Payoff'!$C$12-SUM($W170:$AF170)-SUMIFS($AG170:$AP170,$AG$4:$AP$4,"&lt;"&amp;AH$4)))</f>
        <v/>
      </c>
      <c r="AS170" s="160">
        <f>Y170+MAX(0,MIN(AI170,'Debt Payoff'!$C$12-SUM($W170:$AF170)-SUMIFS($AG170:$AP170,$AG$4:$AP$4,"&lt;"&amp;AI$4)))</f>
        <v/>
      </c>
      <c r="AT170" s="160">
        <f>Z170+MAX(0,MIN(AJ170,'Debt Payoff'!$C$12-SUM($W170:$AF170)-SUMIFS($AG170:$AP170,$AG$4:$AP$4,"&lt;"&amp;AJ$4)))</f>
        <v/>
      </c>
      <c r="AU170" s="160">
        <f>AA170+MAX(0,MIN(AK170,'Debt Payoff'!$C$12-SUM($W170:$AF170)-SUMIFS($AG170:$AP170,$AG$4:$AP$4,"&lt;"&amp;AK$4)))</f>
        <v/>
      </c>
      <c r="AV170" s="160">
        <f>AB170+MAX(0,MIN(AL170,'Debt Payoff'!$C$12-SUM($W170:$AF170)-SUMIFS($AG170:$AP170,$AG$4:$AP$4,"&lt;"&amp;AL$4)))</f>
        <v/>
      </c>
      <c r="AW170" s="160">
        <f>AC170+MAX(0,MIN(AM170,'Debt Payoff'!$C$12-SUM($W170:$AF170)-SUMIFS($AG170:$AP170,$AG$4:$AP$4,"&lt;"&amp;AM$4)))</f>
        <v/>
      </c>
      <c r="AX170" s="160">
        <f>AD170+MAX(0,MIN(AN170,'Debt Payoff'!$C$12-SUM($W170:$AF170)-SUMIFS($AG170:$AP170,$AG$4:$AP$4,"&lt;"&amp;AN$4)))</f>
        <v/>
      </c>
      <c r="AY170" s="160">
        <f>AE170+MAX(0,MIN(AO170,'Debt Payoff'!$C$12-SUM($W170:$AF170)-SUMIFS($AG170:$AP170,$AG$4:$AP$4,"&lt;"&amp;AO$4)))</f>
        <v/>
      </c>
      <c r="AZ170" s="160">
        <f>AF170+MAX(0,MIN(AP170,'Debt Payoff'!$C$12-SUM($W170:$AF170)-SUMIFS($AG170:$AP170,$AG$4:$AP$4,"&lt;"&amp;AP$4)))</f>
        <v/>
      </c>
      <c r="BA170" s="160">
        <f>SUM(C170:L170)</f>
        <v/>
      </c>
      <c r="BB170" s="160">
        <f>SUM(AQ170:AZ170)</f>
        <v/>
      </c>
      <c r="BC170" s="160">
        <f>SUM(M170:V170)</f>
        <v/>
      </c>
    </row>
    <row r="171">
      <c r="A171" s="157" t="n">
        <v>166</v>
      </c>
      <c r="B171" s="159">
        <f>EDATE('Debt Payoff'!$C$6,165)</f>
        <v/>
      </c>
      <c r="C171" s="160">
        <f>MAX(0,ROUND(C170+M171-AQ171,2))</f>
        <v/>
      </c>
      <c r="D171" s="160">
        <f>MAX(0,ROUND(D170+N171-AR171,2))</f>
        <v/>
      </c>
      <c r="E171" s="160">
        <f>MAX(0,ROUND(E170+O171-AS171,2))</f>
        <v/>
      </c>
      <c r="F171" s="160">
        <f>MAX(0,ROUND(F170+P171-AT171,2))</f>
        <v/>
      </c>
      <c r="G171" s="160">
        <f>MAX(0,ROUND(G170+Q171-AU171,2))</f>
        <v/>
      </c>
      <c r="H171" s="160">
        <f>MAX(0,ROUND(H170+R171-AV171,2))</f>
        <v/>
      </c>
      <c r="I171" s="160">
        <f>MAX(0,ROUND(I170+S171-AW171,2))</f>
        <v/>
      </c>
      <c r="J171" s="160">
        <f>MAX(0,ROUND(J170+T171-AX171,2))</f>
        <v/>
      </c>
      <c r="K171" s="160">
        <f>MAX(0,ROUND(K170+U171-AY171,2))</f>
        <v/>
      </c>
      <c r="L171" s="160">
        <f>MAX(0,ROUND(L170+V171-AZ171,2))</f>
        <v/>
      </c>
      <c r="M171" s="160">
        <f>C170*N('Debt Payoff'!$D$15)/12</f>
        <v/>
      </c>
      <c r="N171" s="160">
        <f>D170*N('Debt Payoff'!$D$16)/12</f>
        <v/>
      </c>
      <c r="O171" s="160">
        <f>E170*N('Debt Payoff'!$D$17)/12</f>
        <v/>
      </c>
      <c r="P171" s="160">
        <f>F170*N('Debt Payoff'!$D$18)/12</f>
        <v/>
      </c>
      <c r="Q171" s="160">
        <f>G170*N('Debt Payoff'!$D$19)/12</f>
        <v/>
      </c>
      <c r="R171" s="160">
        <f>H170*N('Debt Payoff'!$D$20)/12</f>
        <v/>
      </c>
      <c r="S171" s="160">
        <f>I170*N('Debt Payoff'!$D$21)/12</f>
        <v/>
      </c>
      <c r="T171" s="160">
        <f>J170*N('Debt Payoff'!$D$22)/12</f>
        <v/>
      </c>
      <c r="U171" s="160">
        <f>K170*N('Debt Payoff'!$D$23)/12</f>
        <v/>
      </c>
      <c r="V171" s="160">
        <f>L170*N('Debt Payoff'!$D$24)/12</f>
        <v/>
      </c>
      <c r="W171" s="160">
        <f>MIN(N('Debt Payoff'!$E$15),C170+M171)</f>
        <v/>
      </c>
      <c r="X171" s="160">
        <f>MIN(N('Debt Payoff'!$E$16),D170+N171)</f>
        <v/>
      </c>
      <c r="Y171" s="160">
        <f>MIN(N('Debt Payoff'!$E$17),E170+O171)</f>
        <v/>
      </c>
      <c r="Z171" s="160">
        <f>MIN(N('Debt Payoff'!$E$18),F170+P171)</f>
        <v/>
      </c>
      <c r="AA171" s="160">
        <f>MIN(N('Debt Payoff'!$E$19),G170+Q171)</f>
        <v/>
      </c>
      <c r="AB171" s="160">
        <f>MIN(N('Debt Payoff'!$E$20),H170+R171)</f>
        <v/>
      </c>
      <c r="AC171" s="160">
        <f>MIN(N('Debt Payoff'!$E$21),I170+S171)</f>
        <v/>
      </c>
      <c r="AD171" s="160">
        <f>MIN(N('Debt Payoff'!$E$22),J170+T171)</f>
        <v/>
      </c>
      <c r="AE171" s="160">
        <f>MIN(N('Debt Payoff'!$E$23),K170+U171)</f>
        <v/>
      </c>
      <c r="AF171" s="160">
        <f>MIN(N('Debt Payoff'!$E$24),L170+V171)</f>
        <v/>
      </c>
      <c r="AG171" s="160">
        <f>C170+M171-W171</f>
        <v/>
      </c>
      <c r="AH171" s="160">
        <f>D170+N171-X171</f>
        <v/>
      </c>
      <c r="AI171" s="160">
        <f>E170+O171-Y171</f>
        <v/>
      </c>
      <c r="AJ171" s="160">
        <f>F170+P171-Z171</f>
        <v/>
      </c>
      <c r="AK171" s="160">
        <f>G170+Q171-AA171</f>
        <v/>
      </c>
      <c r="AL171" s="160">
        <f>H170+R171-AB171</f>
        <v/>
      </c>
      <c r="AM171" s="160">
        <f>I170+S171-AC171</f>
        <v/>
      </c>
      <c r="AN171" s="160">
        <f>J170+T171-AD171</f>
        <v/>
      </c>
      <c r="AO171" s="160">
        <f>K170+U171-AE171</f>
        <v/>
      </c>
      <c r="AP171" s="160">
        <f>L170+V171-AF171</f>
        <v/>
      </c>
      <c r="AQ171" s="160">
        <f>W171+MAX(0,MIN(AG171,'Debt Payoff'!$C$12-SUM($W171:$AF171)-SUMIFS($AG171:$AP171,$AG$4:$AP$4,"&lt;"&amp;AG$4)))</f>
        <v/>
      </c>
      <c r="AR171" s="160">
        <f>X171+MAX(0,MIN(AH171,'Debt Payoff'!$C$12-SUM($W171:$AF171)-SUMIFS($AG171:$AP171,$AG$4:$AP$4,"&lt;"&amp;AH$4)))</f>
        <v/>
      </c>
      <c r="AS171" s="160">
        <f>Y171+MAX(0,MIN(AI171,'Debt Payoff'!$C$12-SUM($W171:$AF171)-SUMIFS($AG171:$AP171,$AG$4:$AP$4,"&lt;"&amp;AI$4)))</f>
        <v/>
      </c>
      <c r="AT171" s="160">
        <f>Z171+MAX(0,MIN(AJ171,'Debt Payoff'!$C$12-SUM($W171:$AF171)-SUMIFS($AG171:$AP171,$AG$4:$AP$4,"&lt;"&amp;AJ$4)))</f>
        <v/>
      </c>
      <c r="AU171" s="160">
        <f>AA171+MAX(0,MIN(AK171,'Debt Payoff'!$C$12-SUM($W171:$AF171)-SUMIFS($AG171:$AP171,$AG$4:$AP$4,"&lt;"&amp;AK$4)))</f>
        <v/>
      </c>
      <c r="AV171" s="160">
        <f>AB171+MAX(0,MIN(AL171,'Debt Payoff'!$C$12-SUM($W171:$AF171)-SUMIFS($AG171:$AP171,$AG$4:$AP$4,"&lt;"&amp;AL$4)))</f>
        <v/>
      </c>
      <c r="AW171" s="160">
        <f>AC171+MAX(0,MIN(AM171,'Debt Payoff'!$C$12-SUM($W171:$AF171)-SUMIFS($AG171:$AP171,$AG$4:$AP$4,"&lt;"&amp;AM$4)))</f>
        <v/>
      </c>
      <c r="AX171" s="160">
        <f>AD171+MAX(0,MIN(AN171,'Debt Payoff'!$C$12-SUM($W171:$AF171)-SUMIFS($AG171:$AP171,$AG$4:$AP$4,"&lt;"&amp;AN$4)))</f>
        <v/>
      </c>
      <c r="AY171" s="160">
        <f>AE171+MAX(0,MIN(AO171,'Debt Payoff'!$C$12-SUM($W171:$AF171)-SUMIFS($AG171:$AP171,$AG$4:$AP$4,"&lt;"&amp;AO$4)))</f>
        <v/>
      </c>
      <c r="AZ171" s="160">
        <f>AF171+MAX(0,MIN(AP171,'Debt Payoff'!$C$12-SUM($W171:$AF171)-SUMIFS($AG171:$AP171,$AG$4:$AP$4,"&lt;"&amp;AP$4)))</f>
        <v/>
      </c>
      <c r="BA171" s="160">
        <f>SUM(C171:L171)</f>
        <v/>
      </c>
      <c r="BB171" s="160">
        <f>SUM(AQ171:AZ171)</f>
        <v/>
      </c>
      <c r="BC171" s="160">
        <f>SUM(M171:V171)</f>
        <v/>
      </c>
    </row>
    <row r="172">
      <c r="A172" s="157" t="n">
        <v>167</v>
      </c>
      <c r="B172" s="159">
        <f>EDATE('Debt Payoff'!$C$6,166)</f>
        <v/>
      </c>
      <c r="C172" s="160">
        <f>MAX(0,ROUND(C171+M172-AQ172,2))</f>
        <v/>
      </c>
      <c r="D172" s="160">
        <f>MAX(0,ROUND(D171+N172-AR172,2))</f>
        <v/>
      </c>
      <c r="E172" s="160">
        <f>MAX(0,ROUND(E171+O172-AS172,2))</f>
        <v/>
      </c>
      <c r="F172" s="160">
        <f>MAX(0,ROUND(F171+P172-AT172,2))</f>
        <v/>
      </c>
      <c r="G172" s="160">
        <f>MAX(0,ROUND(G171+Q172-AU172,2))</f>
        <v/>
      </c>
      <c r="H172" s="160">
        <f>MAX(0,ROUND(H171+R172-AV172,2))</f>
        <v/>
      </c>
      <c r="I172" s="160">
        <f>MAX(0,ROUND(I171+S172-AW172,2))</f>
        <v/>
      </c>
      <c r="J172" s="160">
        <f>MAX(0,ROUND(J171+T172-AX172,2))</f>
        <v/>
      </c>
      <c r="K172" s="160">
        <f>MAX(0,ROUND(K171+U172-AY172,2))</f>
        <v/>
      </c>
      <c r="L172" s="160">
        <f>MAX(0,ROUND(L171+V172-AZ172,2))</f>
        <v/>
      </c>
      <c r="M172" s="160">
        <f>C171*N('Debt Payoff'!$D$15)/12</f>
        <v/>
      </c>
      <c r="N172" s="160">
        <f>D171*N('Debt Payoff'!$D$16)/12</f>
        <v/>
      </c>
      <c r="O172" s="160">
        <f>E171*N('Debt Payoff'!$D$17)/12</f>
        <v/>
      </c>
      <c r="P172" s="160">
        <f>F171*N('Debt Payoff'!$D$18)/12</f>
        <v/>
      </c>
      <c r="Q172" s="160">
        <f>G171*N('Debt Payoff'!$D$19)/12</f>
        <v/>
      </c>
      <c r="R172" s="160">
        <f>H171*N('Debt Payoff'!$D$20)/12</f>
        <v/>
      </c>
      <c r="S172" s="160">
        <f>I171*N('Debt Payoff'!$D$21)/12</f>
        <v/>
      </c>
      <c r="T172" s="160">
        <f>J171*N('Debt Payoff'!$D$22)/12</f>
        <v/>
      </c>
      <c r="U172" s="160">
        <f>K171*N('Debt Payoff'!$D$23)/12</f>
        <v/>
      </c>
      <c r="V172" s="160">
        <f>L171*N('Debt Payoff'!$D$24)/12</f>
        <v/>
      </c>
      <c r="W172" s="160">
        <f>MIN(N('Debt Payoff'!$E$15),C171+M172)</f>
        <v/>
      </c>
      <c r="X172" s="160">
        <f>MIN(N('Debt Payoff'!$E$16),D171+N172)</f>
        <v/>
      </c>
      <c r="Y172" s="160">
        <f>MIN(N('Debt Payoff'!$E$17),E171+O172)</f>
        <v/>
      </c>
      <c r="Z172" s="160">
        <f>MIN(N('Debt Payoff'!$E$18),F171+P172)</f>
        <v/>
      </c>
      <c r="AA172" s="160">
        <f>MIN(N('Debt Payoff'!$E$19),G171+Q172)</f>
        <v/>
      </c>
      <c r="AB172" s="160">
        <f>MIN(N('Debt Payoff'!$E$20),H171+R172)</f>
        <v/>
      </c>
      <c r="AC172" s="160">
        <f>MIN(N('Debt Payoff'!$E$21),I171+S172)</f>
        <v/>
      </c>
      <c r="AD172" s="160">
        <f>MIN(N('Debt Payoff'!$E$22),J171+T172)</f>
        <v/>
      </c>
      <c r="AE172" s="160">
        <f>MIN(N('Debt Payoff'!$E$23),K171+U172)</f>
        <v/>
      </c>
      <c r="AF172" s="160">
        <f>MIN(N('Debt Payoff'!$E$24),L171+V172)</f>
        <v/>
      </c>
      <c r="AG172" s="160">
        <f>C171+M172-W172</f>
        <v/>
      </c>
      <c r="AH172" s="160">
        <f>D171+N172-X172</f>
        <v/>
      </c>
      <c r="AI172" s="160">
        <f>E171+O172-Y172</f>
        <v/>
      </c>
      <c r="AJ172" s="160">
        <f>F171+P172-Z172</f>
        <v/>
      </c>
      <c r="AK172" s="160">
        <f>G171+Q172-AA172</f>
        <v/>
      </c>
      <c r="AL172" s="160">
        <f>H171+R172-AB172</f>
        <v/>
      </c>
      <c r="AM172" s="160">
        <f>I171+S172-AC172</f>
        <v/>
      </c>
      <c r="AN172" s="160">
        <f>J171+T172-AD172</f>
        <v/>
      </c>
      <c r="AO172" s="160">
        <f>K171+U172-AE172</f>
        <v/>
      </c>
      <c r="AP172" s="160">
        <f>L171+V172-AF172</f>
        <v/>
      </c>
      <c r="AQ172" s="160">
        <f>W172+MAX(0,MIN(AG172,'Debt Payoff'!$C$12-SUM($W172:$AF172)-SUMIFS($AG172:$AP172,$AG$4:$AP$4,"&lt;"&amp;AG$4)))</f>
        <v/>
      </c>
      <c r="AR172" s="160">
        <f>X172+MAX(0,MIN(AH172,'Debt Payoff'!$C$12-SUM($W172:$AF172)-SUMIFS($AG172:$AP172,$AG$4:$AP$4,"&lt;"&amp;AH$4)))</f>
        <v/>
      </c>
      <c r="AS172" s="160">
        <f>Y172+MAX(0,MIN(AI172,'Debt Payoff'!$C$12-SUM($W172:$AF172)-SUMIFS($AG172:$AP172,$AG$4:$AP$4,"&lt;"&amp;AI$4)))</f>
        <v/>
      </c>
      <c r="AT172" s="160">
        <f>Z172+MAX(0,MIN(AJ172,'Debt Payoff'!$C$12-SUM($W172:$AF172)-SUMIFS($AG172:$AP172,$AG$4:$AP$4,"&lt;"&amp;AJ$4)))</f>
        <v/>
      </c>
      <c r="AU172" s="160">
        <f>AA172+MAX(0,MIN(AK172,'Debt Payoff'!$C$12-SUM($W172:$AF172)-SUMIFS($AG172:$AP172,$AG$4:$AP$4,"&lt;"&amp;AK$4)))</f>
        <v/>
      </c>
      <c r="AV172" s="160">
        <f>AB172+MAX(0,MIN(AL172,'Debt Payoff'!$C$12-SUM($W172:$AF172)-SUMIFS($AG172:$AP172,$AG$4:$AP$4,"&lt;"&amp;AL$4)))</f>
        <v/>
      </c>
      <c r="AW172" s="160">
        <f>AC172+MAX(0,MIN(AM172,'Debt Payoff'!$C$12-SUM($W172:$AF172)-SUMIFS($AG172:$AP172,$AG$4:$AP$4,"&lt;"&amp;AM$4)))</f>
        <v/>
      </c>
      <c r="AX172" s="160">
        <f>AD172+MAX(0,MIN(AN172,'Debt Payoff'!$C$12-SUM($W172:$AF172)-SUMIFS($AG172:$AP172,$AG$4:$AP$4,"&lt;"&amp;AN$4)))</f>
        <v/>
      </c>
      <c r="AY172" s="160">
        <f>AE172+MAX(0,MIN(AO172,'Debt Payoff'!$C$12-SUM($W172:$AF172)-SUMIFS($AG172:$AP172,$AG$4:$AP$4,"&lt;"&amp;AO$4)))</f>
        <v/>
      </c>
      <c r="AZ172" s="160">
        <f>AF172+MAX(0,MIN(AP172,'Debt Payoff'!$C$12-SUM($W172:$AF172)-SUMIFS($AG172:$AP172,$AG$4:$AP$4,"&lt;"&amp;AP$4)))</f>
        <v/>
      </c>
      <c r="BA172" s="160">
        <f>SUM(C172:L172)</f>
        <v/>
      </c>
      <c r="BB172" s="160">
        <f>SUM(AQ172:AZ172)</f>
        <v/>
      </c>
      <c r="BC172" s="160">
        <f>SUM(M172:V172)</f>
        <v/>
      </c>
    </row>
    <row r="173">
      <c r="A173" s="157" t="n">
        <v>168</v>
      </c>
      <c r="B173" s="159">
        <f>EDATE('Debt Payoff'!$C$6,167)</f>
        <v/>
      </c>
      <c r="C173" s="160">
        <f>MAX(0,ROUND(C172+M173-AQ173,2))</f>
        <v/>
      </c>
      <c r="D173" s="160">
        <f>MAX(0,ROUND(D172+N173-AR173,2))</f>
        <v/>
      </c>
      <c r="E173" s="160">
        <f>MAX(0,ROUND(E172+O173-AS173,2))</f>
        <v/>
      </c>
      <c r="F173" s="160">
        <f>MAX(0,ROUND(F172+P173-AT173,2))</f>
        <v/>
      </c>
      <c r="G173" s="160">
        <f>MAX(0,ROUND(G172+Q173-AU173,2))</f>
        <v/>
      </c>
      <c r="H173" s="160">
        <f>MAX(0,ROUND(H172+R173-AV173,2))</f>
        <v/>
      </c>
      <c r="I173" s="160">
        <f>MAX(0,ROUND(I172+S173-AW173,2))</f>
        <v/>
      </c>
      <c r="J173" s="160">
        <f>MAX(0,ROUND(J172+T173-AX173,2))</f>
        <v/>
      </c>
      <c r="K173" s="160">
        <f>MAX(0,ROUND(K172+U173-AY173,2))</f>
        <v/>
      </c>
      <c r="L173" s="160">
        <f>MAX(0,ROUND(L172+V173-AZ173,2))</f>
        <v/>
      </c>
      <c r="M173" s="160">
        <f>C172*N('Debt Payoff'!$D$15)/12</f>
        <v/>
      </c>
      <c r="N173" s="160">
        <f>D172*N('Debt Payoff'!$D$16)/12</f>
        <v/>
      </c>
      <c r="O173" s="160">
        <f>E172*N('Debt Payoff'!$D$17)/12</f>
        <v/>
      </c>
      <c r="P173" s="160">
        <f>F172*N('Debt Payoff'!$D$18)/12</f>
        <v/>
      </c>
      <c r="Q173" s="160">
        <f>G172*N('Debt Payoff'!$D$19)/12</f>
        <v/>
      </c>
      <c r="R173" s="160">
        <f>H172*N('Debt Payoff'!$D$20)/12</f>
        <v/>
      </c>
      <c r="S173" s="160">
        <f>I172*N('Debt Payoff'!$D$21)/12</f>
        <v/>
      </c>
      <c r="T173" s="160">
        <f>J172*N('Debt Payoff'!$D$22)/12</f>
        <v/>
      </c>
      <c r="U173" s="160">
        <f>K172*N('Debt Payoff'!$D$23)/12</f>
        <v/>
      </c>
      <c r="V173" s="160">
        <f>L172*N('Debt Payoff'!$D$24)/12</f>
        <v/>
      </c>
      <c r="W173" s="160">
        <f>MIN(N('Debt Payoff'!$E$15),C172+M173)</f>
        <v/>
      </c>
      <c r="X173" s="160">
        <f>MIN(N('Debt Payoff'!$E$16),D172+N173)</f>
        <v/>
      </c>
      <c r="Y173" s="160">
        <f>MIN(N('Debt Payoff'!$E$17),E172+O173)</f>
        <v/>
      </c>
      <c r="Z173" s="160">
        <f>MIN(N('Debt Payoff'!$E$18),F172+P173)</f>
        <v/>
      </c>
      <c r="AA173" s="160">
        <f>MIN(N('Debt Payoff'!$E$19),G172+Q173)</f>
        <v/>
      </c>
      <c r="AB173" s="160">
        <f>MIN(N('Debt Payoff'!$E$20),H172+R173)</f>
        <v/>
      </c>
      <c r="AC173" s="160">
        <f>MIN(N('Debt Payoff'!$E$21),I172+S173)</f>
        <v/>
      </c>
      <c r="AD173" s="160">
        <f>MIN(N('Debt Payoff'!$E$22),J172+T173)</f>
        <v/>
      </c>
      <c r="AE173" s="160">
        <f>MIN(N('Debt Payoff'!$E$23),K172+U173)</f>
        <v/>
      </c>
      <c r="AF173" s="160">
        <f>MIN(N('Debt Payoff'!$E$24),L172+V173)</f>
        <v/>
      </c>
      <c r="AG173" s="160">
        <f>C172+M173-W173</f>
        <v/>
      </c>
      <c r="AH173" s="160">
        <f>D172+N173-X173</f>
        <v/>
      </c>
      <c r="AI173" s="160">
        <f>E172+O173-Y173</f>
        <v/>
      </c>
      <c r="AJ173" s="160">
        <f>F172+P173-Z173</f>
        <v/>
      </c>
      <c r="AK173" s="160">
        <f>G172+Q173-AA173</f>
        <v/>
      </c>
      <c r="AL173" s="160">
        <f>H172+R173-AB173</f>
        <v/>
      </c>
      <c r="AM173" s="160">
        <f>I172+S173-AC173</f>
        <v/>
      </c>
      <c r="AN173" s="160">
        <f>J172+T173-AD173</f>
        <v/>
      </c>
      <c r="AO173" s="160">
        <f>K172+U173-AE173</f>
        <v/>
      </c>
      <c r="AP173" s="160">
        <f>L172+V173-AF173</f>
        <v/>
      </c>
      <c r="AQ173" s="160">
        <f>W173+MAX(0,MIN(AG173,'Debt Payoff'!$C$12-SUM($W173:$AF173)-SUMIFS($AG173:$AP173,$AG$4:$AP$4,"&lt;"&amp;AG$4)))</f>
        <v/>
      </c>
      <c r="AR173" s="160">
        <f>X173+MAX(0,MIN(AH173,'Debt Payoff'!$C$12-SUM($W173:$AF173)-SUMIFS($AG173:$AP173,$AG$4:$AP$4,"&lt;"&amp;AH$4)))</f>
        <v/>
      </c>
      <c r="AS173" s="160">
        <f>Y173+MAX(0,MIN(AI173,'Debt Payoff'!$C$12-SUM($W173:$AF173)-SUMIFS($AG173:$AP173,$AG$4:$AP$4,"&lt;"&amp;AI$4)))</f>
        <v/>
      </c>
      <c r="AT173" s="160">
        <f>Z173+MAX(0,MIN(AJ173,'Debt Payoff'!$C$12-SUM($W173:$AF173)-SUMIFS($AG173:$AP173,$AG$4:$AP$4,"&lt;"&amp;AJ$4)))</f>
        <v/>
      </c>
      <c r="AU173" s="160">
        <f>AA173+MAX(0,MIN(AK173,'Debt Payoff'!$C$12-SUM($W173:$AF173)-SUMIFS($AG173:$AP173,$AG$4:$AP$4,"&lt;"&amp;AK$4)))</f>
        <v/>
      </c>
      <c r="AV173" s="160">
        <f>AB173+MAX(0,MIN(AL173,'Debt Payoff'!$C$12-SUM($W173:$AF173)-SUMIFS($AG173:$AP173,$AG$4:$AP$4,"&lt;"&amp;AL$4)))</f>
        <v/>
      </c>
      <c r="AW173" s="160">
        <f>AC173+MAX(0,MIN(AM173,'Debt Payoff'!$C$12-SUM($W173:$AF173)-SUMIFS($AG173:$AP173,$AG$4:$AP$4,"&lt;"&amp;AM$4)))</f>
        <v/>
      </c>
      <c r="AX173" s="160">
        <f>AD173+MAX(0,MIN(AN173,'Debt Payoff'!$C$12-SUM($W173:$AF173)-SUMIFS($AG173:$AP173,$AG$4:$AP$4,"&lt;"&amp;AN$4)))</f>
        <v/>
      </c>
      <c r="AY173" s="160">
        <f>AE173+MAX(0,MIN(AO173,'Debt Payoff'!$C$12-SUM($W173:$AF173)-SUMIFS($AG173:$AP173,$AG$4:$AP$4,"&lt;"&amp;AO$4)))</f>
        <v/>
      </c>
      <c r="AZ173" s="160">
        <f>AF173+MAX(0,MIN(AP173,'Debt Payoff'!$C$12-SUM($W173:$AF173)-SUMIFS($AG173:$AP173,$AG$4:$AP$4,"&lt;"&amp;AP$4)))</f>
        <v/>
      </c>
      <c r="BA173" s="160">
        <f>SUM(C173:L173)</f>
        <v/>
      </c>
      <c r="BB173" s="160">
        <f>SUM(AQ173:AZ173)</f>
        <v/>
      </c>
      <c r="BC173" s="160">
        <f>SUM(M173:V173)</f>
        <v/>
      </c>
    </row>
    <row r="174">
      <c r="A174" s="157" t="n">
        <v>169</v>
      </c>
      <c r="B174" s="159">
        <f>EDATE('Debt Payoff'!$C$6,168)</f>
        <v/>
      </c>
      <c r="C174" s="160">
        <f>MAX(0,ROUND(C173+M174-AQ174,2))</f>
        <v/>
      </c>
      <c r="D174" s="160">
        <f>MAX(0,ROUND(D173+N174-AR174,2))</f>
        <v/>
      </c>
      <c r="E174" s="160">
        <f>MAX(0,ROUND(E173+O174-AS174,2))</f>
        <v/>
      </c>
      <c r="F174" s="160">
        <f>MAX(0,ROUND(F173+P174-AT174,2))</f>
        <v/>
      </c>
      <c r="G174" s="160">
        <f>MAX(0,ROUND(G173+Q174-AU174,2))</f>
        <v/>
      </c>
      <c r="H174" s="160">
        <f>MAX(0,ROUND(H173+R174-AV174,2))</f>
        <v/>
      </c>
      <c r="I174" s="160">
        <f>MAX(0,ROUND(I173+S174-AW174,2))</f>
        <v/>
      </c>
      <c r="J174" s="160">
        <f>MAX(0,ROUND(J173+T174-AX174,2))</f>
        <v/>
      </c>
      <c r="K174" s="160">
        <f>MAX(0,ROUND(K173+U174-AY174,2))</f>
        <v/>
      </c>
      <c r="L174" s="160">
        <f>MAX(0,ROUND(L173+V174-AZ174,2))</f>
        <v/>
      </c>
      <c r="M174" s="160">
        <f>C173*N('Debt Payoff'!$D$15)/12</f>
        <v/>
      </c>
      <c r="N174" s="160">
        <f>D173*N('Debt Payoff'!$D$16)/12</f>
        <v/>
      </c>
      <c r="O174" s="160">
        <f>E173*N('Debt Payoff'!$D$17)/12</f>
        <v/>
      </c>
      <c r="P174" s="160">
        <f>F173*N('Debt Payoff'!$D$18)/12</f>
        <v/>
      </c>
      <c r="Q174" s="160">
        <f>G173*N('Debt Payoff'!$D$19)/12</f>
        <v/>
      </c>
      <c r="R174" s="160">
        <f>H173*N('Debt Payoff'!$D$20)/12</f>
        <v/>
      </c>
      <c r="S174" s="160">
        <f>I173*N('Debt Payoff'!$D$21)/12</f>
        <v/>
      </c>
      <c r="T174" s="160">
        <f>J173*N('Debt Payoff'!$D$22)/12</f>
        <v/>
      </c>
      <c r="U174" s="160">
        <f>K173*N('Debt Payoff'!$D$23)/12</f>
        <v/>
      </c>
      <c r="V174" s="160">
        <f>L173*N('Debt Payoff'!$D$24)/12</f>
        <v/>
      </c>
      <c r="W174" s="160">
        <f>MIN(N('Debt Payoff'!$E$15),C173+M174)</f>
        <v/>
      </c>
      <c r="X174" s="160">
        <f>MIN(N('Debt Payoff'!$E$16),D173+N174)</f>
        <v/>
      </c>
      <c r="Y174" s="160">
        <f>MIN(N('Debt Payoff'!$E$17),E173+O174)</f>
        <v/>
      </c>
      <c r="Z174" s="160">
        <f>MIN(N('Debt Payoff'!$E$18),F173+P174)</f>
        <v/>
      </c>
      <c r="AA174" s="160">
        <f>MIN(N('Debt Payoff'!$E$19),G173+Q174)</f>
        <v/>
      </c>
      <c r="AB174" s="160">
        <f>MIN(N('Debt Payoff'!$E$20),H173+R174)</f>
        <v/>
      </c>
      <c r="AC174" s="160">
        <f>MIN(N('Debt Payoff'!$E$21),I173+S174)</f>
        <v/>
      </c>
      <c r="AD174" s="160">
        <f>MIN(N('Debt Payoff'!$E$22),J173+T174)</f>
        <v/>
      </c>
      <c r="AE174" s="160">
        <f>MIN(N('Debt Payoff'!$E$23),K173+U174)</f>
        <v/>
      </c>
      <c r="AF174" s="160">
        <f>MIN(N('Debt Payoff'!$E$24),L173+V174)</f>
        <v/>
      </c>
      <c r="AG174" s="160">
        <f>C173+M174-W174</f>
        <v/>
      </c>
      <c r="AH174" s="160">
        <f>D173+N174-X174</f>
        <v/>
      </c>
      <c r="AI174" s="160">
        <f>E173+O174-Y174</f>
        <v/>
      </c>
      <c r="AJ174" s="160">
        <f>F173+P174-Z174</f>
        <v/>
      </c>
      <c r="AK174" s="160">
        <f>G173+Q174-AA174</f>
        <v/>
      </c>
      <c r="AL174" s="160">
        <f>H173+R174-AB174</f>
        <v/>
      </c>
      <c r="AM174" s="160">
        <f>I173+S174-AC174</f>
        <v/>
      </c>
      <c r="AN174" s="160">
        <f>J173+T174-AD174</f>
        <v/>
      </c>
      <c r="AO174" s="160">
        <f>K173+U174-AE174</f>
        <v/>
      </c>
      <c r="AP174" s="160">
        <f>L173+V174-AF174</f>
        <v/>
      </c>
      <c r="AQ174" s="160">
        <f>W174+MAX(0,MIN(AG174,'Debt Payoff'!$C$12-SUM($W174:$AF174)-SUMIFS($AG174:$AP174,$AG$4:$AP$4,"&lt;"&amp;AG$4)))</f>
        <v/>
      </c>
      <c r="AR174" s="160">
        <f>X174+MAX(0,MIN(AH174,'Debt Payoff'!$C$12-SUM($W174:$AF174)-SUMIFS($AG174:$AP174,$AG$4:$AP$4,"&lt;"&amp;AH$4)))</f>
        <v/>
      </c>
      <c r="AS174" s="160">
        <f>Y174+MAX(0,MIN(AI174,'Debt Payoff'!$C$12-SUM($W174:$AF174)-SUMIFS($AG174:$AP174,$AG$4:$AP$4,"&lt;"&amp;AI$4)))</f>
        <v/>
      </c>
      <c r="AT174" s="160">
        <f>Z174+MAX(0,MIN(AJ174,'Debt Payoff'!$C$12-SUM($W174:$AF174)-SUMIFS($AG174:$AP174,$AG$4:$AP$4,"&lt;"&amp;AJ$4)))</f>
        <v/>
      </c>
      <c r="AU174" s="160">
        <f>AA174+MAX(0,MIN(AK174,'Debt Payoff'!$C$12-SUM($W174:$AF174)-SUMIFS($AG174:$AP174,$AG$4:$AP$4,"&lt;"&amp;AK$4)))</f>
        <v/>
      </c>
      <c r="AV174" s="160">
        <f>AB174+MAX(0,MIN(AL174,'Debt Payoff'!$C$12-SUM($W174:$AF174)-SUMIFS($AG174:$AP174,$AG$4:$AP$4,"&lt;"&amp;AL$4)))</f>
        <v/>
      </c>
      <c r="AW174" s="160">
        <f>AC174+MAX(0,MIN(AM174,'Debt Payoff'!$C$12-SUM($W174:$AF174)-SUMIFS($AG174:$AP174,$AG$4:$AP$4,"&lt;"&amp;AM$4)))</f>
        <v/>
      </c>
      <c r="AX174" s="160">
        <f>AD174+MAX(0,MIN(AN174,'Debt Payoff'!$C$12-SUM($W174:$AF174)-SUMIFS($AG174:$AP174,$AG$4:$AP$4,"&lt;"&amp;AN$4)))</f>
        <v/>
      </c>
      <c r="AY174" s="160">
        <f>AE174+MAX(0,MIN(AO174,'Debt Payoff'!$C$12-SUM($W174:$AF174)-SUMIFS($AG174:$AP174,$AG$4:$AP$4,"&lt;"&amp;AO$4)))</f>
        <v/>
      </c>
      <c r="AZ174" s="160">
        <f>AF174+MAX(0,MIN(AP174,'Debt Payoff'!$C$12-SUM($W174:$AF174)-SUMIFS($AG174:$AP174,$AG$4:$AP$4,"&lt;"&amp;AP$4)))</f>
        <v/>
      </c>
      <c r="BA174" s="160">
        <f>SUM(C174:L174)</f>
        <v/>
      </c>
      <c r="BB174" s="160">
        <f>SUM(AQ174:AZ174)</f>
        <v/>
      </c>
      <c r="BC174" s="160">
        <f>SUM(M174:V174)</f>
        <v/>
      </c>
    </row>
    <row r="175">
      <c r="A175" s="157" t="n">
        <v>170</v>
      </c>
      <c r="B175" s="159">
        <f>EDATE('Debt Payoff'!$C$6,169)</f>
        <v/>
      </c>
      <c r="C175" s="160">
        <f>MAX(0,ROUND(C174+M175-AQ175,2))</f>
        <v/>
      </c>
      <c r="D175" s="160">
        <f>MAX(0,ROUND(D174+N175-AR175,2))</f>
        <v/>
      </c>
      <c r="E175" s="160">
        <f>MAX(0,ROUND(E174+O175-AS175,2))</f>
        <v/>
      </c>
      <c r="F175" s="160">
        <f>MAX(0,ROUND(F174+P175-AT175,2))</f>
        <v/>
      </c>
      <c r="G175" s="160">
        <f>MAX(0,ROUND(G174+Q175-AU175,2))</f>
        <v/>
      </c>
      <c r="H175" s="160">
        <f>MAX(0,ROUND(H174+R175-AV175,2))</f>
        <v/>
      </c>
      <c r="I175" s="160">
        <f>MAX(0,ROUND(I174+S175-AW175,2))</f>
        <v/>
      </c>
      <c r="J175" s="160">
        <f>MAX(0,ROUND(J174+T175-AX175,2))</f>
        <v/>
      </c>
      <c r="K175" s="160">
        <f>MAX(0,ROUND(K174+U175-AY175,2))</f>
        <v/>
      </c>
      <c r="L175" s="160">
        <f>MAX(0,ROUND(L174+V175-AZ175,2))</f>
        <v/>
      </c>
      <c r="M175" s="160">
        <f>C174*N('Debt Payoff'!$D$15)/12</f>
        <v/>
      </c>
      <c r="N175" s="160">
        <f>D174*N('Debt Payoff'!$D$16)/12</f>
        <v/>
      </c>
      <c r="O175" s="160">
        <f>E174*N('Debt Payoff'!$D$17)/12</f>
        <v/>
      </c>
      <c r="P175" s="160">
        <f>F174*N('Debt Payoff'!$D$18)/12</f>
        <v/>
      </c>
      <c r="Q175" s="160">
        <f>G174*N('Debt Payoff'!$D$19)/12</f>
        <v/>
      </c>
      <c r="R175" s="160">
        <f>H174*N('Debt Payoff'!$D$20)/12</f>
        <v/>
      </c>
      <c r="S175" s="160">
        <f>I174*N('Debt Payoff'!$D$21)/12</f>
        <v/>
      </c>
      <c r="T175" s="160">
        <f>J174*N('Debt Payoff'!$D$22)/12</f>
        <v/>
      </c>
      <c r="U175" s="160">
        <f>K174*N('Debt Payoff'!$D$23)/12</f>
        <v/>
      </c>
      <c r="V175" s="160">
        <f>L174*N('Debt Payoff'!$D$24)/12</f>
        <v/>
      </c>
      <c r="W175" s="160">
        <f>MIN(N('Debt Payoff'!$E$15),C174+M175)</f>
        <v/>
      </c>
      <c r="X175" s="160">
        <f>MIN(N('Debt Payoff'!$E$16),D174+N175)</f>
        <v/>
      </c>
      <c r="Y175" s="160">
        <f>MIN(N('Debt Payoff'!$E$17),E174+O175)</f>
        <v/>
      </c>
      <c r="Z175" s="160">
        <f>MIN(N('Debt Payoff'!$E$18),F174+P175)</f>
        <v/>
      </c>
      <c r="AA175" s="160">
        <f>MIN(N('Debt Payoff'!$E$19),G174+Q175)</f>
        <v/>
      </c>
      <c r="AB175" s="160">
        <f>MIN(N('Debt Payoff'!$E$20),H174+R175)</f>
        <v/>
      </c>
      <c r="AC175" s="160">
        <f>MIN(N('Debt Payoff'!$E$21),I174+S175)</f>
        <v/>
      </c>
      <c r="AD175" s="160">
        <f>MIN(N('Debt Payoff'!$E$22),J174+T175)</f>
        <v/>
      </c>
      <c r="AE175" s="160">
        <f>MIN(N('Debt Payoff'!$E$23),K174+U175)</f>
        <v/>
      </c>
      <c r="AF175" s="160">
        <f>MIN(N('Debt Payoff'!$E$24),L174+V175)</f>
        <v/>
      </c>
      <c r="AG175" s="160">
        <f>C174+M175-W175</f>
        <v/>
      </c>
      <c r="AH175" s="160">
        <f>D174+N175-X175</f>
        <v/>
      </c>
      <c r="AI175" s="160">
        <f>E174+O175-Y175</f>
        <v/>
      </c>
      <c r="AJ175" s="160">
        <f>F174+P175-Z175</f>
        <v/>
      </c>
      <c r="AK175" s="160">
        <f>G174+Q175-AA175</f>
        <v/>
      </c>
      <c r="AL175" s="160">
        <f>H174+R175-AB175</f>
        <v/>
      </c>
      <c r="AM175" s="160">
        <f>I174+S175-AC175</f>
        <v/>
      </c>
      <c r="AN175" s="160">
        <f>J174+T175-AD175</f>
        <v/>
      </c>
      <c r="AO175" s="160">
        <f>K174+U175-AE175</f>
        <v/>
      </c>
      <c r="AP175" s="160">
        <f>L174+V175-AF175</f>
        <v/>
      </c>
      <c r="AQ175" s="160">
        <f>W175+MAX(0,MIN(AG175,'Debt Payoff'!$C$12-SUM($W175:$AF175)-SUMIFS($AG175:$AP175,$AG$4:$AP$4,"&lt;"&amp;AG$4)))</f>
        <v/>
      </c>
      <c r="AR175" s="160">
        <f>X175+MAX(0,MIN(AH175,'Debt Payoff'!$C$12-SUM($W175:$AF175)-SUMIFS($AG175:$AP175,$AG$4:$AP$4,"&lt;"&amp;AH$4)))</f>
        <v/>
      </c>
      <c r="AS175" s="160">
        <f>Y175+MAX(0,MIN(AI175,'Debt Payoff'!$C$12-SUM($W175:$AF175)-SUMIFS($AG175:$AP175,$AG$4:$AP$4,"&lt;"&amp;AI$4)))</f>
        <v/>
      </c>
      <c r="AT175" s="160">
        <f>Z175+MAX(0,MIN(AJ175,'Debt Payoff'!$C$12-SUM($W175:$AF175)-SUMIFS($AG175:$AP175,$AG$4:$AP$4,"&lt;"&amp;AJ$4)))</f>
        <v/>
      </c>
      <c r="AU175" s="160">
        <f>AA175+MAX(0,MIN(AK175,'Debt Payoff'!$C$12-SUM($W175:$AF175)-SUMIFS($AG175:$AP175,$AG$4:$AP$4,"&lt;"&amp;AK$4)))</f>
        <v/>
      </c>
      <c r="AV175" s="160">
        <f>AB175+MAX(0,MIN(AL175,'Debt Payoff'!$C$12-SUM($W175:$AF175)-SUMIFS($AG175:$AP175,$AG$4:$AP$4,"&lt;"&amp;AL$4)))</f>
        <v/>
      </c>
      <c r="AW175" s="160">
        <f>AC175+MAX(0,MIN(AM175,'Debt Payoff'!$C$12-SUM($W175:$AF175)-SUMIFS($AG175:$AP175,$AG$4:$AP$4,"&lt;"&amp;AM$4)))</f>
        <v/>
      </c>
      <c r="AX175" s="160">
        <f>AD175+MAX(0,MIN(AN175,'Debt Payoff'!$C$12-SUM($W175:$AF175)-SUMIFS($AG175:$AP175,$AG$4:$AP$4,"&lt;"&amp;AN$4)))</f>
        <v/>
      </c>
      <c r="AY175" s="160">
        <f>AE175+MAX(0,MIN(AO175,'Debt Payoff'!$C$12-SUM($W175:$AF175)-SUMIFS($AG175:$AP175,$AG$4:$AP$4,"&lt;"&amp;AO$4)))</f>
        <v/>
      </c>
      <c r="AZ175" s="160">
        <f>AF175+MAX(0,MIN(AP175,'Debt Payoff'!$C$12-SUM($W175:$AF175)-SUMIFS($AG175:$AP175,$AG$4:$AP$4,"&lt;"&amp;AP$4)))</f>
        <v/>
      </c>
      <c r="BA175" s="160">
        <f>SUM(C175:L175)</f>
        <v/>
      </c>
      <c r="BB175" s="160">
        <f>SUM(AQ175:AZ175)</f>
        <v/>
      </c>
      <c r="BC175" s="160">
        <f>SUM(M175:V175)</f>
        <v/>
      </c>
    </row>
    <row r="176">
      <c r="A176" s="157" t="n">
        <v>171</v>
      </c>
      <c r="B176" s="159">
        <f>EDATE('Debt Payoff'!$C$6,170)</f>
        <v/>
      </c>
      <c r="C176" s="160">
        <f>MAX(0,ROUND(C175+M176-AQ176,2))</f>
        <v/>
      </c>
      <c r="D176" s="160">
        <f>MAX(0,ROUND(D175+N176-AR176,2))</f>
        <v/>
      </c>
      <c r="E176" s="160">
        <f>MAX(0,ROUND(E175+O176-AS176,2))</f>
        <v/>
      </c>
      <c r="F176" s="160">
        <f>MAX(0,ROUND(F175+P176-AT176,2))</f>
        <v/>
      </c>
      <c r="G176" s="160">
        <f>MAX(0,ROUND(G175+Q176-AU176,2))</f>
        <v/>
      </c>
      <c r="H176" s="160">
        <f>MAX(0,ROUND(H175+R176-AV176,2))</f>
        <v/>
      </c>
      <c r="I176" s="160">
        <f>MAX(0,ROUND(I175+S176-AW176,2))</f>
        <v/>
      </c>
      <c r="J176" s="160">
        <f>MAX(0,ROUND(J175+T176-AX176,2))</f>
        <v/>
      </c>
      <c r="K176" s="160">
        <f>MAX(0,ROUND(K175+U176-AY176,2))</f>
        <v/>
      </c>
      <c r="L176" s="160">
        <f>MAX(0,ROUND(L175+V176-AZ176,2))</f>
        <v/>
      </c>
      <c r="M176" s="160">
        <f>C175*N('Debt Payoff'!$D$15)/12</f>
        <v/>
      </c>
      <c r="N176" s="160">
        <f>D175*N('Debt Payoff'!$D$16)/12</f>
        <v/>
      </c>
      <c r="O176" s="160">
        <f>E175*N('Debt Payoff'!$D$17)/12</f>
        <v/>
      </c>
      <c r="P176" s="160">
        <f>F175*N('Debt Payoff'!$D$18)/12</f>
        <v/>
      </c>
      <c r="Q176" s="160">
        <f>G175*N('Debt Payoff'!$D$19)/12</f>
        <v/>
      </c>
      <c r="R176" s="160">
        <f>H175*N('Debt Payoff'!$D$20)/12</f>
        <v/>
      </c>
      <c r="S176" s="160">
        <f>I175*N('Debt Payoff'!$D$21)/12</f>
        <v/>
      </c>
      <c r="T176" s="160">
        <f>J175*N('Debt Payoff'!$D$22)/12</f>
        <v/>
      </c>
      <c r="U176" s="160">
        <f>K175*N('Debt Payoff'!$D$23)/12</f>
        <v/>
      </c>
      <c r="V176" s="160">
        <f>L175*N('Debt Payoff'!$D$24)/12</f>
        <v/>
      </c>
      <c r="W176" s="160">
        <f>MIN(N('Debt Payoff'!$E$15),C175+M176)</f>
        <v/>
      </c>
      <c r="X176" s="160">
        <f>MIN(N('Debt Payoff'!$E$16),D175+N176)</f>
        <v/>
      </c>
      <c r="Y176" s="160">
        <f>MIN(N('Debt Payoff'!$E$17),E175+O176)</f>
        <v/>
      </c>
      <c r="Z176" s="160">
        <f>MIN(N('Debt Payoff'!$E$18),F175+P176)</f>
        <v/>
      </c>
      <c r="AA176" s="160">
        <f>MIN(N('Debt Payoff'!$E$19),G175+Q176)</f>
        <v/>
      </c>
      <c r="AB176" s="160">
        <f>MIN(N('Debt Payoff'!$E$20),H175+R176)</f>
        <v/>
      </c>
      <c r="AC176" s="160">
        <f>MIN(N('Debt Payoff'!$E$21),I175+S176)</f>
        <v/>
      </c>
      <c r="AD176" s="160">
        <f>MIN(N('Debt Payoff'!$E$22),J175+T176)</f>
        <v/>
      </c>
      <c r="AE176" s="160">
        <f>MIN(N('Debt Payoff'!$E$23),K175+U176)</f>
        <v/>
      </c>
      <c r="AF176" s="160">
        <f>MIN(N('Debt Payoff'!$E$24),L175+V176)</f>
        <v/>
      </c>
      <c r="AG176" s="160">
        <f>C175+M176-W176</f>
        <v/>
      </c>
      <c r="AH176" s="160">
        <f>D175+N176-X176</f>
        <v/>
      </c>
      <c r="AI176" s="160">
        <f>E175+O176-Y176</f>
        <v/>
      </c>
      <c r="AJ176" s="160">
        <f>F175+P176-Z176</f>
        <v/>
      </c>
      <c r="AK176" s="160">
        <f>G175+Q176-AA176</f>
        <v/>
      </c>
      <c r="AL176" s="160">
        <f>H175+R176-AB176</f>
        <v/>
      </c>
      <c r="AM176" s="160">
        <f>I175+S176-AC176</f>
        <v/>
      </c>
      <c r="AN176" s="160">
        <f>J175+T176-AD176</f>
        <v/>
      </c>
      <c r="AO176" s="160">
        <f>K175+U176-AE176</f>
        <v/>
      </c>
      <c r="AP176" s="160">
        <f>L175+V176-AF176</f>
        <v/>
      </c>
      <c r="AQ176" s="160">
        <f>W176+MAX(0,MIN(AG176,'Debt Payoff'!$C$12-SUM($W176:$AF176)-SUMIFS($AG176:$AP176,$AG$4:$AP$4,"&lt;"&amp;AG$4)))</f>
        <v/>
      </c>
      <c r="AR176" s="160">
        <f>X176+MAX(0,MIN(AH176,'Debt Payoff'!$C$12-SUM($W176:$AF176)-SUMIFS($AG176:$AP176,$AG$4:$AP$4,"&lt;"&amp;AH$4)))</f>
        <v/>
      </c>
      <c r="AS176" s="160">
        <f>Y176+MAX(0,MIN(AI176,'Debt Payoff'!$C$12-SUM($W176:$AF176)-SUMIFS($AG176:$AP176,$AG$4:$AP$4,"&lt;"&amp;AI$4)))</f>
        <v/>
      </c>
      <c r="AT176" s="160">
        <f>Z176+MAX(0,MIN(AJ176,'Debt Payoff'!$C$12-SUM($W176:$AF176)-SUMIFS($AG176:$AP176,$AG$4:$AP$4,"&lt;"&amp;AJ$4)))</f>
        <v/>
      </c>
      <c r="AU176" s="160">
        <f>AA176+MAX(0,MIN(AK176,'Debt Payoff'!$C$12-SUM($W176:$AF176)-SUMIFS($AG176:$AP176,$AG$4:$AP$4,"&lt;"&amp;AK$4)))</f>
        <v/>
      </c>
      <c r="AV176" s="160">
        <f>AB176+MAX(0,MIN(AL176,'Debt Payoff'!$C$12-SUM($W176:$AF176)-SUMIFS($AG176:$AP176,$AG$4:$AP$4,"&lt;"&amp;AL$4)))</f>
        <v/>
      </c>
      <c r="AW176" s="160">
        <f>AC176+MAX(0,MIN(AM176,'Debt Payoff'!$C$12-SUM($W176:$AF176)-SUMIFS($AG176:$AP176,$AG$4:$AP$4,"&lt;"&amp;AM$4)))</f>
        <v/>
      </c>
      <c r="AX176" s="160">
        <f>AD176+MAX(0,MIN(AN176,'Debt Payoff'!$C$12-SUM($W176:$AF176)-SUMIFS($AG176:$AP176,$AG$4:$AP$4,"&lt;"&amp;AN$4)))</f>
        <v/>
      </c>
      <c r="AY176" s="160">
        <f>AE176+MAX(0,MIN(AO176,'Debt Payoff'!$C$12-SUM($W176:$AF176)-SUMIFS($AG176:$AP176,$AG$4:$AP$4,"&lt;"&amp;AO$4)))</f>
        <v/>
      </c>
      <c r="AZ176" s="160">
        <f>AF176+MAX(0,MIN(AP176,'Debt Payoff'!$C$12-SUM($W176:$AF176)-SUMIFS($AG176:$AP176,$AG$4:$AP$4,"&lt;"&amp;AP$4)))</f>
        <v/>
      </c>
      <c r="BA176" s="160">
        <f>SUM(C176:L176)</f>
        <v/>
      </c>
      <c r="BB176" s="160">
        <f>SUM(AQ176:AZ176)</f>
        <v/>
      </c>
      <c r="BC176" s="160">
        <f>SUM(M176:V176)</f>
        <v/>
      </c>
    </row>
    <row r="177">
      <c r="A177" s="157" t="n">
        <v>172</v>
      </c>
      <c r="B177" s="159">
        <f>EDATE('Debt Payoff'!$C$6,171)</f>
        <v/>
      </c>
      <c r="C177" s="160">
        <f>MAX(0,ROUND(C176+M177-AQ177,2))</f>
        <v/>
      </c>
      <c r="D177" s="160">
        <f>MAX(0,ROUND(D176+N177-AR177,2))</f>
        <v/>
      </c>
      <c r="E177" s="160">
        <f>MAX(0,ROUND(E176+O177-AS177,2))</f>
        <v/>
      </c>
      <c r="F177" s="160">
        <f>MAX(0,ROUND(F176+P177-AT177,2))</f>
        <v/>
      </c>
      <c r="G177" s="160">
        <f>MAX(0,ROUND(G176+Q177-AU177,2))</f>
        <v/>
      </c>
      <c r="H177" s="160">
        <f>MAX(0,ROUND(H176+R177-AV177,2))</f>
        <v/>
      </c>
      <c r="I177" s="160">
        <f>MAX(0,ROUND(I176+S177-AW177,2))</f>
        <v/>
      </c>
      <c r="J177" s="160">
        <f>MAX(0,ROUND(J176+T177-AX177,2))</f>
        <v/>
      </c>
      <c r="K177" s="160">
        <f>MAX(0,ROUND(K176+U177-AY177,2))</f>
        <v/>
      </c>
      <c r="L177" s="160">
        <f>MAX(0,ROUND(L176+V177-AZ177,2))</f>
        <v/>
      </c>
      <c r="M177" s="160">
        <f>C176*N('Debt Payoff'!$D$15)/12</f>
        <v/>
      </c>
      <c r="N177" s="160">
        <f>D176*N('Debt Payoff'!$D$16)/12</f>
        <v/>
      </c>
      <c r="O177" s="160">
        <f>E176*N('Debt Payoff'!$D$17)/12</f>
        <v/>
      </c>
      <c r="P177" s="160">
        <f>F176*N('Debt Payoff'!$D$18)/12</f>
        <v/>
      </c>
      <c r="Q177" s="160">
        <f>G176*N('Debt Payoff'!$D$19)/12</f>
        <v/>
      </c>
      <c r="R177" s="160">
        <f>H176*N('Debt Payoff'!$D$20)/12</f>
        <v/>
      </c>
      <c r="S177" s="160">
        <f>I176*N('Debt Payoff'!$D$21)/12</f>
        <v/>
      </c>
      <c r="T177" s="160">
        <f>J176*N('Debt Payoff'!$D$22)/12</f>
        <v/>
      </c>
      <c r="U177" s="160">
        <f>K176*N('Debt Payoff'!$D$23)/12</f>
        <v/>
      </c>
      <c r="V177" s="160">
        <f>L176*N('Debt Payoff'!$D$24)/12</f>
        <v/>
      </c>
      <c r="W177" s="160">
        <f>MIN(N('Debt Payoff'!$E$15),C176+M177)</f>
        <v/>
      </c>
      <c r="X177" s="160">
        <f>MIN(N('Debt Payoff'!$E$16),D176+N177)</f>
        <v/>
      </c>
      <c r="Y177" s="160">
        <f>MIN(N('Debt Payoff'!$E$17),E176+O177)</f>
        <v/>
      </c>
      <c r="Z177" s="160">
        <f>MIN(N('Debt Payoff'!$E$18),F176+P177)</f>
        <v/>
      </c>
      <c r="AA177" s="160">
        <f>MIN(N('Debt Payoff'!$E$19),G176+Q177)</f>
        <v/>
      </c>
      <c r="AB177" s="160">
        <f>MIN(N('Debt Payoff'!$E$20),H176+R177)</f>
        <v/>
      </c>
      <c r="AC177" s="160">
        <f>MIN(N('Debt Payoff'!$E$21),I176+S177)</f>
        <v/>
      </c>
      <c r="AD177" s="160">
        <f>MIN(N('Debt Payoff'!$E$22),J176+T177)</f>
        <v/>
      </c>
      <c r="AE177" s="160">
        <f>MIN(N('Debt Payoff'!$E$23),K176+U177)</f>
        <v/>
      </c>
      <c r="AF177" s="160">
        <f>MIN(N('Debt Payoff'!$E$24),L176+V177)</f>
        <v/>
      </c>
      <c r="AG177" s="160">
        <f>C176+M177-W177</f>
        <v/>
      </c>
      <c r="AH177" s="160">
        <f>D176+N177-X177</f>
        <v/>
      </c>
      <c r="AI177" s="160">
        <f>E176+O177-Y177</f>
        <v/>
      </c>
      <c r="AJ177" s="160">
        <f>F176+P177-Z177</f>
        <v/>
      </c>
      <c r="AK177" s="160">
        <f>G176+Q177-AA177</f>
        <v/>
      </c>
      <c r="AL177" s="160">
        <f>H176+R177-AB177</f>
        <v/>
      </c>
      <c r="AM177" s="160">
        <f>I176+S177-AC177</f>
        <v/>
      </c>
      <c r="AN177" s="160">
        <f>J176+T177-AD177</f>
        <v/>
      </c>
      <c r="AO177" s="160">
        <f>K176+U177-AE177</f>
        <v/>
      </c>
      <c r="AP177" s="160">
        <f>L176+V177-AF177</f>
        <v/>
      </c>
      <c r="AQ177" s="160">
        <f>W177+MAX(0,MIN(AG177,'Debt Payoff'!$C$12-SUM($W177:$AF177)-SUMIFS($AG177:$AP177,$AG$4:$AP$4,"&lt;"&amp;AG$4)))</f>
        <v/>
      </c>
      <c r="AR177" s="160">
        <f>X177+MAX(0,MIN(AH177,'Debt Payoff'!$C$12-SUM($W177:$AF177)-SUMIFS($AG177:$AP177,$AG$4:$AP$4,"&lt;"&amp;AH$4)))</f>
        <v/>
      </c>
      <c r="AS177" s="160">
        <f>Y177+MAX(0,MIN(AI177,'Debt Payoff'!$C$12-SUM($W177:$AF177)-SUMIFS($AG177:$AP177,$AG$4:$AP$4,"&lt;"&amp;AI$4)))</f>
        <v/>
      </c>
      <c r="AT177" s="160">
        <f>Z177+MAX(0,MIN(AJ177,'Debt Payoff'!$C$12-SUM($W177:$AF177)-SUMIFS($AG177:$AP177,$AG$4:$AP$4,"&lt;"&amp;AJ$4)))</f>
        <v/>
      </c>
      <c r="AU177" s="160">
        <f>AA177+MAX(0,MIN(AK177,'Debt Payoff'!$C$12-SUM($W177:$AF177)-SUMIFS($AG177:$AP177,$AG$4:$AP$4,"&lt;"&amp;AK$4)))</f>
        <v/>
      </c>
      <c r="AV177" s="160">
        <f>AB177+MAX(0,MIN(AL177,'Debt Payoff'!$C$12-SUM($W177:$AF177)-SUMIFS($AG177:$AP177,$AG$4:$AP$4,"&lt;"&amp;AL$4)))</f>
        <v/>
      </c>
      <c r="AW177" s="160">
        <f>AC177+MAX(0,MIN(AM177,'Debt Payoff'!$C$12-SUM($W177:$AF177)-SUMIFS($AG177:$AP177,$AG$4:$AP$4,"&lt;"&amp;AM$4)))</f>
        <v/>
      </c>
      <c r="AX177" s="160">
        <f>AD177+MAX(0,MIN(AN177,'Debt Payoff'!$C$12-SUM($W177:$AF177)-SUMIFS($AG177:$AP177,$AG$4:$AP$4,"&lt;"&amp;AN$4)))</f>
        <v/>
      </c>
      <c r="AY177" s="160">
        <f>AE177+MAX(0,MIN(AO177,'Debt Payoff'!$C$12-SUM($W177:$AF177)-SUMIFS($AG177:$AP177,$AG$4:$AP$4,"&lt;"&amp;AO$4)))</f>
        <v/>
      </c>
      <c r="AZ177" s="160">
        <f>AF177+MAX(0,MIN(AP177,'Debt Payoff'!$C$12-SUM($W177:$AF177)-SUMIFS($AG177:$AP177,$AG$4:$AP$4,"&lt;"&amp;AP$4)))</f>
        <v/>
      </c>
      <c r="BA177" s="160">
        <f>SUM(C177:L177)</f>
        <v/>
      </c>
      <c r="BB177" s="160">
        <f>SUM(AQ177:AZ177)</f>
        <v/>
      </c>
      <c r="BC177" s="160">
        <f>SUM(M177:V177)</f>
        <v/>
      </c>
    </row>
    <row r="178">
      <c r="A178" s="157" t="n">
        <v>173</v>
      </c>
      <c r="B178" s="159">
        <f>EDATE('Debt Payoff'!$C$6,172)</f>
        <v/>
      </c>
      <c r="C178" s="160">
        <f>MAX(0,ROUND(C177+M178-AQ178,2))</f>
        <v/>
      </c>
      <c r="D178" s="160">
        <f>MAX(0,ROUND(D177+N178-AR178,2))</f>
        <v/>
      </c>
      <c r="E178" s="160">
        <f>MAX(0,ROUND(E177+O178-AS178,2))</f>
        <v/>
      </c>
      <c r="F178" s="160">
        <f>MAX(0,ROUND(F177+P178-AT178,2))</f>
        <v/>
      </c>
      <c r="G178" s="160">
        <f>MAX(0,ROUND(G177+Q178-AU178,2))</f>
        <v/>
      </c>
      <c r="H178" s="160">
        <f>MAX(0,ROUND(H177+R178-AV178,2))</f>
        <v/>
      </c>
      <c r="I178" s="160">
        <f>MAX(0,ROUND(I177+S178-AW178,2))</f>
        <v/>
      </c>
      <c r="J178" s="160">
        <f>MAX(0,ROUND(J177+T178-AX178,2))</f>
        <v/>
      </c>
      <c r="K178" s="160">
        <f>MAX(0,ROUND(K177+U178-AY178,2))</f>
        <v/>
      </c>
      <c r="L178" s="160">
        <f>MAX(0,ROUND(L177+V178-AZ178,2))</f>
        <v/>
      </c>
      <c r="M178" s="160">
        <f>C177*N('Debt Payoff'!$D$15)/12</f>
        <v/>
      </c>
      <c r="N178" s="160">
        <f>D177*N('Debt Payoff'!$D$16)/12</f>
        <v/>
      </c>
      <c r="O178" s="160">
        <f>E177*N('Debt Payoff'!$D$17)/12</f>
        <v/>
      </c>
      <c r="P178" s="160">
        <f>F177*N('Debt Payoff'!$D$18)/12</f>
        <v/>
      </c>
      <c r="Q178" s="160">
        <f>G177*N('Debt Payoff'!$D$19)/12</f>
        <v/>
      </c>
      <c r="R178" s="160">
        <f>H177*N('Debt Payoff'!$D$20)/12</f>
        <v/>
      </c>
      <c r="S178" s="160">
        <f>I177*N('Debt Payoff'!$D$21)/12</f>
        <v/>
      </c>
      <c r="T178" s="160">
        <f>J177*N('Debt Payoff'!$D$22)/12</f>
        <v/>
      </c>
      <c r="U178" s="160">
        <f>K177*N('Debt Payoff'!$D$23)/12</f>
        <v/>
      </c>
      <c r="V178" s="160">
        <f>L177*N('Debt Payoff'!$D$24)/12</f>
        <v/>
      </c>
      <c r="W178" s="160">
        <f>MIN(N('Debt Payoff'!$E$15),C177+M178)</f>
        <v/>
      </c>
      <c r="X178" s="160">
        <f>MIN(N('Debt Payoff'!$E$16),D177+N178)</f>
        <v/>
      </c>
      <c r="Y178" s="160">
        <f>MIN(N('Debt Payoff'!$E$17),E177+O178)</f>
        <v/>
      </c>
      <c r="Z178" s="160">
        <f>MIN(N('Debt Payoff'!$E$18),F177+P178)</f>
        <v/>
      </c>
      <c r="AA178" s="160">
        <f>MIN(N('Debt Payoff'!$E$19),G177+Q178)</f>
        <v/>
      </c>
      <c r="AB178" s="160">
        <f>MIN(N('Debt Payoff'!$E$20),H177+R178)</f>
        <v/>
      </c>
      <c r="AC178" s="160">
        <f>MIN(N('Debt Payoff'!$E$21),I177+S178)</f>
        <v/>
      </c>
      <c r="AD178" s="160">
        <f>MIN(N('Debt Payoff'!$E$22),J177+T178)</f>
        <v/>
      </c>
      <c r="AE178" s="160">
        <f>MIN(N('Debt Payoff'!$E$23),K177+U178)</f>
        <v/>
      </c>
      <c r="AF178" s="160">
        <f>MIN(N('Debt Payoff'!$E$24),L177+V178)</f>
        <v/>
      </c>
      <c r="AG178" s="160">
        <f>C177+M178-W178</f>
        <v/>
      </c>
      <c r="AH178" s="160">
        <f>D177+N178-X178</f>
        <v/>
      </c>
      <c r="AI178" s="160">
        <f>E177+O178-Y178</f>
        <v/>
      </c>
      <c r="AJ178" s="160">
        <f>F177+P178-Z178</f>
        <v/>
      </c>
      <c r="AK178" s="160">
        <f>G177+Q178-AA178</f>
        <v/>
      </c>
      <c r="AL178" s="160">
        <f>H177+R178-AB178</f>
        <v/>
      </c>
      <c r="AM178" s="160">
        <f>I177+S178-AC178</f>
        <v/>
      </c>
      <c r="AN178" s="160">
        <f>J177+T178-AD178</f>
        <v/>
      </c>
      <c r="AO178" s="160">
        <f>K177+U178-AE178</f>
        <v/>
      </c>
      <c r="AP178" s="160">
        <f>L177+V178-AF178</f>
        <v/>
      </c>
      <c r="AQ178" s="160">
        <f>W178+MAX(0,MIN(AG178,'Debt Payoff'!$C$12-SUM($W178:$AF178)-SUMIFS($AG178:$AP178,$AG$4:$AP$4,"&lt;"&amp;AG$4)))</f>
        <v/>
      </c>
      <c r="AR178" s="160">
        <f>X178+MAX(0,MIN(AH178,'Debt Payoff'!$C$12-SUM($W178:$AF178)-SUMIFS($AG178:$AP178,$AG$4:$AP$4,"&lt;"&amp;AH$4)))</f>
        <v/>
      </c>
      <c r="AS178" s="160">
        <f>Y178+MAX(0,MIN(AI178,'Debt Payoff'!$C$12-SUM($W178:$AF178)-SUMIFS($AG178:$AP178,$AG$4:$AP$4,"&lt;"&amp;AI$4)))</f>
        <v/>
      </c>
      <c r="AT178" s="160">
        <f>Z178+MAX(0,MIN(AJ178,'Debt Payoff'!$C$12-SUM($W178:$AF178)-SUMIFS($AG178:$AP178,$AG$4:$AP$4,"&lt;"&amp;AJ$4)))</f>
        <v/>
      </c>
      <c r="AU178" s="160">
        <f>AA178+MAX(0,MIN(AK178,'Debt Payoff'!$C$12-SUM($W178:$AF178)-SUMIFS($AG178:$AP178,$AG$4:$AP$4,"&lt;"&amp;AK$4)))</f>
        <v/>
      </c>
      <c r="AV178" s="160">
        <f>AB178+MAX(0,MIN(AL178,'Debt Payoff'!$C$12-SUM($W178:$AF178)-SUMIFS($AG178:$AP178,$AG$4:$AP$4,"&lt;"&amp;AL$4)))</f>
        <v/>
      </c>
      <c r="AW178" s="160">
        <f>AC178+MAX(0,MIN(AM178,'Debt Payoff'!$C$12-SUM($W178:$AF178)-SUMIFS($AG178:$AP178,$AG$4:$AP$4,"&lt;"&amp;AM$4)))</f>
        <v/>
      </c>
      <c r="AX178" s="160">
        <f>AD178+MAX(0,MIN(AN178,'Debt Payoff'!$C$12-SUM($W178:$AF178)-SUMIFS($AG178:$AP178,$AG$4:$AP$4,"&lt;"&amp;AN$4)))</f>
        <v/>
      </c>
      <c r="AY178" s="160">
        <f>AE178+MAX(0,MIN(AO178,'Debt Payoff'!$C$12-SUM($W178:$AF178)-SUMIFS($AG178:$AP178,$AG$4:$AP$4,"&lt;"&amp;AO$4)))</f>
        <v/>
      </c>
      <c r="AZ178" s="160">
        <f>AF178+MAX(0,MIN(AP178,'Debt Payoff'!$C$12-SUM($W178:$AF178)-SUMIFS($AG178:$AP178,$AG$4:$AP$4,"&lt;"&amp;AP$4)))</f>
        <v/>
      </c>
      <c r="BA178" s="160">
        <f>SUM(C178:L178)</f>
        <v/>
      </c>
      <c r="BB178" s="160">
        <f>SUM(AQ178:AZ178)</f>
        <v/>
      </c>
      <c r="BC178" s="160">
        <f>SUM(M178:V178)</f>
        <v/>
      </c>
    </row>
    <row r="179">
      <c r="A179" s="157" t="n">
        <v>174</v>
      </c>
      <c r="B179" s="159">
        <f>EDATE('Debt Payoff'!$C$6,173)</f>
        <v/>
      </c>
      <c r="C179" s="160">
        <f>MAX(0,ROUND(C178+M179-AQ179,2))</f>
        <v/>
      </c>
      <c r="D179" s="160">
        <f>MAX(0,ROUND(D178+N179-AR179,2))</f>
        <v/>
      </c>
      <c r="E179" s="160">
        <f>MAX(0,ROUND(E178+O179-AS179,2))</f>
        <v/>
      </c>
      <c r="F179" s="160">
        <f>MAX(0,ROUND(F178+P179-AT179,2))</f>
        <v/>
      </c>
      <c r="G179" s="160">
        <f>MAX(0,ROUND(G178+Q179-AU179,2))</f>
        <v/>
      </c>
      <c r="H179" s="160">
        <f>MAX(0,ROUND(H178+R179-AV179,2))</f>
        <v/>
      </c>
      <c r="I179" s="160">
        <f>MAX(0,ROUND(I178+S179-AW179,2))</f>
        <v/>
      </c>
      <c r="J179" s="160">
        <f>MAX(0,ROUND(J178+T179-AX179,2))</f>
        <v/>
      </c>
      <c r="K179" s="160">
        <f>MAX(0,ROUND(K178+U179-AY179,2))</f>
        <v/>
      </c>
      <c r="L179" s="160">
        <f>MAX(0,ROUND(L178+V179-AZ179,2))</f>
        <v/>
      </c>
      <c r="M179" s="160">
        <f>C178*N('Debt Payoff'!$D$15)/12</f>
        <v/>
      </c>
      <c r="N179" s="160">
        <f>D178*N('Debt Payoff'!$D$16)/12</f>
        <v/>
      </c>
      <c r="O179" s="160">
        <f>E178*N('Debt Payoff'!$D$17)/12</f>
        <v/>
      </c>
      <c r="P179" s="160">
        <f>F178*N('Debt Payoff'!$D$18)/12</f>
        <v/>
      </c>
      <c r="Q179" s="160">
        <f>G178*N('Debt Payoff'!$D$19)/12</f>
        <v/>
      </c>
      <c r="R179" s="160">
        <f>H178*N('Debt Payoff'!$D$20)/12</f>
        <v/>
      </c>
      <c r="S179" s="160">
        <f>I178*N('Debt Payoff'!$D$21)/12</f>
        <v/>
      </c>
      <c r="T179" s="160">
        <f>J178*N('Debt Payoff'!$D$22)/12</f>
        <v/>
      </c>
      <c r="U179" s="160">
        <f>K178*N('Debt Payoff'!$D$23)/12</f>
        <v/>
      </c>
      <c r="V179" s="160">
        <f>L178*N('Debt Payoff'!$D$24)/12</f>
        <v/>
      </c>
      <c r="W179" s="160">
        <f>MIN(N('Debt Payoff'!$E$15),C178+M179)</f>
        <v/>
      </c>
      <c r="X179" s="160">
        <f>MIN(N('Debt Payoff'!$E$16),D178+N179)</f>
        <v/>
      </c>
      <c r="Y179" s="160">
        <f>MIN(N('Debt Payoff'!$E$17),E178+O179)</f>
        <v/>
      </c>
      <c r="Z179" s="160">
        <f>MIN(N('Debt Payoff'!$E$18),F178+P179)</f>
        <v/>
      </c>
      <c r="AA179" s="160">
        <f>MIN(N('Debt Payoff'!$E$19),G178+Q179)</f>
        <v/>
      </c>
      <c r="AB179" s="160">
        <f>MIN(N('Debt Payoff'!$E$20),H178+R179)</f>
        <v/>
      </c>
      <c r="AC179" s="160">
        <f>MIN(N('Debt Payoff'!$E$21),I178+S179)</f>
        <v/>
      </c>
      <c r="AD179" s="160">
        <f>MIN(N('Debt Payoff'!$E$22),J178+T179)</f>
        <v/>
      </c>
      <c r="AE179" s="160">
        <f>MIN(N('Debt Payoff'!$E$23),K178+U179)</f>
        <v/>
      </c>
      <c r="AF179" s="160">
        <f>MIN(N('Debt Payoff'!$E$24),L178+V179)</f>
        <v/>
      </c>
      <c r="AG179" s="160">
        <f>C178+M179-W179</f>
        <v/>
      </c>
      <c r="AH179" s="160">
        <f>D178+N179-X179</f>
        <v/>
      </c>
      <c r="AI179" s="160">
        <f>E178+O179-Y179</f>
        <v/>
      </c>
      <c r="AJ179" s="160">
        <f>F178+P179-Z179</f>
        <v/>
      </c>
      <c r="AK179" s="160">
        <f>G178+Q179-AA179</f>
        <v/>
      </c>
      <c r="AL179" s="160">
        <f>H178+R179-AB179</f>
        <v/>
      </c>
      <c r="AM179" s="160">
        <f>I178+S179-AC179</f>
        <v/>
      </c>
      <c r="AN179" s="160">
        <f>J178+T179-AD179</f>
        <v/>
      </c>
      <c r="AO179" s="160">
        <f>K178+U179-AE179</f>
        <v/>
      </c>
      <c r="AP179" s="160">
        <f>L178+V179-AF179</f>
        <v/>
      </c>
      <c r="AQ179" s="160">
        <f>W179+MAX(0,MIN(AG179,'Debt Payoff'!$C$12-SUM($W179:$AF179)-SUMIFS($AG179:$AP179,$AG$4:$AP$4,"&lt;"&amp;AG$4)))</f>
        <v/>
      </c>
      <c r="AR179" s="160">
        <f>X179+MAX(0,MIN(AH179,'Debt Payoff'!$C$12-SUM($W179:$AF179)-SUMIFS($AG179:$AP179,$AG$4:$AP$4,"&lt;"&amp;AH$4)))</f>
        <v/>
      </c>
      <c r="AS179" s="160">
        <f>Y179+MAX(0,MIN(AI179,'Debt Payoff'!$C$12-SUM($W179:$AF179)-SUMIFS($AG179:$AP179,$AG$4:$AP$4,"&lt;"&amp;AI$4)))</f>
        <v/>
      </c>
      <c r="AT179" s="160">
        <f>Z179+MAX(0,MIN(AJ179,'Debt Payoff'!$C$12-SUM($W179:$AF179)-SUMIFS($AG179:$AP179,$AG$4:$AP$4,"&lt;"&amp;AJ$4)))</f>
        <v/>
      </c>
      <c r="AU179" s="160">
        <f>AA179+MAX(0,MIN(AK179,'Debt Payoff'!$C$12-SUM($W179:$AF179)-SUMIFS($AG179:$AP179,$AG$4:$AP$4,"&lt;"&amp;AK$4)))</f>
        <v/>
      </c>
      <c r="AV179" s="160">
        <f>AB179+MAX(0,MIN(AL179,'Debt Payoff'!$C$12-SUM($W179:$AF179)-SUMIFS($AG179:$AP179,$AG$4:$AP$4,"&lt;"&amp;AL$4)))</f>
        <v/>
      </c>
      <c r="AW179" s="160">
        <f>AC179+MAX(0,MIN(AM179,'Debt Payoff'!$C$12-SUM($W179:$AF179)-SUMIFS($AG179:$AP179,$AG$4:$AP$4,"&lt;"&amp;AM$4)))</f>
        <v/>
      </c>
      <c r="AX179" s="160">
        <f>AD179+MAX(0,MIN(AN179,'Debt Payoff'!$C$12-SUM($W179:$AF179)-SUMIFS($AG179:$AP179,$AG$4:$AP$4,"&lt;"&amp;AN$4)))</f>
        <v/>
      </c>
      <c r="AY179" s="160">
        <f>AE179+MAX(0,MIN(AO179,'Debt Payoff'!$C$12-SUM($W179:$AF179)-SUMIFS($AG179:$AP179,$AG$4:$AP$4,"&lt;"&amp;AO$4)))</f>
        <v/>
      </c>
      <c r="AZ179" s="160">
        <f>AF179+MAX(0,MIN(AP179,'Debt Payoff'!$C$12-SUM($W179:$AF179)-SUMIFS($AG179:$AP179,$AG$4:$AP$4,"&lt;"&amp;AP$4)))</f>
        <v/>
      </c>
      <c r="BA179" s="160">
        <f>SUM(C179:L179)</f>
        <v/>
      </c>
      <c r="BB179" s="160">
        <f>SUM(AQ179:AZ179)</f>
        <v/>
      </c>
      <c r="BC179" s="160">
        <f>SUM(M179:V179)</f>
        <v/>
      </c>
    </row>
    <row r="180">
      <c r="A180" s="157" t="n">
        <v>175</v>
      </c>
      <c r="B180" s="159">
        <f>EDATE('Debt Payoff'!$C$6,174)</f>
        <v/>
      </c>
      <c r="C180" s="160">
        <f>MAX(0,ROUND(C179+M180-AQ180,2))</f>
        <v/>
      </c>
      <c r="D180" s="160">
        <f>MAX(0,ROUND(D179+N180-AR180,2))</f>
        <v/>
      </c>
      <c r="E180" s="160">
        <f>MAX(0,ROUND(E179+O180-AS180,2))</f>
        <v/>
      </c>
      <c r="F180" s="160">
        <f>MAX(0,ROUND(F179+P180-AT180,2))</f>
        <v/>
      </c>
      <c r="G180" s="160">
        <f>MAX(0,ROUND(G179+Q180-AU180,2))</f>
        <v/>
      </c>
      <c r="H180" s="160">
        <f>MAX(0,ROUND(H179+R180-AV180,2))</f>
        <v/>
      </c>
      <c r="I180" s="160">
        <f>MAX(0,ROUND(I179+S180-AW180,2))</f>
        <v/>
      </c>
      <c r="J180" s="160">
        <f>MAX(0,ROUND(J179+T180-AX180,2))</f>
        <v/>
      </c>
      <c r="K180" s="160">
        <f>MAX(0,ROUND(K179+U180-AY180,2))</f>
        <v/>
      </c>
      <c r="L180" s="160">
        <f>MAX(0,ROUND(L179+V180-AZ180,2))</f>
        <v/>
      </c>
      <c r="M180" s="160">
        <f>C179*N('Debt Payoff'!$D$15)/12</f>
        <v/>
      </c>
      <c r="N180" s="160">
        <f>D179*N('Debt Payoff'!$D$16)/12</f>
        <v/>
      </c>
      <c r="O180" s="160">
        <f>E179*N('Debt Payoff'!$D$17)/12</f>
        <v/>
      </c>
      <c r="P180" s="160">
        <f>F179*N('Debt Payoff'!$D$18)/12</f>
        <v/>
      </c>
      <c r="Q180" s="160">
        <f>G179*N('Debt Payoff'!$D$19)/12</f>
        <v/>
      </c>
      <c r="R180" s="160">
        <f>H179*N('Debt Payoff'!$D$20)/12</f>
        <v/>
      </c>
      <c r="S180" s="160">
        <f>I179*N('Debt Payoff'!$D$21)/12</f>
        <v/>
      </c>
      <c r="T180" s="160">
        <f>J179*N('Debt Payoff'!$D$22)/12</f>
        <v/>
      </c>
      <c r="U180" s="160">
        <f>K179*N('Debt Payoff'!$D$23)/12</f>
        <v/>
      </c>
      <c r="V180" s="160">
        <f>L179*N('Debt Payoff'!$D$24)/12</f>
        <v/>
      </c>
      <c r="W180" s="160">
        <f>MIN(N('Debt Payoff'!$E$15),C179+M180)</f>
        <v/>
      </c>
      <c r="X180" s="160">
        <f>MIN(N('Debt Payoff'!$E$16),D179+N180)</f>
        <v/>
      </c>
      <c r="Y180" s="160">
        <f>MIN(N('Debt Payoff'!$E$17),E179+O180)</f>
        <v/>
      </c>
      <c r="Z180" s="160">
        <f>MIN(N('Debt Payoff'!$E$18),F179+P180)</f>
        <v/>
      </c>
      <c r="AA180" s="160">
        <f>MIN(N('Debt Payoff'!$E$19),G179+Q180)</f>
        <v/>
      </c>
      <c r="AB180" s="160">
        <f>MIN(N('Debt Payoff'!$E$20),H179+R180)</f>
        <v/>
      </c>
      <c r="AC180" s="160">
        <f>MIN(N('Debt Payoff'!$E$21),I179+S180)</f>
        <v/>
      </c>
      <c r="AD180" s="160">
        <f>MIN(N('Debt Payoff'!$E$22),J179+T180)</f>
        <v/>
      </c>
      <c r="AE180" s="160">
        <f>MIN(N('Debt Payoff'!$E$23),K179+U180)</f>
        <v/>
      </c>
      <c r="AF180" s="160">
        <f>MIN(N('Debt Payoff'!$E$24),L179+V180)</f>
        <v/>
      </c>
      <c r="AG180" s="160">
        <f>C179+M180-W180</f>
        <v/>
      </c>
      <c r="AH180" s="160">
        <f>D179+N180-X180</f>
        <v/>
      </c>
      <c r="AI180" s="160">
        <f>E179+O180-Y180</f>
        <v/>
      </c>
      <c r="AJ180" s="160">
        <f>F179+P180-Z180</f>
        <v/>
      </c>
      <c r="AK180" s="160">
        <f>G179+Q180-AA180</f>
        <v/>
      </c>
      <c r="AL180" s="160">
        <f>H179+R180-AB180</f>
        <v/>
      </c>
      <c r="AM180" s="160">
        <f>I179+S180-AC180</f>
        <v/>
      </c>
      <c r="AN180" s="160">
        <f>J179+T180-AD180</f>
        <v/>
      </c>
      <c r="AO180" s="160">
        <f>K179+U180-AE180</f>
        <v/>
      </c>
      <c r="AP180" s="160">
        <f>L179+V180-AF180</f>
        <v/>
      </c>
      <c r="AQ180" s="160">
        <f>W180+MAX(0,MIN(AG180,'Debt Payoff'!$C$12-SUM($W180:$AF180)-SUMIFS($AG180:$AP180,$AG$4:$AP$4,"&lt;"&amp;AG$4)))</f>
        <v/>
      </c>
      <c r="AR180" s="160">
        <f>X180+MAX(0,MIN(AH180,'Debt Payoff'!$C$12-SUM($W180:$AF180)-SUMIFS($AG180:$AP180,$AG$4:$AP$4,"&lt;"&amp;AH$4)))</f>
        <v/>
      </c>
      <c r="AS180" s="160">
        <f>Y180+MAX(0,MIN(AI180,'Debt Payoff'!$C$12-SUM($W180:$AF180)-SUMIFS($AG180:$AP180,$AG$4:$AP$4,"&lt;"&amp;AI$4)))</f>
        <v/>
      </c>
      <c r="AT180" s="160">
        <f>Z180+MAX(0,MIN(AJ180,'Debt Payoff'!$C$12-SUM($W180:$AF180)-SUMIFS($AG180:$AP180,$AG$4:$AP$4,"&lt;"&amp;AJ$4)))</f>
        <v/>
      </c>
      <c r="AU180" s="160">
        <f>AA180+MAX(0,MIN(AK180,'Debt Payoff'!$C$12-SUM($W180:$AF180)-SUMIFS($AG180:$AP180,$AG$4:$AP$4,"&lt;"&amp;AK$4)))</f>
        <v/>
      </c>
      <c r="AV180" s="160">
        <f>AB180+MAX(0,MIN(AL180,'Debt Payoff'!$C$12-SUM($W180:$AF180)-SUMIFS($AG180:$AP180,$AG$4:$AP$4,"&lt;"&amp;AL$4)))</f>
        <v/>
      </c>
      <c r="AW180" s="160">
        <f>AC180+MAX(0,MIN(AM180,'Debt Payoff'!$C$12-SUM($W180:$AF180)-SUMIFS($AG180:$AP180,$AG$4:$AP$4,"&lt;"&amp;AM$4)))</f>
        <v/>
      </c>
      <c r="AX180" s="160">
        <f>AD180+MAX(0,MIN(AN180,'Debt Payoff'!$C$12-SUM($W180:$AF180)-SUMIFS($AG180:$AP180,$AG$4:$AP$4,"&lt;"&amp;AN$4)))</f>
        <v/>
      </c>
      <c r="AY180" s="160">
        <f>AE180+MAX(0,MIN(AO180,'Debt Payoff'!$C$12-SUM($W180:$AF180)-SUMIFS($AG180:$AP180,$AG$4:$AP$4,"&lt;"&amp;AO$4)))</f>
        <v/>
      </c>
      <c r="AZ180" s="160">
        <f>AF180+MAX(0,MIN(AP180,'Debt Payoff'!$C$12-SUM($W180:$AF180)-SUMIFS($AG180:$AP180,$AG$4:$AP$4,"&lt;"&amp;AP$4)))</f>
        <v/>
      </c>
      <c r="BA180" s="160">
        <f>SUM(C180:L180)</f>
        <v/>
      </c>
      <c r="BB180" s="160">
        <f>SUM(AQ180:AZ180)</f>
        <v/>
      </c>
      <c r="BC180" s="160">
        <f>SUM(M180:V180)</f>
        <v/>
      </c>
    </row>
    <row r="181">
      <c r="A181" s="157" t="n">
        <v>176</v>
      </c>
      <c r="B181" s="159">
        <f>EDATE('Debt Payoff'!$C$6,175)</f>
        <v/>
      </c>
      <c r="C181" s="160">
        <f>MAX(0,ROUND(C180+M181-AQ181,2))</f>
        <v/>
      </c>
      <c r="D181" s="160">
        <f>MAX(0,ROUND(D180+N181-AR181,2))</f>
        <v/>
      </c>
      <c r="E181" s="160">
        <f>MAX(0,ROUND(E180+O181-AS181,2))</f>
        <v/>
      </c>
      <c r="F181" s="160">
        <f>MAX(0,ROUND(F180+P181-AT181,2))</f>
        <v/>
      </c>
      <c r="G181" s="160">
        <f>MAX(0,ROUND(G180+Q181-AU181,2))</f>
        <v/>
      </c>
      <c r="H181" s="160">
        <f>MAX(0,ROUND(H180+R181-AV181,2))</f>
        <v/>
      </c>
      <c r="I181" s="160">
        <f>MAX(0,ROUND(I180+S181-AW181,2))</f>
        <v/>
      </c>
      <c r="J181" s="160">
        <f>MAX(0,ROUND(J180+T181-AX181,2))</f>
        <v/>
      </c>
      <c r="K181" s="160">
        <f>MAX(0,ROUND(K180+U181-AY181,2))</f>
        <v/>
      </c>
      <c r="L181" s="160">
        <f>MAX(0,ROUND(L180+V181-AZ181,2))</f>
        <v/>
      </c>
      <c r="M181" s="160">
        <f>C180*N('Debt Payoff'!$D$15)/12</f>
        <v/>
      </c>
      <c r="N181" s="160">
        <f>D180*N('Debt Payoff'!$D$16)/12</f>
        <v/>
      </c>
      <c r="O181" s="160">
        <f>E180*N('Debt Payoff'!$D$17)/12</f>
        <v/>
      </c>
      <c r="P181" s="160">
        <f>F180*N('Debt Payoff'!$D$18)/12</f>
        <v/>
      </c>
      <c r="Q181" s="160">
        <f>G180*N('Debt Payoff'!$D$19)/12</f>
        <v/>
      </c>
      <c r="R181" s="160">
        <f>H180*N('Debt Payoff'!$D$20)/12</f>
        <v/>
      </c>
      <c r="S181" s="160">
        <f>I180*N('Debt Payoff'!$D$21)/12</f>
        <v/>
      </c>
      <c r="T181" s="160">
        <f>J180*N('Debt Payoff'!$D$22)/12</f>
        <v/>
      </c>
      <c r="U181" s="160">
        <f>K180*N('Debt Payoff'!$D$23)/12</f>
        <v/>
      </c>
      <c r="V181" s="160">
        <f>L180*N('Debt Payoff'!$D$24)/12</f>
        <v/>
      </c>
      <c r="W181" s="160">
        <f>MIN(N('Debt Payoff'!$E$15),C180+M181)</f>
        <v/>
      </c>
      <c r="X181" s="160">
        <f>MIN(N('Debt Payoff'!$E$16),D180+N181)</f>
        <v/>
      </c>
      <c r="Y181" s="160">
        <f>MIN(N('Debt Payoff'!$E$17),E180+O181)</f>
        <v/>
      </c>
      <c r="Z181" s="160">
        <f>MIN(N('Debt Payoff'!$E$18),F180+P181)</f>
        <v/>
      </c>
      <c r="AA181" s="160">
        <f>MIN(N('Debt Payoff'!$E$19),G180+Q181)</f>
        <v/>
      </c>
      <c r="AB181" s="160">
        <f>MIN(N('Debt Payoff'!$E$20),H180+R181)</f>
        <v/>
      </c>
      <c r="AC181" s="160">
        <f>MIN(N('Debt Payoff'!$E$21),I180+S181)</f>
        <v/>
      </c>
      <c r="AD181" s="160">
        <f>MIN(N('Debt Payoff'!$E$22),J180+T181)</f>
        <v/>
      </c>
      <c r="AE181" s="160">
        <f>MIN(N('Debt Payoff'!$E$23),K180+U181)</f>
        <v/>
      </c>
      <c r="AF181" s="160">
        <f>MIN(N('Debt Payoff'!$E$24),L180+V181)</f>
        <v/>
      </c>
      <c r="AG181" s="160">
        <f>C180+M181-W181</f>
        <v/>
      </c>
      <c r="AH181" s="160">
        <f>D180+N181-X181</f>
        <v/>
      </c>
      <c r="AI181" s="160">
        <f>E180+O181-Y181</f>
        <v/>
      </c>
      <c r="AJ181" s="160">
        <f>F180+P181-Z181</f>
        <v/>
      </c>
      <c r="AK181" s="160">
        <f>G180+Q181-AA181</f>
        <v/>
      </c>
      <c r="AL181" s="160">
        <f>H180+R181-AB181</f>
        <v/>
      </c>
      <c r="AM181" s="160">
        <f>I180+S181-AC181</f>
        <v/>
      </c>
      <c r="AN181" s="160">
        <f>J180+T181-AD181</f>
        <v/>
      </c>
      <c r="AO181" s="160">
        <f>K180+U181-AE181</f>
        <v/>
      </c>
      <c r="AP181" s="160">
        <f>L180+V181-AF181</f>
        <v/>
      </c>
      <c r="AQ181" s="160">
        <f>W181+MAX(0,MIN(AG181,'Debt Payoff'!$C$12-SUM($W181:$AF181)-SUMIFS($AG181:$AP181,$AG$4:$AP$4,"&lt;"&amp;AG$4)))</f>
        <v/>
      </c>
      <c r="AR181" s="160">
        <f>X181+MAX(0,MIN(AH181,'Debt Payoff'!$C$12-SUM($W181:$AF181)-SUMIFS($AG181:$AP181,$AG$4:$AP$4,"&lt;"&amp;AH$4)))</f>
        <v/>
      </c>
      <c r="AS181" s="160">
        <f>Y181+MAX(0,MIN(AI181,'Debt Payoff'!$C$12-SUM($W181:$AF181)-SUMIFS($AG181:$AP181,$AG$4:$AP$4,"&lt;"&amp;AI$4)))</f>
        <v/>
      </c>
      <c r="AT181" s="160">
        <f>Z181+MAX(0,MIN(AJ181,'Debt Payoff'!$C$12-SUM($W181:$AF181)-SUMIFS($AG181:$AP181,$AG$4:$AP$4,"&lt;"&amp;AJ$4)))</f>
        <v/>
      </c>
      <c r="AU181" s="160">
        <f>AA181+MAX(0,MIN(AK181,'Debt Payoff'!$C$12-SUM($W181:$AF181)-SUMIFS($AG181:$AP181,$AG$4:$AP$4,"&lt;"&amp;AK$4)))</f>
        <v/>
      </c>
      <c r="AV181" s="160">
        <f>AB181+MAX(0,MIN(AL181,'Debt Payoff'!$C$12-SUM($W181:$AF181)-SUMIFS($AG181:$AP181,$AG$4:$AP$4,"&lt;"&amp;AL$4)))</f>
        <v/>
      </c>
      <c r="AW181" s="160">
        <f>AC181+MAX(0,MIN(AM181,'Debt Payoff'!$C$12-SUM($W181:$AF181)-SUMIFS($AG181:$AP181,$AG$4:$AP$4,"&lt;"&amp;AM$4)))</f>
        <v/>
      </c>
      <c r="AX181" s="160">
        <f>AD181+MAX(0,MIN(AN181,'Debt Payoff'!$C$12-SUM($W181:$AF181)-SUMIFS($AG181:$AP181,$AG$4:$AP$4,"&lt;"&amp;AN$4)))</f>
        <v/>
      </c>
      <c r="AY181" s="160">
        <f>AE181+MAX(0,MIN(AO181,'Debt Payoff'!$C$12-SUM($W181:$AF181)-SUMIFS($AG181:$AP181,$AG$4:$AP$4,"&lt;"&amp;AO$4)))</f>
        <v/>
      </c>
      <c r="AZ181" s="160">
        <f>AF181+MAX(0,MIN(AP181,'Debt Payoff'!$C$12-SUM($W181:$AF181)-SUMIFS($AG181:$AP181,$AG$4:$AP$4,"&lt;"&amp;AP$4)))</f>
        <v/>
      </c>
      <c r="BA181" s="160">
        <f>SUM(C181:L181)</f>
        <v/>
      </c>
      <c r="BB181" s="160">
        <f>SUM(AQ181:AZ181)</f>
        <v/>
      </c>
      <c r="BC181" s="160">
        <f>SUM(M181:V181)</f>
        <v/>
      </c>
    </row>
    <row r="182">
      <c r="A182" s="157" t="n">
        <v>177</v>
      </c>
      <c r="B182" s="159">
        <f>EDATE('Debt Payoff'!$C$6,176)</f>
        <v/>
      </c>
      <c r="C182" s="160">
        <f>MAX(0,ROUND(C181+M182-AQ182,2))</f>
        <v/>
      </c>
      <c r="D182" s="160">
        <f>MAX(0,ROUND(D181+N182-AR182,2))</f>
        <v/>
      </c>
      <c r="E182" s="160">
        <f>MAX(0,ROUND(E181+O182-AS182,2))</f>
        <v/>
      </c>
      <c r="F182" s="160">
        <f>MAX(0,ROUND(F181+P182-AT182,2))</f>
        <v/>
      </c>
      <c r="G182" s="160">
        <f>MAX(0,ROUND(G181+Q182-AU182,2))</f>
        <v/>
      </c>
      <c r="H182" s="160">
        <f>MAX(0,ROUND(H181+R182-AV182,2))</f>
        <v/>
      </c>
      <c r="I182" s="160">
        <f>MAX(0,ROUND(I181+S182-AW182,2))</f>
        <v/>
      </c>
      <c r="J182" s="160">
        <f>MAX(0,ROUND(J181+T182-AX182,2))</f>
        <v/>
      </c>
      <c r="K182" s="160">
        <f>MAX(0,ROUND(K181+U182-AY182,2))</f>
        <v/>
      </c>
      <c r="L182" s="160">
        <f>MAX(0,ROUND(L181+V182-AZ182,2))</f>
        <v/>
      </c>
      <c r="M182" s="160">
        <f>C181*N('Debt Payoff'!$D$15)/12</f>
        <v/>
      </c>
      <c r="N182" s="160">
        <f>D181*N('Debt Payoff'!$D$16)/12</f>
        <v/>
      </c>
      <c r="O182" s="160">
        <f>E181*N('Debt Payoff'!$D$17)/12</f>
        <v/>
      </c>
      <c r="P182" s="160">
        <f>F181*N('Debt Payoff'!$D$18)/12</f>
        <v/>
      </c>
      <c r="Q182" s="160">
        <f>G181*N('Debt Payoff'!$D$19)/12</f>
        <v/>
      </c>
      <c r="R182" s="160">
        <f>H181*N('Debt Payoff'!$D$20)/12</f>
        <v/>
      </c>
      <c r="S182" s="160">
        <f>I181*N('Debt Payoff'!$D$21)/12</f>
        <v/>
      </c>
      <c r="T182" s="160">
        <f>J181*N('Debt Payoff'!$D$22)/12</f>
        <v/>
      </c>
      <c r="U182" s="160">
        <f>K181*N('Debt Payoff'!$D$23)/12</f>
        <v/>
      </c>
      <c r="V182" s="160">
        <f>L181*N('Debt Payoff'!$D$24)/12</f>
        <v/>
      </c>
      <c r="W182" s="160">
        <f>MIN(N('Debt Payoff'!$E$15),C181+M182)</f>
        <v/>
      </c>
      <c r="X182" s="160">
        <f>MIN(N('Debt Payoff'!$E$16),D181+N182)</f>
        <v/>
      </c>
      <c r="Y182" s="160">
        <f>MIN(N('Debt Payoff'!$E$17),E181+O182)</f>
        <v/>
      </c>
      <c r="Z182" s="160">
        <f>MIN(N('Debt Payoff'!$E$18),F181+P182)</f>
        <v/>
      </c>
      <c r="AA182" s="160">
        <f>MIN(N('Debt Payoff'!$E$19),G181+Q182)</f>
        <v/>
      </c>
      <c r="AB182" s="160">
        <f>MIN(N('Debt Payoff'!$E$20),H181+R182)</f>
        <v/>
      </c>
      <c r="AC182" s="160">
        <f>MIN(N('Debt Payoff'!$E$21),I181+S182)</f>
        <v/>
      </c>
      <c r="AD182" s="160">
        <f>MIN(N('Debt Payoff'!$E$22),J181+T182)</f>
        <v/>
      </c>
      <c r="AE182" s="160">
        <f>MIN(N('Debt Payoff'!$E$23),K181+U182)</f>
        <v/>
      </c>
      <c r="AF182" s="160">
        <f>MIN(N('Debt Payoff'!$E$24),L181+V182)</f>
        <v/>
      </c>
      <c r="AG182" s="160">
        <f>C181+M182-W182</f>
        <v/>
      </c>
      <c r="AH182" s="160">
        <f>D181+N182-X182</f>
        <v/>
      </c>
      <c r="AI182" s="160">
        <f>E181+O182-Y182</f>
        <v/>
      </c>
      <c r="AJ182" s="160">
        <f>F181+P182-Z182</f>
        <v/>
      </c>
      <c r="AK182" s="160">
        <f>G181+Q182-AA182</f>
        <v/>
      </c>
      <c r="AL182" s="160">
        <f>H181+R182-AB182</f>
        <v/>
      </c>
      <c r="AM182" s="160">
        <f>I181+S182-AC182</f>
        <v/>
      </c>
      <c r="AN182" s="160">
        <f>J181+T182-AD182</f>
        <v/>
      </c>
      <c r="AO182" s="160">
        <f>K181+U182-AE182</f>
        <v/>
      </c>
      <c r="AP182" s="160">
        <f>L181+V182-AF182</f>
        <v/>
      </c>
      <c r="AQ182" s="160">
        <f>W182+MAX(0,MIN(AG182,'Debt Payoff'!$C$12-SUM($W182:$AF182)-SUMIFS($AG182:$AP182,$AG$4:$AP$4,"&lt;"&amp;AG$4)))</f>
        <v/>
      </c>
      <c r="AR182" s="160">
        <f>X182+MAX(0,MIN(AH182,'Debt Payoff'!$C$12-SUM($W182:$AF182)-SUMIFS($AG182:$AP182,$AG$4:$AP$4,"&lt;"&amp;AH$4)))</f>
        <v/>
      </c>
      <c r="AS182" s="160">
        <f>Y182+MAX(0,MIN(AI182,'Debt Payoff'!$C$12-SUM($W182:$AF182)-SUMIFS($AG182:$AP182,$AG$4:$AP$4,"&lt;"&amp;AI$4)))</f>
        <v/>
      </c>
      <c r="AT182" s="160">
        <f>Z182+MAX(0,MIN(AJ182,'Debt Payoff'!$C$12-SUM($W182:$AF182)-SUMIFS($AG182:$AP182,$AG$4:$AP$4,"&lt;"&amp;AJ$4)))</f>
        <v/>
      </c>
      <c r="AU182" s="160">
        <f>AA182+MAX(0,MIN(AK182,'Debt Payoff'!$C$12-SUM($W182:$AF182)-SUMIFS($AG182:$AP182,$AG$4:$AP$4,"&lt;"&amp;AK$4)))</f>
        <v/>
      </c>
      <c r="AV182" s="160">
        <f>AB182+MAX(0,MIN(AL182,'Debt Payoff'!$C$12-SUM($W182:$AF182)-SUMIFS($AG182:$AP182,$AG$4:$AP$4,"&lt;"&amp;AL$4)))</f>
        <v/>
      </c>
      <c r="AW182" s="160">
        <f>AC182+MAX(0,MIN(AM182,'Debt Payoff'!$C$12-SUM($W182:$AF182)-SUMIFS($AG182:$AP182,$AG$4:$AP$4,"&lt;"&amp;AM$4)))</f>
        <v/>
      </c>
      <c r="AX182" s="160">
        <f>AD182+MAX(0,MIN(AN182,'Debt Payoff'!$C$12-SUM($W182:$AF182)-SUMIFS($AG182:$AP182,$AG$4:$AP$4,"&lt;"&amp;AN$4)))</f>
        <v/>
      </c>
      <c r="AY182" s="160">
        <f>AE182+MAX(0,MIN(AO182,'Debt Payoff'!$C$12-SUM($W182:$AF182)-SUMIFS($AG182:$AP182,$AG$4:$AP$4,"&lt;"&amp;AO$4)))</f>
        <v/>
      </c>
      <c r="AZ182" s="160">
        <f>AF182+MAX(0,MIN(AP182,'Debt Payoff'!$C$12-SUM($W182:$AF182)-SUMIFS($AG182:$AP182,$AG$4:$AP$4,"&lt;"&amp;AP$4)))</f>
        <v/>
      </c>
      <c r="BA182" s="160">
        <f>SUM(C182:L182)</f>
        <v/>
      </c>
      <c r="BB182" s="160">
        <f>SUM(AQ182:AZ182)</f>
        <v/>
      </c>
      <c r="BC182" s="160">
        <f>SUM(M182:V182)</f>
        <v/>
      </c>
    </row>
    <row r="183">
      <c r="A183" s="157" t="n">
        <v>178</v>
      </c>
      <c r="B183" s="159">
        <f>EDATE('Debt Payoff'!$C$6,177)</f>
        <v/>
      </c>
      <c r="C183" s="160">
        <f>MAX(0,ROUND(C182+M183-AQ183,2))</f>
        <v/>
      </c>
      <c r="D183" s="160">
        <f>MAX(0,ROUND(D182+N183-AR183,2))</f>
        <v/>
      </c>
      <c r="E183" s="160">
        <f>MAX(0,ROUND(E182+O183-AS183,2))</f>
        <v/>
      </c>
      <c r="F183" s="160">
        <f>MAX(0,ROUND(F182+P183-AT183,2))</f>
        <v/>
      </c>
      <c r="G183" s="160">
        <f>MAX(0,ROUND(G182+Q183-AU183,2))</f>
        <v/>
      </c>
      <c r="H183" s="160">
        <f>MAX(0,ROUND(H182+R183-AV183,2))</f>
        <v/>
      </c>
      <c r="I183" s="160">
        <f>MAX(0,ROUND(I182+S183-AW183,2))</f>
        <v/>
      </c>
      <c r="J183" s="160">
        <f>MAX(0,ROUND(J182+T183-AX183,2))</f>
        <v/>
      </c>
      <c r="K183" s="160">
        <f>MAX(0,ROUND(K182+U183-AY183,2))</f>
        <v/>
      </c>
      <c r="L183" s="160">
        <f>MAX(0,ROUND(L182+V183-AZ183,2))</f>
        <v/>
      </c>
      <c r="M183" s="160">
        <f>C182*N('Debt Payoff'!$D$15)/12</f>
        <v/>
      </c>
      <c r="N183" s="160">
        <f>D182*N('Debt Payoff'!$D$16)/12</f>
        <v/>
      </c>
      <c r="O183" s="160">
        <f>E182*N('Debt Payoff'!$D$17)/12</f>
        <v/>
      </c>
      <c r="P183" s="160">
        <f>F182*N('Debt Payoff'!$D$18)/12</f>
        <v/>
      </c>
      <c r="Q183" s="160">
        <f>G182*N('Debt Payoff'!$D$19)/12</f>
        <v/>
      </c>
      <c r="R183" s="160">
        <f>H182*N('Debt Payoff'!$D$20)/12</f>
        <v/>
      </c>
      <c r="S183" s="160">
        <f>I182*N('Debt Payoff'!$D$21)/12</f>
        <v/>
      </c>
      <c r="T183" s="160">
        <f>J182*N('Debt Payoff'!$D$22)/12</f>
        <v/>
      </c>
      <c r="U183" s="160">
        <f>K182*N('Debt Payoff'!$D$23)/12</f>
        <v/>
      </c>
      <c r="V183" s="160">
        <f>L182*N('Debt Payoff'!$D$24)/12</f>
        <v/>
      </c>
      <c r="W183" s="160">
        <f>MIN(N('Debt Payoff'!$E$15),C182+M183)</f>
        <v/>
      </c>
      <c r="X183" s="160">
        <f>MIN(N('Debt Payoff'!$E$16),D182+N183)</f>
        <v/>
      </c>
      <c r="Y183" s="160">
        <f>MIN(N('Debt Payoff'!$E$17),E182+O183)</f>
        <v/>
      </c>
      <c r="Z183" s="160">
        <f>MIN(N('Debt Payoff'!$E$18),F182+P183)</f>
        <v/>
      </c>
      <c r="AA183" s="160">
        <f>MIN(N('Debt Payoff'!$E$19),G182+Q183)</f>
        <v/>
      </c>
      <c r="AB183" s="160">
        <f>MIN(N('Debt Payoff'!$E$20),H182+R183)</f>
        <v/>
      </c>
      <c r="AC183" s="160">
        <f>MIN(N('Debt Payoff'!$E$21),I182+S183)</f>
        <v/>
      </c>
      <c r="AD183" s="160">
        <f>MIN(N('Debt Payoff'!$E$22),J182+T183)</f>
        <v/>
      </c>
      <c r="AE183" s="160">
        <f>MIN(N('Debt Payoff'!$E$23),K182+U183)</f>
        <v/>
      </c>
      <c r="AF183" s="160">
        <f>MIN(N('Debt Payoff'!$E$24),L182+V183)</f>
        <v/>
      </c>
      <c r="AG183" s="160">
        <f>C182+M183-W183</f>
        <v/>
      </c>
      <c r="AH183" s="160">
        <f>D182+N183-X183</f>
        <v/>
      </c>
      <c r="AI183" s="160">
        <f>E182+O183-Y183</f>
        <v/>
      </c>
      <c r="AJ183" s="160">
        <f>F182+P183-Z183</f>
        <v/>
      </c>
      <c r="AK183" s="160">
        <f>G182+Q183-AA183</f>
        <v/>
      </c>
      <c r="AL183" s="160">
        <f>H182+R183-AB183</f>
        <v/>
      </c>
      <c r="AM183" s="160">
        <f>I182+S183-AC183</f>
        <v/>
      </c>
      <c r="AN183" s="160">
        <f>J182+T183-AD183</f>
        <v/>
      </c>
      <c r="AO183" s="160">
        <f>K182+U183-AE183</f>
        <v/>
      </c>
      <c r="AP183" s="160">
        <f>L182+V183-AF183</f>
        <v/>
      </c>
      <c r="AQ183" s="160">
        <f>W183+MAX(0,MIN(AG183,'Debt Payoff'!$C$12-SUM($W183:$AF183)-SUMIFS($AG183:$AP183,$AG$4:$AP$4,"&lt;"&amp;AG$4)))</f>
        <v/>
      </c>
      <c r="AR183" s="160">
        <f>X183+MAX(0,MIN(AH183,'Debt Payoff'!$C$12-SUM($W183:$AF183)-SUMIFS($AG183:$AP183,$AG$4:$AP$4,"&lt;"&amp;AH$4)))</f>
        <v/>
      </c>
      <c r="AS183" s="160">
        <f>Y183+MAX(0,MIN(AI183,'Debt Payoff'!$C$12-SUM($W183:$AF183)-SUMIFS($AG183:$AP183,$AG$4:$AP$4,"&lt;"&amp;AI$4)))</f>
        <v/>
      </c>
      <c r="AT183" s="160">
        <f>Z183+MAX(0,MIN(AJ183,'Debt Payoff'!$C$12-SUM($W183:$AF183)-SUMIFS($AG183:$AP183,$AG$4:$AP$4,"&lt;"&amp;AJ$4)))</f>
        <v/>
      </c>
      <c r="AU183" s="160">
        <f>AA183+MAX(0,MIN(AK183,'Debt Payoff'!$C$12-SUM($W183:$AF183)-SUMIFS($AG183:$AP183,$AG$4:$AP$4,"&lt;"&amp;AK$4)))</f>
        <v/>
      </c>
      <c r="AV183" s="160">
        <f>AB183+MAX(0,MIN(AL183,'Debt Payoff'!$C$12-SUM($W183:$AF183)-SUMIFS($AG183:$AP183,$AG$4:$AP$4,"&lt;"&amp;AL$4)))</f>
        <v/>
      </c>
      <c r="AW183" s="160">
        <f>AC183+MAX(0,MIN(AM183,'Debt Payoff'!$C$12-SUM($W183:$AF183)-SUMIFS($AG183:$AP183,$AG$4:$AP$4,"&lt;"&amp;AM$4)))</f>
        <v/>
      </c>
      <c r="AX183" s="160">
        <f>AD183+MAX(0,MIN(AN183,'Debt Payoff'!$C$12-SUM($W183:$AF183)-SUMIFS($AG183:$AP183,$AG$4:$AP$4,"&lt;"&amp;AN$4)))</f>
        <v/>
      </c>
      <c r="AY183" s="160">
        <f>AE183+MAX(0,MIN(AO183,'Debt Payoff'!$C$12-SUM($W183:$AF183)-SUMIFS($AG183:$AP183,$AG$4:$AP$4,"&lt;"&amp;AO$4)))</f>
        <v/>
      </c>
      <c r="AZ183" s="160">
        <f>AF183+MAX(0,MIN(AP183,'Debt Payoff'!$C$12-SUM($W183:$AF183)-SUMIFS($AG183:$AP183,$AG$4:$AP$4,"&lt;"&amp;AP$4)))</f>
        <v/>
      </c>
      <c r="BA183" s="160">
        <f>SUM(C183:L183)</f>
        <v/>
      </c>
      <c r="BB183" s="160">
        <f>SUM(AQ183:AZ183)</f>
        <v/>
      </c>
      <c r="BC183" s="160">
        <f>SUM(M183:V183)</f>
        <v/>
      </c>
    </row>
    <row r="184">
      <c r="A184" s="157" t="n">
        <v>179</v>
      </c>
      <c r="B184" s="159">
        <f>EDATE('Debt Payoff'!$C$6,178)</f>
        <v/>
      </c>
      <c r="C184" s="160">
        <f>MAX(0,ROUND(C183+M184-AQ184,2))</f>
        <v/>
      </c>
      <c r="D184" s="160">
        <f>MAX(0,ROUND(D183+N184-AR184,2))</f>
        <v/>
      </c>
      <c r="E184" s="160">
        <f>MAX(0,ROUND(E183+O184-AS184,2))</f>
        <v/>
      </c>
      <c r="F184" s="160">
        <f>MAX(0,ROUND(F183+P184-AT184,2))</f>
        <v/>
      </c>
      <c r="G184" s="160">
        <f>MAX(0,ROUND(G183+Q184-AU184,2))</f>
        <v/>
      </c>
      <c r="H184" s="160">
        <f>MAX(0,ROUND(H183+R184-AV184,2))</f>
        <v/>
      </c>
      <c r="I184" s="160">
        <f>MAX(0,ROUND(I183+S184-AW184,2))</f>
        <v/>
      </c>
      <c r="J184" s="160">
        <f>MAX(0,ROUND(J183+T184-AX184,2))</f>
        <v/>
      </c>
      <c r="K184" s="160">
        <f>MAX(0,ROUND(K183+U184-AY184,2))</f>
        <v/>
      </c>
      <c r="L184" s="160">
        <f>MAX(0,ROUND(L183+V184-AZ184,2))</f>
        <v/>
      </c>
      <c r="M184" s="160">
        <f>C183*N('Debt Payoff'!$D$15)/12</f>
        <v/>
      </c>
      <c r="N184" s="160">
        <f>D183*N('Debt Payoff'!$D$16)/12</f>
        <v/>
      </c>
      <c r="O184" s="160">
        <f>E183*N('Debt Payoff'!$D$17)/12</f>
        <v/>
      </c>
      <c r="P184" s="160">
        <f>F183*N('Debt Payoff'!$D$18)/12</f>
        <v/>
      </c>
      <c r="Q184" s="160">
        <f>G183*N('Debt Payoff'!$D$19)/12</f>
        <v/>
      </c>
      <c r="R184" s="160">
        <f>H183*N('Debt Payoff'!$D$20)/12</f>
        <v/>
      </c>
      <c r="S184" s="160">
        <f>I183*N('Debt Payoff'!$D$21)/12</f>
        <v/>
      </c>
      <c r="T184" s="160">
        <f>J183*N('Debt Payoff'!$D$22)/12</f>
        <v/>
      </c>
      <c r="U184" s="160">
        <f>K183*N('Debt Payoff'!$D$23)/12</f>
        <v/>
      </c>
      <c r="V184" s="160">
        <f>L183*N('Debt Payoff'!$D$24)/12</f>
        <v/>
      </c>
      <c r="W184" s="160">
        <f>MIN(N('Debt Payoff'!$E$15),C183+M184)</f>
        <v/>
      </c>
      <c r="X184" s="160">
        <f>MIN(N('Debt Payoff'!$E$16),D183+N184)</f>
        <v/>
      </c>
      <c r="Y184" s="160">
        <f>MIN(N('Debt Payoff'!$E$17),E183+O184)</f>
        <v/>
      </c>
      <c r="Z184" s="160">
        <f>MIN(N('Debt Payoff'!$E$18),F183+P184)</f>
        <v/>
      </c>
      <c r="AA184" s="160">
        <f>MIN(N('Debt Payoff'!$E$19),G183+Q184)</f>
        <v/>
      </c>
      <c r="AB184" s="160">
        <f>MIN(N('Debt Payoff'!$E$20),H183+R184)</f>
        <v/>
      </c>
      <c r="AC184" s="160">
        <f>MIN(N('Debt Payoff'!$E$21),I183+S184)</f>
        <v/>
      </c>
      <c r="AD184" s="160">
        <f>MIN(N('Debt Payoff'!$E$22),J183+T184)</f>
        <v/>
      </c>
      <c r="AE184" s="160">
        <f>MIN(N('Debt Payoff'!$E$23),K183+U184)</f>
        <v/>
      </c>
      <c r="AF184" s="160">
        <f>MIN(N('Debt Payoff'!$E$24),L183+V184)</f>
        <v/>
      </c>
      <c r="AG184" s="160">
        <f>C183+M184-W184</f>
        <v/>
      </c>
      <c r="AH184" s="160">
        <f>D183+N184-X184</f>
        <v/>
      </c>
      <c r="AI184" s="160">
        <f>E183+O184-Y184</f>
        <v/>
      </c>
      <c r="AJ184" s="160">
        <f>F183+P184-Z184</f>
        <v/>
      </c>
      <c r="AK184" s="160">
        <f>G183+Q184-AA184</f>
        <v/>
      </c>
      <c r="AL184" s="160">
        <f>H183+R184-AB184</f>
        <v/>
      </c>
      <c r="AM184" s="160">
        <f>I183+S184-AC184</f>
        <v/>
      </c>
      <c r="AN184" s="160">
        <f>J183+T184-AD184</f>
        <v/>
      </c>
      <c r="AO184" s="160">
        <f>K183+U184-AE184</f>
        <v/>
      </c>
      <c r="AP184" s="160">
        <f>L183+V184-AF184</f>
        <v/>
      </c>
      <c r="AQ184" s="160">
        <f>W184+MAX(0,MIN(AG184,'Debt Payoff'!$C$12-SUM($W184:$AF184)-SUMIFS($AG184:$AP184,$AG$4:$AP$4,"&lt;"&amp;AG$4)))</f>
        <v/>
      </c>
      <c r="AR184" s="160">
        <f>X184+MAX(0,MIN(AH184,'Debt Payoff'!$C$12-SUM($W184:$AF184)-SUMIFS($AG184:$AP184,$AG$4:$AP$4,"&lt;"&amp;AH$4)))</f>
        <v/>
      </c>
      <c r="AS184" s="160">
        <f>Y184+MAX(0,MIN(AI184,'Debt Payoff'!$C$12-SUM($W184:$AF184)-SUMIFS($AG184:$AP184,$AG$4:$AP$4,"&lt;"&amp;AI$4)))</f>
        <v/>
      </c>
      <c r="AT184" s="160">
        <f>Z184+MAX(0,MIN(AJ184,'Debt Payoff'!$C$12-SUM($W184:$AF184)-SUMIFS($AG184:$AP184,$AG$4:$AP$4,"&lt;"&amp;AJ$4)))</f>
        <v/>
      </c>
      <c r="AU184" s="160">
        <f>AA184+MAX(0,MIN(AK184,'Debt Payoff'!$C$12-SUM($W184:$AF184)-SUMIFS($AG184:$AP184,$AG$4:$AP$4,"&lt;"&amp;AK$4)))</f>
        <v/>
      </c>
      <c r="AV184" s="160">
        <f>AB184+MAX(0,MIN(AL184,'Debt Payoff'!$C$12-SUM($W184:$AF184)-SUMIFS($AG184:$AP184,$AG$4:$AP$4,"&lt;"&amp;AL$4)))</f>
        <v/>
      </c>
      <c r="AW184" s="160">
        <f>AC184+MAX(0,MIN(AM184,'Debt Payoff'!$C$12-SUM($W184:$AF184)-SUMIFS($AG184:$AP184,$AG$4:$AP$4,"&lt;"&amp;AM$4)))</f>
        <v/>
      </c>
      <c r="AX184" s="160">
        <f>AD184+MAX(0,MIN(AN184,'Debt Payoff'!$C$12-SUM($W184:$AF184)-SUMIFS($AG184:$AP184,$AG$4:$AP$4,"&lt;"&amp;AN$4)))</f>
        <v/>
      </c>
      <c r="AY184" s="160">
        <f>AE184+MAX(0,MIN(AO184,'Debt Payoff'!$C$12-SUM($W184:$AF184)-SUMIFS($AG184:$AP184,$AG$4:$AP$4,"&lt;"&amp;AO$4)))</f>
        <v/>
      </c>
      <c r="AZ184" s="160">
        <f>AF184+MAX(0,MIN(AP184,'Debt Payoff'!$C$12-SUM($W184:$AF184)-SUMIFS($AG184:$AP184,$AG$4:$AP$4,"&lt;"&amp;AP$4)))</f>
        <v/>
      </c>
      <c r="BA184" s="160">
        <f>SUM(C184:L184)</f>
        <v/>
      </c>
      <c r="BB184" s="160">
        <f>SUM(AQ184:AZ184)</f>
        <v/>
      </c>
      <c r="BC184" s="160">
        <f>SUM(M184:V184)</f>
        <v/>
      </c>
    </row>
    <row r="185">
      <c r="A185" s="157" t="n">
        <v>180</v>
      </c>
      <c r="B185" s="159">
        <f>EDATE('Debt Payoff'!$C$6,179)</f>
        <v/>
      </c>
      <c r="C185" s="160">
        <f>MAX(0,ROUND(C184+M185-AQ185,2))</f>
        <v/>
      </c>
      <c r="D185" s="160">
        <f>MAX(0,ROUND(D184+N185-AR185,2))</f>
        <v/>
      </c>
      <c r="E185" s="160">
        <f>MAX(0,ROUND(E184+O185-AS185,2))</f>
        <v/>
      </c>
      <c r="F185" s="160">
        <f>MAX(0,ROUND(F184+P185-AT185,2))</f>
        <v/>
      </c>
      <c r="G185" s="160">
        <f>MAX(0,ROUND(G184+Q185-AU185,2))</f>
        <v/>
      </c>
      <c r="H185" s="160">
        <f>MAX(0,ROUND(H184+R185-AV185,2))</f>
        <v/>
      </c>
      <c r="I185" s="160">
        <f>MAX(0,ROUND(I184+S185-AW185,2))</f>
        <v/>
      </c>
      <c r="J185" s="160">
        <f>MAX(0,ROUND(J184+T185-AX185,2))</f>
        <v/>
      </c>
      <c r="K185" s="160">
        <f>MAX(0,ROUND(K184+U185-AY185,2))</f>
        <v/>
      </c>
      <c r="L185" s="160">
        <f>MAX(0,ROUND(L184+V185-AZ185,2))</f>
        <v/>
      </c>
      <c r="M185" s="160">
        <f>C184*N('Debt Payoff'!$D$15)/12</f>
        <v/>
      </c>
      <c r="N185" s="160">
        <f>D184*N('Debt Payoff'!$D$16)/12</f>
        <v/>
      </c>
      <c r="O185" s="160">
        <f>E184*N('Debt Payoff'!$D$17)/12</f>
        <v/>
      </c>
      <c r="P185" s="160">
        <f>F184*N('Debt Payoff'!$D$18)/12</f>
        <v/>
      </c>
      <c r="Q185" s="160">
        <f>G184*N('Debt Payoff'!$D$19)/12</f>
        <v/>
      </c>
      <c r="R185" s="160">
        <f>H184*N('Debt Payoff'!$D$20)/12</f>
        <v/>
      </c>
      <c r="S185" s="160">
        <f>I184*N('Debt Payoff'!$D$21)/12</f>
        <v/>
      </c>
      <c r="T185" s="160">
        <f>J184*N('Debt Payoff'!$D$22)/12</f>
        <v/>
      </c>
      <c r="U185" s="160">
        <f>K184*N('Debt Payoff'!$D$23)/12</f>
        <v/>
      </c>
      <c r="V185" s="160">
        <f>L184*N('Debt Payoff'!$D$24)/12</f>
        <v/>
      </c>
      <c r="W185" s="160">
        <f>MIN(N('Debt Payoff'!$E$15),C184+M185)</f>
        <v/>
      </c>
      <c r="X185" s="160">
        <f>MIN(N('Debt Payoff'!$E$16),D184+N185)</f>
        <v/>
      </c>
      <c r="Y185" s="160">
        <f>MIN(N('Debt Payoff'!$E$17),E184+O185)</f>
        <v/>
      </c>
      <c r="Z185" s="160">
        <f>MIN(N('Debt Payoff'!$E$18),F184+P185)</f>
        <v/>
      </c>
      <c r="AA185" s="160">
        <f>MIN(N('Debt Payoff'!$E$19),G184+Q185)</f>
        <v/>
      </c>
      <c r="AB185" s="160">
        <f>MIN(N('Debt Payoff'!$E$20),H184+R185)</f>
        <v/>
      </c>
      <c r="AC185" s="160">
        <f>MIN(N('Debt Payoff'!$E$21),I184+S185)</f>
        <v/>
      </c>
      <c r="AD185" s="160">
        <f>MIN(N('Debt Payoff'!$E$22),J184+T185)</f>
        <v/>
      </c>
      <c r="AE185" s="160">
        <f>MIN(N('Debt Payoff'!$E$23),K184+U185)</f>
        <v/>
      </c>
      <c r="AF185" s="160">
        <f>MIN(N('Debt Payoff'!$E$24),L184+V185)</f>
        <v/>
      </c>
      <c r="AG185" s="160">
        <f>C184+M185-W185</f>
        <v/>
      </c>
      <c r="AH185" s="160">
        <f>D184+N185-X185</f>
        <v/>
      </c>
      <c r="AI185" s="160">
        <f>E184+O185-Y185</f>
        <v/>
      </c>
      <c r="AJ185" s="160">
        <f>F184+P185-Z185</f>
        <v/>
      </c>
      <c r="AK185" s="160">
        <f>G184+Q185-AA185</f>
        <v/>
      </c>
      <c r="AL185" s="160">
        <f>H184+R185-AB185</f>
        <v/>
      </c>
      <c r="AM185" s="160">
        <f>I184+S185-AC185</f>
        <v/>
      </c>
      <c r="AN185" s="160">
        <f>J184+T185-AD185</f>
        <v/>
      </c>
      <c r="AO185" s="160">
        <f>K184+U185-AE185</f>
        <v/>
      </c>
      <c r="AP185" s="160">
        <f>L184+V185-AF185</f>
        <v/>
      </c>
      <c r="AQ185" s="160">
        <f>W185+MAX(0,MIN(AG185,'Debt Payoff'!$C$12-SUM($W185:$AF185)-SUMIFS($AG185:$AP185,$AG$4:$AP$4,"&lt;"&amp;AG$4)))</f>
        <v/>
      </c>
      <c r="AR185" s="160">
        <f>X185+MAX(0,MIN(AH185,'Debt Payoff'!$C$12-SUM($W185:$AF185)-SUMIFS($AG185:$AP185,$AG$4:$AP$4,"&lt;"&amp;AH$4)))</f>
        <v/>
      </c>
      <c r="AS185" s="160">
        <f>Y185+MAX(0,MIN(AI185,'Debt Payoff'!$C$12-SUM($W185:$AF185)-SUMIFS($AG185:$AP185,$AG$4:$AP$4,"&lt;"&amp;AI$4)))</f>
        <v/>
      </c>
      <c r="AT185" s="160">
        <f>Z185+MAX(0,MIN(AJ185,'Debt Payoff'!$C$12-SUM($W185:$AF185)-SUMIFS($AG185:$AP185,$AG$4:$AP$4,"&lt;"&amp;AJ$4)))</f>
        <v/>
      </c>
      <c r="AU185" s="160">
        <f>AA185+MAX(0,MIN(AK185,'Debt Payoff'!$C$12-SUM($W185:$AF185)-SUMIFS($AG185:$AP185,$AG$4:$AP$4,"&lt;"&amp;AK$4)))</f>
        <v/>
      </c>
      <c r="AV185" s="160">
        <f>AB185+MAX(0,MIN(AL185,'Debt Payoff'!$C$12-SUM($W185:$AF185)-SUMIFS($AG185:$AP185,$AG$4:$AP$4,"&lt;"&amp;AL$4)))</f>
        <v/>
      </c>
      <c r="AW185" s="160">
        <f>AC185+MAX(0,MIN(AM185,'Debt Payoff'!$C$12-SUM($W185:$AF185)-SUMIFS($AG185:$AP185,$AG$4:$AP$4,"&lt;"&amp;AM$4)))</f>
        <v/>
      </c>
      <c r="AX185" s="160">
        <f>AD185+MAX(0,MIN(AN185,'Debt Payoff'!$C$12-SUM($W185:$AF185)-SUMIFS($AG185:$AP185,$AG$4:$AP$4,"&lt;"&amp;AN$4)))</f>
        <v/>
      </c>
      <c r="AY185" s="160">
        <f>AE185+MAX(0,MIN(AO185,'Debt Payoff'!$C$12-SUM($W185:$AF185)-SUMIFS($AG185:$AP185,$AG$4:$AP$4,"&lt;"&amp;AO$4)))</f>
        <v/>
      </c>
      <c r="AZ185" s="160">
        <f>AF185+MAX(0,MIN(AP185,'Debt Payoff'!$C$12-SUM($W185:$AF185)-SUMIFS($AG185:$AP185,$AG$4:$AP$4,"&lt;"&amp;AP$4)))</f>
        <v/>
      </c>
      <c r="BA185" s="160">
        <f>SUM(C185:L185)</f>
        <v/>
      </c>
      <c r="BB185" s="160">
        <f>SUM(AQ185:AZ185)</f>
        <v/>
      </c>
      <c r="BC185" s="160">
        <f>SUM(M185:V185)</f>
        <v/>
      </c>
    </row>
    <row r="186">
      <c r="A186" s="157" t="n">
        <v>181</v>
      </c>
      <c r="B186" s="159">
        <f>EDATE('Debt Payoff'!$C$6,180)</f>
        <v/>
      </c>
      <c r="C186" s="160">
        <f>MAX(0,ROUND(C185+M186-AQ186,2))</f>
        <v/>
      </c>
      <c r="D186" s="160">
        <f>MAX(0,ROUND(D185+N186-AR186,2))</f>
        <v/>
      </c>
      <c r="E186" s="160">
        <f>MAX(0,ROUND(E185+O186-AS186,2))</f>
        <v/>
      </c>
      <c r="F186" s="160">
        <f>MAX(0,ROUND(F185+P186-AT186,2))</f>
        <v/>
      </c>
      <c r="G186" s="160">
        <f>MAX(0,ROUND(G185+Q186-AU186,2))</f>
        <v/>
      </c>
      <c r="H186" s="160">
        <f>MAX(0,ROUND(H185+R186-AV186,2))</f>
        <v/>
      </c>
      <c r="I186" s="160">
        <f>MAX(0,ROUND(I185+S186-AW186,2))</f>
        <v/>
      </c>
      <c r="J186" s="160">
        <f>MAX(0,ROUND(J185+T186-AX186,2))</f>
        <v/>
      </c>
      <c r="K186" s="160">
        <f>MAX(0,ROUND(K185+U186-AY186,2))</f>
        <v/>
      </c>
      <c r="L186" s="160">
        <f>MAX(0,ROUND(L185+V186-AZ186,2))</f>
        <v/>
      </c>
      <c r="M186" s="160">
        <f>C185*N('Debt Payoff'!$D$15)/12</f>
        <v/>
      </c>
      <c r="N186" s="160">
        <f>D185*N('Debt Payoff'!$D$16)/12</f>
        <v/>
      </c>
      <c r="O186" s="160">
        <f>E185*N('Debt Payoff'!$D$17)/12</f>
        <v/>
      </c>
      <c r="P186" s="160">
        <f>F185*N('Debt Payoff'!$D$18)/12</f>
        <v/>
      </c>
      <c r="Q186" s="160">
        <f>G185*N('Debt Payoff'!$D$19)/12</f>
        <v/>
      </c>
      <c r="R186" s="160">
        <f>H185*N('Debt Payoff'!$D$20)/12</f>
        <v/>
      </c>
      <c r="S186" s="160">
        <f>I185*N('Debt Payoff'!$D$21)/12</f>
        <v/>
      </c>
      <c r="T186" s="160">
        <f>J185*N('Debt Payoff'!$D$22)/12</f>
        <v/>
      </c>
      <c r="U186" s="160">
        <f>K185*N('Debt Payoff'!$D$23)/12</f>
        <v/>
      </c>
      <c r="V186" s="160">
        <f>L185*N('Debt Payoff'!$D$24)/12</f>
        <v/>
      </c>
      <c r="W186" s="160">
        <f>MIN(N('Debt Payoff'!$E$15),C185+M186)</f>
        <v/>
      </c>
      <c r="X186" s="160">
        <f>MIN(N('Debt Payoff'!$E$16),D185+N186)</f>
        <v/>
      </c>
      <c r="Y186" s="160">
        <f>MIN(N('Debt Payoff'!$E$17),E185+O186)</f>
        <v/>
      </c>
      <c r="Z186" s="160">
        <f>MIN(N('Debt Payoff'!$E$18),F185+P186)</f>
        <v/>
      </c>
      <c r="AA186" s="160">
        <f>MIN(N('Debt Payoff'!$E$19),G185+Q186)</f>
        <v/>
      </c>
      <c r="AB186" s="160">
        <f>MIN(N('Debt Payoff'!$E$20),H185+R186)</f>
        <v/>
      </c>
      <c r="AC186" s="160">
        <f>MIN(N('Debt Payoff'!$E$21),I185+S186)</f>
        <v/>
      </c>
      <c r="AD186" s="160">
        <f>MIN(N('Debt Payoff'!$E$22),J185+T186)</f>
        <v/>
      </c>
      <c r="AE186" s="160">
        <f>MIN(N('Debt Payoff'!$E$23),K185+U186)</f>
        <v/>
      </c>
      <c r="AF186" s="160">
        <f>MIN(N('Debt Payoff'!$E$24),L185+V186)</f>
        <v/>
      </c>
      <c r="AG186" s="160">
        <f>C185+M186-W186</f>
        <v/>
      </c>
      <c r="AH186" s="160">
        <f>D185+N186-X186</f>
        <v/>
      </c>
      <c r="AI186" s="160">
        <f>E185+O186-Y186</f>
        <v/>
      </c>
      <c r="AJ186" s="160">
        <f>F185+P186-Z186</f>
        <v/>
      </c>
      <c r="AK186" s="160">
        <f>G185+Q186-AA186</f>
        <v/>
      </c>
      <c r="AL186" s="160">
        <f>H185+R186-AB186</f>
        <v/>
      </c>
      <c r="AM186" s="160">
        <f>I185+S186-AC186</f>
        <v/>
      </c>
      <c r="AN186" s="160">
        <f>J185+T186-AD186</f>
        <v/>
      </c>
      <c r="AO186" s="160">
        <f>K185+U186-AE186</f>
        <v/>
      </c>
      <c r="AP186" s="160">
        <f>L185+V186-AF186</f>
        <v/>
      </c>
      <c r="AQ186" s="160">
        <f>W186+MAX(0,MIN(AG186,'Debt Payoff'!$C$12-SUM($W186:$AF186)-SUMIFS($AG186:$AP186,$AG$4:$AP$4,"&lt;"&amp;AG$4)))</f>
        <v/>
      </c>
      <c r="AR186" s="160">
        <f>X186+MAX(0,MIN(AH186,'Debt Payoff'!$C$12-SUM($W186:$AF186)-SUMIFS($AG186:$AP186,$AG$4:$AP$4,"&lt;"&amp;AH$4)))</f>
        <v/>
      </c>
      <c r="AS186" s="160">
        <f>Y186+MAX(0,MIN(AI186,'Debt Payoff'!$C$12-SUM($W186:$AF186)-SUMIFS($AG186:$AP186,$AG$4:$AP$4,"&lt;"&amp;AI$4)))</f>
        <v/>
      </c>
      <c r="AT186" s="160">
        <f>Z186+MAX(0,MIN(AJ186,'Debt Payoff'!$C$12-SUM($W186:$AF186)-SUMIFS($AG186:$AP186,$AG$4:$AP$4,"&lt;"&amp;AJ$4)))</f>
        <v/>
      </c>
      <c r="AU186" s="160">
        <f>AA186+MAX(0,MIN(AK186,'Debt Payoff'!$C$12-SUM($W186:$AF186)-SUMIFS($AG186:$AP186,$AG$4:$AP$4,"&lt;"&amp;AK$4)))</f>
        <v/>
      </c>
      <c r="AV186" s="160">
        <f>AB186+MAX(0,MIN(AL186,'Debt Payoff'!$C$12-SUM($W186:$AF186)-SUMIFS($AG186:$AP186,$AG$4:$AP$4,"&lt;"&amp;AL$4)))</f>
        <v/>
      </c>
      <c r="AW186" s="160">
        <f>AC186+MAX(0,MIN(AM186,'Debt Payoff'!$C$12-SUM($W186:$AF186)-SUMIFS($AG186:$AP186,$AG$4:$AP$4,"&lt;"&amp;AM$4)))</f>
        <v/>
      </c>
      <c r="AX186" s="160">
        <f>AD186+MAX(0,MIN(AN186,'Debt Payoff'!$C$12-SUM($W186:$AF186)-SUMIFS($AG186:$AP186,$AG$4:$AP$4,"&lt;"&amp;AN$4)))</f>
        <v/>
      </c>
      <c r="AY186" s="160">
        <f>AE186+MAX(0,MIN(AO186,'Debt Payoff'!$C$12-SUM($W186:$AF186)-SUMIFS($AG186:$AP186,$AG$4:$AP$4,"&lt;"&amp;AO$4)))</f>
        <v/>
      </c>
      <c r="AZ186" s="160">
        <f>AF186+MAX(0,MIN(AP186,'Debt Payoff'!$C$12-SUM($W186:$AF186)-SUMIFS($AG186:$AP186,$AG$4:$AP$4,"&lt;"&amp;AP$4)))</f>
        <v/>
      </c>
      <c r="BA186" s="160">
        <f>SUM(C186:L186)</f>
        <v/>
      </c>
      <c r="BB186" s="160">
        <f>SUM(AQ186:AZ186)</f>
        <v/>
      </c>
      <c r="BC186" s="160">
        <f>SUM(M186:V186)</f>
        <v/>
      </c>
    </row>
    <row r="187">
      <c r="A187" s="157" t="n">
        <v>182</v>
      </c>
      <c r="B187" s="159">
        <f>EDATE('Debt Payoff'!$C$6,181)</f>
        <v/>
      </c>
      <c r="C187" s="160">
        <f>MAX(0,ROUND(C186+M187-AQ187,2))</f>
        <v/>
      </c>
      <c r="D187" s="160">
        <f>MAX(0,ROUND(D186+N187-AR187,2))</f>
        <v/>
      </c>
      <c r="E187" s="160">
        <f>MAX(0,ROUND(E186+O187-AS187,2))</f>
        <v/>
      </c>
      <c r="F187" s="160">
        <f>MAX(0,ROUND(F186+P187-AT187,2))</f>
        <v/>
      </c>
      <c r="G187" s="160">
        <f>MAX(0,ROUND(G186+Q187-AU187,2))</f>
        <v/>
      </c>
      <c r="H187" s="160">
        <f>MAX(0,ROUND(H186+R187-AV187,2))</f>
        <v/>
      </c>
      <c r="I187" s="160">
        <f>MAX(0,ROUND(I186+S187-AW187,2))</f>
        <v/>
      </c>
      <c r="J187" s="160">
        <f>MAX(0,ROUND(J186+T187-AX187,2))</f>
        <v/>
      </c>
      <c r="K187" s="160">
        <f>MAX(0,ROUND(K186+U187-AY187,2))</f>
        <v/>
      </c>
      <c r="L187" s="160">
        <f>MAX(0,ROUND(L186+V187-AZ187,2))</f>
        <v/>
      </c>
      <c r="M187" s="160">
        <f>C186*N('Debt Payoff'!$D$15)/12</f>
        <v/>
      </c>
      <c r="N187" s="160">
        <f>D186*N('Debt Payoff'!$D$16)/12</f>
        <v/>
      </c>
      <c r="O187" s="160">
        <f>E186*N('Debt Payoff'!$D$17)/12</f>
        <v/>
      </c>
      <c r="P187" s="160">
        <f>F186*N('Debt Payoff'!$D$18)/12</f>
        <v/>
      </c>
      <c r="Q187" s="160">
        <f>G186*N('Debt Payoff'!$D$19)/12</f>
        <v/>
      </c>
      <c r="R187" s="160">
        <f>H186*N('Debt Payoff'!$D$20)/12</f>
        <v/>
      </c>
      <c r="S187" s="160">
        <f>I186*N('Debt Payoff'!$D$21)/12</f>
        <v/>
      </c>
      <c r="T187" s="160">
        <f>J186*N('Debt Payoff'!$D$22)/12</f>
        <v/>
      </c>
      <c r="U187" s="160">
        <f>K186*N('Debt Payoff'!$D$23)/12</f>
        <v/>
      </c>
      <c r="V187" s="160">
        <f>L186*N('Debt Payoff'!$D$24)/12</f>
        <v/>
      </c>
      <c r="W187" s="160">
        <f>MIN(N('Debt Payoff'!$E$15),C186+M187)</f>
        <v/>
      </c>
      <c r="X187" s="160">
        <f>MIN(N('Debt Payoff'!$E$16),D186+N187)</f>
        <v/>
      </c>
      <c r="Y187" s="160">
        <f>MIN(N('Debt Payoff'!$E$17),E186+O187)</f>
        <v/>
      </c>
      <c r="Z187" s="160">
        <f>MIN(N('Debt Payoff'!$E$18),F186+P187)</f>
        <v/>
      </c>
      <c r="AA187" s="160">
        <f>MIN(N('Debt Payoff'!$E$19),G186+Q187)</f>
        <v/>
      </c>
      <c r="AB187" s="160">
        <f>MIN(N('Debt Payoff'!$E$20),H186+R187)</f>
        <v/>
      </c>
      <c r="AC187" s="160">
        <f>MIN(N('Debt Payoff'!$E$21),I186+S187)</f>
        <v/>
      </c>
      <c r="AD187" s="160">
        <f>MIN(N('Debt Payoff'!$E$22),J186+T187)</f>
        <v/>
      </c>
      <c r="AE187" s="160">
        <f>MIN(N('Debt Payoff'!$E$23),K186+U187)</f>
        <v/>
      </c>
      <c r="AF187" s="160">
        <f>MIN(N('Debt Payoff'!$E$24),L186+V187)</f>
        <v/>
      </c>
      <c r="AG187" s="160">
        <f>C186+M187-W187</f>
        <v/>
      </c>
      <c r="AH187" s="160">
        <f>D186+N187-X187</f>
        <v/>
      </c>
      <c r="AI187" s="160">
        <f>E186+O187-Y187</f>
        <v/>
      </c>
      <c r="AJ187" s="160">
        <f>F186+P187-Z187</f>
        <v/>
      </c>
      <c r="AK187" s="160">
        <f>G186+Q187-AA187</f>
        <v/>
      </c>
      <c r="AL187" s="160">
        <f>H186+R187-AB187</f>
        <v/>
      </c>
      <c r="AM187" s="160">
        <f>I186+S187-AC187</f>
        <v/>
      </c>
      <c r="AN187" s="160">
        <f>J186+T187-AD187</f>
        <v/>
      </c>
      <c r="AO187" s="160">
        <f>K186+U187-AE187</f>
        <v/>
      </c>
      <c r="AP187" s="160">
        <f>L186+V187-AF187</f>
        <v/>
      </c>
      <c r="AQ187" s="160">
        <f>W187+MAX(0,MIN(AG187,'Debt Payoff'!$C$12-SUM($W187:$AF187)-SUMIFS($AG187:$AP187,$AG$4:$AP$4,"&lt;"&amp;AG$4)))</f>
        <v/>
      </c>
      <c r="AR187" s="160">
        <f>X187+MAX(0,MIN(AH187,'Debt Payoff'!$C$12-SUM($W187:$AF187)-SUMIFS($AG187:$AP187,$AG$4:$AP$4,"&lt;"&amp;AH$4)))</f>
        <v/>
      </c>
      <c r="AS187" s="160">
        <f>Y187+MAX(0,MIN(AI187,'Debt Payoff'!$C$12-SUM($W187:$AF187)-SUMIFS($AG187:$AP187,$AG$4:$AP$4,"&lt;"&amp;AI$4)))</f>
        <v/>
      </c>
      <c r="AT187" s="160">
        <f>Z187+MAX(0,MIN(AJ187,'Debt Payoff'!$C$12-SUM($W187:$AF187)-SUMIFS($AG187:$AP187,$AG$4:$AP$4,"&lt;"&amp;AJ$4)))</f>
        <v/>
      </c>
      <c r="AU187" s="160">
        <f>AA187+MAX(0,MIN(AK187,'Debt Payoff'!$C$12-SUM($W187:$AF187)-SUMIFS($AG187:$AP187,$AG$4:$AP$4,"&lt;"&amp;AK$4)))</f>
        <v/>
      </c>
      <c r="AV187" s="160">
        <f>AB187+MAX(0,MIN(AL187,'Debt Payoff'!$C$12-SUM($W187:$AF187)-SUMIFS($AG187:$AP187,$AG$4:$AP$4,"&lt;"&amp;AL$4)))</f>
        <v/>
      </c>
      <c r="AW187" s="160">
        <f>AC187+MAX(0,MIN(AM187,'Debt Payoff'!$C$12-SUM($W187:$AF187)-SUMIFS($AG187:$AP187,$AG$4:$AP$4,"&lt;"&amp;AM$4)))</f>
        <v/>
      </c>
      <c r="AX187" s="160">
        <f>AD187+MAX(0,MIN(AN187,'Debt Payoff'!$C$12-SUM($W187:$AF187)-SUMIFS($AG187:$AP187,$AG$4:$AP$4,"&lt;"&amp;AN$4)))</f>
        <v/>
      </c>
      <c r="AY187" s="160">
        <f>AE187+MAX(0,MIN(AO187,'Debt Payoff'!$C$12-SUM($W187:$AF187)-SUMIFS($AG187:$AP187,$AG$4:$AP$4,"&lt;"&amp;AO$4)))</f>
        <v/>
      </c>
      <c r="AZ187" s="160">
        <f>AF187+MAX(0,MIN(AP187,'Debt Payoff'!$C$12-SUM($W187:$AF187)-SUMIFS($AG187:$AP187,$AG$4:$AP$4,"&lt;"&amp;AP$4)))</f>
        <v/>
      </c>
      <c r="BA187" s="160">
        <f>SUM(C187:L187)</f>
        <v/>
      </c>
      <c r="BB187" s="160">
        <f>SUM(AQ187:AZ187)</f>
        <v/>
      </c>
      <c r="BC187" s="160">
        <f>SUM(M187:V187)</f>
        <v/>
      </c>
    </row>
    <row r="188">
      <c r="A188" s="157" t="n">
        <v>183</v>
      </c>
      <c r="B188" s="159">
        <f>EDATE('Debt Payoff'!$C$6,182)</f>
        <v/>
      </c>
      <c r="C188" s="160">
        <f>MAX(0,ROUND(C187+M188-AQ188,2))</f>
        <v/>
      </c>
      <c r="D188" s="160">
        <f>MAX(0,ROUND(D187+N188-AR188,2))</f>
        <v/>
      </c>
      <c r="E188" s="160">
        <f>MAX(0,ROUND(E187+O188-AS188,2))</f>
        <v/>
      </c>
      <c r="F188" s="160">
        <f>MAX(0,ROUND(F187+P188-AT188,2))</f>
        <v/>
      </c>
      <c r="G188" s="160">
        <f>MAX(0,ROUND(G187+Q188-AU188,2))</f>
        <v/>
      </c>
      <c r="H188" s="160">
        <f>MAX(0,ROUND(H187+R188-AV188,2))</f>
        <v/>
      </c>
      <c r="I188" s="160">
        <f>MAX(0,ROUND(I187+S188-AW188,2))</f>
        <v/>
      </c>
      <c r="J188" s="160">
        <f>MAX(0,ROUND(J187+T188-AX188,2))</f>
        <v/>
      </c>
      <c r="K188" s="160">
        <f>MAX(0,ROUND(K187+U188-AY188,2))</f>
        <v/>
      </c>
      <c r="L188" s="160">
        <f>MAX(0,ROUND(L187+V188-AZ188,2))</f>
        <v/>
      </c>
      <c r="M188" s="160">
        <f>C187*N('Debt Payoff'!$D$15)/12</f>
        <v/>
      </c>
      <c r="N188" s="160">
        <f>D187*N('Debt Payoff'!$D$16)/12</f>
        <v/>
      </c>
      <c r="O188" s="160">
        <f>E187*N('Debt Payoff'!$D$17)/12</f>
        <v/>
      </c>
      <c r="P188" s="160">
        <f>F187*N('Debt Payoff'!$D$18)/12</f>
        <v/>
      </c>
      <c r="Q188" s="160">
        <f>G187*N('Debt Payoff'!$D$19)/12</f>
        <v/>
      </c>
      <c r="R188" s="160">
        <f>H187*N('Debt Payoff'!$D$20)/12</f>
        <v/>
      </c>
      <c r="S188" s="160">
        <f>I187*N('Debt Payoff'!$D$21)/12</f>
        <v/>
      </c>
      <c r="T188" s="160">
        <f>J187*N('Debt Payoff'!$D$22)/12</f>
        <v/>
      </c>
      <c r="U188" s="160">
        <f>K187*N('Debt Payoff'!$D$23)/12</f>
        <v/>
      </c>
      <c r="V188" s="160">
        <f>L187*N('Debt Payoff'!$D$24)/12</f>
        <v/>
      </c>
      <c r="W188" s="160">
        <f>MIN(N('Debt Payoff'!$E$15),C187+M188)</f>
        <v/>
      </c>
      <c r="X188" s="160">
        <f>MIN(N('Debt Payoff'!$E$16),D187+N188)</f>
        <v/>
      </c>
      <c r="Y188" s="160">
        <f>MIN(N('Debt Payoff'!$E$17),E187+O188)</f>
        <v/>
      </c>
      <c r="Z188" s="160">
        <f>MIN(N('Debt Payoff'!$E$18),F187+P188)</f>
        <v/>
      </c>
      <c r="AA188" s="160">
        <f>MIN(N('Debt Payoff'!$E$19),G187+Q188)</f>
        <v/>
      </c>
      <c r="AB188" s="160">
        <f>MIN(N('Debt Payoff'!$E$20),H187+R188)</f>
        <v/>
      </c>
      <c r="AC188" s="160">
        <f>MIN(N('Debt Payoff'!$E$21),I187+S188)</f>
        <v/>
      </c>
      <c r="AD188" s="160">
        <f>MIN(N('Debt Payoff'!$E$22),J187+T188)</f>
        <v/>
      </c>
      <c r="AE188" s="160">
        <f>MIN(N('Debt Payoff'!$E$23),K187+U188)</f>
        <v/>
      </c>
      <c r="AF188" s="160">
        <f>MIN(N('Debt Payoff'!$E$24),L187+V188)</f>
        <v/>
      </c>
      <c r="AG188" s="160">
        <f>C187+M188-W188</f>
        <v/>
      </c>
      <c r="AH188" s="160">
        <f>D187+N188-X188</f>
        <v/>
      </c>
      <c r="AI188" s="160">
        <f>E187+O188-Y188</f>
        <v/>
      </c>
      <c r="AJ188" s="160">
        <f>F187+P188-Z188</f>
        <v/>
      </c>
      <c r="AK188" s="160">
        <f>G187+Q188-AA188</f>
        <v/>
      </c>
      <c r="AL188" s="160">
        <f>H187+R188-AB188</f>
        <v/>
      </c>
      <c r="AM188" s="160">
        <f>I187+S188-AC188</f>
        <v/>
      </c>
      <c r="AN188" s="160">
        <f>J187+T188-AD188</f>
        <v/>
      </c>
      <c r="AO188" s="160">
        <f>K187+U188-AE188</f>
        <v/>
      </c>
      <c r="AP188" s="160">
        <f>L187+V188-AF188</f>
        <v/>
      </c>
      <c r="AQ188" s="160">
        <f>W188+MAX(0,MIN(AG188,'Debt Payoff'!$C$12-SUM($W188:$AF188)-SUMIFS($AG188:$AP188,$AG$4:$AP$4,"&lt;"&amp;AG$4)))</f>
        <v/>
      </c>
      <c r="AR188" s="160">
        <f>X188+MAX(0,MIN(AH188,'Debt Payoff'!$C$12-SUM($W188:$AF188)-SUMIFS($AG188:$AP188,$AG$4:$AP$4,"&lt;"&amp;AH$4)))</f>
        <v/>
      </c>
      <c r="AS188" s="160">
        <f>Y188+MAX(0,MIN(AI188,'Debt Payoff'!$C$12-SUM($W188:$AF188)-SUMIFS($AG188:$AP188,$AG$4:$AP$4,"&lt;"&amp;AI$4)))</f>
        <v/>
      </c>
      <c r="AT188" s="160">
        <f>Z188+MAX(0,MIN(AJ188,'Debt Payoff'!$C$12-SUM($W188:$AF188)-SUMIFS($AG188:$AP188,$AG$4:$AP$4,"&lt;"&amp;AJ$4)))</f>
        <v/>
      </c>
      <c r="AU188" s="160">
        <f>AA188+MAX(0,MIN(AK188,'Debt Payoff'!$C$12-SUM($W188:$AF188)-SUMIFS($AG188:$AP188,$AG$4:$AP$4,"&lt;"&amp;AK$4)))</f>
        <v/>
      </c>
      <c r="AV188" s="160">
        <f>AB188+MAX(0,MIN(AL188,'Debt Payoff'!$C$12-SUM($W188:$AF188)-SUMIFS($AG188:$AP188,$AG$4:$AP$4,"&lt;"&amp;AL$4)))</f>
        <v/>
      </c>
      <c r="AW188" s="160">
        <f>AC188+MAX(0,MIN(AM188,'Debt Payoff'!$C$12-SUM($W188:$AF188)-SUMIFS($AG188:$AP188,$AG$4:$AP$4,"&lt;"&amp;AM$4)))</f>
        <v/>
      </c>
      <c r="AX188" s="160">
        <f>AD188+MAX(0,MIN(AN188,'Debt Payoff'!$C$12-SUM($W188:$AF188)-SUMIFS($AG188:$AP188,$AG$4:$AP$4,"&lt;"&amp;AN$4)))</f>
        <v/>
      </c>
      <c r="AY188" s="160">
        <f>AE188+MAX(0,MIN(AO188,'Debt Payoff'!$C$12-SUM($W188:$AF188)-SUMIFS($AG188:$AP188,$AG$4:$AP$4,"&lt;"&amp;AO$4)))</f>
        <v/>
      </c>
      <c r="AZ188" s="160">
        <f>AF188+MAX(0,MIN(AP188,'Debt Payoff'!$C$12-SUM($W188:$AF188)-SUMIFS($AG188:$AP188,$AG$4:$AP$4,"&lt;"&amp;AP$4)))</f>
        <v/>
      </c>
      <c r="BA188" s="160">
        <f>SUM(C188:L188)</f>
        <v/>
      </c>
      <c r="BB188" s="160">
        <f>SUM(AQ188:AZ188)</f>
        <v/>
      </c>
      <c r="BC188" s="160">
        <f>SUM(M188:V188)</f>
        <v/>
      </c>
    </row>
    <row r="189">
      <c r="A189" s="157" t="n">
        <v>184</v>
      </c>
      <c r="B189" s="159">
        <f>EDATE('Debt Payoff'!$C$6,183)</f>
        <v/>
      </c>
      <c r="C189" s="160">
        <f>MAX(0,ROUND(C188+M189-AQ189,2))</f>
        <v/>
      </c>
      <c r="D189" s="160">
        <f>MAX(0,ROUND(D188+N189-AR189,2))</f>
        <v/>
      </c>
      <c r="E189" s="160">
        <f>MAX(0,ROUND(E188+O189-AS189,2))</f>
        <v/>
      </c>
      <c r="F189" s="160">
        <f>MAX(0,ROUND(F188+P189-AT189,2))</f>
        <v/>
      </c>
      <c r="G189" s="160">
        <f>MAX(0,ROUND(G188+Q189-AU189,2))</f>
        <v/>
      </c>
      <c r="H189" s="160">
        <f>MAX(0,ROUND(H188+R189-AV189,2))</f>
        <v/>
      </c>
      <c r="I189" s="160">
        <f>MAX(0,ROUND(I188+S189-AW189,2))</f>
        <v/>
      </c>
      <c r="J189" s="160">
        <f>MAX(0,ROUND(J188+T189-AX189,2))</f>
        <v/>
      </c>
      <c r="K189" s="160">
        <f>MAX(0,ROUND(K188+U189-AY189,2))</f>
        <v/>
      </c>
      <c r="L189" s="160">
        <f>MAX(0,ROUND(L188+V189-AZ189,2))</f>
        <v/>
      </c>
      <c r="M189" s="160">
        <f>C188*N('Debt Payoff'!$D$15)/12</f>
        <v/>
      </c>
      <c r="N189" s="160">
        <f>D188*N('Debt Payoff'!$D$16)/12</f>
        <v/>
      </c>
      <c r="O189" s="160">
        <f>E188*N('Debt Payoff'!$D$17)/12</f>
        <v/>
      </c>
      <c r="P189" s="160">
        <f>F188*N('Debt Payoff'!$D$18)/12</f>
        <v/>
      </c>
      <c r="Q189" s="160">
        <f>G188*N('Debt Payoff'!$D$19)/12</f>
        <v/>
      </c>
      <c r="R189" s="160">
        <f>H188*N('Debt Payoff'!$D$20)/12</f>
        <v/>
      </c>
      <c r="S189" s="160">
        <f>I188*N('Debt Payoff'!$D$21)/12</f>
        <v/>
      </c>
      <c r="T189" s="160">
        <f>J188*N('Debt Payoff'!$D$22)/12</f>
        <v/>
      </c>
      <c r="U189" s="160">
        <f>K188*N('Debt Payoff'!$D$23)/12</f>
        <v/>
      </c>
      <c r="V189" s="160">
        <f>L188*N('Debt Payoff'!$D$24)/12</f>
        <v/>
      </c>
      <c r="W189" s="160">
        <f>MIN(N('Debt Payoff'!$E$15),C188+M189)</f>
        <v/>
      </c>
      <c r="X189" s="160">
        <f>MIN(N('Debt Payoff'!$E$16),D188+N189)</f>
        <v/>
      </c>
      <c r="Y189" s="160">
        <f>MIN(N('Debt Payoff'!$E$17),E188+O189)</f>
        <v/>
      </c>
      <c r="Z189" s="160">
        <f>MIN(N('Debt Payoff'!$E$18),F188+P189)</f>
        <v/>
      </c>
      <c r="AA189" s="160">
        <f>MIN(N('Debt Payoff'!$E$19),G188+Q189)</f>
        <v/>
      </c>
      <c r="AB189" s="160">
        <f>MIN(N('Debt Payoff'!$E$20),H188+R189)</f>
        <v/>
      </c>
      <c r="AC189" s="160">
        <f>MIN(N('Debt Payoff'!$E$21),I188+S189)</f>
        <v/>
      </c>
      <c r="AD189" s="160">
        <f>MIN(N('Debt Payoff'!$E$22),J188+T189)</f>
        <v/>
      </c>
      <c r="AE189" s="160">
        <f>MIN(N('Debt Payoff'!$E$23),K188+U189)</f>
        <v/>
      </c>
      <c r="AF189" s="160">
        <f>MIN(N('Debt Payoff'!$E$24),L188+V189)</f>
        <v/>
      </c>
      <c r="AG189" s="160">
        <f>C188+M189-W189</f>
        <v/>
      </c>
      <c r="AH189" s="160">
        <f>D188+N189-X189</f>
        <v/>
      </c>
      <c r="AI189" s="160">
        <f>E188+O189-Y189</f>
        <v/>
      </c>
      <c r="AJ189" s="160">
        <f>F188+P189-Z189</f>
        <v/>
      </c>
      <c r="AK189" s="160">
        <f>G188+Q189-AA189</f>
        <v/>
      </c>
      <c r="AL189" s="160">
        <f>H188+R189-AB189</f>
        <v/>
      </c>
      <c r="AM189" s="160">
        <f>I188+S189-AC189</f>
        <v/>
      </c>
      <c r="AN189" s="160">
        <f>J188+T189-AD189</f>
        <v/>
      </c>
      <c r="AO189" s="160">
        <f>K188+U189-AE189</f>
        <v/>
      </c>
      <c r="AP189" s="160">
        <f>L188+V189-AF189</f>
        <v/>
      </c>
      <c r="AQ189" s="160">
        <f>W189+MAX(0,MIN(AG189,'Debt Payoff'!$C$12-SUM($W189:$AF189)-SUMIFS($AG189:$AP189,$AG$4:$AP$4,"&lt;"&amp;AG$4)))</f>
        <v/>
      </c>
      <c r="AR189" s="160">
        <f>X189+MAX(0,MIN(AH189,'Debt Payoff'!$C$12-SUM($W189:$AF189)-SUMIFS($AG189:$AP189,$AG$4:$AP$4,"&lt;"&amp;AH$4)))</f>
        <v/>
      </c>
      <c r="AS189" s="160">
        <f>Y189+MAX(0,MIN(AI189,'Debt Payoff'!$C$12-SUM($W189:$AF189)-SUMIFS($AG189:$AP189,$AG$4:$AP$4,"&lt;"&amp;AI$4)))</f>
        <v/>
      </c>
      <c r="AT189" s="160">
        <f>Z189+MAX(0,MIN(AJ189,'Debt Payoff'!$C$12-SUM($W189:$AF189)-SUMIFS($AG189:$AP189,$AG$4:$AP$4,"&lt;"&amp;AJ$4)))</f>
        <v/>
      </c>
      <c r="AU189" s="160">
        <f>AA189+MAX(0,MIN(AK189,'Debt Payoff'!$C$12-SUM($W189:$AF189)-SUMIFS($AG189:$AP189,$AG$4:$AP$4,"&lt;"&amp;AK$4)))</f>
        <v/>
      </c>
      <c r="AV189" s="160">
        <f>AB189+MAX(0,MIN(AL189,'Debt Payoff'!$C$12-SUM($W189:$AF189)-SUMIFS($AG189:$AP189,$AG$4:$AP$4,"&lt;"&amp;AL$4)))</f>
        <v/>
      </c>
      <c r="AW189" s="160">
        <f>AC189+MAX(0,MIN(AM189,'Debt Payoff'!$C$12-SUM($W189:$AF189)-SUMIFS($AG189:$AP189,$AG$4:$AP$4,"&lt;"&amp;AM$4)))</f>
        <v/>
      </c>
      <c r="AX189" s="160">
        <f>AD189+MAX(0,MIN(AN189,'Debt Payoff'!$C$12-SUM($W189:$AF189)-SUMIFS($AG189:$AP189,$AG$4:$AP$4,"&lt;"&amp;AN$4)))</f>
        <v/>
      </c>
      <c r="AY189" s="160">
        <f>AE189+MAX(0,MIN(AO189,'Debt Payoff'!$C$12-SUM($W189:$AF189)-SUMIFS($AG189:$AP189,$AG$4:$AP$4,"&lt;"&amp;AO$4)))</f>
        <v/>
      </c>
      <c r="AZ189" s="160">
        <f>AF189+MAX(0,MIN(AP189,'Debt Payoff'!$C$12-SUM($W189:$AF189)-SUMIFS($AG189:$AP189,$AG$4:$AP$4,"&lt;"&amp;AP$4)))</f>
        <v/>
      </c>
      <c r="BA189" s="160">
        <f>SUM(C189:L189)</f>
        <v/>
      </c>
      <c r="BB189" s="160">
        <f>SUM(AQ189:AZ189)</f>
        <v/>
      </c>
      <c r="BC189" s="160">
        <f>SUM(M189:V189)</f>
        <v/>
      </c>
    </row>
    <row r="190">
      <c r="A190" s="157" t="n">
        <v>185</v>
      </c>
      <c r="B190" s="159">
        <f>EDATE('Debt Payoff'!$C$6,184)</f>
        <v/>
      </c>
      <c r="C190" s="160">
        <f>MAX(0,ROUND(C189+M190-AQ190,2))</f>
        <v/>
      </c>
      <c r="D190" s="160">
        <f>MAX(0,ROUND(D189+N190-AR190,2))</f>
        <v/>
      </c>
      <c r="E190" s="160">
        <f>MAX(0,ROUND(E189+O190-AS190,2))</f>
        <v/>
      </c>
      <c r="F190" s="160">
        <f>MAX(0,ROUND(F189+P190-AT190,2))</f>
        <v/>
      </c>
      <c r="G190" s="160">
        <f>MAX(0,ROUND(G189+Q190-AU190,2))</f>
        <v/>
      </c>
      <c r="H190" s="160">
        <f>MAX(0,ROUND(H189+R190-AV190,2))</f>
        <v/>
      </c>
      <c r="I190" s="160">
        <f>MAX(0,ROUND(I189+S190-AW190,2))</f>
        <v/>
      </c>
      <c r="J190" s="160">
        <f>MAX(0,ROUND(J189+T190-AX190,2))</f>
        <v/>
      </c>
      <c r="K190" s="160">
        <f>MAX(0,ROUND(K189+U190-AY190,2))</f>
        <v/>
      </c>
      <c r="L190" s="160">
        <f>MAX(0,ROUND(L189+V190-AZ190,2))</f>
        <v/>
      </c>
      <c r="M190" s="160">
        <f>C189*N('Debt Payoff'!$D$15)/12</f>
        <v/>
      </c>
      <c r="N190" s="160">
        <f>D189*N('Debt Payoff'!$D$16)/12</f>
        <v/>
      </c>
      <c r="O190" s="160">
        <f>E189*N('Debt Payoff'!$D$17)/12</f>
        <v/>
      </c>
      <c r="P190" s="160">
        <f>F189*N('Debt Payoff'!$D$18)/12</f>
        <v/>
      </c>
      <c r="Q190" s="160">
        <f>G189*N('Debt Payoff'!$D$19)/12</f>
        <v/>
      </c>
      <c r="R190" s="160">
        <f>H189*N('Debt Payoff'!$D$20)/12</f>
        <v/>
      </c>
      <c r="S190" s="160">
        <f>I189*N('Debt Payoff'!$D$21)/12</f>
        <v/>
      </c>
      <c r="T190" s="160">
        <f>J189*N('Debt Payoff'!$D$22)/12</f>
        <v/>
      </c>
      <c r="U190" s="160">
        <f>K189*N('Debt Payoff'!$D$23)/12</f>
        <v/>
      </c>
      <c r="V190" s="160">
        <f>L189*N('Debt Payoff'!$D$24)/12</f>
        <v/>
      </c>
      <c r="W190" s="160">
        <f>MIN(N('Debt Payoff'!$E$15),C189+M190)</f>
        <v/>
      </c>
      <c r="X190" s="160">
        <f>MIN(N('Debt Payoff'!$E$16),D189+N190)</f>
        <v/>
      </c>
      <c r="Y190" s="160">
        <f>MIN(N('Debt Payoff'!$E$17),E189+O190)</f>
        <v/>
      </c>
      <c r="Z190" s="160">
        <f>MIN(N('Debt Payoff'!$E$18),F189+P190)</f>
        <v/>
      </c>
      <c r="AA190" s="160">
        <f>MIN(N('Debt Payoff'!$E$19),G189+Q190)</f>
        <v/>
      </c>
      <c r="AB190" s="160">
        <f>MIN(N('Debt Payoff'!$E$20),H189+R190)</f>
        <v/>
      </c>
      <c r="AC190" s="160">
        <f>MIN(N('Debt Payoff'!$E$21),I189+S190)</f>
        <v/>
      </c>
      <c r="AD190" s="160">
        <f>MIN(N('Debt Payoff'!$E$22),J189+T190)</f>
        <v/>
      </c>
      <c r="AE190" s="160">
        <f>MIN(N('Debt Payoff'!$E$23),K189+U190)</f>
        <v/>
      </c>
      <c r="AF190" s="160">
        <f>MIN(N('Debt Payoff'!$E$24),L189+V190)</f>
        <v/>
      </c>
      <c r="AG190" s="160">
        <f>C189+M190-W190</f>
        <v/>
      </c>
      <c r="AH190" s="160">
        <f>D189+N190-X190</f>
        <v/>
      </c>
      <c r="AI190" s="160">
        <f>E189+O190-Y190</f>
        <v/>
      </c>
      <c r="AJ190" s="160">
        <f>F189+P190-Z190</f>
        <v/>
      </c>
      <c r="AK190" s="160">
        <f>G189+Q190-AA190</f>
        <v/>
      </c>
      <c r="AL190" s="160">
        <f>H189+R190-AB190</f>
        <v/>
      </c>
      <c r="AM190" s="160">
        <f>I189+S190-AC190</f>
        <v/>
      </c>
      <c r="AN190" s="160">
        <f>J189+T190-AD190</f>
        <v/>
      </c>
      <c r="AO190" s="160">
        <f>K189+U190-AE190</f>
        <v/>
      </c>
      <c r="AP190" s="160">
        <f>L189+V190-AF190</f>
        <v/>
      </c>
      <c r="AQ190" s="160">
        <f>W190+MAX(0,MIN(AG190,'Debt Payoff'!$C$12-SUM($W190:$AF190)-SUMIFS($AG190:$AP190,$AG$4:$AP$4,"&lt;"&amp;AG$4)))</f>
        <v/>
      </c>
      <c r="AR190" s="160">
        <f>X190+MAX(0,MIN(AH190,'Debt Payoff'!$C$12-SUM($W190:$AF190)-SUMIFS($AG190:$AP190,$AG$4:$AP$4,"&lt;"&amp;AH$4)))</f>
        <v/>
      </c>
      <c r="AS190" s="160">
        <f>Y190+MAX(0,MIN(AI190,'Debt Payoff'!$C$12-SUM($W190:$AF190)-SUMIFS($AG190:$AP190,$AG$4:$AP$4,"&lt;"&amp;AI$4)))</f>
        <v/>
      </c>
      <c r="AT190" s="160">
        <f>Z190+MAX(0,MIN(AJ190,'Debt Payoff'!$C$12-SUM($W190:$AF190)-SUMIFS($AG190:$AP190,$AG$4:$AP$4,"&lt;"&amp;AJ$4)))</f>
        <v/>
      </c>
      <c r="AU190" s="160">
        <f>AA190+MAX(0,MIN(AK190,'Debt Payoff'!$C$12-SUM($W190:$AF190)-SUMIFS($AG190:$AP190,$AG$4:$AP$4,"&lt;"&amp;AK$4)))</f>
        <v/>
      </c>
      <c r="AV190" s="160">
        <f>AB190+MAX(0,MIN(AL190,'Debt Payoff'!$C$12-SUM($W190:$AF190)-SUMIFS($AG190:$AP190,$AG$4:$AP$4,"&lt;"&amp;AL$4)))</f>
        <v/>
      </c>
      <c r="AW190" s="160">
        <f>AC190+MAX(0,MIN(AM190,'Debt Payoff'!$C$12-SUM($W190:$AF190)-SUMIFS($AG190:$AP190,$AG$4:$AP$4,"&lt;"&amp;AM$4)))</f>
        <v/>
      </c>
      <c r="AX190" s="160">
        <f>AD190+MAX(0,MIN(AN190,'Debt Payoff'!$C$12-SUM($W190:$AF190)-SUMIFS($AG190:$AP190,$AG$4:$AP$4,"&lt;"&amp;AN$4)))</f>
        <v/>
      </c>
      <c r="AY190" s="160">
        <f>AE190+MAX(0,MIN(AO190,'Debt Payoff'!$C$12-SUM($W190:$AF190)-SUMIFS($AG190:$AP190,$AG$4:$AP$4,"&lt;"&amp;AO$4)))</f>
        <v/>
      </c>
      <c r="AZ190" s="160">
        <f>AF190+MAX(0,MIN(AP190,'Debt Payoff'!$C$12-SUM($W190:$AF190)-SUMIFS($AG190:$AP190,$AG$4:$AP$4,"&lt;"&amp;AP$4)))</f>
        <v/>
      </c>
      <c r="BA190" s="160">
        <f>SUM(C190:L190)</f>
        <v/>
      </c>
      <c r="BB190" s="160">
        <f>SUM(AQ190:AZ190)</f>
        <v/>
      </c>
      <c r="BC190" s="160">
        <f>SUM(M190:V190)</f>
        <v/>
      </c>
    </row>
    <row r="191">
      <c r="A191" s="157" t="n">
        <v>186</v>
      </c>
      <c r="B191" s="159">
        <f>EDATE('Debt Payoff'!$C$6,185)</f>
        <v/>
      </c>
      <c r="C191" s="160">
        <f>MAX(0,ROUND(C190+M191-AQ191,2))</f>
        <v/>
      </c>
      <c r="D191" s="160">
        <f>MAX(0,ROUND(D190+N191-AR191,2))</f>
        <v/>
      </c>
      <c r="E191" s="160">
        <f>MAX(0,ROUND(E190+O191-AS191,2))</f>
        <v/>
      </c>
      <c r="F191" s="160">
        <f>MAX(0,ROUND(F190+P191-AT191,2))</f>
        <v/>
      </c>
      <c r="G191" s="160">
        <f>MAX(0,ROUND(G190+Q191-AU191,2))</f>
        <v/>
      </c>
      <c r="H191" s="160">
        <f>MAX(0,ROUND(H190+R191-AV191,2))</f>
        <v/>
      </c>
      <c r="I191" s="160">
        <f>MAX(0,ROUND(I190+S191-AW191,2))</f>
        <v/>
      </c>
      <c r="J191" s="160">
        <f>MAX(0,ROUND(J190+T191-AX191,2))</f>
        <v/>
      </c>
      <c r="K191" s="160">
        <f>MAX(0,ROUND(K190+U191-AY191,2))</f>
        <v/>
      </c>
      <c r="L191" s="160">
        <f>MAX(0,ROUND(L190+V191-AZ191,2))</f>
        <v/>
      </c>
      <c r="M191" s="160">
        <f>C190*N('Debt Payoff'!$D$15)/12</f>
        <v/>
      </c>
      <c r="N191" s="160">
        <f>D190*N('Debt Payoff'!$D$16)/12</f>
        <v/>
      </c>
      <c r="O191" s="160">
        <f>E190*N('Debt Payoff'!$D$17)/12</f>
        <v/>
      </c>
      <c r="P191" s="160">
        <f>F190*N('Debt Payoff'!$D$18)/12</f>
        <v/>
      </c>
      <c r="Q191" s="160">
        <f>G190*N('Debt Payoff'!$D$19)/12</f>
        <v/>
      </c>
      <c r="R191" s="160">
        <f>H190*N('Debt Payoff'!$D$20)/12</f>
        <v/>
      </c>
      <c r="S191" s="160">
        <f>I190*N('Debt Payoff'!$D$21)/12</f>
        <v/>
      </c>
      <c r="T191" s="160">
        <f>J190*N('Debt Payoff'!$D$22)/12</f>
        <v/>
      </c>
      <c r="U191" s="160">
        <f>K190*N('Debt Payoff'!$D$23)/12</f>
        <v/>
      </c>
      <c r="V191" s="160">
        <f>L190*N('Debt Payoff'!$D$24)/12</f>
        <v/>
      </c>
      <c r="W191" s="160">
        <f>MIN(N('Debt Payoff'!$E$15),C190+M191)</f>
        <v/>
      </c>
      <c r="X191" s="160">
        <f>MIN(N('Debt Payoff'!$E$16),D190+N191)</f>
        <v/>
      </c>
      <c r="Y191" s="160">
        <f>MIN(N('Debt Payoff'!$E$17),E190+O191)</f>
        <v/>
      </c>
      <c r="Z191" s="160">
        <f>MIN(N('Debt Payoff'!$E$18),F190+P191)</f>
        <v/>
      </c>
      <c r="AA191" s="160">
        <f>MIN(N('Debt Payoff'!$E$19),G190+Q191)</f>
        <v/>
      </c>
      <c r="AB191" s="160">
        <f>MIN(N('Debt Payoff'!$E$20),H190+R191)</f>
        <v/>
      </c>
      <c r="AC191" s="160">
        <f>MIN(N('Debt Payoff'!$E$21),I190+S191)</f>
        <v/>
      </c>
      <c r="AD191" s="160">
        <f>MIN(N('Debt Payoff'!$E$22),J190+T191)</f>
        <v/>
      </c>
      <c r="AE191" s="160">
        <f>MIN(N('Debt Payoff'!$E$23),K190+U191)</f>
        <v/>
      </c>
      <c r="AF191" s="160">
        <f>MIN(N('Debt Payoff'!$E$24),L190+V191)</f>
        <v/>
      </c>
      <c r="AG191" s="160">
        <f>C190+M191-W191</f>
        <v/>
      </c>
      <c r="AH191" s="160">
        <f>D190+N191-X191</f>
        <v/>
      </c>
      <c r="AI191" s="160">
        <f>E190+O191-Y191</f>
        <v/>
      </c>
      <c r="AJ191" s="160">
        <f>F190+P191-Z191</f>
        <v/>
      </c>
      <c r="AK191" s="160">
        <f>G190+Q191-AA191</f>
        <v/>
      </c>
      <c r="AL191" s="160">
        <f>H190+R191-AB191</f>
        <v/>
      </c>
      <c r="AM191" s="160">
        <f>I190+S191-AC191</f>
        <v/>
      </c>
      <c r="AN191" s="160">
        <f>J190+T191-AD191</f>
        <v/>
      </c>
      <c r="AO191" s="160">
        <f>K190+U191-AE191</f>
        <v/>
      </c>
      <c r="AP191" s="160">
        <f>L190+V191-AF191</f>
        <v/>
      </c>
      <c r="AQ191" s="160">
        <f>W191+MAX(0,MIN(AG191,'Debt Payoff'!$C$12-SUM($W191:$AF191)-SUMIFS($AG191:$AP191,$AG$4:$AP$4,"&lt;"&amp;AG$4)))</f>
        <v/>
      </c>
      <c r="AR191" s="160">
        <f>X191+MAX(0,MIN(AH191,'Debt Payoff'!$C$12-SUM($W191:$AF191)-SUMIFS($AG191:$AP191,$AG$4:$AP$4,"&lt;"&amp;AH$4)))</f>
        <v/>
      </c>
      <c r="AS191" s="160">
        <f>Y191+MAX(0,MIN(AI191,'Debt Payoff'!$C$12-SUM($W191:$AF191)-SUMIFS($AG191:$AP191,$AG$4:$AP$4,"&lt;"&amp;AI$4)))</f>
        <v/>
      </c>
      <c r="AT191" s="160">
        <f>Z191+MAX(0,MIN(AJ191,'Debt Payoff'!$C$12-SUM($W191:$AF191)-SUMIFS($AG191:$AP191,$AG$4:$AP$4,"&lt;"&amp;AJ$4)))</f>
        <v/>
      </c>
      <c r="AU191" s="160">
        <f>AA191+MAX(0,MIN(AK191,'Debt Payoff'!$C$12-SUM($W191:$AF191)-SUMIFS($AG191:$AP191,$AG$4:$AP$4,"&lt;"&amp;AK$4)))</f>
        <v/>
      </c>
      <c r="AV191" s="160">
        <f>AB191+MAX(0,MIN(AL191,'Debt Payoff'!$C$12-SUM($W191:$AF191)-SUMIFS($AG191:$AP191,$AG$4:$AP$4,"&lt;"&amp;AL$4)))</f>
        <v/>
      </c>
      <c r="AW191" s="160">
        <f>AC191+MAX(0,MIN(AM191,'Debt Payoff'!$C$12-SUM($W191:$AF191)-SUMIFS($AG191:$AP191,$AG$4:$AP$4,"&lt;"&amp;AM$4)))</f>
        <v/>
      </c>
      <c r="AX191" s="160">
        <f>AD191+MAX(0,MIN(AN191,'Debt Payoff'!$C$12-SUM($W191:$AF191)-SUMIFS($AG191:$AP191,$AG$4:$AP$4,"&lt;"&amp;AN$4)))</f>
        <v/>
      </c>
      <c r="AY191" s="160">
        <f>AE191+MAX(0,MIN(AO191,'Debt Payoff'!$C$12-SUM($W191:$AF191)-SUMIFS($AG191:$AP191,$AG$4:$AP$4,"&lt;"&amp;AO$4)))</f>
        <v/>
      </c>
      <c r="AZ191" s="160">
        <f>AF191+MAX(0,MIN(AP191,'Debt Payoff'!$C$12-SUM($W191:$AF191)-SUMIFS($AG191:$AP191,$AG$4:$AP$4,"&lt;"&amp;AP$4)))</f>
        <v/>
      </c>
      <c r="BA191" s="160">
        <f>SUM(C191:L191)</f>
        <v/>
      </c>
      <c r="BB191" s="160">
        <f>SUM(AQ191:AZ191)</f>
        <v/>
      </c>
      <c r="BC191" s="160">
        <f>SUM(M191:V191)</f>
        <v/>
      </c>
    </row>
    <row r="192">
      <c r="A192" s="157" t="n">
        <v>187</v>
      </c>
      <c r="B192" s="159">
        <f>EDATE('Debt Payoff'!$C$6,186)</f>
        <v/>
      </c>
      <c r="C192" s="160">
        <f>MAX(0,ROUND(C191+M192-AQ192,2))</f>
        <v/>
      </c>
      <c r="D192" s="160">
        <f>MAX(0,ROUND(D191+N192-AR192,2))</f>
        <v/>
      </c>
      <c r="E192" s="160">
        <f>MAX(0,ROUND(E191+O192-AS192,2))</f>
        <v/>
      </c>
      <c r="F192" s="160">
        <f>MAX(0,ROUND(F191+P192-AT192,2))</f>
        <v/>
      </c>
      <c r="G192" s="160">
        <f>MAX(0,ROUND(G191+Q192-AU192,2))</f>
        <v/>
      </c>
      <c r="H192" s="160">
        <f>MAX(0,ROUND(H191+R192-AV192,2))</f>
        <v/>
      </c>
      <c r="I192" s="160">
        <f>MAX(0,ROUND(I191+S192-AW192,2))</f>
        <v/>
      </c>
      <c r="J192" s="160">
        <f>MAX(0,ROUND(J191+T192-AX192,2))</f>
        <v/>
      </c>
      <c r="K192" s="160">
        <f>MAX(0,ROUND(K191+U192-AY192,2))</f>
        <v/>
      </c>
      <c r="L192" s="160">
        <f>MAX(0,ROUND(L191+V192-AZ192,2))</f>
        <v/>
      </c>
      <c r="M192" s="160">
        <f>C191*N('Debt Payoff'!$D$15)/12</f>
        <v/>
      </c>
      <c r="N192" s="160">
        <f>D191*N('Debt Payoff'!$D$16)/12</f>
        <v/>
      </c>
      <c r="O192" s="160">
        <f>E191*N('Debt Payoff'!$D$17)/12</f>
        <v/>
      </c>
      <c r="P192" s="160">
        <f>F191*N('Debt Payoff'!$D$18)/12</f>
        <v/>
      </c>
      <c r="Q192" s="160">
        <f>G191*N('Debt Payoff'!$D$19)/12</f>
        <v/>
      </c>
      <c r="R192" s="160">
        <f>H191*N('Debt Payoff'!$D$20)/12</f>
        <v/>
      </c>
      <c r="S192" s="160">
        <f>I191*N('Debt Payoff'!$D$21)/12</f>
        <v/>
      </c>
      <c r="T192" s="160">
        <f>J191*N('Debt Payoff'!$D$22)/12</f>
        <v/>
      </c>
      <c r="U192" s="160">
        <f>K191*N('Debt Payoff'!$D$23)/12</f>
        <v/>
      </c>
      <c r="V192" s="160">
        <f>L191*N('Debt Payoff'!$D$24)/12</f>
        <v/>
      </c>
      <c r="W192" s="160">
        <f>MIN(N('Debt Payoff'!$E$15),C191+M192)</f>
        <v/>
      </c>
      <c r="X192" s="160">
        <f>MIN(N('Debt Payoff'!$E$16),D191+N192)</f>
        <v/>
      </c>
      <c r="Y192" s="160">
        <f>MIN(N('Debt Payoff'!$E$17),E191+O192)</f>
        <v/>
      </c>
      <c r="Z192" s="160">
        <f>MIN(N('Debt Payoff'!$E$18),F191+P192)</f>
        <v/>
      </c>
      <c r="AA192" s="160">
        <f>MIN(N('Debt Payoff'!$E$19),G191+Q192)</f>
        <v/>
      </c>
      <c r="AB192" s="160">
        <f>MIN(N('Debt Payoff'!$E$20),H191+R192)</f>
        <v/>
      </c>
      <c r="AC192" s="160">
        <f>MIN(N('Debt Payoff'!$E$21),I191+S192)</f>
        <v/>
      </c>
      <c r="AD192" s="160">
        <f>MIN(N('Debt Payoff'!$E$22),J191+T192)</f>
        <v/>
      </c>
      <c r="AE192" s="160">
        <f>MIN(N('Debt Payoff'!$E$23),K191+U192)</f>
        <v/>
      </c>
      <c r="AF192" s="160">
        <f>MIN(N('Debt Payoff'!$E$24),L191+V192)</f>
        <v/>
      </c>
      <c r="AG192" s="160">
        <f>C191+M192-W192</f>
        <v/>
      </c>
      <c r="AH192" s="160">
        <f>D191+N192-X192</f>
        <v/>
      </c>
      <c r="AI192" s="160">
        <f>E191+O192-Y192</f>
        <v/>
      </c>
      <c r="AJ192" s="160">
        <f>F191+P192-Z192</f>
        <v/>
      </c>
      <c r="AK192" s="160">
        <f>G191+Q192-AA192</f>
        <v/>
      </c>
      <c r="AL192" s="160">
        <f>H191+R192-AB192</f>
        <v/>
      </c>
      <c r="AM192" s="160">
        <f>I191+S192-AC192</f>
        <v/>
      </c>
      <c r="AN192" s="160">
        <f>J191+T192-AD192</f>
        <v/>
      </c>
      <c r="AO192" s="160">
        <f>K191+U192-AE192</f>
        <v/>
      </c>
      <c r="AP192" s="160">
        <f>L191+V192-AF192</f>
        <v/>
      </c>
      <c r="AQ192" s="160">
        <f>W192+MAX(0,MIN(AG192,'Debt Payoff'!$C$12-SUM($W192:$AF192)-SUMIFS($AG192:$AP192,$AG$4:$AP$4,"&lt;"&amp;AG$4)))</f>
        <v/>
      </c>
      <c r="AR192" s="160">
        <f>X192+MAX(0,MIN(AH192,'Debt Payoff'!$C$12-SUM($W192:$AF192)-SUMIFS($AG192:$AP192,$AG$4:$AP$4,"&lt;"&amp;AH$4)))</f>
        <v/>
      </c>
      <c r="AS192" s="160">
        <f>Y192+MAX(0,MIN(AI192,'Debt Payoff'!$C$12-SUM($W192:$AF192)-SUMIFS($AG192:$AP192,$AG$4:$AP$4,"&lt;"&amp;AI$4)))</f>
        <v/>
      </c>
      <c r="AT192" s="160">
        <f>Z192+MAX(0,MIN(AJ192,'Debt Payoff'!$C$12-SUM($W192:$AF192)-SUMIFS($AG192:$AP192,$AG$4:$AP$4,"&lt;"&amp;AJ$4)))</f>
        <v/>
      </c>
      <c r="AU192" s="160">
        <f>AA192+MAX(0,MIN(AK192,'Debt Payoff'!$C$12-SUM($W192:$AF192)-SUMIFS($AG192:$AP192,$AG$4:$AP$4,"&lt;"&amp;AK$4)))</f>
        <v/>
      </c>
      <c r="AV192" s="160">
        <f>AB192+MAX(0,MIN(AL192,'Debt Payoff'!$C$12-SUM($W192:$AF192)-SUMIFS($AG192:$AP192,$AG$4:$AP$4,"&lt;"&amp;AL$4)))</f>
        <v/>
      </c>
      <c r="AW192" s="160">
        <f>AC192+MAX(0,MIN(AM192,'Debt Payoff'!$C$12-SUM($W192:$AF192)-SUMIFS($AG192:$AP192,$AG$4:$AP$4,"&lt;"&amp;AM$4)))</f>
        <v/>
      </c>
      <c r="AX192" s="160">
        <f>AD192+MAX(0,MIN(AN192,'Debt Payoff'!$C$12-SUM($W192:$AF192)-SUMIFS($AG192:$AP192,$AG$4:$AP$4,"&lt;"&amp;AN$4)))</f>
        <v/>
      </c>
      <c r="AY192" s="160">
        <f>AE192+MAX(0,MIN(AO192,'Debt Payoff'!$C$12-SUM($W192:$AF192)-SUMIFS($AG192:$AP192,$AG$4:$AP$4,"&lt;"&amp;AO$4)))</f>
        <v/>
      </c>
      <c r="AZ192" s="160">
        <f>AF192+MAX(0,MIN(AP192,'Debt Payoff'!$C$12-SUM($W192:$AF192)-SUMIFS($AG192:$AP192,$AG$4:$AP$4,"&lt;"&amp;AP$4)))</f>
        <v/>
      </c>
      <c r="BA192" s="160">
        <f>SUM(C192:L192)</f>
        <v/>
      </c>
      <c r="BB192" s="160">
        <f>SUM(AQ192:AZ192)</f>
        <v/>
      </c>
      <c r="BC192" s="160">
        <f>SUM(M192:V192)</f>
        <v/>
      </c>
    </row>
    <row r="193">
      <c r="A193" s="157" t="n">
        <v>188</v>
      </c>
      <c r="B193" s="159">
        <f>EDATE('Debt Payoff'!$C$6,187)</f>
        <v/>
      </c>
      <c r="C193" s="160">
        <f>MAX(0,ROUND(C192+M193-AQ193,2))</f>
        <v/>
      </c>
      <c r="D193" s="160">
        <f>MAX(0,ROUND(D192+N193-AR193,2))</f>
        <v/>
      </c>
      <c r="E193" s="160">
        <f>MAX(0,ROUND(E192+O193-AS193,2))</f>
        <v/>
      </c>
      <c r="F193" s="160">
        <f>MAX(0,ROUND(F192+P193-AT193,2))</f>
        <v/>
      </c>
      <c r="G193" s="160">
        <f>MAX(0,ROUND(G192+Q193-AU193,2))</f>
        <v/>
      </c>
      <c r="H193" s="160">
        <f>MAX(0,ROUND(H192+R193-AV193,2))</f>
        <v/>
      </c>
      <c r="I193" s="160">
        <f>MAX(0,ROUND(I192+S193-AW193,2))</f>
        <v/>
      </c>
      <c r="J193" s="160">
        <f>MAX(0,ROUND(J192+T193-AX193,2))</f>
        <v/>
      </c>
      <c r="K193" s="160">
        <f>MAX(0,ROUND(K192+U193-AY193,2))</f>
        <v/>
      </c>
      <c r="L193" s="160">
        <f>MAX(0,ROUND(L192+V193-AZ193,2))</f>
        <v/>
      </c>
      <c r="M193" s="160">
        <f>C192*N('Debt Payoff'!$D$15)/12</f>
        <v/>
      </c>
      <c r="N193" s="160">
        <f>D192*N('Debt Payoff'!$D$16)/12</f>
        <v/>
      </c>
      <c r="O193" s="160">
        <f>E192*N('Debt Payoff'!$D$17)/12</f>
        <v/>
      </c>
      <c r="P193" s="160">
        <f>F192*N('Debt Payoff'!$D$18)/12</f>
        <v/>
      </c>
      <c r="Q193" s="160">
        <f>G192*N('Debt Payoff'!$D$19)/12</f>
        <v/>
      </c>
      <c r="R193" s="160">
        <f>H192*N('Debt Payoff'!$D$20)/12</f>
        <v/>
      </c>
      <c r="S193" s="160">
        <f>I192*N('Debt Payoff'!$D$21)/12</f>
        <v/>
      </c>
      <c r="T193" s="160">
        <f>J192*N('Debt Payoff'!$D$22)/12</f>
        <v/>
      </c>
      <c r="U193" s="160">
        <f>K192*N('Debt Payoff'!$D$23)/12</f>
        <v/>
      </c>
      <c r="V193" s="160">
        <f>L192*N('Debt Payoff'!$D$24)/12</f>
        <v/>
      </c>
      <c r="W193" s="160">
        <f>MIN(N('Debt Payoff'!$E$15),C192+M193)</f>
        <v/>
      </c>
      <c r="X193" s="160">
        <f>MIN(N('Debt Payoff'!$E$16),D192+N193)</f>
        <v/>
      </c>
      <c r="Y193" s="160">
        <f>MIN(N('Debt Payoff'!$E$17),E192+O193)</f>
        <v/>
      </c>
      <c r="Z193" s="160">
        <f>MIN(N('Debt Payoff'!$E$18),F192+P193)</f>
        <v/>
      </c>
      <c r="AA193" s="160">
        <f>MIN(N('Debt Payoff'!$E$19),G192+Q193)</f>
        <v/>
      </c>
      <c r="AB193" s="160">
        <f>MIN(N('Debt Payoff'!$E$20),H192+R193)</f>
        <v/>
      </c>
      <c r="AC193" s="160">
        <f>MIN(N('Debt Payoff'!$E$21),I192+S193)</f>
        <v/>
      </c>
      <c r="AD193" s="160">
        <f>MIN(N('Debt Payoff'!$E$22),J192+T193)</f>
        <v/>
      </c>
      <c r="AE193" s="160">
        <f>MIN(N('Debt Payoff'!$E$23),K192+U193)</f>
        <v/>
      </c>
      <c r="AF193" s="160">
        <f>MIN(N('Debt Payoff'!$E$24),L192+V193)</f>
        <v/>
      </c>
      <c r="AG193" s="160">
        <f>C192+M193-W193</f>
        <v/>
      </c>
      <c r="AH193" s="160">
        <f>D192+N193-X193</f>
        <v/>
      </c>
      <c r="AI193" s="160">
        <f>E192+O193-Y193</f>
        <v/>
      </c>
      <c r="AJ193" s="160">
        <f>F192+P193-Z193</f>
        <v/>
      </c>
      <c r="AK193" s="160">
        <f>G192+Q193-AA193</f>
        <v/>
      </c>
      <c r="AL193" s="160">
        <f>H192+R193-AB193</f>
        <v/>
      </c>
      <c r="AM193" s="160">
        <f>I192+S193-AC193</f>
        <v/>
      </c>
      <c r="AN193" s="160">
        <f>J192+T193-AD193</f>
        <v/>
      </c>
      <c r="AO193" s="160">
        <f>K192+U193-AE193</f>
        <v/>
      </c>
      <c r="AP193" s="160">
        <f>L192+V193-AF193</f>
        <v/>
      </c>
      <c r="AQ193" s="160">
        <f>W193+MAX(0,MIN(AG193,'Debt Payoff'!$C$12-SUM($W193:$AF193)-SUMIFS($AG193:$AP193,$AG$4:$AP$4,"&lt;"&amp;AG$4)))</f>
        <v/>
      </c>
      <c r="AR193" s="160">
        <f>X193+MAX(0,MIN(AH193,'Debt Payoff'!$C$12-SUM($W193:$AF193)-SUMIFS($AG193:$AP193,$AG$4:$AP$4,"&lt;"&amp;AH$4)))</f>
        <v/>
      </c>
      <c r="AS193" s="160">
        <f>Y193+MAX(0,MIN(AI193,'Debt Payoff'!$C$12-SUM($W193:$AF193)-SUMIFS($AG193:$AP193,$AG$4:$AP$4,"&lt;"&amp;AI$4)))</f>
        <v/>
      </c>
      <c r="AT193" s="160">
        <f>Z193+MAX(0,MIN(AJ193,'Debt Payoff'!$C$12-SUM($W193:$AF193)-SUMIFS($AG193:$AP193,$AG$4:$AP$4,"&lt;"&amp;AJ$4)))</f>
        <v/>
      </c>
      <c r="AU193" s="160">
        <f>AA193+MAX(0,MIN(AK193,'Debt Payoff'!$C$12-SUM($W193:$AF193)-SUMIFS($AG193:$AP193,$AG$4:$AP$4,"&lt;"&amp;AK$4)))</f>
        <v/>
      </c>
      <c r="AV193" s="160">
        <f>AB193+MAX(0,MIN(AL193,'Debt Payoff'!$C$12-SUM($W193:$AF193)-SUMIFS($AG193:$AP193,$AG$4:$AP$4,"&lt;"&amp;AL$4)))</f>
        <v/>
      </c>
      <c r="AW193" s="160">
        <f>AC193+MAX(0,MIN(AM193,'Debt Payoff'!$C$12-SUM($W193:$AF193)-SUMIFS($AG193:$AP193,$AG$4:$AP$4,"&lt;"&amp;AM$4)))</f>
        <v/>
      </c>
      <c r="AX193" s="160">
        <f>AD193+MAX(0,MIN(AN193,'Debt Payoff'!$C$12-SUM($W193:$AF193)-SUMIFS($AG193:$AP193,$AG$4:$AP$4,"&lt;"&amp;AN$4)))</f>
        <v/>
      </c>
      <c r="AY193" s="160">
        <f>AE193+MAX(0,MIN(AO193,'Debt Payoff'!$C$12-SUM($W193:$AF193)-SUMIFS($AG193:$AP193,$AG$4:$AP$4,"&lt;"&amp;AO$4)))</f>
        <v/>
      </c>
      <c r="AZ193" s="160">
        <f>AF193+MAX(0,MIN(AP193,'Debt Payoff'!$C$12-SUM($W193:$AF193)-SUMIFS($AG193:$AP193,$AG$4:$AP$4,"&lt;"&amp;AP$4)))</f>
        <v/>
      </c>
      <c r="BA193" s="160">
        <f>SUM(C193:L193)</f>
        <v/>
      </c>
      <c r="BB193" s="160">
        <f>SUM(AQ193:AZ193)</f>
        <v/>
      </c>
      <c r="BC193" s="160">
        <f>SUM(M193:V193)</f>
        <v/>
      </c>
    </row>
    <row r="194">
      <c r="A194" s="157" t="n">
        <v>189</v>
      </c>
      <c r="B194" s="159">
        <f>EDATE('Debt Payoff'!$C$6,188)</f>
        <v/>
      </c>
      <c r="C194" s="160">
        <f>MAX(0,ROUND(C193+M194-AQ194,2))</f>
        <v/>
      </c>
      <c r="D194" s="160">
        <f>MAX(0,ROUND(D193+N194-AR194,2))</f>
        <v/>
      </c>
      <c r="E194" s="160">
        <f>MAX(0,ROUND(E193+O194-AS194,2))</f>
        <v/>
      </c>
      <c r="F194" s="160">
        <f>MAX(0,ROUND(F193+P194-AT194,2))</f>
        <v/>
      </c>
      <c r="G194" s="160">
        <f>MAX(0,ROUND(G193+Q194-AU194,2))</f>
        <v/>
      </c>
      <c r="H194" s="160">
        <f>MAX(0,ROUND(H193+R194-AV194,2))</f>
        <v/>
      </c>
      <c r="I194" s="160">
        <f>MAX(0,ROUND(I193+S194-AW194,2))</f>
        <v/>
      </c>
      <c r="J194" s="160">
        <f>MAX(0,ROUND(J193+T194-AX194,2))</f>
        <v/>
      </c>
      <c r="K194" s="160">
        <f>MAX(0,ROUND(K193+U194-AY194,2))</f>
        <v/>
      </c>
      <c r="L194" s="160">
        <f>MAX(0,ROUND(L193+V194-AZ194,2))</f>
        <v/>
      </c>
      <c r="M194" s="160">
        <f>C193*N('Debt Payoff'!$D$15)/12</f>
        <v/>
      </c>
      <c r="N194" s="160">
        <f>D193*N('Debt Payoff'!$D$16)/12</f>
        <v/>
      </c>
      <c r="O194" s="160">
        <f>E193*N('Debt Payoff'!$D$17)/12</f>
        <v/>
      </c>
      <c r="P194" s="160">
        <f>F193*N('Debt Payoff'!$D$18)/12</f>
        <v/>
      </c>
      <c r="Q194" s="160">
        <f>G193*N('Debt Payoff'!$D$19)/12</f>
        <v/>
      </c>
      <c r="R194" s="160">
        <f>H193*N('Debt Payoff'!$D$20)/12</f>
        <v/>
      </c>
      <c r="S194" s="160">
        <f>I193*N('Debt Payoff'!$D$21)/12</f>
        <v/>
      </c>
      <c r="T194" s="160">
        <f>J193*N('Debt Payoff'!$D$22)/12</f>
        <v/>
      </c>
      <c r="U194" s="160">
        <f>K193*N('Debt Payoff'!$D$23)/12</f>
        <v/>
      </c>
      <c r="V194" s="160">
        <f>L193*N('Debt Payoff'!$D$24)/12</f>
        <v/>
      </c>
      <c r="W194" s="160">
        <f>MIN(N('Debt Payoff'!$E$15),C193+M194)</f>
        <v/>
      </c>
      <c r="X194" s="160">
        <f>MIN(N('Debt Payoff'!$E$16),D193+N194)</f>
        <v/>
      </c>
      <c r="Y194" s="160">
        <f>MIN(N('Debt Payoff'!$E$17),E193+O194)</f>
        <v/>
      </c>
      <c r="Z194" s="160">
        <f>MIN(N('Debt Payoff'!$E$18),F193+P194)</f>
        <v/>
      </c>
      <c r="AA194" s="160">
        <f>MIN(N('Debt Payoff'!$E$19),G193+Q194)</f>
        <v/>
      </c>
      <c r="AB194" s="160">
        <f>MIN(N('Debt Payoff'!$E$20),H193+R194)</f>
        <v/>
      </c>
      <c r="AC194" s="160">
        <f>MIN(N('Debt Payoff'!$E$21),I193+S194)</f>
        <v/>
      </c>
      <c r="AD194" s="160">
        <f>MIN(N('Debt Payoff'!$E$22),J193+T194)</f>
        <v/>
      </c>
      <c r="AE194" s="160">
        <f>MIN(N('Debt Payoff'!$E$23),K193+U194)</f>
        <v/>
      </c>
      <c r="AF194" s="160">
        <f>MIN(N('Debt Payoff'!$E$24),L193+V194)</f>
        <v/>
      </c>
      <c r="AG194" s="160">
        <f>C193+M194-W194</f>
        <v/>
      </c>
      <c r="AH194" s="160">
        <f>D193+N194-X194</f>
        <v/>
      </c>
      <c r="AI194" s="160">
        <f>E193+O194-Y194</f>
        <v/>
      </c>
      <c r="AJ194" s="160">
        <f>F193+P194-Z194</f>
        <v/>
      </c>
      <c r="AK194" s="160">
        <f>G193+Q194-AA194</f>
        <v/>
      </c>
      <c r="AL194" s="160">
        <f>H193+R194-AB194</f>
        <v/>
      </c>
      <c r="AM194" s="160">
        <f>I193+S194-AC194</f>
        <v/>
      </c>
      <c r="AN194" s="160">
        <f>J193+T194-AD194</f>
        <v/>
      </c>
      <c r="AO194" s="160">
        <f>K193+U194-AE194</f>
        <v/>
      </c>
      <c r="AP194" s="160">
        <f>L193+V194-AF194</f>
        <v/>
      </c>
      <c r="AQ194" s="160">
        <f>W194+MAX(0,MIN(AG194,'Debt Payoff'!$C$12-SUM($W194:$AF194)-SUMIFS($AG194:$AP194,$AG$4:$AP$4,"&lt;"&amp;AG$4)))</f>
        <v/>
      </c>
      <c r="AR194" s="160">
        <f>X194+MAX(0,MIN(AH194,'Debt Payoff'!$C$12-SUM($W194:$AF194)-SUMIFS($AG194:$AP194,$AG$4:$AP$4,"&lt;"&amp;AH$4)))</f>
        <v/>
      </c>
      <c r="AS194" s="160">
        <f>Y194+MAX(0,MIN(AI194,'Debt Payoff'!$C$12-SUM($W194:$AF194)-SUMIFS($AG194:$AP194,$AG$4:$AP$4,"&lt;"&amp;AI$4)))</f>
        <v/>
      </c>
      <c r="AT194" s="160">
        <f>Z194+MAX(0,MIN(AJ194,'Debt Payoff'!$C$12-SUM($W194:$AF194)-SUMIFS($AG194:$AP194,$AG$4:$AP$4,"&lt;"&amp;AJ$4)))</f>
        <v/>
      </c>
      <c r="AU194" s="160">
        <f>AA194+MAX(0,MIN(AK194,'Debt Payoff'!$C$12-SUM($W194:$AF194)-SUMIFS($AG194:$AP194,$AG$4:$AP$4,"&lt;"&amp;AK$4)))</f>
        <v/>
      </c>
      <c r="AV194" s="160">
        <f>AB194+MAX(0,MIN(AL194,'Debt Payoff'!$C$12-SUM($W194:$AF194)-SUMIFS($AG194:$AP194,$AG$4:$AP$4,"&lt;"&amp;AL$4)))</f>
        <v/>
      </c>
      <c r="AW194" s="160">
        <f>AC194+MAX(0,MIN(AM194,'Debt Payoff'!$C$12-SUM($W194:$AF194)-SUMIFS($AG194:$AP194,$AG$4:$AP$4,"&lt;"&amp;AM$4)))</f>
        <v/>
      </c>
      <c r="AX194" s="160">
        <f>AD194+MAX(0,MIN(AN194,'Debt Payoff'!$C$12-SUM($W194:$AF194)-SUMIFS($AG194:$AP194,$AG$4:$AP$4,"&lt;"&amp;AN$4)))</f>
        <v/>
      </c>
      <c r="AY194" s="160">
        <f>AE194+MAX(0,MIN(AO194,'Debt Payoff'!$C$12-SUM($W194:$AF194)-SUMIFS($AG194:$AP194,$AG$4:$AP$4,"&lt;"&amp;AO$4)))</f>
        <v/>
      </c>
      <c r="AZ194" s="160">
        <f>AF194+MAX(0,MIN(AP194,'Debt Payoff'!$C$12-SUM($W194:$AF194)-SUMIFS($AG194:$AP194,$AG$4:$AP$4,"&lt;"&amp;AP$4)))</f>
        <v/>
      </c>
      <c r="BA194" s="160">
        <f>SUM(C194:L194)</f>
        <v/>
      </c>
      <c r="BB194" s="160">
        <f>SUM(AQ194:AZ194)</f>
        <v/>
      </c>
      <c r="BC194" s="160">
        <f>SUM(M194:V194)</f>
        <v/>
      </c>
    </row>
    <row r="195">
      <c r="A195" s="157" t="n">
        <v>190</v>
      </c>
      <c r="B195" s="159">
        <f>EDATE('Debt Payoff'!$C$6,189)</f>
        <v/>
      </c>
      <c r="C195" s="160">
        <f>MAX(0,ROUND(C194+M195-AQ195,2))</f>
        <v/>
      </c>
      <c r="D195" s="160">
        <f>MAX(0,ROUND(D194+N195-AR195,2))</f>
        <v/>
      </c>
      <c r="E195" s="160">
        <f>MAX(0,ROUND(E194+O195-AS195,2))</f>
        <v/>
      </c>
      <c r="F195" s="160">
        <f>MAX(0,ROUND(F194+P195-AT195,2))</f>
        <v/>
      </c>
      <c r="G195" s="160">
        <f>MAX(0,ROUND(G194+Q195-AU195,2))</f>
        <v/>
      </c>
      <c r="H195" s="160">
        <f>MAX(0,ROUND(H194+R195-AV195,2))</f>
        <v/>
      </c>
      <c r="I195" s="160">
        <f>MAX(0,ROUND(I194+S195-AW195,2))</f>
        <v/>
      </c>
      <c r="J195" s="160">
        <f>MAX(0,ROUND(J194+T195-AX195,2))</f>
        <v/>
      </c>
      <c r="K195" s="160">
        <f>MAX(0,ROUND(K194+U195-AY195,2))</f>
        <v/>
      </c>
      <c r="L195" s="160">
        <f>MAX(0,ROUND(L194+V195-AZ195,2))</f>
        <v/>
      </c>
      <c r="M195" s="160">
        <f>C194*N('Debt Payoff'!$D$15)/12</f>
        <v/>
      </c>
      <c r="N195" s="160">
        <f>D194*N('Debt Payoff'!$D$16)/12</f>
        <v/>
      </c>
      <c r="O195" s="160">
        <f>E194*N('Debt Payoff'!$D$17)/12</f>
        <v/>
      </c>
      <c r="P195" s="160">
        <f>F194*N('Debt Payoff'!$D$18)/12</f>
        <v/>
      </c>
      <c r="Q195" s="160">
        <f>G194*N('Debt Payoff'!$D$19)/12</f>
        <v/>
      </c>
      <c r="R195" s="160">
        <f>H194*N('Debt Payoff'!$D$20)/12</f>
        <v/>
      </c>
      <c r="S195" s="160">
        <f>I194*N('Debt Payoff'!$D$21)/12</f>
        <v/>
      </c>
      <c r="T195" s="160">
        <f>J194*N('Debt Payoff'!$D$22)/12</f>
        <v/>
      </c>
      <c r="U195" s="160">
        <f>K194*N('Debt Payoff'!$D$23)/12</f>
        <v/>
      </c>
      <c r="V195" s="160">
        <f>L194*N('Debt Payoff'!$D$24)/12</f>
        <v/>
      </c>
      <c r="W195" s="160">
        <f>MIN(N('Debt Payoff'!$E$15),C194+M195)</f>
        <v/>
      </c>
      <c r="X195" s="160">
        <f>MIN(N('Debt Payoff'!$E$16),D194+N195)</f>
        <v/>
      </c>
      <c r="Y195" s="160">
        <f>MIN(N('Debt Payoff'!$E$17),E194+O195)</f>
        <v/>
      </c>
      <c r="Z195" s="160">
        <f>MIN(N('Debt Payoff'!$E$18),F194+P195)</f>
        <v/>
      </c>
      <c r="AA195" s="160">
        <f>MIN(N('Debt Payoff'!$E$19),G194+Q195)</f>
        <v/>
      </c>
      <c r="AB195" s="160">
        <f>MIN(N('Debt Payoff'!$E$20),H194+R195)</f>
        <v/>
      </c>
      <c r="AC195" s="160">
        <f>MIN(N('Debt Payoff'!$E$21),I194+S195)</f>
        <v/>
      </c>
      <c r="AD195" s="160">
        <f>MIN(N('Debt Payoff'!$E$22),J194+T195)</f>
        <v/>
      </c>
      <c r="AE195" s="160">
        <f>MIN(N('Debt Payoff'!$E$23),K194+U195)</f>
        <v/>
      </c>
      <c r="AF195" s="160">
        <f>MIN(N('Debt Payoff'!$E$24),L194+V195)</f>
        <v/>
      </c>
      <c r="AG195" s="160">
        <f>C194+M195-W195</f>
        <v/>
      </c>
      <c r="AH195" s="160">
        <f>D194+N195-X195</f>
        <v/>
      </c>
      <c r="AI195" s="160">
        <f>E194+O195-Y195</f>
        <v/>
      </c>
      <c r="AJ195" s="160">
        <f>F194+P195-Z195</f>
        <v/>
      </c>
      <c r="AK195" s="160">
        <f>G194+Q195-AA195</f>
        <v/>
      </c>
      <c r="AL195" s="160">
        <f>H194+R195-AB195</f>
        <v/>
      </c>
      <c r="AM195" s="160">
        <f>I194+S195-AC195</f>
        <v/>
      </c>
      <c r="AN195" s="160">
        <f>J194+T195-AD195</f>
        <v/>
      </c>
      <c r="AO195" s="160">
        <f>K194+U195-AE195</f>
        <v/>
      </c>
      <c r="AP195" s="160">
        <f>L194+V195-AF195</f>
        <v/>
      </c>
      <c r="AQ195" s="160">
        <f>W195+MAX(0,MIN(AG195,'Debt Payoff'!$C$12-SUM($W195:$AF195)-SUMIFS($AG195:$AP195,$AG$4:$AP$4,"&lt;"&amp;AG$4)))</f>
        <v/>
      </c>
      <c r="AR195" s="160">
        <f>X195+MAX(0,MIN(AH195,'Debt Payoff'!$C$12-SUM($W195:$AF195)-SUMIFS($AG195:$AP195,$AG$4:$AP$4,"&lt;"&amp;AH$4)))</f>
        <v/>
      </c>
      <c r="AS195" s="160">
        <f>Y195+MAX(0,MIN(AI195,'Debt Payoff'!$C$12-SUM($W195:$AF195)-SUMIFS($AG195:$AP195,$AG$4:$AP$4,"&lt;"&amp;AI$4)))</f>
        <v/>
      </c>
      <c r="AT195" s="160">
        <f>Z195+MAX(0,MIN(AJ195,'Debt Payoff'!$C$12-SUM($W195:$AF195)-SUMIFS($AG195:$AP195,$AG$4:$AP$4,"&lt;"&amp;AJ$4)))</f>
        <v/>
      </c>
      <c r="AU195" s="160">
        <f>AA195+MAX(0,MIN(AK195,'Debt Payoff'!$C$12-SUM($W195:$AF195)-SUMIFS($AG195:$AP195,$AG$4:$AP$4,"&lt;"&amp;AK$4)))</f>
        <v/>
      </c>
      <c r="AV195" s="160">
        <f>AB195+MAX(0,MIN(AL195,'Debt Payoff'!$C$12-SUM($W195:$AF195)-SUMIFS($AG195:$AP195,$AG$4:$AP$4,"&lt;"&amp;AL$4)))</f>
        <v/>
      </c>
      <c r="AW195" s="160">
        <f>AC195+MAX(0,MIN(AM195,'Debt Payoff'!$C$12-SUM($W195:$AF195)-SUMIFS($AG195:$AP195,$AG$4:$AP$4,"&lt;"&amp;AM$4)))</f>
        <v/>
      </c>
      <c r="AX195" s="160">
        <f>AD195+MAX(0,MIN(AN195,'Debt Payoff'!$C$12-SUM($W195:$AF195)-SUMIFS($AG195:$AP195,$AG$4:$AP$4,"&lt;"&amp;AN$4)))</f>
        <v/>
      </c>
      <c r="AY195" s="160">
        <f>AE195+MAX(0,MIN(AO195,'Debt Payoff'!$C$12-SUM($W195:$AF195)-SUMIFS($AG195:$AP195,$AG$4:$AP$4,"&lt;"&amp;AO$4)))</f>
        <v/>
      </c>
      <c r="AZ195" s="160">
        <f>AF195+MAX(0,MIN(AP195,'Debt Payoff'!$C$12-SUM($W195:$AF195)-SUMIFS($AG195:$AP195,$AG$4:$AP$4,"&lt;"&amp;AP$4)))</f>
        <v/>
      </c>
      <c r="BA195" s="160">
        <f>SUM(C195:L195)</f>
        <v/>
      </c>
      <c r="BB195" s="160">
        <f>SUM(AQ195:AZ195)</f>
        <v/>
      </c>
      <c r="BC195" s="160">
        <f>SUM(M195:V195)</f>
        <v/>
      </c>
    </row>
    <row r="196">
      <c r="A196" s="157" t="n">
        <v>191</v>
      </c>
      <c r="B196" s="159">
        <f>EDATE('Debt Payoff'!$C$6,190)</f>
        <v/>
      </c>
      <c r="C196" s="160">
        <f>MAX(0,ROUND(C195+M196-AQ196,2))</f>
        <v/>
      </c>
      <c r="D196" s="160">
        <f>MAX(0,ROUND(D195+N196-AR196,2))</f>
        <v/>
      </c>
      <c r="E196" s="160">
        <f>MAX(0,ROUND(E195+O196-AS196,2))</f>
        <v/>
      </c>
      <c r="F196" s="160">
        <f>MAX(0,ROUND(F195+P196-AT196,2))</f>
        <v/>
      </c>
      <c r="G196" s="160">
        <f>MAX(0,ROUND(G195+Q196-AU196,2))</f>
        <v/>
      </c>
      <c r="H196" s="160">
        <f>MAX(0,ROUND(H195+R196-AV196,2))</f>
        <v/>
      </c>
      <c r="I196" s="160">
        <f>MAX(0,ROUND(I195+S196-AW196,2))</f>
        <v/>
      </c>
      <c r="J196" s="160">
        <f>MAX(0,ROUND(J195+T196-AX196,2))</f>
        <v/>
      </c>
      <c r="K196" s="160">
        <f>MAX(0,ROUND(K195+U196-AY196,2))</f>
        <v/>
      </c>
      <c r="L196" s="160">
        <f>MAX(0,ROUND(L195+V196-AZ196,2))</f>
        <v/>
      </c>
      <c r="M196" s="160">
        <f>C195*N('Debt Payoff'!$D$15)/12</f>
        <v/>
      </c>
      <c r="N196" s="160">
        <f>D195*N('Debt Payoff'!$D$16)/12</f>
        <v/>
      </c>
      <c r="O196" s="160">
        <f>E195*N('Debt Payoff'!$D$17)/12</f>
        <v/>
      </c>
      <c r="P196" s="160">
        <f>F195*N('Debt Payoff'!$D$18)/12</f>
        <v/>
      </c>
      <c r="Q196" s="160">
        <f>G195*N('Debt Payoff'!$D$19)/12</f>
        <v/>
      </c>
      <c r="R196" s="160">
        <f>H195*N('Debt Payoff'!$D$20)/12</f>
        <v/>
      </c>
      <c r="S196" s="160">
        <f>I195*N('Debt Payoff'!$D$21)/12</f>
        <v/>
      </c>
      <c r="T196" s="160">
        <f>J195*N('Debt Payoff'!$D$22)/12</f>
        <v/>
      </c>
      <c r="U196" s="160">
        <f>K195*N('Debt Payoff'!$D$23)/12</f>
        <v/>
      </c>
      <c r="V196" s="160">
        <f>L195*N('Debt Payoff'!$D$24)/12</f>
        <v/>
      </c>
      <c r="W196" s="160">
        <f>MIN(N('Debt Payoff'!$E$15),C195+M196)</f>
        <v/>
      </c>
      <c r="X196" s="160">
        <f>MIN(N('Debt Payoff'!$E$16),D195+N196)</f>
        <v/>
      </c>
      <c r="Y196" s="160">
        <f>MIN(N('Debt Payoff'!$E$17),E195+O196)</f>
        <v/>
      </c>
      <c r="Z196" s="160">
        <f>MIN(N('Debt Payoff'!$E$18),F195+P196)</f>
        <v/>
      </c>
      <c r="AA196" s="160">
        <f>MIN(N('Debt Payoff'!$E$19),G195+Q196)</f>
        <v/>
      </c>
      <c r="AB196" s="160">
        <f>MIN(N('Debt Payoff'!$E$20),H195+R196)</f>
        <v/>
      </c>
      <c r="AC196" s="160">
        <f>MIN(N('Debt Payoff'!$E$21),I195+S196)</f>
        <v/>
      </c>
      <c r="AD196" s="160">
        <f>MIN(N('Debt Payoff'!$E$22),J195+T196)</f>
        <v/>
      </c>
      <c r="AE196" s="160">
        <f>MIN(N('Debt Payoff'!$E$23),K195+U196)</f>
        <v/>
      </c>
      <c r="AF196" s="160">
        <f>MIN(N('Debt Payoff'!$E$24),L195+V196)</f>
        <v/>
      </c>
      <c r="AG196" s="160">
        <f>C195+M196-W196</f>
        <v/>
      </c>
      <c r="AH196" s="160">
        <f>D195+N196-X196</f>
        <v/>
      </c>
      <c r="AI196" s="160">
        <f>E195+O196-Y196</f>
        <v/>
      </c>
      <c r="AJ196" s="160">
        <f>F195+P196-Z196</f>
        <v/>
      </c>
      <c r="AK196" s="160">
        <f>G195+Q196-AA196</f>
        <v/>
      </c>
      <c r="AL196" s="160">
        <f>H195+R196-AB196</f>
        <v/>
      </c>
      <c r="AM196" s="160">
        <f>I195+S196-AC196</f>
        <v/>
      </c>
      <c r="AN196" s="160">
        <f>J195+T196-AD196</f>
        <v/>
      </c>
      <c r="AO196" s="160">
        <f>K195+U196-AE196</f>
        <v/>
      </c>
      <c r="AP196" s="160">
        <f>L195+V196-AF196</f>
        <v/>
      </c>
      <c r="AQ196" s="160">
        <f>W196+MAX(0,MIN(AG196,'Debt Payoff'!$C$12-SUM($W196:$AF196)-SUMIFS($AG196:$AP196,$AG$4:$AP$4,"&lt;"&amp;AG$4)))</f>
        <v/>
      </c>
      <c r="AR196" s="160">
        <f>X196+MAX(0,MIN(AH196,'Debt Payoff'!$C$12-SUM($W196:$AF196)-SUMIFS($AG196:$AP196,$AG$4:$AP$4,"&lt;"&amp;AH$4)))</f>
        <v/>
      </c>
      <c r="AS196" s="160">
        <f>Y196+MAX(0,MIN(AI196,'Debt Payoff'!$C$12-SUM($W196:$AF196)-SUMIFS($AG196:$AP196,$AG$4:$AP$4,"&lt;"&amp;AI$4)))</f>
        <v/>
      </c>
      <c r="AT196" s="160">
        <f>Z196+MAX(0,MIN(AJ196,'Debt Payoff'!$C$12-SUM($W196:$AF196)-SUMIFS($AG196:$AP196,$AG$4:$AP$4,"&lt;"&amp;AJ$4)))</f>
        <v/>
      </c>
      <c r="AU196" s="160">
        <f>AA196+MAX(0,MIN(AK196,'Debt Payoff'!$C$12-SUM($W196:$AF196)-SUMIFS($AG196:$AP196,$AG$4:$AP$4,"&lt;"&amp;AK$4)))</f>
        <v/>
      </c>
      <c r="AV196" s="160">
        <f>AB196+MAX(0,MIN(AL196,'Debt Payoff'!$C$12-SUM($W196:$AF196)-SUMIFS($AG196:$AP196,$AG$4:$AP$4,"&lt;"&amp;AL$4)))</f>
        <v/>
      </c>
      <c r="AW196" s="160">
        <f>AC196+MAX(0,MIN(AM196,'Debt Payoff'!$C$12-SUM($W196:$AF196)-SUMIFS($AG196:$AP196,$AG$4:$AP$4,"&lt;"&amp;AM$4)))</f>
        <v/>
      </c>
      <c r="AX196" s="160">
        <f>AD196+MAX(0,MIN(AN196,'Debt Payoff'!$C$12-SUM($W196:$AF196)-SUMIFS($AG196:$AP196,$AG$4:$AP$4,"&lt;"&amp;AN$4)))</f>
        <v/>
      </c>
      <c r="AY196" s="160">
        <f>AE196+MAX(0,MIN(AO196,'Debt Payoff'!$C$12-SUM($W196:$AF196)-SUMIFS($AG196:$AP196,$AG$4:$AP$4,"&lt;"&amp;AO$4)))</f>
        <v/>
      </c>
      <c r="AZ196" s="160">
        <f>AF196+MAX(0,MIN(AP196,'Debt Payoff'!$C$12-SUM($W196:$AF196)-SUMIFS($AG196:$AP196,$AG$4:$AP$4,"&lt;"&amp;AP$4)))</f>
        <v/>
      </c>
      <c r="BA196" s="160">
        <f>SUM(C196:L196)</f>
        <v/>
      </c>
      <c r="BB196" s="160">
        <f>SUM(AQ196:AZ196)</f>
        <v/>
      </c>
      <c r="BC196" s="160">
        <f>SUM(M196:V196)</f>
        <v/>
      </c>
    </row>
    <row r="197">
      <c r="A197" s="157" t="n">
        <v>192</v>
      </c>
      <c r="B197" s="159">
        <f>EDATE('Debt Payoff'!$C$6,191)</f>
        <v/>
      </c>
      <c r="C197" s="160">
        <f>MAX(0,ROUND(C196+M197-AQ197,2))</f>
        <v/>
      </c>
      <c r="D197" s="160">
        <f>MAX(0,ROUND(D196+N197-AR197,2))</f>
        <v/>
      </c>
      <c r="E197" s="160">
        <f>MAX(0,ROUND(E196+O197-AS197,2))</f>
        <v/>
      </c>
      <c r="F197" s="160">
        <f>MAX(0,ROUND(F196+P197-AT197,2))</f>
        <v/>
      </c>
      <c r="G197" s="160">
        <f>MAX(0,ROUND(G196+Q197-AU197,2))</f>
        <v/>
      </c>
      <c r="H197" s="160">
        <f>MAX(0,ROUND(H196+R197-AV197,2))</f>
        <v/>
      </c>
      <c r="I197" s="160">
        <f>MAX(0,ROUND(I196+S197-AW197,2))</f>
        <v/>
      </c>
      <c r="J197" s="160">
        <f>MAX(0,ROUND(J196+T197-AX197,2))</f>
        <v/>
      </c>
      <c r="K197" s="160">
        <f>MAX(0,ROUND(K196+U197-AY197,2))</f>
        <v/>
      </c>
      <c r="L197" s="160">
        <f>MAX(0,ROUND(L196+V197-AZ197,2))</f>
        <v/>
      </c>
      <c r="M197" s="160">
        <f>C196*N('Debt Payoff'!$D$15)/12</f>
        <v/>
      </c>
      <c r="N197" s="160">
        <f>D196*N('Debt Payoff'!$D$16)/12</f>
        <v/>
      </c>
      <c r="O197" s="160">
        <f>E196*N('Debt Payoff'!$D$17)/12</f>
        <v/>
      </c>
      <c r="P197" s="160">
        <f>F196*N('Debt Payoff'!$D$18)/12</f>
        <v/>
      </c>
      <c r="Q197" s="160">
        <f>G196*N('Debt Payoff'!$D$19)/12</f>
        <v/>
      </c>
      <c r="R197" s="160">
        <f>H196*N('Debt Payoff'!$D$20)/12</f>
        <v/>
      </c>
      <c r="S197" s="160">
        <f>I196*N('Debt Payoff'!$D$21)/12</f>
        <v/>
      </c>
      <c r="T197" s="160">
        <f>J196*N('Debt Payoff'!$D$22)/12</f>
        <v/>
      </c>
      <c r="U197" s="160">
        <f>K196*N('Debt Payoff'!$D$23)/12</f>
        <v/>
      </c>
      <c r="V197" s="160">
        <f>L196*N('Debt Payoff'!$D$24)/12</f>
        <v/>
      </c>
      <c r="W197" s="160">
        <f>MIN(N('Debt Payoff'!$E$15),C196+M197)</f>
        <v/>
      </c>
      <c r="X197" s="160">
        <f>MIN(N('Debt Payoff'!$E$16),D196+N197)</f>
        <v/>
      </c>
      <c r="Y197" s="160">
        <f>MIN(N('Debt Payoff'!$E$17),E196+O197)</f>
        <v/>
      </c>
      <c r="Z197" s="160">
        <f>MIN(N('Debt Payoff'!$E$18),F196+P197)</f>
        <v/>
      </c>
      <c r="AA197" s="160">
        <f>MIN(N('Debt Payoff'!$E$19),G196+Q197)</f>
        <v/>
      </c>
      <c r="AB197" s="160">
        <f>MIN(N('Debt Payoff'!$E$20),H196+R197)</f>
        <v/>
      </c>
      <c r="AC197" s="160">
        <f>MIN(N('Debt Payoff'!$E$21),I196+S197)</f>
        <v/>
      </c>
      <c r="AD197" s="160">
        <f>MIN(N('Debt Payoff'!$E$22),J196+T197)</f>
        <v/>
      </c>
      <c r="AE197" s="160">
        <f>MIN(N('Debt Payoff'!$E$23),K196+U197)</f>
        <v/>
      </c>
      <c r="AF197" s="160">
        <f>MIN(N('Debt Payoff'!$E$24),L196+V197)</f>
        <v/>
      </c>
      <c r="AG197" s="160">
        <f>C196+M197-W197</f>
        <v/>
      </c>
      <c r="AH197" s="160">
        <f>D196+N197-X197</f>
        <v/>
      </c>
      <c r="AI197" s="160">
        <f>E196+O197-Y197</f>
        <v/>
      </c>
      <c r="AJ197" s="160">
        <f>F196+P197-Z197</f>
        <v/>
      </c>
      <c r="AK197" s="160">
        <f>G196+Q197-AA197</f>
        <v/>
      </c>
      <c r="AL197" s="160">
        <f>H196+R197-AB197</f>
        <v/>
      </c>
      <c r="AM197" s="160">
        <f>I196+S197-AC197</f>
        <v/>
      </c>
      <c r="AN197" s="160">
        <f>J196+T197-AD197</f>
        <v/>
      </c>
      <c r="AO197" s="160">
        <f>K196+U197-AE197</f>
        <v/>
      </c>
      <c r="AP197" s="160">
        <f>L196+V197-AF197</f>
        <v/>
      </c>
      <c r="AQ197" s="160">
        <f>W197+MAX(0,MIN(AG197,'Debt Payoff'!$C$12-SUM($W197:$AF197)-SUMIFS($AG197:$AP197,$AG$4:$AP$4,"&lt;"&amp;AG$4)))</f>
        <v/>
      </c>
      <c r="AR197" s="160">
        <f>X197+MAX(0,MIN(AH197,'Debt Payoff'!$C$12-SUM($W197:$AF197)-SUMIFS($AG197:$AP197,$AG$4:$AP$4,"&lt;"&amp;AH$4)))</f>
        <v/>
      </c>
      <c r="AS197" s="160">
        <f>Y197+MAX(0,MIN(AI197,'Debt Payoff'!$C$12-SUM($W197:$AF197)-SUMIFS($AG197:$AP197,$AG$4:$AP$4,"&lt;"&amp;AI$4)))</f>
        <v/>
      </c>
      <c r="AT197" s="160">
        <f>Z197+MAX(0,MIN(AJ197,'Debt Payoff'!$C$12-SUM($W197:$AF197)-SUMIFS($AG197:$AP197,$AG$4:$AP$4,"&lt;"&amp;AJ$4)))</f>
        <v/>
      </c>
      <c r="AU197" s="160">
        <f>AA197+MAX(0,MIN(AK197,'Debt Payoff'!$C$12-SUM($W197:$AF197)-SUMIFS($AG197:$AP197,$AG$4:$AP$4,"&lt;"&amp;AK$4)))</f>
        <v/>
      </c>
      <c r="AV197" s="160">
        <f>AB197+MAX(0,MIN(AL197,'Debt Payoff'!$C$12-SUM($W197:$AF197)-SUMIFS($AG197:$AP197,$AG$4:$AP$4,"&lt;"&amp;AL$4)))</f>
        <v/>
      </c>
      <c r="AW197" s="160">
        <f>AC197+MAX(0,MIN(AM197,'Debt Payoff'!$C$12-SUM($W197:$AF197)-SUMIFS($AG197:$AP197,$AG$4:$AP$4,"&lt;"&amp;AM$4)))</f>
        <v/>
      </c>
      <c r="AX197" s="160">
        <f>AD197+MAX(0,MIN(AN197,'Debt Payoff'!$C$12-SUM($W197:$AF197)-SUMIFS($AG197:$AP197,$AG$4:$AP$4,"&lt;"&amp;AN$4)))</f>
        <v/>
      </c>
      <c r="AY197" s="160">
        <f>AE197+MAX(0,MIN(AO197,'Debt Payoff'!$C$12-SUM($W197:$AF197)-SUMIFS($AG197:$AP197,$AG$4:$AP$4,"&lt;"&amp;AO$4)))</f>
        <v/>
      </c>
      <c r="AZ197" s="160">
        <f>AF197+MAX(0,MIN(AP197,'Debt Payoff'!$C$12-SUM($W197:$AF197)-SUMIFS($AG197:$AP197,$AG$4:$AP$4,"&lt;"&amp;AP$4)))</f>
        <v/>
      </c>
      <c r="BA197" s="160">
        <f>SUM(C197:L197)</f>
        <v/>
      </c>
      <c r="BB197" s="160">
        <f>SUM(AQ197:AZ197)</f>
        <v/>
      </c>
      <c r="BC197" s="160">
        <f>SUM(M197:V197)</f>
        <v/>
      </c>
    </row>
    <row r="198">
      <c r="A198" s="157" t="n">
        <v>193</v>
      </c>
      <c r="B198" s="159">
        <f>EDATE('Debt Payoff'!$C$6,192)</f>
        <v/>
      </c>
      <c r="C198" s="160">
        <f>MAX(0,ROUND(C197+M198-AQ198,2))</f>
        <v/>
      </c>
      <c r="D198" s="160">
        <f>MAX(0,ROUND(D197+N198-AR198,2))</f>
        <v/>
      </c>
      <c r="E198" s="160">
        <f>MAX(0,ROUND(E197+O198-AS198,2))</f>
        <v/>
      </c>
      <c r="F198" s="160">
        <f>MAX(0,ROUND(F197+P198-AT198,2))</f>
        <v/>
      </c>
      <c r="G198" s="160">
        <f>MAX(0,ROUND(G197+Q198-AU198,2))</f>
        <v/>
      </c>
      <c r="H198" s="160">
        <f>MAX(0,ROUND(H197+R198-AV198,2))</f>
        <v/>
      </c>
      <c r="I198" s="160">
        <f>MAX(0,ROUND(I197+S198-AW198,2))</f>
        <v/>
      </c>
      <c r="J198" s="160">
        <f>MAX(0,ROUND(J197+T198-AX198,2))</f>
        <v/>
      </c>
      <c r="K198" s="160">
        <f>MAX(0,ROUND(K197+U198-AY198,2))</f>
        <v/>
      </c>
      <c r="L198" s="160">
        <f>MAX(0,ROUND(L197+V198-AZ198,2))</f>
        <v/>
      </c>
      <c r="M198" s="160">
        <f>C197*N('Debt Payoff'!$D$15)/12</f>
        <v/>
      </c>
      <c r="N198" s="160">
        <f>D197*N('Debt Payoff'!$D$16)/12</f>
        <v/>
      </c>
      <c r="O198" s="160">
        <f>E197*N('Debt Payoff'!$D$17)/12</f>
        <v/>
      </c>
      <c r="P198" s="160">
        <f>F197*N('Debt Payoff'!$D$18)/12</f>
        <v/>
      </c>
      <c r="Q198" s="160">
        <f>G197*N('Debt Payoff'!$D$19)/12</f>
        <v/>
      </c>
      <c r="R198" s="160">
        <f>H197*N('Debt Payoff'!$D$20)/12</f>
        <v/>
      </c>
      <c r="S198" s="160">
        <f>I197*N('Debt Payoff'!$D$21)/12</f>
        <v/>
      </c>
      <c r="T198" s="160">
        <f>J197*N('Debt Payoff'!$D$22)/12</f>
        <v/>
      </c>
      <c r="U198" s="160">
        <f>K197*N('Debt Payoff'!$D$23)/12</f>
        <v/>
      </c>
      <c r="V198" s="160">
        <f>L197*N('Debt Payoff'!$D$24)/12</f>
        <v/>
      </c>
      <c r="W198" s="160">
        <f>MIN(N('Debt Payoff'!$E$15),C197+M198)</f>
        <v/>
      </c>
      <c r="X198" s="160">
        <f>MIN(N('Debt Payoff'!$E$16),D197+N198)</f>
        <v/>
      </c>
      <c r="Y198" s="160">
        <f>MIN(N('Debt Payoff'!$E$17),E197+O198)</f>
        <v/>
      </c>
      <c r="Z198" s="160">
        <f>MIN(N('Debt Payoff'!$E$18),F197+P198)</f>
        <v/>
      </c>
      <c r="AA198" s="160">
        <f>MIN(N('Debt Payoff'!$E$19),G197+Q198)</f>
        <v/>
      </c>
      <c r="AB198" s="160">
        <f>MIN(N('Debt Payoff'!$E$20),H197+R198)</f>
        <v/>
      </c>
      <c r="AC198" s="160">
        <f>MIN(N('Debt Payoff'!$E$21),I197+S198)</f>
        <v/>
      </c>
      <c r="AD198" s="160">
        <f>MIN(N('Debt Payoff'!$E$22),J197+T198)</f>
        <v/>
      </c>
      <c r="AE198" s="160">
        <f>MIN(N('Debt Payoff'!$E$23),K197+U198)</f>
        <v/>
      </c>
      <c r="AF198" s="160">
        <f>MIN(N('Debt Payoff'!$E$24),L197+V198)</f>
        <v/>
      </c>
      <c r="AG198" s="160">
        <f>C197+M198-W198</f>
        <v/>
      </c>
      <c r="AH198" s="160">
        <f>D197+N198-X198</f>
        <v/>
      </c>
      <c r="AI198" s="160">
        <f>E197+O198-Y198</f>
        <v/>
      </c>
      <c r="AJ198" s="160">
        <f>F197+P198-Z198</f>
        <v/>
      </c>
      <c r="AK198" s="160">
        <f>G197+Q198-AA198</f>
        <v/>
      </c>
      <c r="AL198" s="160">
        <f>H197+R198-AB198</f>
        <v/>
      </c>
      <c r="AM198" s="160">
        <f>I197+S198-AC198</f>
        <v/>
      </c>
      <c r="AN198" s="160">
        <f>J197+T198-AD198</f>
        <v/>
      </c>
      <c r="AO198" s="160">
        <f>K197+U198-AE198</f>
        <v/>
      </c>
      <c r="AP198" s="160">
        <f>L197+V198-AF198</f>
        <v/>
      </c>
      <c r="AQ198" s="160">
        <f>W198+MAX(0,MIN(AG198,'Debt Payoff'!$C$12-SUM($W198:$AF198)-SUMIFS($AG198:$AP198,$AG$4:$AP$4,"&lt;"&amp;AG$4)))</f>
        <v/>
      </c>
      <c r="AR198" s="160">
        <f>X198+MAX(0,MIN(AH198,'Debt Payoff'!$C$12-SUM($W198:$AF198)-SUMIFS($AG198:$AP198,$AG$4:$AP$4,"&lt;"&amp;AH$4)))</f>
        <v/>
      </c>
      <c r="AS198" s="160">
        <f>Y198+MAX(0,MIN(AI198,'Debt Payoff'!$C$12-SUM($W198:$AF198)-SUMIFS($AG198:$AP198,$AG$4:$AP$4,"&lt;"&amp;AI$4)))</f>
        <v/>
      </c>
      <c r="AT198" s="160">
        <f>Z198+MAX(0,MIN(AJ198,'Debt Payoff'!$C$12-SUM($W198:$AF198)-SUMIFS($AG198:$AP198,$AG$4:$AP$4,"&lt;"&amp;AJ$4)))</f>
        <v/>
      </c>
      <c r="AU198" s="160">
        <f>AA198+MAX(0,MIN(AK198,'Debt Payoff'!$C$12-SUM($W198:$AF198)-SUMIFS($AG198:$AP198,$AG$4:$AP$4,"&lt;"&amp;AK$4)))</f>
        <v/>
      </c>
      <c r="AV198" s="160">
        <f>AB198+MAX(0,MIN(AL198,'Debt Payoff'!$C$12-SUM($W198:$AF198)-SUMIFS($AG198:$AP198,$AG$4:$AP$4,"&lt;"&amp;AL$4)))</f>
        <v/>
      </c>
      <c r="AW198" s="160">
        <f>AC198+MAX(0,MIN(AM198,'Debt Payoff'!$C$12-SUM($W198:$AF198)-SUMIFS($AG198:$AP198,$AG$4:$AP$4,"&lt;"&amp;AM$4)))</f>
        <v/>
      </c>
      <c r="AX198" s="160">
        <f>AD198+MAX(0,MIN(AN198,'Debt Payoff'!$C$12-SUM($W198:$AF198)-SUMIFS($AG198:$AP198,$AG$4:$AP$4,"&lt;"&amp;AN$4)))</f>
        <v/>
      </c>
      <c r="AY198" s="160">
        <f>AE198+MAX(0,MIN(AO198,'Debt Payoff'!$C$12-SUM($W198:$AF198)-SUMIFS($AG198:$AP198,$AG$4:$AP$4,"&lt;"&amp;AO$4)))</f>
        <v/>
      </c>
      <c r="AZ198" s="160">
        <f>AF198+MAX(0,MIN(AP198,'Debt Payoff'!$C$12-SUM($W198:$AF198)-SUMIFS($AG198:$AP198,$AG$4:$AP$4,"&lt;"&amp;AP$4)))</f>
        <v/>
      </c>
      <c r="BA198" s="160">
        <f>SUM(C198:L198)</f>
        <v/>
      </c>
      <c r="BB198" s="160">
        <f>SUM(AQ198:AZ198)</f>
        <v/>
      </c>
      <c r="BC198" s="160">
        <f>SUM(M198:V198)</f>
        <v/>
      </c>
    </row>
    <row r="199">
      <c r="A199" s="157" t="n">
        <v>194</v>
      </c>
      <c r="B199" s="159">
        <f>EDATE('Debt Payoff'!$C$6,193)</f>
        <v/>
      </c>
      <c r="C199" s="160">
        <f>MAX(0,ROUND(C198+M199-AQ199,2))</f>
        <v/>
      </c>
      <c r="D199" s="160">
        <f>MAX(0,ROUND(D198+N199-AR199,2))</f>
        <v/>
      </c>
      <c r="E199" s="160">
        <f>MAX(0,ROUND(E198+O199-AS199,2))</f>
        <v/>
      </c>
      <c r="F199" s="160">
        <f>MAX(0,ROUND(F198+P199-AT199,2))</f>
        <v/>
      </c>
      <c r="G199" s="160">
        <f>MAX(0,ROUND(G198+Q199-AU199,2))</f>
        <v/>
      </c>
      <c r="H199" s="160">
        <f>MAX(0,ROUND(H198+R199-AV199,2))</f>
        <v/>
      </c>
      <c r="I199" s="160">
        <f>MAX(0,ROUND(I198+S199-AW199,2))</f>
        <v/>
      </c>
      <c r="J199" s="160">
        <f>MAX(0,ROUND(J198+T199-AX199,2))</f>
        <v/>
      </c>
      <c r="K199" s="160">
        <f>MAX(0,ROUND(K198+U199-AY199,2))</f>
        <v/>
      </c>
      <c r="L199" s="160">
        <f>MAX(0,ROUND(L198+V199-AZ199,2))</f>
        <v/>
      </c>
      <c r="M199" s="160">
        <f>C198*N('Debt Payoff'!$D$15)/12</f>
        <v/>
      </c>
      <c r="N199" s="160">
        <f>D198*N('Debt Payoff'!$D$16)/12</f>
        <v/>
      </c>
      <c r="O199" s="160">
        <f>E198*N('Debt Payoff'!$D$17)/12</f>
        <v/>
      </c>
      <c r="P199" s="160">
        <f>F198*N('Debt Payoff'!$D$18)/12</f>
        <v/>
      </c>
      <c r="Q199" s="160">
        <f>G198*N('Debt Payoff'!$D$19)/12</f>
        <v/>
      </c>
      <c r="R199" s="160">
        <f>H198*N('Debt Payoff'!$D$20)/12</f>
        <v/>
      </c>
      <c r="S199" s="160">
        <f>I198*N('Debt Payoff'!$D$21)/12</f>
        <v/>
      </c>
      <c r="T199" s="160">
        <f>J198*N('Debt Payoff'!$D$22)/12</f>
        <v/>
      </c>
      <c r="U199" s="160">
        <f>K198*N('Debt Payoff'!$D$23)/12</f>
        <v/>
      </c>
      <c r="V199" s="160">
        <f>L198*N('Debt Payoff'!$D$24)/12</f>
        <v/>
      </c>
      <c r="W199" s="160">
        <f>MIN(N('Debt Payoff'!$E$15),C198+M199)</f>
        <v/>
      </c>
      <c r="X199" s="160">
        <f>MIN(N('Debt Payoff'!$E$16),D198+N199)</f>
        <v/>
      </c>
      <c r="Y199" s="160">
        <f>MIN(N('Debt Payoff'!$E$17),E198+O199)</f>
        <v/>
      </c>
      <c r="Z199" s="160">
        <f>MIN(N('Debt Payoff'!$E$18),F198+P199)</f>
        <v/>
      </c>
      <c r="AA199" s="160">
        <f>MIN(N('Debt Payoff'!$E$19),G198+Q199)</f>
        <v/>
      </c>
      <c r="AB199" s="160">
        <f>MIN(N('Debt Payoff'!$E$20),H198+R199)</f>
        <v/>
      </c>
      <c r="AC199" s="160">
        <f>MIN(N('Debt Payoff'!$E$21),I198+S199)</f>
        <v/>
      </c>
      <c r="AD199" s="160">
        <f>MIN(N('Debt Payoff'!$E$22),J198+T199)</f>
        <v/>
      </c>
      <c r="AE199" s="160">
        <f>MIN(N('Debt Payoff'!$E$23),K198+U199)</f>
        <v/>
      </c>
      <c r="AF199" s="160">
        <f>MIN(N('Debt Payoff'!$E$24),L198+V199)</f>
        <v/>
      </c>
      <c r="AG199" s="160">
        <f>C198+M199-W199</f>
        <v/>
      </c>
      <c r="AH199" s="160">
        <f>D198+N199-X199</f>
        <v/>
      </c>
      <c r="AI199" s="160">
        <f>E198+O199-Y199</f>
        <v/>
      </c>
      <c r="AJ199" s="160">
        <f>F198+P199-Z199</f>
        <v/>
      </c>
      <c r="AK199" s="160">
        <f>G198+Q199-AA199</f>
        <v/>
      </c>
      <c r="AL199" s="160">
        <f>H198+R199-AB199</f>
        <v/>
      </c>
      <c r="AM199" s="160">
        <f>I198+S199-AC199</f>
        <v/>
      </c>
      <c r="AN199" s="160">
        <f>J198+T199-AD199</f>
        <v/>
      </c>
      <c r="AO199" s="160">
        <f>K198+U199-AE199</f>
        <v/>
      </c>
      <c r="AP199" s="160">
        <f>L198+V199-AF199</f>
        <v/>
      </c>
      <c r="AQ199" s="160">
        <f>W199+MAX(0,MIN(AG199,'Debt Payoff'!$C$12-SUM($W199:$AF199)-SUMIFS($AG199:$AP199,$AG$4:$AP$4,"&lt;"&amp;AG$4)))</f>
        <v/>
      </c>
      <c r="AR199" s="160">
        <f>X199+MAX(0,MIN(AH199,'Debt Payoff'!$C$12-SUM($W199:$AF199)-SUMIFS($AG199:$AP199,$AG$4:$AP$4,"&lt;"&amp;AH$4)))</f>
        <v/>
      </c>
      <c r="AS199" s="160">
        <f>Y199+MAX(0,MIN(AI199,'Debt Payoff'!$C$12-SUM($W199:$AF199)-SUMIFS($AG199:$AP199,$AG$4:$AP$4,"&lt;"&amp;AI$4)))</f>
        <v/>
      </c>
      <c r="AT199" s="160">
        <f>Z199+MAX(0,MIN(AJ199,'Debt Payoff'!$C$12-SUM($W199:$AF199)-SUMIFS($AG199:$AP199,$AG$4:$AP$4,"&lt;"&amp;AJ$4)))</f>
        <v/>
      </c>
      <c r="AU199" s="160">
        <f>AA199+MAX(0,MIN(AK199,'Debt Payoff'!$C$12-SUM($W199:$AF199)-SUMIFS($AG199:$AP199,$AG$4:$AP$4,"&lt;"&amp;AK$4)))</f>
        <v/>
      </c>
      <c r="AV199" s="160">
        <f>AB199+MAX(0,MIN(AL199,'Debt Payoff'!$C$12-SUM($W199:$AF199)-SUMIFS($AG199:$AP199,$AG$4:$AP$4,"&lt;"&amp;AL$4)))</f>
        <v/>
      </c>
      <c r="AW199" s="160">
        <f>AC199+MAX(0,MIN(AM199,'Debt Payoff'!$C$12-SUM($W199:$AF199)-SUMIFS($AG199:$AP199,$AG$4:$AP$4,"&lt;"&amp;AM$4)))</f>
        <v/>
      </c>
      <c r="AX199" s="160">
        <f>AD199+MAX(0,MIN(AN199,'Debt Payoff'!$C$12-SUM($W199:$AF199)-SUMIFS($AG199:$AP199,$AG$4:$AP$4,"&lt;"&amp;AN$4)))</f>
        <v/>
      </c>
      <c r="AY199" s="160">
        <f>AE199+MAX(0,MIN(AO199,'Debt Payoff'!$C$12-SUM($W199:$AF199)-SUMIFS($AG199:$AP199,$AG$4:$AP$4,"&lt;"&amp;AO$4)))</f>
        <v/>
      </c>
      <c r="AZ199" s="160">
        <f>AF199+MAX(0,MIN(AP199,'Debt Payoff'!$C$12-SUM($W199:$AF199)-SUMIFS($AG199:$AP199,$AG$4:$AP$4,"&lt;"&amp;AP$4)))</f>
        <v/>
      </c>
      <c r="BA199" s="160">
        <f>SUM(C199:L199)</f>
        <v/>
      </c>
      <c r="BB199" s="160">
        <f>SUM(AQ199:AZ199)</f>
        <v/>
      </c>
      <c r="BC199" s="160">
        <f>SUM(M199:V199)</f>
        <v/>
      </c>
    </row>
    <row r="200">
      <c r="A200" s="157" t="n">
        <v>195</v>
      </c>
      <c r="B200" s="159">
        <f>EDATE('Debt Payoff'!$C$6,194)</f>
        <v/>
      </c>
      <c r="C200" s="160">
        <f>MAX(0,ROUND(C199+M200-AQ200,2))</f>
        <v/>
      </c>
      <c r="D200" s="160">
        <f>MAX(0,ROUND(D199+N200-AR200,2))</f>
        <v/>
      </c>
      <c r="E200" s="160">
        <f>MAX(0,ROUND(E199+O200-AS200,2))</f>
        <v/>
      </c>
      <c r="F200" s="160">
        <f>MAX(0,ROUND(F199+P200-AT200,2))</f>
        <v/>
      </c>
      <c r="G200" s="160">
        <f>MAX(0,ROUND(G199+Q200-AU200,2))</f>
        <v/>
      </c>
      <c r="H200" s="160">
        <f>MAX(0,ROUND(H199+R200-AV200,2))</f>
        <v/>
      </c>
      <c r="I200" s="160">
        <f>MAX(0,ROUND(I199+S200-AW200,2))</f>
        <v/>
      </c>
      <c r="J200" s="160">
        <f>MAX(0,ROUND(J199+T200-AX200,2))</f>
        <v/>
      </c>
      <c r="K200" s="160">
        <f>MAX(0,ROUND(K199+U200-AY200,2))</f>
        <v/>
      </c>
      <c r="L200" s="160">
        <f>MAX(0,ROUND(L199+V200-AZ200,2))</f>
        <v/>
      </c>
      <c r="M200" s="160">
        <f>C199*N('Debt Payoff'!$D$15)/12</f>
        <v/>
      </c>
      <c r="N200" s="160">
        <f>D199*N('Debt Payoff'!$D$16)/12</f>
        <v/>
      </c>
      <c r="O200" s="160">
        <f>E199*N('Debt Payoff'!$D$17)/12</f>
        <v/>
      </c>
      <c r="P200" s="160">
        <f>F199*N('Debt Payoff'!$D$18)/12</f>
        <v/>
      </c>
      <c r="Q200" s="160">
        <f>G199*N('Debt Payoff'!$D$19)/12</f>
        <v/>
      </c>
      <c r="R200" s="160">
        <f>H199*N('Debt Payoff'!$D$20)/12</f>
        <v/>
      </c>
      <c r="S200" s="160">
        <f>I199*N('Debt Payoff'!$D$21)/12</f>
        <v/>
      </c>
      <c r="T200" s="160">
        <f>J199*N('Debt Payoff'!$D$22)/12</f>
        <v/>
      </c>
      <c r="U200" s="160">
        <f>K199*N('Debt Payoff'!$D$23)/12</f>
        <v/>
      </c>
      <c r="V200" s="160">
        <f>L199*N('Debt Payoff'!$D$24)/12</f>
        <v/>
      </c>
      <c r="W200" s="160">
        <f>MIN(N('Debt Payoff'!$E$15),C199+M200)</f>
        <v/>
      </c>
      <c r="X200" s="160">
        <f>MIN(N('Debt Payoff'!$E$16),D199+N200)</f>
        <v/>
      </c>
      <c r="Y200" s="160">
        <f>MIN(N('Debt Payoff'!$E$17),E199+O200)</f>
        <v/>
      </c>
      <c r="Z200" s="160">
        <f>MIN(N('Debt Payoff'!$E$18),F199+P200)</f>
        <v/>
      </c>
      <c r="AA200" s="160">
        <f>MIN(N('Debt Payoff'!$E$19),G199+Q200)</f>
        <v/>
      </c>
      <c r="AB200" s="160">
        <f>MIN(N('Debt Payoff'!$E$20),H199+R200)</f>
        <v/>
      </c>
      <c r="AC200" s="160">
        <f>MIN(N('Debt Payoff'!$E$21),I199+S200)</f>
        <v/>
      </c>
      <c r="AD200" s="160">
        <f>MIN(N('Debt Payoff'!$E$22),J199+T200)</f>
        <v/>
      </c>
      <c r="AE200" s="160">
        <f>MIN(N('Debt Payoff'!$E$23),K199+U200)</f>
        <v/>
      </c>
      <c r="AF200" s="160">
        <f>MIN(N('Debt Payoff'!$E$24),L199+V200)</f>
        <v/>
      </c>
      <c r="AG200" s="160">
        <f>C199+M200-W200</f>
        <v/>
      </c>
      <c r="AH200" s="160">
        <f>D199+N200-X200</f>
        <v/>
      </c>
      <c r="AI200" s="160">
        <f>E199+O200-Y200</f>
        <v/>
      </c>
      <c r="AJ200" s="160">
        <f>F199+P200-Z200</f>
        <v/>
      </c>
      <c r="AK200" s="160">
        <f>G199+Q200-AA200</f>
        <v/>
      </c>
      <c r="AL200" s="160">
        <f>H199+R200-AB200</f>
        <v/>
      </c>
      <c r="AM200" s="160">
        <f>I199+S200-AC200</f>
        <v/>
      </c>
      <c r="AN200" s="160">
        <f>J199+T200-AD200</f>
        <v/>
      </c>
      <c r="AO200" s="160">
        <f>K199+U200-AE200</f>
        <v/>
      </c>
      <c r="AP200" s="160">
        <f>L199+V200-AF200</f>
        <v/>
      </c>
      <c r="AQ200" s="160">
        <f>W200+MAX(0,MIN(AG200,'Debt Payoff'!$C$12-SUM($W200:$AF200)-SUMIFS($AG200:$AP200,$AG$4:$AP$4,"&lt;"&amp;AG$4)))</f>
        <v/>
      </c>
      <c r="AR200" s="160">
        <f>X200+MAX(0,MIN(AH200,'Debt Payoff'!$C$12-SUM($W200:$AF200)-SUMIFS($AG200:$AP200,$AG$4:$AP$4,"&lt;"&amp;AH$4)))</f>
        <v/>
      </c>
      <c r="AS200" s="160">
        <f>Y200+MAX(0,MIN(AI200,'Debt Payoff'!$C$12-SUM($W200:$AF200)-SUMIFS($AG200:$AP200,$AG$4:$AP$4,"&lt;"&amp;AI$4)))</f>
        <v/>
      </c>
      <c r="AT200" s="160">
        <f>Z200+MAX(0,MIN(AJ200,'Debt Payoff'!$C$12-SUM($W200:$AF200)-SUMIFS($AG200:$AP200,$AG$4:$AP$4,"&lt;"&amp;AJ$4)))</f>
        <v/>
      </c>
      <c r="AU200" s="160">
        <f>AA200+MAX(0,MIN(AK200,'Debt Payoff'!$C$12-SUM($W200:$AF200)-SUMIFS($AG200:$AP200,$AG$4:$AP$4,"&lt;"&amp;AK$4)))</f>
        <v/>
      </c>
      <c r="AV200" s="160">
        <f>AB200+MAX(0,MIN(AL200,'Debt Payoff'!$C$12-SUM($W200:$AF200)-SUMIFS($AG200:$AP200,$AG$4:$AP$4,"&lt;"&amp;AL$4)))</f>
        <v/>
      </c>
      <c r="AW200" s="160">
        <f>AC200+MAX(0,MIN(AM200,'Debt Payoff'!$C$12-SUM($W200:$AF200)-SUMIFS($AG200:$AP200,$AG$4:$AP$4,"&lt;"&amp;AM$4)))</f>
        <v/>
      </c>
      <c r="AX200" s="160">
        <f>AD200+MAX(0,MIN(AN200,'Debt Payoff'!$C$12-SUM($W200:$AF200)-SUMIFS($AG200:$AP200,$AG$4:$AP$4,"&lt;"&amp;AN$4)))</f>
        <v/>
      </c>
      <c r="AY200" s="160">
        <f>AE200+MAX(0,MIN(AO200,'Debt Payoff'!$C$12-SUM($W200:$AF200)-SUMIFS($AG200:$AP200,$AG$4:$AP$4,"&lt;"&amp;AO$4)))</f>
        <v/>
      </c>
      <c r="AZ200" s="160">
        <f>AF200+MAX(0,MIN(AP200,'Debt Payoff'!$C$12-SUM($W200:$AF200)-SUMIFS($AG200:$AP200,$AG$4:$AP$4,"&lt;"&amp;AP$4)))</f>
        <v/>
      </c>
      <c r="BA200" s="160">
        <f>SUM(C200:L200)</f>
        <v/>
      </c>
      <c r="BB200" s="160">
        <f>SUM(AQ200:AZ200)</f>
        <v/>
      </c>
      <c r="BC200" s="160">
        <f>SUM(M200:V200)</f>
        <v/>
      </c>
    </row>
    <row r="201">
      <c r="A201" s="157" t="n">
        <v>196</v>
      </c>
      <c r="B201" s="159">
        <f>EDATE('Debt Payoff'!$C$6,195)</f>
        <v/>
      </c>
      <c r="C201" s="160">
        <f>MAX(0,ROUND(C200+M201-AQ201,2))</f>
        <v/>
      </c>
      <c r="D201" s="160">
        <f>MAX(0,ROUND(D200+N201-AR201,2))</f>
        <v/>
      </c>
      <c r="E201" s="160">
        <f>MAX(0,ROUND(E200+O201-AS201,2))</f>
        <v/>
      </c>
      <c r="F201" s="160">
        <f>MAX(0,ROUND(F200+P201-AT201,2))</f>
        <v/>
      </c>
      <c r="G201" s="160">
        <f>MAX(0,ROUND(G200+Q201-AU201,2))</f>
        <v/>
      </c>
      <c r="H201" s="160">
        <f>MAX(0,ROUND(H200+R201-AV201,2))</f>
        <v/>
      </c>
      <c r="I201" s="160">
        <f>MAX(0,ROUND(I200+S201-AW201,2))</f>
        <v/>
      </c>
      <c r="J201" s="160">
        <f>MAX(0,ROUND(J200+T201-AX201,2))</f>
        <v/>
      </c>
      <c r="K201" s="160">
        <f>MAX(0,ROUND(K200+U201-AY201,2))</f>
        <v/>
      </c>
      <c r="L201" s="160">
        <f>MAX(0,ROUND(L200+V201-AZ201,2))</f>
        <v/>
      </c>
      <c r="M201" s="160">
        <f>C200*N('Debt Payoff'!$D$15)/12</f>
        <v/>
      </c>
      <c r="N201" s="160">
        <f>D200*N('Debt Payoff'!$D$16)/12</f>
        <v/>
      </c>
      <c r="O201" s="160">
        <f>E200*N('Debt Payoff'!$D$17)/12</f>
        <v/>
      </c>
      <c r="P201" s="160">
        <f>F200*N('Debt Payoff'!$D$18)/12</f>
        <v/>
      </c>
      <c r="Q201" s="160">
        <f>G200*N('Debt Payoff'!$D$19)/12</f>
        <v/>
      </c>
      <c r="R201" s="160">
        <f>H200*N('Debt Payoff'!$D$20)/12</f>
        <v/>
      </c>
      <c r="S201" s="160">
        <f>I200*N('Debt Payoff'!$D$21)/12</f>
        <v/>
      </c>
      <c r="T201" s="160">
        <f>J200*N('Debt Payoff'!$D$22)/12</f>
        <v/>
      </c>
      <c r="U201" s="160">
        <f>K200*N('Debt Payoff'!$D$23)/12</f>
        <v/>
      </c>
      <c r="V201" s="160">
        <f>L200*N('Debt Payoff'!$D$24)/12</f>
        <v/>
      </c>
      <c r="W201" s="160">
        <f>MIN(N('Debt Payoff'!$E$15),C200+M201)</f>
        <v/>
      </c>
      <c r="X201" s="160">
        <f>MIN(N('Debt Payoff'!$E$16),D200+N201)</f>
        <v/>
      </c>
      <c r="Y201" s="160">
        <f>MIN(N('Debt Payoff'!$E$17),E200+O201)</f>
        <v/>
      </c>
      <c r="Z201" s="160">
        <f>MIN(N('Debt Payoff'!$E$18),F200+P201)</f>
        <v/>
      </c>
      <c r="AA201" s="160">
        <f>MIN(N('Debt Payoff'!$E$19),G200+Q201)</f>
        <v/>
      </c>
      <c r="AB201" s="160">
        <f>MIN(N('Debt Payoff'!$E$20),H200+R201)</f>
        <v/>
      </c>
      <c r="AC201" s="160">
        <f>MIN(N('Debt Payoff'!$E$21),I200+S201)</f>
        <v/>
      </c>
      <c r="AD201" s="160">
        <f>MIN(N('Debt Payoff'!$E$22),J200+T201)</f>
        <v/>
      </c>
      <c r="AE201" s="160">
        <f>MIN(N('Debt Payoff'!$E$23),K200+U201)</f>
        <v/>
      </c>
      <c r="AF201" s="160">
        <f>MIN(N('Debt Payoff'!$E$24),L200+V201)</f>
        <v/>
      </c>
      <c r="AG201" s="160">
        <f>C200+M201-W201</f>
        <v/>
      </c>
      <c r="AH201" s="160">
        <f>D200+N201-X201</f>
        <v/>
      </c>
      <c r="AI201" s="160">
        <f>E200+O201-Y201</f>
        <v/>
      </c>
      <c r="AJ201" s="160">
        <f>F200+P201-Z201</f>
        <v/>
      </c>
      <c r="AK201" s="160">
        <f>G200+Q201-AA201</f>
        <v/>
      </c>
      <c r="AL201" s="160">
        <f>H200+R201-AB201</f>
        <v/>
      </c>
      <c r="AM201" s="160">
        <f>I200+S201-AC201</f>
        <v/>
      </c>
      <c r="AN201" s="160">
        <f>J200+T201-AD201</f>
        <v/>
      </c>
      <c r="AO201" s="160">
        <f>K200+U201-AE201</f>
        <v/>
      </c>
      <c r="AP201" s="160">
        <f>L200+V201-AF201</f>
        <v/>
      </c>
      <c r="AQ201" s="160">
        <f>W201+MAX(0,MIN(AG201,'Debt Payoff'!$C$12-SUM($W201:$AF201)-SUMIFS($AG201:$AP201,$AG$4:$AP$4,"&lt;"&amp;AG$4)))</f>
        <v/>
      </c>
      <c r="AR201" s="160">
        <f>X201+MAX(0,MIN(AH201,'Debt Payoff'!$C$12-SUM($W201:$AF201)-SUMIFS($AG201:$AP201,$AG$4:$AP$4,"&lt;"&amp;AH$4)))</f>
        <v/>
      </c>
      <c r="AS201" s="160">
        <f>Y201+MAX(0,MIN(AI201,'Debt Payoff'!$C$12-SUM($W201:$AF201)-SUMIFS($AG201:$AP201,$AG$4:$AP$4,"&lt;"&amp;AI$4)))</f>
        <v/>
      </c>
      <c r="AT201" s="160">
        <f>Z201+MAX(0,MIN(AJ201,'Debt Payoff'!$C$12-SUM($W201:$AF201)-SUMIFS($AG201:$AP201,$AG$4:$AP$4,"&lt;"&amp;AJ$4)))</f>
        <v/>
      </c>
      <c r="AU201" s="160">
        <f>AA201+MAX(0,MIN(AK201,'Debt Payoff'!$C$12-SUM($W201:$AF201)-SUMIFS($AG201:$AP201,$AG$4:$AP$4,"&lt;"&amp;AK$4)))</f>
        <v/>
      </c>
      <c r="AV201" s="160">
        <f>AB201+MAX(0,MIN(AL201,'Debt Payoff'!$C$12-SUM($W201:$AF201)-SUMIFS($AG201:$AP201,$AG$4:$AP$4,"&lt;"&amp;AL$4)))</f>
        <v/>
      </c>
      <c r="AW201" s="160">
        <f>AC201+MAX(0,MIN(AM201,'Debt Payoff'!$C$12-SUM($W201:$AF201)-SUMIFS($AG201:$AP201,$AG$4:$AP$4,"&lt;"&amp;AM$4)))</f>
        <v/>
      </c>
      <c r="AX201" s="160">
        <f>AD201+MAX(0,MIN(AN201,'Debt Payoff'!$C$12-SUM($W201:$AF201)-SUMIFS($AG201:$AP201,$AG$4:$AP$4,"&lt;"&amp;AN$4)))</f>
        <v/>
      </c>
      <c r="AY201" s="160">
        <f>AE201+MAX(0,MIN(AO201,'Debt Payoff'!$C$12-SUM($W201:$AF201)-SUMIFS($AG201:$AP201,$AG$4:$AP$4,"&lt;"&amp;AO$4)))</f>
        <v/>
      </c>
      <c r="AZ201" s="160">
        <f>AF201+MAX(0,MIN(AP201,'Debt Payoff'!$C$12-SUM($W201:$AF201)-SUMIFS($AG201:$AP201,$AG$4:$AP$4,"&lt;"&amp;AP$4)))</f>
        <v/>
      </c>
      <c r="BA201" s="160">
        <f>SUM(C201:L201)</f>
        <v/>
      </c>
      <c r="BB201" s="160">
        <f>SUM(AQ201:AZ201)</f>
        <v/>
      </c>
      <c r="BC201" s="160">
        <f>SUM(M201:V201)</f>
        <v/>
      </c>
    </row>
    <row r="202">
      <c r="A202" s="157" t="n">
        <v>197</v>
      </c>
      <c r="B202" s="159">
        <f>EDATE('Debt Payoff'!$C$6,196)</f>
        <v/>
      </c>
      <c r="C202" s="160">
        <f>MAX(0,ROUND(C201+M202-AQ202,2))</f>
        <v/>
      </c>
      <c r="D202" s="160">
        <f>MAX(0,ROUND(D201+N202-AR202,2))</f>
        <v/>
      </c>
      <c r="E202" s="160">
        <f>MAX(0,ROUND(E201+O202-AS202,2))</f>
        <v/>
      </c>
      <c r="F202" s="160">
        <f>MAX(0,ROUND(F201+P202-AT202,2))</f>
        <v/>
      </c>
      <c r="G202" s="160">
        <f>MAX(0,ROUND(G201+Q202-AU202,2))</f>
        <v/>
      </c>
      <c r="H202" s="160">
        <f>MAX(0,ROUND(H201+R202-AV202,2))</f>
        <v/>
      </c>
      <c r="I202" s="160">
        <f>MAX(0,ROUND(I201+S202-AW202,2))</f>
        <v/>
      </c>
      <c r="J202" s="160">
        <f>MAX(0,ROUND(J201+T202-AX202,2))</f>
        <v/>
      </c>
      <c r="K202" s="160">
        <f>MAX(0,ROUND(K201+U202-AY202,2))</f>
        <v/>
      </c>
      <c r="L202" s="160">
        <f>MAX(0,ROUND(L201+V202-AZ202,2))</f>
        <v/>
      </c>
      <c r="M202" s="160">
        <f>C201*N('Debt Payoff'!$D$15)/12</f>
        <v/>
      </c>
      <c r="N202" s="160">
        <f>D201*N('Debt Payoff'!$D$16)/12</f>
        <v/>
      </c>
      <c r="O202" s="160">
        <f>E201*N('Debt Payoff'!$D$17)/12</f>
        <v/>
      </c>
      <c r="P202" s="160">
        <f>F201*N('Debt Payoff'!$D$18)/12</f>
        <v/>
      </c>
      <c r="Q202" s="160">
        <f>G201*N('Debt Payoff'!$D$19)/12</f>
        <v/>
      </c>
      <c r="R202" s="160">
        <f>H201*N('Debt Payoff'!$D$20)/12</f>
        <v/>
      </c>
      <c r="S202" s="160">
        <f>I201*N('Debt Payoff'!$D$21)/12</f>
        <v/>
      </c>
      <c r="T202" s="160">
        <f>J201*N('Debt Payoff'!$D$22)/12</f>
        <v/>
      </c>
      <c r="U202" s="160">
        <f>K201*N('Debt Payoff'!$D$23)/12</f>
        <v/>
      </c>
      <c r="V202" s="160">
        <f>L201*N('Debt Payoff'!$D$24)/12</f>
        <v/>
      </c>
      <c r="W202" s="160">
        <f>MIN(N('Debt Payoff'!$E$15),C201+M202)</f>
        <v/>
      </c>
      <c r="X202" s="160">
        <f>MIN(N('Debt Payoff'!$E$16),D201+N202)</f>
        <v/>
      </c>
      <c r="Y202" s="160">
        <f>MIN(N('Debt Payoff'!$E$17),E201+O202)</f>
        <v/>
      </c>
      <c r="Z202" s="160">
        <f>MIN(N('Debt Payoff'!$E$18),F201+P202)</f>
        <v/>
      </c>
      <c r="AA202" s="160">
        <f>MIN(N('Debt Payoff'!$E$19),G201+Q202)</f>
        <v/>
      </c>
      <c r="AB202" s="160">
        <f>MIN(N('Debt Payoff'!$E$20),H201+R202)</f>
        <v/>
      </c>
      <c r="AC202" s="160">
        <f>MIN(N('Debt Payoff'!$E$21),I201+S202)</f>
        <v/>
      </c>
      <c r="AD202" s="160">
        <f>MIN(N('Debt Payoff'!$E$22),J201+T202)</f>
        <v/>
      </c>
      <c r="AE202" s="160">
        <f>MIN(N('Debt Payoff'!$E$23),K201+U202)</f>
        <v/>
      </c>
      <c r="AF202" s="160">
        <f>MIN(N('Debt Payoff'!$E$24),L201+V202)</f>
        <v/>
      </c>
      <c r="AG202" s="160">
        <f>C201+M202-W202</f>
        <v/>
      </c>
      <c r="AH202" s="160">
        <f>D201+N202-X202</f>
        <v/>
      </c>
      <c r="AI202" s="160">
        <f>E201+O202-Y202</f>
        <v/>
      </c>
      <c r="AJ202" s="160">
        <f>F201+P202-Z202</f>
        <v/>
      </c>
      <c r="AK202" s="160">
        <f>G201+Q202-AA202</f>
        <v/>
      </c>
      <c r="AL202" s="160">
        <f>H201+R202-AB202</f>
        <v/>
      </c>
      <c r="AM202" s="160">
        <f>I201+S202-AC202</f>
        <v/>
      </c>
      <c r="AN202" s="160">
        <f>J201+T202-AD202</f>
        <v/>
      </c>
      <c r="AO202" s="160">
        <f>K201+U202-AE202</f>
        <v/>
      </c>
      <c r="AP202" s="160">
        <f>L201+V202-AF202</f>
        <v/>
      </c>
      <c r="AQ202" s="160">
        <f>W202+MAX(0,MIN(AG202,'Debt Payoff'!$C$12-SUM($W202:$AF202)-SUMIFS($AG202:$AP202,$AG$4:$AP$4,"&lt;"&amp;AG$4)))</f>
        <v/>
      </c>
      <c r="AR202" s="160">
        <f>X202+MAX(0,MIN(AH202,'Debt Payoff'!$C$12-SUM($W202:$AF202)-SUMIFS($AG202:$AP202,$AG$4:$AP$4,"&lt;"&amp;AH$4)))</f>
        <v/>
      </c>
      <c r="AS202" s="160">
        <f>Y202+MAX(0,MIN(AI202,'Debt Payoff'!$C$12-SUM($W202:$AF202)-SUMIFS($AG202:$AP202,$AG$4:$AP$4,"&lt;"&amp;AI$4)))</f>
        <v/>
      </c>
      <c r="AT202" s="160">
        <f>Z202+MAX(0,MIN(AJ202,'Debt Payoff'!$C$12-SUM($W202:$AF202)-SUMIFS($AG202:$AP202,$AG$4:$AP$4,"&lt;"&amp;AJ$4)))</f>
        <v/>
      </c>
      <c r="AU202" s="160">
        <f>AA202+MAX(0,MIN(AK202,'Debt Payoff'!$C$12-SUM($W202:$AF202)-SUMIFS($AG202:$AP202,$AG$4:$AP$4,"&lt;"&amp;AK$4)))</f>
        <v/>
      </c>
      <c r="AV202" s="160">
        <f>AB202+MAX(0,MIN(AL202,'Debt Payoff'!$C$12-SUM($W202:$AF202)-SUMIFS($AG202:$AP202,$AG$4:$AP$4,"&lt;"&amp;AL$4)))</f>
        <v/>
      </c>
      <c r="AW202" s="160">
        <f>AC202+MAX(0,MIN(AM202,'Debt Payoff'!$C$12-SUM($W202:$AF202)-SUMIFS($AG202:$AP202,$AG$4:$AP$4,"&lt;"&amp;AM$4)))</f>
        <v/>
      </c>
      <c r="AX202" s="160">
        <f>AD202+MAX(0,MIN(AN202,'Debt Payoff'!$C$12-SUM($W202:$AF202)-SUMIFS($AG202:$AP202,$AG$4:$AP$4,"&lt;"&amp;AN$4)))</f>
        <v/>
      </c>
      <c r="AY202" s="160">
        <f>AE202+MAX(0,MIN(AO202,'Debt Payoff'!$C$12-SUM($W202:$AF202)-SUMIFS($AG202:$AP202,$AG$4:$AP$4,"&lt;"&amp;AO$4)))</f>
        <v/>
      </c>
      <c r="AZ202" s="160">
        <f>AF202+MAX(0,MIN(AP202,'Debt Payoff'!$C$12-SUM($W202:$AF202)-SUMIFS($AG202:$AP202,$AG$4:$AP$4,"&lt;"&amp;AP$4)))</f>
        <v/>
      </c>
      <c r="BA202" s="160">
        <f>SUM(C202:L202)</f>
        <v/>
      </c>
      <c r="BB202" s="160">
        <f>SUM(AQ202:AZ202)</f>
        <v/>
      </c>
      <c r="BC202" s="160">
        <f>SUM(M202:V202)</f>
        <v/>
      </c>
    </row>
    <row r="203">
      <c r="A203" s="157" t="n">
        <v>198</v>
      </c>
      <c r="B203" s="159">
        <f>EDATE('Debt Payoff'!$C$6,197)</f>
        <v/>
      </c>
      <c r="C203" s="160">
        <f>MAX(0,ROUND(C202+M203-AQ203,2))</f>
        <v/>
      </c>
      <c r="D203" s="160">
        <f>MAX(0,ROUND(D202+N203-AR203,2))</f>
        <v/>
      </c>
      <c r="E203" s="160">
        <f>MAX(0,ROUND(E202+O203-AS203,2))</f>
        <v/>
      </c>
      <c r="F203" s="160">
        <f>MAX(0,ROUND(F202+P203-AT203,2))</f>
        <v/>
      </c>
      <c r="G203" s="160">
        <f>MAX(0,ROUND(G202+Q203-AU203,2))</f>
        <v/>
      </c>
      <c r="H203" s="160">
        <f>MAX(0,ROUND(H202+R203-AV203,2))</f>
        <v/>
      </c>
      <c r="I203" s="160">
        <f>MAX(0,ROUND(I202+S203-AW203,2))</f>
        <v/>
      </c>
      <c r="J203" s="160">
        <f>MAX(0,ROUND(J202+T203-AX203,2))</f>
        <v/>
      </c>
      <c r="K203" s="160">
        <f>MAX(0,ROUND(K202+U203-AY203,2))</f>
        <v/>
      </c>
      <c r="L203" s="160">
        <f>MAX(0,ROUND(L202+V203-AZ203,2))</f>
        <v/>
      </c>
      <c r="M203" s="160">
        <f>C202*N('Debt Payoff'!$D$15)/12</f>
        <v/>
      </c>
      <c r="N203" s="160">
        <f>D202*N('Debt Payoff'!$D$16)/12</f>
        <v/>
      </c>
      <c r="O203" s="160">
        <f>E202*N('Debt Payoff'!$D$17)/12</f>
        <v/>
      </c>
      <c r="P203" s="160">
        <f>F202*N('Debt Payoff'!$D$18)/12</f>
        <v/>
      </c>
      <c r="Q203" s="160">
        <f>G202*N('Debt Payoff'!$D$19)/12</f>
        <v/>
      </c>
      <c r="R203" s="160">
        <f>H202*N('Debt Payoff'!$D$20)/12</f>
        <v/>
      </c>
      <c r="S203" s="160">
        <f>I202*N('Debt Payoff'!$D$21)/12</f>
        <v/>
      </c>
      <c r="T203" s="160">
        <f>J202*N('Debt Payoff'!$D$22)/12</f>
        <v/>
      </c>
      <c r="U203" s="160">
        <f>K202*N('Debt Payoff'!$D$23)/12</f>
        <v/>
      </c>
      <c r="V203" s="160">
        <f>L202*N('Debt Payoff'!$D$24)/12</f>
        <v/>
      </c>
      <c r="W203" s="160">
        <f>MIN(N('Debt Payoff'!$E$15),C202+M203)</f>
        <v/>
      </c>
      <c r="X203" s="160">
        <f>MIN(N('Debt Payoff'!$E$16),D202+N203)</f>
        <v/>
      </c>
      <c r="Y203" s="160">
        <f>MIN(N('Debt Payoff'!$E$17),E202+O203)</f>
        <v/>
      </c>
      <c r="Z203" s="160">
        <f>MIN(N('Debt Payoff'!$E$18),F202+P203)</f>
        <v/>
      </c>
      <c r="AA203" s="160">
        <f>MIN(N('Debt Payoff'!$E$19),G202+Q203)</f>
        <v/>
      </c>
      <c r="AB203" s="160">
        <f>MIN(N('Debt Payoff'!$E$20),H202+R203)</f>
        <v/>
      </c>
      <c r="AC203" s="160">
        <f>MIN(N('Debt Payoff'!$E$21),I202+S203)</f>
        <v/>
      </c>
      <c r="AD203" s="160">
        <f>MIN(N('Debt Payoff'!$E$22),J202+T203)</f>
        <v/>
      </c>
      <c r="AE203" s="160">
        <f>MIN(N('Debt Payoff'!$E$23),K202+U203)</f>
        <v/>
      </c>
      <c r="AF203" s="160">
        <f>MIN(N('Debt Payoff'!$E$24),L202+V203)</f>
        <v/>
      </c>
      <c r="AG203" s="160">
        <f>C202+M203-W203</f>
        <v/>
      </c>
      <c r="AH203" s="160">
        <f>D202+N203-X203</f>
        <v/>
      </c>
      <c r="AI203" s="160">
        <f>E202+O203-Y203</f>
        <v/>
      </c>
      <c r="AJ203" s="160">
        <f>F202+P203-Z203</f>
        <v/>
      </c>
      <c r="AK203" s="160">
        <f>G202+Q203-AA203</f>
        <v/>
      </c>
      <c r="AL203" s="160">
        <f>H202+R203-AB203</f>
        <v/>
      </c>
      <c r="AM203" s="160">
        <f>I202+S203-AC203</f>
        <v/>
      </c>
      <c r="AN203" s="160">
        <f>J202+T203-AD203</f>
        <v/>
      </c>
      <c r="AO203" s="160">
        <f>K202+U203-AE203</f>
        <v/>
      </c>
      <c r="AP203" s="160">
        <f>L202+V203-AF203</f>
        <v/>
      </c>
      <c r="AQ203" s="160">
        <f>W203+MAX(0,MIN(AG203,'Debt Payoff'!$C$12-SUM($W203:$AF203)-SUMIFS($AG203:$AP203,$AG$4:$AP$4,"&lt;"&amp;AG$4)))</f>
        <v/>
      </c>
      <c r="AR203" s="160">
        <f>X203+MAX(0,MIN(AH203,'Debt Payoff'!$C$12-SUM($W203:$AF203)-SUMIFS($AG203:$AP203,$AG$4:$AP$4,"&lt;"&amp;AH$4)))</f>
        <v/>
      </c>
      <c r="AS203" s="160">
        <f>Y203+MAX(0,MIN(AI203,'Debt Payoff'!$C$12-SUM($W203:$AF203)-SUMIFS($AG203:$AP203,$AG$4:$AP$4,"&lt;"&amp;AI$4)))</f>
        <v/>
      </c>
      <c r="AT203" s="160">
        <f>Z203+MAX(0,MIN(AJ203,'Debt Payoff'!$C$12-SUM($W203:$AF203)-SUMIFS($AG203:$AP203,$AG$4:$AP$4,"&lt;"&amp;AJ$4)))</f>
        <v/>
      </c>
      <c r="AU203" s="160">
        <f>AA203+MAX(0,MIN(AK203,'Debt Payoff'!$C$12-SUM($W203:$AF203)-SUMIFS($AG203:$AP203,$AG$4:$AP$4,"&lt;"&amp;AK$4)))</f>
        <v/>
      </c>
      <c r="AV203" s="160">
        <f>AB203+MAX(0,MIN(AL203,'Debt Payoff'!$C$12-SUM($W203:$AF203)-SUMIFS($AG203:$AP203,$AG$4:$AP$4,"&lt;"&amp;AL$4)))</f>
        <v/>
      </c>
      <c r="AW203" s="160">
        <f>AC203+MAX(0,MIN(AM203,'Debt Payoff'!$C$12-SUM($W203:$AF203)-SUMIFS($AG203:$AP203,$AG$4:$AP$4,"&lt;"&amp;AM$4)))</f>
        <v/>
      </c>
      <c r="AX203" s="160">
        <f>AD203+MAX(0,MIN(AN203,'Debt Payoff'!$C$12-SUM($W203:$AF203)-SUMIFS($AG203:$AP203,$AG$4:$AP$4,"&lt;"&amp;AN$4)))</f>
        <v/>
      </c>
      <c r="AY203" s="160">
        <f>AE203+MAX(0,MIN(AO203,'Debt Payoff'!$C$12-SUM($W203:$AF203)-SUMIFS($AG203:$AP203,$AG$4:$AP$4,"&lt;"&amp;AO$4)))</f>
        <v/>
      </c>
      <c r="AZ203" s="160">
        <f>AF203+MAX(0,MIN(AP203,'Debt Payoff'!$C$12-SUM($W203:$AF203)-SUMIFS($AG203:$AP203,$AG$4:$AP$4,"&lt;"&amp;AP$4)))</f>
        <v/>
      </c>
      <c r="BA203" s="160">
        <f>SUM(C203:L203)</f>
        <v/>
      </c>
      <c r="BB203" s="160">
        <f>SUM(AQ203:AZ203)</f>
        <v/>
      </c>
      <c r="BC203" s="160">
        <f>SUM(M203:V203)</f>
        <v/>
      </c>
    </row>
    <row r="204">
      <c r="A204" s="157" t="n">
        <v>199</v>
      </c>
      <c r="B204" s="159">
        <f>EDATE('Debt Payoff'!$C$6,198)</f>
        <v/>
      </c>
      <c r="C204" s="160">
        <f>MAX(0,ROUND(C203+M204-AQ204,2))</f>
        <v/>
      </c>
      <c r="D204" s="160">
        <f>MAX(0,ROUND(D203+N204-AR204,2))</f>
        <v/>
      </c>
      <c r="E204" s="160">
        <f>MAX(0,ROUND(E203+O204-AS204,2))</f>
        <v/>
      </c>
      <c r="F204" s="160">
        <f>MAX(0,ROUND(F203+P204-AT204,2))</f>
        <v/>
      </c>
      <c r="G204" s="160">
        <f>MAX(0,ROUND(G203+Q204-AU204,2))</f>
        <v/>
      </c>
      <c r="H204" s="160">
        <f>MAX(0,ROUND(H203+R204-AV204,2))</f>
        <v/>
      </c>
      <c r="I204" s="160">
        <f>MAX(0,ROUND(I203+S204-AW204,2))</f>
        <v/>
      </c>
      <c r="J204" s="160">
        <f>MAX(0,ROUND(J203+T204-AX204,2))</f>
        <v/>
      </c>
      <c r="K204" s="160">
        <f>MAX(0,ROUND(K203+U204-AY204,2))</f>
        <v/>
      </c>
      <c r="L204" s="160">
        <f>MAX(0,ROUND(L203+V204-AZ204,2))</f>
        <v/>
      </c>
      <c r="M204" s="160">
        <f>C203*N('Debt Payoff'!$D$15)/12</f>
        <v/>
      </c>
      <c r="N204" s="160">
        <f>D203*N('Debt Payoff'!$D$16)/12</f>
        <v/>
      </c>
      <c r="O204" s="160">
        <f>E203*N('Debt Payoff'!$D$17)/12</f>
        <v/>
      </c>
      <c r="P204" s="160">
        <f>F203*N('Debt Payoff'!$D$18)/12</f>
        <v/>
      </c>
      <c r="Q204" s="160">
        <f>G203*N('Debt Payoff'!$D$19)/12</f>
        <v/>
      </c>
      <c r="R204" s="160">
        <f>H203*N('Debt Payoff'!$D$20)/12</f>
        <v/>
      </c>
      <c r="S204" s="160">
        <f>I203*N('Debt Payoff'!$D$21)/12</f>
        <v/>
      </c>
      <c r="T204" s="160">
        <f>J203*N('Debt Payoff'!$D$22)/12</f>
        <v/>
      </c>
      <c r="U204" s="160">
        <f>K203*N('Debt Payoff'!$D$23)/12</f>
        <v/>
      </c>
      <c r="V204" s="160">
        <f>L203*N('Debt Payoff'!$D$24)/12</f>
        <v/>
      </c>
      <c r="W204" s="160">
        <f>MIN(N('Debt Payoff'!$E$15),C203+M204)</f>
        <v/>
      </c>
      <c r="X204" s="160">
        <f>MIN(N('Debt Payoff'!$E$16),D203+N204)</f>
        <v/>
      </c>
      <c r="Y204" s="160">
        <f>MIN(N('Debt Payoff'!$E$17),E203+O204)</f>
        <v/>
      </c>
      <c r="Z204" s="160">
        <f>MIN(N('Debt Payoff'!$E$18),F203+P204)</f>
        <v/>
      </c>
      <c r="AA204" s="160">
        <f>MIN(N('Debt Payoff'!$E$19),G203+Q204)</f>
        <v/>
      </c>
      <c r="AB204" s="160">
        <f>MIN(N('Debt Payoff'!$E$20),H203+R204)</f>
        <v/>
      </c>
      <c r="AC204" s="160">
        <f>MIN(N('Debt Payoff'!$E$21),I203+S204)</f>
        <v/>
      </c>
      <c r="AD204" s="160">
        <f>MIN(N('Debt Payoff'!$E$22),J203+T204)</f>
        <v/>
      </c>
      <c r="AE204" s="160">
        <f>MIN(N('Debt Payoff'!$E$23),K203+U204)</f>
        <v/>
      </c>
      <c r="AF204" s="160">
        <f>MIN(N('Debt Payoff'!$E$24),L203+V204)</f>
        <v/>
      </c>
      <c r="AG204" s="160">
        <f>C203+M204-W204</f>
        <v/>
      </c>
      <c r="AH204" s="160">
        <f>D203+N204-X204</f>
        <v/>
      </c>
      <c r="AI204" s="160">
        <f>E203+O204-Y204</f>
        <v/>
      </c>
      <c r="AJ204" s="160">
        <f>F203+P204-Z204</f>
        <v/>
      </c>
      <c r="AK204" s="160">
        <f>G203+Q204-AA204</f>
        <v/>
      </c>
      <c r="AL204" s="160">
        <f>H203+R204-AB204</f>
        <v/>
      </c>
      <c r="AM204" s="160">
        <f>I203+S204-AC204</f>
        <v/>
      </c>
      <c r="AN204" s="160">
        <f>J203+T204-AD204</f>
        <v/>
      </c>
      <c r="AO204" s="160">
        <f>K203+U204-AE204</f>
        <v/>
      </c>
      <c r="AP204" s="160">
        <f>L203+V204-AF204</f>
        <v/>
      </c>
      <c r="AQ204" s="160">
        <f>W204+MAX(0,MIN(AG204,'Debt Payoff'!$C$12-SUM($W204:$AF204)-SUMIFS($AG204:$AP204,$AG$4:$AP$4,"&lt;"&amp;AG$4)))</f>
        <v/>
      </c>
      <c r="AR204" s="160">
        <f>X204+MAX(0,MIN(AH204,'Debt Payoff'!$C$12-SUM($W204:$AF204)-SUMIFS($AG204:$AP204,$AG$4:$AP$4,"&lt;"&amp;AH$4)))</f>
        <v/>
      </c>
      <c r="AS204" s="160">
        <f>Y204+MAX(0,MIN(AI204,'Debt Payoff'!$C$12-SUM($W204:$AF204)-SUMIFS($AG204:$AP204,$AG$4:$AP$4,"&lt;"&amp;AI$4)))</f>
        <v/>
      </c>
      <c r="AT204" s="160">
        <f>Z204+MAX(0,MIN(AJ204,'Debt Payoff'!$C$12-SUM($W204:$AF204)-SUMIFS($AG204:$AP204,$AG$4:$AP$4,"&lt;"&amp;AJ$4)))</f>
        <v/>
      </c>
      <c r="AU204" s="160">
        <f>AA204+MAX(0,MIN(AK204,'Debt Payoff'!$C$12-SUM($W204:$AF204)-SUMIFS($AG204:$AP204,$AG$4:$AP$4,"&lt;"&amp;AK$4)))</f>
        <v/>
      </c>
      <c r="AV204" s="160">
        <f>AB204+MAX(0,MIN(AL204,'Debt Payoff'!$C$12-SUM($W204:$AF204)-SUMIFS($AG204:$AP204,$AG$4:$AP$4,"&lt;"&amp;AL$4)))</f>
        <v/>
      </c>
      <c r="AW204" s="160">
        <f>AC204+MAX(0,MIN(AM204,'Debt Payoff'!$C$12-SUM($W204:$AF204)-SUMIFS($AG204:$AP204,$AG$4:$AP$4,"&lt;"&amp;AM$4)))</f>
        <v/>
      </c>
      <c r="AX204" s="160">
        <f>AD204+MAX(0,MIN(AN204,'Debt Payoff'!$C$12-SUM($W204:$AF204)-SUMIFS($AG204:$AP204,$AG$4:$AP$4,"&lt;"&amp;AN$4)))</f>
        <v/>
      </c>
      <c r="AY204" s="160">
        <f>AE204+MAX(0,MIN(AO204,'Debt Payoff'!$C$12-SUM($W204:$AF204)-SUMIFS($AG204:$AP204,$AG$4:$AP$4,"&lt;"&amp;AO$4)))</f>
        <v/>
      </c>
      <c r="AZ204" s="160">
        <f>AF204+MAX(0,MIN(AP204,'Debt Payoff'!$C$12-SUM($W204:$AF204)-SUMIFS($AG204:$AP204,$AG$4:$AP$4,"&lt;"&amp;AP$4)))</f>
        <v/>
      </c>
      <c r="BA204" s="160">
        <f>SUM(C204:L204)</f>
        <v/>
      </c>
      <c r="BB204" s="160">
        <f>SUM(AQ204:AZ204)</f>
        <v/>
      </c>
      <c r="BC204" s="160">
        <f>SUM(M204:V204)</f>
        <v/>
      </c>
    </row>
    <row r="205">
      <c r="A205" s="157" t="n">
        <v>200</v>
      </c>
      <c r="B205" s="159">
        <f>EDATE('Debt Payoff'!$C$6,199)</f>
        <v/>
      </c>
      <c r="C205" s="160">
        <f>MAX(0,ROUND(C204+M205-AQ205,2))</f>
        <v/>
      </c>
      <c r="D205" s="160">
        <f>MAX(0,ROUND(D204+N205-AR205,2))</f>
        <v/>
      </c>
      <c r="E205" s="160">
        <f>MAX(0,ROUND(E204+O205-AS205,2))</f>
        <v/>
      </c>
      <c r="F205" s="160">
        <f>MAX(0,ROUND(F204+P205-AT205,2))</f>
        <v/>
      </c>
      <c r="G205" s="160">
        <f>MAX(0,ROUND(G204+Q205-AU205,2))</f>
        <v/>
      </c>
      <c r="H205" s="160">
        <f>MAX(0,ROUND(H204+R205-AV205,2))</f>
        <v/>
      </c>
      <c r="I205" s="160">
        <f>MAX(0,ROUND(I204+S205-AW205,2))</f>
        <v/>
      </c>
      <c r="J205" s="160">
        <f>MAX(0,ROUND(J204+T205-AX205,2))</f>
        <v/>
      </c>
      <c r="K205" s="160">
        <f>MAX(0,ROUND(K204+U205-AY205,2))</f>
        <v/>
      </c>
      <c r="L205" s="160">
        <f>MAX(0,ROUND(L204+V205-AZ205,2))</f>
        <v/>
      </c>
      <c r="M205" s="160">
        <f>C204*N('Debt Payoff'!$D$15)/12</f>
        <v/>
      </c>
      <c r="N205" s="160">
        <f>D204*N('Debt Payoff'!$D$16)/12</f>
        <v/>
      </c>
      <c r="O205" s="160">
        <f>E204*N('Debt Payoff'!$D$17)/12</f>
        <v/>
      </c>
      <c r="P205" s="160">
        <f>F204*N('Debt Payoff'!$D$18)/12</f>
        <v/>
      </c>
      <c r="Q205" s="160">
        <f>G204*N('Debt Payoff'!$D$19)/12</f>
        <v/>
      </c>
      <c r="R205" s="160">
        <f>H204*N('Debt Payoff'!$D$20)/12</f>
        <v/>
      </c>
      <c r="S205" s="160">
        <f>I204*N('Debt Payoff'!$D$21)/12</f>
        <v/>
      </c>
      <c r="T205" s="160">
        <f>J204*N('Debt Payoff'!$D$22)/12</f>
        <v/>
      </c>
      <c r="U205" s="160">
        <f>K204*N('Debt Payoff'!$D$23)/12</f>
        <v/>
      </c>
      <c r="V205" s="160">
        <f>L204*N('Debt Payoff'!$D$24)/12</f>
        <v/>
      </c>
      <c r="W205" s="160">
        <f>MIN(N('Debt Payoff'!$E$15),C204+M205)</f>
        <v/>
      </c>
      <c r="X205" s="160">
        <f>MIN(N('Debt Payoff'!$E$16),D204+N205)</f>
        <v/>
      </c>
      <c r="Y205" s="160">
        <f>MIN(N('Debt Payoff'!$E$17),E204+O205)</f>
        <v/>
      </c>
      <c r="Z205" s="160">
        <f>MIN(N('Debt Payoff'!$E$18),F204+P205)</f>
        <v/>
      </c>
      <c r="AA205" s="160">
        <f>MIN(N('Debt Payoff'!$E$19),G204+Q205)</f>
        <v/>
      </c>
      <c r="AB205" s="160">
        <f>MIN(N('Debt Payoff'!$E$20),H204+R205)</f>
        <v/>
      </c>
      <c r="AC205" s="160">
        <f>MIN(N('Debt Payoff'!$E$21),I204+S205)</f>
        <v/>
      </c>
      <c r="AD205" s="160">
        <f>MIN(N('Debt Payoff'!$E$22),J204+T205)</f>
        <v/>
      </c>
      <c r="AE205" s="160">
        <f>MIN(N('Debt Payoff'!$E$23),K204+U205)</f>
        <v/>
      </c>
      <c r="AF205" s="160">
        <f>MIN(N('Debt Payoff'!$E$24),L204+V205)</f>
        <v/>
      </c>
      <c r="AG205" s="160">
        <f>C204+M205-W205</f>
        <v/>
      </c>
      <c r="AH205" s="160">
        <f>D204+N205-X205</f>
        <v/>
      </c>
      <c r="AI205" s="160">
        <f>E204+O205-Y205</f>
        <v/>
      </c>
      <c r="AJ205" s="160">
        <f>F204+P205-Z205</f>
        <v/>
      </c>
      <c r="AK205" s="160">
        <f>G204+Q205-AA205</f>
        <v/>
      </c>
      <c r="AL205" s="160">
        <f>H204+R205-AB205</f>
        <v/>
      </c>
      <c r="AM205" s="160">
        <f>I204+S205-AC205</f>
        <v/>
      </c>
      <c r="AN205" s="160">
        <f>J204+T205-AD205</f>
        <v/>
      </c>
      <c r="AO205" s="160">
        <f>K204+U205-AE205</f>
        <v/>
      </c>
      <c r="AP205" s="160">
        <f>L204+V205-AF205</f>
        <v/>
      </c>
      <c r="AQ205" s="160">
        <f>W205+MAX(0,MIN(AG205,'Debt Payoff'!$C$12-SUM($W205:$AF205)-SUMIFS($AG205:$AP205,$AG$4:$AP$4,"&lt;"&amp;AG$4)))</f>
        <v/>
      </c>
      <c r="AR205" s="160">
        <f>X205+MAX(0,MIN(AH205,'Debt Payoff'!$C$12-SUM($W205:$AF205)-SUMIFS($AG205:$AP205,$AG$4:$AP$4,"&lt;"&amp;AH$4)))</f>
        <v/>
      </c>
      <c r="AS205" s="160">
        <f>Y205+MAX(0,MIN(AI205,'Debt Payoff'!$C$12-SUM($W205:$AF205)-SUMIFS($AG205:$AP205,$AG$4:$AP$4,"&lt;"&amp;AI$4)))</f>
        <v/>
      </c>
      <c r="AT205" s="160">
        <f>Z205+MAX(0,MIN(AJ205,'Debt Payoff'!$C$12-SUM($W205:$AF205)-SUMIFS($AG205:$AP205,$AG$4:$AP$4,"&lt;"&amp;AJ$4)))</f>
        <v/>
      </c>
      <c r="AU205" s="160">
        <f>AA205+MAX(0,MIN(AK205,'Debt Payoff'!$C$12-SUM($W205:$AF205)-SUMIFS($AG205:$AP205,$AG$4:$AP$4,"&lt;"&amp;AK$4)))</f>
        <v/>
      </c>
      <c r="AV205" s="160">
        <f>AB205+MAX(0,MIN(AL205,'Debt Payoff'!$C$12-SUM($W205:$AF205)-SUMIFS($AG205:$AP205,$AG$4:$AP$4,"&lt;"&amp;AL$4)))</f>
        <v/>
      </c>
      <c r="AW205" s="160">
        <f>AC205+MAX(0,MIN(AM205,'Debt Payoff'!$C$12-SUM($W205:$AF205)-SUMIFS($AG205:$AP205,$AG$4:$AP$4,"&lt;"&amp;AM$4)))</f>
        <v/>
      </c>
      <c r="AX205" s="160">
        <f>AD205+MAX(0,MIN(AN205,'Debt Payoff'!$C$12-SUM($W205:$AF205)-SUMIFS($AG205:$AP205,$AG$4:$AP$4,"&lt;"&amp;AN$4)))</f>
        <v/>
      </c>
      <c r="AY205" s="160">
        <f>AE205+MAX(0,MIN(AO205,'Debt Payoff'!$C$12-SUM($W205:$AF205)-SUMIFS($AG205:$AP205,$AG$4:$AP$4,"&lt;"&amp;AO$4)))</f>
        <v/>
      </c>
      <c r="AZ205" s="160">
        <f>AF205+MAX(0,MIN(AP205,'Debt Payoff'!$C$12-SUM($W205:$AF205)-SUMIFS($AG205:$AP205,$AG$4:$AP$4,"&lt;"&amp;AP$4)))</f>
        <v/>
      </c>
      <c r="BA205" s="160">
        <f>SUM(C205:L205)</f>
        <v/>
      </c>
      <c r="BB205" s="160">
        <f>SUM(AQ205:AZ205)</f>
        <v/>
      </c>
      <c r="BC205" s="160">
        <f>SUM(M205:V205)</f>
        <v/>
      </c>
    </row>
    <row r="206">
      <c r="A206" s="157" t="n">
        <v>201</v>
      </c>
      <c r="B206" s="159">
        <f>EDATE('Debt Payoff'!$C$6,200)</f>
        <v/>
      </c>
      <c r="C206" s="160">
        <f>MAX(0,ROUND(C205+M206-AQ206,2))</f>
        <v/>
      </c>
      <c r="D206" s="160">
        <f>MAX(0,ROUND(D205+N206-AR206,2))</f>
        <v/>
      </c>
      <c r="E206" s="160">
        <f>MAX(0,ROUND(E205+O206-AS206,2))</f>
        <v/>
      </c>
      <c r="F206" s="160">
        <f>MAX(0,ROUND(F205+P206-AT206,2))</f>
        <v/>
      </c>
      <c r="G206" s="160">
        <f>MAX(0,ROUND(G205+Q206-AU206,2))</f>
        <v/>
      </c>
      <c r="H206" s="160">
        <f>MAX(0,ROUND(H205+R206-AV206,2))</f>
        <v/>
      </c>
      <c r="I206" s="160">
        <f>MAX(0,ROUND(I205+S206-AW206,2))</f>
        <v/>
      </c>
      <c r="J206" s="160">
        <f>MAX(0,ROUND(J205+T206-AX206,2))</f>
        <v/>
      </c>
      <c r="K206" s="160">
        <f>MAX(0,ROUND(K205+U206-AY206,2))</f>
        <v/>
      </c>
      <c r="L206" s="160">
        <f>MAX(0,ROUND(L205+V206-AZ206,2))</f>
        <v/>
      </c>
      <c r="M206" s="160">
        <f>C205*N('Debt Payoff'!$D$15)/12</f>
        <v/>
      </c>
      <c r="N206" s="160">
        <f>D205*N('Debt Payoff'!$D$16)/12</f>
        <v/>
      </c>
      <c r="O206" s="160">
        <f>E205*N('Debt Payoff'!$D$17)/12</f>
        <v/>
      </c>
      <c r="P206" s="160">
        <f>F205*N('Debt Payoff'!$D$18)/12</f>
        <v/>
      </c>
      <c r="Q206" s="160">
        <f>G205*N('Debt Payoff'!$D$19)/12</f>
        <v/>
      </c>
      <c r="R206" s="160">
        <f>H205*N('Debt Payoff'!$D$20)/12</f>
        <v/>
      </c>
      <c r="S206" s="160">
        <f>I205*N('Debt Payoff'!$D$21)/12</f>
        <v/>
      </c>
      <c r="T206" s="160">
        <f>J205*N('Debt Payoff'!$D$22)/12</f>
        <v/>
      </c>
      <c r="U206" s="160">
        <f>K205*N('Debt Payoff'!$D$23)/12</f>
        <v/>
      </c>
      <c r="V206" s="160">
        <f>L205*N('Debt Payoff'!$D$24)/12</f>
        <v/>
      </c>
      <c r="W206" s="160">
        <f>MIN(N('Debt Payoff'!$E$15),C205+M206)</f>
        <v/>
      </c>
      <c r="X206" s="160">
        <f>MIN(N('Debt Payoff'!$E$16),D205+N206)</f>
        <v/>
      </c>
      <c r="Y206" s="160">
        <f>MIN(N('Debt Payoff'!$E$17),E205+O206)</f>
        <v/>
      </c>
      <c r="Z206" s="160">
        <f>MIN(N('Debt Payoff'!$E$18),F205+P206)</f>
        <v/>
      </c>
      <c r="AA206" s="160">
        <f>MIN(N('Debt Payoff'!$E$19),G205+Q206)</f>
        <v/>
      </c>
      <c r="AB206" s="160">
        <f>MIN(N('Debt Payoff'!$E$20),H205+R206)</f>
        <v/>
      </c>
      <c r="AC206" s="160">
        <f>MIN(N('Debt Payoff'!$E$21),I205+S206)</f>
        <v/>
      </c>
      <c r="AD206" s="160">
        <f>MIN(N('Debt Payoff'!$E$22),J205+T206)</f>
        <v/>
      </c>
      <c r="AE206" s="160">
        <f>MIN(N('Debt Payoff'!$E$23),K205+U206)</f>
        <v/>
      </c>
      <c r="AF206" s="160">
        <f>MIN(N('Debt Payoff'!$E$24),L205+V206)</f>
        <v/>
      </c>
      <c r="AG206" s="160">
        <f>C205+M206-W206</f>
        <v/>
      </c>
      <c r="AH206" s="160">
        <f>D205+N206-X206</f>
        <v/>
      </c>
      <c r="AI206" s="160">
        <f>E205+O206-Y206</f>
        <v/>
      </c>
      <c r="AJ206" s="160">
        <f>F205+P206-Z206</f>
        <v/>
      </c>
      <c r="AK206" s="160">
        <f>G205+Q206-AA206</f>
        <v/>
      </c>
      <c r="AL206" s="160">
        <f>H205+R206-AB206</f>
        <v/>
      </c>
      <c r="AM206" s="160">
        <f>I205+S206-AC206</f>
        <v/>
      </c>
      <c r="AN206" s="160">
        <f>J205+T206-AD206</f>
        <v/>
      </c>
      <c r="AO206" s="160">
        <f>K205+U206-AE206</f>
        <v/>
      </c>
      <c r="AP206" s="160">
        <f>L205+V206-AF206</f>
        <v/>
      </c>
      <c r="AQ206" s="160">
        <f>W206+MAX(0,MIN(AG206,'Debt Payoff'!$C$12-SUM($W206:$AF206)-SUMIFS($AG206:$AP206,$AG$4:$AP$4,"&lt;"&amp;AG$4)))</f>
        <v/>
      </c>
      <c r="AR206" s="160">
        <f>X206+MAX(0,MIN(AH206,'Debt Payoff'!$C$12-SUM($W206:$AF206)-SUMIFS($AG206:$AP206,$AG$4:$AP$4,"&lt;"&amp;AH$4)))</f>
        <v/>
      </c>
      <c r="AS206" s="160">
        <f>Y206+MAX(0,MIN(AI206,'Debt Payoff'!$C$12-SUM($W206:$AF206)-SUMIFS($AG206:$AP206,$AG$4:$AP$4,"&lt;"&amp;AI$4)))</f>
        <v/>
      </c>
      <c r="AT206" s="160">
        <f>Z206+MAX(0,MIN(AJ206,'Debt Payoff'!$C$12-SUM($W206:$AF206)-SUMIFS($AG206:$AP206,$AG$4:$AP$4,"&lt;"&amp;AJ$4)))</f>
        <v/>
      </c>
      <c r="AU206" s="160">
        <f>AA206+MAX(0,MIN(AK206,'Debt Payoff'!$C$12-SUM($W206:$AF206)-SUMIFS($AG206:$AP206,$AG$4:$AP$4,"&lt;"&amp;AK$4)))</f>
        <v/>
      </c>
      <c r="AV206" s="160">
        <f>AB206+MAX(0,MIN(AL206,'Debt Payoff'!$C$12-SUM($W206:$AF206)-SUMIFS($AG206:$AP206,$AG$4:$AP$4,"&lt;"&amp;AL$4)))</f>
        <v/>
      </c>
      <c r="AW206" s="160">
        <f>AC206+MAX(0,MIN(AM206,'Debt Payoff'!$C$12-SUM($W206:$AF206)-SUMIFS($AG206:$AP206,$AG$4:$AP$4,"&lt;"&amp;AM$4)))</f>
        <v/>
      </c>
      <c r="AX206" s="160">
        <f>AD206+MAX(0,MIN(AN206,'Debt Payoff'!$C$12-SUM($W206:$AF206)-SUMIFS($AG206:$AP206,$AG$4:$AP$4,"&lt;"&amp;AN$4)))</f>
        <v/>
      </c>
      <c r="AY206" s="160">
        <f>AE206+MAX(0,MIN(AO206,'Debt Payoff'!$C$12-SUM($W206:$AF206)-SUMIFS($AG206:$AP206,$AG$4:$AP$4,"&lt;"&amp;AO$4)))</f>
        <v/>
      </c>
      <c r="AZ206" s="160">
        <f>AF206+MAX(0,MIN(AP206,'Debt Payoff'!$C$12-SUM($W206:$AF206)-SUMIFS($AG206:$AP206,$AG$4:$AP$4,"&lt;"&amp;AP$4)))</f>
        <v/>
      </c>
      <c r="BA206" s="160">
        <f>SUM(C206:L206)</f>
        <v/>
      </c>
      <c r="BB206" s="160">
        <f>SUM(AQ206:AZ206)</f>
        <v/>
      </c>
      <c r="BC206" s="160">
        <f>SUM(M206:V206)</f>
        <v/>
      </c>
    </row>
    <row r="207">
      <c r="A207" s="157" t="n">
        <v>202</v>
      </c>
      <c r="B207" s="159">
        <f>EDATE('Debt Payoff'!$C$6,201)</f>
        <v/>
      </c>
      <c r="C207" s="160">
        <f>MAX(0,ROUND(C206+M207-AQ207,2))</f>
        <v/>
      </c>
      <c r="D207" s="160">
        <f>MAX(0,ROUND(D206+N207-AR207,2))</f>
        <v/>
      </c>
      <c r="E207" s="160">
        <f>MAX(0,ROUND(E206+O207-AS207,2))</f>
        <v/>
      </c>
      <c r="F207" s="160">
        <f>MAX(0,ROUND(F206+P207-AT207,2))</f>
        <v/>
      </c>
      <c r="G207" s="160">
        <f>MAX(0,ROUND(G206+Q207-AU207,2))</f>
        <v/>
      </c>
      <c r="H207" s="160">
        <f>MAX(0,ROUND(H206+R207-AV207,2))</f>
        <v/>
      </c>
      <c r="I207" s="160">
        <f>MAX(0,ROUND(I206+S207-AW207,2))</f>
        <v/>
      </c>
      <c r="J207" s="160">
        <f>MAX(0,ROUND(J206+T207-AX207,2))</f>
        <v/>
      </c>
      <c r="K207" s="160">
        <f>MAX(0,ROUND(K206+U207-AY207,2))</f>
        <v/>
      </c>
      <c r="L207" s="160">
        <f>MAX(0,ROUND(L206+V207-AZ207,2))</f>
        <v/>
      </c>
      <c r="M207" s="160">
        <f>C206*N('Debt Payoff'!$D$15)/12</f>
        <v/>
      </c>
      <c r="N207" s="160">
        <f>D206*N('Debt Payoff'!$D$16)/12</f>
        <v/>
      </c>
      <c r="O207" s="160">
        <f>E206*N('Debt Payoff'!$D$17)/12</f>
        <v/>
      </c>
      <c r="P207" s="160">
        <f>F206*N('Debt Payoff'!$D$18)/12</f>
        <v/>
      </c>
      <c r="Q207" s="160">
        <f>G206*N('Debt Payoff'!$D$19)/12</f>
        <v/>
      </c>
      <c r="R207" s="160">
        <f>H206*N('Debt Payoff'!$D$20)/12</f>
        <v/>
      </c>
      <c r="S207" s="160">
        <f>I206*N('Debt Payoff'!$D$21)/12</f>
        <v/>
      </c>
      <c r="T207" s="160">
        <f>J206*N('Debt Payoff'!$D$22)/12</f>
        <v/>
      </c>
      <c r="U207" s="160">
        <f>K206*N('Debt Payoff'!$D$23)/12</f>
        <v/>
      </c>
      <c r="V207" s="160">
        <f>L206*N('Debt Payoff'!$D$24)/12</f>
        <v/>
      </c>
      <c r="W207" s="160">
        <f>MIN(N('Debt Payoff'!$E$15),C206+M207)</f>
        <v/>
      </c>
      <c r="X207" s="160">
        <f>MIN(N('Debt Payoff'!$E$16),D206+N207)</f>
        <v/>
      </c>
      <c r="Y207" s="160">
        <f>MIN(N('Debt Payoff'!$E$17),E206+O207)</f>
        <v/>
      </c>
      <c r="Z207" s="160">
        <f>MIN(N('Debt Payoff'!$E$18),F206+P207)</f>
        <v/>
      </c>
      <c r="AA207" s="160">
        <f>MIN(N('Debt Payoff'!$E$19),G206+Q207)</f>
        <v/>
      </c>
      <c r="AB207" s="160">
        <f>MIN(N('Debt Payoff'!$E$20),H206+R207)</f>
        <v/>
      </c>
      <c r="AC207" s="160">
        <f>MIN(N('Debt Payoff'!$E$21),I206+S207)</f>
        <v/>
      </c>
      <c r="AD207" s="160">
        <f>MIN(N('Debt Payoff'!$E$22),J206+T207)</f>
        <v/>
      </c>
      <c r="AE207" s="160">
        <f>MIN(N('Debt Payoff'!$E$23),K206+U207)</f>
        <v/>
      </c>
      <c r="AF207" s="160">
        <f>MIN(N('Debt Payoff'!$E$24),L206+V207)</f>
        <v/>
      </c>
      <c r="AG207" s="160">
        <f>C206+M207-W207</f>
        <v/>
      </c>
      <c r="AH207" s="160">
        <f>D206+N207-X207</f>
        <v/>
      </c>
      <c r="AI207" s="160">
        <f>E206+O207-Y207</f>
        <v/>
      </c>
      <c r="AJ207" s="160">
        <f>F206+P207-Z207</f>
        <v/>
      </c>
      <c r="AK207" s="160">
        <f>G206+Q207-AA207</f>
        <v/>
      </c>
      <c r="AL207" s="160">
        <f>H206+R207-AB207</f>
        <v/>
      </c>
      <c r="AM207" s="160">
        <f>I206+S207-AC207</f>
        <v/>
      </c>
      <c r="AN207" s="160">
        <f>J206+T207-AD207</f>
        <v/>
      </c>
      <c r="AO207" s="160">
        <f>K206+U207-AE207</f>
        <v/>
      </c>
      <c r="AP207" s="160">
        <f>L206+V207-AF207</f>
        <v/>
      </c>
      <c r="AQ207" s="160">
        <f>W207+MAX(0,MIN(AG207,'Debt Payoff'!$C$12-SUM($W207:$AF207)-SUMIFS($AG207:$AP207,$AG$4:$AP$4,"&lt;"&amp;AG$4)))</f>
        <v/>
      </c>
      <c r="AR207" s="160">
        <f>X207+MAX(0,MIN(AH207,'Debt Payoff'!$C$12-SUM($W207:$AF207)-SUMIFS($AG207:$AP207,$AG$4:$AP$4,"&lt;"&amp;AH$4)))</f>
        <v/>
      </c>
      <c r="AS207" s="160">
        <f>Y207+MAX(0,MIN(AI207,'Debt Payoff'!$C$12-SUM($W207:$AF207)-SUMIFS($AG207:$AP207,$AG$4:$AP$4,"&lt;"&amp;AI$4)))</f>
        <v/>
      </c>
      <c r="AT207" s="160">
        <f>Z207+MAX(0,MIN(AJ207,'Debt Payoff'!$C$12-SUM($W207:$AF207)-SUMIFS($AG207:$AP207,$AG$4:$AP$4,"&lt;"&amp;AJ$4)))</f>
        <v/>
      </c>
      <c r="AU207" s="160">
        <f>AA207+MAX(0,MIN(AK207,'Debt Payoff'!$C$12-SUM($W207:$AF207)-SUMIFS($AG207:$AP207,$AG$4:$AP$4,"&lt;"&amp;AK$4)))</f>
        <v/>
      </c>
      <c r="AV207" s="160">
        <f>AB207+MAX(0,MIN(AL207,'Debt Payoff'!$C$12-SUM($W207:$AF207)-SUMIFS($AG207:$AP207,$AG$4:$AP$4,"&lt;"&amp;AL$4)))</f>
        <v/>
      </c>
      <c r="AW207" s="160">
        <f>AC207+MAX(0,MIN(AM207,'Debt Payoff'!$C$12-SUM($W207:$AF207)-SUMIFS($AG207:$AP207,$AG$4:$AP$4,"&lt;"&amp;AM$4)))</f>
        <v/>
      </c>
      <c r="AX207" s="160">
        <f>AD207+MAX(0,MIN(AN207,'Debt Payoff'!$C$12-SUM($W207:$AF207)-SUMIFS($AG207:$AP207,$AG$4:$AP$4,"&lt;"&amp;AN$4)))</f>
        <v/>
      </c>
      <c r="AY207" s="160">
        <f>AE207+MAX(0,MIN(AO207,'Debt Payoff'!$C$12-SUM($W207:$AF207)-SUMIFS($AG207:$AP207,$AG$4:$AP$4,"&lt;"&amp;AO$4)))</f>
        <v/>
      </c>
      <c r="AZ207" s="160">
        <f>AF207+MAX(0,MIN(AP207,'Debt Payoff'!$C$12-SUM($W207:$AF207)-SUMIFS($AG207:$AP207,$AG$4:$AP$4,"&lt;"&amp;AP$4)))</f>
        <v/>
      </c>
      <c r="BA207" s="160">
        <f>SUM(C207:L207)</f>
        <v/>
      </c>
      <c r="BB207" s="160">
        <f>SUM(AQ207:AZ207)</f>
        <v/>
      </c>
      <c r="BC207" s="160">
        <f>SUM(M207:V207)</f>
        <v/>
      </c>
    </row>
    <row r="208">
      <c r="A208" s="157" t="n">
        <v>203</v>
      </c>
      <c r="B208" s="159">
        <f>EDATE('Debt Payoff'!$C$6,202)</f>
        <v/>
      </c>
      <c r="C208" s="160">
        <f>MAX(0,ROUND(C207+M208-AQ208,2))</f>
        <v/>
      </c>
      <c r="D208" s="160">
        <f>MAX(0,ROUND(D207+N208-AR208,2))</f>
        <v/>
      </c>
      <c r="E208" s="160">
        <f>MAX(0,ROUND(E207+O208-AS208,2))</f>
        <v/>
      </c>
      <c r="F208" s="160">
        <f>MAX(0,ROUND(F207+P208-AT208,2))</f>
        <v/>
      </c>
      <c r="G208" s="160">
        <f>MAX(0,ROUND(G207+Q208-AU208,2))</f>
        <v/>
      </c>
      <c r="H208" s="160">
        <f>MAX(0,ROUND(H207+R208-AV208,2))</f>
        <v/>
      </c>
      <c r="I208" s="160">
        <f>MAX(0,ROUND(I207+S208-AW208,2))</f>
        <v/>
      </c>
      <c r="J208" s="160">
        <f>MAX(0,ROUND(J207+T208-AX208,2))</f>
        <v/>
      </c>
      <c r="K208" s="160">
        <f>MAX(0,ROUND(K207+U208-AY208,2))</f>
        <v/>
      </c>
      <c r="L208" s="160">
        <f>MAX(0,ROUND(L207+V208-AZ208,2))</f>
        <v/>
      </c>
      <c r="M208" s="160">
        <f>C207*N('Debt Payoff'!$D$15)/12</f>
        <v/>
      </c>
      <c r="N208" s="160">
        <f>D207*N('Debt Payoff'!$D$16)/12</f>
        <v/>
      </c>
      <c r="O208" s="160">
        <f>E207*N('Debt Payoff'!$D$17)/12</f>
        <v/>
      </c>
      <c r="P208" s="160">
        <f>F207*N('Debt Payoff'!$D$18)/12</f>
        <v/>
      </c>
      <c r="Q208" s="160">
        <f>G207*N('Debt Payoff'!$D$19)/12</f>
        <v/>
      </c>
      <c r="R208" s="160">
        <f>H207*N('Debt Payoff'!$D$20)/12</f>
        <v/>
      </c>
      <c r="S208" s="160">
        <f>I207*N('Debt Payoff'!$D$21)/12</f>
        <v/>
      </c>
      <c r="T208" s="160">
        <f>J207*N('Debt Payoff'!$D$22)/12</f>
        <v/>
      </c>
      <c r="U208" s="160">
        <f>K207*N('Debt Payoff'!$D$23)/12</f>
        <v/>
      </c>
      <c r="V208" s="160">
        <f>L207*N('Debt Payoff'!$D$24)/12</f>
        <v/>
      </c>
      <c r="W208" s="160">
        <f>MIN(N('Debt Payoff'!$E$15),C207+M208)</f>
        <v/>
      </c>
      <c r="X208" s="160">
        <f>MIN(N('Debt Payoff'!$E$16),D207+N208)</f>
        <v/>
      </c>
      <c r="Y208" s="160">
        <f>MIN(N('Debt Payoff'!$E$17),E207+O208)</f>
        <v/>
      </c>
      <c r="Z208" s="160">
        <f>MIN(N('Debt Payoff'!$E$18),F207+P208)</f>
        <v/>
      </c>
      <c r="AA208" s="160">
        <f>MIN(N('Debt Payoff'!$E$19),G207+Q208)</f>
        <v/>
      </c>
      <c r="AB208" s="160">
        <f>MIN(N('Debt Payoff'!$E$20),H207+R208)</f>
        <v/>
      </c>
      <c r="AC208" s="160">
        <f>MIN(N('Debt Payoff'!$E$21),I207+S208)</f>
        <v/>
      </c>
      <c r="AD208" s="160">
        <f>MIN(N('Debt Payoff'!$E$22),J207+T208)</f>
        <v/>
      </c>
      <c r="AE208" s="160">
        <f>MIN(N('Debt Payoff'!$E$23),K207+U208)</f>
        <v/>
      </c>
      <c r="AF208" s="160">
        <f>MIN(N('Debt Payoff'!$E$24),L207+V208)</f>
        <v/>
      </c>
      <c r="AG208" s="160">
        <f>C207+M208-W208</f>
        <v/>
      </c>
      <c r="AH208" s="160">
        <f>D207+N208-X208</f>
        <v/>
      </c>
      <c r="AI208" s="160">
        <f>E207+O208-Y208</f>
        <v/>
      </c>
      <c r="AJ208" s="160">
        <f>F207+P208-Z208</f>
        <v/>
      </c>
      <c r="AK208" s="160">
        <f>G207+Q208-AA208</f>
        <v/>
      </c>
      <c r="AL208" s="160">
        <f>H207+R208-AB208</f>
        <v/>
      </c>
      <c r="AM208" s="160">
        <f>I207+S208-AC208</f>
        <v/>
      </c>
      <c r="AN208" s="160">
        <f>J207+T208-AD208</f>
        <v/>
      </c>
      <c r="AO208" s="160">
        <f>K207+U208-AE208</f>
        <v/>
      </c>
      <c r="AP208" s="160">
        <f>L207+V208-AF208</f>
        <v/>
      </c>
      <c r="AQ208" s="160">
        <f>W208+MAX(0,MIN(AG208,'Debt Payoff'!$C$12-SUM($W208:$AF208)-SUMIFS($AG208:$AP208,$AG$4:$AP$4,"&lt;"&amp;AG$4)))</f>
        <v/>
      </c>
      <c r="AR208" s="160">
        <f>X208+MAX(0,MIN(AH208,'Debt Payoff'!$C$12-SUM($W208:$AF208)-SUMIFS($AG208:$AP208,$AG$4:$AP$4,"&lt;"&amp;AH$4)))</f>
        <v/>
      </c>
      <c r="AS208" s="160">
        <f>Y208+MAX(0,MIN(AI208,'Debt Payoff'!$C$12-SUM($W208:$AF208)-SUMIFS($AG208:$AP208,$AG$4:$AP$4,"&lt;"&amp;AI$4)))</f>
        <v/>
      </c>
      <c r="AT208" s="160">
        <f>Z208+MAX(0,MIN(AJ208,'Debt Payoff'!$C$12-SUM($W208:$AF208)-SUMIFS($AG208:$AP208,$AG$4:$AP$4,"&lt;"&amp;AJ$4)))</f>
        <v/>
      </c>
      <c r="AU208" s="160">
        <f>AA208+MAX(0,MIN(AK208,'Debt Payoff'!$C$12-SUM($W208:$AF208)-SUMIFS($AG208:$AP208,$AG$4:$AP$4,"&lt;"&amp;AK$4)))</f>
        <v/>
      </c>
      <c r="AV208" s="160">
        <f>AB208+MAX(0,MIN(AL208,'Debt Payoff'!$C$12-SUM($W208:$AF208)-SUMIFS($AG208:$AP208,$AG$4:$AP$4,"&lt;"&amp;AL$4)))</f>
        <v/>
      </c>
      <c r="AW208" s="160">
        <f>AC208+MAX(0,MIN(AM208,'Debt Payoff'!$C$12-SUM($W208:$AF208)-SUMIFS($AG208:$AP208,$AG$4:$AP$4,"&lt;"&amp;AM$4)))</f>
        <v/>
      </c>
      <c r="AX208" s="160">
        <f>AD208+MAX(0,MIN(AN208,'Debt Payoff'!$C$12-SUM($W208:$AF208)-SUMIFS($AG208:$AP208,$AG$4:$AP$4,"&lt;"&amp;AN$4)))</f>
        <v/>
      </c>
      <c r="AY208" s="160">
        <f>AE208+MAX(0,MIN(AO208,'Debt Payoff'!$C$12-SUM($W208:$AF208)-SUMIFS($AG208:$AP208,$AG$4:$AP$4,"&lt;"&amp;AO$4)))</f>
        <v/>
      </c>
      <c r="AZ208" s="160">
        <f>AF208+MAX(0,MIN(AP208,'Debt Payoff'!$C$12-SUM($W208:$AF208)-SUMIFS($AG208:$AP208,$AG$4:$AP$4,"&lt;"&amp;AP$4)))</f>
        <v/>
      </c>
      <c r="BA208" s="160">
        <f>SUM(C208:L208)</f>
        <v/>
      </c>
      <c r="BB208" s="160">
        <f>SUM(AQ208:AZ208)</f>
        <v/>
      </c>
      <c r="BC208" s="160">
        <f>SUM(M208:V208)</f>
        <v/>
      </c>
    </row>
    <row r="209">
      <c r="A209" s="157" t="n">
        <v>204</v>
      </c>
      <c r="B209" s="159">
        <f>EDATE('Debt Payoff'!$C$6,203)</f>
        <v/>
      </c>
      <c r="C209" s="160">
        <f>MAX(0,ROUND(C208+M209-AQ209,2))</f>
        <v/>
      </c>
      <c r="D209" s="160">
        <f>MAX(0,ROUND(D208+N209-AR209,2))</f>
        <v/>
      </c>
      <c r="E209" s="160">
        <f>MAX(0,ROUND(E208+O209-AS209,2))</f>
        <v/>
      </c>
      <c r="F209" s="160">
        <f>MAX(0,ROUND(F208+P209-AT209,2))</f>
        <v/>
      </c>
      <c r="G209" s="160">
        <f>MAX(0,ROUND(G208+Q209-AU209,2))</f>
        <v/>
      </c>
      <c r="H209" s="160">
        <f>MAX(0,ROUND(H208+R209-AV209,2))</f>
        <v/>
      </c>
      <c r="I209" s="160">
        <f>MAX(0,ROUND(I208+S209-AW209,2))</f>
        <v/>
      </c>
      <c r="J209" s="160">
        <f>MAX(0,ROUND(J208+T209-AX209,2))</f>
        <v/>
      </c>
      <c r="K209" s="160">
        <f>MAX(0,ROUND(K208+U209-AY209,2))</f>
        <v/>
      </c>
      <c r="L209" s="160">
        <f>MAX(0,ROUND(L208+V209-AZ209,2))</f>
        <v/>
      </c>
      <c r="M209" s="160">
        <f>C208*N('Debt Payoff'!$D$15)/12</f>
        <v/>
      </c>
      <c r="N209" s="160">
        <f>D208*N('Debt Payoff'!$D$16)/12</f>
        <v/>
      </c>
      <c r="O209" s="160">
        <f>E208*N('Debt Payoff'!$D$17)/12</f>
        <v/>
      </c>
      <c r="P209" s="160">
        <f>F208*N('Debt Payoff'!$D$18)/12</f>
        <v/>
      </c>
      <c r="Q209" s="160">
        <f>G208*N('Debt Payoff'!$D$19)/12</f>
        <v/>
      </c>
      <c r="R209" s="160">
        <f>H208*N('Debt Payoff'!$D$20)/12</f>
        <v/>
      </c>
      <c r="S209" s="160">
        <f>I208*N('Debt Payoff'!$D$21)/12</f>
        <v/>
      </c>
      <c r="T209" s="160">
        <f>J208*N('Debt Payoff'!$D$22)/12</f>
        <v/>
      </c>
      <c r="U209" s="160">
        <f>K208*N('Debt Payoff'!$D$23)/12</f>
        <v/>
      </c>
      <c r="V209" s="160">
        <f>L208*N('Debt Payoff'!$D$24)/12</f>
        <v/>
      </c>
      <c r="W209" s="160">
        <f>MIN(N('Debt Payoff'!$E$15),C208+M209)</f>
        <v/>
      </c>
      <c r="X209" s="160">
        <f>MIN(N('Debt Payoff'!$E$16),D208+N209)</f>
        <v/>
      </c>
      <c r="Y209" s="160">
        <f>MIN(N('Debt Payoff'!$E$17),E208+O209)</f>
        <v/>
      </c>
      <c r="Z209" s="160">
        <f>MIN(N('Debt Payoff'!$E$18),F208+P209)</f>
        <v/>
      </c>
      <c r="AA209" s="160">
        <f>MIN(N('Debt Payoff'!$E$19),G208+Q209)</f>
        <v/>
      </c>
      <c r="AB209" s="160">
        <f>MIN(N('Debt Payoff'!$E$20),H208+R209)</f>
        <v/>
      </c>
      <c r="AC209" s="160">
        <f>MIN(N('Debt Payoff'!$E$21),I208+S209)</f>
        <v/>
      </c>
      <c r="AD209" s="160">
        <f>MIN(N('Debt Payoff'!$E$22),J208+T209)</f>
        <v/>
      </c>
      <c r="AE209" s="160">
        <f>MIN(N('Debt Payoff'!$E$23),K208+U209)</f>
        <v/>
      </c>
      <c r="AF209" s="160">
        <f>MIN(N('Debt Payoff'!$E$24),L208+V209)</f>
        <v/>
      </c>
      <c r="AG209" s="160">
        <f>C208+M209-W209</f>
        <v/>
      </c>
      <c r="AH209" s="160">
        <f>D208+N209-X209</f>
        <v/>
      </c>
      <c r="AI209" s="160">
        <f>E208+O209-Y209</f>
        <v/>
      </c>
      <c r="AJ209" s="160">
        <f>F208+P209-Z209</f>
        <v/>
      </c>
      <c r="AK209" s="160">
        <f>G208+Q209-AA209</f>
        <v/>
      </c>
      <c r="AL209" s="160">
        <f>H208+R209-AB209</f>
        <v/>
      </c>
      <c r="AM209" s="160">
        <f>I208+S209-AC209</f>
        <v/>
      </c>
      <c r="AN209" s="160">
        <f>J208+T209-AD209</f>
        <v/>
      </c>
      <c r="AO209" s="160">
        <f>K208+U209-AE209</f>
        <v/>
      </c>
      <c r="AP209" s="160">
        <f>L208+V209-AF209</f>
        <v/>
      </c>
      <c r="AQ209" s="160">
        <f>W209+MAX(0,MIN(AG209,'Debt Payoff'!$C$12-SUM($W209:$AF209)-SUMIFS($AG209:$AP209,$AG$4:$AP$4,"&lt;"&amp;AG$4)))</f>
        <v/>
      </c>
      <c r="AR209" s="160">
        <f>X209+MAX(0,MIN(AH209,'Debt Payoff'!$C$12-SUM($W209:$AF209)-SUMIFS($AG209:$AP209,$AG$4:$AP$4,"&lt;"&amp;AH$4)))</f>
        <v/>
      </c>
      <c r="AS209" s="160">
        <f>Y209+MAX(0,MIN(AI209,'Debt Payoff'!$C$12-SUM($W209:$AF209)-SUMIFS($AG209:$AP209,$AG$4:$AP$4,"&lt;"&amp;AI$4)))</f>
        <v/>
      </c>
      <c r="AT209" s="160">
        <f>Z209+MAX(0,MIN(AJ209,'Debt Payoff'!$C$12-SUM($W209:$AF209)-SUMIFS($AG209:$AP209,$AG$4:$AP$4,"&lt;"&amp;AJ$4)))</f>
        <v/>
      </c>
      <c r="AU209" s="160">
        <f>AA209+MAX(0,MIN(AK209,'Debt Payoff'!$C$12-SUM($W209:$AF209)-SUMIFS($AG209:$AP209,$AG$4:$AP$4,"&lt;"&amp;AK$4)))</f>
        <v/>
      </c>
      <c r="AV209" s="160">
        <f>AB209+MAX(0,MIN(AL209,'Debt Payoff'!$C$12-SUM($W209:$AF209)-SUMIFS($AG209:$AP209,$AG$4:$AP$4,"&lt;"&amp;AL$4)))</f>
        <v/>
      </c>
      <c r="AW209" s="160">
        <f>AC209+MAX(0,MIN(AM209,'Debt Payoff'!$C$12-SUM($W209:$AF209)-SUMIFS($AG209:$AP209,$AG$4:$AP$4,"&lt;"&amp;AM$4)))</f>
        <v/>
      </c>
      <c r="AX209" s="160">
        <f>AD209+MAX(0,MIN(AN209,'Debt Payoff'!$C$12-SUM($W209:$AF209)-SUMIFS($AG209:$AP209,$AG$4:$AP$4,"&lt;"&amp;AN$4)))</f>
        <v/>
      </c>
      <c r="AY209" s="160">
        <f>AE209+MAX(0,MIN(AO209,'Debt Payoff'!$C$12-SUM($W209:$AF209)-SUMIFS($AG209:$AP209,$AG$4:$AP$4,"&lt;"&amp;AO$4)))</f>
        <v/>
      </c>
      <c r="AZ209" s="160">
        <f>AF209+MAX(0,MIN(AP209,'Debt Payoff'!$C$12-SUM($W209:$AF209)-SUMIFS($AG209:$AP209,$AG$4:$AP$4,"&lt;"&amp;AP$4)))</f>
        <v/>
      </c>
      <c r="BA209" s="160">
        <f>SUM(C209:L209)</f>
        <v/>
      </c>
      <c r="BB209" s="160">
        <f>SUM(AQ209:AZ209)</f>
        <v/>
      </c>
      <c r="BC209" s="160">
        <f>SUM(M209:V209)</f>
        <v/>
      </c>
    </row>
    <row r="210">
      <c r="A210" s="157" t="n">
        <v>205</v>
      </c>
      <c r="B210" s="159">
        <f>EDATE('Debt Payoff'!$C$6,204)</f>
        <v/>
      </c>
      <c r="C210" s="160">
        <f>MAX(0,ROUND(C209+M210-AQ210,2))</f>
        <v/>
      </c>
      <c r="D210" s="160">
        <f>MAX(0,ROUND(D209+N210-AR210,2))</f>
        <v/>
      </c>
      <c r="E210" s="160">
        <f>MAX(0,ROUND(E209+O210-AS210,2))</f>
        <v/>
      </c>
      <c r="F210" s="160">
        <f>MAX(0,ROUND(F209+P210-AT210,2))</f>
        <v/>
      </c>
      <c r="G210" s="160">
        <f>MAX(0,ROUND(G209+Q210-AU210,2))</f>
        <v/>
      </c>
      <c r="H210" s="160">
        <f>MAX(0,ROUND(H209+R210-AV210,2))</f>
        <v/>
      </c>
      <c r="I210" s="160">
        <f>MAX(0,ROUND(I209+S210-AW210,2))</f>
        <v/>
      </c>
      <c r="J210" s="160">
        <f>MAX(0,ROUND(J209+T210-AX210,2))</f>
        <v/>
      </c>
      <c r="K210" s="160">
        <f>MAX(0,ROUND(K209+U210-AY210,2))</f>
        <v/>
      </c>
      <c r="L210" s="160">
        <f>MAX(0,ROUND(L209+V210-AZ210,2))</f>
        <v/>
      </c>
      <c r="M210" s="160">
        <f>C209*N('Debt Payoff'!$D$15)/12</f>
        <v/>
      </c>
      <c r="N210" s="160">
        <f>D209*N('Debt Payoff'!$D$16)/12</f>
        <v/>
      </c>
      <c r="O210" s="160">
        <f>E209*N('Debt Payoff'!$D$17)/12</f>
        <v/>
      </c>
      <c r="P210" s="160">
        <f>F209*N('Debt Payoff'!$D$18)/12</f>
        <v/>
      </c>
      <c r="Q210" s="160">
        <f>G209*N('Debt Payoff'!$D$19)/12</f>
        <v/>
      </c>
      <c r="R210" s="160">
        <f>H209*N('Debt Payoff'!$D$20)/12</f>
        <v/>
      </c>
      <c r="S210" s="160">
        <f>I209*N('Debt Payoff'!$D$21)/12</f>
        <v/>
      </c>
      <c r="T210" s="160">
        <f>J209*N('Debt Payoff'!$D$22)/12</f>
        <v/>
      </c>
      <c r="U210" s="160">
        <f>K209*N('Debt Payoff'!$D$23)/12</f>
        <v/>
      </c>
      <c r="V210" s="160">
        <f>L209*N('Debt Payoff'!$D$24)/12</f>
        <v/>
      </c>
      <c r="W210" s="160">
        <f>MIN(N('Debt Payoff'!$E$15),C209+M210)</f>
        <v/>
      </c>
      <c r="X210" s="160">
        <f>MIN(N('Debt Payoff'!$E$16),D209+N210)</f>
        <v/>
      </c>
      <c r="Y210" s="160">
        <f>MIN(N('Debt Payoff'!$E$17),E209+O210)</f>
        <v/>
      </c>
      <c r="Z210" s="160">
        <f>MIN(N('Debt Payoff'!$E$18),F209+P210)</f>
        <v/>
      </c>
      <c r="AA210" s="160">
        <f>MIN(N('Debt Payoff'!$E$19),G209+Q210)</f>
        <v/>
      </c>
      <c r="AB210" s="160">
        <f>MIN(N('Debt Payoff'!$E$20),H209+R210)</f>
        <v/>
      </c>
      <c r="AC210" s="160">
        <f>MIN(N('Debt Payoff'!$E$21),I209+S210)</f>
        <v/>
      </c>
      <c r="AD210" s="160">
        <f>MIN(N('Debt Payoff'!$E$22),J209+T210)</f>
        <v/>
      </c>
      <c r="AE210" s="160">
        <f>MIN(N('Debt Payoff'!$E$23),K209+U210)</f>
        <v/>
      </c>
      <c r="AF210" s="160">
        <f>MIN(N('Debt Payoff'!$E$24),L209+V210)</f>
        <v/>
      </c>
      <c r="AG210" s="160">
        <f>C209+M210-W210</f>
        <v/>
      </c>
      <c r="AH210" s="160">
        <f>D209+N210-X210</f>
        <v/>
      </c>
      <c r="AI210" s="160">
        <f>E209+O210-Y210</f>
        <v/>
      </c>
      <c r="AJ210" s="160">
        <f>F209+P210-Z210</f>
        <v/>
      </c>
      <c r="AK210" s="160">
        <f>G209+Q210-AA210</f>
        <v/>
      </c>
      <c r="AL210" s="160">
        <f>H209+R210-AB210</f>
        <v/>
      </c>
      <c r="AM210" s="160">
        <f>I209+S210-AC210</f>
        <v/>
      </c>
      <c r="AN210" s="160">
        <f>J209+T210-AD210</f>
        <v/>
      </c>
      <c r="AO210" s="160">
        <f>K209+U210-AE210</f>
        <v/>
      </c>
      <c r="AP210" s="160">
        <f>L209+V210-AF210</f>
        <v/>
      </c>
      <c r="AQ210" s="160">
        <f>W210+MAX(0,MIN(AG210,'Debt Payoff'!$C$12-SUM($W210:$AF210)-SUMIFS($AG210:$AP210,$AG$4:$AP$4,"&lt;"&amp;AG$4)))</f>
        <v/>
      </c>
      <c r="AR210" s="160">
        <f>X210+MAX(0,MIN(AH210,'Debt Payoff'!$C$12-SUM($W210:$AF210)-SUMIFS($AG210:$AP210,$AG$4:$AP$4,"&lt;"&amp;AH$4)))</f>
        <v/>
      </c>
      <c r="AS210" s="160">
        <f>Y210+MAX(0,MIN(AI210,'Debt Payoff'!$C$12-SUM($W210:$AF210)-SUMIFS($AG210:$AP210,$AG$4:$AP$4,"&lt;"&amp;AI$4)))</f>
        <v/>
      </c>
      <c r="AT210" s="160">
        <f>Z210+MAX(0,MIN(AJ210,'Debt Payoff'!$C$12-SUM($W210:$AF210)-SUMIFS($AG210:$AP210,$AG$4:$AP$4,"&lt;"&amp;AJ$4)))</f>
        <v/>
      </c>
      <c r="AU210" s="160">
        <f>AA210+MAX(0,MIN(AK210,'Debt Payoff'!$C$12-SUM($W210:$AF210)-SUMIFS($AG210:$AP210,$AG$4:$AP$4,"&lt;"&amp;AK$4)))</f>
        <v/>
      </c>
      <c r="AV210" s="160">
        <f>AB210+MAX(0,MIN(AL210,'Debt Payoff'!$C$12-SUM($W210:$AF210)-SUMIFS($AG210:$AP210,$AG$4:$AP$4,"&lt;"&amp;AL$4)))</f>
        <v/>
      </c>
      <c r="AW210" s="160">
        <f>AC210+MAX(0,MIN(AM210,'Debt Payoff'!$C$12-SUM($W210:$AF210)-SUMIFS($AG210:$AP210,$AG$4:$AP$4,"&lt;"&amp;AM$4)))</f>
        <v/>
      </c>
      <c r="AX210" s="160">
        <f>AD210+MAX(0,MIN(AN210,'Debt Payoff'!$C$12-SUM($W210:$AF210)-SUMIFS($AG210:$AP210,$AG$4:$AP$4,"&lt;"&amp;AN$4)))</f>
        <v/>
      </c>
      <c r="AY210" s="160">
        <f>AE210+MAX(0,MIN(AO210,'Debt Payoff'!$C$12-SUM($W210:$AF210)-SUMIFS($AG210:$AP210,$AG$4:$AP$4,"&lt;"&amp;AO$4)))</f>
        <v/>
      </c>
      <c r="AZ210" s="160">
        <f>AF210+MAX(0,MIN(AP210,'Debt Payoff'!$C$12-SUM($W210:$AF210)-SUMIFS($AG210:$AP210,$AG$4:$AP$4,"&lt;"&amp;AP$4)))</f>
        <v/>
      </c>
      <c r="BA210" s="160">
        <f>SUM(C210:L210)</f>
        <v/>
      </c>
      <c r="BB210" s="160">
        <f>SUM(AQ210:AZ210)</f>
        <v/>
      </c>
      <c r="BC210" s="160">
        <f>SUM(M210:V210)</f>
        <v/>
      </c>
    </row>
    <row r="211">
      <c r="A211" s="157" t="n">
        <v>206</v>
      </c>
      <c r="B211" s="159">
        <f>EDATE('Debt Payoff'!$C$6,205)</f>
        <v/>
      </c>
      <c r="C211" s="160">
        <f>MAX(0,ROUND(C210+M211-AQ211,2))</f>
        <v/>
      </c>
      <c r="D211" s="160">
        <f>MAX(0,ROUND(D210+N211-AR211,2))</f>
        <v/>
      </c>
      <c r="E211" s="160">
        <f>MAX(0,ROUND(E210+O211-AS211,2))</f>
        <v/>
      </c>
      <c r="F211" s="160">
        <f>MAX(0,ROUND(F210+P211-AT211,2))</f>
        <v/>
      </c>
      <c r="G211" s="160">
        <f>MAX(0,ROUND(G210+Q211-AU211,2))</f>
        <v/>
      </c>
      <c r="H211" s="160">
        <f>MAX(0,ROUND(H210+R211-AV211,2))</f>
        <v/>
      </c>
      <c r="I211" s="160">
        <f>MAX(0,ROUND(I210+S211-AW211,2))</f>
        <v/>
      </c>
      <c r="J211" s="160">
        <f>MAX(0,ROUND(J210+T211-AX211,2))</f>
        <v/>
      </c>
      <c r="K211" s="160">
        <f>MAX(0,ROUND(K210+U211-AY211,2))</f>
        <v/>
      </c>
      <c r="L211" s="160">
        <f>MAX(0,ROUND(L210+V211-AZ211,2))</f>
        <v/>
      </c>
      <c r="M211" s="160">
        <f>C210*N('Debt Payoff'!$D$15)/12</f>
        <v/>
      </c>
      <c r="N211" s="160">
        <f>D210*N('Debt Payoff'!$D$16)/12</f>
        <v/>
      </c>
      <c r="O211" s="160">
        <f>E210*N('Debt Payoff'!$D$17)/12</f>
        <v/>
      </c>
      <c r="P211" s="160">
        <f>F210*N('Debt Payoff'!$D$18)/12</f>
        <v/>
      </c>
      <c r="Q211" s="160">
        <f>G210*N('Debt Payoff'!$D$19)/12</f>
        <v/>
      </c>
      <c r="R211" s="160">
        <f>H210*N('Debt Payoff'!$D$20)/12</f>
        <v/>
      </c>
      <c r="S211" s="160">
        <f>I210*N('Debt Payoff'!$D$21)/12</f>
        <v/>
      </c>
      <c r="T211" s="160">
        <f>J210*N('Debt Payoff'!$D$22)/12</f>
        <v/>
      </c>
      <c r="U211" s="160">
        <f>K210*N('Debt Payoff'!$D$23)/12</f>
        <v/>
      </c>
      <c r="V211" s="160">
        <f>L210*N('Debt Payoff'!$D$24)/12</f>
        <v/>
      </c>
      <c r="W211" s="160">
        <f>MIN(N('Debt Payoff'!$E$15),C210+M211)</f>
        <v/>
      </c>
      <c r="X211" s="160">
        <f>MIN(N('Debt Payoff'!$E$16),D210+N211)</f>
        <v/>
      </c>
      <c r="Y211" s="160">
        <f>MIN(N('Debt Payoff'!$E$17),E210+O211)</f>
        <v/>
      </c>
      <c r="Z211" s="160">
        <f>MIN(N('Debt Payoff'!$E$18),F210+P211)</f>
        <v/>
      </c>
      <c r="AA211" s="160">
        <f>MIN(N('Debt Payoff'!$E$19),G210+Q211)</f>
        <v/>
      </c>
      <c r="AB211" s="160">
        <f>MIN(N('Debt Payoff'!$E$20),H210+R211)</f>
        <v/>
      </c>
      <c r="AC211" s="160">
        <f>MIN(N('Debt Payoff'!$E$21),I210+S211)</f>
        <v/>
      </c>
      <c r="AD211" s="160">
        <f>MIN(N('Debt Payoff'!$E$22),J210+T211)</f>
        <v/>
      </c>
      <c r="AE211" s="160">
        <f>MIN(N('Debt Payoff'!$E$23),K210+U211)</f>
        <v/>
      </c>
      <c r="AF211" s="160">
        <f>MIN(N('Debt Payoff'!$E$24),L210+V211)</f>
        <v/>
      </c>
      <c r="AG211" s="160">
        <f>C210+M211-W211</f>
        <v/>
      </c>
      <c r="AH211" s="160">
        <f>D210+N211-X211</f>
        <v/>
      </c>
      <c r="AI211" s="160">
        <f>E210+O211-Y211</f>
        <v/>
      </c>
      <c r="AJ211" s="160">
        <f>F210+P211-Z211</f>
        <v/>
      </c>
      <c r="AK211" s="160">
        <f>G210+Q211-AA211</f>
        <v/>
      </c>
      <c r="AL211" s="160">
        <f>H210+R211-AB211</f>
        <v/>
      </c>
      <c r="AM211" s="160">
        <f>I210+S211-AC211</f>
        <v/>
      </c>
      <c r="AN211" s="160">
        <f>J210+T211-AD211</f>
        <v/>
      </c>
      <c r="AO211" s="160">
        <f>K210+U211-AE211</f>
        <v/>
      </c>
      <c r="AP211" s="160">
        <f>L210+V211-AF211</f>
        <v/>
      </c>
      <c r="AQ211" s="160">
        <f>W211+MAX(0,MIN(AG211,'Debt Payoff'!$C$12-SUM($W211:$AF211)-SUMIFS($AG211:$AP211,$AG$4:$AP$4,"&lt;"&amp;AG$4)))</f>
        <v/>
      </c>
      <c r="AR211" s="160">
        <f>X211+MAX(0,MIN(AH211,'Debt Payoff'!$C$12-SUM($W211:$AF211)-SUMIFS($AG211:$AP211,$AG$4:$AP$4,"&lt;"&amp;AH$4)))</f>
        <v/>
      </c>
      <c r="AS211" s="160">
        <f>Y211+MAX(0,MIN(AI211,'Debt Payoff'!$C$12-SUM($W211:$AF211)-SUMIFS($AG211:$AP211,$AG$4:$AP$4,"&lt;"&amp;AI$4)))</f>
        <v/>
      </c>
      <c r="AT211" s="160">
        <f>Z211+MAX(0,MIN(AJ211,'Debt Payoff'!$C$12-SUM($W211:$AF211)-SUMIFS($AG211:$AP211,$AG$4:$AP$4,"&lt;"&amp;AJ$4)))</f>
        <v/>
      </c>
      <c r="AU211" s="160">
        <f>AA211+MAX(0,MIN(AK211,'Debt Payoff'!$C$12-SUM($W211:$AF211)-SUMIFS($AG211:$AP211,$AG$4:$AP$4,"&lt;"&amp;AK$4)))</f>
        <v/>
      </c>
      <c r="AV211" s="160">
        <f>AB211+MAX(0,MIN(AL211,'Debt Payoff'!$C$12-SUM($W211:$AF211)-SUMIFS($AG211:$AP211,$AG$4:$AP$4,"&lt;"&amp;AL$4)))</f>
        <v/>
      </c>
      <c r="AW211" s="160">
        <f>AC211+MAX(0,MIN(AM211,'Debt Payoff'!$C$12-SUM($W211:$AF211)-SUMIFS($AG211:$AP211,$AG$4:$AP$4,"&lt;"&amp;AM$4)))</f>
        <v/>
      </c>
      <c r="AX211" s="160">
        <f>AD211+MAX(0,MIN(AN211,'Debt Payoff'!$C$12-SUM($W211:$AF211)-SUMIFS($AG211:$AP211,$AG$4:$AP$4,"&lt;"&amp;AN$4)))</f>
        <v/>
      </c>
      <c r="AY211" s="160">
        <f>AE211+MAX(0,MIN(AO211,'Debt Payoff'!$C$12-SUM($W211:$AF211)-SUMIFS($AG211:$AP211,$AG$4:$AP$4,"&lt;"&amp;AO$4)))</f>
        <v/>
      </c>
      <c r="AZ211" s="160">
        <f>AF211+MAX(0,MIN(AP211,'Debt Payoff'!$C$12-SUM($W211:$AF211)-SUMIFS($AG211:$AP211,$AG$4:$AP$4,"&lt;"&amp;AP$4)))</f>
        <v/>
      </c>
      <c r="BA211" s="160">
        <f>SUM(C211:L211)</f>
        <v/>
      </c>
      <c r="BB211" s="160">
        <f>SUM(AQ211:AZ211)</f>
        <v/>
      </c>
      <c r="BC211" s="160">
        <f>SUM(M211:V211)</f>
        <v/>
      </c>
    </row>
    <row r="212">
      <c r="A212" s="157" t="n">
        <v>207</v>
      </c>
      <c r="B212" s="159">
        <f>EDATE('Debt Payoff'!$C$6,206)</f>
        <v/>
      </c>
      <c r="C212" s="160">
        <f>MAX(0,ROUND(C211+M212-AQ212,2))</f>
        <v/>
      </c>
      <c r="D212" s="160">
        <f>MAX(0,ROUND(D211+N212-AR212,2))</f>
        <v/>
      </c>
      <c r="E212" s="160">
        <f>MAX(0,ROUND(E211+O212-AS212,2))</f>
        <v/>
      </c>
      <c r="F212" s="160">
        <f>MAX(0,ROUND(F211+P212-AT212,2))</f>
        <v/>
      </c>
      <c r="G212" s="160">
        <f>MAX(0,ROUND(G211+Q212-AU212,2))</f>
        <v/>
      </c>
      <c r="H212" s="160">
        <f>MAX(0,ROUND(H211+R212-AV212,2))</f>
        <v/>
      </c>
      <c r="I212" s="160">
        <f>MAX(0,ROUND(I211+S212-AW212,2))</f>
        <v/>
      </c>
      <c r="J212" s="160">
        <f>MAX(0,ROUND(J211+T212-AX212,2))</f>
        <v/>
      </c>
      <c r="K212" s="160">
        <f>MAX(0,ROUND(K211+U212-AY212,2))</f>
        <v/>
      </c>
      <c r="L212" s="160">
        <f>MAX(0,ROUND(L211+V212-AZ212,2))</f>
        <v/>
      </c>
      <c r="M212" s="160">
        <f>C211*N('Debt Payoff'!$D$15)/12</f>
        <v/>
      </c>
      <c r="N212" s="160">
        <f>D211*N('Debt Payoff'!$D$16)/12</f>
        <v/>
      </c>
      <c r="O212" s="160">
        <f>E211*N('Debt Payoff'!$D$17)/12</f>
        <v/>
      </c>
      <c r="P212" s="160">
        <f>F211*N('Debt Payoff'!$D$18)/12</f>
        <v/>
      </c>
      <c r="Q212" s="160">
        <f>G211*N('Debt Payoff'!$D$19)/12</f>
        <v/>
      </c>
      <c r="R212" s="160">
        <f>H211*N('Debt Payoff'!$D$20)/12</f>
        <v/>
      </c>
      <c r="S212" s="160">
        <f>I211*N('Debt Payoff'!$D$21)/12</f>
        <v/>
      </c>
      <c r="T212" s="160">
        <f>J211*N('Debt Payoff'!$D$22)/12</f>
        <v/>
      </c>
      <c r="U212" s="160">
        <f>K211*N('Debt Payoff'!$D$23)/12</f>
        <v/>
      </c>
      <c r="V212" s="160">
        <f>L211*N('Debt Payoff'!$D$24)/12</f>
        <v/>
      </c>
      <c r="W212" s="160">
        <f>MIN(N('Debt Payoff'!$E$15),C211+M212)</f>
        <v/>
      </c>
      <c r="X212" s="160">
        <f>MIN(N('Debt Payoff'!$E$16),D211+N212)</f>
        <v/>
      </c>
      <c r="Y212" s="160">
        <f>MIN(N('Debt Payoff'!$E$17),E211+O212)</f>
        <v/>
      </c>
      <c r="Z212" s="160">
        <f>MIN(N('Debt Payoff'!$E$18),F211+P212)</f>
        <v/>
      </c>
      <c r="AA212" s="160">
        <f>MIN(N('Debt Payoff'!$E$19),G211+Q212)</f>
        <v/>
      </c>
      <c r="AB212" s="160">
        <f>MIN(N('Debt Payoff'!$E$20),H211+R212)</f>
        <v/>
      </c>
      <c r="AC212" s="160">
        <f>MIN(N('Debt Payoff'!$E$21),I211+S212)</f>
        <v/>
      </c>
      <c r="AD212" s="160">
        <f>MIN(N('Debt Payoff'!$E$22),J211+T212)</f>
        <v/>
      </c>
      <c r="AE212" s="160">
        <f>MIN(N('Debt Payoff'!$E$23),K211+U212)</f>
        <v/>
      </c>
      <c r="AF212" s="160">
        <f>MIN(N('Debt Payoff'!$E$24),L211+V212)</f>
        <v/>
      </c>
      <c r="AG212" s="160">
        <f>C211+M212-W212</f>
        <v/>
      </c>
      <c r="AH212" s="160">
        <f>D211+N212-X212</f>
        <v/>
      </c>
      <c r="AI212" s="160">
        <f>E211+O212-Y212</f>
        <v/>
      </c>
      <c r="AJ212" s="160">
        <f>F211+P212-Z212</f>
        <v/>
      </c>
      <c r="AK212" s="160">
        <f>G211+Q212-AA212</f>
        <v/>
      </c>
      <c r="AL212" s="160">
        <f>H211+R212-AB212</f>
        <v/>
      </c>
      <c r="AM212" s="160">
        <f>I211+S212-AC212</f>
        <v/>
      </c>
      <c r="AN212" s="160">
        <f>J211+T212-AD212</f>
        <v/>
      </c>
      <c r="AO212" s="160">
        <f>K211+U212-AE212</f>
        <v/>
      </c>
      <c r="AP212" s="160">
        <f>L211+V212-AF212</f>
        <v/>
      </c>
      <c r="AQ212" s="160">
        <f>W212+MAX(0,MIN(AG212,'Debt Payoff'!$C$12-SUM($W212:$AF212)-SUMIFS($AG212:$AP212,$AG$4:$AP$4,"&lt;"&amp;AG$4)))</f>
        <v/>
      </c>
      <c r="AR212" s="160">
        <f>X212+MAX(0,MIN(AH212,'Debt Payoff'!$C$12-SUM($W212:$AF212)-SUMIFS($AG212:$AP212,$AG$4:$AP$4,"&lt;"&amp;AH$4)))</f>
        <v/>
      </c>
      <c r="AS212" s="160">
        <f>Y212+MAX(0,MIN(AI212,'Debt Payoff'!$C$12-SUM($W212:$AF212)-SUMIFS($AG212:$AP212,$AG$4:$AP$4,"&lt;"&amp;AI$4)))</f>
        <v/>
      </c>
      <c r="AT212" s="160">
        <f>Z212+MAX(0,MIN(AJ212,'Debt Payoff'!$C$12-SUM($W212:$AF212)-SUMIFS($AG212:$AP212,$AG$4:$AP$4,"&lt;"&amp;AJ$4)))</f>
        <v/>
      </c>
      <c r="AU212" s="160">
        <f>AA212+MAX(0,MIN(AK212,'Debt Payoff'!$C$12-SUM($W212:$AF212)-SUMIFS($AG212:$AP212,$AG$4:$AP$4,"&lt;"&amp;AK$4)))</f>
        <v/>
      </c>
      <c r="AV212" s="160">
        <f>AB212+MAX(0,MIN(AL212,'Debt Payoff'!$C$12-SUM($W212:$AF212)-SUMIFS($AG212:$AP212,$AG$4:$AP$4,"&lt;"&amp;AL$4)))</f>
        <v/>
      </c>
      <c r="AW212" s="160">
        <f>AC212+MAX(0,MIN(AM212,'Debt Payoff'!$C$12-SUM($W212:$AF212)-SUMIFS($AG212:$AP212,$AG$4:$AP$4,"&lt;"&amp;AM$4)))</f>
        <v/>
      </c>
      <c r="AX212" s="160">
        <f>AD212+MAX(0,MIN(AN212,'Debt Payoff'!$C$12-SUM($W212:$AF212)-SUMIFS($AG212:$AP212,$AG$4:$AP$4,"&lt;"&amp;AN$4)))</f>
        <v/>
      </c>
      <c r="AY212" s="160">
        <f>AE212+MAX(0,MIN(AO212,'Debt Payoff'!$C$12-SUM($W212:$AF212)-SUMIFS($AG212:$AP212,$AG$4:$AP$4,"&lt;"&amp;AO$4)))</f>
        <v/>
      </c>
      <c r="AZ212" s="160">
        <f>AF212+MAX(0,MIN(AP212,'Debt Payoff'!$C$12-SUM($W212:$AF212)-SUMIFS($AG212:$AP212,$AG$4:$AP$4,"&lt;"&amp;AP$4)))</f>
        <v/>
      </c>
      <c r="BA212" s="160">
        <f>SUM(C212:L212)</f>
        <v/>
      </c>
      <c r="BB212" s="160">
        <f>SUM(AQ212:AZ212)</f>
        <v/>
      </c>
      <c r="BC212" s="160">
        <f>SUM(M212:V212)</f>
        <v/>
      </c>
    </row>
    <row r="213">
      <c r="A213" s="157" t="n">
        <v>208</v>
      </c>
      <c r="B213" s="159">
        <f>EDATE('Debt Payoff'!$C$6,207)</f>
        <v/>
      </c>
      <c r="C213" s="160">
        <f>MAX(0,ROUND(C212+M213-AQ213,2))</f>
        <v/>
      </c>
      <c r="D213" s="160">
        <f>MAX(0,ROUND(D212+N213-AR213,2))</f>
        <v/>
      </c>
      <c r="E213" s="160">
        <f>MAX(0,ROUND(E212+O213-AS213,2))</f>
        <v/>
      </c>
      <c r="F213" s="160">
        <f>MAX(0,ROUND(F212+P213-AT213,2))</f>
        <v/>
      </c>
      <c r="G213" s="160">
        <f>MAX(0,ROUND(G212+Q213-AU213,2))</f>
        <v/>
      </c>
      <c r="H213" s="160">
        <f>MAX(0,ROUND(H212+R213-AV213,2))</f>
        <v/>
      </c>
      <c r="I213" s="160">
        <f>MAX(0,ROUND(I212+S213-AW213,2))</f>
        <v/>
      </c>
      <c r="J213" s="160">
        <f>MAX(0,ROUND(J212+T213-AX213,2))</f>
        <v/>
      </c>
      <c r="K213" s="160">
        <f>MAX(0,ROUND(K212+U213-AY213,2))</f>
        <v/>
      </c>
      <c r="L213" s="160">
        <f>MAX(0,ROUND(L212+V213-AZ213,2))</f>
        <v/>
      </c>
      <c r="M213" s="160">
        <f>C212*N('Debt Payoff'!$D$15)/12</f>
        <v/>
      </c>
      <c r="N213" s="160">
        <f>D212*N('Debt Payoff'!$D$16)/12</f>
        <v/>
      </c>
      <c r="O213" s="160">
        <f>E212*N('Debt Payoff'!$D$17)/12</f>
        <v/>
      </c>
      <c r="P213" s="160">
        <f>F212*N('Debt Payoff'!$D$18)/12</f>
        <v/>
      </c>
      <c r="Q213" s="160">
        <f>G212*N('Debt Payoff'!$D$19)/12</f>
        <v/>
      </c>
      <c r="R213" s="160">
        <f>H212*N('Debt Payoff'!$D$20)/12</f>
        <v/>
      </c>
      <c r="S213" s="160">
        <f>I212*N('Debt Payoff'!$D$21)/12</f>
        <v/>
      </c>
      <c r="T213" s="160">
        <f>J212*N('Debt Payoff'!$D$22)/12</f>
        <v/>
      </c>
      <c r="U213" s="160">
        <f>K212*N('Debt Payoff'!$D$23)/12</f>
        <v/>
      </c>
      <c r="V213" s="160">
        <f>L212*N('Debt Payoff'!$D$24)/12</f>
        <v/>
      </c>
      <c r="W213" s="160">
        <f>MIN(N('Debt Payoff'!$E$15),C212+M213)</f>
        <v/>
      </c>
      <c r="X213" s="160">
        <f>MIN(N('Debt Payoff'!$E$16),D212+N213)</f>
        <v/>
      </c>
      <c r="Y213" s="160">
        <f>MIN(N('Debt Payoff'!$E$17),E212+O213)</f>
        <v/>
      </c>
      <c r="Z213" s="160">
        <f>MIN(N('Debt Payoff'!$E$18),F212+P213)</f>
        <v/>
      </c>
      <c r="AA213" s="160">
        <f>MIN(N('Debt Payoff'!$E$19),G212+Q213)</f>
        <v/>
      </c>
      <c r="AB213" s="160">
        <f>MIN(N('Debt Payoff'!$E$20),H212+R213)</f>
        <v/>
      </c>
      <c r="AC213" s="160">
        <f>MIN(N('Debt Payoff'!$E$21),I212+S213)</f>
        <v/>
      </c>
      <c r="AD213" s="160">
        <f>MIN(N('Debt Payoff'!$E$22),J212+T213)</f>
        <v/>
      </c>
      <c r="AE213" s="160">
        <f>MIN(N('Debt Payoff'!$E$23),K212+U213)</f>
        <v/>
      </c>
      <c r="AF213" s="160">
        <f>MIN(N('Debt Payoff'!$E$24),L212+V213)</f>
        <v/>
      </c>
      <c r="AG213" s="160">
        <f>C212+M213-W213</f>
        <v/>
      </c>
      <c r="AH213" s="160">
        <f>D212+N213-X213</f>
        <v/>
      </c>
      <c r="AI213" s="160">
        <f>E212+O213-Y213</f>
        <v/>
      </c>
      <c r="AJ213" s="160">
        <f>F212+P213-Z213</f>
        <v/>
      </c>
      <c r="AK213" s="160">
        <f>G212+Q213-AA213</f>
        <v/>
      </c>
      <c r="AL213" s="160">
        <f>H212+R213-AB213</f>
        <v/>
      </c>
      <c r="AM213" s="160">
        <f>I212+S213-AC213</f>
        <v/>
      </c>
      <c r="AN213" s="160">
        <f>J212+T213-AD213</f>
        <v/>
      </c>
      <c r="AO213" s="160">
        <f>K212+U213-AE213</f>
        <v/>
      </c>
      <c r="AP213" s="160">
        <f>L212+V213-AF213</f>
        <v/>
      </c>
      <c r="AQ213" s="160">
        <f>W213+MAX(0,MIN(AG213,'Debt Payoff'!$C$12-SUM($W213:$AF213)-SUMIFS($AG213:$AP213,$AG$4:$AP$4,"&lt;"&amp;AG$4)))</f>
        <v/>
      </c>
      <c r="AR213" s="160">
        <f>X213+MAX(0,MIN(AH213,'Debt Payoff'!$C$12-SUM($W213:$AF213)-SUMIFS($AG213:$AP213,$AG$4:$AP$4,"&lt;"&amp;AH$4)))</f>
        <v/>
      </c>
      <c r="AS213" s="160">
        <f>Y213+MAX(0,MIN(AI213,'Debt Payoff'!$C$12-SUM($W213:$AF213)-SUMIFS($AG213:$AP213,$AG$4:$AP$4,"&lt;"&amp;AI$4)))</f>
        <v/>
      </c>
      <c r="AT213" s="160">
        <f>Z213+MAX(0,MIN(AJ213,'Debt Payoff'!$C$12-SUM($W213:$AF213)-SUMIFS($AG213:$AP213,$AG$4:$AP$4,"&lt;"&amp;AJ$4)))</f>
        <v/>
      </c>
      <c r="AU213" s="160">
        <f>AA213+MAX(0,MIN(AK213,'Debt Payoff'!$C$12-SUM($W213:$AF213)-SUMIFS($AG213:$AP213,$AG$4:$AP$4,"&lt;"&amp;AK$4)))</f>
        <v/>
      </c>
      <c r="AV213" s="160">
        <f>AB213+MAX(0,MIN(AL213,'Debt Payoff'!$C$12-SUM($W213:$AF213)-SUMIFS($AG213:$AP213,$AG$4:$AP$4,"&lt;"&amp;AL$4)))</f>
        <v/>
      </c>
      <c r="AW213" s="160">
        <f>AC213+MAX(0,MIN(AM213,'Debt Payoff'!$C$12-SUM($W213:$AF213)-SUMIFS($AG213:$AP213,$AG$4:$AP$4,"&lt;"&amp;AM$4)))</f>
        <v/>
      </c>
      <c r="AX213" s="160">
        <f>AD213+MAX(0,MIN(AN213,'Debt Payoff'!$C$12-SUM($W213:$AF213)-SUMIFS($AG213:$AP213,$AG$4:$AP$4,"&lt;"&amp;AN$4)))</f>
        <v/>
      </c>
      <c r="AY213" s="160">
        <f>AE213+MAX(0,MIN(AO213,'Debt Payoff'!$C$12-SUM($W213:$AF213)-SUMIFS($AG213:$AP213,$AG$4:$AP$4,"&lt;"&amp;AO$4)))</f>
        <v/>
      </c>
      <c r="AZ213" s="160">
        <f>AF213+MAX(0,MIN(AP213,'Debt Payoff'!$C$12-SUM($W213:$AF213)-SUMIFS($AG213:$AP213,$AG$4:$AP$4,"&lt;"&amp;AP$4)))</f>
        <v/>
      </c>
      <c r="BA213" s="160">
        <f>SUM(C213:L213)</f>
        <v/>
      </c>
      <c r="BB213" s="160">
        <f>SUM(AQ213:AZ213)</f>
        <v/>
      </c>
      <c r="BC213" s="160">
        <f>SUM(M213:V213)</f>
        <v/>
      </c>
    </row>
    <row r="214">
      <c r="A214" s="157" t="n">
        <v>209</v>
      </c>
      <c r="B214" s="159">
        <f>EDATE('Debt Payoff'!$C$6,208)</f>
        <v/>
      </c>
      <c r="C214" s="160">
        <f>MAX(0,ROUND(C213+M214-AQ214,2))</f>
        <v/>
      </c>
      <c r="D214" s="160">
        <f>MAX(0,ROUND(D213+N214-AR214,2))</f>
        <v/>
      </c>
      <c r="E214" s="160">
        <f>MAX(0,ROUND(E213+O214-AS214,2))</f>
        <v/>
      </c>
      <c r="F214" s="160">
        <f>MAX(0,ROUND(F213+P214-AT214,2))</f>
        <v/>
      </c>
      <c r="G214" s="160">
        <f>MAX(0,ROUND(G213+Q214-AU214,2))</f>
        <v/>
      </c>
      <c r="H214" s="160">
        <f>MAX(0,ROUND(H213+R214-AV214,2))</f>
        <v/>
      </c>
      <c r="I214" s="160">
        <f>MAX(0,ROUND(I213+S214-AW214,2))</f>
        <v/>
      </c>
      <c r="J214" s="160">
        <f>MAX(0,ROUND(J213+T214-AX214,2))</f>
        <v/>
      </c>
      <c r="K214" s="160">
        <f>MAX(0,ROUND(K213+U214-AY214,2))</f>
        <v/>
      </c>
      <c r="L214" s="160">
        <f>MAX(0,ROUND(L213+V214-AZ214,2))</f>
        <v/>
      </c>
      <c r="M214" s="160">
        <f>C213*N('Debt Payoff'!$D$15)/12</f>
        <v/>
      </c>
      <c r="N214" s="160">
        <f>D213*N('Debt Payoff'!$D$16)/12</f>
        <v/>
      </c>
      <c r="O214" s="160">
        <f>E213*N('Debt Payoff'!$D$17)/12</f>
        <v/>
      </c>
      <c r="P214" s="160">
        <f>F213*N('Debt Payoff'!$D$18)/12</f>
        <v/>
      </c>
      <c r="Q214" s="160">
        <f>G213*N('Debt Payoff'!$D$19)/12</f>
        <v/>
      </c>
      <c r="R214" s="160">
        <f>H213*N('Debt Payoff'!$D$20)/12</f>
        <v/>
      </c>
      <c r="S214" s="160">
        <f>I213*N('Debt Payoff'!$D$21)/12</f>
        <v/>
      </c>
      <c r="T214" s="160">
        <f>J213*N('Debt Payoff'!$D$22)/12</f>
        <v/>
      </c>
      <c r="U214" s="160">
        <f>K213*N('Debt Payoff'!$D$23)/12</f>
        <v/>
      </c>
      <c r="V214" s="160">
        <f>L213*N('Debt Payoff'!$D$24)/12</f>
        <v/>
      </c>
      <c r="W214" s="160">
        <f>MIN(N('Debt Payoff'!$E$15),C213+M214)</f>
        <v/>
      </c>
      <c r="X214" s="160">
        <f>MIN(N('Debt Payoff'!$E$16),D213+N214)</f>
        <v/>
      </c>
      <c r="Y214" s="160">
        <f>MIN(N('Debt Payoff'!$E$17),E213+O214)</f>
        <v/>
      </c>
      <c r="Z214" s="160">
        <f>MIN(N('Debt Payoff'!$E$18),F213+P214)</f>
        <v/>
      </c>
      <c r="AA214" s="160">
        <f>MIN(N('Debt Payoff'!$E$19),G213+Q214)</f>
        <v/>
      </c>
      <c r="AB214" s="160">
        <f>MIN(N('Debt Payoff'!$E$20),H213+R214)</f>
        <v/>
      </c>
      <c r="AC214" s="160">
        <f>MIN(N('Debt Payoff'!$E$21),I213+S214)</f>
        <v/>
      </c>
      <c r="AD214" s="160">
        <f>MIN(N('Debt Payoff'!$E$22),J213+T214)</f>
        <v/>
      </c>
      <c r="AE214" s="160">
        <f>MIN(N('Debt Payoff'!$E$23),K213+U214)</f>
        <v/>
      </c>
      <c r="AF214" s="160">
        <f>MIN(N('Debt Payoff'!$E$24),L213+V214)</f>
        <v/>
      </c>
      <c r="AG214" s="160">
        <f>C213+M214-W214</f>
        <v/>
      </c>
      <c r="AH214" s="160">
        <f>D213+N214-X214</f>
        <v/>
      </c>
      <c r="AI214" s="160">
        <f>E213+O214-Y214</f>
        <v/>
      </c>
      <c r="AJ214" s="160">
        <f>F213+P214-Z214</f>
        <v/>
      </c>
      <c r="AK214" s="160">
        <f>G213+Q214-AA214</f>
        <v/>
      </c>
      <c r="AL214" s="160">
        <f>H213+R214-AB214</f>
        <v/>
      </c>
      <c r="AM214" s="160">
        <f>I213+S214-AC214</f>
        <v/>
      </c>
      <c r="AN214" s="160">
        <f>J213+T214-AD214</f>
        <v/>
      </c>
      <c r="AO214" s="160">
        <f>K213+U214-AE214</f>
        <v/>
      </c>
      <c r="AP214" s="160">
        <f>L213+V214-AF214</f>
        <v/>
      </c>
      <c r="AQ214" s="160">
        <f>W214+MAX(0,MIN(AG214,'Debt Payoff'!$C$12-SUM($W214:$AF214)-SUMIFS($AG214:$AP214,$AG$4:$AP$4,"&lt;"&amp;AG$4)))</f>
        <v/>
      </c>
      <c r="AR214" s="160">
        <f>X214+MAX(0,MIN(AH214,'Debt Payoff'!$C$12-SUM($W214:$AF214)-SUMIFS($AG214:$AP214,$AG$4:$AP$4,"&lt;"&amp;AH$4)))</f>
        <v/>
      </c>
      <c r="AS214" s="160">
        <f>Y214+MAX(0,MIN(AI214,'Debt Payoff'!$C$12-SUM($W214:$AF214)-SUMIFS($AG214:$AP214,$AG$4:$AP$4,"&lt;"&amp;AI$4)))</f>
        <v/>
      </c>
      <c r="AT214" s="160">
        <f>Z214+MAX(0,MIN(AJ214,'Debt Payoff'!$C$12-SUM($W214:$AF214)-SUMIFS($AG214:$AP214,$AG$4:$AP$4,"&lt;"&amp;AJ$4)))</f>
        <v/>
      </c>
      <c r="AU214" s="160">
        <f>AA214+MAX(0,MIN(AK214,'Debt Payoff'!$C$12-SUM($W214:$AF214)-SUMIFS($AG214:$AP214,$AG$4:$AP$4,"&lt;"&amp;AK$4)))</f>
        <v/>
      </c>
      <c r="AV214" s="160">
        <f>AB214+MAX(0,MIN(AL214,'Debt Payoff'!$C$12-SUM($W214:$AF214)-SUMIFS($AG214:$AP214,$AG$4:$AP$4,"&lt;"&amp;AL$4)))</f>
        <v/>
      </c>
      <c r="AW214" s="160">
        <f>AC214+MAX(0,MIN(AM214,'Debt Payoff'!$C$12-SUM($W214:$AF214)-SUMIFS($AG214:$AP214,$AG$4:$AP$4,"&lt;"&amp;AM$4)))</f>
        <v/>
      </c>
      <c r="AX214" s="160">
        <f>AD214+MAX(0,MIN(AN214,'Debt Payoff'!$C$12-SUM($W214:$AF214)-SUMIFS($AG214:$AP214,$AG$4:$AP$4,"&lt;"&amp;AN$4)))</f>
        <v/>
      </c>
      <c r="AY214" s="160">
        <f>AE214+MAX(0,MIN(AO214,'Debt Payoff'!$C$12-SUM($W214:$AF214)-SUMIFS($AG214:$AP214,$AG$4:$AP$4,"&lt;"&amp;AO$4)))</f>
        <v/>
      </c>
      <c r="AZ214" s="160">
        <f>AF214+MAX(0,MIN(AP214,'Debt Payoff'!$C$12-SUM($W214:$AF214)-SUMIFS($AG214:$AP214,$AG$4:$AP$4,"&lt;"&amp;AP$4)))</f>
        <v/>
      </c>
      <c r="BA214" s="160">
        <f>SUM(C214:L214)</f>
        <v/>
      </c>
      <c r="BB214" s="160">
        <f>SUM(AQ214:AZ214)</f>
        <v/>
      </c>
      <c r="BC214" s="160">
        <f>SUM(M214:V214)</f>
        <v/>
      </c>
    </row>
    <row r="215">
      <c r="A215" s="157" t="n">
        <v>210</v>
      </c>
      <c r="B215" s="159">
        <f>EDATE('Debt Payoff'!$C$6,209)</f>
        <v/>
      </c>
      <c r="C215" s="160">
        <f>MAX(0,ROUND(C214+M215-AQ215,2))</f>
        <v/>
      </c>
      <c r="D215" s="160">
        <f>MAX(0,ROUND(D214+N215-AR215,2))</f>
        <v/>
      </c>
      <c r="E215" s="160">
        <f>MAX(0,ROUND(E214+O215-AS215,2))</f>
        <v/>
      </c>
      <c r="F215" s="160">
        <f>MAX(0,ROUND(F214+P215-AT215,2))</f>
        <v/>
      </c>
      <c r="G215" s="160">
        <f>MAX(0,ROUND(G214+Q215-AU215,2))</f>
        <v/>
      </c>
      <c r="H215" s="160">
        <f>MAX(0,ROUND(H214+R215-AV215,2))</f>
        <v/>
      </c>
      <c r="I215" s="160">
        <f>MAX(0,ROUND(I214+S215-AW215,2))</f>
        <v/>
      </c>
      <c r="J215" s="160">
        <f>MAX(0,ROUND(J214+T215-AX215,2))</f>
        <v/>
      </c>
      <c r="K215" s="160">
        <f>MAX(0,ROUND(K214+U215-AY215,2))</f>
        <v/>
      </c>
      <c r="L215" s="160">
        <f>MAX(0,ROUND(L214+V215-AZ215,2))</f>
        <v/>
      </c>
      <c r="M215" s="160">
        <f>C214*N('Debt Payoff'!$D$15)/12</f>
        <v/>
      </c>
      <c r="N215" s="160">
        <f>D214*N('Debt Payoff'!$D$16)/12</f>
        <v/>
      </c>
      <c r="O215" s="160">
        <f>E214*N('Debt Payoff'!$D$17)/12</f>
        <v/>
      </c>
      <c r="P215" s="160">
        <f>F214*N('Debt Payoff'!$D$18)/12</f>
        <v/>
      </c>
      <c r="Q215" s="160">
        <f>G214*N('Debt Payoff'!$D$19)/12</f>
        <v/>
      </c>
      <c r="R215" s="160">
        <f>H214*N('Debt Payoff'!$D$20)/12</f>
        <v/>
      </c>
      <c r="S215" s="160">
        <f>I214*N('Debt Payoff'!$D$21)/12</f>
        <v/>
      </c>
      <c r="T215" s="160">
        <f>J214*N('Debt Payoff'!$D$22)/12</f>
        <v/>
      </c>
      <c r="U215" s="160">
        <f>K214*N('Debt Payoff'!$D$23)/12</f>
        <v/>
      </c>
      <c r="V215" s="160">
        <f>L214*N('Debt Payoff'!$D$24)/12</f>
        <v/>
      </c>
      <c r="W215" s="160">
        <f>MIN(N('Debt Payoff'!$E$15),C214+M215)</f>
        <v/>
      </c>
      <c r="X215" s="160">
        <f>MIN(N('Debt Payoff'!$E$16),D214+N215)</f>
        <v/>
      </c>
      <c r="Y215" s="160">
        <f>MIN(N('Debt Payoff'!$E$17),E214+O215)</f>
        <v/>
      </c>
      <c r="Z215" s="160">
        <f>MIN(N('Debt Payoff'!$E$18),F214+P215)</f>
        <v/>
      </c>
      <c r="AA215" s="160">
        <f>MIN(N('Debt Payoff'!$E$19),G214+Q215)</f>
        <v/>
      </c>
      <c r="AB215" s="160">
        <f>MIN(N('Debt Payoff'!$E$20),H214+R215)</f>
        <v/>
      </c>
      <c r="AC215" s="160">
        <f>MIN(N('Debt Payoff'!$E$21),I214+S215)</f>
        <v/>
      </c>
      <c r="AD215" s="160">
        <f>MIN(N('Debt Payoff'!$E$22),J214+T215)</f>
        <v/>
      </c>
      <c r="AE215" s="160">
        <f>MIN(N('Debt Payoff'!$E$23),K214+U215)</f>
        <v/>
      </c>
      <c r="AF215" s="160">
        <f>MIN(N('Debt Payoff'!$E$24),L214+V215)</f>
        <v/>
      </c>
      <c r="AG215" s="160">
        <f>C214+M215-W215</f>
        <v/>
      </c>
      <c r="AH215" s="160">
        <f>D214+N215-X215</f>
        <v/>
      </c>
      <c r="AI215" s="160">
        <f>E214+O215-Y215</f>
        <v/>
      </c>
      <c r="AJ215" s="160">
        <f>F214+P215-Z215</f>
        <v/>
      </c>
      <c r="AK215" s="160">
        <f>G214+Q215-AA215</f>
        <v/>
      </c>
      <c r="AL215" s="160">
        <f>H214+R215-AB215</f>
        <v/>
      </c>
      <c r="AM215" s="160">
        <f>I214+S215-AC215</f>
        <v/>
      </c>
      <c r="AN215" s="160">
        <f>J214+T215-AD215</f>
        <v/>
      </c>
      <c r="AO215" s="160">
        <f>K214+U215-AE215</f>
        <v/>
      </c>
      <c r="AP215" s="160">
        <f>L214+V215-AF215</f>
        <v/>
      </c>
      <c r="AQ215" s="160">
        <f>W215+MAX(0,MIN(AG215,'Debt Payoff'!$C$12-SUM($W215:$AF215)-SUMIFS($AG215:$AP215,$AG$4:$AP$4,"&lt;"&amp;AG$4)))</f>
        <v/>
      </c>
      <c r="AR215" s="160">
        <f>X215+MAX(0,MIN(AH215,'Debt Payoff'!$C$12-SUM($W215:$AF215)-SUMIFS($AG215:$AP215,$AG$4:$AP$4,"&lt;"&amp;AH$4)))</f>
        <v/>
      </c>
      <c r="AS215" s="160">
        <f>Y215+MAX(0,MIN(AI215,'Debt Payoff'!$C$12-SUM($W215:$AF215)-SUMIFS($AG215:$AP215,$AG$4:$AP$4,"&lt;"&amp;AI$4)))</f>
        <v/>
      </c>
      <c r="AT215" s="160">
        <f>Z215+MAX(0,MIN(AJ215,'Debt Payoff'!$C$12-SUM($W215:$AF215)-SUMIFS($AG215:$AP215,$AG$4:$AP$4,"&lt;"&amp;AJ$4)))</f>
        <v/>
      </c>
      <c r="AU215" s="160">
        <f>AA215+MAX(0,MIN(AK215,'Debt Payoff'!$C$12-SUM($W215:$AF215)-SUMIFS($AG215:$AP215,$AG$4:$AP$4,"&lt;"&amp;AK$4)))</f>
        <v/>
      </c>
      <c r="AV215" s="160">
        <f>AB215+MAX(0,MIN(AL215,'Debt Payoff'!$C$12-SUM($W215:$AF215)-SUMIFS($AG215:$AP215,$AG$4:$AP$4,"&lt;"&amp;AL$4)))</f>
        <v/>
      </c>
      <c r="AW215" s="160">
        <f>AC215+MAX(0,MIN(AM215,'Debt Payoff'!$C$12-SUM($W215:$AF215)-SUMIFS($AG215:$AP215,$AG$4:$AP$4,"&lt;"&amp;AM$4)))</f>
        <v/>
      </c>
      <c r="AX215" s="160">
        <f>AD215+MAX(0,MIN(AN215,'Debt Payoff'!$C$12-SUM($W215:$AF215)-SUMIFS($AG215:$AP215,$AG$4:$AP$4,"&lt;"&amp;AN$4)))</f>
        <v/>
      </c>
      <c r="AY215" s="160">
        <f>AE215+MAX(0,MIN(AO215,'Debt Payoff'!$C$12-SUM($W215:$AF215)-SUMIFS($AG215:$AP215,$AG$4:$AP$4,"&lt;"&amp;AO$4)))</f>
        <v/>
      </c>
      <c r="AZ215" s="160">
        <f>AF215+MAX(0,MIN(AP215,'Debt Payoff'!$C$12-SUM($W215:$AF215)-SUMIFS($AG215:$AP215,$AG$4:$AP$4,"&lt;"&amp;AP$4)))</f>
        <v/>
      </c>
      <c r="BA215" s="160">
        <f>SUM(C215:L215)</f>
        <v/>
      </c>
      <c r="BB215" s="160">
        <f>SUM(AQ215:AZ215)</f>
        <v/>
      </c>
      <c r="BC215" s="160">
        <f>SUM(M215:V215)</f>
        <v/>
      </c>
    </row>
    <row r="216">
      <c r="A216" s="157" t="n">
        <v>211</v>
      </c>
      <c r="B216" s="159">
        <f>EDATE('Debt Payoff'!$C$6,210)</f>
        <v/>
      </c>
      <c r="C216" s="160">
        <f>MAX(0,ROUND(C215+M216-AQ216,2))</f>
        <v/>
      </c>
      <c r="D216" s="160">
        <f>MAX(0,ROUND(D215+N216-AR216,2))</f>
        <v/>
      </c>
      <c r="E216" s="160">
        <f>MAX(0,ROUND(E215+O216-AS216,2))</f>
        <v/>
      </c>
      <c r="F216" s="160">
        <f>MAX(0,ROUND(F215+P216-AT216,2))</f>
        <v/>
      </c>
      <c r="G216" s="160">
        <f>MAX(0,ROUND(G215+Q216-AU216,2))</f>
        <v/>
      </c>
      <c r="H216" s="160">
        <f>MAX(0,ROUND(H215+R216-AV216,2))</f>
        <v/>
      </c>
      <c r="I216" s="160">
        <f>MAX(0,ROUND(I215+S216-AW216,2))</f>
        <v/>
      </c>
      <c r="J216" s="160">
        <f>MAX(0,ROUND(J215+T216-AX216,2))</f>
        <v/>
      </c>
      <c r="K216" s="160">
        <f>MAX(0,ROUND(K215+U216-AY216,2))</f>
        <v/>
      </c>
      <c r="L216" s="160">
        <f>MAX(0,ROUND(L215+V216-AZ216,2))</f>
        <v/>
      </c>
      <c r="M216" s="160">
        <f>C215*N('Debt Payoff'!$D$15)/12</f>
        <v/>
      </c>
      <c r="N216" s="160">
        <f>D215*N('Debt Payoff'!$D$16)/12</f>
        <v/>
      </c>
      <c r="O216" s="160">
        <f>E215*N('Debt Payoff'!$D$17)/12</f>
        <v/>
      </c>
      <c r="P216" s="160">
        <f>F215*N('Debt Payoff'!$D$18)/12</f>
        <v/>
      </c>
      <c r="Q216" s="160">
        <f>G215*N('Debt Payoff'!$D$19)/12</f>
        <v/>
      </c>
      <c r="R216" s="160">
        <f>H215*N('Debt Payoff'!$D$20)/12</f>
        <v/>
      </c>
      <c r="S216" s="160">
        <f>I215*N('Debt Payoff'!$D$21)/12</f>
        <v/>
      </c>
      <c r="T216" s="160">
        <f>J215*N('Debt Payoff'!$D$22)/12</f>
        <v/>
      </c>
      <c r="U216" s="160">
        <f>K215*N('Debt Payoff'!$D$23)/12</f>
        <v/>
      </c>
      <c r="V216" s="160">
        <f>L215*N('Debt Payoff'!$D$24)/12</f>
        <v/>
      </c>
      <c r="W216" s="160">
        <f>MIN(N('Debt Payoff'!$E$15),C215+M216)</f>
        <v/>
      </c>
      <c r="X216" s="160">
        <f>MIN(N('Debt Payoff'!$E$16),D215+N216)</f>
        <v/>
      </c>
      <c r="Y216" s="160">
        <f>MIN(N('Debt Payoff'!$E$17),E215+O216)</f>
        <v/>
      </c>
      <c r="Z216" s="160">
        <f>MIN(N('Debt Payoff'!$E$18),F215+P216)</f>
        <v/>
      </c>
      <c r="AA216" s="160">
        <f>MIN(N('Debt Payoff'!$E$19),G215+Q216)</f>
        <v/>
      </c>
      <c r="AB216" s="160">
        <f>MIN(N('Debt Payoff'!$E$20),H215+R216)</f>
        <v/>
      </c>
      <c r="AC216" s="160">
        <f>MIN(N('Debt Payoff'!$E$21),I215+S216)</f>
        <v/>
      </c>
      <c r="AD216" s="160">
        <f>MIN(N('Debt Payoff'!$E$22),J215+T216)</f>
        <v/>
      </c>
      <c r="AE216" s="160">
        <f>MIN(N('Debt Payoff'!$E$23),K215+U216)</f>
        <v/>
      </c>
      <c r="AF216" s="160">
        <f>MIN(N('Debt Payoff'!$E$24),L215+V216)</f>
        <v/>
      </c>
      <c r="AG216" s="160">
        <f>C215+M216-W216</f>
        <v/>
      </c>
      <c r="AH216" s="160">
        <f>D215+N216-X216</f>
        <v/>
      </c>
      <c r="AI216" s="160">
        <f>E215+O216-Y216</f>
        <v/>
      </c>
      <c r="AJ216" s="160">
        <f>F215+P216-Z216</f>
        <v/>
      </c>
      <c r="AK216" s="160">
        <f>G215+Q216-AA216</f>
        <v/>
      </c>
      <c r="AL216" s="160">
        <f>H215+R216-AB216</f>
        <v/>
      </c>
      <c r="AM216" s="160">
        <f>I215+S216-AC216</f>
        <v/>
      </c>
      <c r="AN216" s="160">
        <f>J215+T216-AD216</f>
        <v/>
      </c>
      <c r="AO216" s="160">
        <f>K215+U216-AE216</f>
        <v/>
      </c>
      <c r="AP216" s="160">
        <f>L215+V216-AF216</f>
        <v/>
      </c>
      <c r="AQ216" s="160">
        <f>W216+MAX(0,MIN(AG216,'Debt Payoff'!$C$12-SUM($W216:$AF216)-SUMIFS($AG216:$AP216,$AG$4:$AP$4,"&lt;"&amp;AG$4)))</f>
        <v/>
      </c>
      <c r="AR216" s="160">
        <f>X216+MAX(0,MIN(AH216,'Debt Payoff'!$C$12-SUM($W216:$AF216)-SUMIFS($AG216:$AP216,$AG$4:$AP$4,"&lt;"&amp;AH$4)))</f>
        <v/>
      </c>
      <c r="AS216" s="160">
        <f>Y216+MAX(0,MIN(AI216,'Debt Payoff'!$C$12-SUM($W216:$AF216)-SUMIFS($AG216:$AP216,$AG$4:$AP$4,"&lt;"&amp;AI$4)))</f>
        <v/>
      </c>
      <c r="AT216" s="160">
        <f>Z216+MAX(0,MIN(AJ216,'Debt Payoff'!$C$12-SUM($W216:$AF216)-SUMIFS($AG216:$AP216,$AG$4:$AP$4,"&lt;"&amp;AJ$4)))</f>
        <v/>
      </c>
      <c r="AU216" s="160">
        <f>AA216+MAX(0,MIN(AK216,'Debt Payoff'!$C$12-SUM($W216:$AF216)-SUMIFS($AG216:$AP216,$AG$4:$AP$4,"&lt;"&amp;AK$4)))</f>
        <v/>
      </c>
      <c r="AV216" s="160">
        <f>AB216+MAX(0,MIN(AL216,'Debt Payoff'!$C$12-SUM($W216:$AF216)-SUMIFS($AG216:$AP216,$AG$4:$AP$4,"&lt;"&amp;AL$4)))</f>
        <v/>
      </c>
      <c r="AW216" s="160">
        <f>AC216+MAX(0,MIN(AM216,'Debt Payoff'!$C$12-SUM($W216:$AF216)-SUMIFS($AG216:$AP216,$AG$4:$AP$4,"&lt;"&amp;AM$4)))</f>
        <v/>
      </c>
      <c r="AX216" s="160">
        <f>AD216+MAX(0,MIN(AN216,'Debt Payoff'!$C$12-SUM($W216:$AF216)-SUMIFS($AG216:$AP216,$AG$4:$AP$4,"&lt;"&amp;AN$4)))</f>
        <v/>
      </c>
      <c r="AY216" s="160">
        <f>AE216+MAX(0,MIN(AO216,'Debt Payoff'!$C$12-SUM($W216:$AF216)-SUMIFS($AG216:$AP216,$AG$4:$AP$4,"&lt;"&amp;AO$4)))</f>
        <v/>
      </c>
      <c r="AZ216" s="160">
        <f>AF216+MAX(0,MIN(AP216,'Debt Payoff'!$C$12-SUM($W216:$AF216)-SUMIFS($AG216:$AP216,$AG$4:$AP$4,"&lt;"&amp;AP$4)))</f>
        <v/>
      </c>
      <c r="BA216" s="160">
        <f>SUM(C216:L216)</f>
        <v/>
      </c>
      <c r="BB216" s="160">
        <f>SUM(AQ216:AZ216)</f>
        <v/>
      </c>
      <c r="BC216" s="160">
        <f>SUM(M216:V216)</f>
        <v/>
      </c>
    </row>
    <row r="217">
      <c r="A217" s="157" t="n">
        <v>212</v>
      </c>
      <c r="B217" s="159">
        <f>EDATE('Debt Payoff'!$C$6,211)</f>
        <v/>
      </c>
      <c r="C217" s="160">
        <f>MAX(0,ROUND(C216+M217-AQ217,2))</f>
        <v/>
      </c>
      <c r="D217" s="160">
        <f>MAX(0,ROUND(D216+N217-AR217,2))</f>
        <v/>
      </c>
      <c r="E217" s="160">
        <f>MAX(0,ROUND(E216+O217-AS217,2))</f>
        <v/>
      </c>
      <c r="F217" s="160">
        <f>MAX(0,ROUND(F216+P217-AT217,2))</f>
        <v/>
      </c>
      <c r="G217" s="160">
        <f>MAX(0,ROUND(G216+Q217-AU217,2))</f>
        <v/>
      </c>
      <c r="H217" s="160">
        <f>MAX(0,ROUND(H216+R217-AV217,2))</f>
        <v/>
      </c>
      <c r="I217" s="160">
        <f>MAX(0,ROUND(I216+S217-AW217,2))</f>
        <v/>
      </c>
      <c r="J217" s="160">
        <f>MAX(0,ROUND(J216+T217-AX217,2))</f>
        <v/>
      </c>
      <c r="K217" s="160">
        <f>MAX(0,ROUND(K216+U217-AY217,2))</f>
        <v/>
      </c>
      <c r="L217" s="160">
        <f>MAX(0,ROUND(L216+V217-AZ217,2))</f>
        <v/>
      </c>
      <c r="M217" s="160">
        <f>C216*N('Debt Payoff'!$D$15)/12</f>
        <v/>
      </c>
      <c r="N217" s="160">
        <f>D216*N('Debt Payoff'!$D$16)/12</f>
        <v/>
      </c>
      <c r="O217" s="160">
        <f>E216*N('Debt Payoff'!$D$17)/12</f>
        <v/>
      </c>
      <c r="P217" s="160">
        <f>F216*N('Debt Payoff'!$D$18)/12</f>
        <v/>
      </c>
      <c r="Q217" s="160">
        <f>G216*N('Debt Payoff'!$D$19)/12</f>
        <v/>
      </c>
      <c r="R217" s="160">
        <f>H216*N('Debt Payoff'!$D$20)/12</f>
        <v/>
      </c>
      <c r="S217" s="160">
        <f>I216*N('Debt Payoff'!$D$21)/12</f>
        <v/>
      </c>
      <c r="T217" s="160">
        <f>J216*N('Debt Payoff'!$D$22)/12</f>
        <v/>
      </c>
      <c r="U217" s="160">
        <f>K216*N('Debt Payoff'!$D$23)/12</f>
        <v/>
      </c>
      <c r="V217" s="160">
        <f>L216*N('Debt Payoff'!$D$24)/12</f>
        <v/>
      </c>
      <c r="W217" s="160">
        <f>MIN(N('Debt Payoff'!$E$15),C216+M217)</f>
        <v/>
      </c>
      <c r="X217" s="160">
        <f>MIN(N('Debt Payoff'!$E$16),D216+N217)</f>
        <v/>
      </c>
      <c r="Y217" s="160">
        <f>MIN(N('Debt Payoff'!$E$17),E216+O217)</f>
        <v/>
      </c>
      <c r="Z217" s="160">
        <f>MIN(N('Debt Payoff'!$E$18),F216+P217)</f>
        <v/>
      </c>
      <c r="AA217" s="160">
        <f>MIN(N('Debt Payoff'!$E$19),G216+Q217)</f>
        <v/>
      </c>
      <c r="AB217" s="160">
        <f>MIN(N('Debt Payoff'!$E$20),H216+R217)</f>
        <v/>
      </c>
      <c r="AC217" s="160">
        <f>MIN(N('Debt Payoff'!$E$21),I216+S217)</f>
        <v/>
      </c>
      <c r="AD217" s="160">
        <f>MIN(N('Debt Payoff'!$E$22),J216+T217)</f>
        <v/>
      </c>
      <c r="AE217" s="160">
        <f>MIN(N('Debt Payoff'!$E$23),K216+U217)</f>
        <v/>
      </c>
      <c r="AF217" s="160">
        <f>MIN(N('Debt Payoff'!$E$24),L216+V217)</f>
        <v/>
      </c>
      <c r="AG217" s="160">
        <f>C216+M217-W217</f>
        <v/>
      </c>
      <c r="AH217" s="160">
        <f>D216+N217-X217</f>
        <v/>
      </c>
      <c r="AI217" s="160">
        <f>E216+O217-Y217</f>
        <v/>
      </c>
      <c r="AJ217" s="160">
        <f>F216+P217-Z217</f>
        <v/>
      </c>
      <c r="AK217" s="160">
        <f>G216+Q217-AA217</f>
        <v/>
      </c>
      <c r="AL217" s="160">
        <f>H216+R217-AB217</f>
        <v/>
      </c>
      <c r="AM217" s="160">
        <f>I216+S217-AC217</f>
        <v/>
      </c>
      <c r="AN217" s="160">
        <f>J216+T217-AD217</f>
        <v/>
      </c>
      <c r="AO217" s="160">
        <f>K216+U217-AE217</f>
        <v/>
      </c>
      <c r="AP217" s="160">
        <f>L216+V217-AF217</f>
        <v/>
      </c>
      <c r="AQ217" s="160">
        <f>W217+MAX(0,MIN(AG217,'Debt Payoff'!$C$12-SUM($W217:$AF217)-SUMIFS($AG217:$AP217,$AG$4:$AP$4,"&lt;"&amp;AG$4)))</f>
        <v/>
      </c>
      <c r="AR217" s="160">
        <f>X217+MAX(0,MIN(AH217,'Debt Payoff'!$C$12-SUM($W217:$AF217)-SUMIFS($AG217:$AP217,$AG$4:$AP$4,"&lt;"&amp;AH$4)))</f>
        <v/>
      </c>
      <c r="AS217" s="160">
        <f>Y217+MAX(0,MIN(AI217,'Debt Payoff'!$C$12-SUM($W217:$AF217)-SUMIFS($AG217:$AP217,$AG$4:$AP$4,"&lt;"&amp;AI$4)))</f>
        <v/>
      </c>
      <c r="AT217" s="160">
        <f>Z217+MAX(0,MIN(AJ217,'Debt Payoff'!$C$12-SUM($W217:$AF217)-SUMIFS($AG217:$AP217,$AG$4:$AP$4,"&lt;"&amp;AJ$4)))</f>
        <v/>
      </c>
      <c r="AU217" s="160">
        <f>AA217+MAX(0,MIN(AK217,'Debt Payoff'!$C$12-SUM($W217:$AF217)-SUMIFS($AG217:$AP217,$AG$4:$AP$4,"&lt;"&amp;AK$4)))</f>
        <v/>
      </c>
      <c r="AV217" s="160">
        <f>AB217+MAX(0,MIN(AL217,'Debt Payoff'!$C$12-SUM($W217:$AF217)-SUMIFS($AG217:$AP217,$AG$4:$AP$4,"&lt;"&amp;AL$4)))</f>
        <v/>
      </c>
      <c r="AW217" s="160">
        <f>AC217+MAX(0,MIN(AM217,'Debt Payoff'!$C$12-SUM($W217:$AF217)-SUMIFS($AG217:$AP217,$AG$4:$AP$4,"&lt;"&amp;AM$4)))</f>
        <v/>
      </c>
      <c r="AX217" s="160">
        <f>AD217+MAX(0,MIN(AN217,'Debt Payoff'!$C$12-SUM($W217:$AF217)-SUMIFS($AG217:$AP217,$AG$4:$AP$4,"&lt;"&amp;AN$4)))</f>
        <v/>
      </c>
      <c r="AY217" s="160">
        <f>AE217+MAX(0,MIN(AO217,'Debt Payoff'!$C$12-SUM($W217:$AF217)-SUMIFS($AG217:$AP217,$AG$4:$AP$4,"&lt;"&amp;AO$4)))</f>
        <v/>
      </c>
      <c r="AZ217" s="160">
        <f>AF217+MAX(0,MIN(AP217,'Debt Payoff'!$C$12-SUM($W217:$AF217)-SUMIFS($AG217:$AP217,$AG$4:$AP$4,"&lt;"&amp;AP$4)))</f>
        <v/>
      </c>
      <c r="BA217" s="160">
        <f>SUM(C217:L217)</f>
        <v/>
      </c>
      <c r="BB217" s="160">
        <f>SUM(AQ217:AZ217)</f>
        <v/>
      </c>
      <c r="BC217" s="160">
        <f>SUM(M217:V217)</f>
        <v/>
      </c>
    </row>
    <row r="218">
      <c r="A218" s="157" t="n">
        <v>213</v>
      </c>
      <c r="B218" s="159">
        <f>EDATE('Debt Payoff'!$C$6,212)</f>
        <v/>
      </c>
      <c r="C218" s="160">
        <f>MAX(0,ROUND(C217+M218-AQ218,2))</f>
        <v/>
      </c>
      <c r="D218" s="160">
        <f>MAX(0,ROUND(D217+N218-AR218,2))</f>
        <v/>
      </c>
      <c r="E218" s="160">
        <f>MAX(0,ROUND(E217+O218-AS218,2))</f>
        <v/>
      </c>
      <c r="F218" s="160">
        <f>MAX(0,ROUND(F217+P218-AT218,2))</f>
        <v/>
      </c>
      <c r="G218" s="160">
        <f>MAX(0,ROUND(G217+Q218-AU218,2))</f>
        <v/>
      </c>
      <c r="H218" s="160">
        <f>MAX(0,ROUND(H217+R218-AV218,2))</f>
        <v/>
      </c>
      <c r="I218" s="160">
        <f>MAX(0,ROUND(I217+S218-AW218,2))</f>
        <v/>
      </c>
      <c r="J218" s="160">
        <f>MAX(0,ROUND(J217+T218-AX218,2))</f>
        <v/>
      </c>
      <c r="K218" s="160">
        <f>MAX(0,ROUND(K217+U218-AY218,2))</f>
        <v/>
      </c>
      <c r="L218" s="160">
        <f>MAX(0,ROUND(L217+V218-AZ218,2))</f>
        <v/>
      </c>
      <c r="M218" s="160">
        <f>C217*N('Debt Payoff'!$D$15)/12</f>
        <v/>
      </c>
      <c r="N218" s="160">
        <f>D217*N('Debt Payoff'!$D$16)/12</f>
        <v/>
      </c>
      <c r="O218" s="160">
        <f>E217*N('Debt Payoff'!$D$17)/12</f>
        <v/>
      </c>
      <c r="P218" s="160">
        <f>F217*N('Debt Payoff'!$D$18)/12</f>
        <v/>
      </c>
      <c r="Q218" s="160">
        <f>G217*N('Debt Payoff'!$D$19)/12</f>
        <v/>
      </c>
      <c r="R218" s="160">
        <f>H217*N('Debt Payoff'!$D$20)/12</f>
        <v/>
      </c>
      <c r="S218" s="160">
        <f>I217*N('Debt Payoff'!$D$21)/12</f>
        <v/>
      </c>
      <c r="T218" s="160">
        <f>J217*N('Debt Payoff'!$D$22)/12</f>
        <v/>
      </c>
      <c r="U218" s="160">
        <f>K217*N('Debt Payoff'!$D$23)/12</f>
        <v/>
      </c>
      <c r="V218" s="160">
        <f>L217*N('Debt Payoff'!$D$24)/12</f>
        <v/>
      </c>
      <c r="W218" s="160">
        <f>MIN(N('Debt Payoff'!$E$15),C217+M218)</f>
        <v/>
      </c>
      <c r="X218" s="160">
        <f>MIN(N('Debt Payoff'!$E$16),D217+N218)</f>
        <v/>
      </c>
      <c r="Y218" s="160">
        <f>MIN(N('Debt Payoff'!$E$17),E217+O218)</f>
        <v/>
      </c>
      <c r="Z218" s="160">
        <f>MIN(N('Debt Payoff'!$E$18),F217+P218)</f>
        <v/>
      </c>
      <c r="AA218" s="160">
        <f>MIN(N('Debt Payoff'!$E$19),G217+Q218)</f>
        <v/>
      </c>
      <c r="AB218" s="160">
        <f>MIN(N('Debt Payoff'!$E$20),H217+R218)</f>
        <v/>
      </c>
      <c r="AC218" s="160">
        <f>MIN(N('Debt Payoff'!$E$21),I217+S218)</f>
        <v/>
      </c>
      <c r="AD218" s="160">
        <f>MIN(N('Debt Payoff'!$E$22),J217+T218)</f>
        <v/>
      </c>
      <c r="AE218" s="160">
        <f>MIN(N('Debt Payoff'!$E$23),K217+U218)</f>
        <v/>
      </c>
      <c r="AF218" s="160">
        <f>MIN(N('Debt Payoff'!$E$24),L217+V218)</f>
        <v/>
      </c>
      <c r="AG218" s="160">
        <f>C217+M218-W218</f>
        <v/>
      </c>
      <c r="AH218" s="160">
        <f>D217+N218-X218</f>
        <v/>
      </c>
      <c r="AI218" s="160">
        <f>E217+O218-Y218</f>
        <v/>
      </c>
      <c r="AJ218" s="160">
        <f>F217+P218-Z218</f>
        <v/>
      </c>
      <c r="AK218" s="160">
        <f>G217+Q218-AA218</f>
        <v/>
      </c>
      <c r="AL218" s="160">
        <f>H217+R218-AB218</f>
        <v/>
      </c>
      <c r="AM218" s="160">
        <f>I217+S218-AC218</f>
        <v/>
      </c>
      <c r="AN218" s="160">
        <f>J217+T218-AD218</f>
        <v/>
      </c>
      <c r="AO218" s="160">
        <f>K217+U218-AE218</f>
        <v/>
      </c>
      <c r="AP218" s="160">
        <f>L217+V218-AF218</f>
        <v/>
      </c>
      <c r="AQ218" s="160">
        <f>W218+MAX(0,MIN(AG218,'Debt Payoff'!$C$12-SUM($W218:$AF218)-SUMIFS($AG218:$AP218,$AG$4:$AP$4,"&lt;"&amp;AG$4)))</f>
        <v/>
      </c>
      <c r="AR218" s="160">
        <f>X218+MAX(0,MIN(AH218,'Debt Payoff'!$C$12-SUM($W218:$AF218)-SUMIFS($AG218:$AP218,$AG$4:$AP$4,"&lt;"&amp;AH$4)))</f>
        <v/>
      </c>
      <c r="AS218" s="160">
        <f>Y218+MAX(0,MIN(AI218,'Debt Payoff'!$C$12-SUM($W218:$AF218)-SUMIFS($AG218:$AP218,$AG$4:$AP$4,"&lt;"&amp;AI$4)))</f>
        <v/>
      </c>
      <c r="AT218" s="160">
        <f>Z218+MAX(0,MIN(AJ218,'Debt Payoff'!$C$12-SUM($W218:$AF218)-SUMIFS($AG218:$AP218,$AG$4:$AP$4,"&lt;"&amp;AJ$4)))</f>
        <v/>
      </c>
      <c r="AU218" s="160">
        <f>AA218+MAX(0,MIN(AK218,'Debt Payoff'!$C$12-SUM($W218:$AF218)-SUMIFS($AG218:$AP218,$AG$4:$AP$4,"&lt;"&amp;AK$4)))</f>
        <v/>
      </c>
      <c r="AV218" s="160">
        <f>AB218+MAX(0,MIN(AL218,'Debt Payoff'!$C$12-SUM($W218:$AF218)-SUMIFS($AG218:$AP218,$AG$4:$AP$4,"&lt;"&amp;AL$4)))</f>
        <v/>
      </c>
      <c r="AW218" s="160">
        <f>AC218+MAX(0,MIN(AM218,'Debt Payoff'!$C$12-SUM($W218:$AF218)-SUMIFS($AG218:$AP218,$AG$4:$AP$4,"&lt;"&amp;AM$4)))</f>
        <v/>
      </c>
      <c r="AX218" s="160">
        <f>AD218+MAX(0,MIN(AN218,'Debt Payoff'!$C$12-SUM($W218:$AF218)-SUMIFS($AG218:$AP218,$AG$4:$AP$4,"&lt;"&amp;AN$4)))</f>
        <v/>
      </c>
      <c r="AY218" s="160">
        <f>AE218+MAX(0,MIN(AO218,'Debt Payoff'!$C$12-SUM($W218:$AF218)-SUMIFS($AG218:$AP218,$AG$4:$AP$4,"&lt;"&amp;AO$4)))</f>
        <v/>
      </c>
      <c r="AZ218" s="160">
        <f>AF218+MAX(0,MIN(AP218,'Debt Payoff'!$C$12-SUM($W218:$AF218)-SUMIFS($AG218:$AP218,$AG$4:$AP$4,"&lt;"&amp;AP$4)))</f>
        <v/>
      </c>
      <c r="BA218" s="160">
        <f>SUM(C218:L218)</f>
        <v/>
      </c>
      <c r="BB218" s="160">
        <f>SUM(AQ218:AZ218)</f>
        <v/>
      </c>
      <c r="BC218" s="160">
        <f>SUM(M218:V218)</f>
        <v/>
      </c>
    </row>
    <row r="219">
      <c r="A219" s="157" t="n">
        <v>214</v>
      </c>
      <c r="B219" s="159">
        <f>EDATE('Debt Payoff'!$C$6,213)</f>
        <v/>
      </c>
      <c r="C219" s="160">
        <f>MAX(0,ROUND(C218+M219-AQ219,2))</f>
        <v/>
      </c>
      <c r="D219" s="160">
        <f>MAX(0,ROUND(D218+N219-AR219,2))</f>
        <v/>
      </c>
      <c r="E219" s="160">
        <f>MAX(0,ROUND(E218+O219-AS219,2))</f>
        <v/>
      </c>
      <c r="F219" s="160">
        <f>MAX(0,ROUND(F218+P219-AT219,2))</f>
        <v/>
      </c>
      <c r="G219" s="160">
        <f>MAX(0,ROUND(G218+Q219-AU219,2))</f>
        <v/>
      </c>
      <c r="H219" s="160">
        <f>MAX(0,ROUND(H218+R219-AV219,2))</f>
        <v/>
      </c>
      <c r="I219" s="160">
        <f>MAX(0,ROUND(I218+S219-AW219,2))</f>
        <v/>
      </c>
      <c r="J219" s="160">
        <f>MAX(0,ROUND(J218+T219-AX219,2))</f>
        <v/>
      </c>
      <c r="K219" s="160">
        <f>MAX(0,ROUND(K218+U219-AY219,2))</f>
        <v/>
      </c>
      <c r="L219" s="160">
        <f>MAX(0,ROUND(L218+V219-AZ219,2))</f>
        <v/>
      </c>
      <c r="M219" s="160">
        <f>C218*N('Debt Payoff'!$D$15)/12</f>
        <v/>
      </c>
      <c r="N219" s="160">
        <f>D218*N('Debt Payoff'!$D$16)/12</f>
        <v/>
      </c>
      <c r="O219" s="160">
        <f>E218*N('Debt Payoff'!$D$17)/12</f>
        <v/>
      </c>
      <c r="P219" s="160">
        <f>F218*N('Debt Payoff'!$D$18)/12</f>
        <v/>
      </c>
      <c r="Q219" s="160">
        <f>G218*N('Debt Payoff'!$D$19)/12</f>
        <v/>
      </c>
      <c r="R219" s="160">
        <f>H218*N('Debt Payoff'!$D$20)/12</f>
        <v/>
      </c>
      <c r="S219" s="160">
        <f>I218*N('Debt Payoff'!$D$21)/12</f>
        <v/>
      </c>
      <c r="T219" s="160">
        <f>J218*N('Debt Payoff'!$D$22)/12</f>
        <v/>
      </c>
      <c r="U219" s="160">
        <f>K218*N('Debt Payoff'!$D$23)/12</f>
        <v/>
      </c>
      <c r="V219" s="160">
        <f>L218*N('Debt Payoff'!$D$24)/12</f>
        <v/>
      </c>
      <c r="W219" s="160">
        <f>MIN(N('Debt Payoff'!$E$15),C218+M219)</f>
        <v/>
      </c>
      <c r="X219" s="160">
        <f>MIN(N('Debt Payoff'!$E$16),D218+N219)</f>
        <v/>
      </c>
      <c r="Y219" s="160">
        <f>MIN(N('Debt Payoff'!$E$17),E218+O219)</f>
        <v/>
      </c>
      <c r="Z219" s="160">
        <f>MIN(N('Debt Payoff'!$E$18),F218+P219)</f>
        <v/>
      </c>
      <c r="AA219" s="160">
        <f>MIN(N('Debt Payoff'!$E$19),G218+Q219)</f>
        <v/>
      </c>
      <c r="AB219" s="160">
        <f>MIN(N('Debt Payoff'!$E$20),H218+R219)</f>
        <v/>
      </c>
      <c r="AC219" s="160">
        <f>MIN(N('Debt Payoff'!$E$21),I218+S219)</f>
        <v/>
      </c>
      <c r="AD219" s="160">
        <f>MIN(N('Debt Payoff'!$E$22),J218+T219)</f>
        <v/>
      </c>
      <c r="AE219" s="160">
        <f>MIN(N('Debt Payoff'!$E$23),K218+U219)</f>
        <v/>
      </c>
      <c r="AF219" s="160">
        <f>MIN(N('Debt Payoff'!$E$24),L218+V219)</f>
        <v/>
      </c>
      <c r="AG219" s="160">
        <f>C218+M219-W219</f>
        <v/>
      </c>
      <c r="AH219" s="160">
        <f>D218+N219-X219</f>
        <v/>
      </c>
      <c r="AI219" s="160">
        <f>E218+O219-Y219</f>
        <v/>
      </c>
      <c r="AJ219" s="160">
        <f>F218+P219-Z219</f>
        <v/>
      </c>
      <c r="AK219" s="160">
        <f>G218+Q219-AA219</f>
        <v/>
      </c>
      <c r="AL219" s="160">
        <f>H218+R219-AB219</f>
        <v/>
      </c>
      <c r="AM219" s="160">
        <f>I218+S219-AC219</f>
        <v/>
      </c>
      <c r="AN219" s="160">
        <f>J218+T219-AD219</f>
        <v/>
      </c>
      <c r="AO219" s="160">
        <f>K218+U219-AE219</f>
        <v/>
      </c>
      <c r="AP219" s="160">
        <f>L218+V219-AF219</f>
        <v/>
      </c>
      <c r="AQ219" s="160">
        <f>W219+MAX(0,MIN(AG219,'Debt Payoff'!$C$12-SUM($W219:$AF219)-SUMIFS($AG219:$AP219,$AG$4:$AP$4,"&lt;"&amp;AG$4)))</f>
        <v/>
      </c>
      <c r="AR219" s="160">
        <f>X219+MAX(0,MIN(AH219,'Debt Payoff'!$C$12-SUM($W219:$AF219)-SUMIFS($AG219:$AP219,$AG$4:$AP$4,"&lt;"&amp;AH$4)))</f>
        <v/>
      </c>
      <c r="AS219" s="160">
        <f>Y219+MAX(0,MIN(AI219,'Debt Payoff'!$C$12-SUM($W219:$AF219)-SUMIFS($AG219:$AP219,$AG$4:$AP$4,"&lt;"&amp;AI$4)))</f>
        <v/>
      </c>
      <c r="AT219" s="160">
        <f>Z219+MAX(0,MIN(AJ219,'Debt Payoff'!$C$12-SUM($W219:$AF219)-SUMIFS($AG219:$AP219,$AG$4:$AP$4,"&lt;"&amp;AJ$4)))</f>
        <v/>
      </c>
      <c r="AU219" s="160">
        <f>AA219+MAX(0,MIN(AK219,'Debt Payoff'!$C$12-SUM($W219:$AF219)-SUMIFS($AG219:$AP219,$AG$4:$AP$4,"&lt;"&amp;AK$4)))</f>
        <v/>
      </c>
      <c r="AV219" s="160">
        <f>AB219+MAX(0,MIN(AL219,'Debt Payoff'!$C$12-SUM($W219:$AF219)-SUMIFS($AG219:$AP219,$AG$4:$AP$4,"&lt;"&amp;AL$4)))</f>
        <v/>
      </c>
      <c r="AW219" s="160">
        <f>AC219+MAX(0,MIN(AM219,'Debt Payoff'!$C$12-SUM($W219:$AF219)-SUMIFS($AG219:$AP219,$AG$4:$AP$4,"&lt;"&amp;AM$4)))</f>
        <v/>
      </c>
      <c r="AX219" s="160">
        <f>AD219+MAX(0,MIN(AN219,'Debt Payoff'!$C$12-SUM($W219:$AF219)-SUMIFS($AG219:$AP219,$AG$4:$AP$4,"&lt;"&amp;AN$4)))</f>
        <v/>
      </c>
      <c r="AY219" s="160">
        <f>AE219+MAX(0,MIN(AO219,'Debt Payoff'!$C$12-SUM($W219:$AF219)-SUMIFS($AG219:$AP219,$AG$4:$AP$4,"&lt;"&amp;AO$4)))</f>
        <v/>
      </c>
      <c r="AZ219" s="160">
        <f>AF219+MAX(0,MIN(AP219,'Debt Payoff'!$C$12-SUM($W219:$AF219)-SUMIFS($AG219:$AP219,$AG$4:$AP$4,"&lt;"&amp;AP$4)))</f>
        <v/>
      </c>
      <c r="BA219" s="160">
        <f>SUM(C219:L219)</f>
        <v/>
      </c>
      <c r="BB219" s="160">
        <f>SUM(AQ219:AZ219)</f>
        <v/>
      </c>
      <c r="BC219" s="160">
        <f>SUM(M219:V219)</f>
        <v/>
      </c>
    </row>
    <row r="220">
      <c r="A220" s="157" t="n">
        <v>215</v>
      </c>
      <c r="B220" s="159">
        <f>EDATE('Debt Payoff'!$C$6,214)</f>
        <v/>
      </c>
      <c r="C220" s="160">
        <f>MAX(0,ROUND(C219+M220-AQ220,2))</f>
        <v/>
      </c>
      <c r="D220" s="160">
        <f>MAX(0,ROUND(D219+N220-AR220,2))</f>
        <v/>
      </c>
      <c r="E220" s="160">
        <f>MAX(0,ROUND(E219+O220-AS220,2))</f>
        <v/>
      </c>
      <c r="F220" s="160">
        <f>MAX(0,ROUND(F219+P220-AT220,2))</f>
        <v/>
      </c>
      <c r="G220" s="160">
        <f>MAX(0,ROUND(G219+Q220-AU220,2))</f>
        <v/>
      </c>
      <c r="H220" s="160">
        <f>MAX(0,ROUND(H219+R220-AV220,2))</f>
        <v/>
      </c>
      <c r="I220" s="160">
        <f>MAX(0,ROUND(I219+S220-AW220,2))</f>
        <v/>
      </c>
      <c r="J220" s="160">
        <f>MAX(0,ROUND(J219+T220-AX220,2))</f>
        <v/>
      </c>
      <c r="K220" s="160">
        <f>MAX(0,ROUND(K219+U220-AY220,2))</f>
        <v/>
      </c>
      <c r="L220" s="160">
        <f>MAX(0,ROUND(L219+V220-AZ220,2))</f>
        <v/>
      </c>
      <c r="M220" s="160">
        <f>C219*N('Debt Payoff'!$D$15)/12</f>
        <v/>
      </c>
      <c r="N220" s="160">
        <f>D219*N('Debt Payoff'!$D$16)/12</f>
        <v/>
      </c>
      <c r="O220" s="160">
        <f>E219*N('Debt Payoff'!$D$17)/12</f>
        <v/>
      </c>
      <c r="P220" s="160">
        <f>F219*N('Debt Payoff'!$D$18)/12</f>
        <v/>
      </c>
      <c r="Q220" s="160">
        <f>G219*N('Debt Payoff'!$D$19)/12</f>
        <v/>
      </c>
      <c r="R220" s="160">
        <f>H219*N('Debt Payoff'!$D$20)/12</f>
        <v/>
      </c>
      <c r="S220" s="160">
        <f>I219*N('Debt Payoff'!$D$21)/12</f>
        <v/>
      </c>
      <c r="T220" s="160">
        <f>J219*N('Debt Payoff'!$D$22)/12</f>
        <v/>
      </c>
      <c r="U220" s="160">
        <f>K219*N('Debt Payoff'!$D$23)/12</f>
        <v/>
      </c>
      <c r="V220" s="160">
        <f>L219*N('Debt Payoff'!$D$24)/12</f>
        <v/>
      </c>
      <c r="W220" s="160">
        <f>MIN(N('Debt Payoff'!$E$15),C219+M220)</f>
        <v/>
      </c>
      <c r="X220" s="160">
        <f>MIN(N('Debt Payoff'!$E$16),D219+N220)</f>
        <v/>
      </c>
      <c r="Y220" s="160">
        <f>MIN(N('Debt Payoff'!$E$17),E219+O220)</f>
        <v/>
      </c>
      <c r="Z220" s="160">
        <f>MIN(N('Debt Payoff'!$E$18),F219+P220)</f>
        <v/>
      </c>
      <c r="AA220" s="160">
        <f>MIN(N('Debt Payoff'!$E$19),G219+Q220)</f>
        <v/>
      </c>
      <c r="AB220" s="160">
        <f>MIN(N('Debt Payoff'!$E$20),H219+R220)</f>
        <v/>
      </c>
      <c r="AC220" s="160">
        <f>MIN(N('Debt Payoff'!$E$21),I219+S220)</f>
        <v/>
      </c>
      <c r="AD220" s="160">
        <f>MIN(N('Debt Payoff'!$E$22),J219+T220)</f>
        <v/>
      </c>
      <c r="AE220" s="160">
        <f>MIN(N('Debt Payoff'!$E$23),K219+U220)</f>
        <v/>
      </c>
      <c r="AF220" s="160">
        <f>MIN(N('Debt Payoff'!$E$24),L219+V220)</f>
        <v/>
      </c>
      <c r="AG220" s="160">
        <f>C219+M220-W220</f>
        <v/>
      </c>
      <c r="AH220" s="160">
        <f>D219+N220-X220</f>
        <v/>
      </c>
      <c r="AI220" s="160">
        <f>E219+O220-Y220</f>
        <v/>
      </c>
      <c r="AJ220" s="160">
        <f>F219+P220-Z220</f>
        <v/>
      </c>
      <c r="AK220" s="160">
        <f>G219+Q220-AA220</f>
        <v/>
      </c>
      <c r="AL220" s="160">
        <f>H219+R220-AB220</f>
        <v/>
      </c>
      <c r="AM220" s="160">
        <f>I219+S220-AC220</f>
        <v/>
      </c>
      <c r="AN220" s="160">
        <f>J219+T220-AD220</f>
        <v/>
      </c>
      <c r="AO220" s="160">
        <f>K219+U220-AE220</f>
        <v/>
      </c>
      <c r="AP220" s="160">
        <f>L219+V220-AF220</f>
        <v/>
      </c>
      <c r="AQ220" s="160">
        <f>W220+MAX(0,MIN(AG220,'Debt Payoff'!$C$12-SUM($W220:$AF220)-SUMIFS($AG220:$AP220,$AG$4:$AP$4,"&lt;"&amp;AG$4)))</f>
        <v/>
      </c>
      <c r="AR220" s="160">
        <f>X220+MAX(0,MIN(AH220,'Debt Payoff'!$C$12-SUM($W220:$AF220)-SUMIFS($AG220:$AP220,$AG$4:$AP$4,"&lt;"&amp;AH$4)))</f>
        <v/>
      </c>
      <c r="AS220" s="160">
        <f>Y220+MAX(0,MIN(AI220,'Debt Payoff'!$C$12-SUM($W220:$AF220)-SUMIFS($AG220:$AP220,$AG$4:$AP$4,"&lt;"&amp;AI$4)))</f>
        <v/>
      </c>
      <c r="AT220" s="160">
        <f>Z220+MAX(0,MIN(AJ220,'Debt Payoff'!$C$12-SUM($W220:$AF220)-SUMIFS($AG220:$AP220,$AG$4:$AP$4,"&lt;"&amp;AJ$4)))</f>
        <v/>
      </c>
      <c r="AU220" s="160">
        <f>AA220+MAX(0,MIN(AK220,'Debt Payoff'!$C$12-SUM($W220:$AF220)-SUMIFS($AG220:$AP220,$AG$4:$AP$4,"&lt;"&amp;AK$4)))</f>
        <v/>
      </c>
      <c r="AV220" s="160">
        <f>AB220+MAX(0,MIN(AL220,'Debt Payoff'!$C$12-SUM($W220:$AF220)-SUMIFS($AG220:$AP220,$AG$4:$AP$4,"&lt;"&amp;AL$4)))</f>
        <v/>
      </c>
      <c r="AW220" s="160">
        <f>AC220+MAX(0,MIN(AM220,'Debt Payoff'!$C$12-SUM($W220:$AF220)-SUMIFS($AG220:$AP220,$AG$4:$AP$4,"&lt;"&amp;AM$4)))</f>
        <v/>
      </c>
      <c r="AX220" s="160">
        <f>AD220+MAX(0,MIN(AN220,'Debt Payoff'!$C$12-SUM($W220:$AF220)-SUMIFS($AG220:$AP220,$AG$4:$AP$4,"&lt;"&amp;AN$4)))</f>
        <v/>
      </c>
      <c r="AY220" s="160">
        <f>AE220+MAX(0,MIN(AO220,'Debt Payoff'!$C$12-SUM($W220:$AF220)-SUMIFS($AG220:$AP220,$AG$4:$AP$4,"&lt;"&amp;AO$4)))</f>
        <v/>
      </c>
      <c r="AZ220" s="160">
        <f>AF220+MAX(0,MIN(AP220,'Debt Payoff'!$C$12-SUM($W220:$AF220)-SUMIFS($AG220:$AP220,$AG$4:$AP$4,"&lt;"&amp;AP$4)))</f>
        <v/>
      </c>
      <c r="BA220" s="160">
        <f>SUM(C220:L220)</f>
        <v/>
      </c>
      <c r="BB220" s="160">
        <f>SUM(AQ220:AZ220)</f>
        <v/>
      </c>
      <c r="BC220" s="160">
        <f>SUM(M220:V220)</f>
        <v/>
      </c>
    </row>
    <row r="221">
      <c r="A221" s="157" t="n">
        <v>216</v>
      </c>
      <c r="B221" s="159">
        <f>EDATE('Debt Payoff'!$C$6,215)</f>
        <v/>
      </c>
      <c r="C221" s="160">
        <f>MAX(0,ROUND(C220+M221-AQ221,2))</f>
        <v/>
      </c>
      <c r="D221" s="160">
        <f>MAX(0,ROUND(D220+N221-AR221,2))</f>
        <v/>
      </c>
      <c r="E221" s="160">
        <f>MAX(0,ROUND(E220+O221-AS221,2))</f>
        <v/>
      </c>
      <c r="F221" s="160">
        <f>MAX(0,ROUND(F220+P221-AT221,2))</f>
        <v/>
      </c>
      <c r="G221" s="160">
        <f>MAX(0,ROUND(G220+Q221-AU221,2))</f>
        <v/>
      </c>
      <c r="H221" s="160">
        <f>MAX(0,ROUND(H220+R221-AV221,2))</f>
        <v/>
      </c>
      <c r="I221" s="160">
        <f>MAX(0,ROUND(I220+S221-AW221,2))</f>
        <v/>
      </c>
      <c r="J221" s="160">
        <f>MAX(0,ROUND(J220+T221-AX221,2))</f>
        <v/>
      </c>
      <c r="K221" s="160">
        <f>MAX(0,ROUND(K220+U221-AY221,2))</f>
        <v/>
      </c>
      <c r="L221" s="160">
        <f>MAX(0,ROUND(L220+V221-AZ221,2))</f>
        <v/>
      </c>
      <c r="M221" s="160">
        <f>C220*N('Debt Payoff'!$D$15)/12</f>
        <v/>
      </c>
      <c r="N221" s="160">
        <f>D220*N('Debt Payoff'!$D$16)/12</f>
        <v/>
      </c>
      <c r="O221" s="160">
        <f>E220*N('Debt Payoff'!$D$17)/12</f>
        <v/>
      </c>
      <c r="P221" s="160">
        <f>F220*N('Debt Payoff'!$D$18)/12</f>
        <v/>
      </c>
      <c r="Q221" s="160">
        <f>G220*N('Debt Payoff'!$D$19)/12</f>
        <v/>
      </c>
      <c r="R221" s="160">
        <f>H220*N('Debt Payoff'!$D$20)/12</f>
        <v/>
      </c>
      <c r="S221" s="160">
        <f>I220*N('Debt Payoff'!$D$21)/12</f>
        <v/>
      </c>
      <c r="T221" s="160">
        <f>J220*N('Debt Payoff'!$D$22)/12</f>
        <v/>
      </c>
      <c r="U221" s="160">
        <f>K220*N('Debt Payoff'!$D$23)/12</f>
        <v/>
      </c>
      <c r="V221" s="160">
        <f>L220*N('Debt Payoff'!$D$24)/12</f>
        <v/>
      </c>
      <c r="W221" s="160">
        <f>MIN(N('Debt Payoff'!$E$15),C220+M221)</f>
        <v/>
      </c>
      <c r="X221" s="160">
        <f>MIN(N('Debt Payoff'!$E$16),D220+N221)</f>
        <v/>
      </c>
      <c r="Y221" s="160">
        <f>MIN(N('Debt Payoff'!$E$17),E220+O221)</f>
        <v/>
      </c>
      <c r="Z221" s="160">
        <f>MIN(N('Debt Payoff'!$E$18),F220+P221)</f>
        <v/>
      </c>
      <c r="AA221" s="160">
        <f>MIN(N('Debt Payoff'!$E$19),G220+Q221)</f>
        <v/>
      </c>
      <c r="AB221" s="160">
        <f>MIN(N('Debt Payoff'!$E$20),H220+R221)</f>
        <v/>
      </c>
      <c r="AC221" s="160">
        <f>MIN(N('Debt Payoff'!$E$21),I220+S221)</f>
        <v/>
      </c>
      <c r="AD221" s="160">
        <f>MIN(N('Debt Payoff'!$E$22),J220+T221)</f>
        <v/>
      </c>
      <c r="AE221" s="160">
        <f>MIN(N('Debt Payoff'!$E$23),K220+U221)</f>
        <v/>
      </c>
      <c r="AF221" s="160">
        <f>MIN(N('Debt Payoff'!$E$24),L220+V221)</f>
        <v/>
      </c>
      <c r="AG221" s="160">
        <f>C220+M221-W221</f>
        <v/>
      </c>
      <c r="AH221" s="160">
        <f>D220+N221-X221</f>
        <v/>
      </c>
      <c r="AI221" s="160">
        <f>E220+O221-Y221</f>
        <v/>
      </c>
      <c r="AJ221" s="160">
        <f>F220+P221-Z221</f>
        <v/>
      </c>
      <c r="AK221" s="160">
        <f>G220+Q221-AA221</f>
        <v/>
      </c>
      <c r="AL221" s="160">
        <f>H220+R221-AB221</f>
        <v/>
      </c>
      <c r="AM221" s="160">
        <f>I220+S221-AC221</f>
        <v/>
      </c>
      <c r="AN221" s="160">
        <f>J220+T221-AD221</f>
        <v/>
      </c>
      <c r="AO221" s="160">
        <f>K220+U221-AE221</f>
        <v/>
      </c>
      <c r="AP221" s="160">
        <f>L220+V221-AF221</f>
        <v/>
      </c>
      <c r="AQ221" s="160">
        <f>W221+MAX(0,MIN(AG221,'Debt Payoff'!$C$12-SUM($W221:$AF221)-SUMIFS($AG221:$AP221,$AG$4:$AP$4,"&lt;"&amp;AG$4)))</f>
        <v/>
      </c>
      <c r="AR221" s="160">
        <f>X221+MAX(0,MIN(AH221,'Debt Payoff'!$C$12-SUM($W221:$AF221)-SUMIFS($AG221:$AP221,$AG$4:$AP$4,"&lt;"&amp;AH$4)))</f>
        <v/>
      </c>
      <c r="AS221" s="160">
        <f>Y221+MAX(0,MIN(AI221,'Debt Payoff'!$C$12-SUM($W221:$AF221)-SUMIFS($AG221:$AP221,$AG$4:$AP$4,"&lt;"&amp;AI$4)))</f>
        <v/>
      </c>
      <c r="AT221" s="160">
        <f>Z221+MAX(0,MIN(AJ221,'Debt Payoff'!$C$12-SUM($W221:$AF221)-SUMIFS($AG221:$AP221,$AG$4:$AP$4,"&lt;"&amp;AJ$4)))</f>
        <v/>
      </c>
      <c r="AU221" s="160">
        <f>AA221+MAX(0,MIN(AK221,'Debt Payoff'!$C$12-SUM($W221:$AF221)-SUMIFS($AG221:$AP221,$AG$4:$AP$4,"&lt;"&amp;AK$4)))</f>
        <v/>
      </c>
      <c r="AV221" s="160">
        <f>AB221+MAX(0,MIN(AL221,'Debt Payoff'!$C$12-SUM($W221:$AF221)-SUMIFS($AG221:$AP221,$AG$4:$AP$4,"&lt;"&amp;AL$4)))</f>
        <v/>
      </c>
      <c r="AW221" s="160">
        <f>AC221+MAX(0,MIN(AM221,'Debt Payoff'!$C$12-SUM($W221:$AF221)-SUMIFS($AG221:$AP221,$AG$4:$AP$4,"&lt;"&amp;AM$4)))</f>
        <v/>
      </c>
      <c r="AX221" s="160">
        <f>AD221+MAX(0,MIN(AN221,'Debt Payoff'!$C$12-SUM($W221:$AF221)-SUMIFS($AG221:$AP221,$AG$4:$AP$4,"&lt;"&amp;AN$4)))</f>
        <v/>
      </c>
      <c r="AY221" s="160">
        <f>AE221+MAX(0,MIN(AO221,'Debt Payoff'!$C$12-SUM($W221:$AF221)-SUMIFS($AG221:$AP221,$AG$4:$AP$4,"&lt;"&amp;AO$4)))</f>
        <v/>
      </c>
      <c r="AZ221" s="160">
        <f>AF221+MAX(0,MIN(AP221,'Debt Payoff'!$C$12-SUM($W221:$AF221)-SUMIFS($AG221:$AP221,$AG$4:$AP$4,"&lt;"&amp;AP$4)))</f>
        <v/>
      </c>
      <c r="BA221" s="160">
        <f>SUM(C221:L221)</f>
        <v/>
      </c>
      <c r="BB221" s="160">
        <f>SUM(AQ221:AZ221)</f>
        <v/>
      </c>
      <c r="BC221" s="160">
        <f>SUM(M221:V221)</f>
        <v/>
      </c>
    </row>
    <row r="222">
      <c r="A222" s="157" t="n">
        <v>217</v>
      </c>
      <c r="B222" s="159">
        <f>EDATE('Debt Payoff'!$C$6,216)</f>
        <v/>
      </c>
      <c r="C222" s="160">
        <f>MAX(0,ROUND(C221+M222-AQ222,2))</f>
        <v/>
      </c>
      <c r="D222" s="160">
        <f>MAX(0,ROUND(D221+N222-AR222,2))</f>
        <v/>
      </c>
      <c r="E222" s="160">
        <f>MAX(0,ROUND(E221+O222-AS222,2))</f>
        <v/>
      </c>
      <c r="F222" s="160">
        <f>MAX(0,ROUND(F221+P222-AT222,2))</f>
        <v/>
      </c>
      <c r="G222" s="160">
        <f>MAX(0,ROUND(G221+Q222-AU222,2))</f>
        <v/>
      </c>
      <c r="H222" s="160">
        <f>MAX(0,ROUND(H221+R222-AV222,2))</f>
        <v/>
      </c>
      <c r="I222" s="160">
        <f>MAX(0,ROUND(I221+S222-AW222,2))</f>
        <v/>
      </c>
      <c r="J222" s="160">
        <f>MAX(0,ROUND(J221+T222-AX222,2))</f>
        <v/>
      </c>
      <c r="K222" s="160">
        <f>MAX(0,ROUND(K221+U222-AY222,2))</f>
        <v/>
      </c>
      <c r="L222" s="160">
        <f>MAX(0,ROUND(L221+V222-AZ222,2))</f>
        <v/>
      </c>
      <c r="M222" s="160">
        <f>C221*N('Debt Payoff'!$D$15)/12</f>
        <v/>
      </c>
      <c r="N222" s="160">
        <f>D221*N('Debt Payoff'!$D$16)/12</f>
        <v/>
      </c>
      <c r="O222" s="160">
        <f>E221*N('Debt Payoff'!$D$17)/12</f>
        <v/>
      </c>
      <c r="P222" s="160">
        <f>F221*N('Debt Payoff'!$D$18)/12</f>
        <v/>
      </c>
      <c r="Q222" s="160">
        <f>G221*N('Debt Payoff'!$D$19)/12</f>
        <v/>
      </c>
      <c r="R222" s="160">
        <f>H221*N('Debt Payoff'!$D$20)/12</f>
        <v/>
      </c>
      <c r="S222" s="160">
        <f>I221*N('Debt Payoff'!$D$21)/12</f>
        <v/>
      </c>
      <c r="T222" s="160">
        <f>J221*N('Debt Payoff'!$D$22)/12</f>
        <v/>
      </c>
      <c r="U222" s="160">
        <f>K221*N('Debt Payoff'!$D$23)/12</f>
        <v/>
      </c>
      <c r="V222" s="160">
        <f>L221*N('Debt Payoff'!$D$24)/12</f>
        <v/>
      </c>
      <c r="W222" s="160">
        <f>MIN(N('Debt Payoff'!$E$15),C221+M222)</f>
        <v/>
      </c>
      <c r="X222" s="160">
        <f>MIN(N('Debt Payoff'!$E$16),D221+N222)</f>
        <v/>
      </c>
      <c r="Y222" s="160">
        <f>MIN(N('Debt Payoff'!$E$17),E221+O222)</f>
        <v/>
      </c>
      <c r="Z222" s="160">
        <f>MIN(N('Debt Payoff'!$E$18),F221+P222)</f>
        <v/>
      </c>
      <c r="AA222" s="160">
        <f>MIN(N('Debt Payoff'!$E$19),G221+Q222)</f>
        <v/>
      </c>
      <c r="AB222" s="160">
        <f>MIN(N('Debt Payoff'!$E$20),H221+R222)</f>
        <v/>
      </c>
      <c r="AC222" s="160">
        <f>MIN(N('Debt Payoff'!$E$21),I221+S222)</f>
        <v/>
      </c>
      <c r="AD222" s="160">
        <f>MIN(N('Debt Payoff'!$E$22),J221+T222)</f>
        <v/>
      </c>
      <c r="AE222" s="160">
        <f>MIN(N('Debt Payoff'!$E$23),K221+U222)</f>
        <v/>
      </c>
      <c r="AF222" s="160">
        <f>MIN(N('Debt Payoff'!$E$24),L221+V222)</f>
        <v/>
      </c>
      <c r="AG222" s="160">
        <f>C221+M222-W222</f>
        <v/>
      </c>
      <c r="AH222" s="160">
        <f>D221+N222-X222</f>
        <v/>
      </c>
      <c r="AI222" s="160">
        <f>E221+O222-Y222</f>
        <v/>
      </c>
      <c r="AJ222" s="160">
        <f>F221+P222-Z222</f>
        <v/>
      </c>
      <c r="AK222" s="160">
        <f>G221+Q222-AA222</f>
        <v/>
      </c>
      <c r="AL222" s="160">
        <f>H221+R222-AB222</f>
        <v/>
      </c>
      <c r="AM222" s="160">
        <f>I221+S222-AC222</f>
        <v/>
      </c>
      <c r="AN222" s="160">
        <f>J221+T222-AD222</f>
        <v/>
      </c>
      <c r="AO222" s="160">
        <f>K221+U222-AE222</f>
        <v/>
      </c>
      <c r="AP222" s="160">
        <f>L221+V222-AF222</f>
        <v/>
      </c>
      <c r="AQ222" s="160">
        <f>W222+MAX(0,MIN(AG222,'Debt Payoff'!$C$12-SUM($W222:$AF222)-SUMIFS($AG222:$AP222,$AG$4:$AP$4,"&lt;"&amp;AG$4)))</f>
        <v/>
      </c>
      <c r="AR222" s="160">
        <f>X222+MAX(0,MIN(AH222,'Debt Payoff'!$C$12-SUM($W222:$AF222)-SUMIFS($AG222:$AP222,$AG$4:$AP$4,"&lt;"&amp;AH$4)))</f>
        <v/>
      </c>
      <c r="AS222" s="160">
        <f>Y222+MAX(0,MIN(AI222,'Debt Payoff'!$C$12-SUM($W222:$AF222)-SUMIFS($AG222:$AP222,$AG$4:$AP$4,"&lt;"&amp;AI$4)))</f>
        <v/>
      </c>
      <c r="AT222" s="160">
        <f>Z222+MAX(0,MIN(AJ222,'Debt Payoff'!$C$12-SUM($W222:$AF222)-SUMIFS($AG222:$AP222,$AG$4:$AP$4,"&lt;"&amp;AJ$4)))</f>
        <v/>
      </c>
      <c r="AU222" s="160">
        <f>AA222+MAX(0,MIN(AK222,'Debt Payoff'!$C$12-SUM($W222:$AF222)-SUMIFS($AG222:$AP222,$AG$4:$AP$4,"&lt;"&amp;AK$4)))</f>
        <v/>
      </c>
      <c r="AV222" s="160">
        <f>AB222+MAX(0,MIN(AL222,'Debt Payoff'!$C$12-SUM($W222:$AF222)-SUMIFS($AG222:$AP222,$AG$4:$AP$4,"&lt;"&amp;AL$4)))</f>
        <v/>
      </c>
      <c r="AW222" s="160">
        <f>AC222+MAX(0,MIN(AM222,'Debt Payoff'!$C$12-SUM($W222:$AF222)-SUMIFS($AG222:$AP222,$AG$4:$AP$4,"&lt;"&amp;AM$4)))</f>
        <v/>
      </c>
      <c r="AX222" s="160">
        <f>AD222+MAX(0,MIN(AN222,'Debt Payoff'!$C$12-SUM($W222:$AF222)-SUMIFS($AG222:$AP222,$AG$4:$AP$4,"&lt;"&amp;AN$4)))</f>
        <v/>
      </c>
      <c r="AY222" s="160">
        <f>AE222+MAX(0,MIN(AO222,'Debt Payoff'!$C$12-SUM($W222:$AF222)-SUMIFS($AG222:$AP222,$AG$4:$AP$4,"&lt;"&amp;AO$4)))</f>
        <v/>
      </c>
      <c r="AZ222" s="160">
        <f>AF222+MAX(0,MIN(AP222,'Debt Payoff'!$C$12-SUM($W222:$AF222)-SUMIFS($AG222:$AP222,$AG$4:$AP$4,"&lt;"&amp;AP$4)))</f>
        <v/>
      </c>
      <c r="BA222" s="160">
        <f>SUM(C222:L222)</f>
        <v/>
      </c>
      <c r="BB222" s="160">
        <f>SUM(AQ222:AZ222)</f>
        <v/>
      </c>
      <c r="BC222" s="160">
        <f>SUM(M222:V222)</f>
        <v/>
      </c>
    </row>
    <row r="223">
      <c r="A223" s="157" t="n">
        <v>218</v>
      </c>
      <c r="B223" s="159">
        <f>EDATE('Debt Payoff'!$C$6,217)</f>
        <v/>
      </c>
      <c r="C223" s="160">
        <f>MAX(0,ROUND(C222+M223-AQ223,2))</f>
        <v/>
      </c>
      <c r="D223" s="160">
        <f>MAX(0,ROUND(D222+N223-AR223,2))</f>
        <v/>
      </c>
      <c r="E223" s="160">
        <f>MAX(0,ROUND(E222+O223-AS223,2))</f>
        <v/>
      </c>
      <c r="F223" s="160">
        <f>MAX(0,ROUND(F222+P223-AT223,2))</f>
        <v/>
      </c>
      <c r="G223" s="160">
        <f>MAX(0,ROUND(G222+Q223-AU223,2))</f>
        <v/>
      </c>
      <c r="H223" s="160">
        <f>MAX(0,ROUND(H222+R223-AV223,2))</f>
        <v/>
      </c>
      <c r="I223" s="160">
        <f>MAX(0,ROUND(I222+S223-AW223,2))</f>
        <v/>
      </c>
      <c r="J223" s="160">
        <f>MAX(0,ROUND(J222+T223-AX223,2))</f>
        <v/>
      </c>
      <c r="K223" s="160">
        <f>MAX(0,ROUND(K222+U223-AY223,2))</f>
        <v/>
      </c>
      <c r="L223" s="160">
        <f>MAX(0,ROUND(L222+V223-AZ223,2))</f>
        <v/>
      </c>
      <c r="M223" s="160">
        <f>C222*N('Debt Payoff'!$D$15)/12</f>
        <v/>
      </c>
      <c r="N223" s="160">
        <f>D222*N('Debt Payoff'!$D$16)/12</f>
        <v/>
      </c>
      <c r="O223" s="160">
        <f>E222*N('Debt Payoff'!$D$17)/12</f>
        <v/>
      </c>
      <c r="P223" s="160">
        <f>F222*N('Debt Payoff'!$D$18)/12</f>
        <v/>
      </c>
      <c r="Q223" s="160">
        <f>G222*N('Debt Payoff'!$D$19)/12</f>
        <v/>
      </c>
      <c r="R223" s="160">
        <f>H222*N('Debt Payoff'!$D$20)/12</f>
        <v/>
      </c>
      <c r="S223" s="160">
        <f>I222*N('Debt Payoff'!$D$21)/12</f>
        <v/>
      </c>
      <c r="T223" s="160">
        <f>J222*N('Debt Payoff'!$D$22)/12</f>
        <v/>
      </c>
      <c r="U223" s="160">
        <f>K222*N('Debt Payoff'!$D$23)/12</f>
        <v/>
      </c>
      <c r="V223" s="160">
        <f>L222*N('Debt Payoff'!$D$24)/12</f>
        <v/>
      </c>
      <c r="W223" s="160">
        <f>MIN(N('Debt Payoff'!$E$15),C222+M223)</f>
        <v/>
      </c>
      <c r="X223" s="160">
        <f>MIN(N('Debt Payoff'!$E$16),D222+N223)</f>
        <v/>
      </c>
      <c r="Y223" s="160">
        <f>MIN(N('Debt Payoff'!$E$17),E222+O223)</f>
        <v/>
      </c>
      <c r="Z223" s="160">
        <f>MIN(N('Debt Payoff'!$E$18),F222+P223)</f>
        <v/>
      </c>
      <c r="AA223" s="160">
        <f>MIN(N('Debt Payoff'!$E$19),G222+Q223)</f>
        <v/>
      </c>
      <c r="AB223" s="160">
        <f>MIN(N('Debt Payoff'!$E$20),H222+R223)</f>
        <v/>
      </c>
      <c r="AC223" s="160">
        <f>MIN(N('Debt Payoff'!$E$21),I222+S223)</f>
        <v/>
      </c>
      <c r="AD223" s="160">
        <f>MIN(N('Debt Payoff'!$E$22),J222+T223)</f>
        <v/>
      </c>
      <c r="AE223" s="160">
        <f>MIN(N('Debt Payoff'!$E$23),K222+U223)</f>
        <v/>
      </c>
      <c r="AF223" s="160">
        <f>MIN(N('Debt Payoff'!$E$24),L222+V223)</f>
        <v/>
      </c>
      <c r="AG223" s="160">
        <f>C222+M223-W223</f>
        <v/>
      </c>
      <c r="AH223" s="160">
        <f>D222+N223-X223</f>
        <v/>
      </c>
      <c r="AI223" s="160">
        <f>E222+O223-Y223</f>
        <v/>
      </c>
      <c r="AJ223" s="160">
        <f>F222+P223-Z223</f>
        <v/>
      </c>
      <c r="AK223" s="160">
        <f>G222+Q223-AA223</f>
        <v/>
      </c>
      <c r="AL223" s="160">
        <f>H222+R223-AB223</f>
        <v/>
      </c>
      <c r="AM223" s="160">
        <f>I222+S223-AC223</f>
        <v/>
      </c>
      <c r="AN223" s="160">
        <f>J222+T223-AD223</f>
        <v/>
      </c>
      <c r="AO223" s="160">
        <f>K222+U223-AE223</f>
        <v/>
      </c>
      <c r="AP223" s="160">
        <f>L222+V223-AF223</f>
        <v/>
      </c>
      <c r="AQ223" s="160">
        <f>W223+MAX(0,MIN(AG223,'Debt Payoff'!$C$12-SUM($W223:$AF223)-SUMIFS($AG223:$AP223,$AG$4:$AP$4,"&lt;"&amp;AG$4)))</f>
        <v/>
      </c>
      <c r="AR223" s="160">
        <f>X223+MAX(0,MIN(AH223,'Debt Payoff'!$C$12-SUM($W223:$AF223)-SUMIFS($AG223:$AP223,$AG$4:$AP$4,"&lt;"&amp;AH$4)))</f>
        <v/>
      </c>
      <c r="AS223" s="160">
        <f>Y223+MAX(0,MIN(AI223,'Debt Payoff'!$C$12-SUM($W223:$AF223)-SUMIFS($AG223:$AP223,$AG$4:$AP$4,"&lt;"&amp;AI$4)))</f>
        <v/>
      </c>
      <c r="AT223" s="160">
        <f>Z223+MAX(0,MIN(AJ223,'Debt Payoff'!$C$12-SUM($W223:$AF223)-SUMIFS($AG223:$AP223,$AG$4:$AP$4,"&lt;"&amp;AJ$4)))</f>
        <v/>
      </c>
      <c r="AU223" s="160">
        <f>AA223+MAX(0,MIN(AK223,'Debt Payoff'!$C$12-SUM($W223:$AF223)-SUMIFS($AG223:$AP223,$AG$4:$AP$4,"&lt;"&amp;AK$4)))</f>
        <v/>
      </c>
      <c r="AV223" s="160">
        <f>AB223+MAX(0,MIN(AL223,'Debt Payoff'!$C$12-SUM($W223:$AF223)-SUMIFS($AG223:$AP223,$AG$4:$AP$4,"&lt;"&amp;AL$4)))</f>
        <v/>
      </c>
      <c r="AW223" s="160">
        <f>AC223+MAX(0,MIN(AM223,'Debt Payoff'!$C$12-SUM($W223:$AF223)-SUMIFS($AG223:$AP223,$AG$4:$AP$4,"&lt;"&amp;AM$4)))</f>
        <v/>
      </c>
      <c r="AX223" s="160">
        <f>AD223+MAX(0,MIN(AN223,'Debt Payoff'!$C$12-SUM($W223:$AF223)-SUMIFS($AG223:$AP223,$AG$4:$AP$4,"&lt;"&amp;AN$4)))</f>
        <v/>
      </c>
      <c r="AY223" s="160">
        <f>AE223+MAX(0,MIN(AO223,'Debt Payoff'!$C$12-SUM($W223:$AF223)-SUMIFS($AG223:$AP223,$AG$4:$AP$4,"&lt;"&amp;AO$4)))</f>
        <v/>
      </c>
      <c r="AZ223" s="160">
        <f>AF223+MAX(0,MIN(AP223,'Debt Payoff'!$C$12-SUM($W223:$AF223)-SUMIFS($AG223:$AP223,$AG$4:$AP$4,"&lt;"&amp;AP$4)))</f>
        <v/>
      </c>
      <c r="BA223" s="160">
        <f>SUM(C223:L223)</f>
        <v/>
      </c>
      <c r="BB223" s="160">
        <f>SUM(AQ223:AZ223)</f>
        <v/>
      </c>
      <c r="BC223" s="160">
        <f>SUM(M223:V223)</f>
        <v/>
      </c>
    </row>
    <row r="224">
      <c r="A224" s="157" t="n">
        <v>219</v>
      </c>
      <c r="B224" s="159">
        <f>EDATE('Debt Payoff'!$C$6,218)</f>
        <v/>
      </c>
      <c r="C224" s="160">
        <f>MAX(0,ROUND(C223+M224-AQ224,2))</f>
        <v/>
      </c>
      <c r="D224" s="160">
        <f>MAX(0,ROUND(D223+N224-AR224,2))</f>
        <v/>
      </c>
      <c r="E224" s="160">
        <f>MAX(0,ROUND(E223+O224-AS224,2))</f>
        <v/>
      </c>
      <c r="F224" s="160">
        <f>MAX(0,ROUND(F223+P224-AT224,2))</f>
        <v/>
      </c>
      <c r="G224" s="160">
        <f>MAX(0,ROUND(G223+Q224-AU224,2))</f>
        <v/>
      </c>
      <c r="H224" s="160">
        <f>MAX(0,ROUND(H223+R224-AV224,2))</f>
        <v/>
      </c>
      <c r="I224" s="160">
        <f>MAX(0,ROUND(I223+S224-AW224,2))</f>
        <v/>
      </c>
      <c r="J224" s="160">
        <f>MAX(0,ROUND(J223+T224-AX224,2))</f>
        <v/>
      </c>
      <c r="K224" s="160">
        <f>MAX(0,ROUND(K223+U224-AY224,2))</f>
        <v/>
      </c>
      <c r="L224" s="160">
        <f>MAX(0,ROUND(L223+V224-AZ224,2))</f>
        <v/>
      </c>
      <c r="M224" s="160">
        <f>C223*N('Debt Payoff'!$D$15)/12</f>
        <v/>
      </c>
      <c r="N224" s="160">
        <f>D223*N('Debt Payoff'!$D$16)/12</f>
        <v/>
      </c>
      <c r="O224" s="160">
        <f>E223*N('Debt Payoff'!$D$17)/12</f>
        <v/>
      </c>
      <c r="P224" s="160">
        <f>F223*N('Debt Payoff'!$D$18)/12</f>
        <v/>
      </c>
      <c r="Q224" s="160">
        <f>G223*N('Debt Payoff'!$D$19)/12</f>
        <v/>
      </c>
      <c r="R224" s="160">
        <f>H223*N('Debt Payoff'!$D$20)/12</f>
        <v/>
      </c>
      <c r="S224" s="160">
        <f>I223*N('Debt Payoff'!$D$21)/12</f>
        <v/>
      </c>
      <c r="T224" s="160">
        <f>J223*N('Debt Payoff'!$D$22)/12</f>
        <v/>
      </c>
      <c r="U224" s="160">
        <f>K223*N('Debt Payoff'!$D$23)/12</f>
        <v/>
      </c>
      <c r="V224" s="160">
        <f>L223*N('Debt Payoff'!$D$24)/12</f>
        <v/>
      </c>
      <c r="W224" s="160">
        <f>MIN(N('Debt Payoff'!$E$15),C223+M224)</f>
        <v/>
      </c>
      <c r="X224" s="160">
        <f>MIN(N('Debt Payoff'!$E$16),D223+N224)</f>
        <v/>
      </c>
      <c r="Y224" s="160">
        <f>MIN(N('Debt Payoff'!$E$17),E223+O224)</f>
        <v/>
      </c>
      <c r="Z224" s="160">
        <f>MIN(N('Debt Payoff'!$E$18),F223+P224)</f>
        <v/>
      </c>
      <c r="AA224" s="160">
        <f>MIN(N('Debt Payoff'!$E$19),G223+Q224)</f>
        <v/>
      </c>
      <c r="AB224" s="160">
        <f>MIN(N('Debt Payoff'!$E$20),H223+R224)</f>
        <v/>
      </c>
      <c r="AC224" s="160">
        <f>MIN(N('Debt Payoff'!$E$21),I223+S224)</f>
        <v/>
      </c>
      <c r="AD224" s="160">
        <f>MIN(N('Debt Payoff'!$E$22),J223+T224)</f>
        <v/>
      </c>
      <c r="AE224" s="160">
        <f>MIN(N('Debt Payoff'!$E$23),K223+U224)</f>
        <v/>
      </c>
      <c r="AF224" s="160">
        <f>MIN(N('Debt Payoff'!$E$24),L223+V224)</f>
        <v/>
      </c>
      <c r="AG224" s="160">
        <f>C223+M224-W224</f>
        <v/>
      </c>
      <c r="AH224" s="160">
        <f>D223+N224-X224</f>
        <v/>
      </c>
      <c r="AI224" s="160">
        <f>E223+O224-Y224</f>
        <v/>
      </c>
      <c r="AJ224" s="160">
        <f>F223+P224-Z224</f>
        <v/>
      </c>
      <c r="AK224" s="160">
        <f>G223+Q224-AA224</f>
        <v/>
      </c>
      <c r="AL224" s="160">
        <f>H223+R224-AB224</f>
        <v/>
      </c>
      <c r="AM224" s="160">
        <f>I223+S224-AC224</f>
        <v/>
      </c>
      <c r="AN224" s="160">
        <f>J223+T224-AD224</f>
        <v/>
      </c>
      <c r="AO224" s="160">
        <f>K223+U224-AE224</f>
        <v/>
      </c>
      <c r="AP224" s="160">
        <f>L223+V224-AF224</f>
        <v/>
      </c>
      <c r="AQ224" s="160">
        <f>W224+MAX(0,MIN(AG224,'Debt Payoff'!$C$12-SUM($W224:$AF224)-SUMIFS($AG224:$AP224,$AG$4:$AP$4,"&lt;"&amp;AG$4)))</f>
        <v/>
      </c>
      <c r="AR224" s="160">
        <f>X224+MAX(0,MIN(AH224,'Debt Payoff'!$C$12-SUM($W224:$AF224)-SUMIFS($AG224:$AP224,$AG$4:$AP$4,"&lt;"&amp;AH$4)))</f>
        <v/>
      </c>
      <c r="AS224" s="160">
        <f>Y224+MAX(0,MIN(AI224,'Debt Payoff'!$C$12-SUM($W224:$AF224)-SUMIFS($AG224:$AP224,$AG$4:$AP$4,"&lt;"&amp;AI$4)))</f>
        <v/>
      </c>
      <c r="AT224" s="160">
        <f>Z224+MAX(0,MIN(AJ224,'Debt Payoff'!$C$12-SUM($W224:$AF224)-SUMIFS($AG224:$AP224,$AG$4:$AP$4,"&lt;"&amp;AJ$4)))</f>
        <v/>
      </c>
      <c r="AU224" s="160">
        <f>AA224+MAX(0,MIN(AK224,'Debt Payoff'!$C$12-SUM($W224:$AF224)-SUMIFS($AG224:$AP224,$AG$4:$AP$4,"&lt;"&amp;AK$4)))</f>
        <v/>
      </c>
      <c r="AV224" s="160">
        <f>AB224+MAX(0,MIN(AL224,'Debt Payoff'!$C$12-SUM($W224:$AF224)-SUMIFS($AG224:$AP224,$AG$4:$AP$4,"&lt;"&amp;AL$4)))</f>
        <v/>
      </c>
      <c r="AW224" s="160">
        <f>AC224+MAX(0,MIN(AM224,'Debt Payoff'!$C$12-SUM($W224:$AF224)-SUMIFS($AG224:$AP224,$AG$4:$AP$4,"&lt;"&amp;AM$4)))</f>
        <v/>
      </c>
      <c r="AX224" s="160">
        <f>AD224+MAX(0,MIN(AN224,'Debt Payoff'!$C$12-SUM($W224:$AF224)-SUMIFS($AG224:$AP224,$AG$4:$AP$4,"&lt;"&amp;AN$4)))</f>
        <v/>
      </c>
      <c r="AY224" s="160">
        <f>AE224+MAX(0,MIN(AO224,'Debt Payoff'!$C$12-SUM($W224:$AF224)-SUMIFS($AG224:$AP224,$AG$4:$AP$4,"&lt;"&amp;AO$4)))</f>
        <v/>
      </c>
      <c r="AZ224" s="160">
        <f>AF224+MAX(0,MIN(AP224,'Debt Payoff'!$C$12-SUM($W224:$AF224)-SUMIFS($AG224:$AP224,$AG$4:$AP$4,"&lt;"&amp;AP$4)))</f>
        <v/>
      </c>
      <c r="BA224" s="160">
        <f>SUM(C224:L224)</f>
        <v/>
      </c>
      <c r="BB224" s="160">
        <f>SUM(AQ224:AZ224)</f>
        <v/>
      </c>
      <c r="BC224" s="160">
        <f>SUM(M224:V224)</f>
        <v/>
      </c>
    </row>
    <row r="225">
      <c r="A225" s="157" t="n">
        <v>220</v>
      </c>
      <c r="B225" s="159">
        <f>EDATE('Debt Payoff'!$C$6,219)</f>
        <v/>
      </c>
      <c r="C225" s="160">
        <f>MAX(0,ROUND(C224+M225-AQ225,2))</f>
        <v/>
      </c>
      <c r="D225" s="160">
        <f>MAX(0,ROUND(D224+N225-AR225,2))</f>
        <v/>
      </c>
      <c r="E225" s="160">
        <f>MAX(0,ROUND(E224+O225-AS225,2))</f>
        <v/>
      </c>
      <c r="F225" s="160">
        <f>MAX(0,ROUND(F224+P225-AT225,2))</f>
        <v/>
      </c>
      <c r="G225" s="160">
        <f>MAX(0,ROUND(G224+Q225-AU225,2))</f>
        <v/>
      </c>
      <c r="H225" s="160">
        <f>MAX(0,ROUND(H224+R225-AV225,2))</f>
        <v/>
      </c>
      <c r="I225" s="160">
        <f>MAX(0,ROUND(I224+S225-AW225,2))</f>
        <v/>
      </c>
      <c r="J225" s="160">
        <f>MAX(0,ROUND(J224+T225-AX225,2))</f>
        <v/>
      </c>
      <c r="K225" s="160">
        <f>MAX(0,ROUND(K224+U225-AY225,2))</f>
        <v/>
      </c>
      <c r="L225" s="160">
        <f>MAX(0,ROUND(L224+V225-AZ225,2))</f>
        <v/>
      </c>
      <c r="M225" s="160">
        <f>C224*N('Debt Payoff'!$D$15)/12</f>
        <v/>
      </c>
      <c r="N225" s="160">
        <f>D224*N('Debt Payoff'!$D$16)/12</f>
        <v/>
      </c>
      <c r="O225" s="160">
        <f>E224*N('Debt Payoff'!$D$17)/12</f>
        <v/>
      </c>
      <c r="P225" s="160">
        <f>F224*N('Debt Payoff'!$D$18)/12</f>
        <v/>
      </c>
      <c r="Q225" s="160">
        <f>G224*N('Debt Payoff'!$D$19)/12</f>
        <v/>
      </c>
      <c r="R225" s="160">
        <f>H224*N('Debt Payoff'!$D$20)/12</f>
        <v/>
      </c>
      <c r="S225" s="160">
        <f>I224*N('Debt Payoff'!$D$21)/12</f>
        <v/>
      </c>
      <c r="T225" s="160">
        <f>J224*N('Debt Payoff'!$D$22)/12</f>
        <v/>
      </c>
      <c r="U225" s="160">
        <f>K224*N('Debt Payoff'!$D$23)/12</f>
        <v/>
      </c>
      <c r="V225" s="160">
        <f>L224*N('Debt Payoff'!$D$24)/12</f>
        <v/>
      </c>
      <c r="W225" s="160">
        <f>MIN(N('Debt Payoff'!$E$15),C224+M225)</f>
        <v/>
      </c>
      <c r="X225" s="160">
        <f>MIN(N('Debt Payoff'!$E$16),D224+N225)</f>
        <v/>
      </c>
      <c r="Y225" s="160">
        <f>MIN(N('Debt Payoff'!$E$17),E224+O225)</f>
        <v/>
      </c>
      <c r="Z225" s="160">
        <f>MIN(N('Debt Payoff'!$E$18),F224+P225)</f>
        <v/>
      </c>
      <c r="AA225" s="160">
        <f>MIN(N('Debt Payoff'!$E$19),G224+Q225)</f>
        <v/>
      </c>
      <c r="AB225" s="160">
        <f>MIN(N('Debt Payoff'!$E$20),H224+R225)</f>
        <v/>
      </c>
      <c r="AC225" s="160">
        <f>MIN(N('Debt Payoff'!$E$21),I224+S225)</f>
        <v/>
      </c>
      <c r="AD225" s="160">
        <f>MIN(N('Debt Payoff'!$E$22),J224+T225)</f>
        <v/>
      </c>
      <c r="AE225" s="160">
        <f>MIN(N('Debt Payoff'!$E$23),K224+U225)</f>
        <v/>
      </c>
      <c r="AF225" s="160">
        <f>MIN(N('Debt Payoff'!$E$24),L224+V225)</f>
        <v/>
      </c>
      <c r="AG225" s="160">
        <f>C224+M225-W225</f>
        <v/>
      </c>
      <c r="AH225" s="160">
        <f>D224+N225-X225</f>
        <v/>
      </c>
      <c r="AI225" s="160">
        <f>E224+O225-Y225</f>
        <v/>
      </c>
      <c r="AJ225" s="160">
        <f>F224+P225-Z225</f>
        <v/>
      </c>
      <c r="AK225" s="160">
        <f>G224+Q225-AA225</f>
        <v/>
      </c>
      <c r="AL225" s="160">
        <f>H224+R225-AB225</f>
        <v/>
      </c>
      <c r="AM225" s="160">
        <f>I224+S225-AC225</f>
        <v/>
      </c>
      <c r="AN225" s="160">
        <f>J224+T225-AD225</f>
        <v/>
      </c>
      <c r="AO225" s="160">
        <f>K224+U225-AE225</f>
        <v/>
      </c>
      <c r="AP225" s="160">
        <f>L224+V225-AF225</f>
        <v/>
      </c>
      <c r="AQ225" s="160">
        <f>W225+MAX(0,MIN(AG225,'Debt Payoff'!$C$12-SUM($W225:$AF225)-SUMIFS($AG225:$AP225,$AG$4:$AP$4,"&lt;"&amp;AG$4)))</f>
        <v/>
      </c>
      <c r="AR225" s="160">
        <f>X225+MAX(0,MIN(AH225,'Debt Payoff'!$C$12-SUM($W225:$AF225)-SUMIFS($AG225:$AP225,$AG$4:$AP$4,"&lt;"&amp;AH$4)))</f>
        <v/>
      </c>
      <c r="AS225" s="160">
        <f>Y225+MAX(0,MIN(AI225,'Debt Payoff'!$C$12-SUM($W225:$AF225)-SUMIFS($AG225:$AP225,$AG$4:$AP$4,"&lt;"&amp;AI$4)))</f>
        <v/>
      </c>
      <c r="AT225" s="160">
        <f>Z225+MAX(0,MIN(AJ225,'Debt Payoff'!$C$12-SUM($W225:$AF225)-SUMIFS($AG225:$AP225,$AG$4:$AP$4,"&lt;"&amp;AJ$4)))</f>
        <v/>
      </c>
      <c r="AU225" s="160">
        <f>AA225+MAX(0,MIN(AK225,'Debt Payoff'!$C$12-SUM($W225:$AF225)-SUMIFS($AG225:$AP225,$AG$4:$AP$4,"&lt;"&amp;AK$4)))</f>
        <v/>
      </c>
      <c r="AV225" s="160">
        <f>AB225+MAX(0,MIN(AL225,'Debt Payoff'!$C$12-SUM($W225:$AF225)-SUMIFS($AG225:$AP225,$AG$4:$AP$4,"&lt;"&amp;AL$4)))</f>
        <v/>
      </c>
      <c r="AW225" s="160">
        <f>AC225+MAX(0,MIN(AM225,'Debt Payoff'!$C$12-SUM($W225:$AF225)-SUMIFS($AG225:$AP225,$AG$4:$AP$4,"&lt;"&amp;AM$4)))</f>
        <v/>
      </c>
      <c r="AX225" s="160">
        <f>AD225+MAX(0,MIN(AN225,'Debt Payoff'!$C$12-SUM($W225:$AF225)-SUMIFS($AG225:$AP225,$AG$4:$AP$4,"&lt;"&amp;AN$4)))</f>
        <v/>
      </c>
      <c r="AY225" s="160">
        <f>AE225+MAX(0,MIN(AO225,'Debt Payoff'!$C$12-SUM($W225:$AF225)-SUMIFS($AG225:$AP225,$AG$4:$AP$4,"&lt;"&amp;AO$4)))</f>
        <v/>
      </c>
      <c r="AZ225" s="160">
        <f>AF225+MAX(0,MIN(AP225,'Debt Payoff'!$C$12-SUM($W225:$AF225)-SUMIFS($AG225:$AP225,$AG$4:$AP$4,"&lt;"&amp;AP$4)))</f>
        <v/>
      </c>
      <c r="BA225" s="160">
        <f>SUM(C225:L225)</f>
        <v/>
      </c>
      <c r="BB225" s="160">
        <f>SUM(AQ225:AZ225)</f>
        <v/>
      </c>
      <c r="BC225" s="160">
        <f>SUM(M225:V225)</f>
        <v/>
      </c>
    </row>
    <row r="226">
      <c r="A226" s="157" t="n">
        <v>221</v>
      </c>
      <c r="B226" s="159">
        <f>EDATE('Debt Payoff'!$C$6,220)</f>
        <v/>
      </c>
      <c r="C226" s="160">
        <f>MAX(0,ROUND(C225+M226-AQ226,2))</f>
        <v/>
      </c>
      <c r="D226" s="160">
        <f>MAX(0,ROUND(D225+N226-AR226,2))</f>
        <v/>
      </c>
      <c r="E226" s="160">
        <f>MAX(0,ROUND(E225+O226-AS226,2))</f>
        <v/>
      </c>
      <c r="F226" s="160">
        <f>MAX(0,ROUND(F225+P226-AT226,2))</f>
        <v/>
      </c>
      <c r="G226" s="160">
        <f>MAX(0,ROUND(G225+Q226-AU226,2))</f>
        <v/>
      </c>
      <c r="H226" s="160">
        <f>MAX(0,ROUND(H225+R226-AV226,2))</f>
        <v/>
      </c>
      <c r="I226" s="160">
        <f>MAX(0,ROUND(I225+S226-AW226,2))</f>
        <v/>
      </c>
      <c r="J226" s="160">
        <f>MAX(0,ROUND(J225+T226-AX226,2))</f>
        <v/>
      </c>
      <c r="K226" s="160">
        <f>MAX(0,ROUND(K225+U226-AY226,2))</f>
        <v/>
      </c>
      <c r="L226" s="160">
        <f>MAX(0,ROUND(L225+V226-AZ226,2))</f>
        <v/>
      </c>
      <c r="M226" s="160">
        <f>C225*N('Debt Payoff'!$D$15)/12</f>
        <v/>
      </c>
      <c r="N226" s="160">
        <f>D225*N('Debt Payoff'!$D$16)/12</f>
        <v/>
      </c>
      <c r="O226" s="160">
        <f>E225*N('Debt Payoff'!$D$17)/12</f>
        <v/>
      </c>
      <c r="P226" s="160">
        <f>F225*N('Debt Payoff'!$D$18)/12</f>
        <v/>
      </c>
      <c r="Q226" s="160">
        <f>G225*N('Debt Payoff'!$D$19)/12</f>
        <v/>
      </c>
      <c r="R226" s="160">
        <f>H225*N('Debt Payoff'!$D$20)/12</f>
        <v/>
      </c>
      <c r="S226" s="160">
        <f>I225*N('Debt Payoff'!$D$21)/12</f>
        <v/>
      </c>
      <c r="T226" s="160">
        <f>J225*N('Debt Payoff'!$D$22)/12</f>
        <v/>
      </c>
      <c r="U226" s="160">
        <f>K225*N('Debt Payoff'!$D$23)/12</f>
        <v/>
      </c>
      <c r="V226" s="160">
        <f>L225*N('Debt Payoff'!$D$24)/12</f>
        <v/>
      </c>
      <c r="W226" s="160">
        <f>MIN(N('Debt Payoff'!$E$15),C225+M226)</f>
        <v/>
      </c>
      <c r="X226" s="160">
        <f>MIN(N('Debt Payoff'!$E$16),D225+N226)</f>
        <v/>
      </c>
      <c r="Y226" s="160">
        <f>MIN(N('Debt Payoff'!$E$17),E225+O226)</f>
        <v/>
      </c>
      <c r="Z226" s="160">
        <f>MIN(N('Debt Payoff'!$E$18),F225+P226)</f>
        <v/>
      </c>
      <c r="AA226" s="160">
        <f>MIN(N('Debt Payoff'!$E$19),G225+Q226)</f>
        <v/>
      </c>
      <c r="AB226" s="160">
        <f>MIN(N('Debt Payoff'!$E$20),H225+R226)</f>
        <v/>
      </c>
      <c r="AC226" s="160">
        <f>MIN(N('Debt Payoff'!$E$21),I225+S226)</f>
        <v/>
      </c>
      <c r="AD226" s="160">
        <f>MIN(N('Debt Payoff'!$E$22),J225+T226)</f>
        <v/>
      </c>
      <c r="AE226" s="160">
        <f>MIN(N('Debt Payoff'!$E$23),K225+U226)</f>
        <v/>
      </c>
      <c r="AF226" s="160">
        <f>MIN(N('Debt Payoff'!$E$24),L225+V226)</f>
        <v/>
      </c>
      <c r="AG226" s="160">
        <f>C225+M226-W226</f>
        <v/>
      </c>
      <c r="AH226" s="160">
        <f>D225+N226-X226</f>
        <v/>
      </c>
      <c r="AI226" s="160">
        <f>E225+O226-Y226</f>
        <v/>
      </c>
      <c r="AJ226" s="160">
        <f>F225+P226-Z226</f>
        <v/>
      </c>
      <c r="AK226" s="160">
        <f>G225+Q226-AA226</f>
        <v/>
      </c>
      <c r="AL226" s="160">
        <f>H225+R226-AB226</f>
        <v/>
      </c>
      <c r="AM226" s="160">
        <f>I225+S226-AC226</f>
        <v/>
      </c>
      <c r="AN226" s="160">
        <f>J225+T226-AD226</f>
        <v/>
      </c>
      <c r="AO226" s="160">
        <f>K225+U226-AE226</f>
        <v/>
      </c>
      <c r="AP226" s="160">
        <f>L225+V226-AF226</f>
        <v/>
      </c>
      <c r="AQ226" s="160">
        <f>W226+MAX(0,MIN(AG226,'Debt Payoff'!$C$12-SUM($W226:$AF226)-SUMIFS($AG226:$AP226,$AG$4:$AP$4,"&lt;"&amp;AG$4)))</f>
        <v/>
      </c>
      <c r="AR226" s="160">
        <f>X226+MAX(0,MIN(AH226,'Debt Payoff'!$C$12-SUM($W226:$AF226)-SUMIFS($AG226:$AP226,$AG$4:$AP$4,"&lt;"&amp;AH$4)))</f>
        <v/>
      </c>
      <c r="AS226" s="160">
        <f>Y226+MAX(0,MIN(AI226,'Debt Payoff'!$C$12-SUM($W226:$AF226)-SUMIFS($AG226:$AP226,$AG$4:$AP$4,"&lt;"&amp;AI$4)))</f>
        <v/>
      </c>
      <c r="AT226" s="160">
        <f>Z226+MAX(0,MIN(AJ226,'Debt Payoff'!$C$12-SUM($W226:$AF226)-SUMIFS($AG226:$AP226,$AG$4:$AP$4,"&lt;"&amp;AJ$4)))</f>
        <v/>
      </c>
      <c r="AU226" s="160">
        <f>AA226+MAX(0,MIN(AK226,'Debt Payoff'!$C$12-SUM($W226:$AF226)-SUMIFS($AG226:$AP226,$AG$4:$AP$4,"&lt;"&amp;AK$4)))</f>
        <v/>
      </c>
      <c r="AV226" s="160">
        <f>AB226+MAX(0,MIN(AL226,'Debt Payoff'!$C$12-SUM($W226:$AF226)-SUMIFS($AG226:$AP226,$AG$4:$AP$4,"&lt;"&amp;AL$4)))</f>
        <v/>
      </c>
      <c r="AW226" s="160">
        <f>AC226+MAX(0,MIN(AM226,'Debt Payoff'!$C$12-SUM($W226:$AF226)-SUMIFS($AG226:$AP226,$AG$4:$AP$4,"&lt;"&amp;AM$4)))</f>
        <v/>
      </c>
      <c r="AX226" s="160">
        <f>AD226+MAX(0,MIN(AN226,'Debt Payoff'!$C$12-SUM($W226:$AF226)-SUMIFS($AG226:$AP226,$AG$4:$AP$4,"&lt;"&amp;AN$4)))</f>
        <v/>
      </c>
      <c r="AY226" s="160">
        <f>AE226+MAX(0,MIN(AO226,'Debt Payoff'!$C$12-SUM($W226:$AF226)-SUMIFS($AG226:$AP226,$AG$4:$AP$4,"&lt;"&amp;AO$4)))</f>
        <v/>
      </c>
      <c r="AZ226" s="160">
        <f>AF226+MAX(0,MIN(AP226,'Debt Payoff'!$C$12-SUM($W226:$AF226)-SUMIFS($AG226:$AP226,$AG$4:$AP$4,"&lt;"&amp;AP$4)))</f>
        <v/>
      </c>
      <c r="BA226" s="160">
        <f>SUM(C226:L226)</f>
        <v/>
      </c>
      <c r="BB226" s="160">
        <f>SUM(AQ226:AZ226)</f>
        <v/>
      </c>
      <c r="BC226" s="160">
        <f>SUM(M226:V226)</f>
        <v/>
      </c>
    </row>
    <row r="227">
      <c r="A227" s="157" t="n">
        <v>222</v>
      </c>
      <c r="B227" s="159">
        <f>EDATE('Debt Payoff'!$C$6,221)</f>
        <v/>
      </c>
      <c r="C227" s="160">
        <f>MAX(0,ROUND(C226+M227-AQ227,2))</f>
        <v/>
      </c>
      <c r="D227" s="160">
        <f>MAX(0,ROUND(D226+N227-AR227,2))</f>
        <v/>
      </c>
      <c r="E227" s="160">
        <f>MAX(0,ROUND(E226+O227-AS227,2))</f>
        <v/>
      </c>
      <c r="F227" s="160">
        <f>MAX(0,ROUND(F226+P227-AT227,2))</f>
        <v/>
      </c>
      <c r="G227" s="160">
        <f>MAX(0,ROUND(G226+Q227-AU227,2))</f>
        <v/>
      </c>
      <c r="H227" s="160">
        <f>MAX(0,ROUND(H226+R227-AV227,2))</f>
        <v/>
      </c>
      <c r="I227" s="160">
        <f>MAX(0,ROUND(I226+S227-AW227,2))</f>
        <v/>
      </c>
      <c r="J227" s="160">
        <f>MAX(0,ROUND(J226+T227-AX227,2))</f>
        <v/>
      </c>
      <c r="K227" s="160">
        <f>MAX(0,ROUND(K226+U227-AY227,2))</f>
        <v/>
      </c>
      <c r="L227" s="160">
        <f>MAX(0,ROUND(L226+V227-AZ227,2))</f>
        <v/>
      </c>
      <c r="M227" s="160">
        <f>C226*N('Debt Payoff'!$D$15)/12</f>
        <v/>
      </c>
      <c r="N227" s="160">
        <f>D226*N('Debt Payoff'!$D$16)/12</f>
        <v/>
      </c>
      <c r="O227" s="160">
        <f>E226*N('Debt Payoff'!$D$17)/12</f>
        <v/>
      </c>
      <c r="P227" s="160">
        <f>F226*N('Debt Payoff'!$D$18)/12</f>
        <v/>
      </c>
      <c r="Q227" s="160">
        <f>G226*N('Debt Payoff'!$D$19)/12</f>
        <v/>
      </c>
      <c r="R227" s="160">
        <f>H226*N('Debt Payoff'!$D$20)/12</f>
        <v/>
      </c>
      <c r="S227" s="160">
        <f>I226*N('Debt Payoff'!$D$21)/12</f>
        <v/>
      </c>
      <c r="T227" s="160">
        <f>J226*N('Debt Payoff'!$D$22)/12</f>
        <v/>
      </c>
      <c r="U227" s="160">
        <f>K226*N('Debt Payoff'!$D$23)/12</f>
        <v/>
      </c>
      <c r="V227" s="160">
        <f>L226*N('Debt Payoff'!$D$24)/12</f>
        <v/>
      </c>
      <c r="W227" s="160">
        <f>MIN(N('Debt Payoff'!$E$15),C226+M227)</f>
        <v/>
      </c>
      <c r="X227" s="160">
        <f>MIN(N('Debt Payoff'!$E$16),D226+N227)</f>
        <v/>
      </c>
      <c r="Y227" s="160">
        <f>MIN(N('Debt Payoff'!$E$17),E226+O227)</f>
        <v/>
      </c>
      <c r="Z227" s="160">
        <f>MIN(N('Debt Payoff'!$E$18),F226+P227)</f>
        <v/>
      </c>
      <c r="AA227" s="160">
        <f>MIN(N('Debt Payoff'!$E$19),G226+Q227)</f>
        <v/>
      </c>
      <c r="AB227" s="160">
        <f>MIN(N('Debt Payoff'!$E$20),H226+R227)</f>
        <v/>
      </c>
      <c r="AC227" s="160">
        <f>MIN(N('Debt Payoff'!$E$21),I226+S227)</f>
        <v/>
      </c>
      <c r="AD227" s="160">
        <f>MIN(N('Debt Payoff'!$E$22),J226+T227)</f>
        <v/>
      </c>
      <c r="AE227" s="160">
        <f>MIN(N('Debt Payoff'!$E$23),K226+U227)</f>
        <v/>
      </c>
      <c r="AF227" s="160">
        <f>MIN(N('Debt Payoff'!$E$24),L226+V227)</f>
        <v/>
      </c>
      <c r="AG227" s="160">
        <f>C226+M227-W227</f>
        <v/>
      </c>
      <c r="AH227" s="160">
        <f>D226+N227-X227</f>
        <v/>
      </c>
      <c r="AI227" s="160">
        <f>E226+O227-Y227</f>
        <v/>
      </c>
      <c r="AJ227" s="160">
        <f>F226+P227-Z227</f>
        <v/>
      </c>
      <c r="AK227" s="160">
        <f>G226+Q227-AA227</f>
        <v/>
      </c>
      <c r="AL227" s="160">
        <f>H226+R227-AB227</f>
        <v/>
      </c>
      <c r="AM227" s="160">
        <f>I226+S227-AC227</f>
        <v/>
      </c>
      <c r="AN227" s="160">
        <f>J226+T227-AD227</f>
        <v/>
      </c>
      <c r="AO227" s="160">
        <f>K226+U227-AE227</f>
        <v/>
      </c>
      <c r="AP227" s="160">
        <f>L226+V227-AF227</f>
        <v/>
      </c>
      <c r="AQ227" s="160">
        <f>W227+MAX(0,MIN(AG227,'Debt Payoff'!$C$12-SUM($W227:$AF227)-SUMIFS($AG227:$AP227,$AG$4:$AP$4,"&lt;"&amp;AG$4)))</f>
        <v/>
      </c>
      <c r="AR227" s="160">
        <f>X227+MAX(0,MIN(AH227,'Debt Payoff'!$C$12-SUM($W227:$AF227)-SUMIFS($AG227:$AP227,$AG$4:$AP$4,"&lt;"&amp;AH$4)))</f>
        <v/>
      </c>
      <c r="AS227" s="160">
        <f>Y227+MAX(0,MIN(AI227,'Debt Payoff'!$C$12-SUM($W227:$AF227)-SUMIFS($AG227:$AP227,$AG$4:$AP$4,"&lt;"&amp;AI$4)))</f>
        <v/>
      </c>
      <c r="AT227" s="160">
        <f>Z227+MAX(0,MIN(AJ227,'Debt Payoff'!$C$12-SUM($W227:$AF227)-SUMIFS($AG227:$AP227,$AG$4:$AP$4,"&lt;"&amp;AJ$4)))</f>
        <v/>
      </c>
      <c r="AU227" s="160">
        <f>AA227+MAX(0,MIN(AK227,'Debt Payoff'!$C$12-SUM($W227:$AF227)-SUMIFS($AG227:$AP227,$AG$4:$AP$4,"&lt;"&amp;AK$4)))</f>
        <v/>
      </c>
      <c r="AV227" s="160">
        <f>AB227+MAX(0,MIN(AL227,'Debt Payoff'!$C$12-SUM($W227:$AF227)-SUMIFS($AG227:$AP227,$AG$4:$AP$4,"&lt;"&amp;AL$4)))</f>
        <v/>
      </c>
      <c r="AW227" s="160">
        <f>AC227+MAX(0,MIN(AM227,'Debt Payoff'!$C$12-SUM($W227:$AF227)-SUMIFS($AG227:$AP227,$AG$4:$AP$4,"&lt;"&amp;AM$4)))</f>
        <v/>
      </c>
      <c r="AX227" s="160">
        <f>AD227+MAX(0,MIN(AN227,'Debt Payoff'!$C$12-SUM($W227:$AF227)-SUMIFS($AG227:$AP227,$AG$4:$AP$4,"&lt;"&amp;AN$4)))</f>
        <v/>
      </c>
      <c r="AY227" s="160">
        <f>AE227+MAX(0,MIN(AO227,'Debt Payoff'!$C$12-SUM($W227:$AF227)-SUMIFS($AG227:$AP227,$AG$4:$AP$4,"&lt;"&amp;AO$4)))</f>
        <v/>
      </c>
      <c r="AZ227" s="160">
        <f>AF227+MAX(0,MIN(AP227,'Debt Payoff'!$C$12-SUM($W227:$AF227)-SUMIFS($AG227:$AP227,$AG$4:$AP$4,"&lt;"&amp;AP$4)))</f>
        <v/>
      </c>
      <c r="BA227" s="160">
        <f>SUM(C227:L227)</f>
        <v/>
      </c>
      <c r="BB227" s="160">
        <f>SUM(AQ227:AZ227)</f>
        <v/>
      </c>
      <c r="BC227" s="160">
        <f>SUM(M227:V227)</f>
        <v/>
      </c>
    </row>
    <row r="228">
      <c r="A228" s="157" t="n">
        <v>223</v>
      </c>
      <c r="B228" s="159">
        <f>EDATE('Debt Payoff'!$C$6,222)</f>
        <v/>
      </c>
      <c r="C228" s="160">
        <f>MAX(0,ROUND(C227+M228-AQ228,2))</f>
        <v/>
      </c>
      <c r="D228" s="160">
        <f>MAX(0,ROUND(D227+N228-AR228,2))</f>
        <v/>
      </c>
      <c r="E228" s="160">
        <f>MAX(0,ROUND(E227+O228-AS228,2))</f>
        <v/>
      </c>
      <c r="F228" s="160">
        <f>MAX(0,ROUND(F227+P228-AT228,2))</f>
        <v/>
      </c>
      <c r="G228" s="160">
        <f>MAX(0,ROUND(G227+Q228-AU228,2))</f>
        <v/>
      </c>
      <c r="H228" s="160">
        <f>MAX(0,ROUND(H227+R228-AV228,2))</f>
        <v/>
      </c>
      <c r="I228" s="160">
        <f>MAX(0,ROUND(I227+S228-AW228,2))</f>
        <v/>
      </c>
      <c r="J228" s="160">
        <f>MAX(0,ROUND(J227+T228-AX228,2))</f>
        <v/>
      </c>
      <c r="K228" s="160">
        <f>MAX(0,ROUND(K227+U228-AY228,2))</f>
        <v/>
      </c>
      <c r="L228" s="160">
        <f>MAX(0,ROUND(L227+V228-AZ228,2))</f>
        <v/>
      </c>
      <c r="M228" s="160">
        <f>C227*N('Debt Payoff'!$D$15)/12</f>
        <v/>
      </c>
      <c r="N228" s="160">
        <f>D227*N('Debt Payoff'!$D$16)/12</f>
        <v/>
      </c>
      <c r="O228" s="160">
        <f>E227*N('Debt Payoff'!$D$17)/12</f>
        <v/>
      </c>
      <c r="P228" s="160">
        <f>F227*N('Debt Payoff'!$D$18)/12</f>
        <v/>
      </c>
      <c r="Q228" s="160">
        <f>G227*N('Debt Payoff'!$D$19)/12</f>
        <v/>
      </c>
      <c r="R228" s="160">
        <f>H227*N('Debt Payoff'!$D$20)/12</f>
        <v/>
      </c>
      <c r="S228" s="160">
        <f>I227*N('Debt Payoff'!$D$21)/12</f>
        <v/>
      </c>
      <c r="T228" s="160">
        <f>J227*N('Debt Payoff'!$D$22)/12</f>
        <v/>
      </c>
      <c r="U228" s="160">
        <f>K227*N('Debt Payoff'!$D$23)/12</f>
        <v/>
      </c>
      <c r="V228" s="160">
        <f>L227*N('Debt Payoff'!$D$24)/12</f>
        <v/>
      </c>
      <c r="W228" s="160">
        <f>MIN(N('Debt Payoff'!$E$15),C227+M228)</f>
        <v/>
      </c>
      <c r="X228" s="160">
        <f>MIN(N('Debt Payoff'!$E$16),D227+N228)</f>
        <v/>
      </c>
      <c r="Y228" s="160">
        <f>MIN(N('Debt Payoff'!$E$17),E227+O228)</f>
        <v/>
      </c>
      <c r="Z228" s="160">
        <f>MIN(N('Debt Payoff'!$E$18),F227+P228)</f>
        <v/>
      </c>
      <c r="AA228" s="160">
        <f>MIN(N('Debt Payoff'!$E$19),G227+Q228)</f>
        <v/>
      </c>
      <c r="AB228" s="160">
        <f>MIN(N('Debt Payoff'!$E$20),H227+R228)</f>
        <v/>
      </c>
      <c r="AC228" s="160">
        <f>MIN(N('Debt Payoff'!$E$21),I227+S228)</f>
        <v/>
      </c>
      <c r="AD228" s="160">
        <f>MIN(N('Debt Payoff'!$E$22),J227+T228)</f>
        <v/>
      </c>
      <c r="AE228" s="160">
        <f>MIN(N('Debt Payoff'!$E$23),K227+U228)</f>
        <v/>
      </c>
      <c r="AF228" s="160">
        <f>MIN(N('Debt Payoff'!$E$24),L227+V228)</f>
        <v/>
      </c>
      <c r="AG228" s="160">
        <f>C227+M228-W228</f>
        <v/>
      </c>
      <c r="AH228" s="160">
        <f>D227+N228-X228</f>
        <v/>
      </c>
      <c r="AI228" s="160">
        <f>E227+O228-Y228</f>
        <v/>
      </c>
      <c r="AJ228" s="160">
        <f>F227+P228-Z228</f>
        <v/>
      </c>
      <c r="AK228" s="160">
        <f>G227+Q228-AA228</f>
        <v/>
      </c>
      <c r="AL228" s="160">
        <f>H227+R228-AB228</f>
        <v/>
      </c>
      <c r="AM228" s="160">
        <f>I227+S228-AC228</f>
        <v/>
      </c>
      <c r="AN228" s="160">
        <f>J227+T228-AD228</f>
        <v/>
      </c>
      <c r="AO228" s="160">
        <f>K227+U228-AE228</f>
        <v/>
      </c>
      <c r="AP228" s="160">
        <f>L227+V228-AF228</f>
        <v/>
      </c>
      <c r="AQ228" s="160">
        <f>W228+MAX(0,MIN(AG228,'Debt Payoff'!$C$12-SUM($W228:$AF228)-SUMIFS($AG228:$AP228,$AG$4:$AP$4,"&lt;"&amp;AG$4)))</f>
        <v/>
      </c>
      <c r="AR228" s="160">
        <f>X228+MAX(0,MIN(AH228,'Debt Payoff'!$C$12-SUM($W228:$AF228)-SUMIFS($AG228:$AP228,$AG$4:$AP$4,"&lt;"&amp;AH$4)))</f>
        <v/>
      </c>
      <c r="AS228" s="160">
        <f>Y228+MAX(0,MIN(AI228,'Debt Payoff'!$C$12-SUM($W228:$AF228)-SUMIFS($AG228:$AP228,$AG$4:$AP$4,"&lt;"&amp;AI$4)))</f>
        <v/>
      </c>
      <c r="AT228" s="160">
        <f>Z228+MAX(0,MIN(AJ228,'Debt Payoff'!$C$12-SUM($W228:$AF228)-SUMIFS($AG228:$AP228,$AG$4:$AP$4,"&lt;"&amp;AJ$4)))</f>
        <v/>
      </c>
      <c r="AU228" s="160">
        <f>AA228+MAX(0,MIN(AK228,'Debt Payoff'!$C$12-SUM($W228:$AF228)-SUMIFS($AG228:$AP228,$AG$4:$AP$4,"&lt;"&amp;AK$4)))</f>
        <v/>
      </c>
      <c r="AV228" s="160">
        <f>AB228+MAX(0,MIN(AL228,'Debt Payoff'!$C$12-SUM($W228:$AF228)-SUMIFS($AG228:$AP228,$AG$4:$AP$4,"&lt;"&amp;AL$4)))</f>
        <v/>
      </c>
      <c r="AW228" s="160">
        <f>AC228+MAX(0,MIN(AM228,'Debt Payoff'!$C$12-SUM($W228:$AF228)-SUMIFS($AG228:$AP228,$AG$4:$AP$4,"&lt;"&amp;AM$4)))</f>
        <v/>
      </c>
      <c r="AX228" s="160">
        <f>AD228+MAX(0,MIN(AN228,'Debt Payoff'!$C$12-SUM($W228:$AF228)-SUMIFS($AG228:$AP228,$AG$4:$AP$4,"&lt;"&amp;AN$4)))</f>
        <v/>
      </c>
      <c r="AY228" s="160">
        <f>AE228+MAX(0,MIN(AO228,'Debt Payoff'!$C$12-SUM($W228:$AF228)-SUMIFS($AG228:$AP228,$AG$4:$AP$4,"&lt;"&amp;AO$4)))</f>
        <v/>
      </c>
      <c r="AZ228" s="160">
        <f>AF228+MAX(0,MIN(AP228,'Debt Payoff'!$C$12-SUM($W228:$AF228)-SUMIFS($AG228:$AP228,$AG$4:$AP$4,"&lt;"&amp;AP$4)))</f>
        <v/>
      </c>
      <c r="BA228" s="160">
        <f>SUM(C228:L228)</f>
        <v/>
      </c>
      <c r="BB228" s="160">
        <f>SUM(AQ228:AZ228)</f>
        <v/>
      </c>
      <c r="BC228" s="160">
        <f>SUM(M228:V228)</f>
        <v/>
      </c>
    </row>
    <row r="229">
      <c r="A229" s="157" t="n">
        <v>224</v>
      </c>
      <c r="B229" s="159">
        <f>EDATE('Debt Payoff'!$C$6,223)</f>
        <v/>
      </c>
      <c r="C229" s="160">
        <f>MAX(0,ROUND(C228+M229-AQ229,2))</f>
        <v/>
      </c>
      <c r="D229" s="160">
        <f>MAX(0,ROUND(D228+N229-AR229,2))</f>
        <v/>
      </c>
      <c r="E229" s="160">
        <f>MAX(0,ROUND(E228+O229-AS229,2))</f>
        <v/>
      </c>
      <c r="F229" s="160">
        <f>MAX(0,ROUND(F228+P229-AT229,2))</f>
        <v/>
      </c>
      <c r="G229" s="160">
        <f>MAX(0,ROUND(G228+Q229-AU229,2))</f>
        <v/>
      </c>
      <c r="H229" s="160">
        <f>MAX(0,ROUND(H228+R229-AV229,2))</f>
        <v/>
      </c>
      <c r="I229" s="160">
        <f>MAX(0,ROUND(I228+S229-AW229,2))</f>
        <v/>
      </c>
      <c r="J229" s="160">
        <f>MAX(0,ROUND(J228+T229-AX229,2))</f>
        <v/>
      </c>
      <c r="K229" s="160">
        <f>MAX(0,ROUND(K228+U229-AY229,2))</f>
        <v/>
      </c>
      <c r="L229" s="160">
        <f>MAX(0,ROUND(L228+V229-AZ229,2))</f>
        <v/>
      </c>
      <c r="M229" s="160">
        <f>C228*N('Debt Payoff'!$D$15)/12</f>
        <v/>
      </c>
      <c r="N229" s="160">
        <f>D228*N('Debt Payoff'!$D$16)/12</f>
        <v/>
      </c>
      <c r="O229" s="160">
        <f>E228*N('Debt Payoff'!$D$17)/12</f>
        <v/>
      </c>
      <c r="P229" s="160">
        <f>F228*N('Debt Payoff'!$D$18)/12</f>
        <v/>
      </c>
      <c r="Q229" s="160">
        <f>G228*N('Debt Payoff'!$D$19)/12</f>
        <v/>
      </c>
      <c r="R229" s="160">
        <f>H228*N('Debt Payoff'!$D$20)/12</f>
        <v/>
      </c>
      <c r="S229" s="160">
        <f>I228*N('Debt Payoff'!$D$21)/12</f>
        <v/>
      </c>
      <c r="T229" s="160">
        <f>J228*N('Debt Payoff'!$D$22)/12</f>
        <v/>
      </c>
      <c r="U229" s="160">
        <f>K228*N('Debt Payoff'!$D$23)/12</f>
        <v/>
      </c>
      <c r="V229" s="160">
        <f>L228*N('Debt Payoff'!$D$24)/12</f>
        <v/>
      </c>
      <c r="W229" s="160">
        <f>MIN(N('Debt Payoff'!$E$15),C228+M229)</f>
        <v/>
      </c>
      <c r="X229" s="160">
        <f>MIN(N('Debt Payoff'!$E$16),D228+N229)</f>
        <v/>
      </c>
      <c r="Y229" s="160">
        <f>MIN(N('Debt Payoff'!$E$17),E228+O229)</f>
        <v/>
      </c>
      <c r="Z229" s="160">
        <f>MIN(N('Debt Payoff'!$E$18),F228+P229)</f>
        <v/>
      </c>
      <c r="AA229" s="160">
        <f>MIN(N('Debt Payoff'!$E$19),G228+Q229)</f>
        <v/>
      </c>
      <c r="AB229" s="160">
        <f>MIN(N('Debt Payoff'!$E$20),H228+R229)</f>
        <v/>
      </c>
      <c r="AC229" s="160">
        <f>MIN(N('Debt Payoff'!$E$21),I228+S229)</f>
        <v/>
      </c>
      <c r="AD229" s="160">
        <f>MIN(N('Debt Payoff'!$E$22),J228+T229)</f>
        <v/>
      </c>
      <c r="AE229" s="160">
        <f>MIN(N('Debt Payoff'!$E$23),K228+U229)</f>
        <v/>
      </c>
      <c r="AF229" s="160">
        <f>MIN(N('Debt Payoff'!$E$24),L228+V229)</f>
        <v/>
      </c>
      <c r="AG229" s="160">
        <f>C228+M229-W229</f>
        <v/>
      </c>
      <c r="AH229" s="160">
        <f>D228+N229-X229</f>
        <v/>
      </c>
      <c r="AI229" s="160">
        <f>E228+O229-Y229</f>
        <v/>
      </c>
      <c r="AJ229" s="160">
        <f>F228+P229-Z229</f>
        <v/>
      </c>
      <c r="AK229" s="160">
        <f>G228+Q229-AA229</f>
        <v/>
      </c>
      <c r="AL229" s="160">
        <f>H228+R229-AB229</f>
        <v/>
      </c>
      <c r="AM229" s="160">
        <f>I228+S229-AC229</f>
        <v/>
      </c>
      <c r="AN229" s="160">
        <f>J228+T229-AD229</f>
        <v/>
      </c>
      <c r="AO229" s="160">
        <f>K228+U229-AE229</f>
        <v/>
      </c>
      <c r="AP229" s="160">
        <f>L228+V229-AF229</f>
        <v/>
      </c>
      <c r="AQ229" s="160">
        <f>W229+MAX(0,MIN(AG229,'Debt Payoff'!$C$12-SUM($W229:$AF229)-SUMIFS($AG229:$AP229,$AG$4:$AP$4,"&lt;"&amp;AG$4)))</f>
        <v/>
      </c>
      <c r="AR229" s="160">
        <f>X229+MAX(0,MIN(AH229,'Debt Payoff'!$C$12-SUM($W229:$AF229)-SUMIFS($AG229:$AP229,$AG$4:$AP$4,"&lt;"&amp;AH$4)))</f>
        <v/>
      </c>
      <c r="AS229" s="160">
        <f>Y229+MAX(0,MIN(AI229,'Debt Payoff'!$C$12-SUM($W229:$AF229)-SUMIFS($AG229:$AP229,$AG$4:$AP$4,"&lt;"&amp;AI$4)))</f>
        <v/>
      </c>
      <c r="AT229" s="160">
        <f>Z229+MAX(0,MIN(AJ229,'Debt Payoff'!$C$12-SUM($W229:$AF229)-SUMIFS($AG229:$AP229,$AG$4:$AP$4,"&lt;"&amp;AJ$4)))</f>
        <v/>
      </c>
      <c r="AU229" s="160">
        <f>AA229+MAX(0,MIN(AK229,'Debt Payoff'!$C$12-SUM($W229:$AF229)-SUMIFS($AG229:$AP229,$AG$4:$AP$4,"&lt;"&amp;AK$4)))</f>
        <v/>
      </c>
      <c r="AV229" s="160">
        <f>AB229+MAX(0,MIN(AL229,'Debt Payoff'!$C$12-SUM($W229:$AF229)-SUMIFS($AG229:$AP229,$AG$4:$AP$4,"&lt;"&amp;AL$4)))</f>
        <v/>
      </c>
      <c r="AW229" s="160">
        <f>AC229+MAX(0,MIN(AM229,'Debt Payoff'!$C$12-SUM($W229:$AF229)-SUMIFS($AG229:$AP229,$AG$4:$AP$4,"&lt;"&amp;AM$4)))</f>
        <v/>
      </c>
      <c r="AX229" s="160">
        <f>AD229+MAX(0,MIN(AN229,'Debt Payoff'!$C$12-SUM($W229:$AF229)-SUMIFS($AG229:$AP229,$AG$4:$AP$4,"&lt;"&amp;AN$4)))</f>
        <v/>
      </c>
      <c r="AY229" s="160">
        <f>AE229+MAX(0,MIN(AO229,'Debt Payoff'!$C$12-SUM($W229:$AF229)-SUMIFS($AG229:$AP229,$AG$4:$AP$4,"&lt;"&amp;AO$4)))</f>
        <v/>
      </c>
      <c r="AZ229" s="160">
        <f>AF229+MAX(0,MIN(AP229,'Debt Payoff'!$C$12-SUM($W229:$AF229)-SUMIFS($AG229:$AP229,$AG$4:$AP$4,"&lt;"&amp;AP$4)))</f>
        <v/>
      </c>
      <c r="BA229" s="160">
        <f>SUM(C229:L229)</f>
        <v/>
      </c>
      <c r="BB229" s="160">
        <f>SUM(AQ229:AZ229)</f>
        <v/>
      </c>
      <c r="BC229" s="160">
        <f>SUM(M229:V229)</f>
        <v/>
      </c>
    </row>
    <row r="230">
      <c r="A230" s="157" t="n">
        <v>225</v>
      </c>
      <c r="B230" s="159">
        <f>EDATE('Debt Payoff'!$C$6,224)</f>
        <v/>
      </c>
      <c r="C230" s="160">
        <f>MAX(0,ROUND(C229+M230-AQ230,2))</f>
        <v/>
      </c>
      <c r="D230" s="160">
        <f>MAX(0,ROUND(D229+N230-AR230,2))</f>
        <v/>
      </c>
      <c r="E230" s="160">
        <f>MAX(0,ROUND(E229+O230-AS230,2))</f>
        <v/>
      </c>
      <c r="F230" s="160">
        <f>MAX(0,ROUND(F229+P230-AT230,2))</f>
        <v/>
      </c>
      <c r="G230" s="160">
        <f>MAX(0,ROUND(G229+Q230-AU230,2))</f>
        <v/>
      </c>
      <c r="H230" s="160">
        <f>MAX(0,ROUND(H229+R230-AV230,2))</f>
        <v/>
      </c>
      <c r="I230" s="160">
        <f>MAX(0,ROUND(I229+S230-AW230,2))</f>
        <v/>
      </c>
      <c r="J230" s="160">
        <f>MAX(0,ROUND(J229+T230-AX230,2))</f>
        <v/>
      </c>
      <c r="K230" s="160">
        <f>MAX(0,ROUND(K229+U230-AY230,2))</f>
        <v/>
      </c>
      <c r="L230" s="160">
        <f>MAX(0,ROUND(L229+V230-AZ230,2))</f>
        <v/>
      </c>
      <c r="M230" s="160">
        <f>C229*N('Debt Payoff'!$D$15)/12</f>
        <v/>
      </c>
      <c r="N230" s="160">
        <f>D229*N('Debt Payoff'!$D$16)/12</f>
        <v/>
      </c>
      <c r="O230" s="160">
        <f>E229*N('Debt Payoff'!$D$17)/12</f>
        <v/>
      </c>
      <c r="P230" s="160">
        <f>F229*N('Debt Payoff'!$D$18)/12</f>
        <v/>
      </c>
      <c r="Q230" s="160">
        <f>G229*N('Debt Payoff'!$D$19)/12</f>
        <v/>
      </c>
      <c r="R230" s="160">
        <f>H229*N('Debt Payoff'!$D$20)/12</f>
        <v/>
      </c>
      <c r="S230" s="160">
        <f>I229*N('Debt Payoff'!$D$21)/12</f>
        <v/>
      </c>
      <c r="T230" s="160">
        <f>J229*N('Debt Payoff'!$D$22)/12</f>
        <v/>
      </c>
      <c r="U230" s="160">
        <f>K229*N('Debt Payoff'!$D$23)/12</f>
        <v/>
      </c>
      <c r="V230" s="160">
        <f>L229*N('Debt Payoff'!$D$24)/12</f>
        <v/>
      </c>
      <c r="W230" s="160">
        <f>MIN(N('Debt Payoff'!$E$15),C229+M230)</f>
        <v/>
      </c>
      <c r="X230" s="160">
        <f>MIN(N('Debt Payoff'!$E$16),D229+N230)</f>
        <v/>
      </c>
      <c r="Y230" s="160">
        <f>MIN(N('Debt Payoff'!$E$17),E229+O230)</f>
        <v/>
      </c>
      <c r="Z230" s="160">
        <f>MIN(N('Debt Payoff'!$E$18),F229+P230)</f>
        <v/>
      </c>
      <c r="AA230" s="160">
        <f>MIN(N('Debt Payoff'!$E$19),G229+Q230)</f>
        <v/>
      </c>
      <c r="AB230" s="160">
        <f>MIN(N('Debt Payoff'!$E$20),H229+R230)</f>
        <v/>
      </c>
      <c r="AC230" s="160">
        <f>MIN(N('Debt Payoff'!$E$21),I229+S230)</f>
        <v/>
      </c>
      <c r="AD230" s="160">
        <f>MIN(N('Debt Payoff'!$E$22),J229+T230)</f>
        <v/>
      </c>
      <c r="AE230" s="160">
        <f>MIN(N('Debt Payoff'!$E$23),K229+U230)</f>
        <v/>
      </c>
      <c r="AF230" s="160">
        <f>MIN(N('Debt Payoff'!$E$24),L229+V230)</f>
        <v/>
      </c>
      <c r="AG230" s="160">
        <f>C229+M230-W230</f>
        <v/>
      </c>
      <c r="AH230" s="160">
        <f>D229+N230-X230</f>
        <v/>
      </c>
      <c r="AI230" s="160">
        <f>E229+O230-Y230</f>
        <v/>
      </c>
      <c r="AJ230" s="160">
        <f>F229+P230-Z230</f>
        <v/>
      </c>
      <c r="AK230" s="160">
        <f>G229+Q230-AA230</f>
        <v/>
      </c>
      <c r="AL230" s="160">
        <f>H229+R230-AB230</f>
        <v/>
      </c>
      <c r="AM230" s="160">
        <f>I229+S230-AC230</f>
        <v/>
      </c>
      <c r="AN230" s="160">
        <f>J229+T230-AD230</f>
        <v/>
      </c>
      <c r="AO230" s="160">
        <f>K229+U230-AE230</f>
        <v/>
      </c>
      <c r="AP230" s="160">
        <f>L229+V230-AF230</f>
        <v/>
      </c>
      <c r="AQ230" s="160">
        <f>W230+MAX(0,MIN(AG230,'Debt Payoff'!$C$12-SUM($W230:$AF230)-SUMIFS($AG230:$AP230,$AG$4:$AP$4,"&lt;"&amp;AG$4)))</f>
        <v/>
      </c>
      <c r="AR230" s="160">
        <f>X230+MAX(0,MIN(AH230,'Debt Payoff'!$C$12-SUM($W230:$AF230)-SUMIFS($AG230:$AP230,$AG$4:$AP$4,"&lt;"&amp;AH$4)))</f>
        <v/>
      </c>
      <c r="AS230" s="160">
        <f>Y230+MAX(0,MIN(AI230,'Debt Payoff'!$C$12-SUM($W230:$AF230)-SUMIFS($AG230:$AP230,$AG$4:$AP$4,"&lt;"&amp;AI$4)))</f>
        <v/>
      </c>
      <c r="AT230" s="160">
        <f>Z230+MAX(0,MIN(AJ230,'Debt Payoff'!$C$12-SUM($W230:$AF230)-SUMIFS($AG230:$AP230,$AG$4:$AP$4,"&lt;"&amp;AJ$4)))</f>
        <v/>
      </c>
      <c r="AU230" s="160">
        <f>AA230+MAX(0,MIN(AK230,'Debt Payoff'!$C$12-SUM($W230:$AF230)-SUMIFS($AG230:$AP230,$AG$4:$AP$4,"&lt;"&amp;AK$4)))</f>
        <v/>
      </c>
      <c r="AV230" s="160">
        <f>AB230+MAX(0,MIN(AL230,'Debt Payoff'!$C$12-SUM($W230:$AF230)-SUMIFS($AG230:$AP230,$AG$4:$AP$4,"&lt;"&amp;AL$4)))</f>
        <v/>
      </c>
      <c r="AW230" s="160">
        <f>AC230+MAX(0,MIN(AM230,'Debt Payoff'!$C$12-SUM($W230:$AF230)-SUMIFS($AG230:$AP230,$AG$4:$AP$4,"&lt;"&amp;AM$4)))</f>
        <v/>
      </c>
      <c r="AX230" s="160">
        <f>AD230+MAX(0,MIN(AN230,'Debt Payoff'!$C$12-SUM($W230:$AF230)-SUMIFS($AG230:$AP230,$AG$4:$AP$4,"&lt;"&amp;AN$4)))</f>
        <v/>
      </c>
      <c r="AY230" s="160">
        <f>AE230+MAX(0,MIN(AO230,'Debt Payoff'!$C$12-SUM($W230:$AF230)-SUMIFS($AG230:$AP230,$AG$4:$AP$4,"&lt;"&amp;AO$4)))</f>
        <v/>
      </c>
      <c r="AZ230" s="160">
        <f>AF230+MAX(0,MIN(AP230,'Debt Payoff'!$C$12-SUM($W230:$AF230)-SUMIFS($AG230:$AP230,$AG$4:$AP$4,"&lt;"&amp;AP$4)))</f>
        <v/>
      </c>
      <c r="BA230" s="160">
        <f>SUM(C230:L230)</f>
        <v/>
      </c>
      <c r="BB230" s="160">
        <f>SUM(AQ230:AZ230)</f>
        <v/>
      </c>
      <c r="BC230" s="160">
        <f>SUM(M230:V230)</f>
        <v/>
      </c>
    </row>
    <row r="231">
      <c r="A231" s="157" t="n">
        <v>226</v>
      </c>
      <c r="B231" s="159">
        <f>EDATE('Debt Payoff'!$C$6,225)</f>
        <v/>
      </c>
      <c r="C231" s="160">
        <f>MAX(0,ROUND(C230+M231-AQ231,2))</f>
        <v/>
      </c>
      <c r="D231" s="160">
        <f>MAX(0,ROUND(D230+N231-AR231,2))</f>
        <v/>
      </c>
      <c r="E231" s="160">
        <f>MAX(0,ROUND(E230+O231-AS231,2))</f>
        <v/>
      </c>
      <c r="F231" s="160">
        <f>MAX(0,ROUND(F230+P231-AT231,2))</f>
        <v/>
      </c>
      <c r="G231" s="160">
        <f>MAX(0,ROUND(G230+Q231-AU231,2))</f>
        <v/>
      </c>
      <c r="H231" s="160">
        <f>MAX(0,ROUND(H230+R231-AV231,2))</f>
        <v/>
      </c>
      <c r="I231" s="160">
        <f>MAX(0,ROUND(I230+S231-AW231,2))</f>
        <v/>
      </c>
      <c r="J231" s="160">
        <f>MAX(0,ROUND(J230+T231-AX231,2))</f>
        <v/>
      </c>
      <c r="K231" s="160">
        <f>MAX(0,ROUND(K230+U231-AY231,2))</f>
        <v/>
      </c>
      <c r="L231" s="160">
        <f>MAX(0,ROUND(L230+V231-AZ231,2))</f>
        <v/>
      </c>
      <c r="M231" s="160">
        <f>C230*N('Debt Payoff'!$D$15)/12</f>
        <v/>
      </c>
      <c r="N231" s="160">
        <f>D230*N('Debt Payoff'!$D$16)/12</f>
        <v/>
      </c>
      <c r="O231" s="160">
        <f>E230*N('Debt Payoff'!$D$17)/12</f>
        <v/>
      </c>
      <c r="P231" s="160">
        <f>F230*N('Debt Payoff'!$D$18)/12</f>
        <v/>
      </c>
      <c r="Q231" s="160">
        <f>G230*N('Debt Payoff'!$D$19)/12</f>
        <v/>
      </c>
      <c r="R231" s="160">
        <f>H230*N('Debt Payoff'!$D$20)/12</f>
        <v/>
      </c>
      <c r="S231" s="160">
        <f>I230*N('Debt Payoff'!$D$21)/12</f>
        <v/>
      </c>
      <c r="T231" s="160">
        <f>J230*N('Debt Payoff'!$D$22)/12</f>
        <v/>
      </c>
      <c r="U231" s="160">
        <f>K230*N('Debt Payoff'!$D$23)/12</f>
        <v/>
      </c>
      <c r="V231" s="160">
        <f>L230*N('Debt Payoff'!$D$24)/12</f>
        <v/>
      </c>
      <c r="W231" s="160">
        <f>MIN(N('Debt Payoff'!$E$15),C230+M231)</f>
        <v/>
      </c>
      <c r="X231" s="160">
        <f>MIN(N('Debt Payoff'!$E$16),D230+N231)</f>
        <v/>
      </c>
      <c r="Y231" s="160">
        <f>MIN(N('Debt Payoff'!$E$17),E230+O231)</f>
        <v/>
      </c>
      <c r="Z231" s="160">
        <f>MIN(N('Debt Payoff'!$E$18),F230+P231)</f>
        <v/>
      </c>
      <c r="AA231" s="160">
        <f>MIN(N('Debt Payoff'!$E$19),G230+Q231)</f>
        <v/>
      </c>
      <c r="AB231" s="160">
        <f>MIN(N('Debt Payoff'!$E$20),H230+R231)</f>
        <v/>
      </c>
      <c r="AC231" s="160">
        <f>MIN(N('Debt Payoff'!$E$21),I230+S231)</f>
        <v/>
      </c>
      <c r="AD231" s="160">
        <f>MIN(N('Debt Payoff'!$E$22),J230+T231)</f>
        <v/>
      </c>
      <c r="AE231" s="160">
        <f>MIN(N('Debt Payoff'!$E$23),K230+U231)</f>
        <v/>
      </c>
      <c r="AF231" s="160">
        <f>MIN(N('Debt Payoff'!$E$24),L230+V231)</f>
        <v/>
      </c>
      <c r="AG231" s="160">
        <f>C230+M231-W231</f>
        <v/>
      </c>
      <c r="AH231" s="160">
        <f>D230+N231-X231</f>
        <v/>
      </c>
      <c r="AI231" s="160">
        <f>E230+O231-Y231</f>
        <v/>
      </c>
      <c r="AJ231" s="160">
        <f>F230+P231-Z231</f>
        <v/>
      </c>
      <c r="AK231" s="160">
        <f>G230+Q231-AA231</f>
        <v/>
      </c>
      <c r="AL231" s="160">
        <f>H230+R231-AB231</f>
        <v/>
      </c>
      <c r="AM231" s="160">
        <f>I230+S231-AC231</f>
        <v/>
      </c>
      <c r="AN231" s="160">
        <f>J230+T231-AD231</f>
        <v/>
      </c>
      <c r="AO231" s="160">
        <f>K230+U231-AE231</f>
        <v/>
      </c>
      <c r="AP231" s="160">
        <f>L230+V231-AF231</f>
        <v/>
      </c>
      <c r="AQ231" s="160">
        <f>W231+MAX(0,MIN(AG231,'Debt Payoff'!$C$12-SUM($W231:$AF231)-SUMIFS($AG231:$AP231,$AG$4:$AP$4,"&lt;"&amp;AG$4)))</f>
        <v/>
      </c>
      <c r="AR231" s="160">
        <f>X231+MAX(0,MIN(AH231,'Debt Payoff'!$C$12-SUM($W231:$AF231)-SUMIFS($AG231:$AP231,$AG$4:$AP$4,"&lt;"&amp;AH$4)))</f>
        <v/>
      </c>
      <c r="AS231" s="160">
        <f>Y231+MAX(0,MIN(AI231,'Debt Payoff'!$C$12-SUM($W231:$AF231)-SUMIFS($AG231:$AP231,$AG$4:$AP$4,"&lt;"&amp;AI$4)))</f>
        <v/>
      </c>
      <c r="AT231" s="160">
        <f>Z231+MAX(0,MIN(AJ231,'Debt Payoff'!$C$12-SUM($W231:$AF231)-SUMIFS($AG231:$AP231,$AG$4:$AP$4,"&lt;"&amp;AJ$4)))</f>
        <v/>
      </c>
      <c r="AU231" s="160">
        <f>AA231+MAX(0,MIN(AK231,'Debt Payoff'!$C$12-SUM($W231:$AF231)-SUMIFS($AG231:$AP231,$AG$4:$AP$4,"&lt;"&amp;AK$4)))</f>
        <v/>
      </c>
      <c r="AV231" s="160">
        <f>AB231+MAX(0,MIN(AL231,'Debt Payoff'!$C$12-SUM($W231:$AF231)-SUMIFS($AG231:$AP231,$AG$4:$AP$4,"&lt;"&amp;AL$4)))</f>
        <v/>
      </c>
      <c r="AW231" s="160">
        <f>AC231+MAX(0,MIN(AM231,'Debt Payoff'!$C$12-SUM($W231:$AF231)-SUMIFS($AG231:$AP231,$AG$4:$AP$4,"&lt;"&amp;AM$4)))</f>
        <v/>
      </c>
      <c r="AX231" s="160">
        <f>AD231+MAX(0,MIN(AN231,'Debt Payoff'!$C$12-SUM($W231:$AF231)-SUMIFS($AG231:$AP231,$AG$4:$AP$4,"&lt;"&amp;AN$4)))</f>
        <v/>
      </c>
      <c r="AY231" s="160">
        <f>AE231+MAX(0,MIN(AO231,'Debt Payoff'!$C$12-SUM($W231:$AF231)-SUMIFS($AG231:$AP231,$AG$4:$AP$4,"&lt;"&amp;AO$4)))</f>
        <v/>
      </c>
      <c r="AZ231" s="160">
        <f>AF231+MAX(0,MIN(AP231,'Debt Payoff'!$C$12-SUM($W231:$AF231)-SUMIFS($AG231:$AP231,$AG$4:$AP$4,"&lt;"&amp;AP$4)))</f>
        <v/>
      </c>
      <c r="BA231" s="160">
        <f>SUM(C231:L231)</f>
        <v/>
      </c>
      <c r="BB231" s="160">
        <f>SUM(AQ231:AZ231)</f>
        <v/>
      </c>
      <c r="BC231" s="160">
        <f>SUM(M231:V231)</f>
        <v/>
      </c>
    </row>
    <row r="232">
      <c r="A232" s="157" t="n">
        <v>227</v>
      </c>
      <c r="B232" s="159">
        <f>EDATE('Debt Payoff'!$C$6,226)</f>
        <v/>
      </c>
      <c r="C232" s="160">
        <f>MAX(0,ROUND(C231+M232-AQ232,2))</f>
        <v/>
      </c>
      <c r="D232" s="160">
        <f>MAX(0,ROUND(D231+N232-AR232,2))</f>
        <v/>
      </c>
      <c r="E232" s="160">
        <f>MAX(0,ROUND(E231+O232-AS232,2))</f>
        <v/>
      </c>
      <c r="F232" s="160">
        <f>MAX(0,ROUND(F231+P232-AT232,2))</f>
        <v/>
      </c>
      <c r="G232" s="160">
        <f>MAX(0,ROUND(G231+Q232-AU232,2))</f>
        <v/>
      </c>
      <c r="H232" s="160">
        <f>MAX(0,ROUND(H231+R232-AV232,2))</f>
        <v/>
      </c>
      <c r="I232" s="160">
        <f>MAX(0,ROUND(I231+S232-AW232,2))</f>
        <v/>
      </c>
      <c r="J232" s="160">
        <f>MAX(0,ROUND(J231+T232-AX232,2))</f>
        <v/>
      </c>
      <c r="K232" s="160">
        <f>MAX(0,ROUND(K231+U232-AY232,2))</f>
        <v/>
      </c>
      <c r="L232" s="160">
        <f>MAX(0,ROUND(L231+V232-AZ232,2))</f>
        <v/>
      </c>
      <c r="M232" s="160">
        <f>C231*N('Debt Payoff'!$D$15)/12</f>
        <v/>
      </c>
      <c r="N232" s="160">
        <f>D231*N('Debt Payoff'!$D$16)/12</f>
        <v/>
      </c>
      <c r="O232" s="160">
        <f>E231*N('Debt Payoff'!$D$17)/12</f>
        <v/>
      </c>
      <c r="P232" s="160">
        <f>F231*N('Debt Payoff'!$D$18)/12</f>
        <v/>
      </c>
      <c r="Q232" s="160">
        <f>G231*N('Debt Payoff'!$D$19)/12</f>
        <v/>
      </c>
      <c r="R232" s="160">
        <f>H231*N('Debt Payoff'!$D$20)/12</f>
        <v/>
      </c>
      <c r="S232" s="160">
        <f>I231*N('Debt Payoff'!$D$21)/12</f>
        <v/>
      </c>
      <c r="T232" s="160">
        <f>J231*N('Debt Payoff'!$D$22)/12</f>
        <v/>
      </c>
      <c r="U232" s="160">
        <f>K231*N('Debt Payoff'!$D$23)/12</f>
        <v/>
      </c>
      <c r="V232" s="160">
        <f>L231*N('Debt Payoff'!$D$24)/12</f>
        <v/>
      </c>
      <c r="W232" s="160">
        <f>MIN(N('Debt Payoff'!$E$15),C231+M232)</f>
        <v/>
      </c>
      <c r="X232" s="160">
        <f>MIN(N('Debt Payoff'!$E$16),D231+N232)</f>
        <v/>
      </c>
      <c r="Y232" s="160">
        <f>MIN(N('Debt Payoff'!$E$17),E231+O232)</f>
        <v/>
      </c>
      <c r="Z232" s="160">
        <f>MIN(N('Debt Payoff'!$E$18),F231+P232)</f>
        <v/>
      </c>
      <c r="AA232" s="160">
        <f>MIN(N('Debt Payoff'!$E$19),G231+Q232)</f>
        <v/>
      </c>
      <c r="AB232" s="160">
        <f>MIN(N('Debt Payoff'!$E$20),H231+R232)</f>
        <v/>
      </c>
      <c r="AC232" s="160">
        <f>MIN(N('Debt Payoff'!$E$21),I231+S232)</f>
        <v/>
      </c>
      <c r="AD232" s="160">
        <f>MIN(N('Debt Payoff'!$E$22),J231+T232)</f>
        <v/>
      </c>
      <c r="AE232" s="160">
        <f>MIN(N('Debt Payoff'!$E$23),K231+U232)</f>
        <v/>
      </c>
      <c r="AF232" s="160">
        <f>MIN(N('Debt Payoff'!$E$24),L231+V232)</f>
        <v/>
      </c>
      <c r="AG232" s="160">
        <f>C231+M232-W232</f>
        <v/>
      </c>
      <c r="AH232" s="160">
        <f>D231+N232-X232</f>
        <v/>
      </c>
      <c r="AI232" s="160">
        <f>E231+O232-Y232</f>
        <v/>
      </c>
      <c r="AJ232" s="160">
        <f>F231+P232-Z232</f>
        <v/>
      </c>
      <c r="AK232" s="160">
        <f>G231+Q232-AA232</f>
        <v/>
      </c>
      <c r="AL232" s="160">
        <f>H231+R232-AB232</f>
        <v/>
      </c>
      <c r="AM232" s="160">
        <f>I231+S232-AC232</f>
        <v/>
      </c>
      <c r="AN232" s="160">
        <f>J231+T232-AD232</f>
        <v/>
      </c>
      <c r="AO232" s="160">
        <f>K231+U232-AE232</f>
        <v/>
      </c>
      <c r="AP232" s="160">
        <f>L231+V232-AF232</f>
        <v/>
      </c>
      <c r="AQ232" s="160">
        <f>W232+MAX(0,MIN(AG232,'Debt Payoff'!$C$12-SUM($W232:$AF232)-SUMIFS($AG232:$AP232,$AG$4:$AP$4,"&lt;"&amp;AG$4)))</f>
        <v/>
      </c>
      <c r="AR232" s="160">
        <f>X232+MAX(0,MIN(AH232,'Debt Payoff'!$C$12-SUM($W232:$AF232)-SUMIFS($AG232:$AP232,$AG$4:$AP$4,"&lt;"&amp;AH$4)))</f>
        <v/>
      </c>
      <c r="AS232" s="160">
        <f>Y232+MAX(0,MIN(AI232,'Debt Payoff'!$C$12-SUM($W232:$AF232)-SUMIFS($AG232:$AP232,$AG$4:$AP$4,"&lt;"&amp;AI$4)))</f>
        <v/>
      </c>
      <c r="AT232" s="160">
        <f>Z232+MAX(0,MIN(AJ232,'Debt Payoff'!$C$12-SUM($W232:$AF232)-SUMIFS($AG232:$AP232,$AG$4:$AP$4,"&lt;"&amp;AJ$4)))</f>
        <v/>
      </c>
      <c r="AU232" s="160">
        <f>AA232+MAX(0,MIN(AK232,'Debt Payoff'!$C$12-SUM($W232:$AF232)-SUMIFS($AG232:$AP232,$AG$4:$AP$4,"&lt;"&amp;AK$4)))</f>
        <v/>
      </c>
      <c r="AV232" s="160">
        <f>AB232+MAX(0,MIN(AL232,'Debt Payoff'!$C$12-SUM($W232:$AF232)-SUMIFS($AG232:$AP232,$AG$4:$AP$4,"&lt;"&amp;AL$4)))</f>
        <v/>
      </c>
      <c r="AW232" s="160">
        <f>AC232+MAX(0,MIN(AM232,'Debt Payoff'!$C$12-SUM($W232:$AF232)-SUMIFS($AG232:$AP232,$AG$4:$AP$4,"&lt;"&amp;AM$4)))</f>
        <v/>
      </c>
      <c r="AX232" s="160">
        <f>AD232+MAX(0,MIN(AN232,'Debt Payoff'!$C$12-SUM($W232:$AF232)-SUMIFS($AG232:$AP232,$AG$4:$AP$4,"&lt;"&amp;AN$4)))</f>
        <v/>
      </c>
      <c r="AY232" s="160">
        <f>AE232+MAX(0,MIN(AO232,'Debt Payoff'!$C$12-SUM($W232:$AF232)-SUMIFS($AG232:$AP232,$AG$4:$AP$4,"&lt;"&amp;AO$4)))</f>
        <v/>
      </c>
      <c r="AZ232" s="160">
        <f>AF232+MAX(0,MIN(AP232,'Debt Payoff'!$C$12-SUM($W232:$AF232)-SUMIFS($AG232:$AP232,$AG$4:$AP$4,"&lt;"&amp;AP$4)))</f>
        <v/>
      </c>
      <c r="BA232" s="160">
        <f>SUM(C232:L232)</f>
        <v/>
      </c>
      <c r="BB232" s="160">
        <f>SUM(AQ232:AZ232)</f>
        <v/>
      </c>
      <c r="BC232" s="160">
        <f>SUM(M232:V232)</f>
        <v/>
      </c>
    </row>
    <row r="233">
      <c r="A233" s="157" t="n">
        <v>228</v>
      </c>
      <c r="B233" s="159">
        <f>EDATE('Debt Payoff'!$C$6,227)</f>
        <v/>
      </c>
      <c r="C233" s="160">
        <f>MAX(0,ROUND(C232+M233-AQ233,2))</f>
        <v/>
      </c>
      <c r="D233" s="160">
        <f>MAX(0,ROUND(D232+N233-AR233,2))</f>
        <v/>
      </c>
      <c r="E233" s="160">
        <f>MAX(0,ROUND(E232+O233-AS233,2))</f>
        <v/>
      </c>
      <c r="F233" s="160">
        <f>MAX(0,ROUND(F232+P233-AT233,2))</f>
        <v/>
      </c>
      <c r="G233" s="160">
        <f>MAX(0,ROUND(G232+Q233-AU233,2))</f>
        <v/>
      </c>
      <c r="H233" s="160">
        <f>MAX(0,ROUND(H232+R233-AV233,2))</f>
        <v/>
      </c>
      <c r="I233" s="160">
        <f>MAX(0,ROUND(I232+S233-AW233,2))</f>
        <v/>
      </c>
      <c r="J233" s="160">
        <f>MAX(0,ROUND(J232+T233-AX233,2))</f>
        <v/>
      </c>
      <c r="K233" s="160">
        <f>MAX(0,ROUND(K232+U233-AY233,2))</f>
        <v/>
      </c>
      <c r="L233" s="160">
        <f>MAX(0,ROUND(L232+V233-AZ233,2))</f>
        <v/>
      </c>
      <c r="M233" s="160">
        <f>C232*N('Debt Payoff'!$D$15)/12</f>
        <v/>
      </c>
      <c r="N233" s="160">
        <f>D232*N('Debt Payoff'!$D$16)/12</f>
        <v/>
      </c>
      <c r="O233" s="160">
        <f>E232*N('Debt Payoff'!$D$17)/12</f>
        <v/>
      </c>
      <c r="P233" s="160">
        <f>F232*N('Debt Payoff'!$D$18)/12</f>
        <v/>
      </c>
      <c r="Q233" s="160">
        <f>G232*N('Debt Payoff'!$D$19)/12</f>
        <v/>
      </c>
      <c r="R233" s="160">
        <f>H232*N('Debt Payoff'!$D$20)/12</f>
        <v/>
      </c>
      <c r="S233" s="160">
        <f>I232*N('Debt Payoff'!$D$21)/12</f>
        <v/>
      </c>
      <c r="T233" s="160">
        <f>J232*N('Debt Payoff'!$D$22)/12</f>
        <v/>
      </c>
      <c r="U233" s="160">
        <f>K232*N('Debt Payoff'!$D$23)/12</f>
        <v/>
      </c>
      <c r="V233" s="160">
        <f>L232*N('Debt Payoff'!$D$24)/12</f>
        <v/>
      </c>
      <c r="W233" s="160">
        <f>MIN(N('Debt Payoff'!$E$15),C232+M233)</f>
        <v/>
      </c>
      <c r="X233" s="160">
        <f>MIN(N('Debt Payoff'!$E$16),D232+N233)</f>
        <v/>
      </c>
      <c r="Y233" s="160">
        <f>MIN(N('Debt Payoff'!$E$17),E232+O233)</f>
        <v/>
      </c>
      <c r="Z233" s="160">
        <f>MIN(N('Debt Payoff'!$E$18),F232+P233)</f>
        <v/>
      </c>
      <c r="AA233" s="160">
        <f>MIN(N('Debt Payoff'!$E$19),G232+Q233)</f>
        <v/>
      </c>
      <c r="AB233" s="160">
        <f>MIN(N('Debt Payoff'!$E$20),H232+R233)</f>
        <v/>
      </c>
      <c r="AC233" s="160">
        <f>MIN(N('Debt Payoff'!$E$21),I232+S233)</f>
        <v/>
      </c>
      <c r="AD233" s="160">
        <f>MIN(N('Debt Payoff'!$E$22),J232+T233)</f>
        <v/>
      </c>
      <c r="AE233" s="160">
        <f>MIN(N('Debt Payoff'!$E$23),K232+U233)</f>
        <v/>
      </c>
      <c r="AF233" s="160">
        <f>MIN(N('Debt Payoff'!$E$24),L232+V233)</f>
        <v/>
      </c>
      <c r="AG233" s="160">
        <f>C232+M233-W233</f>
        <v/>
      </c>
      <c r="AH233" s="160">
        <f>D232+N233-X233</f>
        <v/>
      </c>
      <c r="AI233" s="160">
        <f>E232+O233-Y233</f>
        <v/>
      </c>
      <c r="AJ233" s="160">
        <f>F232+P233-Z233</f>
        <v/>
      </c>
      <c r="AK233" s="160">
        <f>G232+Q233-AA233</f>
        <v/>
      </c>
      <c r="AL233" s="160">
        <f>H232+R233-AB233</f>
        <v/>
      </c>
      <c r="AM233" s="160">
        <f>I232+S233-AC233</f>
        <v/>
      </c>
      <c r="AN233" s="160">
        <f>J232+T233-AD233</f>
        <v/>
      </c>
      <c r="AO233" s="160">
        <f>K232+U233-AE233</f>
        <v/>
      </c>
      <c r="AP233" s="160">
        <f>L232+V233-AF233</f>
        <v/>
      </c>
      <c r="AQ233" s="160">
        <f>W233+MAX(0,MIN(AG233,'Debt Payoff'!$C$12-SUM($W233:$AF233)-SUMIFS($AG233:$AP233,$AG$4:$AP$4,"&lt;"&amp;AG$4)))</f>
        <v/>
      </c>
      <c r="AR233" s="160">
        <f>X233+MAX(0,MIN(AH233,'Debt Payoff'!$C$12-SUM($W233:$AF233)-SUMIFS($AG233:$AP233,$AG$4:$AP$4,"&lt;"&amp;AH$4)))</f>
        <v/>
      </c>
      <c r="AS233" s="160">
        <f>Y233+MAX(0,MIN(AI233,'Debt Payoff'!$C$12-SUM($W233:$AF233)-SUMIFS($AG233:$AP233,$AG$4:$AP$4,"&lt;"&amp;AI$4)))</f>
        <v/>
      </c>
      <c r="AT233" s="160">
        <f>Z233+MAX(0,MIN(AJ233,'Debt Payoff'!$C$12-SUM($W233:$AF233)-SUMIFS($AG233:$AP233,$AG$4:$AP$4,"&lt;"&amp;AJ$4)))</f>
        <v/>
      </c>
      <c r="AU233" s="160">
        <f>AA233+MAX(0,MIN(AK233,'Debt Payoff'!$C$12-SUM($W233:$AF233)-SUMIFS($AG233:$AP233,$AG$4:$AP$4,"&lt;"&amp;AK$4)))</f>
        <v/>
      </c>
      <c r="AV233" s="160">
        <f>AB233+MAX(0,MIN(AL233,'Debt Payoff'!$C$12-SUM($W233:$AF233)-SUMIFS($AG233:$AP233,$AG$4:$AP$4,"&lt;"&amp;AL$4)))</f>
        <v/>
      </c>
      <c r="AW233" s="160">
        <f>AC233+MAX(0,MIN(AM233,'Debt Payoff'!$C$12-SUM($W233:$AF233)-SUMIFS($AG233:$AP233,$AG$4:$AP$4,"&lt;"&amp;AM$4)))</f>
        <v/>
      </c>
      <c r="AX233" s="160">
        <f>AD233+MAX(0,MIN(AN233,'Debt Payoff'!$C$12-SUM($W233:$AF233)-SUMIFS($AG233:$AP233,$AG$4:$AP$4,"&lt;"&amp;AN$4)))</f>
        <v/>
      </c>
      <c r="AY233" s="160">
        <f>AE233+MAX(0,MIN(AO233,'Debt Payoff'!$C$12-SUM($W233:$AF233)-SUMIFS($AG233:$AP233,$AG$4:$AP$4,"&lt;"&amp;AO$4)))</f>
        <v/>
      </c>
      <c r="AZ233" s="160">
        <f>AF233+MAX(0,MIN(AP233,'Debt Payoff'!$C$12-SUM($W233:$AF233)-SUMIFS($AG233:$AP233,$AG$4:$AP$4,"&lt;"&amp;AP$4)))</f>
        <v/>
      </c>
      <c r="BA233" s="160">
        <f>SUM(C233:L233)</f>
        <v/>
      </c>
      <c r="BB233" s="160">
        <f>SUM(AQ233:AZ233)</f>
        <v/>
      </c>
      <c r="BC233" s="160">
        <f>SUM(M233:V233)</f>
        <v/>
      </c>
    </row>
    <row r="234">
      <c r="A234" s="157" t="n">
        <v>229</v>
      </c>
      <c r="B234" s="159">
        <f>EDATE('Debt Payoff'!$C$6,228)</f>
        <v/>
      </c>
      <c r="C234" s="160">
        <f>MAX(0,ROUND(C233+M234-AQ234,2))</f>
        <v/>
      </c>
      <c r="D234" s="160">
        <f>MAX(0,ROUND(D233+N234-AR234,2))</f>
        <v/>
      </c>
      <c r="E234" s="160">
        <f>MAX(0,ROUND(E233+O234-AS234,2))</f>
        <v/>
      </c>
      <c r="F234" s="160">
        <f>MAX(0,ROUND(F233+P234-AT234,2))</f>
        <v/>
      </c>
      <c r="G234" s="160">
        <f>MAX(0,ROUND(G233+Q234-AU234,2))</f>
        <v/>
      </c>
      <c r="H234" s="160">
        <f>MAX(0,ROUND(H233+R234-AV234,2))</f>
        <v/>
      </c>
      <c r="I234" s="160">
        <f>MAX(0,ROUND(I233+S234-AW234,2))</f>
        <v/>
      </c>
      <c r="J234" s="160">
        <f>MAX(0,ROUND(J233+T234-AX234,2))</f>
        <v/>
      </c>
      <c r="K234" s="160">
        <f>MAX(0,ROUND(K233+U234-AY234,2))</f>
        <v/>
      </c>
      <c r="L234" s="160">
        <f>MAX(0,ROUND(L233+V234-AZ234,2))</f>
        <v/>
      </c>
      <c r="M234" s="160">
        <f>C233*N('Debt Payoff'!$D$15)/12</f>
        <v/>
      </c>
      <c r="N234" s="160">
        <f>D233*N('Debt Payoff'!$D$16)/12</f>
        <v/>
      </c>
      <c r="O234" s="160">
        <f>E233*N('Debt Payoff'!$D$17)/12</f>
        <v/>
      </c>
      <c r="P234" s="160">
        <f>F233*N('Debt Payoff'!$D$18)/12</f>
        <v/>
      </c>
      <c r="Q234" s="160">
        <f>G233*N('Debt Payoff'!$D$19)/12</f>
        <v/>
      </c>
      <c r="R234" s="160">
        <f>H233*N('Debt Payoff'!$D$20)/12</f>
        <v/>
      </c>
      <c r="S234" s="160">
        <f>I233*N('Debt Payoff'!$D$21)/12</f>
        <v/>
      </c>
      <c r="T234" s="160">
        <f>J233*N('Debt Payoff'!$D$22)/12</f>
        <v/>
      </c>
      <c r="U234" s="160">
        <f>K233*N('Debt Payoff'!$D$23)/12</f>
        <v/>
      </c>
      <c r="V234" s="160">
        <f>L233*N('Debt Payoff'!$D$24)/12</f>
        <v/>
      </c>
      <c r="W234" s="160">
        <f>MIN(N('Debt Payoff'!$E$15),C233+M234)</f>
        <v/>
      </c>
      <c r="X234" s="160">
        <f>MIN(N('Debt Payoff'!$E$16),D233+N234)</f>
        <v/>
      </c>
      <c r="Y234" s="160">
        <f>MIN(N('Debt Payoff'!$E$17),E233+O234)</f>
        <v/>
      </c>
      <c r="Z234" s="160">
        <f>MIN(N('Debt Payoff'!$E$18),F233+P234)</f>
        <v/>
      </c>
      <c r="AA234" s="160">
        <f>MIN(N('Debt Payoff'!$E$19),G233+Q234)</f>
        <v/>
      </c>
      <c r="AB234" s="160">
        <f>MIN(N('Debt Payoff'!$E$20),H233+R234)</f>
        <v/>
      </c>
      <c r="AC234" s="160">
        <f>MIN(N('Debt Payoff'!$E$21),I233+S234)</f>
        <v/>
      </c>
      <c r="AD234" s="160">
        <f>MIN(N('Debt Payoff'!$E$22),J233+T234)</f>
        <v/>
      </c>
      <c r="AE234" s="160">
        <f>MIN(N('Debt Payoff'!$E$23),K233+U234)</f>
        <v/>
      </c>
      <c r="AF234" s="160">
        <f>MIN(N('Debt Payoff'!$E$24),L233+V234)</f>
        <v/>
      </c>
      <c r="AG234" s="160">
        <f>C233+M234-W234</f>
        <v/>
      </c>
      <c r="AH234" s="160">
        <f>D233+N234-X234</f>
        <v/>
      </c>
      <c r="AI234" s="160">
        <f>E233+O234-Y234</f>
        <v/>
      </c>
      <c r="AJ234" s="160">
        <f>F233+P234-Z234</f>
        <v/>
      </c>
      <c r="AK234" s="160">
        <f>G233+Q234-AA234</f>
        <v/>
      </c>
      <c r="AL234" s="160">
        <f>H233+R234-AB234</f>
        <v/>
      </c>
      <c r="AM234" s="160">
        <f>I233+S234-AC234</f>
        <v/>
      </c>
      <c r="AN234" s="160">
        <f>J233+T234-AD234</f>
        <v/>
      </c>
      <c r="AO234" s="160">
        <f>K233+U234-AE234</f>
        <v/>
      </c>
      <c r="AP234" s="160">
        <f>L233+V234-AF234</f>
        <v/>
      </c>
      <c r="AQ234" s="160">
        <f>W234+MAX(0,MIN(AG234,'Debt Payoff'!$C$12-SUM($W234:$AF234)-SUMIFS($AG234:$AP234,$AG$4:$AP$4,"&lt;"&amp;AG$4)))</f>
        <v/>
      </c>
      <c r="AR234" s="160">
        <f>X234+MAX(0,MIN(AH234,'Debt Payoff'!$C$12-SUM($W234:$AF234)-SUMIFS($AG234:$AP234,$AG$4:$AP$4,"&lt;"&amp;AH$4)))</f>
        <v/>
      </c>
      <c r="AS234" s="160">
        <f>Y234+MAX(0,MIN(AI234,'Debt Payoff'!$C$12-SUM($W234:$AF234)-SUMIFS($AG234:$AP234,$AG$4:$AP$4,"&lt;"&amp;AI$4)))</f>
        <v/>
      </c>
      <c r="AT234" s="160">
        <f>Z234+MAX(0,MIN(AJ234,'Debt Payoff'!$C$12-SUM($W234:$AF234)-SUMIFS($AG234:$AP234,$AG$4:$AP$4,"&lt;"&amp;AJ$4)))</f>
        <v/>
      </c>
      <c r="AU234" s="160">
        <f>AA234+MAX(0,MIN(AK234,'Debt Payoff'!$C$12-SUM($W234:$AF234)-SUMIFS($AG234:$AP234,$AG$4:$AP$4,"&lt;"&amp;AK$4)))</f>
        <v/>
      </c>
      <c r="AV234" s="160">
        <f>AB234+MAX(0,MIN(AL234,'Debt Payoff'!$C$12-SUM($W234:$AF234)-SUMIFS($AG234:$AP234,$AG$4:$AP$4,"&lt;"&amp;AL$4)))</f>
        <v/>
      </c>
      <c r="AW234" s="160">
        <f>AC234+MAX(0,MIN(AM234,'Debt Payoff'!$C$12-SUM($W234:$AF234)-SUMIFS($AG234:$AP234,$AG$4:$AP$4,"&lt;"&amp;AM$4)))</f>
        <v/>
      </c>
      <c r="AX234" s="160">
        <f>AD234+MAX(0,MIN(AN234,'Debt Payoff'!$C$12-SUM($W234:$AF234)-SUMIFS($AG234:$AP234,$AG$4:$AP$4,"&lt;"&amp;AN$4)))</f>
        <v/>
      </c>
      <c r="AY234" s="160">
        <f>AE234+MAX(0,MIN(AO234,'Debt Payoff'!$C$12-SUM($W234:$AF234)-SUMIFS($AG234:$AP234,$AG$4:$AP$4,"&lt;"&amp;AO$4)))</f>
        <v/>
      </c>
      <c r="AZ234" s="160">
        <f>AF234+MAX(0,MIN(AP234,'Debt Payoff'!$C$12-SUM($W234:$AF234)-SUMIFS($AG234:$AP234,$AG$4:$AP$4,"&lt;"&amp;AP$4)))</f>
        <v/>
      </c>
      <c r="BA234" s="160">
        <f>SUM(C234:L234)</f>
        <v/>
      </c>
      <c r="BB234" s="160">
        <f>SUM(AQ234:AZ234)</f>
        <v/>
      </c>
      <c r="BC234" s="160">
        <f>SUM(M234:V234)</f>
        <v/>
      </c>
    </row>
    <row r="235">
      <c r="A235" s="157" t="n">
        <v>230</v>
      </c>
      <c r="B235" s="159">
        <f>EDATE('Debt Payoff'!$C$6,229)</f>
        <v/>
      </c>
      <c r="C235" s="160">
        <f>MAX(0,ROUND(C234+M235-AQ235,2))</f>
        <v/>
      </c>
      <c r="D235" s="160">
        <f>MAX(0,ROUND(D234+N235-AR235,2))</f>
        <v/>
      </c>
      <c r="E235" s="160">
        <f>MAX(0,ROUND(E234+O235-AS235,2))</f>
        <v/>
      </c>
      <c r="F235" s="160">
        <f>MAX(0,ROUND(F234+P235-AT235,2))</f>
        <v/>
      </c>
      <c r="G235" s="160">
        <f>MAX(0,ROUND(G234+Q235-AU235,2))</f>
        <v/>
      </c>
      <c r="H235" s="160">
        <f>MAX(0,ROUND(H234+R235-AV235,2))</f>
        <v/>
      </c>
      <c r="I235" s="160">
        <f>MAX(0,ROUND(I234+S235-AW235,2))</f>
        <v/>
      </c>
      <c r="J235" s="160">
        <f>MAX(0,ROUND(J234+T235-AX235,2))</f>
        <v/>
      </c>
      <c r="K235" s="160">
        <f>MAX(0,ROUND(K234+U235-AY235,2))</f>
        <v/>
      </c>
      <c r="L235" s="160">
        <f>MAX(0,ROUND(L234+V235-AZ235,2))</f>
        <v/>
      </c>
      <c r="M235" s="160">
        <f>C234*N('Debt Payoff'!$D$15)/12</f>
        <v/>
      </c>
      <c r="N235" s="160">
        <f>D234*N('Debt Payoff'!$D$16)/12</f>
        <v/>
      </c>
      <c r="O235" s="160">
        <f>E234*N('Debt Payoff'!$D$17)/12</f>
        <v/>
      </c>
      <c r="P235" s="160">
        <f>F234*N('Debt Payoff'!$D$18)/12</f>
        <v/>
      </c>
      <c r="Q235" s="160">
        <f>G234*N('Debt Payoff'!$D$19)/12</f>
        <v/>
      </c>
      <c r="R235" s="160">
        <f>H234*N('Debt Payoff'!$D$20)/12</f>
        <v/>
      </c>
      <c r="S235" s="160">
        <f>I234*N('Debt Payoff'!$D$21)/12</f>
        <v/>
      </c>
      <c r="T235" s="160">
        <f>J234*N('Debt Payoff'!$D$22)/12</f>
        <v/>
      </c>
      <c r="U235" s="160">
        <f>K234*N('Debt Payoff'!$D$23)/12</f>
        <v/>
      </c>
      <c r="V235" s="160">
        <f>L234*N('Debt Payoff'!$D$24)/12</f>
        <v/>
      </c>
      <c r="W235" s="160">
        <f>MIN(N('Debt Payoff'!$E$15),C234+M235)</f>
        <v/>
      </c>
      <c r="X235" s="160">
        <f>MIN(N('Debt Payoff'!$E$16),D234+N235)</f>
        <v/>
      </c>
      <c r="Y235" s="160">
        <f>MIN(N('Debt Payoff'!$E$17),E234+O235)</f>
        <v/>
      </c>
      <c r="Z235" s="160">
        <f>MIN(N('Debt Payoff'!$E$18),F234+P235)</f>
        <v/>
      </c>
      <c r="AA235" s="160">
        <f>MIN(N('Debt Payoff'!$E$19),G234+Q235)</f>
        <v/>
      </c>
      <c r="AB235" s="160">
        <f>MIN(N('Debt Payoff'!$E$20),H234+R235)</f>
        <v/>
      </c>
      <c r="AC235" s="160">
        <f>MIN(N('Debt Payoff'!$E$21),I234+S235)</f>
        <v/>
      </c>
      <c r="AD235" s="160">
        <f>MIN(N('Debt Payoff'!$E$22),J234+T235)</f>
        <v/>
      </c>
      <c r="AE235" s="160">
        <f>MIN(N('Debt Payoff'!$E$23),K234+U235)</f>
        <v/>
      </c>
      <c r="AF235" s="160">
        <f>MIN(N('Debt Payoff'!$E$24),L234+V235)</f>
        <v/>
      </c>
      <c r="AG235" s="160">
        <f>C234+M235-W235</f>
        <v/>
      </c>
      <c r="AH235" s="160">
        <f>D234+N235-X235</f>
        <v/>
      </c>
      <c r="AI235" s="160">
        <f>E234+O235-Y235</f>
        <v/>
      </c>
      <c r="AJ235" s="160">
        <f>F234+P235-Z235</f>
        <v/>
      </c>
      <c r="AK235" s="160">
        <f>G234+Q235-AA235</f>
        <v/>
      </c>
      <c r="AL235" s="160">
        <f>H234+R235-AB235</f>
        <v/>
      </c>
      <c r="AM235" s="160">
        <f>I234+S235-AC235</f>
        <v/>
      </c>
      <c r="AN235" s="160">
        <f>J234+T235-AD235</f>
        <v/>
      </c>
      <c r="AO235" s="160">
        <f>K234+U235-AE235</f>
        <v/>
      </c>
      <c r="AP235" s="160">
        <f>L234+V235-AF235</f>
        <v/>
      </c>
      <c r="AQ235" s="160">
        <f>W235+MAX(0,MIN(AG235,'Debt Payoff'!$C$12-SUM($W235:$AF235)-SUMIFS($AG235:$AP235,$AG$4:$AP$4,"&lt;"&amp;AG$4)))</f>
        <v/>
      </c>
      <c r="AR235" s="160">
        <f>X235+MAX(0,MIN(AH235,'Debt Payoff'!$C$12-SUM($W235:$AF235)-SUMIFS($AG235:$AP235,$AG$4:$AP$4,"&lt;"&amp;AH$4)))</f>
        <v/>
      </c>
      <c r="AS235" s="160">
        <f>Y235+MAX(0,MIN(AI235,'Debt Payoff'!$C$12-SUM($W235:$AF235)-SUMIFS($AG235:$AP235,$AG$4:$AP$4,"&lt;"&amp;AI$4)))</f>
        <v/>
      </c>
      <c r="AT235" s="160">
        <f>Z235+MAX(0,MIN(AJ235,'Debt Payoff'!$C$12-SUM($W235:$AF235)-SUMIFS($AG235:$AP235,$AG$4:$AP$4,"&lt;"&amp;AJ$4)))</f>
        <v/>
      </c>
      <c r="AU235" s="160">
        <f>AA235+MAX(0,MIN(AK235,'Debt Payoff'!$C$12-SUM($W235:$AF235)-SUMIFS($AG235:$AP235,$AG$4:$AP$4,"&lt;"&amp;AK$4)))</f>
        <v/>
      </c>
      <c r="AV235" s="160">
        <f>AB235+MAX(0,MIN(AL235,'Debt Payoff'!$C$12-SUM($W235:$AF235)-SUMIFS($AG235:$AP235,$AG$4:$AP$4,"&lt;"&amp;AL$4)))</f>
        <v/>
      </c>
      <c r="AW235" s="160">
        <f>AC235+MAX(0,MIN(AM235,'Debt Payoff'!$C$12-SUM($W235:$AF235)-SUMIFS($AG235:$AP235,$AG$4:$AP$4,"&lt;"&amp;AM$4)))</f>
        <v/>
      </c>
      <c r="AX235" s="160">
        <f>AD235+MAX(0,MIN(AN235,'Debt Payoff'!$C$12-SUM($W235:$AF235)-SUMIFS($AG235:$AP235,$AG$4:$AP$4,"&lt;"&amp;AN$4)))</f>
        <v/>
      </c>
      <c r="AY235" s="160">
        <f>AE235+MAX(0,MIN(AO235,'Debt Payoff'!$C$12-SUM($W235:$AF235)-SUMIFS($AG235:$AP235,$AG$4:$AP$4,"&lt;"&amp;AO$4)))</f>
        <v/>
      </c>
      <c r="AZ235" s="160">
        <f>AF235+MAX(0,MIN(AP235,'Debt Payoff'!$C$12-SUM($W235:$AF235)-SUMIFS($AG235:$AP235,$AG$4:$AP$4,"&lt;"&amp;AP$4)))</f>
        <v/>
      </c>
      <c r="BA235" s="160">
        <f>SUM(C235:L235)</f>
        <v/>
      </c>
      <c r="BB235" s="160">
        <f>SUM(AQ235:AZ235)</f>
        <v/>
      </c>
      <c r="BC235" s="160">
        <f>SUM(M235:V235)</f>
        <v/>
      </c>
    </row>
    <row r="236">
      <c r="A236" s="157" t="n">
        <v>231</v>
      </c>
      <c r="B236" s="159">
        <f>EDATE('Debt Payoff'!$C$6,230)</f>
        <v/>
      </c>
      <c r="C236" s="160">
        <f>MAX(0,ROUND(C235+M236-AQ236,2))</f>
        <v/>
      </c>
      <c r="D236" s="160">
        <f>MAX(0,ROUND(D235+N236-AR236,2))</f>
        <v/>
      </c>
      <c r="E236" s="160">
        <f>MAX(0,ROUND(E235+O236-AS236,2))</f>
        <v/>
      </c>
      <c r="F236" s="160">
        <f>MAX(0,ROUND(F235+P236-AT236,2))</f>
        <v/>
      </c>
      <c r="G236" s="160">
        <f>MAX(0,ROUND(G235+Q236-AU236,2))</f>
        <v/>
      </c>
      <c r="H236" s="160">
        <f>MAX(0,ROUND(H235+R236-AV236,2))</f>
        <v/>
      </c>
      <c r="I236" s="160">
        <f>MAX(0,ROUND(I235+S236-AW236,2))</f>
        <v/>
      </c>
      <c r="J236" s="160">
        <f>MAX(0,ROUND(J235+T236-AX236,2))</f>
        <v/>
      </c>
      <c r="K236" s="160">
        <f>MAX(0,ROUND(K235+U236-AY236,2))</f>
        <v/>
      </c>
      <c r="L236" s="160">
        <f>MAX(0,ROUND(L235+V236-AZ236,2))</f>
        <v/>
      </c>
      <c r="M236" s="160">
        <f>C235*N('Debt Payoff'!$D$15)/12</f>
        <v/>
      </c>
      <c r="N236" s="160">
        <f>D235*N('Debt Payoff'!$D$16)/12</f>
        <v/>
      </c>
      <c r="O236" s="160">
        <f>E235*N('Debt Payoff'!$D$17)/12</f>
        <v/>
      </c>
      <c r="P236" s="160">
        <f>F235*N('Debt Payoff'!$D$18)/12</f>
        <v/>
      </c>
      <c r="Q236" s="160">
        <f>G235*N('Debt Payoff'!$D$19)/12</f>
        <v/>
      </c>
      <c r="R236" s="160">
        <f>H235*N('Debt Payoff'!$D$20)/12</f>
        <v/>
      </c>
      <c r="S236" s="160">
        <f>I235*N('Debt Payoff'!$D$21)/12</f>
        <v/>
      </c>
      <c r="T236" s="160">
        <f>J235*N('Debt Payoff'!$D$22)/12</f>
        <v/>
      </c>
      <c r="U236" s="160">
        <f>K235*N('Debt Payoff'!$D$23)/12</f>
        <v/>
      </c>
      <c r="V236" s="160">
        <f>L235*N('Debt Payoff'!$D$24)/12</f>
        <v/>
      </c>
      <c r="W236" s="160">
        <f>MIN(N('Debt Payoff'!$E$15),C235+M236)</f>
        <v/>
      </c>
      <c r="X236" s="160">
        <f>MIN(N('Debt Payoff'!$E$16),D235+N236)</f>
        <v/>
      </c>
      <c r="Y236" s="160">
        <f>MIN(N('Debt Payoff'!$E$17),E235+O236)</f>
        <v/>
      </c>
      <c r="Z236" s="160">
        <f>MIN(N('Debt Payoff'!$E$18),F235+P236)</f>
        <v/>
      </c>
      <c r="AA236" s="160">
        <f>MIN(N('Debt Payoff'!$E$19),G235+Q236)</f>
        <v/>
      </c>
      <c r="AB236" s="160">
        <f>MIN(N('Debt Payoff'!$E$20),H235+R236)</f>
        <v/>
      </c>
      <c r="AC236" s="160">
        <f>MIN(N('Debt Payoff'!$E$21),I235+S236)</f>
        <v/>
      </c>
      <c r="AD236" s="160">
        <f>MIN(N('Debt Payoff'!$E$22),J235+T236)</f>
        <v/>
      </c>
      <c r="AE236" s="160">
        <f>MIN(N('Debt Payoff'!$E$23),K235+U236)</f>
        <v/>
      </c>
      <c r="AF236" s="160">
        <f>MIN(N('Debt Payoff'!$E$24),L235+V236)</f>
        <v/>
      </c>
      <c r="AG236" s="160">
        <f>C235+M236-W236</f>
        <v/>
      </c>
      <c r="AH236" s="160">
        <f>D235+N236-X236</f>
        <v/>
      </c>
      <c r="AI236" s="160">
        <f>E235+O236-Y236</f>
        <v/>
      </c>
      <c r="AJ236" s="160">
        <f>F235+P236-Z236</f>
        <v/>
      </c>
      <c r="AK236" s="160">
        <f>G235+Q236-AA236</f>
        <v/>
      </c>
      <c r="AL236" s="160">
        <f>H235+R236-AB236</f>
        <v/>
      </c>
      <c r="AM236" s="160">
        <f>I235+S236-AC236</f>
        <v/>
      </c>
      <c r="AN236" s="160">
        <f>J235+T236-AD236</f>
        <v/>
      </c>
      <c r="AO236" s="160">
        <f>K235+U236-AE236</f>
        <v/>
      </c>
      <c r="AP236" s="160">
        <f>L235+V236-AF236</f>
        <v/>
      </c>
      <c r="AQ236" s="160">
        <f>W236+MAX(0,MIN(AG236,'Debt Payoff'!$C$12-SUM($W236:$AF236)-SUMIFS($AG236:$AP236,$AG$4:$AP$4,"&lt;"&amp;AG$4)))</f>
        <v/>
      </c>
      <c r="AR236" s="160">
        <f>X236+MAX(0,MIN(AH236,'Debt Payoff'!$C$12-SUM($W236:$AF236)-SUMIFS($AG236:$AP236,$AG$4:$AP$4,"&lt;"&amp;AH$4)))</f>
        <v/>
      </c>
      <c r="AS236" s="160">
        <f>Y236+MAX(0,MIN(AI236,'Debt Payoff'!$C$12-SUM($W236:$AF236)-SUMIFS($AG236:$AP236,$AG$4:$AP$4,"&lt;"&amp;AI$4)))</f>
        <v/>
      </c>
      <c r="AT236" s="160">
        <f>Z236+MAX(0,MIN(AJ236,'Debt Payoff'!$C$12-SUM($W236:$AF236)-SUMIFS($AG236:$AP236,$AG$4:$AP$4,"&lt;"&amp;AJ$4)))</f>
        <v/>
      </c>
      <c r="AU236" s="160">
        <f>AA236+MAX(0,MIN(AK236,'Debt Payoff'!$C$12-SUM($W236:$AF236)-SUMIFS($AG236:$AP236,$AG$4:$AP$4,"&lt;"&amp;AK$4)))</f>
        <v/>
      </c>
      <c r="AV236" s="160">
        <f>AB236+MAX(0,MIN(AL236,'Debt Payoff'!$C$12-SUM($W236:$AF236)-SUMIFS($AG236:$AP236,$AG$4:$AP$4,"&lt;"&amp;AL$4)))</f>
        <v/>
      </c>
      <c r="AW236" s="160">
        <f>AC236+MAX(0,MIN(AM236,'Debt Payoff'!$C$12-SUM($W236:$AF236)-SUMIFS($AG236:$AP236,$AG$4:$AP$4,"&lt;"&amp;AM$4)))</f>
        <v/>
      </c>
      <c r="AX236" s="160">
        <f>AD236+MAX(0,MIN(AN236,'Debt Payoff'!$C$12-SUM($W236:$AF236)-SUMIFS($AG236:$AP236,$AG$4:$AP$4,"&lt;"&amp;AN$4)))</f>
        <v/>
      </c>
      <c r="AY236" s="160">
        <f>AE236+MAX(0,MIN(AO236,'Debt Payoff'!$C$12-SUM($W236:$AF236)-SUMIFS($AG236:$AP236,$AG$4:$AP$4,"&lt;"&amp;AO$4)))</f>
        <v/>
      </c>
      <c r="AZ236" s="160">
        <f>AF236+MAX(0,MIN(AP236,'Debt Payoff'!$C$12-SUM($W236:$AF236)-SUMIFS($AG236:$AP236,$AG$4:$AP$4,"&lt;"&amp;AP$4)))</f>
        <v/>
      </c>
      <c r="BA236" s="160">
        <f>SUM(C236:L236)</f>
        <v/>
      </c>
      <c r="BB236" s="160">
        <f>SUM(AQ236:AZ236)</f>
        <v/>
      </c>
      <c r="BC236" s="160">
        <f>SUM(M236:V236)</f>
        <v/>
      </c>
    </row>
    <row r="237">
      <c r="A237" s="157" t="n">
        <v>232</v>
      </c>
      <c r="B237" s="159">
        <f>EDATE('Debt Payoff'!$C$6,231)</f>
        <v/>
      </c>
      <c r="C237" s="160">
        <f>MAX(0,ROUND(C236+M237-AQ237,2))</f>
        <v/>
      </c>
      <c r="D237" s="160">
        <f>MAX(0,ROUND(D236+N237-AR237,2))</f>
        <v/>
      </c>
      <c r="E237" s="160">
        <f>MAX(0,ROUND(E236+O237-AS237,2))</f>
        <v/>
      </c>
      <c r="F237" s="160">
        <f>MAX(0,ROUND(F236+P237-AT237,2))</f>
        <v/>
      </c>
      <c r="G237" s="160">
        <f>MAX(0,ROUND(G236+Q237-AU237,2))</f>
        <v/>
      </c>
      <c r="H237" s="160">
        <f>MAX(0,ROUND(H236+R237-AV237,2))</f>
        <v/>
      </c>
      <c r="I237" s="160">
        <f>MAX(0,ROUND(I236+S237-AW237,2))</f>
        <v/>
      </c>
      <c r="J237" s="160">
        <f>MAX(0,ROUND(J236+T237-AX237,2))</f>
        <v/>
      </c>
      <c r="K237" s="160">
        <f>MAX(0,ROUND(K236+U237-AY237,2))</f>
        <v/>
      </c>
      <c r="L237" s="160">
        <f>MAX(0,ROUND(L236+V237-AZ237,2))</f>
        <v/>
      </c>
      <c r="M237" s="160">
        <f>C236*N('Debt Payoff'!$D$15)/12</f>
        <v/>
      </c>
      <c r="N237" s="160">
        <f>D236*N('Debt Payoff'!$D$16)/12</f>
        <v/>
      </c>
      <c r="O237" s="160">
        <f>E236*N('Debt Payoff'!$D$17)/12</f>
        <v/>
      </c>
      <c r="P237" s="160">
        <f>F236*N('Debt Payoff'!$D$18)/12</f>
        <v/>
      </c>
      <c r="Q237" s="160">
        <f>G236*N('Debt Payoff'!$D$19)/12</f>
        <v/>
      </c>
      <c r="R237" s="160">
        <f>H236*N('Debt Payoff'!$D$20)/12</f>
        <v/>
      </c>
      <c r="S237" s="160">
        <f>I236*N('Debt Payoff'!$D$21)/12</f>
        <v/>
      </c>
      <c r="T237" s="160">
        <f>J236*N('Debt Payoff'!$D$22)/12</f>
        <v/>
      </c>
      <c r="U237" s="160">
        <f>K236*N('Debt Payoff'!$D$23)/12</f>
        <v/>
      </c>
      <c r="V237" s="160">
        <f>L236*N('Debt Payoff'!$D$24)/12</f>
        <v/>
      </c>
      <c r="W237" s="160">
        <f>MIN(N('Debt Payoff'!$E$15),C236+M237)</f>
        <v/>
      </c>
      <c r="X237" s="160">
        <f>MIN(N('Debt Payoff'!$E$16),D236+N237)</f>
        <v/>
      </c>
      <c r="Y237" s="160">
        <f>MIN(N('Debt Payoff'!$E$17),E236+O237)</f>
        <v/>
      </c>
      <c r="Z237" s="160">
        <f>MIN(N('Debt Payoff'!$E$18),F236+P237)</f>
        <v/>
      </c>
      <c r="AA237" s="160">
        <f>MIN(N('Debt Payoff'!$E$19),G236+Q237)</f>
        <v/>
      </c>
      <c r="AB237" s="160">
        <f>MIN(N('Debt Payoff'!$E$20),H236+R237)</f>
        <v/>
      </c>
      <c r="AC237" s="160">
        <f>MIN(N('Debt Payoff'!$E$21),I236+S237)</f>
        <v/>
      </c>
      <c r="AD237" s="160">
        <f>MIN(N('Debt Payoff'!$E$22),J236+T237)</f>
        <v/>
      </c>
      <c r="AE237" s="160">
        <f>MIN(N('Debt Payoff'!$E$23),K236+U237)</f>
        <v/>
      </c>
      <c r="AF237" s="160">
        <f>MIN(N('Debt Payoff'!$E$24),L236+V237)</f>
        <v/>
      </c>
      <c r="AG237" s="160">
        <f>C236+M237-W237</f>
        <v/>
      </c>
      <c r="AH237" s="160">
        <f>D236+N237-X237</f>
        <v/>
      </c>
      <c r="AI237" s="160">
        <f>E236+O237-Y237</f>
        <v/>
      </c>
      <c r="AJ237" s="160">
        <f>F236+P237-Z237</f>
        <v/>
      </c>
      <c r="AK237" s="160">
        <f>G236+Q237-AA237</f>
        <v/>
      </c>
      <c r="AL237" s="160">
        <f>H236+R237-AB237</f>
        <v/>
      </c>
      <c r="AM237" s="160">
        <f>I236+S237-AC237</f>
        <v/>
      </c>
      <c r="AN237" s="160">
        <f>J236+T237-AD237</f>
        <v/>
      </c>
      <c r="AO237" s="160">
        <f>K236+U237-AE237</f>
        <v/>
      </c>
      <c r="AP237" s="160">
        <f>L236+V237-AF237</f>
        <v/>
      </c>
      <c r="AQ237" s="160">
        <f>W237+MAX(0,MIN(AG237,'Debt Payoff'!$C$12-SUM($W237:$AF237)-SUMIFS($AG237:$AP237,$AG$4:$AP$4,"&lt;"&amp;AG$4)))</f>
        <v/>
      </c>
      <c r="AR237" s="160">
        <f>X237+MAX(0,MIN(AH237,'Debt Payoff'!$C$12-SUM($W237:$AF237)-SUMIFS($AG237:$AP237,$AG$4:$AP$4,"&lt;"&amp;AH$4)))</f>
        <v/>
      </c>
      <c r="AS237" s="160">
        <f>Y237+MAX(0,MIN(AI237,'Debt Payoff'!$C$12-SUM($W237:$AF237)-SUMIFS($AG237:$AP237,$AG$4:$AP$4,"&lt;"&amp;AI$4)))</f>
        <v/>
      </c>
      <c r="AT237" s="160">
        <f>Z237+MAX(0,MIN(AJ237,'Debt Payoff'!$C$12-SUM($W237:$AF237)-SUMIFS($AG237:$AP237,$AG$4:$AP$4,"&lt;"&amp;AJ$4)))</f>
        <v/>
      </c>
      <c r="AU237" s="160">
        <f>AA237+MAX(0,MIN(AK237,'Debt Payoff'!$C$12-SUM($W237:$AF237)-SUMIFS($AG237:$AP237,$AG$4:$AP$4,"&lt;"&amp;AK$4)))</f>
        <v/>
      </c>
      <c r="AV237" s="160">
        <f>AB237+MAX(0,MIN(AL237,'Debt Payoff'!$C$12-SUM($W237:$AF237)-SUMIFS($AG237:$AP237,$AG$4:$AP$4,"&lt;"&amp;AL$4)))</f>
        <v/>
      </c>
      <c r="AW237" s="160">
        <f>AC237+MAX(0,MIN(AM237,'Debt Payoff'!$C$12-SUM($W237:$AF237)-SUMIFS($AG237:$AP237,$AG$4:$AP$4,"&lt;"&amp;AM$4)))</f>
        <v/>
      </c>
      <c r="AX237" s="160">
        <f>AD237+MAX(0,MIN(AN237,'Debt Payoff'!$C$12-SUM($W237:$AF237)-SUMIFS($AG237:$AP237,$AG$4:$AP$4,"&lt;"&amp;AN$4)))</f>
        <v/>
      </c>
      <c r="AY237" s="160">
        <f>AE237+MAX(0,MIN(AO237,'Debt Payoff'!$C$12-SUM($W237:$AF237)-SUMIFS($AG237:$AP237,$AG$4:$AP$4,"&lt;"&amp;AO$4)))</f>
        <v/>
      </c>
      <c r="AZ237" s="160">
        <f>AF237+MAX(0,MIN(AP237,'Debt Payoff'!$C$12-SUM($W237:$AF237)-SUMIFS($AG237:$AP237,$AG$4:$AP$4,"&lt;"&amp;AP$4)))</f>
        <v/>
      </c>
      <c r="BA237" s="160">
        <f>SUM(C237:L237)</f>
        <v/>
      </c>
      <c r="BB237" s="160">
        <f>SUM(AQ237:AZ237)</f>
        <v/>
      </c>
      <c r="BC237" s="160">
        <f>SUM(M237:V237)</f>
        <v/>
      </c>
    </row>
    <row r="238">
      <c r="A238" s="157" t="n">
        <v>233</v>
      </c>
      <c r="B238" s="159">
        <f>EDATE('Debt Payoff'!$C$6,232)</f>
        <v/>
      </c>
      <c r="C238" s="160">
        <f>MAX(0,ROUND(C237+M238-AQ238,2))</f>
        <v/>
      </c>
      <c r="D238" s="160">
        <f>MAX(0,ROUND(D237+N238-AR238,2))</f>
        <v/>
      </c>
      <c r="E238" s="160">
        <f>MAX(0,ROUND(E237+O238-AS238,2))</f>
        <v/>
      </c>
      <c r="F238" s="160">
        <f>MAX(0,ROUND(F237+P238-AT238,2))</f>
        <v/>
      </c>
      <c r="G238" s="160">
        <f>MAX(0,ROUND(G237+Q238-AU238,2))</f>
        <v/>
      </c>
      <c r="H238" s="160">
        <f>MAX(0,ROUND(H237+R238-AV238,2))</f>
        <v/>
      </c>
      <c r="I238" s="160">
        <f>MAX(0,ROUND(I237+S238-AW238,2))</f>
        <v/>
      </c>
      <c r="J238" s="160">
        <f>MAX(0,ROUND(J237+T238-AX238,2))</f>
        <v/>
      </c>
      <c r="K238" s="160">
        <f>MAX(0,ROUND(K237+U238-AY238,2))</f>
        <v/>
      </c>
      <c r="L238" s="160">
        <f>MAX(0,ROUND(L237+V238-AZ238,2))</f>
        <v/>
      </c>
      <c r="M238" s="160">
        <f>C237*N('Debt Payoff'!$D$15)/12</f>
        <v/>
      </c>
      <c r="N238" s="160">
        <f>D237*N('Debt Payoff'!$D$16)/12</f>
        <v/>
      </c>
      <c r="O238" s="160">
        <f>E237*N('Debt Payoff'!$D$17)/12</f>
        <v/>
      </c>
      <c r="P238" s="160">
        <f>F237*N('Debt Payoff'!$D$18)/12</f>
        <v/>
      </c>
      <c r="Q238" s="160">
        <f>G237*N('Debt Payoff'!$D$19)/12</f>
        <v/>
      </c>
      <c r="R238" s="160">
        <f>H237*N('Debt Payoff'!$D$20)/12</f>
        <v/>
      </c>
      <c r="S238" s="160">
        <f>I237*N('Debt Payoff'!$D$21)/12</f>
        <v/>
      </c>
      <c r="T238" s="160">
        <f>J237*N('Debt Payoff'!$D$22)/12</f>
        <v/>
      </c>
      <c r="U238" s="160">
        <f>K237*N('Debt Payoff'!$D$23)/12</f>
        <v/>
      </c>
      <c r="V238" s="160">
        <f>L237*N('Debt Payoff'!$D$24)/12</f>
        <v/>
      </c>
      <c r="W238" s="160">
        <f>MIN(N('Debt Payoff'!$E$15),C237+M238)</f>
        <v/>
      </c>
      <c r="X238" s="160">
        <f>MIN(N('Debt Payoff'!$E$16),D237+N238)</f>
        <v/>
      </c>
      <c r="Y238" s="160">
        <f>MIN(N('Debt Payoff'!$E$17),E237+O238)</f>
        <v/>
      </c>
      <c r="Z238" s="160">
        <f>MIN(N('Debt Payoff'!$E$18),F237+P238)</f>
        <v/>
      </c>
      <c r="AA238" s="160">
        <f>MIN(N('Debt Payoff'!$E$19),G237+Q238)</f>
        <v/>
      </c>
      <c r="AB238" s="160">
        <f>MIN(N('Debt Payoff'!$E$20),H237+R238)</f>
        <v/>
      </c>
      <c r="AC238" s="160">
        <f>MIN(N('Debt Payoff'!$E$21),I237+S238)</f>
        <v/>
      </c>
      <c r="AD238" s="160">
        <f>MIN(N('Debt Payoff'!$E$22),J237+T238)</f>
        <v/>
      </c>
      <c r="AE238" s="160">
        <f>MIN(N('Debt Payoff'!$E$23),K237+U238)</f>
        <v/>
      </c>
      <c r="AF238" s="160">
        <f>MIN(N('Debt Payoff'!$E$24),L237+V238)</f>
        <v/>
      </c>
      <c r="AG238" s="160">
        <f>C237+M238-W238</f>
        <v/>
      </c>
      <c r="AH238" s="160">
        <f>D237+N238-X238</f>
        <v/>
      </c>
      <c r="AI238" s="160">
        <f>E237+O238-Y238</f>
        <v/>
      </c>
      <c r="AJ238" s="160">
        <f>F237+P238-Z238</f>
        <v/>
      </c>
      <c r="AK238" s="160">
        <f>G237+Q238-AA238</f>
        <v/>
      </c>
      <c r="AL238" s="160">
        <f>H237+R238-AB238</f>
        <v/>
      </c>
      <c r="AM238" s="160">
        <f>I237+S238-AC238</f>
        <v/>
      </c>
      <c r="AN238" s="160">
        <f>J237+T238-AD238</f>
        <v/>
      </c>
      <c r="AO238" s="160">
        <f>K237+U238-AE238</f>
        <v/>
      </c>
      <c r="AP238" s="160">
        <f>L237+V238-AF238</f>
        <v/>
      </c>
      <c r="AQ238" s="160">
        <f>W238+MAX(0,MIN(AG238,'Debt Payoff'!$C$12-SUM($W238:$AF238)-SUMIFS($AG238:$AP238,$AG$4:$AP$4,"&lt;"&amp;AG$4)))</f>
        <v/>
      </c>
      <c r="AR238" s="160">
        <f>X238+MAX(0,MIN(AH238,'Debt Payoff'!$C$12-SUM($W238:$AF238)-SUMIFS($AG238:$AP238,$AG$4:$AP$4,"&lt;"&amp;AH$4)))</f>
        <v/>
      </c>
      <c r="AS238" s="160">
        <f>Y238+MAX(0,MIN(AI238,'Debt Payoff'!$C$12-SUM($W238:$AF238)-SUMIFS($AG238:$AP238,$AG$4:$AP$4,"&lt;"&amp;AI$4)))</f>
        <v/>
      </c>
      <c r="AT238" s="160">
        <f>Z238+MAX(0,MIN(AJ238,'Debt Payoff'!$C$12-SUM($W238:$AF238)-SUMIFS($AG238:$AP238,$AG$4:$AP$4,"&lt;"&amp;AJ$4)))</f>
        <v/>
      </c>
      <c r="AU238" s="160">
        <f>AA238+MAX(0,MIN(AK238,'Debt Payoff'!$C$12-SUM($W238:$AF238)-SUMIFS($AG238:$AP238,$AG$4:$AP$4,"&lt;"&amp;AK$4)))</f>
        <v/>
      </c>
      <c r="AV238" s="160">
        <f>AB238+MAX(0,MIN(AL238,'Debt Payoff'!$C$12-SUM($W238:$AF238)-SUMIFS($AG238:$AP238,$AG$4:$AP$4,"&lt;"&amp;AL$4)))</f>
        <v/>
      </c>
      <c r="AW238" s="160">
        <f>AC238+MAX(0,MIN(AM238,'Debt Payoff'!$C$12-SUM($W238:$AF238)-SUMIFS($AG238:$AP238,$AG$4:$AP$4,"&lt;"&amp;AM$4)))</f>
        <v/>
      </c>
      <c r="AX238" s="160">
        <f>AD238+MAX(0,MIN(AN238,'Debt Payoff'!$C$12-SUM($W238:$AF238)-SUMIFS($AG238:$AP238,$AG$4:$AP$4,"&lt;"&amp;AN$4)))</f>
        <v/>
      </c>
      <c r="AY238" s="160">
        <f>AE238+MAX(0,MIN(AO238,'Debt Payoff'!$C$12-SUM($W238:$AF238)-SUMIFS($AG238:$AP238,$AG$4:$AP$4,"&lt;"&amp;AO$4)))</f>
        <v/>
      </c>
      <c r="AZ238" s="160">
        <f>AF238+MAX(0,MIN(AP238,'Debt Payoff'!$C$12-SUM($W238:$AF238)-SUMIFS($AG238:$AP238,$AG$4:$AP$4,"&lt;"&amp;AP$4)))</f>
        <v/>
      </c>
      <c r="BA238" s="160">
        <f>SUM(C238:L238)</f>
        <v/>
      </c>
      <c r="BB238" s="160">
        <f>SUM(AQ238:AZ238)</f>
        <v/>
      </c>
      <c r="BC238" s="160">
        <f>SUM(M238:V238)</f>
        <v/>
      </c>
    </row>
    <row r="239">
      <c r="A239" s="157" t="n">
        <v>234</v>
      </c>
      <c r="B239" s="159">
        <f>EDATE('Debt Payoff'!$C$6,233)</f>
        <v/>
      </c>
      <c r="C239" s="160">
        <f>MAX(0,ROUND(C238+M239-AQ239,2))</f>
        <v/>
      </c>
      <c r="D239" s="160">
        <f>MAX(0,ROUND(D238+N239-AR239,2))</f>
        <v/>
      </c>
      <c r="E239" s="160">
        <f>MAX(0,ROUND(E238+O239-AS239,2))</f>
        <v/>
      </c>
      <c r="F239" s="160">
        <f>MAX(0,ROUND(F238+P239-AT239,2))</f>
        <v/>
      </c>
      <c r="G239" s="160">
        <f>MAX(0,ROUND(G238+Q239-AU239,2))</f>
        <v/>
      </c>
      <c r="H239" s="160">
        <f>MAX(0,ROUND(H238+R239-AV239,2))</f>
        <v/>
      </c>
      <c r="I239" s="160">
        <f>MAX(0,ROUND(I238+S239-AW239,2))</f>
        <v/>
      </c>
      <c r="J239" s="160">
        <f>MAX(0,ROUND(J238+T239-AX239,2))</f>
        <v/>
      </c>
      <c r="K239" s="160">
        <f>MAX(0,ROUND(K238+U239-AY239,2))</f>
        <v/>
      </c>
      <c r="L239" s="160">
        <f>MAX(0,ROUND(L238+V239-AZ239,2))</f>
        <v/>
      </c>
      <c r="M239" s="160">
        <f>C238*N('Debt Payoff'!$D$15)/12</f>
        <v/>
      </c>
      <c r="N239" s="160">
        <f>D238*N('Debt Payoff'!$D$16)/12</f>
        <v/>
      </c>
      <c r="O239" s="160">
        <f>E238*N('Debt Payoff'!$D$17)/12</f>
        <v/>
      </c>
      <c r="P239" s="160">
        <f>F238*N('Debt Payoff'!$D$18)/12</f>
        <v/>
      </c>
      <c r="Q239" s="160">
        <f>G238*N('Debt Payoff'!$D$19)/12</f>
        <v/>
      </c>
      <c r="R239" s="160">
        <f>H238*N('Debt Payoff'!$D$20)/12</f>
        <v/>
      </c>
      <c r="S239" s="160">
        <f>I238*N('Debt Payoff'!$D$21)/12</f>
        <v/>
      </c>
      <c r="T239" s="160">
        <f>J238*N('Debt Payoff'!$D$22)/12</f>
        <v/>
      </c>
      <c r="U239" s="160">
        <f>K238*N('Debt Payoff'!$D$23)/12</f>
        <v/>
      </c>
      <c r="V239" s="160">
        <f>L238*N('Debt Payoff'!$D$24)/12</f>
        <v/>
      </c>
      <c r="W239" s="160">
        <f>MIN(N('Debt Payoff'!$E$15),C238+M239)</f>
        <v/>
      </c>
      <c r="X239" s="160">
        <f>MIN(N('Debt Payoff'!$E$16),D238+N239)</f>
        <v/>
      </c>
      <c r="Y239" s="160">
        <f>MIN(N('Debt Payoff'!$E$17),E238+O239)</f>
        <v/>
      </c>
      <c r="Z239" s="160">
        <f>MIN(N('Debt Payoff'!$E$18),F238+P239)</f>
        <v/>
      </c>
      <c r="AA239" s="160">
        <f>MIN(N('Debt Payoff'!$E$19),G238+Q239)</f>
        <v/>
      </c>
      <c r="AB239" s="160">
        <f>MIN(N('Debt Payoff'!$E$20),H238+R239)</f>
        <v/>
      </c>
      <c r="AC239" s="160">
        <f>MIN(N('Debt Payoff'!$E$21),I238+S239)</f>
        <v/>
      </c>
      <c r="AD239" s="160">
        <f>MIN(N('Debt Payoff'!$E$22),J238+T239)</f>
        <v/>
      </c>
      <c r="AE239" s="160">
        <f>MIN(N('Debt Payoff'!$E$23),K238+U239)</f>
        <v/>
      </c>
      <c r="AF239" s="160">
        <f>MIN(N('Debt Payoff'!$E$24),L238+V239)</f>
        <v/>
      </c>
      <c r="AG239" s="160">
        <f>C238+M239-W239</f>
        <v/>
      </c>
      <c r="AH239" s="160">
        <f>D238+N239-X239</f>
        <v/>
      </c>
      <c r="AI239" s="160">
        <f>E238+O239-Y239</f>
        <v/>
      </c>
      <c r="AJ239" s="160">
        <f>F238+P239-Z239</f>
        <v/>
      </c>
      <c r="AK239" s="160">
        <f>G238+Q239-AA239</f>
        <v/>
      </c>
      <c r="AL239" s="160">
        <f>H238+R239-AB239</f>
        <v/>
      </c>
      <c r="AM239" s="160">
        <f>I238+S239-AC239</f>
        <v/>
      </c>
      <c r="AN239" s="160">
        <f>J238+T239-AD239</f>
        <v/>
      </c>
      <c r="AO239" s="160">
        <f>K238+U239-AE239</f>
        <v/>
      </c>
      <c r="AP239" s="160">
        <f>L238+V239-AF239</f>
        <v/>
      </c>
      <c r="AQ239" s="160">
        <f>W239+MAX(0,MIN(AG239,'Debt Payoff'!$C$12-SUM($W239:$AF239)-SUMIFS($AG239:$AP239,$AG$4:$AP$4,"&lt;"&amp;AG$4)))</f>
        <v/>
      </c>
      <c r="AR239" s="160">
        <f>X239+MAX(0,MIN(AH239,'Debt Payoff'!$C$12-SUM($W239:$AF239)-SUMIFS($AG239:$AP239,$AG$4:$AP$4,"&lt;"&amp;AH$4)))</f>
        <v/>
      </c>
      <c r="AS239" s="160">
        <f>Y239+MAX(0,MIN(AI239,'Debt Payoff'!$C$12-SUM($W239:$AF239)-SUMIFS($AG239:$AP239,$AG$4:$AP$4,"&lt;"&amp;AI$4)))</f>
        <v/>
      </c>
      <c r="AT239" s="160">
        <f>Z239+MAX(0,MIN(AJ239,'Debt Payoff'!$C$12-SUM($W239:$AF239)-SUMIFS($AG239:$AP239,$AG$4:$AP$4,"&lt;"&amp;AJ$4)))</f>
        <v/>
      </c>
      <c r="AU239" s="160">
        <f>AA239+MAX(0,MIN(AK239,'Debt Payoff'!$C$12-SUM($W239:$AF239)-SUMIFS($AG239:$AP239,$AG$4:$AP$4,"&lt;"&amp;AK$4)))</f>
        <v/>
      </c>
      <c r="AV239" s="160">
        <f>AB239+MAX(0,MIN(AL239,'Debt Payoff'!$C$12-SUM($W239:$AF239)-SUMIFS($AG239:$AP239,$AG$4:$AP$4,"&lt;"&amp;AL$4)))</f>
        <v/>
      </c>
      <c r="AW239" s="160">
        <f>AC239+MAX(0,MIN(AM239,'Debt Payoff'!$C$12-SUM($W239:$AF239)-SUMIFS($AG239:$AP239,$AG$4:$AP$4,"&lt;"&amp;AM$4)))</f>
        <v/>
      </c>
      <c r="AX239" s="160">
        <f>AD239+MAX(0,MIN(AN239,'Debt Payoff'!$C$12-SUM($W239:$AF239)-SUMIFS($AG239:$AP239,$AG$4:$AP$4,"&lt;"&amp;AN$4)))</f>
        <v/>
      </c>
      <c r="AY239" s="160">
        <f>AE239+MAX(0,MIN(AO239,'Debt Payoff'!$C$12-SUM($W239:$AF239)-SUMIFS($AG239:$AP239,$AG$4:$AP$4,"&lt;"&amp;AO$4)))</f>
        <v/>
      </c>
      <c r="AZ239" s="160">
        <f>AF239+MAX(0,MIN(AP239,'Debt Payoff'!$C$12-SUM($W239:$AF239)-SUMIFS($AG239:$AP239,$AG$4:$AP$4,"&lt;"&amp;AP$4)))</f>
        <v/>
      </c>
      <c r="BA239" s="160">
        <f>SUM(C239:L239)</f>
        <v/>
      </c>
      <c r="BB239" s="160">
        <f>SUM(AQ239:AZ239)</f>
        <v/>
      </c>
      <c r="BC239" s="160">
        <f>SUM(M239:V239)</f>
        <v/>
      </c>
    </row>
    <row r="240">
      <c r="A240" s="157" t="n">
        <v>235</v>
      </c>
      <c r="B240" s="159">
        <f>EDATE('Debt Payoff'!$C$6,234)</f>
        <v/>
      </c>
      <c r="C240" s="160">
        <f>MAX(0,ROUND(C239+M240-AQ240,2))</f>
        <v/>
      </c>
      <c r="D240" s="160">
        <f>MAX(0,ROUND(D239+N240-AR240,2))</f>
        <v/>
      </c>
      <c r="E240" s="160">
        <f>MAX(0,ROUND(E239+O240-AS240,2))</f>
        <v/>
      </c>
      <c r="F240" s="160">
        <f>MAX(0,ROUND(F239+P240-AT240,2))</f>
        <v/>
      </c>
      <c r="G240" s="160">
        <f>MAX(0,ROUND(G239+Q240-AU240,2))</f>
        <v/>
      </c>
      <c r="H240" s="160">
        <f>MAX(0,ROUND(H239+R240-AV240,2))</f>
        <v/>
      </c>
      <c r="I240" s="160">
        <f>MAX(0,ROUND(I239+S240-AW240,2))</f>
        <v/>
      </c>
      <c r="J240" s="160">
        <f>MAX(0,ROUND(J239+T240-AX240,2))</f>
        <v/>
      </c>
      <c r="K240" s="160">
        <f>MAX(0,ROUND(K239+U240-AY240,2))</f>
        <v/>
      </c>
      <c r="L240" s="160">
        <f>MAX(0,ROUND(L239+V240-AZ240,2))</f>
        <v/>
      </c>
      <c r="M240" s="160">
        <f>C239*N('Debt Payoff'!$D$15)/12</f>
        <v/>
      </c>
      <c r="N240" s="160">
        <f>D239*N('Debt Payoff'!$D$16)/12</f>
        <v/>
      </c>
      <c r="O240" s="160">
        <f>E239*N('Debt Payoff'!$D$17)/12</f>
        <v/>
      </c>
      <c r="P240" s="160">
        <f>F239*N('Debt Payoff'!$D$18)/12</f>
        <v/>
      </c>
      <c r="Q240" s="160">
        <f>G239*N('Debt Payoff'!$D$19)/12</f>
        <v/>
      </c>
      <c r="R240" s="160">
        <f>H239*N('Debt Payoff'!$D$20)/12</f>
        <v/>
      </c>
      <c r="S240" s="160">
        <f>I239*N('Debt Payoff'!$D$21)/12</f>
        <v/>
      </c>
      <c r="T240" s="160">
        <f>J239*N('Debt Payoff'!$D$22)/12</f>
        <v/>
      </c>
      <c r="U240" s="160">
        <f>K239*N('Debt Payoff'!$D$23)/12</f>
        <v/>
      </c>
      <c r="V240" s="160">
        <f>L239*N('Debt Payoff'!$D$24)/12</f>
        <v/>
      </c>
      <c r="W240" s="160">
        <f>MIN(N('Debt Payoff'!$E$15),C239+M240)</f>
        <v/>
      </c>
      <c r="X240" s="160">
        <f>MIN(N('Debt Payoff'!$E$16),D239+N240)</f>
        <v/>
      </c>
      <c r="Y240" s="160">
        <f>MIN(N('Debt Payoff'!$E$17),E239+O240)</f>
        <v/>
      </c>
      <c r="Z240" s="160">
        <f>MIN(N('Debt Payoff'!$E$18),F239+P240)</f>
        <v/>
      </c>
      <c r="AA240" s="160">
        <f>MIN(N('Debt Payoff'!$E$19),G239+Q240)</f>
        <v/>
      </c>
      <c r="AB240" s="160">
        <f>MIN(N('Debt Payoff'!$E$20),H239+R240)</f>
        <v/>
      </c>
      <c r="AC240" s="160">
        <f>MIN(N('Debt Payoff'!$E$21),I239+S240)</f>
        <v/>
      </c>
      <c r="AD240" s="160">
        <f>MIN(N('Debt Payoff'!$E$22),J239+T240)</f>
        <v/>
      </c>
      <c r="AE240" s="160">
        <f>MIN(N('Debt Payoff'!$E$23),K239+U240)</f>
        <v/>
      </c>
      <c r="AF240" s="160">
        <f>MIN(N('Debt Payoff'!$E$24),L239+V240)</f>
        <v/>
      </c>
      <c r="AG240" s="160">
        <f>C239+M240-W240</f>
        <v/>
      </c>
      <c r="AH240" s="160">
        <f>D239+N240-X240</f>
        <v/>
      </c>
      <c r="AI240" s="160">
        <f>E239+O240-Y240</f>
        <v/>
      </c>
      <c r="AJ240" s="160">
        <f>F239+P240-Z240</f>
        <v/>
      </c>
      <c r="AK240" s="160">
        <f>G239+Q240-AA240</f>
        <v/>
      </c>
      <c r="AL240" s="160">
        <f>H239+R240-AB240</f>
        <v/>
      </c>
      <c r="AM240" s="160">
        <f>I239+S240-AC240</f>
        <v/>
      </c>
      <c r="AN240" s="160">
        <f>J239+T240-AD240</f>
        <v/>
      </c>
      <c r="AO240" s="160">
        <f>K239+U240-AE240</f>
        <v/>
      </c>
      <c r="AP240" s="160">
        <f>L239+V240-AF240</f>
        <v/>
      </c>
      <c r="AQ240" s="160">
        <f>W240+MAX(0,MIN(AG240,'Debt Payoff'!$C$12-SUM($W240:$AF240)-SUMIFS($AG240:$AP240,$AG$4:$AP$4,"&lt;"&amp;AG$4)))</f>
        <v/>
      </c>
      <c r="AR240" s="160">
        <f>X240+MAX(0,MIN(AH240,'Debt Payoff'!$C$12-SUM($W240:$AF240)-SUMIFS($AG240:$AP240,$AG$4:$AP$4,"&lt;"&amp;AH$4)))</f>
        <v/>
      </c>
      <c r="AS240" s="160">
        <f>Y240+MAX(0,MIN(AI240,'Debt Payoff'!$C$12-SUM($W240:$AF240)-SUMIFS($AG240:$AP240,$AG$4:$AP$4,"&lt;"&amp;AI$4)))</f>
        <v/>
      </c>
      <c r="AT240" s="160">
        <f>Z240+MAX(0,MIN(AJ240,'Debt Payoff'!$C$12-SUM($W240:$AF240)-SUMIFS($AG240:$AP240,$AG$4:$AP$4,"&lt;"&amp;AJ$4)))</f>
        <v/>
      </c>
      <c r="AU240" s="160">
        <f>AA240+MAX(0,MIN(AK240,'Debt Payoff'!$C$12-SUM($W240:$AF240)-SUMIFS($AG240:$AP240,$AG$4:$AP$4,"&lt;"&amp;AK$4)))</f>
        <v/>
      </c>
      <c r="AV240" s="160">
        <f>AB240+MAX(0,MIN(AL240,'Debt Payoff'!$C$12-SUM($W240:$AF240)-SUMIFS($AG240:$AP240,$AG$4:$AP$4,"&lt;"&amp;AL$4)))</f>
        <v/>
      </c>
      <c r="AW240" s="160">
        <f>AC240+MAX(0,MIN(AM240,'Debt Payoff'!$C$12-SUM($W240:$AF240)-SUMIFS($AG240:$AP240,$AG$4:$AP$4,"&lt;"&amp;AM$4)))</f>
        <v/>
      </c>
      <c r="AX240" s="160">
        <f>AD240+MAX(0,MIN(AN240,'Debt Payoff'!$C$12-SUM($W240:$AF240)-SUMIFS($AG240:$AP240,$AG$4:$AP$4,"&lt;"&amp;AN$4)))</f>
        <v/>
      </c>
      <c r="AY240" s="160">
        <f>AE240+MAX(0,MIN(AO240,'Debt Payoff'!$C$12-SUM($W240:$AF240)-SUMIFS($AG240:$AP240,$AG$4:$AP$4,"&lt;"&amp;AO$4)))</f>
        <v/>
      </c>
      <c r="AZ240" s="160">
        <f>AF240+MAX(0,MIN(AP240,'Debt Payoff'!$C$12-SUM($W240:$AF240)-SUMIFS($AG240:$AP240,$AG$4:$AP$4,"&lt;"&amp;AP$4)))</f>
        <v/>
      </c>
      <c r="BA240" s="160">
        <f>SUM(C240:L240)</f>
        <v/>
      </c>
      <c r="BB240" s="160">
        <f>SUM(AQ240:AZ240)</f>
        <v/>
      </c>
      <c r="BC240" s="160">
        <f>SUM(M240:V240)</f>
        <v/>
      </c>
    </row>
    <row r="241">
      <c r="A241" s="157" t="n">
        <v>236</v>
      </c>
      <c r="B241" s="159">
        <f>EDATE('Debt Payoff'!$C$6,235)</f>
        <v/>
      </c>
      <c r="C241" s="160">
        <f>MAX(0,ROUND(C240+M241-AQ241,2))</f>
        <v/>
      </c>
      <c r="D241" s="160">
        <f>MAX(0,ROUND(D240+N241-AR241,2))</f>
        <v/>
      </c>
      <c r="E241" s="160">
        <f>MAX(0,ROUND(E240+O241-AS241,2))</f>
        <v/>
      </c>
      <c r="F241" s="160">
        <f>MAX(0,ROUND(F240+P241-AT241,2))</f>
        <v/>
      </c>
      <c r="G241" s="160">
        <f>MAX(0,ROUND(G240+Q241-AU241,2))</f>
        <v/>
      </c>
      <c r="H241" s="160">
        <f>MAX(0,ROUND(H240+R241-AV241,2))</f>
        <v/>
      </c>
      <c r="I241" s="160">
        <f>MAX(0,ROUND(I240+S241-AW241,2))</f>
        <v/>
      </c>
      <c r="J241" s="160">
        <f>MAX(0,ROUND(J240+T241-AX241,2))</f>
        <v/>
      </c>
      <c r="K241" s="160">
        <f>MAX(0,ROUND(K240+U241-AY241,2))</f>
        <v/>
      </c>
      <c r="L241" s="160">
        <f>MAX(0,ROUND(L240+V241-AZ241,2))</f>
        <v/>
      </c>
      <c r="M241" s="160">
        <f>C240*N('Debt Payoff'!$D$15)/12</f>
        <v/>
      </c>
      <c r="N241" s="160">
        <f>D240*N('Debt Payoff'!$D$16)/12</f>
        <v/>
      </c>
      <c r="O241" s="160">
        <f>E240*N('Debt Payoff'!$D$17)/12</f>
        <v/>
      </c>
      <c r="P241" s="160">
        <f>F240*N('Debt Payoff'!$D$18)/12</f>
        <v/>
      </c>
      <c r="Q241" s="160">
        <f>G240*N('Debt Payoff'!$D$19)/12</f>
        <v/>
      </c>
      <c r="R241" s="160">
        <f>H240*N('Debt Payoff'!$D$20)/12</f>
        <v/>
      </c>
      <c r="S241" s="160">
        <f>I240*N('Debt Payoff'!$D$21)/12</f>
        <v/>
      </c>
      <c r="T241" s="160">
        <f>J240*N('Debt Payoff'!$D$22)/12</f>
        <v/>
      </c>
      <c r="U241" s="160">
        <f>K240*N('Debt Payoff'!$D$23)/12</f>
        <v/>
      </c>
      <c r="V241" s="160">
        <f>L240*N('Debt Payoff'!$D$24)/12</f>
        <v/>
      </c>
      <c r="W241" s="160">
        <f>MIN(N('Debt Payoff'!$E$15),C240+M241)</f>
        <v/>
      </c>
      <c r="X241" s="160">
        <f>MIN(N('Debt Payoff'!$E$16),D240+N241)</f>
        <v/>
      </c>
      <c r="Y241" s="160">
        <f>MIN(N('Debt Payoff'!$E$17),E240+O241)</f>
        <v/>
      </c>
      <c r="Z241" s="160">
        <f>MIN(N('Debt Payoff'!$E$18),F240+P241)</f>
        <v/>
      </c>
      <c r="AA241" s="160">
        <f>MIN(N('Debt Payoff'!$E$19),G240+Q241)</f>
        <v/>
      </c>
      <c r="AB241" s="160">
        <f>MIN(N('Debt Payoff'!$E$20),H240+R241)</f>
        <v/>
      </c>
      <c r="AC241" s="160">
        <f>MIN(N('Debt Payoff'!$E$21),I240+S241)</f>
        <v/>
      </c>
      <c r="AD241" s="160">
        <f>MIN(N('Debt Payoff'!$E$22),J240+T241)</f>
        <v/>
      </c>
      <c r="AE241" s="160">
        <f>MIN(N('Debt Payoff'!$E$23),K240+U241)</f>
        <v/>
      </c>
      <c r="AF241" s="160">
        <f>MIN(N('Debt Payoff'!$E$24),L240+V241)</f>
        <v/>
      </c>
      <c r="AG241" s="160">
        <f>C240+M241-W241</f>
        <v/>
      </c>
      <c r="AH241" s="160">
        <f>D240+N241-X241</f>
        <v/>
      </c>
      <c r="AI241" s="160">
        <f>E240+O241-Y241</f>
        <v/>
      </c>
      <c r="AJ241" s="160">
        <f>F240+P241-Z241</f>
        <v/>
      </c>
      <c r="AK241" s="160">
        <f>G240+Q241-AA241</f>
        <v/>
      </c>
      <c r="AL241" s="160">
        <f>H240+R241-AB241</f>
        <v/>
      </c>
      <c r="AM241" s="160">
        <f>I240+S241-AC241</f>
        <v/>
      </c>
      <c r="AN241" s="160">
        <f>J240+T241-AD241</f>
        <v/>
      </c>
      <c r="AO241" s="160">
        <f>K240+U241-AE241</f>
        <v/>
      </c>
      <c r="AP241" s="160">
        <f>L240+V241-AF241</f>
        <v/>
      </c>
      <c r="AQ241" s="160">
        <f>W241+MAX(0,MIN(AG241,'Debt Payoff'!$C$12-SUM($W241:$AF241)-SUMIFS($AG241:$AP241,$AG$4:$AP$4,"&lt;"&amp;AG$4)))</f>
        <v/>
      </c>
      <c r="AR241" s="160">
        <f>X241+MAX(0,MIN(AH241,'Debt Payoff'!$C$12-SUM($W241:$AF241)-SUMIFS($AG241:$AP241,$AG$4:$AP$4,"&lt;"&amp;AH$4)))</f>
        <v/>
      </c>
      <c r="AS241" s="160">
        <f>Y241+MAX(0,MIN(AI241,'Debt Payoff'!$C$12-SUM($W241:$AF241)-SUMIFS($AG241:$AP241,$AG$4:$AP$4,"&lt;"&amp;AI$4)))</f>
        <v/>
      </c>
      <c r="AT241" s="160">
        <f>Z241+MAX(0,MIN(AJ241,'Debt Payoff'!$C$12-SUM($W241:$AF241)-SUMIFS($AG241:$AP241,$AG$4:$AP$4,"&lt;"&amp;AJ$4)))</f>
        <v/>
      </c>
      <c r="AU241" s="160">
        <f>AA241+MAX(0,MIN(AK241,'Debt Payoff'!$C$12-SUM($W241:$AF241)-SUMIFS($AG241:$AP241,$AG$4:$AP$4,"&lt;"&amp;AK$4)))</f>
        <v/>
      </c>
      <c r="AV241" s="160">
        <f>AB241+MAX(0,MIN(AL241,'Debt Payoff'!$C$12-SUM($W241:$AF241)-SUMIFS($AG241:$AP241,$AG$4:$AP$4,"&lt;"&amp;AL$4)))</f>
        <v/>
      </c>
      <c r="AW241" s="160">
        <f>AC241+MAX(0,MIN(AM241,'Debt Payoff'!$C$12-SUM($W241:$AF241)-SUMIFS($AG241:$AP241,$AG$4:$AP$4,"&lt;"&amp;AM$4)))</f>
        <v/>
      </c>
      <c r="AX241" s="160">
        <f>AD241+MAX(0,MIN(AN241,'Debt Payoff'!$C$12-SUM($W241:$AF241)-SUMIFS($AG241:$AP241,$AG$4:$AP$4,"&lt;"&amp;AN$4)))</f>
        <v/>
      </c>
      <c r="AY241" s="160">
        <f>AE241+MAX(0,MIN(AO241,'Debt Payoff'!$C$12-SUM($W241:$AF241)-SUMIFS($AG241:$AP241,$AG$4:$AP$4,"&lt;"&amp;AO$4)))</f>
        <v/>
      </c>
      <c r="AZ241" s="160">
        <f>AF241+MAX(0,MIN(AP241,'Debt Payoff'!$C$12-SUM($W241:$AF241)-SUMIFS($AG241:$AP241,$AG$4:$AP$4,"&lt;"&amp;AP$4)))</f>
        <v/>
      </c>
      <c r="BA241" s="160">
        <f>SUM(C241:L241)</f>
        <v/>
      </c>
      <c r="BB241" s="160">
        <f>SUM(AQ241:AZ241)</f>
        <v/>
      </c>
      <c r="BC241" s="160">
        <f>SUM(M241:V241)</f>
        <v/>
      </c>
    </row>
    <row r="242">
      <c r="A242" s="157" t="n">
        <v>237</v>
      </c>
      <c r="B242" s="159">
        <f>EDATE('Debt Payoff'!$C$6,236)</f>
        <v/>
      </c>
      <c r="C242" s="160">
        <f>MAX(0,ROUND(C241+M242-AQ242,2))</f>
        <v/>
      </c>
      <c r="D242" s="160">
        <f>MAX(0,ROUND(D241+N242-AR242,2))</f>
        <v/>
      </c>
      <c r="E242" s="160">
        <f>MAX(0,ROUND(E241+O242-AS242,2))</f>
        <v/>
      </c>
      <c r="F242" s="160">
        <f>MAX(0,ROUND(F241+P242-AT242,2))</f>
        <v/>
      </c>
      <c r="G242" s="160">
        <f>MAX(0,ROUND(G241+Q242-AU242,2))</f>
        <v/>
      </c>
      <c r="H242" s="160">
        <f>MAX(0,ROUND(H241+R242-AV242,2))</f>
        <v/>
      </c>
      <c r="I242" s="160">
        <f>MAX(0,ROUND(I241+S242-AW242,2))</f>
        <v/>
      </c>
      <c r="J242" s="160">
        <f>MAX(0,ROUND(J241+T242-AX242,2))</f>
        <v/>
      </c>
      <c r="K242" s="160">
        <f>MAX(0,ROUND(K241+U242-AY242,2))</f>
        <v/>
      </c>
      <c r="L242" s="160">
        <f>MAX(0,ROUND(L241+V242-AZ242,2))</f>
        <v/>
      </c>
      <c r="M242" s="160">
        <f>C241*N('Debt Payoff'!$D$15)/12</f>
        <v/>
      </c>
      <c r="N242" s="160">
        <f>D241*N('Debt Payoff'!$D$16)/12</f>
        <v/>
      </c>
      <c r="O242" s="160">
        <f>E241*N('Debt Payoff'!$D$17)/12</f>
        <v/>
      </c>
      <c r="P242" s="160">
        <f>F241*N('Debt Payoff'!$D$18)/12</f>
        <v/>
      </c>
      <c r="Q242" s="160">
        <f>G241*N('Debt Payoff'!$D$19)/12</f>
        <v/>
      </c>
      <c r="R242" s="160">
        <f>H241*N('Debt Payoff'!$D$20)/12</f>
        <v/>
      </c>
      <c r="S242" s="160">
        <f>I241*N('Debt Payoff'!$D$21)/12</f>
        <v/>
      </c>
      <c r="T242" s="160">
        <f>J241*N('Debt Payoff'!$D$22)/12</f>
        <v/>
      </c>
      <c r="U242" s="160">
        <f>K241*N('Debt Payoff'!$D$23)/12</f>
        <v/>
      </c>
      <c r="V242" s="160">
        <f>L241*N('Debt Payoff'!$D$24)/12</f>
        <v/>
      </c>
      <c r="W242" s="160">
        <f>MIN(N('Debt Payoff'!$E$15),C241+M242)</f>
        <v/>
      </c>
      <c r="X242" s="160">
        <f>MIN(N('Debt Payoff'!$E$16),D241+N242)</f>
        <v/>
      </c>
      <c r="Y242" s="160">
        <f>MIN(N('Debt Payoff'!$E$17),E241+O242)</f>
        <v/>
      </c>
      <c r="Z242" s="160">
        <f>MIN(N('Debt Payoff'!$E$18),F241+P242)</f>
        <v/>
      </c>
      <c r="AA242" s="160">
        <f>MIN(N('Debt Payoff'!$E$19),G241+Q242)</f>
        <v/>
      </c>
      <c r="AB242" s="160">
        <f>MIN(N('Debt Payoff'!$E$20),H241+R242)</f>
        <v/>
      </c>
      <c r="AC242" s="160">
        <f>MIN(N('Debt Payoff'!$E$21),I241+S242)</f>
        <v/>
      </c>
      <c r="AD242" s="160">
        <f>MIN(N('Debt Payoff'!$E$22),J241+T242)</f>
        <v/>
      </c>
      <c r="AE242" s="160">
        <f>MIN(N('Debt Payoff'!$E$23),K241+U242)</f>
        <v/>
      </c>
      <c r="AF242" s="160">
        <f>MIN(N('Debt Payoff'!$E$24),L241+V242)</f>
        <v/>
      </c>
      <c r="AG242" s="160">
        <f>C241+M242-W242</f>
        <v/>
      </c>
      <c r="AH242" s="160">
        <f>D241+N242-X242</f>
        <v/>
      </c>
      <c r="AI242" s="160">
        <f>E241+O242-Y242</f>
        <v/>
      </c>
      <c r="AJ242" s="160">
        <f>F241+P242-Z242</f>
        <v/>
      </c>
      <c r="AK242" s="160">
        <f>G241+Q242-AA242</f>
        <v/>
      </c>
      <c r="AL242" s="160">
        <f>H241+R242-AB242</f>
        <v/>
      </c>
      <c r="AM242" s="160">
        <f>I241+S242-AC242</f>
        <v/>
      </c>
      <c r="AN242" s="160">
        <f>J241+T242-AD242</f>
        <v/>
      </c>
      <c r="AO242" s="160">
        <f>K241+U242-AE242</f>
        <v/>
      </c>
      <c r="AP242" s="160">
        <f>L241+V242-AF242</f>
        <v/>
      </c>
      <c r="AQ242" s="160">
        <f>W242+MAX(0,MIN(AG242,'Debt Payoff'!$C$12-SUM($W242:$AF242)-SUMIFS($AG242:$AP242,$AG$4:$AP$4,"&lt;"&amp;AG$4)))</f>
        <v/>
      </c>
      <c r="AR242" s="160">
        <f>X242+MAX(0,MIN(AH242,'Debt Payoff'!$C$12-SUM($W242:$AF242)-SUMIFS($AG242:$AP242,$AG$4:$AP$4,"&lt;"&amp;AH$4)))</f>
        <v/>
      </c>
      <c r="AS242" s="160">
        <f>Y242+MAX(0,MIN(AI242,'Debt Payoff'!$C$12-SUM($W242:$AF242)-SUMIFS($AG242:$AP242,$AG$4:$AP$4,"&lt;"&amp;AI$4)))</f>
        <v/>
      </c>
      <c r="AT242" s="160">
        <f>Z242+MAX(0,MIN(AJ242,'Debt Payoff'!$C$12-SUM($W242:$AF242)-SUMIFS($AG242:$AP242,$AG$4:$AP$4,"&lt;"&amp;AJ$4)))</f>
        <v/>
      </c>
      <c r="AU242" s="160">
        <f>AA242+MAX(0,MIN(AK242,'Debt Payoff'!$C$12-SUM($W242:$AF242)-SUMIFS($AG242:$AP242,$AG$4:$AP$4,"&lt;"&amp;AK$4)))</f>
        <v/>
      </c>
      <c r="AV242" s="160">
        <f>AB242+MAX(0,MIN(AL242,'Debt Payoff'!$C$12-SUM($W242:$AF242)-SUMIFS($AG242:$AP242,$AG$4:$AP$4,"&lt;"&amp;AL$4)))</f>
        <v/>
      </c>
      <c r="AW242" s="160">
        <f>AC242+MAX(0,MIN(AM242,'Debt Payoff'!$C$12-SUM($W242:$AF242)-SUMIFS($AG242:$AP242,$AG$4:$AP$4,"&lt;"&amp;AM$4)))</f>
        <v/>
      </c>
      <c r="AX242" s="160">
        <f>AD242+MAX(0,MIN(AN242,'Debt Payoff'!$C$12-SUM($W242:$AF242)-SUMIFS($AG242:$AP242,$AG$4:$AP$4,"&lt;"&amp;AN$4)))</f>
        <v/>
      </c>
      <c r="AY242" s="160">
        <f>AE242+MAX(0,MIN(AO242,'Debt Payoff'!$C$12-SUM($W242:$AF242)-SUMIFS($AG242:$AP242,$AG$4:$AP$4,"&lt;"&amp;AO$4)))</f>
        <v/>
      </c>
      <c r="AZ242" s="160">
        <f>AF242+MAX(0,MIN(AP242,'Debt Payoff'!$C$12-SUM($W242:$AF242)-SUMIFS($AG242:$AP242,$AG$4:$AP$4,"&lt;"&amp;AP$4)))</f>
        <v/>
      </c>
      <c r="BA242" s="160">
        <f>SUM(C242:L242)</f>
        <v/>
      </c>
      <c r="BB242" s="160">
        <f>SUM(AQ242:AZ242)</f>
        <v/>
      </c>
      <c r="BC242" s="160">
        <f>SUM(M242:V242)</f>
        <v/>
      </c>
    </row>
    <row r="243">
      <c r="A243" s="157" t="n">
        <v>238</v>
      </c>
      <c r="B243" s="159">
        <f>EDATE('Debt Payoff'!$C$6,237)</f>
        <v/>
      </c>
      <c r="C243" s="160">
        <f>MAX(0,ROUND(C242+M243-AQ243,2))</f>
        <v/>
      </c>
      <c r="D243" s="160">
        <f>MAX(0,ROUND(D242+N243-AR243,2))</f>
        <v/>
      </c>
      <c r="E243" s="160">
        <f>MAX(0,ROUND(E242+O243-AS243,2))</f>
        <v/>
      </c>
      <c r="F243" s="160">
        <f>MAX(0,ROUND(F242+P243-AT243,2))</f>
        <v/>
      </c>
      <c r="G243" s="160">
        <f>MAX(0,ROUND(G242+Q243-AU243,2))</f>
        <v/>
      </c>
      <c r="H243" s="160">
        <f>MAX(0,ROUND(H242+R243-AV243,2))</f>
        <v/>
      </c>
      <c r="I243" s="160">
        <f>MAX(0,ROUND(I242+S243-AW243,2))</f>
        <v/>
      </c>
      <c r="J243" s="160">
        <f>MAX(0,ROUND(J242+T243-AX243,2))</f>
        <v/>
      </c>
      <c r="K243" s="160">
        <f>MAX(0,ROUND(K242+U243-AY243,2))</f>
        <v/>
      </c>
      <c r="L243" s="160">
        <f>MAX(0,ROUND(L242+V243-AZ243,2))</f>
        <v/>
      </c>
      <c r="M243" s="160">
        <f>C242*N('Debt Payoff'!$D$15)/12</f>
        <v/>
      </c>
      <c r="N243" s="160">
        <f>D242*N('Debt Payoff'!$D$16)/12</f>
        <v/>
      </c>
      <c r="O243" s="160">
        <f>E242*N('Debt Payoff'!$D$17)/12</f>
        <v/>
      </c>
      <c r="P243" s="160">
        <f>F242*N('Debt Payoff'!$D$18)/12</f>
        <v/>
      </c>
      <c r="Q243" s="160">
        <f>G242*N('Debt Payoff'!$D$19)/12</f>
        <v/>
      </c>
      <c r="R243" s="160">
        <f>H242*N('Debt Payoff'!$D$20)/12</f>
        <v/>
      </c>
      <c r="S243" s="160">
        <f>I242*N('Debt Payoff'!$D$21)/12</f>
        <v/>
      </c>
      <c r="T243" s="160">
        <f>J242*N('Debt Payoff'!$D$22)/12</f>
        <v/>
      </c>
      <c r="U243" s="160">
        <f>K242*N('Debt Payoff'!$D$23)/12</f>
        <v/>
      </c>
      <c r="V243" s="160">
        <f>L242*N('Debt Payoff'!$D$24)/12</f>
        <v/>
      </c>
      <c r="W243" s="160">
        <f>MIN(N('Debt Payoff'!$E$15),C242+M243)</f>
        <v/>
      </c>
      <c r="X243" s="160">
        <f>MIN(N('Debt Payoff'!$E$16),D242+N243)</f>
        <v/>
      </c>
      <c r="Y243" s="160">
        <f>MIN(N('Debt Payoff'!$E$17),E242+O243)</f>
        <v/>
      </c>
      <c r="Z243" s="160">
        <f>MIN(N('Debt Payoff'!$E$18),F242+P243)</f>
        <v/>
      </c>
      <c r="AA243" s="160">
        <f>MIN(N('Debt Payoff'!$E$19),G242+Q243)</f>
        <v/>
      </c>
      <c r="AB243" s="160">
        <f>MIN(N('Debt Payoff'!$E$20),H242+R243)</f>
        <v/>
      </c>
      <c r="AC243" s="160">
        <f>MIN(N('Debt Payoff'!$E$21),I242+S243)</f>
        <v/>
      </c>
      <c r="AD243" s="160">
        <f>MIN(N('Debt Payoff'!$E$22),J242+T243)</f>
        <v/>
      </c>
      <c r="AE243" s="160">
        <f>MIN(N('Debt Payoff'!$E$23),K242+U243)</f>
        <v/>
      </c>
      <c r="AF243" s="160">
        <f>MIN(N('Debt Payoff'!$E$24),L242+V243)</f>
        <v/>
      </c>
      <c r="AG243" s="160">
        <f>C242+M243-W243</f>
        <v/>
      </c>
      <c r="AH243" s="160">
        <f>D242+N243-X243</f>
        <v/>
      </c>
      <c r="AI243" s="160">
        <f>E242+O243-Y243</f>
        <v/>
      </c>
      <c r="AJ243" s="160">
        <f>F242+P243-Z243</f>
        <v/>
      </c>
      <c r="AK243" s="160">
        <f>G242+Q243-AA243</f>
        <v/>
      </c>
      <c r="AL243" s="160">
        <f>H242+R243-AB243</f>
        <v/>
      </c>
      <c r="AM243" s="160">
        <f>I242+S243-AC243</f>
        <v/>
      </c>
      <c r="AN243" s="160">
        <f>J242+T243-AD243</f>
        <v/>
      </c>
      <c r="AO243" s="160">
        <f>K242+U243-AE243</f>
        <v/>
      </c>
      <c r="AP243" s="160">
        <f>L242+V243-AF243</f>
        <v/>
      </c>
      <c r="AQ243" s="160">
        <f>W243+MAX(0,MIN(AG243,'Debt Payoff'!$C$12-SUM($W243:$AF243)-SUMIFS($AG243:$AP243,$AG$4:$AP$4,"&lt;"&amp;AG$4)))</f>
        <v/>
      </c>
      <c r="AR243" s="160">
        <f>X243+MAX(0,MIN(AH243,'Debt Payoff'!$C$12-SUM($W243:$AF243)-SUMIFS($AG243:$AP243,$AG$4:$AP$4,"&lt;"&amp;AH$4)))</f>
        <v/>
      </c>
      <c r="AS243" s="160">
        <f>Y243+MAX(0,MIN(AI243,'Debt Payoff'!$C$12-SUM($W243:$AF243)-SUMIFS($AG243:$AP243,$AG$4:$AP$4,"&lt;"&amp;AI$4)))</f>
        <v/>
      </c>
      <c r="AT243" s="160">
        <f>Z243+MAX(0,MIN(AJ243,'Debt Payoff'!$C$12-SUM($W243:$AF243)-SUMIFS($AG243:$AP243,$AG$4:$AP$4,"&lt;"&amp;AJ$4)))</f>
        <v/>
      </c>
      <c r="AU243" s="160">
        <f>AA243+MAX(0,MIN(AK243,'Debt Payoff'!$C$12-SUM($W243:$AF243)-SUMIFS($AG243:$AP243,$AG$4:$AP$4,"&lt;"&amp;AK$4)))</f>
        <v/>
      </c>
      <c r="AV243" s="160">
        <f>AB243+MAX(0,MIN(AL243,'Debt Payoff'!$C$12-SUM($W243:$AF243)-SUMIFS($AG243:$AP243,$AG$4:$AP$4,"&lt;"&amp;AL$4)))</f>
        <v/>
      </c>
      <c r="AW243" s="160">
        <f>AC243+MAX(0,MIN(AM243,'Debt Payoff'!$C$12-SUM($W243:$AF243)-SUMIFS($AG243:$AP243,$AG$4:$AP$4,"&lt;"&amp;AM$4)))</f>
        <v/>
      </c>
      <c r="AX243" s="160">
        <f>AD243+MAX(0,MIN(AN243,'Debt Payoff'!$C$12-SUM($W243:$AF243)-SUMIFS($AG243:$AP243,$AG$4:$AP$4,"&lt;"&amp;AN$4)))</f>
        <v/>
      </c>
      <c r="AY243" s="160">
        <f>AE243+MAX(0,MIN(AO243,'Debt Payoff'!$C$12-SUM($W243:$AF243)-SUMIFS($AG243:$AP243,$AG$4:$AP$4,"&lt;"&amp;AO$4)))</f>
        <v/>
      </c>
      <c r="AZ243" s="160">
        <f>AF243+MAX(0,MIN(AP243,'Debt Payoff'!$C$12-SUM($W243:$AF243)-SUMIFS($AG243:$AP243,$AG$4:$AP$4,"&lt;"&amp;AP$4)))</f>
        <v/>
      </c>
      <c r="BA243" s="160">
        <f>SUM(C243:L243)</f>
        <v/>
      </c>
      <c r="BB243" s="160">
        <f>SUM(AQ243:AZ243)</f>
        <v/>
      </c>
      <c r="BC243" s="160">
        <f>SUM(M243:V243)</f>
        <v/>
      </c>
    </row>
    <row r="244">
      <c r="A244" s="157" t="n">
        <v>239</v>
      </c>
      <c r="B244" s="159">
        <f>EDATE('Debt Payoff'!$C$6,238)</f>
        <v/>
      </c>
      <c r="C244" s="160">
        <f>MAX(0,ROUND(C243+M244-AQ244,2))</f>
        <v/>
      </c>
      <c r="D244" s="160">
        <f>MAX(0,ROUND(D243+N244-AR244,2))</f>
        <v/>
      </c>
      <c r="E244" s="160">
        <f>MAX(0,ROUND(E243+O244-AS244,2))</f>
        <v/>
      </c>
      <c r="F244" s="160">
        <f>MAX(0,ROUND(F243+P244-AT244,2))</f>
        <v/>
      </c>
      <c r="G244" s="160">
        <f>MAX(0,ROUND(G243+Q244-AU244,2))</f>
        <v/>
      </c>
      <c r="H244" s="160">
        <f>MAX(0,ROUND(H243+R244-AV244,2))</f>
        <v/>
      </c>
      <c r="I244" s="160">
        <f>MAX(0,ROUND(I243+S244-AW244,2))</f>
        <v/>
      </c>
      <c r="J244" s="160">
        <f>MAX(0,ROUND(J243+T244-AX244,2))</f>
        <v/>
      </c>
      <c r="K244" s="160">
        <f>MAX(0,ROUND(K243+U244-AY244,2))</f>
        <v/>
      </c>
      <c r="L244" s="160">
        <f>MAX(0,ROUND(L243+V244-AZ244,2))</f>
        <v/>
      </c>
      <c r="M244" s="160">
        <f>C243*N('Debt Payoff'!$D$15)/12</f>
        <v/>
      </c>
      <c r="N244" s="160">
        <f>D243*N('Debt Payoff'!$D$16)/12</f>
        <v/>
      </c>
      <c r="O244" s="160">
        <f>E243*N('Debt Payoff'!$D$17)/12</f>
        <v/>
      </c>
      <c r="P244" s="160">
        <f>F243*N('Debt Payoff'!$D$18)/12</f>
        <v/>
      </c>
      <c r="Q244" s="160">
        <f>G243*N('Debt Payoff'!$D$19)/12</f>
        <v/>
      </c>
      <c r="R244" s="160">
        <f>H243*N('Debt Payoff'!$D$20)/12</f>
        <v/>
      </c>
      <c r="S244" s="160">
        <f>I243*N('Debt Payoff'!$D$21)/12</f>
        <v/>
      </c>
      <c r="T244" s="160">
        <f>J243*N('Debt Payoff'!$D$22)/12</f>
        <v/>
      </c>
      <c r="U244" s="160">
        <f>K243*N('Debt Payoff'!$D$23)/12</f>
        <v/>
      </c>
      <c r="V244" s="160">
        <f>L243*N('Debt Payoff'!$D$24)/12</f>
        <v/>
      </c>
      <c r="W244" s="160">
        <f>MIN(N('Debt Payoff'!$E$15),C243+M244)</f>
        <v/>
      </c>
      <c r="X244" s="160">
        <f>MIN(N('Debt Payoff'!$E$16),D243+N244)</f>
        <v/>
      </c>
      <c r="Y244" s="160">
        <f>MIN(N('Debt Payoff'!$E$17),E243+O244)</f>
        <v/>
      </c>
      <c r="Z244" s="160">
        <f>MIN(N('Debt Payoff'!$E$18),F243+P244)</f>
        <v/>
      </c>
      <c r="AA244" s="160">
        <f>MIN(N('Debt Payoff'!$E$19),G243+Q244)</f>
        <v/>
      </c>
      <c r="AB244" s="160">
        <f>MIN(N('Debt Payoff'!$E$20),H243+R244)</f>
        <v/>
      </c>
      <c r="AC244" s="160">
        <f>MIN(N('Debt Payoff'!$E$21),I243+S244)</f>
        <v/>
      </c>
      <c r="AD244" s="160">
        <f>MIN(N('Debt Payoff'!$E$22),J243+T244)</f>
        <v/>
      </c>
      <c r="AE244" s="160">
        <f>MIN(N('Debt Payoff'!$E$23),K243+U244)</f>
        <v/>
      </c>
      <c r="AF244" s="160">
        <f>MIN(N('Debt Payoff'!$E$24),L243+V244)</f>
        <v/>
      </c>
      <c r="AG244" s="160">
        <f>C243+M244-W244</f>
        <v/>
      </c>
      <c r="AH244" s="160">
        <f>D243+N244-X244</f>
        <v/>
      </c>
      <c r="AI244" s="160">
        <f>E243+O244-Y244</f>
        <v/>
      </c>
      <c r="AJ244" s="160">
        <f>F243+P244-Z244</f>
        <v/>
      </c>
      <c r="AK244" s="160">
        <f>G243+Q244-AA244</f>
        <v/>
      </c>
      <c r="AL244" s="160">
        <f>H243+R244-AB244</f>
        <v/>
      </c>
      <c r="AM244" s="160">
        <f>I243+S244-AC244</f>
        <v/>
      </c>
      <c r="AN244" s="160">
        <f>J243+T244-AD244</f>
        <v/>
      </c>
      <c r="AO244" s="160">
        <f>K243+U244-AE244</f>
        <v/>
      </c>
      <c r="AP244" s="160">
        <f>L243+V244-AF244</f>
        <v/>
      </c>
      <c r="AQ244" s="160">
        <f>W244+MAX(0,MIN(AG244,'Debt Payoff'!$C$12-SUM($W244:$AF244)-SUMIFS($AG244:$AP244,$AG$4:$AP$4,"&lt;"&amp;AG$4)))</f>
        <v/>
      </c>
      <c r="AR244" s="160">
        <f>X244+MAX(0,MIN(AH244,'Debt Payoff'!$C$12-SUM($W244:$AF244)-SUMIFS($AG244:$AP244,$AG$4:$AP$4,"&lt;"&amp;AH$4)))</f>
        <v/>
      </c>
      <c r="AS244" s="160">
        <f>Y244+MAX(0,MIN(AI244,'Debt Payoff'!$C$12-SUM($W244:$AF244)-SUMIFS($AG244:$AP244,$AG$4:$AP$4,"&lt;"&amp;AI$4)))</f>
        <v/>
      </c>
      <c r="AT244" s="160">
        <f>Z244+MAX(0,MIN(AJ244,'Debt Payoff'!$C$12-SUM($W244:$AF244)-SUMIFS($AG244:$AP244,$AG$4:$AP$4,"&lt;"&amp;AJ$4)))</f>
        <v/>
      </c>
      <c r="AU244" s="160">
        <f>AA244+MAX(0,MIN(AK244,'Debt Payoff'!$C$12-SUM($W244:$AF244)-SUMIFS($AG244:$AP244,$AG$4:$AP$4,"&lt;"&amp;AK$4)))</f>
        <v/>
      </c>
      <c r="AV244" s="160">
        <f>AB244+MAX(0,MIN(AL244,'Debt Payoff'!$C$12-SUM($W244:$AF244)-SUMIFS($AG244:$AP244,$AG$4:$AP$4,"&lt;"&amp;AL$4)))</f>
        <v/>
      </c>
      <c r="AW244" s="160">
        <f>AC244+MAX(0,MIN(AM244,'Debt Payoff'!$C$12-SUM($W244:$AF244)-SUMIFS($AG244:$AP244,$AG$4:$AP$4,"&lt;"&amp;AM$4)))</f>
        <v/>
      </c>
      <c r="AX244" s="160">
        <f>AD244+MAX(0,MIN(AN244,'Debt Payoff'!$C$12-SUM($W244:$AF244)-SUMIFS($AG244:$AP244,$AG$4:$AP$4,"&lt;"&amp;AN$4)))</f>
        <v/>
      </c>
      <c r="AY244" s="160">
        <f>AE244+MAX(0,MIN(AO244,'Debt Payoff'!$C$12-SUM($W244:$AF244)-SUMIFS($AG244:$AP244,$AG$4:$AP$4,"&lt;"&amp;AO$4)))</f>
        <v/>
      </c>
      <c r="AZ244" s="160">
        <f>AF244+MAX(0,MIN(AP244,'Debt Payoff'!$C$12-SUM($W244:$AF244)-SUMIFS($AG244:$AP244,$AG$4:$AP$4,"&lt;"&amp;AP$4)))</f>
        <v/>
      </c>
      <c r="BA244" s="160">
        <f>SUM(C244:L244)</f>
        <v/>
      </c>
      <c r="BB244" s="160">
        <f>SUM(AQ244:AZ244)</f>
        <v/>
      </c>
      <c r="BC244" s="160">
        <f>SUM(M244:V244)</f>
        <v/>
      </c>
    </row>
    <row r="245">
      <c r="A245" s="157" t="n">
        <v>240</v>
      </c>
      <c r="B245" s="159">
        <f>EDATE('Debt Payoff'!$C$6,239)</f>
        <v/>
      </c>
      <c r="C245" s="160">
        <f>MAX(0,ROUND(C244+M245-AQ245,2))</f>
        <v/>
      </c>
      <c r="D245" s="160">
        <f>MAX(0,ROUND(D244+N245-AR245,2))</f>
        <v/>
      </c>
      <c r="E245" s="160">
        <f>MAX(0,ROUND(E244+O245-AS245,2))</f>
        <v/>
      </c>
      <c r="F245" s="160">
        <f>MAX(0,ROUND(F244+P245-AT245,2))</f>
        <v/>
      </c>
      <c r="G245" s="160">
        <f>MAX(0,ROUND(G244+Q245-AU245,2))</f>
        <v/>
      </c>
      <c r="H245" s="160">
        <f>MAX(0,ROUND(H244+R245-AV245,2))</f>
        <v/>
      </c>
      <c r="I245" s="160">
        <f>MAX(0,ROUND(I244+S245-AW245,2))</f>
        <v/>
      </c>
      <c r="J245" s="160">
        <f>MAX(0,ROUND(J244+T245-AX245,2))</f>
        <v/>
      </c>
      <c r="K245" s="160">
        <f>MAX(0,ROUND(K244+U245-AY245,2))</f>
        <v/>
      </c>
      <c r="L245" s="160">
        <f>MAX(0,ROUND(L244+V245-AZ245,2))</f>
        <v/>
      </c>
      <c r="M245" s="160">
        <f>C244*N('Debt Payoff'!$D$15)/12</f>
        <v/>
      </c>
      <c r="N245" s="160">
        <f>D244*N('Debt Payoff'!$D$16)/12</f>
        <v/>
      </c>
      <c r="O245" s="160">
        <f>E244*N('Debt Payoff'!$D$17)/12</f>
        <v/>
      </c>
      <c r="P245" s="160">
        <f>F244*N('Debt Payoff'!$D$18)/12</f>
        <v/>
      </c>
      <c r="Q245" s="160">
        <f>G244*N('Debt Payoff'!$D$19)/12</f>
        <v/>
      </c>
      <c r="R245" s="160">
        <f>H244*N('Debt Payoff'!$D$20)/12</f>
        <v/>
      </c>
      <c r="S245" s="160">
        <f>I244*N('Debt Payoff'!$D$21)/12</f>
        <v/>
      </c>
      <c r="T245" s="160">
        <f>J244*N('Debt Payoff'!$D$22)/12</f>
        <v/>
      </c>
      <c r="U245" s="160">
        <f>K244*N('Debt Payoff'!$D$23)/12</f>
        <v/>
      </c>
      <c r="V245" s="160">
        <f>L244*N('Debt Payoff'!$D$24)/12</f>
        <v/>
      </c>
      <c r="W245" s="160">
        <f>MIN(N('Debt Payoff'!$E$15),C244+M245)</f>
        <v/>
      </c>
      <c r="X245" s="160">
        <f>MIN(N('Debt Payoff'!$E$16),D244+N245)</f>
        <v/>
      </c>
      <c r="Y245" s="160">
        <f>MIN(N('Debt Payoff'!$E$17),E244+O245)</f>
        <v/>
      </c>
      <c r="Z245" s="160">
        <f>MIN(N('Debt Payoff'!$E$18),F244+P245)</f>
        <v/>
      </c>
      <c r="AA245" s="160">
        <f>MIN(N('Debt Payoff'!$E$19),G244+Q245)</f>
        <v/>
      </c>
      <c r="AB245" s="160">
        <f>MIN(N('Debt Payoff'!$E$20),H244+R245)</f>
        <v/>
      </c>
      <c r="AC245" s="160">
        <f>MIN(N('Debt Payoff'!$E$21),I244+S245)</f>
        <v/>
      </c>
      <c r="AD245" s="160">
        <f>MIN(N('Debt Payoff'!$E$22),J244+T245)</f>
        <v/>
      </c>
      <c r="AE245" s="160">
        <f>MIN(N('Debt Payoff'!$E$23),K244+U245)</f>
        <v/>
      </c>
      <c r="AF245" s="160">
        <f>MIN(N('Debt Payoff'!$E$24),L244+V245)</f>
        <v/>
      </c>
      <c r="AG245" s="160">
        <f>C244+M245-W245</f>
        <v/>
      </c>
      <c r="AH245" s="160">
        <f>D244+N245-X245</f>
        <v/>
      </c>
      <c r="AI245" s="160">
        <f>E244+O245-Y245</f>
        <v/>
      </c>
      <c r="AJ245" s="160">
        <f>F244+P245-Z245</f>
        <v/>
      </c>
      <c r="AK245" s="160">
        <f>G244+Q245-AA245</f>
        <v/>
      </c>
      <c r="AL245" s="160">
        <f>H244+R245-AB245</f>
        <v/>
      </c>
      <c r="AM245" s="160">
        <f>I244+S245-AC245</f>
        <v/>
      </c>
      <c r="AN245" s="160">
        <f>J244+T245-AD245</f>
        <v/>
      </c>
      <c r="AO245" s="160">
        <f>K244+U245-AE245</f>
        <v/>
      </c>
      <c r="AP245" s="160">
        <f>L244+V245-AF245</f>
        <v/>
      </c>
      <c r="AQ245" s="160">
        <f>W245+MAX(0,MIN(AG245,'Debt Payoff'!$C$12-SUM($W245:$AF245)-SUMIFS($AG245:$AP245,$AG$4:$AP$4,"&lt;"&amp;AG$4)))</f>
        <v/>
      </c>
      <c r="AR245" s="160">
        <f>X245+MAX(0,MIN(AH245,'Debt Payoff'!$C$12-SUM($W245:$AF245)-SUMIFS($AG245:$AP245,$AG$4:$AP$4,"&lt;"&amp;AH$4)))</f>
        <v/>
      </c>
      <c r="AS245" s="160">
        <f>Y245+MAX(0,MIN(AI245,'Debt Payoff'!$C$12-SUM($W245:$AF245)-SUMIFS($AG245:$AP245,$AG$4:$AP$4,"&lt;"&amp;AI$4)))</f>
        <v/>
      </c>
      <c r="AT245" s="160">
        <f>Z245+MAX(0,MIN(AJ245,'Debt Payoff'!$C$12-SUM($W245:$AF245)-SUMIFS($AG245:$AP245,$AG$4:$AP$4,"&lt;"&amp;AJ$4)))</f>
        <v/>
      </c>
      <c r="AU245" s="160">
        <f>AA245+MAX(0,MIN(AK245,'Debt Payoff'!$C$12-SUM($W245:$AF245)-SUMIFS($AG245:$AP245,$AG$4:$AP$4,"&lt;"&amp;AK$4)))</f>
        <v/>
      </c>
      <c r="AV245" s="160">
        <f>AB245+MAX(0,MIN(AL245,'Debt Payoff'!$C$12-SUM($W245:$AF245)-SUMIFS($AG245:$AP245,$AG$4:$AP$4,"&lt;"&amp;AL$4)))</f>
        <v/>
      </c>
      <c r="AW245" s="160">
        <f>AC245+MAX(0,MIN(AM245,'Debt Payoff'!$C$12-SUM($W245:$AF245)-SUMIFS($AG245:$AP245,$AG$4:$AP$4,"&lt;"&amp;AM$4)))</f>
        <v/>
      </c>
      <c r="AX245" s="160">
        <f>AD245+MAX(0,MIN(AN245,'Debt Payoff'!$C$12-SUM($W245:$AF245)-SUMIFS($AG245:$AP245,$AG$4:$AP$4,"&lt;"&amp;AN$4)))</f>
        <v/>
      </c>
      <c r="AY245" s="160">
        <f>AE245+MAX(0,MIN(AO245,'Debt Payoff'!$C$12-SUM($W245:$AF245)-SUMIFS($AG245:$AP245,$AG$4:$AP$4,"&lt;"&amp;AO$4)))</f>
        <v/>
      </c>
      <c r="AZ245" s="160">
        <f>AF245+MAX(0,MIN(AP245,'Debt Payoff'!$C$12-SUM($W245:$AF245)-SUMIFS($AG245:$AP245,$AG$4:$AP$4,"&lt;"&amp;AP$4)))</f>
        <v/>
      </c>
      <c r="BA245" s="160">
        <f>SUM(C245:L245)</f>
        <v/>
      </c>
      <c r="BB245" s="160">
        <f>SUM(AQ245:AZ245)</f>
        <v/>
      </c>
      <c r="BC245" s="160">
        <f>SUM(M245:V245)</f>
        <v/>
      </c>
    </row>
    <row r="246">
      <c r="A246" s="157" t="n">
        <v>241</v>
      </c>
      <c r="B246" s="159">
        <f>EDATE('Debt Payoff'!$C$6,240)</f>
        <v/>
      </c>
      <c r="C246" s="160">
        <f>MAX(0,ROUND(C245+M246-AQ246,2))</f>
        <v/>
      </c>
      <c r="D246" s="160">
        <f>MAX(0,ROUND(D245+N246-AR246,2))</f>
        <v/>
      </c>
      <c r="E246" s="160">
        <f>MAX(0,ROUND(E245+O246-AS246,2))</f>
        <v/>
      </c>
      <c r="F246" s="160">
        <f>MAX(0,ROUND(F245+P246-AT246,2))</f>
        <v/>
      </c>
      <c r="G246" s="160">
        <f>MAX(0,ROUND(G245+Q246-AU246,2))</f>
        <v/>
      </c>
      <c r="H246" s="160">
        <f>MAX(0,ROUND(H245+R246-AV246,2))</f>
        <v/>
      </c>
      <c r="I246" s="160">
        <f>MAX(0,ROUND(I245+S246-AW246,2))</f>
        <v/>
      </c>
      <c r="J246" s="160">
        <f>MAX(0,ROUND(J245+T246-AX246,2))</f>
        <v/>
      </c>
      <c r="K246" s="160">
        <f>MAX(0,ROUND(K245+U246-AY246,2))</f>
        <v/>
      </c>
      <c r="L246" s="160">
        <f>MAX(0,ROUND(L245+V246-AZ246,2))</f>
        <v/>
      </c>
      <c r="M246" s="160">
        <f>C245*N('Debt Payoff'!$D$15)/12</f>
        <v/>
      </c>
      <c r="N246" s="160">
        <f>D245*N('Debt Payoff'!$D$16)/12</f>
        <v/>
      </c>
      <c r="O246" s="160">
        <f>E245*N('Debt Payoff'!$D$17)/12</f>
        <v/>
      </c>
      <c r="P246" s="160">
        <f>F245*N('Debt Payoff'!$D$18)/12</f>
        <v/>
      </c>
      <c r="Q246" s="160">
        <f>G245*N('Debt Payoff'!$D$19)/12</f>
        <v/>
      </c>
      <c r="R246" s="160">
        <f>H245*N('Debt Payoff'!$D$20)/12</f>
        <v/>
      </c>
      <c r="S246" s="160">
        <f>I245*N('Debt Payoff'!$D$21)/12</f>
        <v/>
      </c>
      <c r="T246" s="160">
        <f>J245*N('Debt Payoff'!$D$22)/12</f>
        <v/>
      </c>
      <c r="U246" s="160">
        <f>K245*N('Debt Payoff'!$D$23)/12</f>
        <v/>
      </c>
      <c r="V246" s="160">
        <f>L245*N('Debt Payoff'!$D$24)/12</f>
        <v/>
      </c>
      <c r="W246" s="160">
        <f>MIN(N('Debt Payoff'!$E$15),C245+M246)</f>
        <v/>
      </c>
      <c r="X246" s="160">
        <f>MIN(N('Debt Payoff'!$E$16),D245+N246)</f>
        <v/>
      </c>
      <c r="Y246" s="160">
        <f>MIN(N('Debt Payoff'!$E$17),E245+O246)</f>
        <v/>
      </c>
      <c r="Z246" s="160">
        <f>MIN(N('Debt Payoff'!$E$18),F245+P246)</f>
        <v/>
      </c>
      <c r="AA246" s="160">
        <f>MIN(N('Debt Payoff'!$E$19),G245+Q246)</f>
        <v/>
      </c>
      <c r="AB246" s="160">
        <f>MIN(N('Debt Payoff'!$E$20),H245+R246)</f>
        <v/>
      </c>
      <c r="AC246" s="160">
        <f>MIN(N('Debt Payoff'!$E$21),I245+S246)</f>
        <v/>
      </c>
      <c r="AD246" s="160">
        <f>MIN(N('Debt Payoff'!$E$22),J245+T246)</f>
        <v/>
      </c>
      <c r="AE246" s="160">
        <f>MIN(N('Debt Payoff'!$E$23),K245+U246)</f>
        <v/>
      </c>
      <c r="AF246" s="160">
        <f>MIN(N('Debt Payoff'!$E$24),L245+V246)</f>
        <v/>
      </c>
      <c r="AG246" s="160">
        <f>C245+M246-W246</f>
        <v/>
      </c>
      <c r="AH246" s="160">
        <f>D245+N246-X246</f>
        <v/>
      </c>
      <c r="AI246" s="160">
        <f>E245+O246-Y246</f>
        <v/>
      </c>
      <c r="AJ246" s="160">
        <f>F245+P246-Z246</f>
        <v/>
      </c>
      <c r="AK246" s="160">
        <f>G245+Q246-AA246</f>
        <v/>
      </c>
      <c r="AL246" s="160">
        <f>H245+R246-AB246</f>
        <v/>
      </c>
      <c r="AM246" s="160">
        <f>I245+S246-AC246</f>
        <v/>
      </c>
      <c r="AN246" s="160">
        <f>J245+T246-AD246</f>
        <v/>
      </c>
      <c r="AO246" s="160">
        <f>K245+U246-AE246</f>
        <v/>
      </c>
      <c r="AP246" s="160">
        <f>L245+V246-AF246</f>
        <v/>
      </c>
      <c r="AQ246" s="160">
        <f>W246+MAX(0,MIN(AG246,'Debt Payoff'!$C$12-SUM($W246:$AF246)-SUMIFS($AG246:$AP246,$AG$4:$AP$4,"&lt;"&amp;AG$4)))</f>
        <v/>
      </c>
      <c r="AR246" s="160">
        <f>X246+MAX(0,MIN(AH246,'Debt Payoff'!$C$12-SUM($W246:$AF246)-SUMIFS($AG246:$AP246,$AG$4:$AP$4,"&lt;"&amp;AH$4)))</f>
        <v/>
      </c>
      <c r="AS246" s="160">
        <f>Y246+MAX(0,MIN(AI246,'Debt Payoff'!$C$12-SUM($W246:$AF246)-SUMIFS($AG246:$AP246,$AG$4:$AP$4,"&lt;"&amp;AI$4)))</f>
        <v/>
      </c>
      <c r="AT246" s="160">
        <f>Z246+MAX(0,MIN(AJ246,'Debt Payoff'!$C$12-SUM($W246:$AF246)-SUMIFS($AG246:$AP246,$AG$4:$AP$4,"&lt;"&amp;AJ$4)))</f>
        <v/>
      </c>
      <c r="AU246" s="160">
        <f>AA246+MAX(0,MIN(AK246,'Debt Payoff'!$C$12-SUM($W246:$AF246)-SUMIFS($AG246:$AP246,$AG$4:$AP$4,"&lt;"&amp;AK$4)))</f>
        <v/>
      </c>
      <c r="AV246" s="160">
        <f>AB246+MAX(0,MIN(AL246,'Debt Payoff'!$C$12-SUM($W246:$AF246)-SUMIFS($AG246:$AP246,$AG$4:$AP$4,"&lt;"&amp;AL$4)))</f>
        <v/>
      </c>
      <c r="AW246" s="160">
        <f>AC246+MAX(0,MIN(AM246,'Debt Payoff'!$C$12-SUM($W246:$AF246)-SUMIFS($AG246:$AP246,$AG$4:$AP$4,"&lt;"&amp;AM$4)))</f>
        <v/>
      </c>
      <c r="AX246" s="160">
        <f>AD246+MAX(0,MIN(AN246,'Debt Payoff'!$C$12-SUM($W246:$AF246)-SUMIFS($AG246:$AP246,$AG$4:$AP$4,"&lt;"&amp;AN$4)))</f>
        <v/>
      </c>
      <c r="AY246" s="160">
        <f>AE246+MAX(0,MIN(AO246,'Debt Payoff'!$C$12-SUM($W246:$AF246)-SUMIFS($AG246:$AP246,$AG$4:$AP$4,"&lt;"&amp;AO$4)))</f>
        <v/>
      </c>
      <c r="AZ246" s="160">
        <f>AF246+MAX(0,MIN(AP246,'Debt Payoff'!$C$12-SUM($W246:$AF246)-SUMIFS($AG246:$AP246,$AG$4:$AP$4,"&lt;"&amp;AP$4)))</f>
        <v/>
      </c>
      <c r="BA246" s="160">
        <f>SUM(C246:L246)</f>
        <v/>
      </c>
      <c r="BB246" s="160">
        <f>SUM(AQ246:AZ246)</f>
        <v/>
      </c>
      <c r="BC246" s="160">
        <f>SUM(M246:V246)</f>
        <v/>
      </c>
    </row>
    <row r="247">
      <c r="A247" s="157" t="n">
        <v>242</v>
      </c>
      <c r="B247" s="159">
        <f>EDATE('Debt Payoff'!$C$6,241)</f>
        <v/>
      </c>
      <c r="C247" s="160">
        <f>MAX(0,ROUND(C246+M247-AQ247,2))</f>
        <v/>
      </c>
      <c r="D247" s="160">
        <f>MAX(0,ROUND(D246+N247-AR247,2))</f>
        <v/>
      </c>
      <c r="E247" s="160">
        <f>MAX(0,ROUND(E246+O247-AS247,2))</f>
        <v/>
      </c>
      <c r="F247" s="160">
        <f>MAX(0,ROUND(F246+P247-AT247,2))</f>
        <v/>
      </c>
      <c r="G247" s="160">
        <f>MAX(0,ROUND(G246+Q247-AU247,2))</f>
        <v/>
      </c>
      <c r="H247" s="160">
        <f>MAX(0,ROUND(H246+R247-AV247,2))</f>
        <v/>
      </c>
      <c r="I247" s="160">
        <f>MAX(0,ROUND(I246+S247-AW247,2))</f>
        <v/>
      </c>
      <c r="J247" s="160">
        <f>MAX(0,ROUND(J246+T247-AX247,2))</f>
        <v/>
      </c>
      <c r="K247" s="160">
        <f>MAX(0,ROUND(K246+U247-AY247,2))</f>
        <v/>
      </c>
      <c r="L247" s="160">
        <f>MAX(0,ROUND(L246+V247-AZ247,2))</f>
        <v/>
      </c>
      <c r="M247" s="160">
        <f>C246*N('Debt Payoff'!$D$15)/12</f>
        <v/>
      </c>
      <c r="N247" s="160">
        <f>D246*N('Debt Payoff'!$D$16)/12</f>
        <v/>
      </c>
      <c r="O247" s="160">
        <f>E246*N('Debt Payoff'!$D$17)/12</f>
        <v/>
      </c>
      <c r="P247" s="160">
        <f>F246*N('Debt Payoff'!$D$18)/12</f>
        <v/>
      </c>
      <c r="Q247" s="160">
        <f>G246*N('Debt Payoff'!$D$19)/12</f>
        <v/>
      </c>
      <c r="R247" s="160">
        <f>H246*N('Debt Payoff'!$D$20)/12</f>
        <v/>
      </c>
      <c r="S247" s="160">
        <f>I246*N('Debt Payoff'!$D$21)/12</f>
        <v/>
      </c>
      <c r="T247" s="160">
        <f>J246*N('Debt Payoff'!$D$22)/12</f>
        <v/>
      </c>
      <c r="U247" s="160">
        <f>K246*N('Debt Payoff'!$D$23)/12</f>
        <v/>
      </c>
      <c r="V247" s="160">
        <f>L246*N('Debt Payoff'!$D$24)/12</f>
        <v/>
      </c>
      <c r="W247" s="160">
        <f>MIN(N('Debt Payoff'!$E$15),C246+M247)</f>
        <v/>
      </c>
      <c r="X247" s="160">
        <f>MIN(N('Debt Payoff'!$E$16),D246+N247)</f>
        <v/>
      </c>
      <c r="Y247" s="160">
        <f>MIN(N('Debt Payoff'!$E$17),E246+O247)</f>
        <v/>
      </c>
      <c r="Z247" s="160">
        <f>MIN(N('Debt Payoff'!$E$18),F246+P247)</f>
        <v/>
      </c>
      <c r="AA247" s="160">
        <f>MIN(N('Debt Payoff'!$E$19),G246+Q247)</f>
        <v/>
      </c>
      <c r="AB247" s="160">
        <f>MIN(N('Debt Payoff'!$E$20),H246+R247)</f>
        <v/>
      </c>
      <c r="AC247" s="160">
        <f>MIN(N('Debt Payoff'!$E$21),I246+S247)</f>
        <v/>
      </c>
      <c r="AD247" s="160">
        <f>MIN(N('Debt Payoff'!$E$22),J246+T247)</f>
        <v/>
      </c>
      <c r="AE247" s="160">
        <f>MIN(N('Debt Payoff'!$E$23),K246+U247)</f>
        <v/>
      </c>
      <c r="AF247" s="160">
        <f>MIN(N('Debt Payoff'!$E$24),L246+V247)</f>
        <v/>
      </c>
      <c r="AG247" s="160">
        <f>C246+M247-W247</f>
        <v/>
      </c>
      <c r="AH247" s="160">
        <f>D246+N247-X247</f>
        <v/>
      </c>
      <c r="AI247" s="160">
        <f>E246+O247-Y247</f>
        <v/>
      </c>
      <c r="AJ247" s="160">
        <f>F246+P247-Z247</f>
        <v/>
      </c>
      <c r="AK247" s="160">
        <f>G246+Q247-AA247</f>
        <v/>
      </c>
      <c r="AL247" s="160">
        <f>H246+R247-AB247</f>
        <v/>
      </c>
      <c r="AM247" s="160">
        <f>I246+S247-AC247</f>
        <v/>
      </c>
      <c r="AN247" s="160">
        <f>J246+T247-AD247</f>
        <v/>
      </c>
      <c r="AO247" s="160">
        <f>K246+U247-AE247</f>
        <v/>
      </c>
      <c r="AP247" s="160">
        <f>L246+V247-AF247</f>
        <v/>
      </c>
      <c r="AQ247" s="160">
        <f>W247+MAX(0,MIN(AG247,'Debt Payoff'!$C$12-SUM($W247:$AF247)-SUMIFS($AG247:$AP247,$AG$4:$AP$4,"&lt;"&amp;AG$4)))</f>
        <v/>
      </c>
      <c r="AR247" s="160">
        <f>X247+MAX(0,MIN(AH247,'Debt Payoff'!$C$12-SUM($W247:$AF247)-SUMIFS($AG247:$AP247,$AG$4:$AP$4,"&lt;"&amp;AH$4)))</f>
        <v/>
      </c>
      <c r="AS247" s="160">
        <f>Y247+MAX(0,MIN(AI247,'Debt Payoff'!$C$12-SUM($W247:$AF247)-SUMIFS($AG247:$AP247,$AG$4:$AP$4,"&lt;"&amp;AI$4)))</f>
        <v/>
      </c>
      <c r="AT247" s="160">
        <f>Z247+MAX(0,MIN(AJ247,'Debt Payoff'!$C$12-SUM($W247:$AF247)-SUMIFS($AG247:$AP247,$AG$4:$AP$4,"&lt;"&amp;AJ$4)))</f>
        <v/>
      </c>
      <c r="AU247" s="160">
        <f>AA247+MAX(0,MIN(AK247,'Debt Payoff'!$C$12-SUM($W247:$AF247)-SUMIFS($AG247:$AP247,$AG$4:$AP$4,"&lt;"&amp;AK$4)))</f>
        <v/>
      </c>
      <c r="AV247" s="160">
        <f>AB247+MAX(0,MIN(AL247,'Debt Payoff'!$C$12-SUM($W247:$AF247)-SUMIFS($AG247:$AP247,$AG$4:$AP$4,"&lt;"&amp;AL$4)))</f>
        <v/>
      </c>
      <c r="AW247" s="160">
        <f>AC247+MAX(0,MIN(AM247,'Debt Payoff'!$C$12-SUM($W247:$AF247)-SUMIFS($AG247:$AP247,$AG$4:$AP$4,"&lt;"&amp;AM$4)))</f>
        <v/>
      </c>
      <c r="AX247" s="160">
        <f>AD247+MAX(0,MIN(AN247,'Debt Payoff'!$C$12-SUM($W247:$AF247)-SUMIFS($AG247:$AP247,$AG$4:$AP$4,"&lt;"&amp;AN$4)))</f>
        <v/>
      </c>
      <c r="AY247" s="160">
        <f>AE247+MAX(0,MIN(AO247,'Debt Payoff'!$C$12-SUM($W247:$AF247)-SUMIFS($AG247:$AP247,$AG$4:$AP$4,"&lt;"&amp;AO$4)))</f>
        <v/>
      </c>
      <c r="AZ247" s="160">
        <f>AF247+MAX(0,MIN(AP247,'Debt Payoff'!$C$12-SUM($W247:$AF247)-SUMIFS($AG247:$AP247,$AG$4:$AP$4,"&lt;"&amp;AP$4)))</f>
        <v/>
      </c>
      <c r="BA247" s="160">
        <f>SUM(C247:L247)</f>
        <v/>
      </c>
      <c r="BB247" s="160">
        <f>SUM(AQ247:AZ247)</f>
        <v/>
      </c>
      <c r="BC247" s="160">
        <f>SUM(M247:V247)</f>
        <v/>
      </c>
    </row>
    <row r="248">
      <c r="A248" s="157" t="n">
        <v>243</v>
      </c>
      <c r="B248" s="159">
        <f>EDATE('Debt Payoff'!$C$6,242)</f>
        <v/>
      </c>
      <c r="C248" s="160">
        <f>MAX(0,ROUND(C247+M248-AQ248,2))</f>
        <v/>
      </c>
      <c r="D248" s="160">
        <f>MAX(0,ROUND(D247+N248-AR248,2))</f>
        <v/>
      </c>
      <c r="E248" s="160">
        <f>MAX(0,ROUND(E247+O248-AS248,2))</f>
        <v/>
      </c>
      <c r="F248" s="160">
        <f>MAX(0,ROUND(F247+P248-AT248,2))</f>
        <v/>
      </c>
      <c r="G248" s="160">
        <f>MAX(0,ROUND(G247+Q248-AU248,2))</f>
        <v/>
      </c>
      <c r="H248" s="160">
        <f>MAX(0,ROUND(H247+R248-AV248,2))</f>
        <v/>
      </c>
      <c r="I248" s="160">
        <f>MAX(0,ROUND(I247+S248-AW248,2))</f>
        <v/>
      </c>
      <c r="J248" s="160">
        <f>MAX(0,ROUND(J247+T248-AX248,2))</f>
        <v/>
      </c>
      <c r="K248" s="160">
        <f>MAX(0,ROUND(K247+U248-AY248,2))</f>
        <v/>
      </c>
      <c r="L248" s="160">
        <f>MAX(0,ROUND(L247+V248-AZ248,2))</f>
        <v/>
      </c>
      <c r="M248" s="160">
        <f>C247*N('Debt Payoff'!$D$15)/12</f>
        <v/>
      </c>
      <c r="N248" s="160">
        <f>D247*N('Debt Payoff'!$D$16)/12</f>
        <v/>
      </c>
      <c r="O248" s="160">
        <f>E247*N('Debt Payoff'!$D$17)/12</f>
        <v/>
      </c>
      <c r="P248" s="160">
        <f>F247*N('Debt Payoff'!$D$18)/12</f>
        <v/>
      </c>
      <c r="Q248" s="160">
        <f>G247*N('Debt Payoff'!$D$19)/12</f>
        <v/>
      </c>
      <c r="R248" s="160">
        <f>H247*N('Debt Payoff'!$D$20)/12</f>
        <v/>
      </c>
      <c r="S248" s="160">
        <f>I247*N('Debt Payoff'!$D$21)/12</f>
        <v/>
      </c>
      <c r="T248" s="160">
        <f>J247*N('Debt Payoff'!$D$22)/12</f>
        <v/>
      </c>
      <c r="U248" s="160">
        <f>K247*N('Debt Payoff'!$D$23)/12</f>
        <v/>
      </c>
      <c r="V248" s="160">
        <f>L247*N('Debt Payoff'!$D$24)/12</f>
        <v/>
      </c>
      <c r="W248" s="160">
        <f>MIN(N('Debt Payoff'!$E$15),C247+M248)</f>
        <v/>
      </c>
      <c r="X248" s="160">
        <f>MIN(N('Debt Payoff'!$E$16),D247+N248)</f>
        <v/>
      </c>
      <c r="Y248" s="160">
        <f>MIN(N('Debt Payoff'!$E$17),E247+O248)</f>
        <v/>
      </c>
      <c r="Z248" s="160">
        <f>MIN(N('Debt Payoff'!$E$18),F247+P248)</f>
        <v/>
      </c>
      <c r="AA248" s="160">
        <f>MIN(N('Debt Payoff'!$E$19),G247+Q248)</f>
        <v/>
      </c>
      <c r="AB248" s="160">
        <f>MIN(N('Debt Payoff'!$E$20),H247+R248)</f>
        <v/>
      </c>
      <c r="AC248" s="160">
        <f>MIN(N('Debt Payoff'!$E$21),I247+S248)</f>
        <v/>
      </c>
      <c r="AD248" s="160">
        <f>MIN(N('Debt Payoff'!$E$22),J247+T248)</f>
        <v/>
      </c>
      <c r="AE248" s="160">
        <f>MIN(N('Debt Payoff'!$E$23),K247+U248)</f>
        <v/>
      </c>
      <c r="AF248" s="160">
        <f>MIN(N('Debt Payoff'!$E$24),L247+V248)</f>
        <v/>
      </c>
      <c r="AG248" s="160">
        <f>C247+M248-W248</f>
        <v/>
      </c>
      <c r="AH248" s="160">
        <f>D247+N248-X248</f>
        <v/>
      </c>
      <c r="AI248" s="160">
        <f>E247+O248-Y248</f>
        <v/>
      </c>
      <c r="AJ248" s="160">
        <f>F247+P248-Z248</f>
        <v/>
      </c>
      <c r="AK248" s="160">
        <f>G247+Q248-AA248</f>
        <v/>
      </c>
      <c r="AL248" s="160">
        <f>H247+R248-AB248</f>
        <v/>
      </c>
      <c r="AM248" s="160">
        <f>I247+S248-AC248</f>
        <v/>
      </c>
      <c r="AN248" s="160">
        <f>J247+T248-AD248</f>
        <v/>
      </c>
      <c r="AO248" s="160">
        <f>K247+U248-AE248</f>
        <v/>
      </c>
      <c r="AP248" s="160">
        <f>L247+V248-AF248</f>
        <v/>
      </c>
      <c r="AQ248" s="160">
        <f>W248+MAX(0,MIN(AG248,'Debt Payoff'!$C$12-SUM($W248:$AF248)-SUMIFS($AG248:$AP248,$AG$4:$AP$4,"&lt;"&amp;AG$4)))</f>
        <v/>
      </c>
      <c r="AR248" s="160">
        <f>X248+MAX(0,MIN(AH248,'Debt Payoff'!$C$12-SUM($W248:$AF248)-SUMIFS($AG248:$AP248,$AG$4:$AP$4,"&lt;"&amp;AH$4)))</f>
        <v/>
      </c>
      <c r="AS248" s="160">
        <f>Y248+MAX(0,MIN(AI248,'Debt Payoff'!$C$12-SUM($W248:$AF248)-SUMIFS($AG248:$AP248,$AG$4:$AP$4,"&lt;"&amp;AI$4)))</f>
        <v/>
      </c>
      <c r="AT248" s="160">
        <f>Z248+MAX(0,MIN(AJ248,'Debt Payoff'!$C$12-SUM($W248:$AF248)-SUMIFS($AG248:$AP248,$AG$4:$AP$4,"&lt;"&amp;AJ$4)))</f>
        <v/>
      </c>
      <c r="AU248" s="160">
        <f>AA248+MAX(0,MIN(AK248,'Debt Payoff'!$C$12-SUM($W248:$AF248)-SUMIFS($AG248:$AP248,$AG$4:$AP$4,"&lt;"&amp;AK$4)))</f>
        <v/>
      </c>
      <c r="AV248" s="160">
        <f>AB248+MAX(0,MIN(AL248,'Debt Payoff'!$C$12-SUM($W248:$AF248)-SUMIFS($AG248:$AP248,$AG$4:$AP$4,"&lt;"&amp;AL$4)))</f>
        <v/>
      </c>
      <c r="AW248" s="160">
        <f>AC248+MAX(0,MIN(AM248,'Debt Payoff'!$C$12-SUM($W248:$AF248)-SUMIFS($AG248:$AP248,$AG$4:$AP$4,"&lt;"&amp;AM$4)))</f>
        <v/>
      </c>
      <c r="AX248" s="160">
        <f>AD248+MAX(0,MIN(AN248,'Debt Payoff'!$C$12-SUM($W248:$AF248)-SUMIFS($AG248:$AP248,$AG$4:$AP$4,"&lt;"&amp;AN$4)))</f>
        <v/>
      </c>
      <c r="AY248" s="160">
        <f>AE248+MAX(0,MIN(AO248,'Debt Payoff'!$C$12-SUM($W248:$AF248)-SUMIFS($AG248:$AP248,$AG$4:$AP$4,"&lt;"&amp;AO$4)))</f>
        <v/>
      </c>
      <c r="AZ248" s="160">
        <f>AF248+MAX(0,MIN(AP248,'Debt Payoff'!$C$12-SUM($W248:$AF248)-SUMIFS($AG248:$AP248,$AG$4:$AP$4,"&lt;"&amp;AP$4)))</f>
        <v/>
      </c>
      <c r="BA248" s="160">
        <f>SUM(C248:L248)</f>
        <v/>
      </c>
      <c r="BB248" s="160">
        <f>SUM(AQ248:AZ248)</f>
        <v/>
      </c>
      <c r="BC248" s="160">
        <f>SUM(M248:V248)</f>
        <v/>
      </c>
    </row>
    <row r="249">
      <c r="A249" s="157" t="n">
        <v>244</v>
      </c>
      <c r="B249" s="159">
        <f>EDATE('Debt Payoff'!$C$6,243)</f>
        <v/>
      </c>
      <c r="C249" s="160">
        <f>MAX(0,ROUND(C248+M249-AQ249,2))</f>
        <v/>
      </c>
      <c r="D249" s="160">
        <f>MAX(0,ROUND(D248+N249-AR249,2))</f>
        <v/>
      </c>
      <c r="E249" s="160">
        <f>MAX(0,ROUND(E248+O249-AS249,2))</f>
        <v/>
      </c>
      <c r="F249" s="160">
        <f>MAX(0,ROUND(F248+P249-AT249,2))</f>
        <v/>
      </c>
      <c r="G249" s="160">
        <f>MAX(0,ROUND(G248+Q249-AU249,2))</f>
        <v/>
      </c>
      <c r="H249" s="160">
        <f>MAX(0,ROUND(H248+R249-AV249,2))</f>
        <v/>
      </c>
      <c r="I249" s="160">
        <f>MAX(0,ROUND(I248+S249-AW249,2))</f>
        <v/>
      </c>
      <c r="J249" s="160">
        <f>MAX(0,ROUND(J248+T249-AX249,2))</f>
        <v/>
      </c>
      <c r="K249" s="160">
        <f>MAX(0,ROUND(K248+U249-AY249,2))</f>
        <v/>
      </c>
      <c r="L249" s="160">
        <f>MAX(0,ROUND(L248+V249-AZ249,2))</f>
        <v/>
      </c>
      <c r="M249" s="160">
        <f>C248*N('Debt Payoff'!$D$15)/12</f>
        <v/>
      </c>
      <c r="N249" s="160">
        <f>D248*N('Debt Payoff'!$D$16)/12</f>
        <v/>
      </c>
      <c r="O249" s="160">
        <f>E248*N('Debt Payoff'!$D$17)/12</f>
        <v/>
      </c>
      <c r="P249" s="160">
        <f>F248*N('Debt Payoff'!$D$18)/12</f>
        <v/>
      </c>
      <c r="Q249" s="160">
        <f>G248*N('Debt Payoff'!$D$19)/12</f>
        <v/>
      </c>
      <c r="R249" s="160">
        <f>H248*N('Debt Payoff'!$D$20)/12</f>
        <v/>
      </c>
      <c r="S249" s="160">
        <f>I248*N('Debt Payoff'!$D$21)/12</f>
        <v/>
      </c>
      <c r="T249" s="160">
        <f>J248*N('Debt Payoff'!$D$22)/12</f>
        <v/>
      </c>
      <c r="U249" s="160">
        <f>K248*N('Debt Payoff'!$D$23)/12</f>
        <v/>
      </c>
      <c r="V249" s="160">
        <f>L248*N('Debt Payoff'!$D$24)/12</f>
        <v/>
      </c>
      <c r="W249" s="160">
        <f>MIN(N('Debt Payoff'!$E$15),C248+M249)</f>
        <v/>
      </c>
      <c r="X249" s="160">
        <f>MIN(N('Debt Payoff'!$E$16),D248+N249)</f>
        <v/>
      </c>
      <c r="Y249" s="160">
        <f>MIN(N('Debt Payoff'!$E$17),E248+O249)</f>
        <v/>
      </c>
      <c r="Z249" s="160">
        <f>MIN(N('Debt Payoff'!$E$18),F248+P249)</f>
        <v/>
      </c>
      <c r="AA249" s="160">
        <f>MIN(N('Debt Payoff'!$E$19),G248+Q249)</f>
        <v/>
      </c>
      <c r="AB249" s="160">
        <f>MIN(N('Debt Payoff'!$E$20),H248+R249)</f>
        <v/>
      </c>
      <c r="AC249" s="160">
        <f>MIN(N('Debt Payoff'!$E$21),I248+S249)</f>
        <v/>
      </c>
      <c r="AD249" s="160">
        <f>MIN(N('Debt Payoff'!$E$22),J248+T249)</f>
        <v/>
      </c>
      <c r="AE249" s="160">
        <f>MIN(N('Debt Payoff'!$E$23),K248+U249)</f>
        <v/>
      </c>
      <c r="AF249" s="160">
        <f>MIN(N('Debt Payoff'!$E$24),L248+V249)</f>
        <v/>
      </c>
      <c r="AG249" s="160">
        <f>C248+M249-W249</f>
        <v/>
      </c>
      <c r="AH249" s="160">
        <f>D248+N249-X249</f>
        <v/>
      </c>
      <c r="AI249" s="160">
        <f>E248+O249-Y249</f>
        <v/>
      </c>
      <c r="AJ249" s="160">
        <f>F248+P249-Z249</f>
        <v/>
      </c>
      <c r="AK249" s="160">
        <f>G248+Q249-AA249</f>
        <v/>
      </c>
      <c r="AL249" s="160">
        <f>H248+R249-AB249</f>
        <v/>
      </c>
      <c r="AM249" s="160">
        <f>I248+S249-AC249</f>
        <v/>
      </c>
      <c r="AN249" s="160">
        <f>J248+T249-AD249</f>
        <v/>
      </c>
      <c r="AO249" s="160">
        <f>K248+U249-AE249</f>
        <v/>
      </c>
      <c r="AP249" s="160">
        <f>L248+V249-AF249</f>
        <v/>
      </c>
      <c r="AQ249" s="160">
        <f>W249+MAX(0,MIN(AG249,'Debt Payoff'!$C$12-SUM($W249:$AF249)-SUMIFS($AG249:$AP249,$AG$4:$AP$4,"&lt;"&amp;AG$4)))</f>
        <v/>
      </c>
      <c r="AR249" s="160">
        <f>X249+MAX(0,MIN(AH249,'Debt Payoff'!$C$12-SUM($W249:$AF249)-SUMIFS($AG249:$AP249,$AG$4:$AP$4,"&lt;"&amp;AH$4)))</f>
        <v/>
      </c>
      <c r="AS249" s="160">
        <f>Y249+MAX(0,MIN(AI249,'Debt Payoff'!$C$12-SUM($W249:$AF249)-SUMIFS($AG249:$AP249,$AG$4:$AP$4,"&lt;"&amp;AI$4)))</f>
        <v/>
      </c>
      <c r="AT249" s="160">
        <f>Z249+MAX(0,MIN(AJ249,'Debt Payoff'!$C$12-SUM($W249:$AF249)-SUMIFS($AG249:$AP249,$AG$4:$AP$4,"&lt;"&amp;AJ$4)))</f>
        <v/>
      </c>
      <c r="AU249" s="160">
        <f>AA249+MAX(0,MIN(AK249,'Debt Payoff'!$C$12-SUM($W249:$AF249)-SUMIFS($AG249:$AP249,$AG$4:$AP$4,"&lt;"&amp;AK$4)))</f>
        <v/>
      </c>
      <c r="AV249" s="160">
        <f>AB249+MAX(0,MIN(AL249,'Debt Payoff'!$C$12-SUM($W249:$AF249)-SUMIFS($AG249:$AP249,$AG$4:$AP$4,"&lt;"&amp;AL$4)))</f>
        <v/>
      </c>
      <c r="AW249" s="160">
        <f>AC249+MAX(0,MIN(AM249,'Debt Payoff'!$C$12-SUM($W249:$AF249)-SUMIFS($AG249:$AP249,$AG$4:$AP$4,"&lt;"&amp;AM$4)))</f>
        <v/>
      </c>
      <c r="AX249" s="160">
        <f>AD249+MAX(0,MIN(AN249,'Debt Payoff'!$C$12-SUM($W249:$AF249)-SUMIFS($AG249:$AP249,$AG$4:$AP$4,"&lt;"&amp;AN$4)))</f>
        <v/>
      </c>
      <c r="AY249" s="160">
        <f>AE249+MAX(0,MIN(AO249,'Debt Payoff'!$C$12-SUM($W249:$AF249)-SUMIFS($AG249:$AP249,$AG$4:$AP$4,"&lt;"&amp;AO$4)))</f>
        <v/>
      </c>
      <c r="AZ249" s="160">
        <f>AF249+MAX(0,MIN(AP249,'Debt Payoff'!$C$12-SUM($W249:$AF249)-SUMIFS($AG249:$AP249,$AG$4:$AP$4,"&lt;"&amp;AP$4)))</f>
        <v/>
      </c>
      <c r="BA249" s="160">
        <f>SUM(C249:L249)</f>
        <v/>
      </c>
      <c r="BB249" s="160">
        <f>SUM(AQ249:AZ249)</f>
        <v/>
      </c>
      <c r="BC249" s="160">
        <f>SUM(M249:V249)</f>
        <v/>
      </c>
    </row>
    <row r="250">
      <c r="A250" s="157" t="n">
        <v>245</v>
      </c>
      <c r="B250" s="159">
        <f>EDATE('Debt Payoff'!$C$6,244)</f>
        <v/>
      </c>
      <c r="C250" s="160">
        <f>MAX(0,ROUND(C249+M250-AQ250,2))</f>
        <v/>
      </c>
      <c r="D250" s="160">
        <f>MAX(0,ROUND(D249+N250-AR250,2))</f>
        <v/>
      </c>
      <c r="E250" s="160">
        <f>MAX(0,ROUND(E249+O250-AS250,2))</f>
        <v/>
      </c>
      <c r="F250" s="160">
        <f>MAX(0,ROUND(F249+P250-AT250,2))</f>
        <v/>
      </c>
      <c r="G250" s="160">
        <f>MAX(0,ROUND(G249+Q250-AU250,2))</f>
        <v/>
      </c>
      <c r="H250" s="160">
        <f>MAX(0,ROUND(H249+R250-AV250,2))</f>
        <v/>
      </c>
      <c r="I250" s="160">
        <f>MAX(0,ROUND(I249+S250-AW250,2))</f>
        <v/>
      </c>
      <c r="J250" s="160">
        <f>MAX(0,ROUND(J249+T250-AX250,2))</f>
        <v/>
      </c>
      <c r="K250" s="160">
        <f>MAX(0,ROUND(K249+U250-AY250,2))</f>
        <v/>
      </c>
      <c r="L250" s="160">
        <f>MAX(0,ROUND(L249+V250-AZ250,2))</f>
        <v/>
      </c>
      <c r="M250" s="160">
        <f>C249*N('Debt Payoff'!$D$15)/12</f>
        <v/>
      </c>
      <c r="N250" s="160">
        <f>D249*N('Debt Payoff'!$D$16)/12</f>
        <v/>
      </c>
      <c r="O250" s="160">
        <f>E249*N('Debt Payoff'!$D$17)/12</f>
        <v/>
      </c>
      <c r="P250" s="160">
        <f>F249*N('Debt Payoff'!$D$18)/12</f>
        <v/>
      </c>
      <c r="Q250" s="160">
        <f>G249*N('Debt Payoff'!$D$19)/12</f>
        <v/>
      </c>
      <c r="R250" s="160">
        <f>H249*N('Debt Payoff'!$D$20)/12</f>
        <v/>
      </c>
      <c r="S250" s="160">
        <f>I249*N('Debt Payoff'!$D$21)/12</f>
        <v/>
      </c>
      <c r="T250" s="160">
        <f>J249*N('Debt Payoff'!$D$22)/12</f>
        <v/>
      </c>
      <c r="U250" s="160">
        <f>K249*N('Debt Payoff'!$D$23)/12</f>
        <v/>
      </c>
      <c r="V250" s="160">
        <f>L249*N('Debt Payoff'!$D$24)/12</f>
        <v/>
      </c>
      <c r="W250" s="160">
        <f>MIN(N('Debt Payoff'!$E$15),C249+M250)</f>
        <v/>
      </c>
      <c r="X250" s="160">
        <f>MIN(N('Debt Payoff'!$E$16),D249+N250)</f>
        <v/>
      </c>
      <c r="Y250" s="160">
        <f>MIN(N('Debt Payoff'!$E$17),E249+O250)</f>
        <v/>
      </c>
      <c r="Z250" s="160">
        <f>MIN(N('Debt Payoff'!$E$18),F249+P250)</f>
        <v/>
      </c>
      <c r="AA250" s="160">
        <f>MIN(N('Debt Payoff'!$E$19),G249+Q250)</f>
        <v/>
      </c>
      <c r="AB250" s="160">
        <f>MIN(N('Debt Payoff'!$E$20),H249+R250)</f>
        <v/>
      </c>
      <c r="AC250" s="160">
        <f>MIN(N('Debt Payoff'!$E$21),I249+S250)</f>
        <v/>
      </c>
      <c r="AD250" s="160">
        <f>MIN(N('Debt Payoff'!$E$22),J249+T250)</f>
        <v/>
      </c>
      <c r="AE250" s="160">
        <f>MIN(N('Debt Payoff'!$E$23),K249+U250)</f>
        <v/>
      </c>
      <c r="AF250" s="160">
        <f>MIN(N('Debt Payoff'!$E$24),L249+V250)</f>
        <v/>
      </c>
      <c r="AG250" s="160">
        <f>C249+M250-W250</f>
        <v/>
      </c>
      <c r="AH250" s="160">
        <f>D249+N250-X250</f>
        <v/>
      </c>
      <c r="AI250" s="160">
        <f>E249+O250-Y250</f>
        <v/>
      </c>
      <c r="AJ250" s="160">
        <f>F249+P250-Z250</f>
        <v/>
      </c>
      <c r="AK250" s="160">
        <f>G249+Q250-AA250</f>
        <v/>
      </c>
      <c r="AL250" s="160">
        <f>H249+R250-AB250</f>
        <v/>
      </c>
      <c r="AM250" s="160">
        <f>I249+S250-AC250</f>
        <v/>
      </c>
      <c r="AN250" s="160">
        <f>J249+T250-AD250</f>
        <v/>
      </c>
      <c r="AO250" s="160">
        <f>K249+U250-AE250</f>
        <v/>
      </c>
      <c r="AP250" s="160">
        <f>L249+V250-AF250</f>
        <v/>
      </c>
      <c r="AQ250" s="160">
        <f>W250+MAX(0,MIN(AG250,'Debt Payoff'!$C$12-SUM($W250:$AF250)-SUMIFS($AG250:$AP250,$AG$4:$AP$4,"&lt;"&amp;AG$4)))</f>
        <v/>
      </c>
      <c r="AR250" s="160">
        <f>X250+MAX(0,MIN(AH250,'Debt Payoff'!$C$12-SUM($W250:$AF250)-SUMIFS($AG250:$AP250,$AG$4:$AP$4,"&lt;"&amp;AH$4)))</f>
        <v/>
      </c>
      <c r="AS250" s="160">
        <f>Y250+MAX(0,MIN(AI250,'Debt Payoff'!$C$12-SUM($W250:$AF250)-SUMIFS($AG250:$AP250,$AG$4:$AP$4,"&lt;"&amp;AI$4)))</f>
        <v/>
      </c>
      <c r="AT250" s="160">
        <f>Z250+MAX(0,MIN(AJ250,'Debt Payoff'!$C$12-SUM($W250:$AF250)-SUMIFS($AG250:$AP250,$AG$4:$AP$4,"&lt;"&amp;AJ$4)))</f>
        <v/>
      </c>
      <c r="AU250" s="160">
        <f>AA250+MAX(0,MIN(AK250,'Debt Payoff'!$C$12-SUM($W250:$AF250)-SUMIFS($AG250:$AP250,$AG$4:$AP$4,"&lt;"&amp;AK$4)))</f>
        <v/>
      </c>
      <c r="AV250" s="160">
        <f>AB250+MAX(0,MIN(AL250,'Debt Payoff'!$C$12-SUM($W250:$AF250)-SUMIFS($AG250:$AP250,$AG$4:$AP$4,"&lt;"&amp;AL$4)))</f>
        <v/>
      </c>
      <c r="AW250" s="160">
        <f>AC250+MAX(0,MIN(AM250,'Debt Payoff'!$C$12-SUM($W250:$AF250)-SUMIFS($AG250:$AP250,$AG$4:$AP$4,"&lt;"&amp;AM$4)))</f>
        <v/>
      </c>
      <c r="AX250" s="160">
        <f>AD250+MAX(0,MIN(AN250,'Debt Payoff'!$C$12-SUM($W250:$AF250)-SUMIFS($AG250:$AP250,$AG$4:$AP$4,"&lt;"&amp;AN$4)))</f>
        <v/>
      </c>
      <c r="AY250" s="160">
        <f>AE250+MAX(0,MIN(AO250,'Debt Payoff'!$C$12-SUM($W250:$AF250)-SUMIFS($AG250:$AP250,$AG$4:$AP$4,"&lt;"&amp;AO$4)))</f>
        <v/>
      </c>
      <c r="AZ250" s="160">
        <f>AF250+MAX(0,MIN(AP250,'Debt Payoff'!$C$12-SUM($W250:$AF250)-SUMIFS($AG250:$AP250,$AG$4:$AP$4,"&lt;"&amp;AP$4)))</f>
        <v/>
      </c>
      <c r="BA250" s="160">
        <f>SUM(C250:L250)</f>
        <v/>
      </c>
      <c r="BB250" s="160">
        <f>SUM(AQ250:AZ250)</f>
        <v/>
      </c>
      <c r="BC250" s="160">
        <f>SUM(M250:V250)</f>
        <v/>
      </c>
    </row>
    <row r="251">
      <c r="A251" s="157" t="n">
        <v>246</v>
      </c>
      <c r="B251" s="159">
        <f>EDATE('Debt Payoff'!$C$6,245)</f>
        <v/>
      </c>
      <c r="C251" s="160">
        <f>MAX(0,ROUND(C250+M251-AQ251,2))</f>
        <v/>
      </c>
      <c r="D251" s="160">
        <f>MAX(0,ROUND(D250+N251-AR251,2))</f>
        <v/>
      </c>
      <c r="E251" s="160">
        <f>MAX(0,ROUND(E250+O251-AS251,2))</f>
        <v/>
      </c>
      <c r="F251" s="160">
        <f>MAX(0,ROUND(F250+P251-AT251,2))</f>
        <v/>
      </c>
      <c r="G251" s="160">
        <f>MAX(0,ROUND(G250+Q251-AU251,2))</f>
        <v/>
      </c>
      <c r="H251" s="160">
        <f>MAX(0,ROUND(H250+R251-AV251,2))</f>
        <v/>
      </c>
      <c r="I251" s="160">
        <f>MAX(0,ROUND(I250+S251-AW251,2))</f>
        <v/>
      </c>
      <c r="J251" s="160">
        <f>MAX(0,ROUND(J250+T251-AX251,2))</f>
        <v/>
      </c>
      <c r="K251" s="160">
        <f>MAX(0,ROUND(K250+U251-AY251,2))</f>
        <v/>
      </c>
      <c r="L251" s="160">
        <f>MAX(0,ROUND(L250+V251-AZ251,2))</f>
        <v/>
      </c>
      <c r="M251" s="160">
        <f>C250*N('Debt Payoff'!$D$15)/12</f>
        <v/>
      </c>
      <c r="N251" s="160">
        <f>D250*N('Debt Payoff'!$D$16)/12</f>
        <v/>
      </c>
      <c r="O251" s="160">
        <f>E250*N('Debt Payoff'!$D$17)/12</f>
        <v/>
      </c>
      <c r="P251" s="160">
        <f>F250*N('Debt Payoff'!$D$18)/12</f>
        <v/>
      </c>
      <c r="Q251" s="160">
        <f>G250*N('Debt Payoff'!$D$19)/12</f>
        <v/>
      </c>
      <c r="R251" s="160">
        <f>H250*N('Debt Payoff'!$D$20)/12</f>
        <v/>
      </c>
      <c r="S251" s="160">
        <f>I250*N('Debt Payoff'!$D$21)/12</f>
        <v/>
      </c>
      <c r="T251" s="160">
        <f>J250*N('Debt Payoff'!$D$22)/12</f>
        <v/>
      </c>
      <c r="U251" s="160">
        <f>K250*N('Debt Payoff'!$D$23)/12</f>
        <v/>
      </c>
      <c r="V251" s="160">
        <f>L250*N('Debt Payoff'!$D$24)/12</f>
        <v/>
      </c>
      <c r="W251" s="160">
        <f>MIN(N('Debt Payoff'!$E$15),C250+M251)</f>
        <v/>
      </c>
      <c r="X251" s="160">
        <f>MIN(N('Debt Payoff'!$E$16),D250+N251)</f>
        <v/>
      </c>
      <c r="Y251" s="160">
        <f>MIN(N('Debt Payoff'!$E$17),E250+O251)</f>
        <v/>
      </c>
      <c r="Z251" s="160">
        <f>MIN(N('Debt Payoff'!$E$18),F250+P251)</f>
        <v/>
      </c>
      <c r="AA251" s="160">
        <f>MIN(N('Debt Payoff'!$E$19),G250+Q251)</f>
        <v/>
      </c>
      <c r="AB251" s="160">
        <f>MIN(N('Debt Payoff'!$E$20),H250+R251)</f>
        <v/>
      </c>
      <c r="AC251" s="160">
        <f>MIN(N('Debt Payoff'!$E$21),I250+S251)</f>
        <v/>
      </c>
      <c r="AD251" s="160">
        <f>MIN(N('Debt Payoff'!$E$22),J250+T251)</f>
        <v/>
      </c>
      <c r="AE251" s="160">
        <f>MIN(N('Debt Payoff'!$E$23),K250+U251)</f>
        <v/>
      </c>
      <c r="AF251" s="160">
        <f>MIN(N('Debt Payoff'!$E$24),L250+V251)</f>
        <v/>
      </c>
      <c r="AG251" s="160">
        <f>C250+M251-W251</f>
        <v/>
      </c>
      <c r="AH251" s="160">
        <f>D250+N251-X251</f>
        <v/>
      </c>
      <c r="AI251" s="160">
        <f>E250+O251-Y251</f>
        <v/>
      </c>
      <c r="AJ251" s="160">
        <f>F250+P251-Z251</f>
        <v/>
      </c>
      <c r="AK251" s="160">
        <f>G250+Q251-AA251</f>
        <v/>
      </c>
      <c r="AL251" s="160">
        <f>H250+R251-AB251</f>
        <v/>
      </c>
      <c r="AM251" s="160">
        <f>I250+S251-AC251</f>
        <v/>
      </c>
      <c r="AN251" s="160">
        <f>J250+T251-AD251</f>
        <v/>
      </c>
      <c r="AO251" s="160">
        <f>K250+U251-AE251</f>
        <v/>
      </c>
      <c r="AP251" s="160">
        <f>L250+V251-AF251</f>
        <v/>
      </c>
      <c r="AQ251" s="160">
        <f>W251+MAX(0,MIN(AG251,'Debt Payoff'!$C$12-SUM($W251:$AF251)-SUMIFS($AG251:$AP251,$AG$4:$AP$4,"&lt;"&amp;AG$4)))</f>
        <v/>
      </c>
      <c r="AR251" s="160">
        <f>X251+MAX(0,MIN(AH251,'Debt Payoff'!$C$12-SUM($W251:$AF251)-SUMIFS($AG251:$AP251,$AG$4:$AP$4,"&lt;"&amp;AH$4)))</f>
        <v/>
      </c>
      <c r="AS251" s="160">
        <f>Y251+MAX(0,MIN(AI251,'Debt Payoff'!$C$12-SUM($W251:$AF251)-SUMIFS($AG251:$AP251,$AG$4:$AP$4,"&lt;"&amp;AI$4)))</f>
        <v/>
      </c>
      <c r="AT251" s="160">
        <f>Z251+MAX(0,MIN(AJ251,'Debt Payoff'!$C$12-SUM($W251:$AF251)-SUMIFS($AG251:$AP251,$AG$4:$AP$4,"&lt;"&amp;AJ$4)))</f>
        <v/>
      </c>
      <c r="AU251" s="160">
        <f>AA251+MAX(0,MIN(AK251,'Debt Payoff'!$C$12-SUM($W251:$AF251)-SUMIFS($AG251:$AP251,$AG$4:$AP$4,"&lt;"&amp;AK$4)))</f>
        <v/>
      </c>
      <c r="AV251" s="160">
        <f>AB251+MAX(0,MIN(AL251,'Debt Payoff'!$C$12-SUM($W251:$AF251)-SUMIFS($AG251:$AP251,$AG$4:$AP$4,"&lt;"&amp;AL$4)))</f>
        <v/>
      </c>
      <c r="AW251" s="160">
        <f>AC251+MAX(0,MIN(AM251,'Debt Payoff'!$C$12-SUM($W251:$AF251)-SUMIFS($AG251:$AP251,$AG$4:$AP$4,"&lt;"&amp;AM$4)))</f>
        <v/>
      </c>
      <c r="AX251" s="160">
        <f>AD251+MAX(0,MIN(AN251,'Debt Payoff'!$C$12-SUM($W251:$AF251)-SUMIFS($AG251:$AP251,$AG$4:$AP$4,"&lt;"&amp;AN$4)))</f>
        <v/>
      </c>
      <c r="AY251" s="160">
        <f>AE251+MAX(0,MIN(AO251,'Debt Payoff'!$C$12-SUM($W251:$AF251)-SUMIFS($AG251:$AP251,$AG$4:$AP$4,"&lt;"&amp;AO$4)))</f>
        <v/>
      </c>
      <c r="AZ251" s="160">
        <f>AF251+MAX(0,MIN(AP251,'Debt Payoff'!$C$12-SUM($W251:$AF251)-SUMIFS($AG251:$AP251,$AG$4:$AP$4,"&lt;"&amp;AP$4)))</f>
        <v/>
      </c>
      <c r="BA251" s="160">
        <f>SUM(C251:L251)</f>
        <v/>
      </c>
      <c r="BB251" s="160">
        <f>SUM(AQ251:AZ251)</f>
        <v/>
      </c>
      <c r="BC251" s="160">
        <f>SUM(M251:V251)</f>
        <v/>
      </c>
    </row>
    <row r="252">
      <c r="A252" s="157" t="n">
        <v>247</v>
      </c>
      <c r="B252" s="159">
        <f>EDATE('Debt Payoff'!$C$6,246)</f>
        <v/>
      </c>
      <c r="C252" s="160">
        <f>MAX(0,ROUND(C251+M252-AQ252,2))</f>
        <v/>
      </c>
      <c r="D252" s="160">
        <f>MAX(0,ROUND(D251+N252-AR252,2))</f>
        <v/>
      </c>
      <c r="E252" s="160">
        <f>MAX(0,ROUND(E251+O252-AS252,2))</f>
        <v/>
      </c>
      <c r="F252" s="160">
        <f>MAX(0,ROUND(F251+P252-AT252,2))</f>
        <v/>
      </c>
      <c r="G252" s="160">
        <f>MAX(0,ROUND(G251+Q252-AU252,2))</f>
        <v/>
      </c>
      <c r="H252" s="160">
        <f>MAX(0,ROUND(H251+R252-AV252,2))</f>
        <v/>
      </c>
      <c r="I252" s="160">
        <f>MAX(0,ROUND(I251+S252-AW252,2))</f>
        <v/>
      </c>
      <c r="J252" s="160">
        <f>MAX(0,ROUND(J251+T252-AX252,2))</f>
        <v/>
      </c>
      <c r="K252" s="160">
        <f>MAX(0,ROUND(K251+U252-AY252,2))</f>
        <v/>
      </c>
      <c r="L252" s="160">
        <f>MAX(0,ROUND(L251+V252-AZ252,2))</f>
        <v/>
      </c>
      <c r="M252" s="160">
        <f>C251*N('Debt Payoff'!$D$15)/12</f>
        <v/>
      </c>
      <c r="N252" s="160">
        <f>D251*N('Debt Payoff'!$D$16)/12</f>
        <v/>
      </c>
      <c r="O252" s="160">
        <f>E251*N('Debt Payoff'!$D$17)/12</f>
        <v/>
      </c>
      <c r="P252" s="160">
        <f>F251*N('Debt Payoff'!$D$18)/12</f>
        <v/>
      </c>
      <c r="Q252" s="160">
        <f>G251*N('Debt Payoff'!$D$19)/12</f>
        <v/>
      </c>
      <c r="R252" s="160">
        <f>H251*N('Debt Payoff'!$D$20)/12</f>
        <v/>
      </c>
      <c r="S252" s="160">
        <f>I251*N('Debt Payoff'!$D$21)/12</f>
        <v/>
      </c>
      <c r="T252" s="160">
        <f>J251*N('Debt Payoff'!$D$22)/12</f>
        <v/>
      </c>
      <c r="U252" s="160">
        <f>K251*N('Debt Payoff'!$D$23)/12</f>
        <v/>
      </c>
      <c r="V252" s="160">
        <f>L251*N('Debt Payoff'!$D$24)/12</f>
        <v/>
      </c>
      <c r="W252" s="160">
        <f>MIN(N('Debt Payoff'!$E$15),C251+M252)</f>
        <v/>
      </c>
      <c r="X252" s="160">
        <f>MIN(N('Debt Payoff'!$E$16),D251+N252)</f>
        <v/>
      </c>
      <c r="Y252" s="160">
        <f>MIN(N('Debt Payoff'!$E$17),E251+O252)</f>
        <v/>
      </c>
      <c r="Z252" s="160">
        <f>MIN(N('Debt Payoff'!$E$18),F251+P252)</f>
        <v/>
      </c>
      <c r="AA252" s="160">
        <f>MIN(N('Debt Payoff'!$E$19),G251+Q252)</f>
        <v/>
      </c>
      <c r="AB252" s="160">
        <f>MIN(N('Debt Payoff'!$E$20),H251+R252)</f>
        <v/>
      </c>
      <c r="AC252" s="160">
        <f>MIN(N('Debt Payoff'!$E$21),I251+S252)</f>
        <v/>
      </c>
      <c r="AD252" s="160">
        <f>MIN(N('Debt Payoff'!$E$22),J251+T252)</f>
        <v/>
      </c>
      <c r="AE252" s="160">
        <f>MIN(N('Debt Payoff'!$E$23),K251+U252)</f>
        <v/>
      </c>
      <c r="AF252" s="160">
        <f>MIN(N('Debt Payoff'!$E$24),L251+V252)</f>
        <v/>
      </c>
      <c r="AG252" s="160">
        <f>C251+M252-W252</f>
        <v/>
      </c>
      <c r="AH252" s="160">
        <f>D251+N252-X252</f>
        <v/>
      </c>
      <c r="AI252" s="160">
        <f>E251+O252-Y252</f>
        <v/>
      </c>
      <c r="AJ252" s="160">
        <f>F251+P252-Z252</f>
        <v/>
      </c>
      <c r="AK252" s="160">
        <f>G251+Q252-AA252</f>
        <v/>
      </c>
      <c r="AL252" s="160">
        <f>H251+R252-AB252</f>
        <v/>
      </c>
      <c r="AM252" s="160">
        <f>I251+S252-AC252</f>
        <v/>
      </c>
      <c r="AN252" s="160">
        <f>J251+T252-AD252</f>
        <v/>
      </c>
      <c r="AO252" s="160">
        <f>K251+U252-AE252</f>
        <v/>
      </c>
      <c r="AP252" s="160">
        <f>L251+V252-AF252</f>
        <v/>
      </c>
      <c r="AQ252" s="160">
        <f>W252+MAX(0,MIN(AG252,'Debt Payoff'!$C$12-SUM($W252:$AF252)-SUMIFS($AG252:$AP252,$AG$4:$AP$4,"&lt;"&amp;AG$4)))</f>
        <v/>
      </c>
      <c r="AR252" s="160">
        <f>X252+MAX(0,MIN(AH252,'Debt Payoff'!$C$12-SUM($W252:$AF252)-SUMIFS($AG252:$AP252,$AG$4:$AP$4,"&lt;"&amp;AH$4)))</f>
        <v/>
      </c>
      <c r="AS252" s="160">
        <f>Y252+MAX(0,MIN(AI252,'Debt Payoff'!$C$12-SUM($W252:$AF252)-SUMIFS($AG252:$AP252,$AG$4:$AP$4,"&lt;"&amp;AI$4)))</f>
        <v/>
      </c>
      <c r="AT252" s="160">
        <f>Z252+MAX(0,MIN(AJ252,'Debt Payoff'!$C$12-SUM($W252:$AF252)-SUMIFS($AG252:$AP252,$AG$4:$AP$4,"&lt;"&amp;AJ$4)))</f>
        <v/>
      </c>
      <c r="AU252" s="160">
        <f>AA252+MAX(0,MIN(AK252,'Debt Payoff'!$C$12-SUM($W252:$AF252)-SUMIFS($AG252:$AP252,$AG$4:$AP$4,"&lt;"&amp;AK$4)))</f>
        <v/>
      </c>
      <c r="AV252" s="160">
        <f>AB252+MAX(0,MIN(AL252,'Debt Payoff'!$C$12-SUM($W252:$AF252)-SUMIFS($AG252:$AP252,$AG$4:$AP$4,"&lt;"&amp;AL$4)))</f>
        <v/>
      </c>
      <c r="AW252" s="160">
        <f>AC252+MAX(0,MIN(AM252,'Debt Payoff'!$C$12-SUM($W252:$AF252)-SUMIFS($AG252:$AP252,$AG$4:$AP$4,"&lt;"&amp;AM$4)))</f>
        <v/>
      </c>
      <c r="AX252" s="160">
        <f>AD252+MAX(0,MIN(AN252,'Debt Payoff'!$C$12-SUM($W252:$AF252)-SUMIFS($AG252:$AP252,$AG$4:$AP$4,"&lt;"&amp;AN$4)))</f>
        <v/>
      </c>
      <c r="AY252" s="160">
        <f>AE252+MAX(0,MIN(AO252,'Debt Payoff'!$C$12-SUM($W252:$AF252)-SUMIFS($AG252:$AP252,$AG$4:$AP$4,"&lt;"&amp;AO$4)))</f>
        <v/>
      </c>
      <c r="AZ252" s="160">
        <f>AF252+MAX(0,MIN(AP252,'Debt Payoff'!$C$12-SUM($W252:$AF252)-SUMIFS($AG252:$AP252,$AG$4:$AP$4,"&lt;"&amp;AP$4)))</f>
        <v/>
      </c>
      <c r="BA252" s="160">
        <f>SUM(C252:L252)</f>
        <v/>
      </c>
      <c r="BB252" s="160">
        <f>SUM(AQ252:AZ252)</f>
        <v/>
      </c>
      <c r="BC252" s="160">
        <f>SUM(M252:V252)</f>
        <v/>
      </c>
    </row>
    <row r="253">
      <c r="A253" s="157" t="n">
        <v>248</v>
      </c>
      <c r="B253" s="159">
        <f>EDATE('Debt Payoff'!$C$6,247)</f>
        <v/>
      </c>
      <c r="C253" s="160">
        <f>MAX(0,ROUND(C252+M253-AQ253,2))</f>
        <v/>
      </c>
      <c r="D253" s="160">
        <f>MAX(0,ROUND(D252+N253-AR253,2))</f>
        <v/>
      </c>
      <c r="E253" s="160">
        <f>MAX(0,ROUND(E252+O253-AS253,2))</f>
        <v/>
      </c>
      <c r="F253" s="160">
        <f>MAX(0,ROUND(F252+P253-AT253,2))</f>
        <v/>
      </c>
      <c r="G253" s="160">
        <f>MAX(0,ROUND(G252+Q253-AU253,2))</f>
        <v/>
      </c>
      <c r="H253" s="160">
        <f>MAX(0,ROUND(H252+R253-AV253,2))</f>
        <v/>
      </c>
      <c r="I253" s="160">
        <f>MAX(0,ROUND(I252+S253-AW253,2))</f>
        <v/>
      </c>
      <c r="J253" s="160">
        <f>MAX(0,ROUND(J252+T253-AX253,2))</f>
        <v/>
      </c>
      <c r="K253" s="160">
        <f>MAX(0,ROUND(K252+U253-AY253,2))</f>
        <v/>
      </c>
      <c r="L253" s="160">
        <f>MAX(0,ROUND(L252+V253-AZ253,2))</f>
        <v/>
      </c>
      <c r="M253" s="160">
        <f>C252*N('Debt Payoff'!$D$15)/12</f>
        <v/>
      </c>
      <c r="N253" s="160">
        <f>D252*N('Debt Payoff'!$D$16)/12</f>
        <v/>
      </c>
      <c r="O253" s="160">
        <f>E252*N('Debt Payoff'!$D$17)/12</f>
        <v/>
      </c>
      <c r="P253" s="160">
        <f>F252*N('Debt Payoff'!$D$18)/12</f>
        <v/>
      </c>
      <c r="Q253" s="160">
        <f>G252*N('Debt Payoff'!$D$19)/12</f>
        <v/>
      </c>
      <c r="R253" s="160">
        <f>H252*N('Debt Payoff'!$D$20)/12</f>
        <v/>
      </c>
      <c r="S253" s="160">
        <f>I252*N('Debt Payoff'!$D$21)/12</f>
        <v/>
      </c>
      <c r="T253" s="160">
        <f>J252*N('Debt Payoff'!$D$22)/12</f>
        <v/>
      </c>
      <c r="U253" s="160">
        <f>K252*N('Debt Payoff'!$D$23)/12</f>
        <v/>
      </c>
      <c r="V253" s="160">
        <f>L252*N('Debt Payoff'!$D$24)/12</f>
        <v/>
      </c>
      <c r="W253" s="160">
        <f>MIN(N('Debt Payoff'!$E$15),C252+M253)</f>
        <v/>
      </c>
      <c r="X253" s="160">
        <f>MIN(N('Debt Payoff'!$E$16),D252+N253)</f>
        <v/>
      </c>
      <c r="Y253" s="160">
        <f>MIN(N('Debt Payoff'!$E$17),E252+O253)</f>
        <v/>
      </c>
      <c r="Z253" s="160">
        <f>MIN(N('Debt Payoff'!$E$18),F252+P253)</f>
        <v/>
      </c>
      <c r="AA253" s="160">
        <f>MIN(N('Debt Payoff'!$E$19),G252+Q253)</f>
        <v/>
      </c>
      <c r="AB253" s="160">
        <f>MIN(N('Debt Payoff'!$E$20),H252+R253)</f>
        <v/>
      </c>
      <c r="AC253" s="160">
        <f>MIN(N('Debt Payoff'!$E$21),I252+S253)</f>
        <v/>
      </c>
      <c r="AD253" s="160">
        <f>MIN(N('Debt Payoff'!$E$22),J252+T253)</f>
        <v/>
      </c>
      <c r="AE253" s="160">
        <f>MIN(N('Debt Payoff'!$E$23),K252+U253)</f>
        <v/>
      </c>
      <c r="AF253" s="160">
        <f>MIN(N('Debt Payoff'!$E$24),L252+V253)</f>
        <v/>
      </c>
      <c r="AG253" s="160">
        <f>C252+M253-W253</f>
        <v/>
      </c>
      <c r="AH253" s="160">
        <f>D252+N253-X253</f>
        <v/>
      </c>
      <c r="AI253" s="160">
        <f>E252+O253-Y253</f>
        <v/>
      </c>
      <c r="AJ253" s="160">
        <f>F252+P253-Z253</f>
        <v/>
      </c>
      <c r="AK253" s="160">
        <f>G252+Q253-AA253</f>
        <v/>
      </c>
      <c r="AL253" s="160">
        <f>H252+R253-AB253</f>
        <v/>
      </c>
      <c r="AM253" s="160">
        <f>I252+S253-AC253</f>
        <v/>
      </c>
      <c r="AN253" s="160">
        <f>J252+T253-AD253</f>
        <v/>
      </c>
      <c r="AO253" s="160">
        <f>K252+U253-AE253</f>
        <v/>
      </c>
      <c r="AP253" s="160">
        <f>L252+V253-AF253</f>
        <v/>
      </c>
      <c r="AQ253" s="160">
        <f>W253+MAX(0,MIN(AG253,'Debt Payoff'!$C$12-SUM($W253:$AF253)-SUMIFS($AG253:$AP253,$AG$4:$AP$4,"&lt;"&amp;AG$4)))</f>
        <v/>
      </c>
      <c r="AR253" s="160">
        <f>X253+MAX(0,MIN(AH253,'Debt Payoff'!$C$12-SUM($W253:$AF253)-SUMIFS($AG253:$AP253,$AG$4:$AP$4,"&lt;"&amp;AH$4)))</f>
        <v/>
      </c>
      <c r="AS253" s="160">
        <f>Y253+MAX(0,MIN(AI253,'Debt Payoff'!$C$12-SUM($W253:$AF253)-SUMIFS($AG253:$AP253,$AG$4:$AP$4,"&lt;"&amp;AI$4)))</f>
        <v/>
      </c>
      <c r="AT253" s="160">
        <f>Z253+MAX(0,MIN(AJ253,'Debt Payoff'!$C$12-SUM($W253:$AF253)-SUMIFS($AG253:$AP253,$AG$4:$AP$4,"&lt;"&amp;AJ$4)))</f>
        <v/>
      </c>
      <c r="AU253" s="160">
        <f>AA253+MAX(0,MIN(AK253,'Debt Payoff'!$C$12-SUM($W253:$AF253)-SUMIFS($AG253:$AP253,$AG$4:$AP$4,"&lt;"&amp;AK$4)))</f>
        <v/>
      </c>
      <c r="AV253" s="160">
        <f>AB253+MAX(0,MIN(AL253,'Debt Payoff'!$C$12-SUM($W253:$AF253)-SUMIFS($AG253:$AP253,$AG$4:$AP$4,"&lt;"&amp;AL$4)))</f>
        <v/>
      </c>
      <c r="AW253" s="160">
        <f>AC253+MAX(0,MIN(AM253,'Debt Payoff'!$C$12-SUM($W253:$AF253)-SUMIFS($AG253:$AP253,$AG$4:$AP$4,"&lt;"&amp;AM$4)))</f>
        <v/>
      </c>
      <c r="AX253" s="160">
        <f>AD253+MAX(0,MIN(AN253,'Debt Payoff'!$C$12-SUM($W253:$AF253)-SUMIFS($AG253:$AP253,$AG$4:$AP$4,"&lt;"&amp;AN$4)))</f>
        <v/>
      </c>
      <c r="AY253" s="160">
        <f>AE253+MAX(0,MIN(AO253,'Debt Payoff'!$C$12-SUM($W253:$AF253)-SUMIFS($AG253:$AP253,$AG$4:$AP$4,"&lt;"&amp;AO$4)))</f>
        <v/>
      </c>
      <c r="AZ253" s="160">
        <f>AF253+MAX(0,MIN(AP253,'Debt Payoff'!$C$12-SUM($W253:$AF253)-SUMIFS($AG253:$AP253,$AG$4:$AP$4,"&lt;"&amp;AP$4)))</f>
        <v/>
      </c>
      <c r="BA253" s="160">
        <f>SUM(C253:L253)</f>
        <v/>
      </c>
      <c r="BB253" s="160">
        <f>SUM(AQ253:AZ253)</f>
        <v/>
      </c>
      <c r="BC253" s="160">
        <f>SUM(M253:V253)</f>
        <v/>
      </c>
    </row>
    <row r="254">
      <c r="A254" s="157" t="n">
        <v>249</v>
      </c>
      <c r="B254" s="159">
        <f>EDATE('Debt Payoff'!$C$6,248)</f>
        <v/>
      </c>
      <c r="C254" s="160">
        <f>MAX(0,ROUND(C253+M254-AQ254,2))</f>
        <v/>
      </c>
      <c r="D254" s="160">
        <f>MAX(0,ROUND(D253+N254-AR254,2))</f>
        <v/>
      </c>
      <c r="E254" s="160">
        <f>MAX(0,ROUND(E253+O254-AS254,2))</f>
        <v/>
      </c>
      <c r="F254" s="160">
        <f>MAX(0,ROUND(F253+P254-AT254,2))</f>
        <v/>
      </c>
      <c r="G254" s="160">
        <f>MAX(0,ROUND(G253+Q254-AU254,2))</f>
        <v/>
      </c>
      <c r="H254" s="160">
        <f>MAX(0,ROUND(H253+R254-AV254,2))</f>
        <v/>
      </c>
      <c r="I254" s="160">
        <f>MAX(0,ROUND(I253+S254-AW254,2))</f>
        <v/>
      </c>
      <c r="J254" s="160">
        <f>MAX(0,ROUND(J253+T254-AX254,2))</f>
        <v/>
      </c>
      <c r="K254" s="160">
        <f>MAX(0,ROUND(K253+U254-AY254,2))</f>
        <v/>
      </c>
      <c r="L254" s="160">
        <f>MAX(0,ROUND(L253+V254-AZ254,2))</f>
        <v/>
      </c>
      <c r="M254" s="160">
        <f>C253*N('Debt Payoff'!$D$15)/12</f>
        <v/>
      </c>
      <c r="N254" s="160">
        <f>D253*N('Debt Payoff'!$D$16)/12</f>
        <v/>
      </c>
      <c r="O254" s="160">
        <f>E253*N('Debt Payoff'!$D$17)/12</f>
        <v/>
      </c>
      <c r="P254" s="160">
        <f>F253*N('Debt Payoff'!$D$18)/12</f>
        <v/>
      </c>
      <c r="Q254" s="160">
        <f>G253*N('Debt Payoff'!$D$19)/12</f>
        <v/>
      </c>
      <c r="R254" s="160">
        <f>H253*N('Debt Payoff'!$D$20)/12</f>
        <v/>
      </c>
      <c r="S254" s="160">
        <f>I253*N('Debt Payoff'!$D$21)/12</f>
        <v/>
      </c>
      <c r="T254" s="160">
        <f>J253*N('Debt Payoff'!$D$22)/12</f>
        <v/>
      </c>
      <c r="U254" s="160">
        <f>K253*N('Debt Payoff'!$D$23)/12</f>
        <v/>
      </c>
      <c r="V254" s="160">
        <f>L253*N('Debt Payoff'!$D$24)/12</f>
        <v/>
      </c>
      <c r="W254" s="160">
        <f>MIN(N('Debt Payoff'!$E$15),C253+M254)</f>
        <v/>
      </c>
      <c r="X254" s="160">
        <f>MIN(N('Debt Payoff'!$E$16),D253+N254)</f>
        <v/>
      </c>
      <c r="Y254" s="160">
        <f>MIN(N('Debt Payoff'!$E$17),E253+O254)</f>
        <v/>
      </c>
      <c r="Z254" s="160">
        <f>MIN(N('Debt Payoff'!$E$18),F253+P254)</f>
        <v/>
      </c>
      <c r="AA254" s="160">
        <f>MIN(N('Debt Payoff'!$E$19),G253+Q254)</f>
        <v/>
      </c>
      <c r="AB254" s="160">
        <f>MIN(N('Debt Payoff'!$E$20),H253+R254)</f>
        <v/>
      </c>
      <c r="AC254" s="160">
        <f>MIN(N('Debt Payoff'!$E$21),I253+S254)</f>
        <v/>
      </c>
      <c r="AD254" s="160">
        <f>MIN(N('Debt Payoff'!$E$22),J253+T254)</f>
        <v/>
      </c>
      <c r="AE254" s="160">
        <f>MIN(N('Debt Payoff'!$E$23),K253+U254)</f>
        <v/>
      </c>
      <c r="AF254" s="160">
        <f>MIN(N('Debt Payoff'!$E$24),L253+V254)</f>
        <v/>
      </c>
      <c r="AG254" s="160">
        <f>C253+M254-W254</f>
        <v/>
      </c>
      <c r="AH254" s="160">
        <f>D253+N254-X254</f>
        <v/>
      </c>
      <c r="AI254" s="160">
        <f>E253+O254-Y254</f>
        <v/>
      </c>
      <c r="AJ254" s="160">
        <f>F253+P254-Z254</f>
        <v/>
      </c>
      <c r="AK254" s="160">
        <f>G253+Q254-AA254</f>
        <v/>
      </c>
      <c r="AL254" s="160">
        <f>H253+R254-AB254</f>
        <v/>
      </c>
      <c r="AM254" s="160">
        <f>I253+S254-AC254</f>
        <v/>
      </c>
      <c r="AN254" s="160">
        <f>J253+T254-AD254</f>
        <v/>
      </c>
      <c r="AO254" s="160">
        <f>K253+U254-AE254</f>
        <v/>
      </c>
      <c r="AP254" s="160">
        <f>L253+V254-AF254</f>
        <v/>
      </c>
      <c r="AQ254" s="160">
        <f>W254+MAX(0,MIN(AG254,'Debt Payoff'!$C$12-SUM($W254:$AF254)-SUMIFS($AG254:$AP254,$AG$4:$AP$4,"&lt;"&amp;AG$4)))</f>
        <v/>
      </c>
      <c r="AR254" s="160">
        <f>X254+MAX(0,MIN(AH254,'Debt Payoff'!$C$12-SUM($W254:$AF254)-SUMIFS($AG254:$AP254,$AG$4:$AP$4,"&lt;"&amp;AH$4)))</f>
        <v/>
      </c>
      <c r="AS254" s="160">
        <f>Y254+MAX(0,MIN(AI254,'Debt Payoff'!$C$12-SUM($W254:$AF254)-SUMIFS($AG254:$AP254,$AG$4:$AP$4,"&lt;"&amp;AI$4)))</f>
        <v/>
      </c>
      <c r="AT254" s="160">
        <f>Z254+MAX(0,MIN(AJ254,'Debt Payoff'!$C$12-SUM($W254:$AF254)-SUMIFS($AG254:$AP254,$AG$4:$AP$4,"&lt;"&amp;AJ$4)))</f>
        <v/>
      </c>
      <c r="AU254" s="160">
        <f>AA254+MAX(0,MIN(AK254,'Debt Payoff'!$C$12-SUM($W254:$AF254)-SUMIFS($AG254:$AP254,$AG$4:$AP$4,"&lt;"&amp;AK$4)))</f>
        <v/>
      </c>
      <c r="AV254" s="160">
        <f>AB254+MAX(0,MIN(AL254,'Debt Payoff'!$C$12-SUM($W254:$AF254)-SUMIFS($AG254:$AP254,$AG$4:$AP$4,"&lt;"&amp;AL$4)))</f>
        <v/>
      </c>
      <c r="AW254" s="160">
        <f>AC254+MAX(0,MIN(AM254,'Debt Payoff'!$C$12-SUM($W254:$AF254)-SUMIFS($AG254:$AP254,$AG$4:$AP$4,"&lt;"&amp;AM$4)))</f>
        <v/>
      </c>
      <c r="AX254" s="160">
        <f>AD254+MAX(0,MIN(AN254,'Debt Payoff'!$C$12-SUM($W254:$AF254)-SUMIFS($AG254:$AP254,$AG$4:$AP$4,"&lt;"&amp;AN$4)))</f>
        <v/>
      </c>
      <c r="AY254" s="160">
        <f>AE254+MAX(0,MIN(AO254,'Debt Payoff'!$C$12-SUM($W254:$AF254)-SUMIFS($AG254:$AP254,$AG$4:$AP$4,"&lt;"&amp;AO$4)))</f>
        <v/>
      </c>
      <c r="AZ254" s="160">
        <f>AF254+MAX(0,MIN(AP254,'Debt Payoff'!$C$12-SUM($W254:$AF254)-SUMIFS($AG254:$AP254,$AG$4:$AP$4,"&lt;"&amp;AP$4)))</f>
        <v/>
      </c>
      <c r="BA254" s="160">
        <f>SUM(C254:L254)</f>
        <v/>
      </c>
      <c r="BB254" s="160">
        <f>SUM(AQ254:AZ254)</f>
        <v/>
      </c>
      <c r="BC254" s="160">
        <f>SUM(M254:V254)</f>
        <v/>
      </c>
    </row>
    <row r="255">
      <c r="A255" s="157" t="n">
        <v>250</v>
      </c>
      <c r="B255" s="159">
        <f>EDATE('Debt Payoff'!$C$6,249)</f>
        <v/>
      </c>
      <c r="C255" s="160">
        <f>MAX(0,ROUND(C254+M255-AQ255,2))</f>
        <v/>
      </c>
      <c r="D255" s="160">
        <f>MAX(0,ROUND(D254+N255-AR255,2))</f>
        <v/>
      </c>
      <c r="E255" s="160">
        <f>MAX(0,ROUND(E254+O255-AS255,2))</f>
        <v/>
      </c>
      <c r="F255" s="160">
        <f>MAX(0,ROUND(F254+P255-AT255,2))</f>
        <v/>
      </c>
      <c r="G255" s="160">
        <f>MAX(0,ROUND(G254+Q255-AU255,2))</f>
        <v/>
      </c>
      <c r="H255" s="160">
        <f>MAX(0,ROUND(H254+R255-AV255,2))</f>
        <v/>
      </c>
      <c r="I255" s="160">
        <f>MAX(0,ROUND(I254+S255-AW255,2))</f>
        <v/>
      </c>
      <c r="J255" s="160">
        <f>MAX(0,ROUND(J254+T255-AX255,2))</f>
        <v/>
      </c>
      <c r="K255" s="160">
        <f>MAX(0,ROUND(K254+U255-AY255,2))</f>
        <v/>
      </c>
      <c r="L255" s="160">
        <f>MAX(0,ROUND(L254+V255-AZ255,2))</f>
        <v/>
      </c>
      <c r="M255" s="160">
        <f>C254*N('Debt Payoff'!$D$15)/12</f>
        <v/>
      </c>
      <c r="N255" s="160">
        <f>D254*N('Debt Payoff'!$D$16)/12</f>
        <v/>
      </c>
      <c r="O255" s="160">
        <f>E254*N('Debt Payoff'!$D$17)/12</f>
        <v/>
      </c>
      <c r="P255" s="160">
        <f>F254*N('Debt Payoff'!$D$18)/12</f>
        <v/>
      </c>
      <c r="Q255" s="160">
        <f>G254*N('Debt Payoff'!$D$19)/12</f>
        <v/>
      </c>
      <c r="R255" s="160">
        <f>H254*N('Debt Payoff'!$D$20)/12</f>
        <v/>
      </c>
      <c r="S255" s="160">
        <f>I254*N('Debt Payoff'!$D$21)/12</f>
        <v/>
      </c>
      <c r="T255" s="160">
        <f>J254*N('Debt Payoff'!$D$22)/12</f>
        <v/>
      </c>
      <c r="U255" s="160">
        <f>K254*N('Debt Payoff'!$D$23)/12</f>
        <v/>
      </c>
      <c r="V255" s="160">
        <f>L254*N('Debt Payoff'!$D$24)/12</f>
        <v/>
      </c>
      <c r="W255" s="160">
        <f>MIN(N('Debt Payoff'!$E$15),C254+M255)</f>
        <v/>
      </c>
      <c r="X255" s="160">
        <f>MIN(N('Debt Payoff'!$E$16),D254+N255)</f>
        <v/>
      </c>
      <c r="Y255" s="160">
        <f>MIN(N('Debt Payoff'!$E$17),E254+O255)</f>
        <v/>
      </c>
      <c r="Z255" s="160">
        <f>MIN(N('Debt Payoff'!$E$18),F254+P255)</f>
        <v/>
      </c>
      <c r="AA255" s="160">
        <f>MIN(N('Debt Payoff'!$E$19),G254+Q255)</f>
        <v/>
      </c>
      <c r="AB255" s="160">
        <f>MIN(N('Debt Payoff'!$E$20),H254+R255)</f>
        <v/>
      </c>
      <c r="AC255" s="160">
        <f>MIN(N('Debt Payoff'!$E$21),I254+S255)</f>
        <v/>
      </c>
      <c r="AD255" s="160">
        <f>MIN(N('Debt Payoff'!$E$22),J254+T255)</f>
        <v/>
      </c>
      <c r="AE255" s="160">
        <f>MIN(N('Debt Payoff'!$E$23),K254+U255)</f>
        <v/>
      </c>
      <c r="AF255" s="160">
        <f>MIN(N('Debt Payoff'!$E$24),L254+V255)</f>
        <v/>
      </c>
      <c r="AG255" s="160">
        <f>C254+M255-W255</f>
        <v/>
      </c>
      <c r="AH255" s="160">
        <f>D254+N255-X255</f>
        <v/>
      </c>
      <c r="AI255" s="160">
        <f>E254+O255-Y255</f>
        <v/>
      </c>
      <c r="AJ255" s="160">
        <f>F254+P255-Z255</f>
        <v/>
      </c>
      <c r="AK255" s="160">
        <f>G254+Q255-AA255</f>
        <v/>
      </c>
      <c r="AL255" s="160">
        <f>H254+R255-AB255</f>
        <v/>
      </c>
      <c r="AM255" s="160">
        <f>I254+S255-AC255</f>
        <v/>
      </c>
      <c r="AN255" s="160">
        <f>J254+T255-AD255</f>
        <v/>
      </c>
      <c r="AO255" s="160">
        <f>K254+U255-AE255</f>
        <v/>
      </c>
      <c r="AP255" s="160">
        <f>L254+V255-AF255</f>
        <v/>
      </c>
      <c r="AQ255" s="160">
        <f>W255+MAX(0,MIN(AG255,'Debt Payoff'!$C$12-SUM($W255:$AF255)-SUMIFS($AG255:$AP255,$AG$4:$AP$4,"&lt;"&amp;AG$4)))</f>
        <v/>
      </c>
      <c r="AR255" s="160">
        <f>X255+MAX(0,MIN(AH255,'Debt Payoff'!$C$12-SUM($W255:$AF255)-SUMIFS($AG255:$AP255,$AG$4:$AP$4,"&lt;"&amp;AH$4)))</f>
        <v/>
      </c>
      <c r="AS255" s="160">
        <f>Y255+MAX(0,MIN(AI255,'Debt Payoff'!$C$12-SUM($W255:$AF255)-SUMIFS($AG255:$AP255,$AG$4:$AP$4,"&lt;"&amp;AI$4)))</f>
        <v/>
      </c>
      <c r="AT255" s="160">
        <f>Z255+MAX(0,MIN(AJ255,'Debt Payoff'!$C$12-SUM($W255:$AF255)-SUMIFS($AG255:$AP255,$AG$4:$AP$4,"&lt;"&amp;AJ$4)))</f>
        <v/>
      </c>
      <c r="AU255" s="160">
        <f>AA255+MAX(0,MIN(AK255,'Debt Payoff'!$C$12-SUM($W255:$AF255)-SUMIFS($AG255:$AP255,$AG$4:$AP$4,"&lt;"&amp;AK$4)))</f>
        <v/>
      </c>
      <c r="AV255" s="160">
        <f>AB255+MAX(0,MIN(AL255,'Debt Payoff'!$C$12-SUM($W255:$AF255)-SUMIFS($AG255:$AP255,$AG$4:$AP$4,"&lt;"&amp;AL$4)))</f>
        <v/>
      </c>
      <c r="AW255" s="160">
        <f>AC255+MAX(0,MIN(AM255,'Debt Payoff'!$C$12-SUM($W255:$AF255)-SUMIFS($AG255:$AP255,$AG$4:$AP$4,"&lt;"&amp;AM$4)))</f>
        <v/>
      </c>
      <c r="AX255" s="160">
        <f>AD255+MAX(0,MIN(AN255,'Debt Payoff'!$C$12-SUM($W255:$AF255)-SUMIFS($AG255:$AP255,$AG$4:$AP$4,"&lt;"&amp;AN$4)))</f>
        <v/>
      </c>
      <c r="AY255" s="160">
        <f>AE255+MAX(0,MIN(AO255,'Debt Payoff'!$C$12-SUM($W255:$AF255)-SUMIFS($AG255:$AP255,$AG$4:$AP$4,"&lt;"&amp;AO$4)))</f>
        <v/>
      </c>
      <c r="AZ255" s="160">
        <f>AF255+MAX(0,MIN(AP255,'Debt Payoff'!$C$12-SUM($W255:$AF255)-SUMIFS($AG255:$AP255,$AG$4:$AP$4,"&lt;"&amp;AP$4)))</f>
        <v/>
      </c>
      <c r="BA255" s="160">
        <f>SUM(C255:L255)</f>
        <v/>
      </c>
      <c r="BB255" s="160">
        <f>SUM(AQ255:AZ255)</f>
        <v/>
      </c>
      <c r="BC255" s="160">
        <f>SUM(M255:V255)</f>
        <v/>
      </c>
    </row>
    <row r="256">
      <c r="A256" s="157" t="n">
        <v>251</v>
      </c>
      <c r="B256" s="159">
        <f>EDATE('Debt Payoff'!$C$6,250)</f>
        <v/>
      </c>
      <c r="C256" s="160">
        <f>MAX(0,ROUND(C255+M256-AQ256,2))</f>
        <v/>
      </c>
      <c r="D256" s="160">
        <f>MAX(0,ROUND(D255+N256-AR256,2))</f>
        <v/>
      </c>
      <c r="E256" s="160">
        <f>MAX(0,ROUND(E255+O256-AS256,2))</f>
        <v/>
      </c>
      <c r="F256" s="160">
        <f>MAX(0,ROUND(F255+P256-AT256,2))</f>
        <v/>
      </c>
      <c r="G256" s="160">
        <f>MAX(0,ROUND(G255+Q256-AU256,2))</f>
        <v/>
      </c>
      <c r="H256" s="160">
        <f>MAX(0,ROUND(H255+R256-AV256,2))</f>
        <v/>
      </c>
      <c r="I256" s="160">
        <f>MAX(0,ROUND(I255+S256-AW256,2))</f>
        <v/>
      </c>
      <c r="J256" s="160">
        <f>MAX(0,ROUND(J255+T256-AX256,2))</f>
        <v/>
      </c>
      <c r="K256" s="160">
        <f>MAX(0,ROUND(K255+U256-AY256,2))</f>
        <v/>
      </c>
      <c r="L256" s="160">
        <f>MAX(0,ROUND(L255+V256-AZ256,2))</f>
        <v/>
      </c>
      <c r="M256" s="160">
        <f>C255*N('Debt Payoff'!$D$15)/12</f>
        <v/>
      </c>
      <c r="N256" s="160">
        <f>D255*N('Debt Payoff'!$D$16)/12</f>
        <v/>
      </c>
      <c r="O256" s="160">
        <f>E255*N('Debt Payoff'!$D$17)/12</f>
        <v/>
      </c>
      <c r="P256" s="160">
        <f>F255*N('Debt Payoff'!$D$18)/12</f>
        <v/>
      </c>
      <c r="Q256" s="160">
        <f>G255*N('Debt Payoff'!$D$19)/12</f>
        <v/>
      </c>
      <c r="R256" s="160">
        <f>H255*N('Debt Payoff'!$D$20)/12</f>
        <v/>
      </c>
      <c r="S256" s="160">
        <f>I255*N('Debt Payoff'!$D$21)/12</f>
        <v/>
      </c>
      <c r="T256" s="160">
        <f>J255*N('Debt Payoff'!$D$22)/12</f>
        <v/>
      </c>
      <c r="U256" s="160">
        <f>K255*N('Debt Payoff'!$D$23)/12</f>
        <v/>
      </c>
      <c r="V256" s="160">
        <f>L255*N('Debt Payoff'!$D$24)/12</f>
        <v/>
      </c>
      <c r="W256" s="160">
        <f>MIN(N('Debt Payoff'!$E$15),C255+M256)</f>
        <v/>
      </c>
      <c r="X256" s="160">
        <f>MIN(N('Debt Payoff'!$E$16),D255+N256)</f>
        <v/>
      </c>
      <c r="Y256" s="160">
        <f>MIN(N('Debt Payoff'!$E$17),E255+O256)</f>
        <v/>
      </c>
      <c r="Z256" s="160">
        <f>MIN(N('Debt Payoff'!$E$18),F255+P256)</f>
        <v/>
      </c>
      <c r="AA256" s="160">
        <f>MIN(N('Debt Payoff'!$E$19),G255+Q256)</f>
        <v/>
      </c>
      <c r="AB256" s="160">
        <f>MIN(N('Debt Payoff'!$E$20),H255+R256)</f>
        <v/>
      </c>
      <c r="AC256" s="160">
        <f>MIN(N('Debt Payoff'!$E$21),I255+S256)</f>
        <v/>
      </c>
      <c r="AD256" s="160">
        <f>MIN(N('Debt Payoff'!$E$22),J255+T256)</f>
        <v/>
      </c>
      <c r="AE256" s="160">
        <f>MIN(N('Debt Payoff'!$E$23),K255+U256)</f>
        <v/>
      </c>
      <c r="AF256" s="160">
        <f>MIN(N('Debt Payoff'!$E$24),L255+V256)</f>
        <v/>
      </c>
      <c r="AG256" s="160">
        <f>C255+M256-W256</f>
        <v/>
      </c>
      <c r="AH256" s="160">
        <f>D255+N256-X256</f>
        <v/>
      </c>
      <c r="AI256" s="160">
        <f>E255+O256-Y256</f>
        <v/>
      </c>
      <c r="AJ256" s="160">
        <f>F255+P256-Z256</f>
        <v/>
      </c>
      <c r="AK256" s="160">
        <f>G255+Q256-AA256</f>
        <v/>
      </c>
      <c r="AL256" s="160">
        <f>H255+R256-AB256</f>
        <v/>
      </c>
      <c r="AM256" s="160">
        <f>I255+S256-AC256</f>
        <v/>
      </c>
      <c r="AN256" s="160">
        <f>J255+T256-AD256</f>
        <v/>
      </c>
      <c r="AO256" s="160">
        <f>K255+U256-AE256</f>
        <v/>
      </c>
      <c r="AP256" s="160">
        <f>L255+V256-AF256</f>
        <v/>
      </c>
      <c r="AQ256" s="160">
        <f>W256+MAX(0,MIN(AG256,'Debt Payoff'!$C$12-SUM($W256:$AF256)-SUMIFS($AG256:$AP256,$AG$4:$AP$4,"&lt;"&amp;AG$4)))</f>
        <v/>
      </c>
      <c r="AR256" s="160">
        <f>X256+MAX(0,MIN(AH256,'Debt Payoff'!$C$12-SUM($W256:$AF256)-SUMIFS($AG256:$AP256,$AG$4:$AP$4,"&lt;"&amp;AH$4)))</f>
        <v/>
      </c>
      <c r="AS256" s="160">
        <f>Y256+MAX(0,MIN(AI256,'Debt Payoff'!$C$12-SUM($W256:$AF256)-SUMIFS($AG256:$AP256,$AG$4:$AP$4,"&lt;"&amp;AI$4)))</f>
        <v/>
      </c>
      <c r="AT256" s="160">
        <f>Z256+MAX(0,MIN(AJ256,'Debt Payoff'!$C$12-SUM($W256:$AF256)-SUMIFS($AG256:$AP256,$AG$4:$AP$4,"&lt;"&amp;AJ$4)))</f>
        <v/>
      </c>
      <c r="AU256" s="160">
        <f>AA256+MAX(0,MIN(AK256,'Debt Payoff'!$C$12-SUM($W256:$AF256)-SUMIFS($AG256:$AP256,$AG$4:$AP$4,"&lt;"&amp;AK$4)))</f>
        <v/>
      </c>
      <c r="AV256" s="160">
        <f>AB256+MAX(0,MIN(AL256,'Debt Payoff'!$C$12-SUM($W256:$AF256)-SUMIFS($AG256:$AP256,$AG$4:$AP$4,"&lt;"&amp;AL$4)))</f>
        <v/>
      </c>
      <c r="AW256" s="160">
        <f>AC256+MAX(0,MIN(AM256,'Debt Payoff'!$C$12-SUM($W256:$AF256)-SUMIFS($AG256:$AP256,$AG$4:$AP$4,"&lt;"&amp;AM$4)))</f>
        <v/>
      </c>
      <c r="AX256" s="160">
        <f>AD256+MAX(0,MIN(AN256,'Debt Payoff'!$C$12-SUM($W256:$AF256)-SUMIFS($AG256:$AP256,$AG$4:$AP$4,"&lt;"&amp;AN$4)))</f>
        <v/>
      </c>
      <c r="AY256" s="160">
        <f>AE256+MAX(0,MIN(AO256,'Debt Payoff'!$C$12-SUM($W256:$AF256)-SUMIFS($AG256:$AP256,$AG$4:$AP$4,"&lt;"&amp;AO$4)))</f>
        <v/>
      </c>
      <c r="AZ256" s="160">
        <f>AF256+MAX(0,MIN(AP256,'Debt Payoff'!$C$12-SUM($W256:$AF256)-SUMIFS($AG256:$AP256,$AG$4:$AP$4,"&lt;"&amp;AP$4)))</f>
        <v/>
      </c>
      <c r="BA256" s="160">
        <f>SUM(C256:L256)</f>
        <v/>
      </c>
      <c r="BB256" s="160">
        <f>SUM(AQ256:AZ256)</f>
        <v/>
      </c>
      <c r="BC256" s="160">
        <f>SUM(M256:V256)</f>
        <v/>
      </c>
    </row>
    <row r="257">
      <c r="A257" s="157" t="n">
        <v>252</v>
      </c>
      <c r="B257" s="159">
        <f>EDATE('Debt Payoff'!$C$6,251)</f>
        <v/>
      </c>
      <c r="C257" s="160">
        <f>MAX(0,ROUND(C256+M257-AQ257,2))</f>
        <v/>
      </c>
      <c r="D257" s="160">
        <f>MAX(0,ROUND(D256+N257-AR257,2))</f>
        <v/>
      </c>
      <c r="E257" s="160">
        <f>MAX(0,ROUND(E256+O257-AS257,2))</f>
        <v/>
      </c>
      <c r="F257" s="160">
        <f>MAX(0,ROUND(F256+P257-AT257,2))</f>
        <v/>
      </c>
      <c r="G257" s="160">
        <f>MAX(0,ROUND(G256+Q257-AU257,2))</f>
        <v/>
      </c>
      <c r="H257" s="160">
        <f>MAX(0,ROUND(H256+R257-AV257,2))</f>
        <v/>
      </c>
      <c r="I257" s="160">
        <f>MAX(0,ROUND(I256+S257-AW257,2))</f>
        <v/>
      </c>
      <c r="J257" s="160">
        <f>MAX(0,ROUND(J256+T257-AX257,2))</f>
        <v/>
      </c>
      <c r="K257" s="160">
        <f>MAX(0,ROUND(K256+U257-AY257,2))</f>
        <v/>
      </c>
      <c r="L257" s="160">
        <f>MAX(0,ROUND(L256+V257-AZ257,2))</f>
        <v/>
      </c>
      <c r="M257" s="160">
        <f>C256*N('Debt Payoff'!$D$15)/12</f>
        <v/>
      </c>
      <c r="N257" s="160">
        <f>D256*N('Debt Payoff'!$D$16)/12</f>
        <v/>
      </c>
      <c r="O257" s="160">
        <f>E256*N('Debt Payoff'!$D$17)/12</f>
        <v/>
      </c>
      <c r="P257" s="160">
        <f>F256*N('Debt Payoff'!$D$18)/12</f>
        <v/>
      </c>
      <c r="Q257" s="160">
        <f>G256*N('Debt Payoff'!$D$19)/12</f>
        <v/>
      </c>
      <c r="R257" s="160">
        <f>H256*N('Debt Payoff'!$D$20)/12</f>
        <v/>
      </c>
      <c r="S257" s="160">
        <f>I256*N('Debt Payoff'!$D$21)/12</f>
        <v/>
      </c>
      <c r="T257" s="160">
        <f>J256*N('Debt Payoff'!$D$22)/12</f>
        <v/>
      </c>
      <c r="U257" s="160">
        <f>K256*N('Debt Payoff'!$D$23)/12</f>
        <v/>
      </c>
      <c r="V257" s="160">
        <f>L256*N('Debt Payoff'!$D$24)/12</f>
        <v/>
      </c>
      <c r="W257" s="160">
        <f>MIN(N('Debt Payoff'!$E$15),C256+M257)</f>
        <v/>
      </c>
      <c r="X257" s="160">
        <f>MIN(N('Debt Payoff'!$E$16),D256+N257)</f>
        <v/>
      </c>
      <c r="Y257" s="160">
        <f>MIN(N('Debt Payoff'!$E$17),E256+O257)</f>
        <v/>
      </c>
      <c r="Z257" s="160">
        <f>MIN(N('Debt Payoff'!$E$18),F256+P257)</f>
        <v/>
      </c>
      <c r="AA257" s="160">
        <f>MIN(N('Debt Payoff'!$E$19),G256+Q257)</f>
        <v/>
      </c>
      <c r="AB257" s="160">
        <f>MIN(N('Debt Payoff'!$E$20),H256+R257)</f>
        <v/>
      </c>
      <c r="AC257" s="160">
        <f>MIN(N('Debt Payoff'!$E$21),I256+S257)</f>
        <v/>
      </c>
      <c r="AD257" s="160">
        <f>MIN(N('Debt Payoff'!$E$22),J256+T257)</f>
        <v/>
      </c>
      <c r="AE257" s="160">
        <f>MIN(N('Debt Payoff'!$E$23),K256+U257)</f>
        <v/>
      </c>
      <c r="AF257" s="160">
        <f>MIN(N('Debt Payoff'!$E$24),L256+V257)</f>
        <v/>
      </c>
      <c r="AG257" s="160">
        <f>C256+M257-W257</f>
        <v/>
      </c>
      <c r="AH257" s="160">
        <f>D256+N257-X257</f>
        <v/>
      </c>
      <c r="AI257" s="160">
        <f>E256+O257-Y257</f>
        <v/>
      </c>
      <c r="AJ257" s="160">
        <f>F256+P257-Z257</f>
        <v/>
      </c>
      <c r="AK257" s="160">
        <f>G256+Q257-AA257</f>
        <v/>
      </c>
      <c r="AL257" s="160">
        <f>H256+R257-AB257</f>
        <v/>
      </c>
      <c r="AM257" s="160">
        <f>I256+S257-AC257</f>
        <v/>
      </c>
      <c r="AN257" s="160">
        <f>J256+T257-AD257</f>
        <v/>
      </c>
      <c r="AO257" s="160">
        <f>K256+U257-AE257</f>
        <v/>
      </c>
      <c r="AP257" s="160">
        <f>L256+V257-AF257</f>
        <v/>
      </c>
      <c r="AQ257" s="160">
        <f>W257+MAX(0,MIN(AG257,'Debt Payoff'!$C$12-SUM($W257:$AF257)-SUMIFS($AG257:$AP257,$AG$4:$AP$4,"&lt;"&amp;AG$4)))</f>
        <v/>
      </c>
      <c r="AR257" s="160">
        <f>X257+MAX(0,MIN(AH257,'Debt Payoff'!$C$12-SUM($W257:$AF257)-SUMIFS($AG257:$AP257,$AG$4:$AP$4,"&lt;"&amp;AH$4)))</f>
        <v/>
      </c>
      <c r="AS257" s="160">
        <f>Y257+MAX(0,MIN(AI257,'Debt Payoff'!$C$12-SUM($W257:$AF257)-SUMIFS($AG257:$AP257,$AG$4:$AP$4,"&lt;"&amp;AI$4)))</f>
        <v/>
      </c>
      <c r="AT257" s="160">
        <f>Z257+MAX(0,MIN(AJ257,'Debt Payoff'!$C$12-SUM($W257:$AF257)-SUMIFS($AG257:$AP257,$AG$4:$AP$4,"&lt;"&amp;AJ$4)))</f>
        <v/>
      </c>
      <c r="AU257" s="160">
        <f>AA257+MAX(0,MIN(AK257,'Debt Payoff'!$C$12-SUM($W257:$AF257)-SUMIFS($AG257:$AP257,$AG$4:$AP$4,"&lt;"&amp;AK$4)))</f>
        <v/>
      </c>
      <c r="AV257" s="160">
        <f>AB257+MAX(0,MIN(AL257,'Debt Payoff'!$C$12-SUM($W257:$AF257)-SUMIFS($AG257:$AP257,$AG$4:$AP$4,"&lt;"&amp;AL$4)))</f>
        <v/>
      </c>
      <c r="AW257" s="160">
        <f>AC257+MAX(0,MIN(AM257,'Debt Payoff'!$C$12-SUM($W257:$AF257)-SUMIFS($AG257:$AP257,$AG$4:$AP$4,"&lt;"&amp;AM$4)))</f>
        <v/>
      </c>
      <c r="AX257" s="160">
        <f>AD257+MAX(0,MIN(AN257,'Debt Payoff'!$C$12-SUM($W257:$AF257)-SUMIFS($AG257:$AP257,$AG$4:$AP$4,"&lt;"&amp;AN$4)))</f>
        <v/>
      </c>
      <c r="AY257" s="160">
        <f>AE257+MAX(0,MIN(AO257,'Debt Payoff'!$C$12-SUM($W257:$AF257)-SUMIFS($AG257:$AP257,$AG$4:$AP$4,"&lt;"&amp;AO$4)))</f>
        <v/>
      </c>
      <c r="AZ257" s="160">
        <f>AF257+MAX(0,MIN(AP257,'Debt Payoff'!$C$12-SUM($W257:$AF257)-SUMIFS($AG257:$AP257,$AG$4:$AP$4,"&lt;"&amp;AP$4)))</f>
        <v/>
      </c>
      <c r="BA257" s="160">
        <f>SUM(C257:L257)</f>
        <v/>
      </c>
      <c r="BB257" s="160">
        <f>SUM(AQ257:AZ257)</f>
        <v/>
      </c>
      <c r="BC257" s="160">
        <f>SUM(M257:V257)</f>
        <v/>
      </c>
    </row>
    <row r="258">
      <c r="A258" s="157" t="n">
        <v>253</v>
      </c>
      <c r="B258" s="159">
        <f>EDATE('Debt Payoff'!$C$6,252)</f>
        <v/>
      </c>
      <c r="C258" s="160">
        <f>MAX(0,ROUND(C257+M258-AQ258,2))</f>
        <v/>
      </c>
      <c r="D258" s="160">
        <f>MAX(0,ROUND(D257+N258-AR258,2))</f>
        <v/>
      </c>
      <c r="E258" s="160">
        <f>MAX(0,ROUND(E257+O258-AS258,2))</f>
        <v/>
      </c>
      <c r="F258" s="160">
        <f>MAX(0,ROUND(F257+P258-AT258,2))</f>
        <v/>
      </c>
      <c r="G258" s="160">
        <f>MAX(0,ROUND(G257+Q258-AU258,2))</f>
        <v/>
      </c>
      <c r="H258" s="160">
        <f>MAX(0,ROUND(H257+R258-AV258,2))</f>
        <v/>
      </c>
      <c r="I258" s="160">
        <f>MAX(0,ROUND(I257+S258-AW258,2))</f>
        <v/>
      </c>
      <c r="J258" s="160">
        <f>MAX(0,ROUND(J257+T258-AX258,2))</f>
        <v/>
      </c>
      <c r="K258" s="160">
        <f>MAX(0,ROUND(K257+U258-AY258,2))</f>
        <v/>
      </c>
      <c r="L258" s="160">
        <f>MAX(0,ROUND(L257+V258-AZ258,2))</f>
        <v/>
      </c>
      <c r="M258" s="160">
        <f>C257*N('Debt Payoff'!$D$15)/12</f>
        <v/>
      </c>
      <c r="N258" s="160">
        <f>D257*N('Debt Payoff'!$D$16)/12</f>
        <v/>
      </c>
      <c r="O258" s="160">
        <f>E257*N('Debt Payoff'!$D$17)/12</f>
        <v/>
      </c>
      <c r="P258" s="160">
        <f>F257*N('Debt Payoff'!$D$18)/12</f>
        <v/>
      </c>
      <c r="Q258" s="160">
        <f>G257*N('Debt Payoff'!$D$19)/12</f>
        <v/>
      </c>
      <c r="R258" s="160">
        <f>H257*N('Debt Payoff'!$D$20)/12</f>
        <v/>
      </c>
      <c r="S258" s="160">
        <f>I257*N('Debt Payoff'!$D$21)/12</f>
        <v/>
      </c>
      <c r="T258" s="160">
        <f>J257*N('Debt Payoff'!$D$22)/12</f>
        <v/>
      </c>
      <c r="U258" s="160">
        <f>K257*N('Debt Payoff'!$D$23)/12</f>
        <v/>
      </c>
      <c r="V258" s="160">
        <f>L257*N('Debt Payoff'!$D$24)/12</f>
        <v/>
      </c>
      <c r="W258" s="160">
        <f>MIN(N('Debt Payoff'!$E$15),C257+M258)</f>
        <v/>
      </c>
      <c r="X258" s="160">
        <f>MIN(N('Debt Payoff'!$E$16),D257+N258)</f>
        <v/>
      </c>
      <c r="Y258" s="160">
        <f>MIN(N('Debt Payoff'!$E$17),E257+O258)</f>
        <v/>
      </c>
      <c r="Z258" s="160">
        <f>MIN(N('Debt Payoff'!$E$18),F257+P258)</f>
        <v/>
      </c>
      <c r="AA258" s="160">
        <f>MIN(N('Debt Payoff'!$E$19),G257+Q258)</f>
        <v/>
      </c>
      <c r="AB258" s="160">
        <f>MIN(N('Debt Payoff'!$E$20),H257+R258)</f>
        <v/>
      </c>
      <c r="AC258" s="160">
        <f>MIN(N('Debt Payoff'!$E$21),I257+S258)</f>
        <v/>
      </c>
      <c r="AD258" s="160">
        <f>MIN(N('Debt Payoff'!$E$22),J257+T258)</f>
        <v/>
      </c>
      <c r="AE258" s="160">
        <f>MIN(N('Debt Payoff'!$E$23),K257+U258)</f>
        <v/>
      </c>
      <c r="AF258" s="160">
        <f>MIN(N('Debt Payoff'!$E$24),L257+V258)</f>
        <v/>
      </c>
      <c r="AG258" s="160">
        <f>C257+M258-W258</f>
        <v/>
      </c>
      <c r="AH258" s="160">
        <f>D257+N258-X258</f>
        <v/>
      </c>
      <c r="AI258" s="160">
        <f>E257+O258-Y258</f>
        <v/>
      </c>
      <c r="AJ258" s="160">
        <f>F257+P258-Z258</f>
        <v/>
      </c>
      <c r="AK258" s="160">
        <f>G257+Q258-AA258</f>
        <v/>
      </c>
      <c r="AL258" s="160">
        <f>H257+R258-AB258</f>
        <v/>
      </c>
      <c r="AM258" s="160">
        <f>I257+S258-AC258</f>
        <v/>
      </c>
      <c r="AN258" s="160">
        <f>J257+T258-AD258</f>
        <v/>
      </c>
      <c r="AO258" s="160">
        <f>K257+U258-AE258</f>
        <v/>
      </c>
      <c r="AP258" s="160">
        <f>L257+V258-AF258</f>
        <v/>
      </c>
      <c r="AQ258" s="160">
        <f>W258+MAX(0,MIN(AG258,'Debt Payoff'!$C$12-SUM($W258:$AF258)-SUMIFS($AG258:$AP258,$AG$4:$AP$4,"&lt;"&amp;AG$4)))</f>
        <v/>
      </c>
      <c r="AR258" s="160">
        <f>X258+MAX(0,MIN(AH258,'Debt Payoff'!$C$12-SUM($W258:$AF258)-SUMIFS($AG258:$AP258,$AG$4:$AP$4,"&lt;"&amp;AH$4)))</f>
        <v/>
      </c>
      <c r="AS258" s="160">
        <f>Y258+MAX(0,MIN(AI258,'Debt Payoff'!$C$12-SUM($W258:$AF258)-SUMIFS($AG258:$AP258,$AG$4:$AP$4,"&lt;"&amp;AI$4)))</f>
        <v/>
      </c>
      <c r="AT258" s="160">
        <f>Z258+MAX(0,MIN(AJ258,'Debt Payoff'!$C$12-SUM($W258:$AF258)-SUMIFS($AG258:$AP258,$AG$4:$AP$4,"&lt;"&amp;AJ$4)))</f>
        <v/>
      </c>
      <c r="AU258" s="160">
        <f>AA258+MAX(0,MIN(AK258,'Debt Payoff'!$C$12-SUM($W258:$AF258)-SUMIFS($AG258:$AP258,$AG$4:$AP$4,"&lt;"&amp;AK$4)))</f>
        <v/>
      </c>
      <c r="AV258" s="160">
        <f>AB258+MAX(0,MIN(AL258,'Debt Payoff'!$C$12-SUM($W258:$AF258)-SUMIFS($AG258:$AP258,$AG$4:$AP$4,"&lt;"&amp;AL$4)))</f>
        <v/>
      </c>
      <c r="AW258" s="160">
        <f>AC258+MAX(0,MIN(AM258,'Debt Payoff'!$C$12-SUM($W258:$AF258)-SUMIFS($AG258:$AP258,$AG$4:$AP$4,"&lt;"&amp;AM$4)))</f>
        <v/>
      </c>
      <c r="AX258" s="160">
        <f>AD258+MAX(0,MIN(AN258,'Debt Payoff'!$C$12-SUM($W258:$AF258)-SUMIFS($AG258:$AP258,$AG$4:$AP$4,"&lt;"&amp;AN$4)))</f>
        <v/>
      </c>
      <c r="AY258" s="160">
        <f>AE258+MAX(0,MIN(AO258,'Debt Payoff'!$C$12-SUM($W258:$AF258)-SUMIFS($AG258:$AP258,$AG$4:$AP$4,"&lt;"&amp;AO$4)))</f>
        <v/>
      </c>
      <c r="AZ258" s="160">
        <f>AF258+MAX(0,MIN(AP258,'Debt Payoff'!$C$12-SUM($W258:$AF258)-SUMIFS($AG258:$AP258,$AG$4:$AP$4,"&lt;"&amp;AP$4)))</f>
        <v/>
      </c>
      <c r="BA258" s="160">
        <f>SUM(C258:L258)</f>
        <v/>
      </c>
      <c r="BB258" s="160">
        <f>SUM(AQ258:AZ258)</f>
        <v/>
      </c>
      <c r="BC258" s="160">
        <f>SUM(M258:V258)</f>
        <v/>
      </c>
    </row>
    <row r="259">
      <c r="A259" s="157" t="n">
        <v>254</v>
      </c>
      <c r="B259" s="159">
        <f>EDATE('Debt Payoff'!$C$6,253)</f>
        <v/>
      </c>
      <c r="C259" s="160">
        <f>MAX(0,ROUND(C258+M259-AQ259,2))</f>
        <v/>
      </c>
      <c r="D259" s="160">
        <f>MAX(0,ROUND(D258+N259-AR259,2))</f>
        <v/>
      </c>
      <c r="E259" s="160">
        <f>MAX(0,ROUND(E258+O259-AS259,2))</f>
        <v/>
      </c>
      <c r="F259" s="160">
        <f>MAX(0,ROUND(F258+P259-AT259,2))</f>
        <v/>
      </c>
      <c r="G259" s="160">
        <f>MAX(0,ROUND(G258+Q259-AU259,2))</f>
        <v/>
      </c>
      <c r="H259" s="160">
        <f>MAX(0,ROUND(H258+R259-AV259,2))</f>
        <v/>
      </c>
      <c r="I259" s="160">
        <f>MAX(0,ROUND(I258+S259-AW259,2))</f>
        <v/>
      </c>
      <c r="J259" s="160">
        <f>MAX(0,ROUND(J258+T259-AX259,2))</f>
        <v/>
      </c>
      <c r="K259" s="160">
        <f>MAX(0,ROUND(K258+U259-AY259,2))</f>
        <v/>
      </c>
      <c r="L259" s="160">
        <f>MAX(0,ROUND(L258+V259-AZ259,2))</f>
        <v/>
      </c>
      <c r="M259" s="160">
        <f>C258*N('Debt Payoff'!$D$15)/12</f>
        <v/>
      </c>
      <c r="N259" s="160">
        <f>D258*N('Debt Payoff'!$D$16)/12</f>
        <v/>
      </c>
      <c r="O259" s="160">
        <f>E258*N('Debt Payoff'!$D$17)/12</f>
        <v/>
      </c>
      <c r="P259" s="160">
        <f>F258*N('Debt Payoff'!$D$18)/12</f>
        <v/>
      </c>
      <c r="Q259" s="160">
        <f>G258*N('Debt Payoff'!$D$19)/12</f>
        <v/>
      </c>
      <c r="R259" s="160">
        <f>H258*N('Debt Payoff'!$D$20)/12</f>
        <v/>
      </c>
      <c r="S259" s="160">
        <f>I258*N('Debt Payoff'!$D$21)/12</f>
        <v/>
      </c>
      <c r="T259" s="160">
        <f>J258*N('Debt Payoff'!$D$22)/12</f>
        <v/>
      </c>
      <c r="U259" s="160">
        <f>K258*N('Debt Payoff'!$D$23)/12</f>
        <v/>
      </c>
      <c r="V259" s="160">
        <f>L258*N('Debt Payoff'!$D$24)/12</f>
        <v/>
      </c>
      <c r="W259" s="160">
        <f>MIN(N('Debt Payoff'!$E$15),C258+M259)</f>
        <v/>
      </c>
      <c r="X259" s="160">
        <f>MIN(N('Debt Payoff'!$E$16),D258+N259)</f>
        <v/>
      </c>
      <c r="Y259" s="160">
        <f>MIN(N('Debt Payoff'!$E$17),E258+O259)</f>
        <v/>
      </c>
      <c r="Z259" s="160">
        <f>MIN(N('Debt Payoff'!$E$18),F258+P259)</f>
        <v/>
      </c>
      <c r="AA259" s="160">
        <f>MIN(N('Debt Payoff'!$E$19),G258+Q259)</f>
        <v/>
      </c>
      <c r="AB259" s="160">
        <f>MIN(N('Debt Payoff'!$E$20),H258+R259)</f>
        <v/>
      </c>
      <c r="AC259" s="160">
        <f>MIN(N('Debt Payoff'!$E$21),I258+S259)</f>
        <v/>
      </c>
      <c r="AD259" s="160">
        <f>MIN(N('Debt Payoff'!$E$22),J258+T259)</f>
        <v/>
      </c>
      <c r="AE259" s="160">
        <f>MIN(N('Debt Payoff'!$E$23),K258+U259)</f>
        <v/>
      </c>
      <c r="AF259" s="160">
        <f>MIN(N('Debt Payoff'!$E$24),L258+V259)</f>
        <v/>
      </c>
      <c r="AG259" s="160">
        <f>C258+M259-W259</f>
        <v/>
      </c>
      <c r="AH259" s="160">
        <f>D258+N259-X259</f>
        <v/>
      </c>
      <c r="AI259" s="160">
        <f>E258+O259-Y259</f>
        <v/>
      </c>
      <c r="AJ259" s="160">
        <f>F258+P259-Z259</f>
        <v/>
      </c>
      <c r="AK259" s="160">
        <f>G258+Q259-AA259</f>
        <v/>
      </c>
      <c r="AL259" s="160">
        <f>H258+R259-AB259</f>
        <v/>
      </c>
      <c r="AM259" s="160">
        <f>I258+S259-AC259</f>
        <v/>
      </c>
      <c r="AN259" s="160">
        <f>J258+T259-AD259</f>
        <v/>
      </c>
      <c r="AO259" s="160">
        <f>K258+U259-AE259</f>
        <v/>
      </c>
      <c r="AP259" s="160">
        <f>L258+V259-AF259</f>
        <v/>
      </c>
      <c r="AQ259" s="160">
        <f>W259+MAX(0,MIN(AG259,'Debt Payoff'!$C$12-SUM($W259:$AF259)-SUMIFS($AG259:$AP259,$AG$4:$AP$4,"&lt;"&amp;AG$4)))</f>
        <v/>
      </c>
      <c r="AR259" s="160">
        <f>X259+MAX(0,MIN(AH259,'Debt Payoff'!$C$12-SUM($W259:$AF259)-SUMIFS($AG259:$AP259,$AG$4:$AP$4,"&lt;"&amp;AH$4)))</f>
        <v/>
      </c>
      <c r="AS259" s="160">
        <f>Y259+MAX(0,MIN(AI259,'Debt Payoff'!$C$12-SUM($W259:$AF259)-SUMIFS($AG259:$AP259,$AG$4:$AP$4,"&lt;"&amp;AI$4)))</f>
        <v/>
      </c>
      <c r="AT259" s="160">
        <f>Z259+MAX(0,MIN(AJ259,'Debt Payoff'!$C$12-SUM($W259:$AF259)-SUMIFS($AG259:$AP259,$AG$4:$AP$4,"&lt;"&amp;AJ$4)))</f>
        <v/>
      </c>
      <c r="AU259" s="160">
        <f>AA259+MAX(0,MIN(AK259,'Debt Payoff'!$C$12-SUM($W259:$AF259)-SUMIFS($AG259:$AP259,$AG$4:$AP$4,"&lt;"&amp;AK$4)))</f>
        <v/>
      </c>
      <c r="AV259" s="160">
        <f>AB259+MAX(0,MIN(AL259,'Debt Payoff'!$C$12-SUM($W259:$AF259)-SUMIFS($AG259:$AP259,$AG$4:$AP$4,"&lt;"&amp;AL$4)))</f>
        <v/>
      </c>
      <c r="AW259" s="160">
        <f>AC259+MAX(0,MIN(AM259,'Debt Payoff'!$C$12-SUM($W259:$AF259)-SUMIFS($AG259:$AP259,$AG$4:$AP$4,"&lt;"&amp;AM$4)))</f>
        <v/>
      </c>
      <c r="AX259" s="160">
        <f>AD259+MAX(0,MIN(AN259,'Debt Payoff'!$C$12-SUM($W259:$AF259)-SUMIFS($AG259:$AP259,$AG$4:$AP$4,"&lt;"&amp;AN$4)))</f>
        <v/>
      </c>
      <c r="AY259" s="160">
        <f>AE259+MAX(0,MIN(AO259,'Debt Payoff'!$C$12-SUM($W259:$AF259)-SUMIFS($AG259:$AP259,$AG$4:$AP$4,"&lt;"&amp;AO$4)))</f>
        <v/>
      </c>
      <c r="AZ259" s="160">
        <f>AF259+MAX(0,MIN(AP259,'Debt Payoff'!$C$12-SUM($W259:$AF259)-SUMIFS($AG259:$AP259,$AG$4:$AP$4,"&lt;"&amp;AP$4)))</f>
        <v/>
      </c>
      <c r="BA259" s="160">
        <f>SUM(C259:L259)</f>
        <v/>
      </c>
      <c r="BB259" s="160">
        <f>SUM(AQ259:AZ259)</f>
        <v/>
      </c>
      <c r="BC259" s="160">
        <f>SUM(M259:V259)</f>
        <v/>
      </c>
    </row>
    <row r="260">
      <c r="A260" s="157" t="n">
        <v>255</v>
      </c>
      <c r="B260" s="159">
        <f>EDATE('Debt Payoff'!$C$6,254)</f>
        <v/>
      </c>
      <c r="C260" s="160">
        <f>MAX(0,ROUND(C259+M260-AQ260,2))</f>
        <v/>
      </c>
      <c r="D260" s="160">
        <f>MAX(0,ROUND(D259+N260-AR260,2))</f>
        <v/>
      </c>
      <c r="E260" s="160">
        <f>MAX(0,ROUND(E259+O260-AS260,2))</f>
        <v/>
      </c>
      <c r="F260" s="160">
        <f>MAX(0,ROUND(F259+P260-AT260,2))</f>
        <v/>
      </c>
      <c r="G260" s="160">
        <f>MAX(0,ROUND(G259+Q260-AU260,2))</f>
        <v/>
      </c>
      <c r="H260" s="160">
        <f>MAX(0,ROUND(H259+R260-AV260,2))</f>
        <v/>
      </c>
      <c r="I260" s="160">
        <f>MAX(0,ROUND(I259+S260-AW260,2))</f>
        <v/>
      </c>
      <c r="J260" s="160">
        <f>MAX(0,ROUND(J259+T260-AX260,2))</f>
        <v/>
      </c>
      <c r="K260" s="160">
        <f>MAX(0,ROUND(K259+U260-AY260,2))</f>
        <v/>
      </c>
      <c r="L260" s="160">
        <f>MAX(0,ROUND(L259+V260-AZ260,2))</f>
        <v/>
      </c>
      <c r="M260" s="160">
        <f>C259*N('Debt Payoff'!$D$15)/12</f>
        <v/>
      </c>
      <c r="N260" s="160">
        <f>D259*N('Debt Payoff'!$D$16)/12</f>
        <v/>
      </c>
      <c r="O260" s="160">
        <f>E259*N('Debt Payoff'!$D$17)/12</f>
        <v/>
      </c>
      <c r="P260" s="160">
        <f>F259*N('Debt Payoff'!$D$18)/12</f>
        <v/>
      </c>
      <c r="Q260" s="160">
        <f>G259*N('Debt Payoff'!$D$19)/12</f>
        <v/>
      </c>
      <c r="R260" s="160">
        <f>H259*N('Debt Payoff'!$D$20)/12</f>
        <v/>
      </c>
      <c r="S260" s="160">
        <f>I259*N('Debt Payoff'!$D$21)/12</f>
        <v/>
      </c>
      <c r="T260" s="160">
        <f>J259*N('Debt Payoff'!$D$22)/12</f>
        <v/>
      </c>
      <c r="U260" s="160">
        <f>K259*N('Debt Payoff'!$D$23)/12</f>
        <v/>
      </c>
      <c r="V260" s="160">
        <f>L259*N('Debt Payoff'!$D$24)/12</f>
        <v/>
      </c>
      <c r="W260" s="160">
        <f>MIN(N('Debt Payoff'!$E$15),C259+M260)</f>
        <v/>
      </c>
      <c r="X260" s="160">
        <f>MIN(N('Debt Payoff'!$E$16),D259+N260)</f>
        <v/>
      </c>
      <c r="Y260" s="160">
        <f>MIN(N('Debt Payoff'!$E$17),E259+O260)</f>
        <v/>
      </c>
      <c r="Z260" s="160">
        <f>MIN(N('Debt Payoff'!$E$18),F259+P260)</f>
        <v/>
      </c>
      <c r="AA260" s="160">
        <f>MIN(N('Debt Payoff'!$E$19),G259+Q260)</f>
        <v/>
      </c>
      <c r="AB260" s="160">
        <f>MIN(N('Debt Payoff'!$E$20),H259+R260)</f>
        <v/>
      </c>
      <c r="AC260" s="160">
        <f>MIN(N('Debt Payoff'!$E$21),I259+S260)</f>
        <v/>
      </c>
      <c r="AD260" s="160">
        <f>MIN(N('Debt Payoff'!$E$22),J259+T260)</f>
        <v/>
      </c>
      <c r="AE260" s="160">
        <f>MIN(N('Debt Payoff'!$E$23),K259+U260)</f>
        <v/>
      </c>
      <c r="AF260" s="160">
        <f>MIN(N('Debt Payoff'!$E$24),L259+V260)</f>
        <v/>
      </c>
      <c r="AG260" s="160">
        <f>C259+M260-W260</f>
        <v/>
      </c>
      <c r="AH260" s="160">
        <f>D259+N260-X260</f>
        <v/>
      </c>
      <c r="AI260" s="160">
        <f>E259+O260-Y260</f>
        <v/>
      </c>
      <c r="AJ260" s="160">
        <f>F259+P260-Z260</f>
        <v/>
      </c>
      <c r="AK260" s="160">
        <f>G259+Q260-AA260</f>
        <v/>
      </c>
      <c r="AL260" s="160">
        <f>H259+R260-AB260</f>
        <v/>
      </c>
      <c r="AM260" s="160">
        <f>I259+S260-AC260</f>
        <v/>
      </c>
      <c r="AN260" s="160">
        <f>J259+T260-AD260</f>
        <v/>
      </c>
      <c r="AO260" s="160">
        <f>K259+U260-AE260</f>
        <v/>
      </c>
      <c r="AP260" s="160">
        <f>L259+V260-AF260</f>
        <v/>
      </c>
      <c r="AQ260" s="160">
        <f>W260+MAX(0,MIN(AG260,'Debt Payoff'!$C$12-SUM($W260:$AF260)-SUMIFS($AG260:$AP260,$AG$4:$AP$4,"&lt;"&amp;AG$4)))</f>
        <v/>
      </c>
      <c r="AR260" s="160">
        <f>X260+MAX(0,MIN(AH260,'Debt Payoff'!$C$12-SUM($W260:$AF260)-SUMIFS($AG260:$AP260,$AG$4:$AP$4,"&lt;"&amp;AH$4)))</f>
        <v/>
      </c>
      <c r="AS260" s="160">
        <f>Y260+MAX(0,MIN(AI260,'Debt Payoff'!$C$12-SUM($W260:$AF260)-SUMIFS($AG260:$AP260,$AG$4:$AP$4,"&lt;"&amp;AI$4)))</f>
        <v/>
      </c>
      <c r="AT260" s="160">
        <f>Z260+MAX(0,MIN(AJ260,'Debt Payoff'!$C$12-SUM($W260:$AF260)-SUMIFS($AG260:$AP260,$AG$4:$AP$4,"&lt;"&amp;AJ$4)))</f>
        <v/>
      </c>
      <c r="AU260" s="160">
        <f>AA260+MAX(0,MIN(AK260,'Debt Payoff'!$C$12-SUM($W260:$AF260)-SUMIFS($AG260:$AP260,$AG$4:$AP$4,"&lt;"&amp;AK$4)))</f>
        <v/>
      </c>
      <c r="AV260" s="160">
        <f>AB260+MAX(0,MIN(AL260,'Debt Payoff'!$C$12-SUM($W260:$AF260)-SUMIFS($AG260:$AP260,$AG$4:$AP$4,"&lt;"&amp;AL$4)))</f>
        <v/>
      </c>
      <c r="AW260" s="160">
        <f>AC260+MAX(0,MIN(AM260,'Debt Payoff'!$C$12-SUM($W260:$AF260)-SUMIFS($AG260:$AP260,$AG$4:$AP$4,"&lt;"&amp;AM$4)))</f>
        <v/>
      </c>
      <c r="AX260" s="160">
        <f>AD260+MAX(0,MIN(AN260,'Debt Payoff'!$C$12-SUM($W260:$AF260)-SUMIFS($AG260:$AP260,$AG$4:$AP$4,"&lt;"&amp;AN$4)))</f>
        <v/>
      </c>
      <c r="AY260" s="160">
        <f>AE260+MAX(0,MIN(AO260,'Debt Payoff'!$C$12-SUM($W260:$AF260)-SUMIFS($AG260:$AP260,$AG$4:$AP$4,"&lt;"&amp;AO$4)))</f>
        <v/>
      </c>
      <c r="AZ260" s="160">
        <f>AF260+MAX(0,MIN(AP260,'Debt Payoff'!$C$12-SUM($W260:$AF260)-SUMIFS($AG260:$AP260,$AG$4:$AP$4,"&lt;"&amp;AP$4)))</f>
        <v/>
      </c>
      <c r="BA260" s="160">
        <f>SUM(C260:L260)</f>
        <v/>
      </c>
      <c r="BB260" s="160">
        <f>SUM(AQ260:AZ260)</f>
        <v/>
      </c>
      <c r="BC260" s="160">
        <f>SUM(M260:V260)</f>
        <v/>
      </c>
    </row>
    <row r="261">
      <c r="A261" s="157" t="n">
        <v>256</v>
      </c>
      <c r="B261" s="159">
        <f>EDATE('Debt Payoff'!$C$6,255)</f>
        <v/>
      </c>
      <c r="C261" s="160">
        <f>MAX(0,ROUND(C260+M261-AQ261,2))</f>
        <v/>
      </c>
      <c r="D261" s="160">
        <f>MAX(0,ROUND(D260+N261-AR261,2))</f>
        <v/>
      </c>
      <c r="E261" s="160">
        <f>MAX(0,ROUND(E260+O261-AS261,2))</f>
        <v/>
      </c>
      <c r="F261" s="160">
        <f>MAX(0,ROUND(F260+P261-AT261,2))</f>
        <v/>
      </c>
      <c r="G261" s="160">
        <f>MAX(0,ROUND(G260+Q261-AU261,2))</f>
        <v/>
      </c>
      <c r="H261" s="160">
        <f>MAX(0,ROUND(H260+R261-AV261,2))</f>
        <v/>
      </c>
      <c r="I261" s="160">
        <f>MAX(0,ROUND(I260+S261-AW261,2))</f>
        <v/>
      </c>
      <c r="J261" s="160">
        <f>MAX(0,ROUND(J260+T261-AX261,2))</f>
        <v/>
      </c>
      <c r="K261" s="160">
        <f>MAX(0,ROUND(K260+U261-AY261,2))</f>
        <v/>
      </c>
      <c r="L261" s="160">
        <f>MAX(0,ROUND(L260+V261-AZ261,2))</f>
        <v/>
      </c>
      <c r="M261" s="160">
        <f>C260*N('Debt Payoff'!$D$15)/12</f>
        <v/>
      </c>
      <c r="N261" s="160">
        <f>D260*N('Debt Payoff'!$D$16)/12</f>
        <v/>
      </c>
      <c r="O261" s="160">
        <f>E260*N('Debt Payoff'!$D$17)/12</f>
        <v/>
      </c>
      <c r="P261" s="160">
        <f>F260*N('Debt Payoff'!$D$18)/12</f>
        <v/>
      </c>
      <c r="Q261" s="160">
        <f>G260*N('Debt Payoff'!$D$19)/12</f>
        <v/>
      </c>
      <c r="R261" s="160">
        <f>H260*N('Debt Payoff'!$D$20)/12</f>
        <v/>
      </c>
      <c r="S261" s="160">
        <f>I260*N('Debt Payoff'!$D$21)/12</f>
        <v/>
      </c>
      <c r="T261" s="160">
        <f>J260*N('Debt Payoff'!$D$22)/12</f>
        <v/>
      </c>
      <c r="U261" s="160">
        <f>K260*N('Debt Payoff'!$D$23)/12</f>
        <v/>
      </c>
      <c r="V261" s="160">
        <f>L260*N('Debt Payoff'!$D$24)/12</f>
        <v/>
      </c>
      <c r="W261" s="160">
        <f>MIN(N('Debt Payoff'!$E$15),C260+M261)</f>
        <v/>
      </c>
      <c r="X261" s="160">
        <f>MIN(N('Debt Payoff'!$E$16),D260+N261)</f>
        <v/>
      </c>
      <c r="Y261" s="160">
        <f>MIN(N('Debt Payoff'!$E$17),E260+O261)</f>
        <v/>
      </c>
      <c r="Z261" s="160">
        <f>MIN(N('Debt Payoff'!$E$18),F260+P261)</f>
        <v/>
      </c>
      <c r="AA261" s="160">
        <f>MIN(N('Debt Payoff'!$E$19),G260+Q261)</f>
        <v/>
      </c>
      <c r="AB261" s="160">
        <f>MIN(N('Debt Payoff'!$E$20),H260+R261)</f>
        <v/>
      </c>
      <c r="AC261" s="160">
        <f>MIN(N('Debt Payoff'!$E$21),I260+S261)</f>
        <v/>
      </c>
      <c r="AD261" s="160">
        <f>MIN(N('Debt Payoff'!$E$22),J260+T261)</f>
        <v/>
      </c>
      <c r="AE261" s="160">
        <f>MIN(N('Debt Payoff'!$E$23),K260+U261)</f>
        <v/>
      </c>
      <c r="AF261" s="160">
        <f>MIN(N('Debt Payoff'!$E$24),L260+V261)</f>
        <v/>
      </c>
      <c r="AG261" s="160">
        <f>C260+M261-W261</f>
        <v/>
      </c>
      <c r="AH261" s="160">
        <f>D260+N261-X261</f>
        <v/>
      </c>
      <c r="AI261" s="160">
        <f>E260+O261-Y261</f>
        <v/>
      </c>
      <c r="AJ261" s="160">
        <f>F260+P261-Z261</f>
        <v/>
      </c>
      <c r="AK261" s="160">
        <f>G260+Q261-AA261</f>
        <v/>
      </c>
      <c r="AL261" s="160">
        <f>H260+R261-AB261</f>
        <v/>
      </c>
      <c r="AM261" s="160">
        <f>I260+S261-AC261</f>
        <v/>
      </c>
      <c r="AN261" s="160">
        <f>J260+T261-AD261</f>
        <v/>
      </c>
      <c r="AO261" s="160">
        <f>K260+U261-AE261</f>
        <v/>
      </c>
      <c r="AP261" s="160">
        <f>L260+V261-AF261</f>
        <v/>
      </c>
      <c r="AQ261" s="160">
        <f>W261+MAX(0,MIN(AG261,'Debt Payoff'!$C$12-SUM($W261:$AF261)-SUMIFS($AG261:$AP261,$AG$4:$AP$4,"&lt;"&amp;AG$4)))</f>
        <v/>
      </c>
      <c r="AR261" s="160">
        <f>X261+MAX(0,MIN(AH261,'Debt Payoff'!$C$12-SUM($W261:$AF261)-SUMIFS($AG261:$AP261,$AG$4:$AP$4,"&lt;"&amp;AH$4)))</f>
        <v/>
      </c>
      <c r="AS261" s="160">
        <f>Y261+MAX(0,MIN(AI261,'Debt Payoff'!$C$12-SUM($W261:$AF261)-SUMIFS($AG261:$AP261,$AG$4:$AP$4,"&lt;"&amp;AI$4)))</f>
        <v/>
      </c>
      <c r="AT261" s="160">
        <f>Z261+MAX(0,MIN(AJ261,'Debt Payoff'!$C$12-SUM($W261:$AF261)-SUMIFS($AG261:$AP261,$AG$4:$AP$4,"&lt;"&amp;AJ$4)))</f>
        <v/>
      </c>
      <c r="AU261" s="160">
        <f>AA261+MAX(0,MIN(AK261,'Debt Payoff'!$C$12-SUM($W261:$AF261)-SUMIFS($AG261:$AP261,$AG$4:$AP$4,"&lt;"&amp;AK$4)))</f>
        <v/>
      </c>
      <c r="AV261" s="160">
        <f>AB261+MAX(0,MIN(AL261,'Debt Payoff'!$C$12-SUM($W261:$AF261)-SUMIFS($AG261:$AP261,$AG$4:$AP$4,"&lt;"&amp;AL$4)))</f>
        <v/>
      </c>
      <c r="AW261" s="160">
        <f>AC261+MAX(0,MIN(AM261,'Debt Payoff'!$C$12-SUM($W261:$AF261)-SUMIFS($AG261:$AP261,$AG$4:$AP$4,"&lt;"&amp;AM$4)))</f>
        <v/>
      </c>
      <c r="AX261" s="160">
        <f>AD261+MAX(0,MIN(AN261,'Debt Payoff'!$C$12-SUM($W261:$AF261)-SUMIFS($AG261:$AP261,$AG$4:$AP$4,"&lt;"&amp;AN$4)))</f>
        <v/>
      </c>
      <c r="AY261" s="160">
        <f>AE261+MAX(0,MIN(AO261,'Debt Payoff'!$C$12-SUM($W261:$AF261)-SUMIFS($AG261:$AP261,$AG$4:$AP$4,"&lt;"&amp;AO$4)))</f>
        <v/>
      </c>
      <c r="AZ261" s="160">
        <f>AF261+MAX(0,MIN(AP261,'Debt Payoff'!$C$12-SUM($W261:$AF261)-SUMIFS($AG261:$AP261,$AG$4:$AP$4,"&lt;"&amp;AP$4)))</f>
        <v/>
      </c>
      <c r="BA261" s="160">
        <f>SUM(C261:L261)</f>
        <v/>
      </c>
      <c r="BB261" s="160">
        <f>SUM(AQ261:AZ261)</f>
        <v/>
      </c>
      <c r="BC261" s="160">
        <f>SUM(M261:V261)</f>
        <v/>
      </c>
    </row>
    <row r="262">
      <c r="A262" s="157" t="n">
        <v>257</v>
      </c>
      <c r="B262" s="159">
        <f>EDATE('Debt Payoff'!$C$6,256)</f>
        <v/>
      </c>
      <c r="C262" s="160">
        <f>MAX(0,ROUND(C261+M262-AQ262,2))</f>
        <v/>
      </c>
      <c r="D262" s="160">
        <f>MAX(0,ROUND(D261+N262-AR262,2))</f>
        <v/>
      </c>
      <c r="E262" s="160">
        <f>MAX(0,ROUND(E261+O262-AS262,2))</f>
        <v/>
      </c>
      <c r="F262" s="160">
        <f>MAX(0,ROUND(F261+P262-AT262,2))</f>
        <v/>
      </c>
      <c r="G262" s="160">
        <f>MAX(0,ROUND(G261+Q262-AU262,2))</f>
        <v/>
      </c>
      <c r="H262" s="160">
        <f>MAX(0,ROUND(H261+R262-AV262,2))</f>
        <v/>
      </c>
      <c r="I262" s="160">
        <f>MAX(0,ROUND(I261+S262-AW262,2))</f>
        <v/>
      </c>
      <c r="J262" s="160">
        <f>MAX(0,ROUND(J261+T262-AX262,2))</f>
        <v/>
      </c>
      <c r="K262" s="160">
        <f>MAX(0,ROUND(K261+U262-AY262,2))</f>
        <v/>
      </c>
      <c r="L262" s="160">
        <f>MAX(0,ROUND(L261+V262-AZ262,2))</f>
        <v/>
      </c>
      <c r="M262" s="160">
        <f>C261*N('Debt Payoff'!$D$15)/12</f>
        <v/>
      </c>
      <c r="N262" s="160">
        <f>D261*N('Debt Payoff'!$D$16)/12</f>
        <v/>
      </c>
      <c r="O262" s="160">
        <f>E261*N('Debt Payoff'!$D$17)/12</f>
        <v/>
      </c>
      <c r="P262" s="160">
        <f>F261*N('Debt Payoff'!$D$18)/12</f>
        <v/>
      </c>
      <c r="Q262" s="160">
        <f>G261*N('Debt Payoff'!$D$19)/12</f>
        <v/>
      </c>
      <c r="R262" s="160">
        <f>H261*N('Debt Payoff'!$D$20)/12</f>
        <v/>
      </c>
      <c r="S262" s="160">
        <f>I261*N('Debt Payoff'!$D$21)/12</f>
        <v/>
      </c>
      <c r="T262" s="160">
        <f>J261*N('Debt Payoff'!$D$22)/12</f>
        <v/>
      </c>
      <c r="U262" s="160">
        <f>K261*N('Debt Payoff'!$D$23)/12</f>
        <v/>
      </c>
      <c r="V262" s="160">
        <f>L261*N('Debt Payoff'!$D$24)/12</f>
        <v/>
      </c>
      <c r="W262" s="160">
        <f>MIN(N('Debt Payoff'!$E$15),C261+M262)</f>
        <v/>
      </c>
      <c r="X262" s="160">
        <f>MIN(N('Debt Payoff'!$E$16),D261+N262)</f>
        <v/>
      </c>
      <c r="Y262" s="160">
        <f>MIN(N('Debt Payoff'!$E$17),E261+O262)</f>
        <v/>
      </c>
      <c r="Z262" s="160">
        <f>MIN(N('Debt Payoff'!$E$18),F261+P262)</f>
        <v/>
      </c>
      <c r="AA262" s="160">
        <f>MIN(N('Debt Payoff'!$E$19),G261+Q262)</f>
        <v/>
      </c>
      <c r="AB262" s="160">
        <f>MIN(N('Debt Payoff'!$E$20),H261+R262)</f>
        <v/>
      </c>
      <c r="AC262" s="160">
        <f>MIN(N('Debt Payoff'!$E$21),I261+S262)</f>
        <v/>
      </c>
      <c r="AD262" s="160">
        <f>MIN(N('Debt Payoff'!$E$22),J261+T262)</f>
        <v/>
      </c>
      <c r="AE262" s="160">
        <f>MIN(N('Debt Payoff'!$E$23),K261+U262)</f>
        <v/>
      </c>
      <c r="AF262" s="160">
        <f>MIN(N('Debt Payoff'!$E$24),L261+V262)</f>
        <v/>
      </c>
      <c r="AG262" s="160">
        <f>C261+M262-W262</f>
        <v/>
      </c>
      <c r="AH262" s="160">
        <f>D261+N262-X262</f>
        <v/>
      </c>
      <c r="AI262" s="160">
        <f>E261+O262-Y262</f>
        <v/>
      </c>
      <c r="AJ262" s="160">
        <f>F261+P262-Z262</f>
        <v/>
      </c>
      <c r="AK262" s="160">
        <f>G261+Q262-AA262</f>
        <v/>
      </c>
      <c r="AL262" s="160">
        <f>H261+R262-AB262</f>
        <v/>
      </c>
      <c r="AM262" s="160">
        <f>I261+S262-AC262</f>
        <v/>
      </c>
      <c r="AN262" s="160">
        <f>J261+T262-AD262</f>
        <v/>
      </c>
      <c r="AO262" s="160">
        <f>K261+U262-AE262</f>
        <v/>
      </c>
      <c r="AP262" s="160">
        <f>L261+V262-AF262</f>
        <v/>
      </c>
      <c r="AQ262" s="160">
        <f>W262+MAX(0,MIN(AG262,'Debt Payoff'!$C$12-SUM($W262:$AF262)-SUMIFS($AG262:$AP262,$AG$4:$AP$4,"&lt;"&amp;AG$4)))</f>
        <v/>
      </c>
      <c r="AR262" s="160">
        <f>X262+MAX(0,MIN(AH262,'Debt Payoff'!$C$12-SUM($W262:$AF262)-SUMIFS($AG262:$AP262,$AG$4:$AP$4,"&lt;"&amp;AH$4)))</f>
        <v/>
      </c>
      <c r="AS262" s="160">
        <f>Y262+MAX(0,MIN(AI262,'Debt Payoff'!$C$12-SUM($W262:$AF262)-SUMIFS($AG262:$AP262,$AG$4:$AP$4,"&lt;"&amp;AI$4)))</f>
        <v/>
      </c>
      <c r="AT262" s="160">
        <f>Z262+MAX(0,MIN(AJ262,'Debt Payoff'!$C$12-SUM($W262:$AF262)-SUMIFS($AG262:$AP262,$AG$4:$AP$4,"&lt;"&amp;AJ$4)))</f>
        <v/>
      </c>
      <c r="AU262" s="160">
        <f>AA262+MAX(0,MIN(AK262,'Debt Payoff'!$C$12-SUM($W262:$AF262)-SUMIFS($AG262:$AP262,$AG$4:$AP$4,"&lt;"&amp;AK$4)))</f>
        <v/>
      </c>
      <c r="AV262" s="160">
        <f>AB262+MAX(0,MIN(AL262,'Debt Payoff'!$C$12-SUM($W262:$AF262)-SUMIFS($AG262:$AP262,$AG$4:$AP$4,"&lt;"&amp;AL$4)))</f>
        <v/>
      </c>
      <c r="AW262" s="160">
        <f>AC262+MAX(0,MIN(AM262,'Debt Payoff'!$C$12-SUM($W262:$AF262)-SUMIFS($AG262:$AP262,$AG$4:$AP$4,"&lt;"&amp;AM$4)))</f>
        <v/>
      </c>
      <c r="AX262" s="160">
        <f>AD262+MAX(0,MIN(AN262,'Debt Payoff'!$C$12-SUM($W262:$AF262)-SUMIFS($AG262:$AP262,$AG$4:$AP$4,"&lt;"&amp;AN$4)))</f>
        <v/>
      </c>
      <c r="AY262" s="160">
        <f>AE262+MAX(0,MIN(AO262,'Debt Payoff'!$C$12-SUM($W262:$AF262)-SUMIFS($AG262:$AP262,$AG$4:$AP$4,"&lt;"&amp;AO$4)))</f>
        <v/>
      </c>
      <c r="AZ262" s="160">
        <f>AF262+MAX(0,MIN(AP262,'Debt Payoff'!$C$12-SUM($W262:$AF262)-SUMIFS($AG262:$AP262,$AG$4:$AP$4,"&lt;"&amp;AP$4)))</f>
        <v/>
      </c>
      <c r="BA262" s="160">
        <f>SUM(C262:L262)</f>
        <v/>
      </c>
      <c r="BB262" s="160">
        <f>SUM(AQ262:AZ262)</f>
        <v/>
      </c>
      <c r="BC262" s="160">
        <f>SUM(M262:V262)</f>
        <v/>
      </c>
    </row>
    <row r="263">
      <c r="A263" s="157" t="n">
        <v>258</v>
      </c>
      <c r="B263" s="159">
        <f>EDATE('Debt Payoff'!$C$6,257)</f>
        <v/>
      </c>
      <c r="C263" s="160">
        <f>MAX(0,ROUND(C262+M263-AQ263,2))</f>
        <v/>
      </c>
      <c r="D263" s="160">
        <f>MAX(0,ROUND(D262+N263-AR263,2))</f>
        <v/>
      </c>
      <c r="E263" s="160">
        <f>MAX(0,ROUND(E262+O263-AS263,2))</f>
        <v/>
      </c>
      <c r="F263" s="160">
        <f>MAX(0,ROUND(F262+P263-AT263,2))</f>
        <v/>
      </c>
      <c r="G263" s="160">
        <f>MAX(0,ROUND(G262+Q263-AU263,2))</f>
        <v/>
      </c>
      <c r="H263" s="160">
        <f>MAX(0,ROUND(H262+R263-AV263,2))</f>
        <v/>
      </c>
      <c r="I263" s="160">
        <f>MAX(0,ROUND(I262+S263-AW263,2))</f>
        <v/>
      </c>
      <c r="J263" s="160">
        <f>MAX(0,ROUND(J262+T263-AX263,2))</f>
        <v/>
      </c>
      <c r="K263" s="160">
        <f>MAX(0,ROUND(K262+U263-AY263,2))</f>
        <v/>
      </c>
      <c r="L263" s="160">
        <f>MAX(0,ROUND(L262+V263-AZ263,2))</f>
        <v/>
      </c>
      <c r="M263" s="160">
        <f>C262*N('Debt Payoff'!$D$15)/12</f>
        <v/>
      </c>
      <c r="N263" s="160">
        <f>D262*N('Debt Payoff'!$D$16)/12</f>
        <v/>
      </c>
      <c r="O263" s="160">
        <f>E262*N('Debt Payoff'!$D$17)/12</f>
        <v/>
      </c>
      <c r="P263" s="160">
        <f>F262*N('Debt Payoff'!$D$18)/12</f>
        <v/>
      </c>
      <c r="Q263" s="160">
        <f>G262*N('Debt Payoff'!$D$19)/12</f>
        <v/>
      </c>
      <c r="R263" s="160">
        <f>H262*N('Debt Payoff'!$D$20)/12</f>
        <v/>
      </c>
      <c r="S263" s="160">
        <f>I262*N('Debt Payoff'!$D$21)/12</f>
        <v/>
      </c>
      <c r="T263" s="160">
        <f>J262*N('Debt Payoff'!$D$22)/12</f>
        <v/>
      </c>
      <c r="U263" s="160">
        <f>K262*N('Debt Payoff'!$D$23)/12</f>
        <v/>
      </c>
      <c r="V263" s="160">
        <f>L262*N('Debt Payoff'!$D$24)/12</f>
        <v/>
      </c>
      <c r="W263" s="160">
        <f>MIN(N('Debt Payoff'!$E$15),C262+M263)</f>
        <v/>
      </c>
      <c r="X263" s="160">
        <f>MIN(N('Debt Payoff'!$E$16),D262+N263)</f>
        <v/>
      </c>
      <c r="Y263" s="160">
        <f>MIN(N('Debt Payoff'!$E$17),E262+O263)</f>
        <v/>
      </c>
      <c r="Z263" s="160">
        <f>MIN(N('Debt Payoff'!$E$18),F262+P263)</f>
        <v/>
      </c>
      <c r="AA263" s="160">
        <f>MIN(N('Debt Payoff'!$E$19),G262+Q263)</f>
        <v/>
      </c>
      <c r="AB263" s="160">
        <f>MIN(N('Debt Payoff'!$E$20),H262+R263)</f>
        <v/>
      </c>
      <c r="AC263" s="160">
        <f>MIN(N('Debt Payoff'!$E$21),I262+S263)</f>
        <v/>
      </c>
      <c r="AD263" s="160">
        <f>MIN(N('Debt Payoff'!$E$22),J262+T263)</f>
        <v/>
      </c>
      <c r="AE263" s="160">
        <f>MIN(N('Debt Payoff'!$E$23),K262+U263)</f>
        <v/>
      </c>
      <c r="AF263" s="160">
        <f>MIN(N('Debt Payoff'!$E$24),L262+V263)</f>
        <v/>
      </c>
      <c r="AG263" s="160">
        <f>C262+M263-W263</f>
        <v/>
      </c>
      <c r="AH263" s="160">
        <f>D262+N263-X263</f>
        <v/>
      </c>
      <c r="AI263" s="160">
        <f>E262+O263-Y263</f>
        <v/>
      </c>
      <c r="AJ263" s="160">
        <f>F262+P263-Z263</f>
        <v/>
      </c>
      <c r="AK263" s="160">
        <f>G262+Q263-AA263</f>
        <v/>
      </c>
      <c r="AL263" s="160">
        <f>H262+R263-AB263</f>
        <v/>
      </c>
      <c r="AM263" s="160">
        <f>I262+S263-AC263</f>
        <v/>
      </c>
      <c r="AN263" s="160">
        <f>J262+T263-AD263</f>
        <v/>
      </c>
      <c r="AO263" s="160">
        <f>K262+U263-AE263</f>
        <v/>
      </c>
      <c r="AP263" s="160">
        <f>L262+V263-AF263</f>
        <v/>
      </c>
      <c r="AQ263" s="160">
        <f>W263+MAX(0,MIN(AG263,'Debt Payoff'!$C$12-SUM($W263:$AF263)-SUMIFS($AG263:$AP263,$AG$4:$AP$4,"&lt;"&amp;AG$4)))</f>
        <v/>
      </c>
      <c r="AR263" s="160">
        <f>X263+MAX(0,MIN(AH263,'Debt Payoff'!$C$12-SUM($W263:$AF263)-SUMIFS($AG263:$AP263,$AG$4:$AP$4,"&lt;"&amp;AH$4)))</f>
        <v/>
      </c>
      <c r="AS263" s="160">
        <f>Y263+MAX(0,MIN(AI263,'Debt Payoff'!$C$12-SUM($W263:$AF263)-SUMIFS($AG263:$AP263,$AG$4:$AP$4,"&lt;"&amp;AI$4)))</f>
        <v/>
      </c>
      <c r="AT263" s="160">
        <f>Z263+MAX(0,MIN(AJ263,'Debt Payoff'!$C$12-SUM($W263:$AF263)-SUMIFS($AG263:$AP263,$AG$4:$AP$4,"&lt;"&amp;AJ$4)))</f>
        <v/>
      </c>
      <c r="AU263" s="160">
        <f>AA263+MAX(0,MIN(AK263,'Debt Payoff'!$C$12-SUM($W263:$AF263)-SUMIFS($AG263:$AP263,$AG$4:$AP$4,"&lt;"&amp;AK$4)))</f>
        <v/>
      </c>
      <c r="AV263" s="160">
        <f>AB263+MAX(0,MIN(AL263,'Debt Payoff'!$C$12-SUM($W263:$AF263)-SUMIFS($AG263:$AP263,$AG$4:$AP$4,"&lt;"&amp;AL$4)))</f>
        <v/>
      </c>
      <c r="AW263" s="160">
        <f>AC263+MAX(0,MIN(AM263,'Debt Payoff'!$C$12-SUM($W263:$AF263)-SUMIFS($AG263:$AP263,$AG$4:$AP$4,"&lt;"&amp;AM$4)))</f>
        <v/>
      </c>
      <c r="AX263" s="160">
        <f>AD263+MAX(0,MIN(AN263,'Debt Payoff'!$C$12-SUM($W263:$AF263)-SUMIFS($AG263:$AP263,$AG$4:$AP$4,"&lt;"&amp;AN$4)))</f>
        <v/>
      </c>
      <c r="AY263" s="160">
        <f>AE263+MAX(0,MIN(AO263,'Debt Payoff'!$C$12-SUM($W263:$AF263)-SUMIFS($AG263:$AP263,$AG$4:$AP$4,"&lt;"&amp;AO$4)))</f>
        <v/>
      </c>
      <c r="AZ263" s="160">
        <f>AF263+MAX(0,MIN(AP263,'Debt Payoff'!$C$12-SUM($W263:$AF263)-SUMIFS($AG263:$AP263,$AG$4:$AP$4,"&lt;"&amp;AP$4)))</f>
        <v/>
      </c>
      <c r="BA263" s="160">
        <f>SUM(C263:L263)</f>
        <v/>
      </c>
      <c r="BB263" s="160">
        <f>SUM(AQ263:AZ263)</f>
        <v/>
      </c>
      <c r="BC263" s="160">
        <f>SUM(M263:V263)</f>
        <v/>
      </c>
    </row>
    <row r="264">
      <c r="A264" s="157" t="n">
        <v>259</v>
      </c>
      <c r="B264" s="159">
        <f>EDATE('Debt Payoff'!$C$6,258)</f>
        <v/>
      </c>
      <c r="C264" s="160">
        <f>MAX(0,ROUND(C263+M264-AQ264,2))</f>
        <v/>
      </c>
      <c r="D264" s="160">
        <f>MAX(0,ROUND(D263+N264-AR264,2))</f>
        <v/>
      </c>
      <c r="E264" s="160">
        <f>MAX(0,ROUND(E263+O264-AS264,2))</f>
        <v/>
      </c>
      <c r="F264" s="160">
        <f>MAX(0,ROUND(F263+P264-AT264,2))</f>
        <v/>
      </c>
      <c r="G264" s="160">
        <f>MAX(0,ROUND(G263+Q264-AU264,2))</f>
        <v/>
      </c>
      <c r="H264" s="160">
        <f>MAX(0,ROUND(H263+R264-AV264,2))</f>
        <v/>
      </c>
      <c r="I264" s="160">
        <f>MAX(0,ROUND(I263+S264-AW264,2))</f>
        <v/>
      </c>
      <c r="J264" s="160">
        <f>MAX(0,ROUND(J263+T264-AX264,2))</f>
        <v/>
      </c>
      <c r="K264" s="160">
        <f>MAX(0,ROUND(K263+U264-AY264,2))</f>
        <v/>
      </c>
      <c r="L264" s="160">
        <f>MAX(0,ROUND(L263+V264-AZ264,2))</f>
        <v/>
      </c>
      <c r="M264" s="160">
        <f>C263*N('Debt Payoff'!$D$15)/12</f>
        <v/>
      </c>
      <c r="N264" s="160">
        <f>D263*N('Debt Payoff'!$D$16)/12</f>
        <v/>
      </c>
      <c r="O264" s="160">
        <f>E263*N('Debt Payoff'!$D$17)/12</f>
        <v/>
      </c>
      <c r="P264" s="160">
        <f>F263*N('Debt Payoff'!$D$18)/12</f>
        <v/>
      </c>
      <c r="Q264" s="160">
        <f>G263*N('Debt Payoff'!$D$19)/12</f>
        <v/>
      </c>
      <c r="R264" s="160">
        <f>H263*N('Debt Payoff'!$D$20)/12</f>
        <v/>
      </c>
      <c r="S264" s="160">
        <f>I263*N('Debt Payoff'!$D$21)/12</f>
        <v/>
      </c>
      <c r="T264" s="160">
        <f>J263*N('Debt Payoff'!$D$22)/12</f>
        <v/>
      </c>
      <c r="U264" s="160">
        <f>K263*N('Debt Payoff'!$D$23)/12</f>
        <v/>
      </c>
      <c r="V264" s="160">
        <f>L263*N('Debt Payoff'!$D$24)/12</f>
        <v/>
      </c>
      <c r="W264" s="160">
        <f>MIN(N('Debt Payoff'!$E$15),C263+M264)</f>
        <v/>
      </c>
      <c r="X264" s="160">
        <f>MIN(N('Debt Payoff'!$E$16),D263+N264)</f>
        <v/>
      </c>
      <c r="Y264" s="160">
        <f>MIN(N('Debt Payoff'!$E$17),E263+O264)</f>
        <v/>
      </c>
      <c r="Z264" s="160">
        <f>MIN(N('Debt Payoff'!$E$18),F263+P264)</f>
        <v/>
      </c>
      <c r="AA264" s="160">
        <f>MIN(N('Debt Payoff'!$E$19),G263+Q264)</f>
        <v/>
      </c>
      <c r="AB264" s="160">
        <f>MIN(N('Debt Payoff'!$E$20),H263+R264)</f>
        <v/>
      </c>
      <c r="AC264" s="160">
        <f>MIN(N('Debt Payoff'!$E$21),I263+S264)</f>
        <v/>
      </c>
      <c r="AD264" s="160">
        <f>MIN(N('Debt Payoff'!$E$22),J263+T264)</f>
        <v/>
      </c>
      <c r="AE264" s="160">
        <f>MIN(N('Debt Payoff'!$E$23),K263+U264)</f>
        <v/>
      </c>
      <c r="AF264" s="160">
        <f>MIN(N('Debt Payoff'!$E$24),L263+V264)</f>
        <v/>
      </c>
      <c r="AG264" s="160">
        <f>C263+M264-W264</f>
        <v/>
      </c>
      <c r="AH264" s="160">
        <f>D263+N264-X264</f>
        <v/>
      </c>
      <c r="AI264" s="160">
        <f>E263+O264-Y264</f>
        <v/>
      </c>
      <c r="AJ264" s="160">
        <f>F263+P264-Z264</f>
        <v/>
      </c>
      <c r="AK264" s="160">
        <f>G263+Q264-AA264</f>
        <v/>
      </c>
      <c r="AL264" s="160">
        <f>H263+R264-AB264</f>
        <v/>
      </c>
      <c r="AM264" s="160">
        <f>I263+S264-AC264</f>
        <v/>
      </c>
      <c r="AN264" s="160">
        <f>J263+T264-AD264</f>
        <v/>
      </c>
      <c r="AO264" s="160">
        <f>K263+U264-AE264</f>
        <v/>
      </c>
      <c r="AP264" s="160">
        <f>L263+V264-AF264</f>
        <v/>
      </c>
      <c r="AQ264" s="160">
        <f>W264+MAX(0,MIN(AG264,'Debt Payoff'!$C$12-SUM($W264:$AF264)-SUMIFS($AG264:$AP264,$AG$4:$AP$4,"&lt;"&amp;AG$4)))</f>
        <v/>
      </c>
      <c r="AR264" s="160">
        <f>X264+MAX(0,MIN(AH264,'Debt Payoff'!$C$12-SUM($W264:$AF264)-SUMIFS($AG264:$AP264,$AG$4:$AP$4,"&lt;"&amp;AH$4)))</f>
        <v/>
      </c>
      <c r="AS264" s="160">
        <f>Y264+MAX(0,MIN(AI264,'Debt Payoff'!$C$12-SUM($W264:$AF264)-SUMIFS($AG264:$AP264,$AG$4:$AP$4,"&lt;"&amp;AI$4)))</f>
        <v/>
      </c>
      <c r="AT264" s="160">
        <f>Z264+MAX(0,MIN(AJ264,'Debt Payoff'!$C$12-SUM($W264:$AF264)-SUMIFS($AG264:$AP264,$AG$4:$AP$4,"&lt;"&amp;AJ$4)))</f>
        <v/>
      </c>
      <c r="AU264" s="160">
        <f>AA264+MAX(0,MIN(AK264,'Debt Payoff'!$C$12-SUM($W264:$AF264)-SUMIFS($AG264:$AP264,$AG$4:$AP$4,"&lt;"&amp;AK$4)))</f>
        <v/>
      </c>
      <c r="AV264" s="160">
        <f>AB264+MAX(0,MIN(AL264,'Debt Payoff'!$C$12-SUM($W264:$AF264)-SUMIFS($AG264:$AP264,$AG$4:$AP$4,"&lt;"&amp;AL$4)))</f>
        <v/>
      </c>
      <c r="AW264" s="160">
        <f>AC264+MAX(0,MIN(AM264,'Debt Payoff'!$C$12-SUM($W264:$AF264)-SUMIFS($AG264:$AP264,$AG$4:$AP$4,"&lt;"&amp;AM$4)))</f>
        <v/>
      </c>
      <c r="AX264" s="160">
        <f>AD264+MAX(0,MIN(AN264,'Debt Payoff'!$C$12-SUM($W264:$AF264)-SUMIFS($AG264:$AP264,$AG$4:$AP$4,"&lt;"&amp;AN$4)))</f>
        <v/>
      </c>
      <c r="AY264" s="160">
        <f>AE264+MAX(0,MIN(AO264,'Debt Payoff'!$C$12-SUM($W264:$AF264)-SUMIFS($AG264:$AP264,$AG$4:$AP$4,"&lt;"&amp;AO$4)))</f>
        <v/>
      </c>
      <c r="AZ264" s="160">
        <f>AF264+MAX(0,MIN(AP264,'Debt Payoff'!$C$12-SUM($W264:$AF264)-SUMIFS($AG264:$AP264,$AG$4:$AP$4,"&lt;"&amp;AP$4)))</f>
        <v/>
      </c>
      <c r="BA264" s="160">
        <f>SUM(C264:L264)</f>
        <v/>
      </c>
      <c r="BB264" s="160">
        <f>SUM(AQ264:AZ264)</f>
        <v/>
      </c>
      <c r="BC264" s="160">
        <f>SUM(M264:V264)</f>
        <v/>
      </c>
    </row>
    <row r="265">
      <c r="A265" s="157" t="n">
        <v>260</v>
      </c>
      <c r="B265" s="159">
        <f>EDATE('Debt Payoff'!$C$6,259)</f>
        <v/>
      </c>
      <c r="C265" s="160">
        <f>MAX(0,ROUND(C264+M265-AQ265,2))</f>
        <v/>
      </c>
      <c r="D265" s="160">
        <f>MAX(0,ROUND(D264+N265-AR265,2))</f>
        <v/>
      </c>
      <c r="E265" s="160">
        <f>MAX(0,ROUND(E264+O265-AS265,2))</f>
        <v/>
      </c>
      <c r="F265" s="160">
        <f>MAX(0,ROUND(F264+P265-AT265,2))</f>
        <v/>
      </c>
      <c r="G265" s="160">
        <f>MAX(0,ROUND(G264+Q265-AU265,2))</f>
        <v/>
      </c>
      <c r="H265" s="160">
        <f>MAX(0,ROUND(H264+R265-AV265,2))</f>
        <v/>
      </c>
      <c r="I265" s="160">
        <f>MAX(0,ROUND(I264+S265-AW265,2))</f>
        <v/>
      </c>
      <c r="J265" s="160">
        <f>MAX(0,ROUND(J264+T265-AX265,2))</f>
        <v/>
      </c>
      <c r="K265" s="160">
        <f>MAX(0,ROUND(K264+U265-AY265,2))</f>
        <v/>
      </c>
      <c r="L265" s="160">
        <f>MAX(0,ROUND(L264+V265-AZ265,2))</f>
        <v/>
      </c>
      <c r="M265" s="160">
        <f>C264*N('Debt Payoff'!$D$15)/12</f>
        <v/>
      </c>
      <c r="N265" s="160">
        <f>D264*N('Debt Payoff'!$D$16)/12</f>
        <v/>
      </c>
      <c r="O265" s="160">
        <f>E264*N('Debt Payoff'!$D$17)/12</f>
        <v/>
      </c>
      <c r="P265" s="160">
        <f>F264*N('Debt Payoff'!$D$18)/12</f>
        <v/>
      </c>
      <c r="Q265" s="160">
        <f>G264*N('Debt Payoff'!$D$19)/12</f>
        <v/>
      </c>
      <c r="R265" s="160">
        <f>H264*N('Debt Payoff'!$D$20)/12</f>
        <v/>
      </c>
      <c r="S265" s="160">
        <f>I264*N('Debt Payoff'!$D$21)/12</f>
        <v/>
      </c>
      <c r="T265" s="160">
        <f>J264*N('Debt Payoff'!$D$22)/12</f>
        <v/>
      </c>
      <c r="U265" s="160">
        <f>K264*N('Debt Payoff'!$D$23)/12</f>
        <v/>
      </c>
      <c r="V265" s="160">
        <f>L264*N('Debt Payoff'!$D$24)/12</f>
        <v/>
      </c>
      <c r="W265" s="160">
        <f>MIN(N('Debt Payoff'!$E$15),C264+M265)</f>
        <v/>
      </c>
      <c r="X265" s="160">
        <f>MIN(N('Debt Payoff'!$E$16),D264+N265)</f>
        <v/>
      </c>
      <c r="Y265" s="160">
        <f>MIN(N('Debt Payoff'!$E$17),E264+O265)</f>
        <v/>
      </c>
      <c r="Z265" s="160">
        <f>MIN(N('Debt Payoff'!$E$18),F264+P265)</f>
        <v/>
      </c>
      <c r="AA265" s="160">
        <f>MIN(N('Debt Payoff'!$E$19),G264+Q265)</f>
        <v/>
      </c>
      <c r="AB265" s="160">
        <f>MIN(N('Debt Payoff'!$E$20),H264+R265)</f>
        <v/>
      </c>
      <c r="AC265" s="160">
        <f>MIN(N('Debt Payoff'!$E$21),I264+S265)</f>
        <v/>
      </c>
      <c r="AD265" s="160">
        <f>MIN(N('Debt Payoff'!$E$22),J264+T265)</f>
        <v/>
      </c>
      <c r="AE265" s="160">
        <f>MIN(N('Debt Payoff'!$E$23),K264+U265)</f>
        <v/>
      </c>
      <c r="AF265" s="160">
        <f>MIN(N('Debt Payoff'!$E$24),L264+V265)</f>
        <v/>
      </c>
      <c r="AG265" s="160">
        <f>C264+M265-W265</f>
        <v/>
      </c>
      <c r="AH265" s="160">
        <f>D264+N265-X265</f>
        <v/>
      </c>
      <c r="AI265" s="160">
        <f>E264+O265-Y265</f>
        <v/>
      </c>
      <c r="AJ265" s="160">
        <f>F264+P265-Z265</f>
        <v/>
      </c>
      <c r="AK265" s="160">
        <f>G264+Q265-AA265</f>
        <v/>
      </c>
      <c r="AL265" s="160">
        <f>H264+R265-AB265</f>
        <v/>
      </c>
      <c r="AM265" s="160">
        <f>I264+S265-AC265</f>
        <v/>
      </c>
      <c r="AN265" s="160">
        <f>J264+T265-AD265</f>
        <v/>
      </c>
      <c r="AO265" s="160">
        <f>K264+U265-AE265</f>
        <v/>
      </c>
      <c r="AP265" s="160">
        <f>L264+V265-AF265</f>
        <v/>
      </c>
      <c r="AQ265" s="160">
        <f>W265+MAX(0,MIN(AG265,'Debt Payoff'!$C$12-SUM($W265:$AF265)-SUMIFS($AG265:$AP265,$AG$4:$AP$4,"&lt;"&amp;AG$4)))</f>
        <v/>
      </c>
      <c r="AR265" s="160">
        <f>X265+MAX(0,MIN(AH265,'Debt Payoff'!$C$12-SUM($W265:$AF265)-SUMIFS($AG265:$AP265,$AG$4:$AP$4,"&lt;"&amp;AH$4)))</f>
        <v/>
      </c>
      <c r="AS265" s="160">
        <f>Y265+MAX(0,MIN(AI265,'Debt Payoff'!$C$12-SUM($W265:$AF265)-SUMIFS($AG265:$AP265,$AG$4:$AP$4,"&lt;"&amp;AI$4)))</f>
        <v/>
      </c>
      <c r="AT265" s="160">
        <f>Z265+MAX(0,MIN(AJ265,'Debt Payoff'!$C$12-SUM($W265:$AF265)-SUMIFS($AG265:$AP265,$AG$4:$AP$4,"&lt;"&amp;AJ$4)))</f>
        <v/>
      </c>
      <c r="AU265" s="160">
        <f>AA265+MAX(0,MIN(AK265,'Debt Payoff'!$C$12-SUM($W265:$AF265)-SUMIFS($AG265:$AP265,$AG$4:$AP$4,"&lt;"&amp;AK$4)))</f>
        <v/>
      </c>
      <c r="AV265" s="160">
        <f>AB265+MAX(0,MIN(AL265,'Debt Payoff'!$C$12-SUM($W265:$AF265)-SUMIFS($AG265:$AP265,$AG$4:$AP$4,"&lt;"&amp;AL$4)))</f>
        <v/>
      </c>
      <c r="AW265" s="160">
        <f>AC265+MAX(0,MIN(AM265,'Debt Payoff'!$C$12-SUM($W265:$AF265)-SUMIFS($AG265:$AP265,$AG$4:$AP$4,"&lt;"&amp;AM$4)))</f>
        <v/>
      </c>
      <c r="AX265" s="160">
        <f>AD265+MAX(0,MIN(AN265,'Debt Payoff'!$C$12-SUM($W265:$AF265)-SUMIFS($AG265:$AP265,$AG$4:$AP$4,"&lt;"&amp;AN$4)))</f>
        <v/>
      </c>
      <c r="AY265" s="160">
        <f>AE265+MAX(0,MIN(AO265,'Debt Payoff'!$C$12-SUM($W265:$AF265)-SUMIFS($AG265:$AP265,$AG$4:$AP$4,"&lt;"&amp;AO$4)))</f>
        <v/>
      </c>
      <c r="AZ265" s="160">
        <f>AF265+MAX(0,MIN(AP265,'Debt Payoff'!$C$12-SUM($W265:$AF265)-SUMIFS($AG265:$AP265,$AG$4:$AP$4,"&lt;"&amp;AP$4)))</f>
        <v/>
      </c>
      <c r="BA265" s="160">
        <f>SUM(C265:L265)</f>
        <v/>
      </c>
      <c r="BB265" s="160">
        <f>SUM(AQ265:AZ265)</f>
        <v/>
      </c>
      <c r="BC265" s="160">
        <f>SUM(M265:V265)</f>
        <v/>
      </c>
    </row>
    <row r="266">
      <c r="A266" s="157" t="n">
        <v>261</v>
      </c>
      <c r="B266" s="159">
        <f>EDATE('Debt Payoff'!$C$6,260)</f>
        <v/>
      </c>
      <c r="C266" s="160">
        <f>MAX(0,ROUND(C265+M266-AQ266,2))</f>
        <v/>
      </c>
      <c r="D266" s="160">
        <f>MAX(0,ROUND(D265+N266-AR266,2))</f>
        <v/>
      </c>
      <c r="E266" s="160">
        <f>MAX(0,ROUND(E265+O266-AS266,2))</f>
        <v/>
      </c>
      <c r="F266" s="160">
        <f>MAX(0,ROUND(F265+P266-AT266,2))</f>
        <v/>
      </c>
      <c r="G266" s="160">
        <f>MAX(0,ROUND(G265+Q266-AU266,2))</f>
        <v/>
      </c>
      <c r="H266" s="160">
        <f>MAX(0,ROUND(H265+R266-AV266,2))</f>
        <v/>
      </c>
      <c r="I266" s="160">
        <f>MAX(0,ROUND(I265+S266-AW266,2))</f>
        <v/>
      </c>
      <c r="J266" s="160">
        <f>MAX(0,ROUND(J265+T266-AX266,2))</f>
        <v/>
      </c>
      <c r="K266" s="160">
        <f>MAX(0,ROUND(K265+U266-AY266,2))</f>
        <v/>
      </c>
      <c r="L266" s="160">
        <f>MAX(0,ROUND(L265+V266-AZ266,2))</f>
        <v/>
      </c>
      <c r="M266" s="160">
        <f>C265*N('Debt Payoff'!$D$15)/12</f>
        <v/>
      </c>
      <c r="N266" s="160">
        <f>D265*N('Debt Payoff'!$D$16)/12</f>
        <v/>
      </c>
      <c r="O266" s="160">
        <f>E265*N('Debt Payoff'!$D$17)/12</f>
        <v/>
      </c>
      <c r="P266" s="160">
        <f>F265*N('Debt Payoff'!$D$18)/12</f>
        <v/>
      </c>
      <c r="Q266" s="160">
        <f>G265*N('Debt Payoff'!$D$19)/12</f>
        <v/>
      </c>
      <c r="R266" s="160">
        <f>H265*N('Debt Payoff'!$D$20)/12</f>
        <v/>
      </c>
      <c r="S266" s="160">
        <f>I265*N('Debt Payoff'!$D$21)/12</f>
        <v/>
      </c>
      <c r="T266" s="160">
        <f>J265*N('Debt Payoff'!$D$22)/12</f>
        <v/>
      </c>
      <c r="U266" s="160">
        <f>K265*N('Debt Payoff'!$D$23)/12</f>
        <v/>
      </c>
      <c r="V266" s="160">
        <f>L265*N('Debt Payoff'!$D$24)/12</f>
        <v/>
      </c>
      <c r="W266" s="160">
        <f>MIN(N('Debt Payoff'!$E$15),C265+M266)</f>
        <v/>
      </c>
      <c r="X266" s="160">
        <f>MIN(N('Debt Payoff'!$E$16),D265+N266)</f>
        <v/>
      </c>
      <c r="Y266" s="160">
        <f>MIN(N('Debt Payoff'!$E$17),E265+O266)</f>
        <v/>
      </c>
      <c r="Z266" s="160">
        <f>MIN(N('Debt Payoff'!$E$18),F265+P266)</f>
        <v/>
      </c>
      <c r="AA266" s="160">
        <f>MIN(N('Debt Payoff'!$E$19),G265+Q266)</f>
        <v/>
      </c>
      <c r="AB266" s="160">
        <f>MIN(N('Debt Payoff'!$E$20),H265+R266)</f>
        <v/>
      </c>
      <c r="AC266" s="160">
        <f>MIN(N('Debt Payoff'!$E$21),I265+S266)</f>
        <v/>
      </c>
      <c r="AD266" s="160">
        <f>MIN(N('Debt Payoff'!$E$22),J265+T266)</f>
        <v/>
      </c>
      <c r="AE266" s="160">
        <f>MIN(N('Debt Payoff'!$E$23),K265+U266)</f>
        <v/>
      </c>
      <c r="AF266" s="160">
        <f>MIN(N('Debt Payoff'!$E$24),L265+V266)</f>
        <v/>
      </c>
      <c r="AG266" s="160">
        <f>C265+M266-W266</f>
        <v/>
      </c>
      <c r="AH266" s="160">
        <f>D265+N266-X266</f>
        <v/>
      </c>
      <c r="AI266" s="160">
        <f>E265+O266-Y266</f>
        <v/>
      </c>
      <c r="AJ266" s="160">
        <f>F265+P266-Z266</f>
        <v/>
      </c>
      <c r="AK266" s="160">
        <f>G265+Q266-AA266</f>
        <v/>
      </c>
      <c r="AL266" s="160">
        <f>H265+R266-AB266</f>
        <v/>
      </c>
      <c r="AM266" s="160">
        <f>I265+S266-AC266</f>
        <v/>
      </c>
      <c r="AN266" s="160">
        <f>J265+T266-AD266</f>
        <v/>
      </c>
      <c r="AO266" s="160">
        <f>K265+U266-AE266</f>
        <v/>
      </c>
      <c r="AP266" s="160">
        <f>L265+V266-AF266</f>
        <v/>
      </c>
      <c r="AQ266" s="160">
        <f>W266+MAX(0,MIN(AG266,'Debt Payoff'!$C$12-SUM($W266:$AF266)-SUMIFS($AG266:$AP266,$AG$4:$AP$4,"&lt;"&amp;AG$4)))</f>
        <v/>
      </c>
      <c r="AR266" s="160">
        <f>X266+MAX(0,MIN(AH266,'Debt Payoff'!$C$12-SUM($W266:$AF266)-SUMIFS($AG266:$AP266,$AG$4:$AP$4,"&lt;"&amp;AH$4)))</f>
        <v/>
      </c>
      <c r="AS266" s="160">
        <f>Y266+MAX(0,MIN(AI266,'Debt Payoff'!$C$12-SUM($W266:$AF266)-SUMIFS($AG266:$AP266,$AG$4:$AP$4,"&lt;"&amp;AI$4)))</f>
        <v/>
      </c>
      <c r="AT266" s="160">
        <f>Z266+MAX(0,MIN(AJ266,'Debt Payoff'!$C$12-SUM($W266:$AF266)-SUMIFS($AG266:$AP266,$AG$4:$AP$4,"&lt;"&amp;AJ$4)))</f>
        <v/>
      </c>
      <c r="AU266" s="160">
        <f>AA266+MAX(0,MIN(AK266,'Debt Payoff'!$C$12-SUM($W266:$AF266)-SUMIFS($AG266:$AP266,$AG$4:$AP$4,"&lt;"&amp;AK$4)))</f>
        <v/>
      </c>
      <c r="AV266" s="160">
        <f>AB266+MAX(0,MIN(AL266,'Debt Payoff'!$C$12-SUM($W266:$AF266)-SUMIFS($AG266:$AP266,$AG$4:$AP$4,"&lt;"&amp;AL$4)))</f>
        <v/>
      </c>
      <c r="AW266" s="160">
        <f>AC266+MAX(0,MIN(AM266,'Debt Payoff'!$C$12-SUM($W266:$AF266)-SUMIFS($AG266:$AP266,$AG$4:$AP$4,"&lt;"&amp;AM$4)))</f>
        <v/>
      </c>
      <c r="AX266" s="160">
        <f>AD266+MAX(0,MIN(AN266,'Debt Payoff'!$C$12-SUM($W266:$AF266)-SUMIFS($AG266:$AP266,$AG$4:$AP$4,"&lt;"&amp;AN$4)))</f>
        <v/>
      </c>
      <c r="AY266" s="160">
        <f>AE266+MAX(0,MIN(AO266,'Debt Payoff'!$C$12-SUM($W266:$AF266)-SUMIFS($AG266:$AP266,$AG$4:$AP$4,"&lt;"&amp;AO$4)))</f>
        <v/>
      </c>
      <c r="AZ266" s="160">
        <f>AF266+MAX(0,MIN(AP266,'Debt Payoff'!$C$12-SUM($W266:$AF266)-SUMIFS($AG266:$AP266,$AG$4:$AP$4,"&lt;"&amp;AP$4)))</f>
        <v/>
      </c>
      <c r="BA266" s="160">
        <f>SUM(C266:L266)</f>
        <v/>
      </c>
      <c r="BB266" s="160">
        <f>SUM(AQ266:AZ266)</f>
        <v/>
      </c>
      <c r="BC266" s="160">
        <f>SUM(M266:V266)</f>
        <v/>
      </c>
    </row>
    <row r="267">
      <c r="A267" s="157" t="n">
        <v>262</v>
      </c>
      <c r="B267" s="159">
        <f>EDATE('Debt Payoff'!$C$6,261)</f>
        <v/>
      </c>
      <c r="C267" s="160">
        <f>MAX(0,ROUND(C266+M267-AQ267,2))</f>
        <v/>
      </c>
      <c r="D267" s="160">
        <f>MAX(0,ROUND(D266+N267-AR267,2))</f>
        <v/>
      </c>
      <c r="E267" s="160">
        <f>MAX(0,ROUND(E266+O267-AS267,2))</f>
        <v/>
      </c>
      <c r="F267" s="160">
        <f>MAX(0,ROUND(F266+P267-AT267,2))</f>
        <v/>
      </c>
      <c r="G267" s="160">
        <f>MAX(0,ROUND(G266+Q267-AU267,2))</f>
        <v/>
      </c>
      <c r="H267" s="160">
        <f>MAX(0,ROUND(H266+R267-AV267,2))</f>
        <v/>
      </c>
      <c r="I267" s="160">
        <f>MAX(0,ROUND(I266+S267-AW267,2))</f>
        <v/>
      </c>
      <c r="J267" s="160">
        <f>MAX(0,ROUND(J266+T267-AX267,2))</f>
        <v/>
      </c>
      <c r="K267" s="160">
        <f>MAX(0,ROUND(K266+U267-AY267,2))</f>
        <v/>
      </c>
      <c r="L267" s="160">
        <f>MAX(0,ROUND(L266+V267-AZ267,2))</f>
        <v/>
      </c>
      <c r="M267" s="160">
        <f>C266*N('Debt Payoff'!$D$15)/12</f>
        <v/>
      </c>
      <c r="N267" s="160">
        <f>D266*N('Debt Payoff'!$D$16)/12</f>
        <v/>
      </c>
      <c r="O267" s="160">
        <f>E266*N('Debt Payoff'!$D$17)/12</f>
        <v/>
      </c>
      <c r="P267" s="160">
        <f>F266*N('Debt Payoff'!$D$18)/12</f>
        <v/>
      </c>
      <c r="Q267" s="160">
        <f>G266*N('Debt Payoff'!$D$19)/12</f>
        <v/>
      </c>
      <c r="R267" s="160">
        <f>H266*N('Debt Payoff'!$D$20)/12</f>
        <v/>
      </c>
      <c r="S267" s="160">
        <f>I266*N('Debt Payoff'!$D$21)/12</f>
        <v/>
      </c>
      <c r="T267" s="160">
        <f>J266*N('Debt Payoff'!$D$22)/12</f>
        <v/>
      </c>
      <c r="U267" s="160">
        <f>K266*N('Debt Payoff'!$D$23)/12</f>
        <v/>
      </c>
      <c r="V267" s="160">
        <f>L266*N('Debt Payoff'!$D$24)/12</f>
        <v/>
      </c>
      <c r="W267" s="160">
        <f>MIN(N('Debt Payoff'!$E$15),C266+M267)</f>
        <v/>
      </c>
      <c r="X267" s="160">
        <f>MIN(N('Debt Payoff'!$E$16),D266+N267)</f>
        <v/>
      </c>
      <c r="Y267" s="160">
        <f>MIN(N('Debt Payoff'!$E$17),E266+O267)</f>
        <v/>
      </c>
      <c r="Z267" s="160">
        <f>MIN(N('Debt Payoff'!$E$18),F266+P267)</f>
        <v/>
      </c>
      <c r="AA267" s="160">
        <f>MIN(N('Debt Payoff'!$E$19),G266+Q267)</f>
        <v/>
      </c>
      <c r="AB267" s="160">
        <f>MIN(N('Debt Payoff'!$E$20),H266+R267)</f>
        <v/>
      </c>
      <c r="AC267" s="160">
        <f>MIN(N('Debt Payoff'!$E$21),I266+S267)</f>
        <v/>
      </c>
      <c r="AD267" s="160">
        <f>MIN(N('Debt Payoff'!$E$22),J266+T267)</f>
        <v/>
      </c>
      <c r="AE267" s="160">
        <f>MIN(N('Debt Payoff'!$E$23),K266+U267)</f>
        <v/>
      </c>
      <c r="AF267" s="160">
        <f>MIN(N('Debt Payoff'!$E$24),L266+V267)</f>
        <v/>
      </c>
      <c r="AG267" s="160">
        <f>C266+M267-W267</f>
        <v/>
      </c>
      <c r="AH267" s="160">
        <f>D266+N267-X267</f>
        <v/>
      </c>
      <c r="AI267" s="160">
        <f>E266+O267-Y267</f>
        <v/>
      </c>
      <c r="AJ267" s="160">
        <f>F266+P267-Z267</f>
        <v/>
      </c>
      <c r="AK267" s="160">
        <f>G266+Q267-AA267</f>
        <v/>
      </c>
      <c r="AL267" s="160">
        <f>H266+R267-AB267</f>
        <v/>
      </c>
      <c r="AM267" s="160">
        <f>I266+S267-AC267</f>
        <v/>
      </c>
      <c r="AN267" s="160">
        <f>J266+T267-AD267</f>
        <v/>
      </c>
      <c r="AO267" s="160">
        <f>K266+U267-AE267</f>
        <v/>
      </c>
      <c r="AP267" s="160">
        <f>L266+V267-AF267</f>
        <v/>
      </c>
      <c r="AQ267" s="160">
        <f>W267+MAX(0,MIN(AG267,'Debt Payoff'!$C$12-SUM($W267:$AF267)-SUMIFS($AG267:$AP267,$AG$4:$AP$4,"&lt;"&amp;AG$4)))</f>
        <v/>
      </c>
      <c r="AR267" s="160">
        <f>X267+MAX(0,MIN(AH267,'Debt Payoff'!$C$12-SUM($W267:$AF267)-SUMIFS($AG267:$AP267,$AG$4:$AP$4,"&lt;"&amp;AH$4)))</f>
        <v/>
      </c>
      <c r="AS267" s="160">
        <f>Y267+MAX(0,MIN(AI267,'Debt Payoff'!$C$12-SUM($W267:$AF267)-SUMIFS($AG267:$AP267,$AG$4:$AP$4,"&lt;"&amp;AI$4)))</f>
        <v/>
      </c>
      <c r="AT267" s="160">
        <f>Z267+MAX(0,MIN(AJ267,'Debt Payoff'!$C$12-SUM($W267:$AF267)-SUMIFS($AG267:$AP267,$AG$4:$AP$4,"&lt;"&amp;AJ$4)))</f>
        <v/>
      </c>
      <c r="AU267" s="160">
        <f>AA267+MAX(0,MIN(AK267,'Debt Payoff'!$C$12-SUM($W267:$AF267)-SUMIFS($AG267:$AP267,$AG$4:$AP$4,"&lt;"&amp;AK$4)))</f>
        <v/>
      </c>
      <c r="AV267" s="160">
        <f>AB267+MAX(0,MIN(AL267,'Debt Payoff'!$C$12-SUM($W267:$AF267)-SUMIFS($AG267:$AP267,$AG$4:$AP$4,"&lt;"&amp;AL$4)))</f>
        <v/>
      </c>
      <c r="AW267" s="160">
        <f>AC267+MAX(0,MIN(AM267,'Debt Payoff'!$C$12-SUM($W267:$AF267)-SUMIFS($AG267:$AP267,$AG$4:$AP$4,"&lt;"&amp;AM$4)))</f>
        <v/>
      </c>
      <c r="AX267" s="160">
        <f>AD267+MAX(0,MIN(AN267,'Debt Payoff'!$C$12-SUM($W267:$AF267)-SUMIFS($AG267:$AP267,$AG$4:$AP$4,"&lt;"&amp;AN$4)))</f>
        <v/>
      </c>
      <c r="AY267" s="160">
        <f>AE267+MAX(0,MIN(AO267,'Debt Payoff'!$C$12-SUM($W267:$AF267)-SUMIFS($AG267:$AP267,$AG$4:$AP$4,"&lt;"&amp;AO$4)))</f>
        <v/>
      </c>
      <c r="AZ267" s="160">
        <f>AF267+MAX(0,MIN(AP267,'Debt Payoff'!$C$12-SUM($W267:$AF267)-SUMIFS($AG267:$AP267,$AG$4:$AP$4,"&lt;"&amp;AP$4)))</f>
        <v/>
      </c>
      <c r="BA267" s="160">
        <f>SUM(C267:L267)</f>
        <v/>
      </c>
      <c r="BB267" s="160">
        <f>SUM(AQ267:AZ267)</f>
        <v/>
      </c>
      <c r="BC267" s="160">
        <f>SUM(M267:V267)</f>
        <v/>
      </c>
    </row>
    <row r="268">
      <c r="A268" s="157" t="n">
        <v>263</v>
      </c>
      <c r="B268" s="159">
        <f>EDATE('Debt Payoff'!$C$6,262)</f>
        <v/>
      </c>
      <c r="C268" s="160">
        <f>MAX(0,ROUND(C267+M268-AQ268,2))</f>
        <v/>
      </c>
      <c r="D268" s="160">
        <f>MAX(0,ROUND(D267+N268-AR268,2))</f>
        <v/>
      </c>
      <c r="E268" s="160">
        <f>MAX(0,ROUND(E267+O268-AS268,2))</f>
        <v/>
      </c>
      <c r="F268" s="160">
        <f>MAX(0,ROUND(F267+P268-AT268,2))</f>
        <v/>
      </c>
      <c r="G268" s="160">
        <f>MAX(0,ROUND(G267+Q268-AU268,2))</f>
        <v/>
      </c>
      <c r="H268" s="160">
        <f>MAX(0,ROUND(H267+R268-AV268,2))</f>
        <v/>
      </c>
      <c r="I268" s="160">
        <f>MAX(0,ROUND(I267+S268-AW268,2))</f>
        <v/>
      </c>
      <c r="J268" s="160">
        <f>MAX(0,ROUND(J267+T268-AX268,2))</f>
        <v/>
      </c>
      <c r="K268" s="160">
        <f>MAX(0,ROUND(K267+U268-AY268,2))</f>
        <v/>
      </c>
      <c r="L268" s="160">
        <f>MAX(0,ROUND(L267+V268-AZ268,2))</f>
        <v/>
      </c>
      <c r="M268" s="160">
        <f>C267*N('Debt Payoff'!$D$15)/12</f>
        <v/>
      </c>
      <c r="N268" s="160">
        <f>D267*N('Debt Payoff'!$D$16)/12</f>
        <v/>
      </c>
      <c r="O268" s="160">
        <f>E267*N('Debt Payoff'!$D$17)/12</f>
        <v/>
      </c>
      <c r="P268" s="160">
        <f>F267*N('Debt Payoff'!$D$18)/12</f>
        <v/>
      </c>
      <c r="Q268" s="160">
        <f>G267*N('Debt Payoff'!$D$19)/12</f>
        <v/>
      </c>
      <c r="R268" s="160">
        <f>H267*N('Debt Payoff'!$D$20)/12</f>
        <v/>
      </c>
      <c r="S268" s="160">
        <f>I267*N('Debt Payoff'!$D$21)/12</f>
        <v/>
      </c>
      <c r="T268" s="160">
        <f>J267*N('Debt Payoff'!$D$22)/12</f>
        <v/>
      </c>
      <c r="U268" s="160">
        <f>K267*N('Debt Payoff'!$D$23)/12</f>
        <v/>
      </c>
      <c r="V268" s="160">
        <f>L267*N('Debt Payoff'!$D$24)/12</f>
        <v/>
      </c>
      <c r="W268" s="160">
        <f>MIN(N('Debt Payoff'!$E$15),C267+M268)</f>
        <v/>
      </c>
      <c r="X268" s="160">
        <f>MIN(N('Debt Payoff'!$E$16),D267+N268)</f>
        <v/>
      </c>
      <c r="Y268" s="160">
        <f>MIN(N('Debt Payoff'!$E$17),E267+O268)</f>
        <v/>
      </c>
      <c r="Z268" s="160">
        <f>MIN(N('Debt Payoff'!$E$18),F267+P268)</f>
        <v/>
      </c>
      <c r="AA268" s="160">
        <f>MIN(N('Debt Payoff'!$E$19),G267+Q268)</f>
        <v/>
      </c>
      <c r="AB268" s="160">
        <f>MIN(N('Debt Payoff'!$E$20),H267+R268)</f>
        <v/>
      </c>
      <c r="AC268" s="160">
        <f>MIN(N('Debt Payoff'!$E$21),I267+S268)</f>
        <v/>
      </c>
      <c r="AD268" s="160">
        <f>MIN(N('Debt Payoff'!$E$22),J267+T268)</f>
        <v/>
      </c>
      <c r="AE268" s="160">
        <f>MIN(N('Debt Payoff'!$E$23),K267+U268)</f>
        <v/>
      </c>
      <c r="AF268" s="160">
        <f>MIN(N('Debt Payoff'!$E$24),L267+V268)</f>
        <v/>
      </c>
      <c r="AG268" s="160">
        <f>C267+M268-W268</f>
        <v/>
      </c>
      <c r="AH268" s="160">
        <f>D267+N268-X268</f>
        <v/>
      </c>
      <c r="AI268" s="160">
        <f>E267+O268-Y268</f>
        <v/>
      </c>
      <c r="AJ268" s="160">
        <f>F267+P268-Z268</f>
        <v/>
      </c>
      <c r="AK268" s="160">
        <f>G267+Q268-AA268</f>
        <v/>
      </c>
      <c r="AL268" s="160">
        <f>H267+R268-AB268</f>
        <v/>
      </c>
      <c r="AM268" s="160">
        <f>I267+S268-AC268</f>
        <v/>
      </c>
      <c r="AN268" s="160">
        <f>J267+T268-AD268</f>
        <v/>
      </c>
      <c r="AO268" s="160">
        <f>K267+U268-AE268</f>
        <v/>
      </c>
      <c r="AP268" s="160">
        <f>L267+V268-AF268</f>
        <v/>
      </c>
      <c r="AQ268" s="160">
        <f>W268+MAX(0,MIN(AG268,'Debt Payoff'!$C$12-SUM($W268:$AF268)-SUMIFS($AG268:$AP268,$AG$4:$AP$4,"&lt;"&amp;AG$4)))</f>
        <v/>
      </c>
      <c r="AR268" s="160">
        <f>X268+MAX(0,MIN(AH268,'Debt Payoff'!$C$12-SUM($W268:$AF268)-SUMIFS($AG268:$AP268,$AG$4:$AP$4,"&lt;"&amp;AH$4)))</f>
        <v/>
      </c>
      <c r="AS268" s="160">
        <f>Y268+MAX(0,MIN(AI268,'Debt Payoff'!$C$12-SUM($W268:$AF268)-SUMIFS($AG268:$AP268,$AG$4:$AP$4,"&lt;"&amp;AI$4)))</f>
        <v/>
      </c>
      <c r="AT268" s="160">
        <f>Z268+MAX(0,MIN(AJ268,'Debt Payoff'!$C$12-SUM($W268:$AF268)-SUMIFS($AG268:$AP268,$AG$4:$AP$4,"&lt;"&amp;AJ$4)))</f>
        <v/>
      </c>
      <c r="AU268" s="160">
        <f>AA268+MAX(0,MIN(AK268,'Debt Payoff'!$C$12-SUM($W268:$AF268)-SUMIFS($AG268:$AP268,$AG$4:$AP$4,"&lt;"&amp;AK$4)))</f>
        <v/>
      </c>
      <c r="AV268" s="160">
        <f>AB268+MAX(0,MIN(AL268,'Debt Payoff'!$C$12-SUM($W268:$AF268)-SUMIFS($AG268:$AP268,$AG$4:$AP$4,"&lt;"&amp;AL$4)))</f>
        <v/>
      </c>
      <c r="AW268" s="160">
        <f>AC268+MAX(0,MIN(AM268,'Debt Payoff'!$C$12-SUM($W268:$AF268)-SUMIFS($AG268:$AP268,$AG$4:$AP$4,"&lt;"&amp;AM$4)))</f>
        <v/>
      </c>
      <c r="AX268" s="160">
        <f>AD268+MAX(0,MIN(AN268,'Debt Payoff'!$C$12-SUM($W268:$AF268)-SUMIFS($AG268:$AP268,$AG$4:$AP$4,"&lt;"&amp;AN$4)))</f>
        <v/>
      </c>
      <c r="AY268" s="160">
        <f>AE268+MAX(0,MIN(AO268,'Debt Payoff'!$C$12-SUM($W268:$AF268)-SUMIFS($AG268:$AP268,$AG$4:$AP$4,"&lt;"&amp;AO$4)))</f>
        <v/>
      </c>
      <c r="AZ268" s="160">
        <f>AF268+MAX(0,MIN(AP268,'Debt Payoff'!$C$12-SUM($W268:$AF268)-SUMIFS($AG268:$AP268,$AG$4:$AP$4,"&lt;"&amp;AP$4)))</f>
        <v/>
      </c>
      <c r="BA268" s="160">
        <f>SUM(C268:L268)</f>
        <v/>
      </c>
      <c r="BB268" s="160">
        <f>SUM(AQ268:AZ268)</f>
        <v/>
      </c>
      <c r="BC268" s="160">
        <f>SUM(M268:V268)</f>
        <v/>
      </c>
    </row>
    <row r="269">
      <c r="A269" s="157" t="n">
        <v>264</v>
      </c>
      <c r="B269" s="159">
        <f>EDATE('Debt Payoff'!$C$6,263)</f>
        <v/>
      </c>
      <c r="C269" s="160">
        <f>MAX(0,ROUND(C268+M269-AQ269,2))</f>
        <v/>
      </c>
      <c r="D269" s="160">
        <f>MAX(0,ROUND(D268+N269-AR269,2))</f>
        <v/>
      </c>
      <c r="E269" s="160">
        <f>MAX(0,ROUND(E268+O269-AS269,2))</f>
        <v/>
      </c>
      <c r="F269" s="160">
        <f>MAX(0,ROUND(F268+P269-AT269,2))</f>
        <v/>
      </c>
      <c r="G269" s="160">
        <f>MAX(0,ROUND(G268+Q269-AU269,2))</f>
        <v/>
      </c>
      <c r="H269" s="160">
        <f>MAX(0,ROUND(H268+R269-AV269,2))</f>
        <v/>
      </c>
      <c r="I269" s="160">
        <f>MAX(0,ROUND(I268+S269-AW269,2))</f>
        <v/>
      </c>
      <c r="J269" s="160">
        <f>MAX(0,ROUND(J268+T269-AX269,2))</f>
        <v/>
      </c>
      <c r="K269" s="160">
        <f>MAX(0,ROUND(K268+U269-AY269,2))</f>
        <v/>
      </c>
      <c r="L269" s="160">
        <f>MAX(0,ROUND(L268+V269-AZ269,2))</f>
        <v/>
      </c>
      <c r="M269" s="160">
        <f>C268*N('Debt Payoff'!$D$15)/12</f>
        <v/>
      </c>
      <c r="N269" s="160">
        <f>D268*N('Debt Payoff'!$D$16)/12</f>
        <v/>
      </c>
      <c r="O269" s="160">
        <f>E268*N('Debt Payoff'!$D$17)/12</f>
        <v/>
      </c>
      <c r="P269" s="160">
        <f>F268*N('Debt Payoff'!$D$18)/12</f>
        <v/>
      </c>
      <c r="Q269" s="160">
        <f>G268*N('Debt Payoff'!$D$19)/12</f>
        <v/>
      </c>
      <c r="R269" s="160">
        <f>H268*N('Debt Payoff'!$D$20)/12</f>
        <v/>
      </c>
      <c r="S269" s="160">
        <f>I268*N('Debt Payoff'!$D$21)/12</f>
        <v/>
      </c>
      <c r="T269" s="160">
        <f>J268*N('Debt Payoff'!$D$22)/12</f>
        <v/>
      </c>
      <c r="U269" s="160">
        <f>K268*N('Debt Payoff'!$D$23)/12</f>
        <v/>
      </c>
      <c r="V269" s="160">
        <f>L268*N('Debt Payoff'!$D$24)/12</f>
        <v/>
      </c>
      <c r="W269" s="160">
        <f>MIN(N('Debt Payoff'!$E$15),C268+M269)</f>
        <v/>
      </c>
      <c r="X269" s="160">
        <f>MIN(N('Debt Payoff'!$E$16),D268+N269)</f>
        <v/>
      </c>
      <c r="Y269" s="160">
        <f>MIN(N('Debt Payoff'!$E$17),E268+O269)</f>
        <v/>
      </c>
      <c r="Z269" s="160">
        <f>MIN(N('Debt Payoff'!$E$18),F268+P269)</f>
        <v/>
      </c>
      <c r="AA269" s="160">
        <f>MIN(N('Debt Payoff'!$E$19),G268+Q269)</f>
        <v/>
      </c>
      <c r="AB269" s="160">
        <f>MIN(N('Debt Payoff'!$E$20),H268+R269)</f>
        <v/>
      </c>
      <c r="AC269" s="160">
        <f>MIN(N('Debt Payoff'!$E$21),I268+S269)</f>
        <v/>
      </c>
      <c r="AD269" s="160">
        <f>MIN(N('Debt Payoff'!$E$22),J268+T269)</f>
        <v/>
      </c>
      <c r="AE269" s="160">
        <f>MIN(N('Debt Payoff'!$E$23),K268+U269)</f>
        <v/>
      </c>
      <c r="AF269" s="160">
        <f>MIN(N('Debt Payoff'!$E$24),L268+V269)</f>
        <v/>
      </c>
      <c r="AG269" s="160">
        <f>C268+M269-W269</f>
        <v/>
      </c>
      <c r="AH269" s="160">
        <f>D268+N269-X269</f>
        <v/>
      </c>
      <c r="AI269" s="160">
        <f>E268+O269-Y269</f>
        <v/>
      </c>
      <c r="AJ269" s="160">
        <f>F268+P269-Z269</f>
        <v/>
      </c>
      <c r="AK269" s="160">
        <f>G268+Q269-AA269</f>
        <v/>
      </c>
      <c r="AL269" s="160">
        <f>H268+R269-AB269</f>
        <v/>
      </c>
      <c r="AM269" s="160">
        <f>I268+S269-AC269</f>
        <v/>
      </c>
      <c r="AN269" s="160">
        <f>J268+T269-AD269</f>
        <v/>
      </c>
      <c r="AO269" s="160">
        <f>K268+U269-AE269</f>
        <v/>
      </c>
      <c r="AP269" s="160">
        <f>L268+V269-AF269</f>
        <v/>
      </c>
      <c r="AQ269" s="160">
        <f>W269+MAX(0,MIN(AG269,'Debt Payoff'!$C$12-SUM($W269:$AF269)-SUMIFS($AG269:$AP269,$AG$4:$AP$4,"&lt;"&amp;AG$4)))</f>
        <v/>
      </c>
      <c r="AR269" s="160">
        <f>X269+MAX(0,MIN(AH269,'Debt Payoff'!$C$12-SUM($W269:$AF269)-SUMIFS($AG269:$AP269,$AG$4:$AP$4,"&lt;"&amp;AH$4)))</f>
        <v/>
      </c>
      <c r="AS269" s="160">
        <f>Y269+MAX(0,MIN(AI269,'Debt Payoff'!$C$12-SUM($W269:$AF269)-SUMIFS($AG269:$AP269,$AG$4:$AP$4,"&lt;"&amp;AI$4)))</f>
        <v/>
      </c>
      <c r="AT269" s="160">
        <f>Z269+MAX(0,MIN(AJ269,'Debt Payoff'!$C$12-SUM($W269:$AF269)-SUMIFS($AG269:$AP269,$AG$4:$AP$4,"&lt;"&amp;AJ$4)))</f>
        <v/>
      </c>
      <c r="AU269" s="160">
        <f>AA269+MAX(0,MIN(AK269,'Debt Payoff'!$C$12-SUM($W269:$AF269)-SUMIFS($AG269:$AP269,$AG$4:$AP$4,"&lt;"&amp;AK$4)))</f>
        <v/>
      </c>
      <c r="AV269" s="160">
        <f>AB269+MAX(0,MIN(AL269,'Debt Payoff'!$C$12-SUM($W269:$AF269)-SUMIFS($AG269:$AP269,$AG$4:$AP$4,"&lt;"&amp;AL$4)))</f>
        <v/>
      </c>
      <c r="AW269" s="160">
        <f>AC269+MAX(0,MIN(AM269,'Debt Payoff'!$C$12-SUM($W269:$AF269)-SUMIFS($AG269:$AP269,$AG$4:$AP$4,"&lt;"&amp;AM$4)))</f>
        <v/>
      </c>
      <c r="AX269" s="160">
        <f>AD269+MAX(0,MIN(AN269,'Debt Payoff'!$C$12-SUM($W269:$AF269)-SUMIFS($AG269:$AP269,$AG$4:$AP$4,"&lt;"&amp;AN$4)))</f>
        <v/>
      </c>
      <c r="AY269" s="160">
        <f>AE269+MAX(0,MIN(AO269,'Debt Payoff'!$C$12-SUM($W269:$AF269)-SUMIFS($AG269:$AP269,$AG$4:$AP$4,"&lt;"&amp;AO$4)))</f>
        <v/>
      </c>
      <c r="AZ269" s="160">
        <f>AF269+MAX(0,MIN(AP269,'Debt Payoff'!$C$12-SUM($W269:$AF269)-SUMIFS($AG269:$AP269,$AG$4:$AP$4,"&lt;"&amp;AP$4)))</f>
        <v/>
      </c>
      <c r="BA269" s="160">
        <f>SUM(C269:L269)</f>
        <v/>
      </c>
      <c r="BB269" s="160">
        <f>SUM(AQ269:AZ269)</f>
        <v/>
      </c>
      <c r="BC269" s="160">
        <f>SUM(M269:V269)</f>
        <v/>
      </c>
    </row>
    <row r="270">
      <c r="A270" s="157" t="n">
        <v>265</v>
      </c>
      <c r="B270" s="159">
        <f>EDATE('Debt Payoff'!$C$6,264)</f>
        <v/>
      </c>
      <c r="C270" s="160">
        <f>MAX(0,ROUND(C269+M270-AQ270,2))</f>
        <v/>
      </c>
      <c r="D270" s="160">
        <f>MAX(0,ROUND(D269+N270-AR270,2))</f>
        <v/>
      </c>
      <c r="E270" s="160">
        <f>MAX(0,ROUND(E269+O270-AS270,2))</f>
        <v/>
      </c>
      <c r="F270" s="160">
        <f>MAX(0,ROUND(F269+P270-AT270,2))</f>
        <v/>
      </c>
      <c r="G270" s="160">
        <f>MAX(0,ROUND(G269+Q270-AU270,2))</f>
        <v/>
      </c>
      <c r="H270" s="160">
        <f>MAX(0,ROUND(H269+R270-AV270,2))</f>
        <v/>
      </c>
      <c r="I270" s="160">
        <f>MAX(0,ROUND(I269+S270-AW270,2))</f>
        <v/>
      </c>
      <c r="J270" s="160">
        <f>MAX(0,ROUND(J269+T270-AX270,2))</f>
        <v/>
      </c>
      <c r="K270" s="160">
        <f>MAX(0,ROUND(K269+U270-AY270,2))</f>
        <v/>
      </c>
      <c r="L270" s="160">
        <f>MAX(0,ROUND(L269+V270-AZ270,2))</f>
        <v/>
      </c>
      <c r="M270" s="160">
        <f>C269*N('Debt Payoff'!$D$15)/12</f>
        <v/>
      </c>
      <c r="N270" s="160">
        <f>D269*N('Debt Payoff'!$D$16)/12</f>
        <v/>
      </c>
      <c r="O270" s="160">
        <f>E269*N('Debt Payoff'!$D$17)/12</f>
        <v/>
      </c>
      <c r="P270" s="160">
        <f>F269*N('Debt Payoff'!$D$18)/12</f>
        <v/>
      </c>
      <c r="Q270" s="160">
        <f>G269*N('Debt Payoff'!$D$19)/12</f>
        <v/>
      </c>
      <c r="R270" s="160">
        <f>H269*N('Debt Payoff'!$D$20)/12</f>
        <v/>
      </c>
      <c r="S270" s="160">
        <f>I269*N('Debt Payoff'!$D$21)/12</f>
        <v/>
      </c>
      <c r="T270" s="160">
        <f>J269*N('Debt Payoff'!$D$22)/12</f>
        <v/>
      </c>
      <c r="U270" s="160">
        <f>K269*N('Debt Payoff'!$D$23)/12</f>
        <v/>
      </c>
      <c r="V270" s="160">
        <f>L269*N('Debt Payoff'!$D$24)/12</f>
        <v/>
      </c>
      <c r="W270" s="160">
        <f>MIN(N('Debt Payoff'!$E$15),C269+M270)</f>
        <v/>
      </c>
      <c r="X270" s="160">
        <f>MIN(N('Debt Payoff'!$E$16),D269+N270)</f>
        <v/>
      </c>
      <c r="Y270" s="160">
        <f>MIN(N('Debt Payoff'!$E$17),E269+O270)</f>
        <v/>
      </c>
      <c r="Z270" s="160">
        <f>MIN(N('Debt Payoff'!$E$18),F269+P270)</f>
        <v/>
      </c>
      <c r="AA270" s="160">
        <f>MIN(N('Debt Payoff'!$E$19),G269+Q270)</f>
        <v/>
      </c>
      <c r="AB270" s="160">
        <f>MIN(N('Debt Payoff'!$E$20),H269+R270)</f>
        <v/>
      </c>
      <c r="AC270" s="160">
        <f>MIN(N('Debt Payoff'!$E$21),I269+S270)</f>
        <v/>
      </c>
      <c r="AD270" s="160">
        <f>MIN(N('Debt Payoff'!$E$22),J269+T270)</f>
        <v/>
      </c>
      <c r="AE270" s="160">
        <f>MIN(N('Debt Payoff'!$E$23),K269+U270)</f>
        <v/>
      </c>
      <c r="AF270" s="160">
        <f>MIN(N('Debt Payoff'!$E$24),L269+V270)</f>
        <v/>
      </c>
      <c r="AG270" s="160">
        <f>C269+M270-W270</f>
        <v/>
      </c>
      <c r="AH270" s="160">
        <f>D269+N270-X270</f>
        <v/>
      </c>
      <c r="AI270" s="160">
        <f>E269+O270-Y270</f>
        <v/>
      </c>
      <c r="AJ270" s="160">
        <f>F269+P270-Z270</f>
        <v/>
      </c>
      <c r="AK270" s="160">
        <f>G269+Q270-AA270</f>
        <v/>
      </c>
      <c r="AL270" s="160">
        <f>H269+R270-AB270</f>
        <v/>
      </c>
      <c r="AM270" s="160">
        <f>I269+S270-AC270</f>
        <v/>
      </c>
      <c r="AN270" s="160">
        <f>J269+T270-AD270</f>
        <v/>
      </c>
      <c r="AO270" s="160">
        <f>K269+U270-AE270</f>
        <v/>
      </c>
      <c r="AP270" s="160">
        <f>L269+V270-AF270</f>
        <v/>
      </c>
      <c r="AQ270" s="160">
        <f>W270+MAX(0,MIN(AG270,'Debt Payoff'!$C$12-SUM($W270:$AF270)-SUMIFS($AG270:$AP270,$AG$4:$AP$4,"&lt;"&amp;AG$4)))</f>
        <v/>
      </c>
      <c r="AR270" s="160">
        <f>X270+MAX(0,MIN(AH270,'Debt Payoff'!$C$12-SUM($W270:$AF270)-SUMIFS($AG270:$AP270,$AG$4:$AP$4,"&lt;"&amp;AH$4)))</f>
        <v/>
      </c>
      <c r="AS270" s="160">
        <f>Y270+MAX(0,MIN(AI270,'Debt Payoff'!$C$12-SUM($W270:$AF270)-SUMIFS($AG270:$AP270,$AG$4:$AP$4,"&lt;"&amp;AI$4)))</f>
        <v/>
      </c>
      <c r="AT270" s="160">
        <f>Z270+MAX(0,MIN(AJ270,'Debt Payoff'!$C$12-SUM($W270:$AF270)-SUMIFS($AG270:$AP270,$AG$4:$AP$4,"&lt;"&amp;AJ$4)))</f>
        <v/>
      </c>
      <c r="AU270" s="160">
        <f>AA270+MAX(0,MIN(AK270,'Debt Payoff'!$C$12-SUM($W270:$AF270)-SUMIFS($AG270:$AP270,$AG$4:$AP$4,"&lt;"&amp;AK$4)))</f>
        <v/>
      </c>
      <c r="AV270" s="160">
        <f>AB270+MAX(0,MIN(AL270,'Debt Payoff'!$C$12-SUM($W270:$AF270)-SUMIFS($AG270:$AP270,$AG$4:$AP$4,"&lt;"&amp;AL$4)))</f>
        <v/>
      </c>
      <c r="AW270" s="160">
        <f>AC270+MAX(0,MIN(AM270,'Debt Payoff'!$C$12-SUM($W270:$AF270)-SUMIFS($AG270:$AP270,$AG$4:$AP$4,"&lt;"&amp;AM$4)))</f>
        <v/>
      </c>
      <c r="AX270" s="160">
        <f>AD270+MAX(0,MIN(AN270,'Debt Payoff'!$C$12-SUM($W270:$AF270)-SUMIFS($AG270:$AP270,$AG$4:$AP$4,"&lt;"&amp;AN$4)))</f>
        <v/>
      </c>
      <c r="AY270" s="160">
        <f>AE270+MAX(0,MIN(AO270,'Debt Payoff'!$C$12-SUM($W270:$AF270)-SUMIFS($AG270:$AP270,$AG$4:$AP$4,"&lt;"&amp;AO$4)))</f>
        <v/>
      </c>
      <c r="AZ270" s="160">
        <f>AF270+MAX(0,MIN(AP270,'Debt Payoff'!$C$12-SUM($W270:$AF270)-SUMIFS($AG270:$AP270,$AG$4:$AP$4,"&lt;"&amp;AP$4)))</f>
        <v/>
      </c>
      <c r="BA270" s="160">
        <f>SUM(C270:L270)</f>
        <v/>
      </c>
      <c r="BB270" s="160">
        <f>SUM(AQ270:AZ270)</f>
        <v/>
      </c>
      <c r="BC270" s="160">
        <f>SUM(M270:V270)</f>
        <v/>
      </c>
    </row>
    <row r="271">
      <c r="A271" s="157" t="n">
        <v>266</v>
      </c>
      <c r="B271" s="159">
        <f>EDATE('Debt Payoff'!$C$6,265)</f>
        <v/>
      </c>
      <c r="C271" s="160">
        <f>MAX(0,ROUND(C270+M271-AQ271,2))</f>
        <v/>
      </c>
      <c r="D271" s="160">
        <f>MAX(0,ROUND(D270+N271-AR271,2))</f>
        <v/>
      </c>
      <c r="E271" s="160">
        <f>MAX(0,ROUND(E270+O271-AS271,2))</f>
        <v/>
      </c>
      <c r="F271" s="160">
        <f>MAX(0,ROUND(F270+P271-AT271,2))</f>
        <v/>
      </c>
      <c r="G271" s="160">
        <f>MAX(0,ROUND(G270+Q271-AU271,2))</f>
        <v/>
      </c>
      <c r="H271" s="160">
        <f>MAX(0,ROUND(H270+R271-AV271,2))</f>
        <v/>
      </c>
      <c r="I271" s="160">
        <f>MAX(0,ROUND(I270+S271-AW271,2))</f>
        <v/>
      </c>
      <c r="J271" s="160">
        <f>MAX(0,ROUND(J270+T271-AX271,2))</f>
        <v/>
      </c>
      <c r="K271" s="160">
        <f>MAX(0,ROUND(K270+U271-AY271,2))</f>
        <v/>
      </c>
      <c r="L271" s="160">
        <f>MAX(0,ROUND(L270+V271-AZ271,2))</f>
        <v/>
      </c>
      <c r="M271" s="160">
        <f>C270*N('Debt Payoff'!$D$15)/12</f>
        <v/>
      </c>
      <c r="N271" s="160">
        <f>D270*N('Debt Payoff'!$D$16)/12</f>
        <v/>
      </c>
      <c r="O271" s="160">
        <f>E270*N('Debt Payoff'!$D$17)/12</f>
        <v/>
      </c>
      <c r="P271" s="160">
        <f>F270*N('Debt Payoff'!$D$18)/12</f>
        <v/>
      </c>
      <c r="Q271" s="160">
        <f>G270*N('Debt Payoff'!$D$19)/12</f>
        <v/>
      </c>
      <c r="R271" s="160">
        <f>H270*N('Debt Payoff'!$D$20)/12</f>
        <v/>
      </c>
      <c r="S271" s="160">
        <f>I270*N('Debt Payoff'!$D$21)/12</f>
        <v/>
      </c>
      <c r="T271" s="160">
        <f>J270*N('Debt Payoff'!$D$22)/12</f>
        <v/>
      </c>
      <c r="U271" s="160">
        <f>K270*N('Debt Payoff'!$D$23)/12</f>
        <v/>
      </c>
      <c r="V271" s="160">
        <f>L270*N('Debt Payoff'!$D$24)/12</f>
        <v/>
      </c>
      <c r="W271" s="160">
        <f>MIN(N('Debt Payoff'!$E$15),C270+M271)</f>
        <v/>
      </c>
      <c r="X271" s="160">
        <f>MIN(N('Debt Payoff'!$E$16),D270+N271)</f>
        <v/>
      </c>
      <c r="Y271" s="160">
        <f>MIN(N('Debt Payoff'!$E$17),E270+O271)</f>
        <v/>
      </c>
      <c r="Z271" s="160">
        <f>MIN(N('Debt Payoff'!$E$18),F270+P271)</f>
        <v/>
      </c>
      <c r="AA271" s="160">
        <f>MIN(N('Debt Payoff'!$E$19),G270+Q271)</f>
        <v/>
      </c>
      <c r="AB271" s="160">
        <f>MIN(N('Debt Payoff'!$E$20),H270+R271)</f>
        <v/>
      </c>
      <c r="AC271" s="160">
        <f>MIN(N('Debt Payoff'!$E$21),I270+S271)</f>
        <v/>
      </c>
      <c r="AD271" s="160">
        <f>MIN(N('Debt Payoff'!$E$22),J270+T271)</f>
        <v/>
      </c>
      <c r="AE271" s="160">
        <f>MIN(N('Debt Payoff'!$E$23),K270+U271)</f>
        <v/>
      </c>
      <c r="AF271" s="160">
        <f>MIN(N('Debt Payoff'!$E$24),L270+V271)</f>
        <v/>
      </c>
      <c r="AG271" s="160">
        <f>C270+M271-W271</f>
        <v/>
      </c>
      <c r="AH271" s="160">
        <f>D270+N271-X271</f>
        <v/>
      </c>
      <c r="AI271" s="160">
        <f>E270+O271-Y271</f>
        <v/>
      </c>
      <c r="AJ271" s="160">
        <f>F270+P271-Z271</f>
        <v/>
      </c>
      <c r="AK271" s="160">
        <f>G270+Q271-AA271</f>
        <v/>
      </c>
      <c r="AL271" s="160">
        <f>H270+R271-AB271</f>
        <v/>
      </c>
      <c r="AM271" s="160">
        <f>I270+S271-AC271</f>
        <v/>
      </c>
      <c r="AN271" s="160">
        <f>J270+T271-AD271</f>
        <v/>
      </c>
      <c r="AO271" s="160">
        <f>K270+U271-AE271</f>
        <v/>
      </c>
      <c r="AP271" s="160">
        <f>L270+V271-AF271</f>
        <v/>
      </c>
      <c r="AQ271" s="160">
        <f>W271+MAX(0,MIN(AG271,'Debt Payoff'!$C$12-SUM($W271:$AF271)-SUMIFS($AG271:$AP271,$AG$4:$AP$4,"&lt;"&amp;AG$4)))</f>
        <v/>
      </c>
      <c r="AR271" s="160">
        <f>X271+MAX(0,MIN(AH271,'Debt Payoff'!$C$12-SUM($W271:$AF271)-SUMIFS($AG271:$AP271,$AG$4:$AP$4,"&lt;"&amp;AH$4)))</f>
        <v/>
      </c>
      <c r="AS271" s="160">
        <f>Y271+MAX(0,MIN(AI271,'Debt Payoff'!$C$12-SUM($W271:$AF271)-SUMIFS($AG271:$AP271,$AG$4:$AP$4,"&lt;"&amp;AI$4)))</f>
        <v/>
      </c>
      <c r="AT271" s="160">
        <f>Z271+MAX(0,MIN(AJ271,'Debt Payoff'!$C$12-SUM($W271:$AF271)-SUMIFS($AG271:$AP271,$AG$4:$AP$4,"&lt;"&amp;AJ$4)))</f>
        <v/>
      </c>
      <c r="AU271" s="160">
        <f>AA271+MAX(0,MIN(AK271,'Debt Payoff'!$C$12-SUM($W271:$AF271)-SUMIFS($AG271:$AP271,$AG$4:$AP$4,"&lt;"&amp;AK$4)))</f>
        <v/>
      </c>
      <c r="AV271" s="160">
        <f>AB271+MAX(0,MIN(AL271,'Debt Payoff'!$C$12-SUM($W271:$AF271)-SUMIFS($AG271:$AP271,$AG$4:$AP$4,"&lt;"&amp;AL$4)))</f>
        <v/>
      </c>
      <c r="AW271" s="160">
        <f>AC271+MAX(0,MIN(AM271,'Debt Payoff'!$C$12-SUM($W271:$AF271)-SUMIFS($AG271:$AP271,$AG$4:$AP$4,"&lt;"&amp;AM$4)))</f>
        <v/>
      </c>
      <c r="AX271" s="160">
        <f>AD271+MAX(0,MIN(AN271,'Debt Payoff'!$C$12-SUM($W271:$AF271)-SUMIFS($AG271:$AP271,$AG$4:$AP$4,"&lt;"&amp;AN$4)))</f>
        <v/>
      </c>
      <c r="AY271" s="160">
        <f>AE271+MAX(0,MIN(AO271,'Debt Payoff'!$C$12-SUM($W271:$AF271)-SUMIFS($AG271:$AP271,$AG$4:$AP$4,"&lt;"&amp;AO$4)))</f>
        <v/>
      </c>
      <c r="AZ271" s="160">
        <f>AF271+MAX(0,MIN(AP271,'Debt Payoff'!$C$12-SUM($W271:$AF271)-SUMIFS($AG271:$AP271,$AG$4:$AP$4,"&lt;"&amp;AP$4)))</f>
        <v/>
      </c>
      <c r="BA271" s="160">
        <f>SUM(C271:L271)</f>
        <v/>
      </c>
      <c r="BB271" s="160">
        <f>SUM(AQ271:AZ271)</f>
        <v/>
      </c>
      <c r="BC271" s="160">
        <f>SUM(M271:V271)</f>
        <v/>
      </c>
    </row>
    <row r="272">
      <c r="A272" s="157" t="n">
        <v>267</v>
      </c>
      <c r="B272" s="159">
        <f>EDATE('Debt Payoff'!$C$6,266)</f>
        <v/>
      </c>
      <c r="C272" s="160">
        <f>MAX(0,ROUND(C271+M272-AQ272,2))</f>
        <v/>
      </c>
      <c r="D272" s="160">
        <f>MAX(0,ROUND(D271+N272-AR272,2))</f>
        <v/>
      </c>
      <c r="E272" s="160">
        <f>MAX(0,ROUND(E271+O272-AS272,2))</f>
        <v/>
      </c>
      <c r="F272" s="160">
        <f>MAX(0,ROUND(F271+P272-AT272,2))</f>
        <v/>
      </c>
      <c r="G272" s="160">
        <f>MAX(0,ROUND(G271+Q272-AU272,2))</f>
        <v/>
      </c>
      <c r="H272" s="160">
        <f>MAX(0,ROUND(H271+R272-AV272,2))</f>
        <v/>
      </c>
      <c r="I272" s="160">
        <f>MAX(0,ROUND(I271+S272-AW272,2))</f>
        <v/>
      </c>
      <c r="J272" s="160">
        <f>MAX(0,ROUND(J271+T272-AX272,2))</f>
        <v/>
      </c>
      <c r="K272" s="160">
        <f>MAX(0,ROUND(K271+U272-AY272,2))</f>
        <v/>
      </c>
      <c r="L272" s="160">
        <f>MAX(0,ROUND(L271+V272-AZ272,2))</f>
        <v/>
      </c>
      <c r="M272" s="160">
        <f>C271*N('Debt Payoff'!$D$15)/12</f>
        <v/>
      </c>
      <c r="N272" s="160">
        <f>D271*N('Debt Payoff'!$D$16)/12</f>
        <v/>
      </c>
      <c r="O272" s="160">
        <f>E271*N('Debt Payoff'!$D$17)/12</f>
        <v/>
      </c>
      <c r="P272" s="160">
        <f>F271*N('Debt Payoff'!$D$18)/12</f>
        <v/>
      </c>
      <c r="Q272" s="160">
        <f>G271*N('Debt Payoff'!$D$19)/12</f>
        <v/>
      </c>
      <c r="R272" s="160">
        <f>H271*N('Debt Payoff'!$D$20)/12</f>
        <v/>
      </c>
      <c r="S272" s="160">
        <f>I271*N('Debt Payoff'!$D$21)/12</f>
        <v/>
      </c>
      <c r="T272" s="160">
        <f>J271*N('Debt Payoff'!$D$22)/12</f>
        <v/>
      </c>
      <c r="U272" s="160">
        <f>K271*N('Debt Payoff'!$D$23)/12</f>
        <v/>
      </c>
      <c r="V272" s="160">
        <f>L271*N('Debt Payoff'!$D$24)/12</f>
        <v/>
      </c>
      <c r="W272" s="160">
        <f>MIN(N('Debt Payoff'!$E$15),C271+M272)</f>
        <v/>
      </c>
      <c r="X272" s="160">
        <f>MIN(N('Debt Payoff'!$E$16),D271+N272)</f>
        <v/>
      </c>
      <c r="Y272" s="160">
        <f>MIN(N('Debt Payoff'!$E$17),E271+O272)</f>
        <v/>
      </c>
      <c r="Z272" s="160">
        <f>MIN(N('Debt Payoff'!$E$18),F271+P272)</f>
        <v/>
      </c>
      <c r="AA272" s="160">
        <f>MIN(N('Debt Payoff'!$E$19),G271+Q272)</f>
        <v/>
      </c>
      <c r="AB272" s="160">
        <f>MIN(N('Debt Payoff'!$E$20),H271+R272)</f>
        <v/>
      </c>
      <c r="AC272" s="160">
        <f>MIN(N('Debt Payoff'!$E$21),I271+S272)</f>
        <v/>
      </c>
      <c r="AD272" s="160">
        <f>MIN(N('Debt Payoff'!$E$22),J271+T272)</f>
        <v/>
      </c>
      <c r="AE272" s="160">
        <f>MIN(N('Debt Payoff'!$E$23),K271+U272)</f>
        <v/>
      </c>
      <c r="AF272" s="160">
        <f>MIN(N('Debt Payoff'!$E$24),L271+V272)</f>
        <v/>
      </c>
      <c r="AG272" s="160">
        <f>C271+M272-W272</f>
        <v/>
      </c>
      <c r="AH272" s="160">
        <f>D271+N272-X272</f>
        <v/>
      </c>
      <c r="AI272" s="160">
        <f>E271+O272-Y272</f>
        <v/>
      </c>
      <c r="AJ272" s="160">
        <f>F271+P272-Z272</f>
        <v/>
      </c>
      <c r="AK272" s="160">
        <f>G271+Q272-AA272</f>
        <v/>
      </c>
      <c r="AL272" s="160">
        <f>H271+R272-AB272</f>
        <v/>
      </c>
      <c r="AM272" s="160">
        <f>I271+S272-AC272</f>
        <v/>
      </c>
      <c r="AN272" s="160">
        <f>J271+T272-AD272</f>
        <v/>
      </c>
      <c r="AO272" s="160">
        <f>K271+U272-AE272</f>
        <v/>
      </c>
      <c r="AP272" s="160">
        <f>L271+V272-AF272</f>
        <v/>
      </c>
      <c r="AQ272" s="160">
        <f>W272+MAX(0,MIN(AG272,'Debt Payoff'!$C$12-SUM($W272:$AF272)-SUMIFS($AG272:$AP272,$AG$4:$AP$4,"&lt;"&amp;AG$4)))</f>
        <v/>
      </c>
      <c r="AR272" s="160">
        <f>X272+MAX(0,MIN(AH272,'Debt Payoff'!$C$12-SUM($W272:$AF272)-SUMIFS($AG272:$AP272,$AG$4:$AP$4,"&lt;"&amp;AH$4)))</f>
        <v/>
      </c>
      <c r="AS272" s="160">
        <f>Y272+MAX(0,MIN(AI272,'Debt Payoff'!$C$12-SUM($W272:$AF272)-SUMIFS($AG272:$AP272,$AG$4:$AP$4,"&lt;"&amp;AI$4)))</f>
        <v/>
      </c>
      <c r="AT272" s="160">
        <f>Z272+MAX(0,MIN(AJ272,'Debt Payoff'!$C$12-SUM($W272:$AF272)-SUMIFS($AG272:$AP272,$AG$4:$AP$4,"&lt;"&amp;AJ$4)))</f>
        <v/>
      </c>
      <c r="AU272" s="160">
        <f>AA272+MAX(0,MIN(AK272,'Debt Payoff'!$C$12-SUM($W272:$AF272)-SUMIFS($AG272:$AP272,$AG$4:$AP$4,"&lt;"&amp;AK$4)))</f>
        <v/>
      </c>
      <c r="AV272" s="160">
        <f>AB272+MAX(0,MIN(AL272,'Debt Payoff'!$C$12-SUM($W272:$AF272)-SUMIFS($AG272:$AP272,$AG$4:$AP$4,"&lt;"&amp;AL$4)))</f>
        <v/>
      </c>
      <c r="AW272" s="160">
        <f>AC272+MAX(0,MIN(AM272,'Debt Payoff'!$C$12-SUM($W272:$AF272)-SUMIFS($AG272:$AP272,$AG$4:$AP$4,"&lt;"&amp;AM$4)))</f>
        <v/>
      </c>
      <c r="AX272" s="160">
        <f>AD272+MAX(0,MIN(AN272,'Debt Payoff'!$C$12-SUM($W272:$AF272)-SUMIFS($AG272:$AP272,$AG$4:$AP$4,"&lt;"&amp;AN$4)))</f>
        <v/>
      </c>
      <c r="AY272" s="160">
        <f>AE272+MAX(0,MIN(AO272,'Debt Payoff'!$C$12-SUM($W272:$AF272)-SUMIFS($AG272:$AP272,$AG$4:$AP$4,"&lt;"&amp;AO$4)))</f>
        <v/>
      </c>
      <c r="AZ272" s="160">
        <f>AF272+MAX(0,MIN(AP272,'Debt Payoff'!$C$12-SUM($W272:$AF272)-SUMIFS($AG272:$AP272,$AG$4:$AP$4,"&lt;"&amp;AP$4)))</f>
        <v/>
      </c>
      <c r="BA272" s="160">
        <f>SUM(C272:L272)</f>
        <v/>
      </c>
      <c r="BB272" s="160">
        <f>SUM(AQ272:AZ272)</f>
        <v/>
      </c>
      <c r="BC272" s="160">
        <f>SUM(M272:V272)</f>
        <v/>
      </c>
    </row>
    <row r="273">
      <c r="A273" s="157" t="n">
        <v>268</v>
      </c>
      <c r="B273" s="159">
        <f>EDATE('Debt Payoff'!$C$6,267)</f>
        <v/>
      </c>
      <c r="C273" s="160">
        <f>MAX(0,ROUND(C272+M273-AQ273,2))</f>
        <v/>
      </c>
      <c r="D273" s="160">
        <f>MAX(0,ROUND(D272+N273-AR273,2))</f>
        <v/>
      </c>
      <c r="E273" s="160">
        <f>MAX(0,ROUND(E272+O273-AS273,2))</f>
        <v/>
      </c>
      <c r="F273" s="160">
        <f>MAX(0,ROUND(F272+P273-AT273,2))</f>
        <v/>
      </c>
      <c r="G273" s="160">
        <f>MAX(0,ROUND(G272+Q273-AU273,2))</f>
        <v/>
      </c>
      <c r="H273" s="160">
        <f>MAX(0,ROUND(H272+R273-AV273,2))</f>
        <v/>
      </c>
      <c r="I273" s="160">
        <f>MAX(0,ROUND(I272+S273-AW273,2))</f>
        <v/>
      </c>
      <c r="J273" s="160">
        <f>MAX(0,ROUND(J272+T273-AX273,2))</f>
        <v/>
      </c>
      <c r="K273" s="160">
        <f>MAX(0,ROUND(K272+U273-AY273,2))</f>
        <v/>
      </c>
      <c r="L273" s="160">
        <f>MAX(0,ROUND(L272+V273-AZ273,2))</f>
        <v/>
      </c>
      <c r="M273" s="160">
        <f>C272*N('Debt Payoff'!$D$15)/12</f>
        <v/>
      </c>
      <c r="N273" s="160">
        <f>D272*N('Debt Payoff'!$D$16)/12</f>
        <v/>
      </c>
      <c r="O273" s="160">
        <f>E272*N('Debt Payoff'!$D$17)/12</f>
        <v/>
      </c>
      <c r="P273" s="160">
        <f>F272*N('Debt Payoff'!$D$18)/12</f>
        <v/>
      </c>
      <c r="Q273" s="160">
        <f>G272*N('Debt Payoff'!$D$19)/12</f>
        <v/>
      </c>
      <c r="R273" s="160">
        <f>H272*N('Debt Payoff'!$D$20)/12</f>
        <v/>
      </c>
      <c r="S273" s="160">
        <f>I272*N('Debt Payoff'!$D$21)/12</f>
        <v/>
      </c>
      <c r="T273" s="160">
        <f>J272*N('Debt Payoff'!$D$22)/12</f>
        <v/>
      </c>
      <c r="U273" s="160">
        <f>K272*N('Debt Payoff'!$D$23)/12</f>
        <v/>
      </c>
      <c r="V273" s="160">
        <f>L272*N('Debt Payoff'!$D$24)/12</f>
        <v/>
      </c>
      <c r="W273" s="160">
        <f>MIN(N('Debt Payoff'!$E$15),C272+M273)</f>
        <v/>
      </c>
      <c r="X273" s="160">
        <f>MIN(N('Debt Payoff'!$E$16),D272+N273)</f>
        <v/>
      </c>
      <c r="Y273" s="160">
        <f>MIN(N('Debt Payoff'!$E$17),E272+O273)</f>
        <v/>
      </c>
      <c r="Z273" s="160">
        <f>MIN(N('Debt Payoff'!$E$18),F272+P273)</f>
        <v/>
      </c>
      <c r="AA273" s="160">
        <f>MIN(N('Debt Payoff'!$E$19),G272+Q273)</f>
        <v/>
      </c>
      <c r="AB273" s="160">
        <f>MIN(N('Debt Payoff'!$E$20),H272+R273)</f>
        <v/>
      </c>
      <c r="AC273" s="160">
        <f>MIN(N('Debt Payoff'!$E$21),I272+S273)</f>
        <v/>
      </c>
      <c r="AD273" s="160">
        <f>MIN(N('Debt Payoff'!$E$22),J272+T273)</f>
        <v/>
      </c>
      <c r="AE273" s="160">
        <f>MIN(N('Debt Payoff'!$E$23),K272+U273)</f>
        <v/>
      </c>
      <c r="AF273" s="160">
        <f>MIN(N('Debt Payoff'!$E$24),L272+V273)</f>
        <v/>
      </c>
      <c r="AG273" s="160">
        <f>C272+M273-W273</f>
        <v/>
      </c>
      <c r="AH273" s="160">
        <f>D272+N273-X273</f>
        <v/>
      </c>
      <c r="AI273" s="160">
        <f>E272+O273-Y273</f>
        <v/>
      </c>
      <c r="AJ273" s="160">
        <f>F272+P273-Z273</f>
        <v/>
      </c>
      <c r="AK273" s="160">
        <f>G272+Q273-AA273</f>
        <v/>
      </c>
      <c r="AL273" s="160">
        <f>H272+R273-AB273</f>
        <v/>
      </c>
      <c r="AM273" s="160">
        <f>I272+S273-AC273</f>
        <v/>
      </c>
      <c r="AN273" s="160">
        <f>J272+T273-AD273</f>
        <v/>
      </c>
      <c r="AO273" s="160">
        <f>K272+U273-AE273</f>
        <v/>
      </c>
      <c r="AP273" s="160">
        <f>L272+V273-AF273</f>
        <v/>
      </c>
      <c r="AQ273" s="160">
        <f>W273+MAX(0,MIN(AG273,'Debt Payoff'!$C$12-SUM($W273:$AF273)-SUMIFS($AG273:$AP273,$AG$4:$AP$4,"&lt;"&amp;AG$4)))</f>
        <v/>
      </c>
      <c r="AR273" s="160">
        <f>X273+MAX(0,MIN(AH273,'Debt Payoff'!$C$12-SUM($W273:$AF273)-SUMIFS($AG273:$AP273,$AG$4:$AP$4,"&lt;"&amp;AH$4)))</f>
        <v/>
      </c>
      <c r="AS273" s="160">
        <f>Y273+MAX(0,MIN(AI273,'Debt Payoff'!$C$12-SUM($W273:$AF273)-SUMIFS($AG273:$AP273,$AG$4:$AP$4,"&lt;"&amp;AI$4)))</f>
        <v/>
      </c>
      <c r="AT273" s="160">
        <f>Z273+MAX(0,MIN(AJ273,'Debt Payoff'!$C$12-SUM($W273:$AF273)-SUMIFS($AG273:$AP273,$AG$4:$AP$4,"&lt;"&amp;AJ$4)))</f>
        <v/>
      </c>
      <c r="AU273" s="160">
        <f>AA273+MAX(0,MIN(AK273,'Debt Payoff'!$C$12-SUM($W273:$AF273)-SUMIFS($AG273:$AP273,$AG$4:$AP$4,"&lt;"&amp;AK$4)))</f>
        <v/>
      </c>
      <c r="AV273" s="160">
        <f>AB273+MAX(0,MIN(AL273,'Debt Payoff'!$C$12-SUM($W273:$AF273)-SUMIFS($AG273:$AP273,$AG$4:$AP$4,"&lt;"&amp;AL$4)))</f>
        <v/>
      </c>
      <c r="AW273" s="160">
        <f>AC273+MAX(0,MIN(AM273,'Debt Payoff'!$C$12-SUM($W273:$AF273)-SUMIFS($AG273:$AP273,$AG$4:$AP$4,"&lt;"&amp;AM$4)))</f>
        <v/>
      </c>
      <c r="AX273" s="160">
        <f>AD273+MAX(0,MIN(AN273,'Debt Payoff'!$C$12-SUM($W273:$AF273)-SUMIFS($AG273:$AP273,$AG$4:$AP$4,"&lt;"&amp;AN$4)))</f>
        <v/>
      </c>
      <c r="AY273" s="160">
        <f>AE273+MAX(0,MIN(AO273,'Debt Payoff'!$C$12-SUM($W273:$AF273)-SUMIFS($AG273:$AP273,$AG$4:$AP$4,"&lt;"&amp;AO$4)))</f>
        <v/>
      </c>
      <c r="AZ273" s="160">
        <f>AF273+MAX(0,MIN(AP273,'Debt Payoff'!$C$12-SUM($W273:$AF273)-SUMIFS($AG273:$AP273,$AG$4:$AP$4,"&lt;"&amp;AP$4)))</f>
        <v/>
      </c>
      <c r="BA273" s="160">
        <f>SUM(C273:L273)</f>
        <v/>
      </c>
      <c r="BB273" s="160">
        <f>SUM(AQ273:AZ273)</f>
        <v/>
      </c>
      <c r="BC273" s="160">
        <f>SUM(M273:V273)</f>
        <v/>
      </c>
    </row>
    <row r="274">
      <c r="A274" s="157" t="n">
        <v>269</v>
      </c>
      <c r="B274" s="159">
        <f>EDATE('Debt Payoff'!$C$6,268)</f>
        <v/>
      </c>
      <c r="C274" s="160">
        <f>MAX(0,ROUND(C273+M274-AQ274,2))</f>
        <v/>
      </c>
      <c r="D274" s="160">
        <f>MAX(0,ROUND(D273+N274-AR274,2))</f>
        <v/>
      </c>
      <c r="E274" s="160">
        <f>MAX(0,ROUND(E273+O274-AS274,2))</f>
        <v/>
      </c>
      <c r="F274" s="160">
        <f>MAX(0,ROUND(F273+P274-AT274,2))</f>
        <v/>
      </c>
      <c r="G274" s="160">
        <f>MAX(0,ROUND(G273+Q274-AU274,2))</f>
        <v/>
      </c>
      <c r="H274" s="160">
        <f>MAX(0,ROUND(H273+R274-AV274,2))</f>
        <v/>
      </c>
      <c r="I274" s="160">
        <f>MAX(0,ROUND(I273+S274-AW274,2))</f>
        <v/>
      </c>
      <c r="J274" s="160">
        <f>MAX(0,ROUND(J273+T274-AX274,2))</f>
        <v/>
      </c>
      <c r="K274" s="160">
        <f>MAX(0,ROUND(K273+U274-AY274,2))</f>
        <v/>
      </c>
      <c r="L274" s="160">
        <f>MAX(0,ROUND(L273+V274-AZ274,2))</f>
        <v/>
      </c>
      <c r="M274" s="160">
        <f>C273*N('Debt Payoff'!$D$15)/12</f>
        <v/>
      </c>
      <c r="N274" s="160">
        <f>D273*N('Debt Payoff'!$D$16)/12</f>
        <v/>
      </c>
      <c r="O274" s="160">
        <f>E273*N('Debt Payoff'!$D$17)/12</f>
        <v/>
      </c>
      <c r="P274" s="160">
        <f>F273*N('Debt Payoff'!$D$18)/12</f>
        <v/>
      </c>
      <c r="Q274" s="160">
        <f>G273*N('Debt Payoff'!$D$19)/12</f>
        <v/>
      </c>
      <c r="R274" s="160">
        <f>H273*N('Debt Payoff'!$D$20)/12</f>
        <v/>
      </c>
      <c r="S274" s="160">
        <f>I273*N('Debt Payoff'!$D$21)/12</f>
        <v/>
      </c>
      <c r="T274" s="160">
        <f>J273*N('Debt Payoff'!$D$22)/12</f>
        <v/>
      </c>
      <c r="U274" s="160">
        <f>K273*N('Debt Payoff'!$D$23)/12</f>
        <v/>
      </c>
      <c r="V274" s="160">
        <f>L273*N('Debt Payoff'!$D$24)/12</f>
        <v/>
      </c>
      <c r="W274" s="160">
        <f>MIN(N('Debt Payoff'!$E$15),C273+M274)</f>
        <v/>
      </c>
      <c r="X274" s="160">
        <f>MIN(N('Debt Payoff'!$E$16),D273+N274)</f>
        <v/>
      </c>
      <c r="Y274" s="160">
        <f>MIN(N('Debt Payoff'!$E$17),E273+O274)</f>
        <v/>
      </c>
      <c r="Z274" s="160">
        <f>MIN(N('Debt Payoff'!$E$18),F273+P274)</f>
        <v/>
      </c>
      <c r="AA274" s="160">
        <f>MIN(N('Debt Payoff'!$E$19),G273+Q274)</f>
        <v/>
      </c>
      <c r="AB274" s="160">
        <f>MIN(N('Debt Payoff'!$E$20),H273+R274)</f>
        <v/>
      </c>
      <c r="AC274" s="160">
        <f>MIN(N('Debt Payoff'!$E$21),I273+S274)</f>
        <v/>
      </c>
      <c r="AD274" s="160">
        <f>MIN(N('Debt Payoff'!$E$22),J273+T274)</f>
        <v/>
      </c>
      <c r="AE274" s="160">
        <f>MIN(N('Debt Payoff'!$E$23),K273+U274)</f>
        <v/>
      </c>
      <c r="AF274" s="160">
        <f>MIN(N('Debt Payoff'!$E$24),L273+V274)</f>
        <v/>
      </c>
      <c r="AG274" s="160">
        <f>C273+M274-W274</f>
        <v/>
      </c>
      <c r="AH274" s="160">
        <f>D273+N274-X274</f>
        <v/>
      </c>
      <c r="AI274" s="160">
        <f>E273+O274-Y274</f>
        <v/>
      </c>
      <c r="AJ274" s="160">
        <f>F273+P274-Z274</f>
        <v/>
      </c>
      <c r="AK274" s="160">
        <f>G273+Q274-AA274</f>
        <v/>
      </c>
      <c r="AL274" s="160">
        <f>H273+R274-AB274</f>
        <v/>
      </c>
      <c r="AM274" s="160">
        <f>I273+S274-AC274</f>
        <v/>
      </c>
      <c r="AN274" s="160">
        <f>J273+T274-AD274</f>
        <v/>
      </c>
      <c r="AO274" s="160">
        <f>K273+U274-AE274</f>
        <v/>
      </c>
      <c r="AP274" s="160">
        <f>L273+V274-AF274</f>
        <v/>
      </c>
      <c r="AQ274" s="160">
        <f>W274+MAX(0,MIN(AG274,'Debt Payoff'!$C$12-SUM($W274:$AF274)-SUMIFS($AG274:$AP274,$AG$4:$AP$4,"&lt;"&amp;AG$4)))</f>
        <v/>
      </c>
      <c r="AR274" s="160">
        <f>X274+MAX(0,MIN(AH274,'Debt Payoff'!$C$12-SUM($W274:$AF274)-SUMIFS($AG274:$AP274,$AG$4:$AP$4,"&lt;"&amp;AH$4)))</f>
        <v/>
      </c>
      <c r="AS274" s="160">
        <f>Y274+MAX(0,MIN(AI274,'Debt Payoff'!$C$12-SUM($W274:$AF274)-SUMIFS($AG274:$AP274,$AG$4:$AP$4,"&lt;"&amp;AI$4)))</f>
        <v/>
      </c>
      <c r="AT274" s="160">
        <f>Z274+MAX(0,MIN(AJ274,'Debt Payoff'!$C$12-SUM($W274:$AF274)-SUMIFS($AG274:$AP274,$AG$4:$AP$4,"&lt;"&amp;AJ$4)))</f>
        <v/>
      </c>
      <c r="AU274" s="160">
        <f>AA274+MAX(0,MIN(AK274,'Debt Payoff'!$C$12-SUM($W274:$AF274)-SUMIFS($AG274:$AP274,$AG$4:$AP$4,"&lt;"&amp;AK$4)))</f>
        <v/>
      </c>
      <c r="AV274" s="160">
        <f>AB274+MAX(0,MIN(AL274,'Debt Payoff'!$C$12-SUM($W274:$AF274)-SUMIFS($AG274:$AP274,$AG$4:$AP$4,"&lt;"&amp;AL$4)))</f>
        <v/>
      </c>
      <c r="AW274" s="160">
        <f>AC274+MAX(0,MIN(AM274,'Debt Payoff'!$C$12-SUM($W274:$AF274)-SUMIFS($AG274:$AP274,$AG$4:$AP$4,"&lt;"&amp;AM$4)))</f>
        <v/>
      </c>
      <c r="AX274" s="160">
        <f>AD274+MAX(0,MIN(AN274,'Debt Payoff'!$C$12-SUM($W274:$AF274)-SUMIFS($AG274:$AP274,$AG$4:$AP$4,"&lt;"&amp;AN$4)))</f>
        <v/>
      </c>
      <c r="AY274" s="160">
        <f>AE274+MAX(0,MIN(AO274,'Debt Payoff'!$C$12-SUM($W274:$AF274)-SUMIFS($AG274:$AP274,$AG$4:$AP$4,"&lt;"&amp;AO$4)))</f>
        <v/>
      </c>
      <c r="AZ274" s="160">
        <f>AF274+MAX(0,MIN(AP274,'Debt Payoff'!$C$12-SUM($W274:$AF274)-SUMIFS($AG274:$AP274,$AG$4:$AP$4,"&lt;"&amp;AP$4)))</f>
        <v/>
      </c>
      <c r="BA274" s="160">
        <f>SUM(C274:L274)</f>
        <v/>
      </c>
      <c r="BB274" s="160">
        <f>SUM(AQ274:AZ274)</f>
        <v/>
      </c>
      <c r="BC274" s="160">
        <f>SUM(M274:V274)</f>
        <v/>
      </c>
    </row>
    <row r="275">
      <c r="A275" s="157" t="n">
        <v>270</v>
      </c>
      <c r="B275" s="159">
        <f>EDATE('Debt Payoff'!$C$6,269)</f>
        <v/>
      </c>
      <c r="C275" s="160">
        <f>MAX(0,ROUND(C274+M275-AQ275,2))</f>
        <v/>
      </c>
      <c r="D275" s="160">
        <f>MAX(0,ROUND(D274+N275-AR275,2))</f>
        <v/>
      </c>
      <c r="E275" s="160">
        <f>MAX(0,ROUND(E274+O275-AS275,2))</f>
        <v/>
      </c>
      <c r="F275" s="160">
        <f>MAX(0,ROUND(F274+P275-AT275,2))</f>
        <v/>
      </c>
      <c r="G275" s="160">
        <f>MAX(0,ROUND(G274+Q275-AU275,2))</f>
        <v/>
      </c>
      <c r="H275" s="160">
        <f>MAX(0,ROUND(H274+R275-AV275,2))</f>
        <v/>
      </c>
      <c r="I275" s="160">
        <f>MAX(0,ROUND(I274+S275-AW275,2))</f>
        <v/>
      </c>
      <c r="J275" s="160">
        <f>MAX(0,ROUND(J274+T275-AX275,2))</f>
        <v/>
      </c>
      <c r="K275" s="160">
        <f>MAX(0,ROUND(K274+U275-AY275,2))</f>
        <v/>
      </c>
      <c r="L275" s="160">
        <f>MAX(0,ROUND(L274+V275-AZ275,2))</f>
        <v/>
      </c>
      <c r="M275" s="160">
        <f>C274*N('Debt Payoff'!$D$15)/12</f>
        <v/>
      </c>
      <c r="N275" s="160">
        <f>D274*N('Debt Payoff'!$D$16)/12</f>
        <v/>
      </c>
      <c r="O275" s="160">
        <f>E274*N('Debt Payoff'!$D$17)/12</f>
        <v/>
      </c>
      <c r="P275" s="160">
        <f>F274*N('Debt Payoff'!$D$18)/12</f>
        <v/>
      </c>
      <c r="Q275" s="160">
        <f>G274*N('Debt Payoff'!$D$19)/12</f>
        <v/>
      </c>
      <c r="R275" s="160">
        <f>H274*N('Debt Payoff'!$D$20)/12</f>
        <v/>
      </c>
      <c r="S275" s="160">
        <f>I274*N('Debt Payoff'!$D$21)/12</f>
        <v/>
      </c>
      <c r="T275" s="160">
        <f>J274*N('Debt Payoff'!$D$22)/12</f>
        <v/>
      </c>
      <c r="U275" s="160">
        <f>K274*N('Debt Payoff'!$D$23)/12</f>
        <v/>
      </c>
      <c r="V275" s="160">
        <f>L274*N('Debt Payoff'!$D$24)/12</f>
        <v/>
      </c>
      <c r="W275" s="160">
        <f>MIN(N('Debt Payoff'!$E$15),C274+M275)</f>
        <v/>
      </c>
      <c r="X275" s="160">
        <f>MIN(N('Debt Payoff'!$E$16),D274+N275)</f>
        <v/>
      </c>
      <c r="Y275" s="160">
        <f>MIN(N('Debt Payoff'!$E$17),E274+O275)</f>
        <v/>
      </c>
      <c r="Z275" s="160">
        <f>MIN(N('Debt Payoff'!$E$18),F274+P275)</f>
        <v/>
      </c>
      <c r="AA275" s="160">
        <f>MIN(N('Debt Payoff'!$E$19),G274+Q275)</f>
        <v/>
      </c>
      <c r="AB275" s="160">
        <f>MIN(N('Debt Payoff'!$E$20),H274+R275)</f>
        <v/>
      </c>
      <c r="AC275" s="160">
        <f>MIN(N('Debt Payoff'!$E$21),I274+S275)</f>
        <v/>
      </c>
      <c r="AD275" s="160">
        <f>MIN(N('Debt Payoff'!$E$22),J274+T275)</f>
        <v/>
      </c>
      <c r="AE275" s="160">
        <f>MIN(N('Debt Payoff'!$E$23),K274+U275)</f>
        <v/>
      </c>
      <c r="AF275" s="160">
        <f>MIN(N('Debt Payoff'!$E$24),L274+V275)</f>
        <v/>
      </c>
      <c r="AG275" s="160">
        <f>C274+M275-W275</f>
        <v/>
      </c>
      <c r="AH275" s="160">
        <f>D274+N275-X275</f>
        <v/>
      </c>
      <c r="AI275" s="160">
        <f>E274+O275-Y275</f>
        <v/>
      </c>
      <c r="AJ275" s="160">
        <f>F274+P275-Z275</f>
        <v/>
      </c>
      <c r="AK275" s="160">
        <f>G274+Q275-AA275</f>
        <v/>
      </c>
      <c r="AL275" s="160">
        <f>H274+R275-AB275</f>
        <v/>
      </c>
      <c r="AM275" s="160">
        <f>I274+S275-AC275</f>
        <v/>
      </c>
      <c r="AN275" s="160">
        <f>J274+T275-AD275</f>
        <v/>
      </c>
      <c r="AO275" s="160">
        <f>K274+U275-AE275</f>
        <v/>
      </c>
      <c r="AP275" s="160">
        <f>L274+V275-AF275</f>
        <v/>
      </c>
      <c r="AQ275" s="160">
        <f>W275+MAX(0,MIN(AG275,'Debt Payoff'!$C$12-SUM($W275:$AF275)-SUMIFS($AG275:$AP275,$AG$4:$AP$4,"&lt;"&amp;AG$4)))</f>
        <v/>
      </c>
      <c r="AR275" s="160">
        <f>X275+MAX(0,MIN(AH275,'Debt Payoff'!$C$12-SUM($W275:$AF275)-SUMIFS($AG275:$AP275,$AG$4:$AP$4,"&lt;"&amp;AH$4)))</f>
        <v/>
      </c>
      <c r="AS275" s="160">
        <f>Y275+MAX(0,MIN(AI275,'Debt Payoff'!$C$12-SUM($W275:$AF275)-SUMIFS($AG275:$AP275,$AG$4:$AP$4,"&lt;"&amp;AI$4)))</f>
        <v/>
      </c>
      <c r="AT275" s="160">
        <f>Z275+MAX(0,MIN(AJ275,'Debt Payoff'!$C$12-SUM($W275:$AF275)-SUMIFS($AG275:$AP275,$AG$4:$AP$4,"&lt;"&amp;AJ$4)))</f>
        <v/>
      </c>
      <c r="AU275" s="160">
        <f>AA275+MAX(0,MIN(AK275,'Debt Payoff'!$C$12-SUM($W275:$AF275)-SUMIFS($AG275:$AP275,$AG$4:$AP$4,"&lt;"&amp;AK$4)))</f>
        <v/>
      </c>
      <c r="AV275" s="160">
        <f>AB275+MAX(0,MIN(AL275,'Debt Payoff'!$C$12-SUM($W275:$AF275)-SUMIFS($AG275:$AP275,$AG$4:$AP$4,"&lt;"&amp;AL$4)))</f>
        <v/>
      </c>
      <c r="AW275" s="160">
        <f>AC275+MAX(0,MIN(AM275,'Debt Payoff'!$C$12-SUM($W275:$AF275)-SUMIFS($AG275:$AP275,$AG$4:$AP$4,"&lt;"&amp;AM$4)))</f>
        <v/>
      </c>
      <c r="AX275" s="160">
        <f>AD275+MAX(0,MIN(AN275,'Debt Payoff'!$C$12-SUM($W275:$AF275)-SUMIFS($AG275:$AP275,$AG$4:$AP$4,"&lt;"&amp;AN$4)))</f>
        <v/>
      </c>
      <c r="AY275" s="160">
        <f>AE275+MAX(0,MIN(AO275,'Debt Payoff'!$C$12-SUM($W275:$AF275)-SUMIFS($AG275:$AP275,$AG$4:$AP$4,"&lt;"&amp;AO$4)))</f>
        <v/>
      </c>
      <c r="AZ275" s="160">
        <f>AF275+MAX(0,MIN(AP275,'Debt Payoff'!$C$12-SUM($W275:$AF275)-SUMIFS($AG275:$AP275,$AG$4:$AP$4,"&lt;"&amp;AP$4)))</f>
        <v/>
      </c>
      <c r="BA275" s="160">
        <f>SUM(C275:L275)</f>
        <v/>
      </c>
      <c r="BB275" s="160">
        <f>SUM(AQ275:AZ275)</f>
        <v/>
      </c>
      <c r="BC275" s="160">
        <f>SUM(M275:V275)</f>
        <v/>
      </c>
    </row>
    <row r="276">
      <c r="A276" s="157" t="n">
        <v>271</v>
      </c>
      <c r="B276" s="159">
        <f>EDATE('Debt Payoff'!$C$6,270)</f>
        <v/>
      </c>
      <c r="C276" s="160">
        <f>MAX(0,ROUND(C275+M276-AQ276,2))</f>
        <v/>
      </c>
      <c r="D276" s="160">
        <f>MAX(0,ROUND(D275+N276-AR276,2))</f>
        <v/>
      </c>
      <c r="E276" s="160">
        <f>MAX(0,ROUND(E275+O276-AS276,2))</f>
        <v/>
      </c>
      <c r="F276" s="160">
        <f>MAX(0,ROUND(F275+P276-AT276,2))</f>
        <v/>
      </c>
      <c r="G276" s="160">
        <f>MAX(0,ROUND(G275+Q276-AU276,2))</f>
        <v/>
      </c>
      <c r="H276" s="160">
        <f>MAX(0,ROUND(H275+R276-AV276,2))</f>
        <v/>
      </c>
      <c r="I276" s="160">
        <f>MAX(0,ROUND(I275+S276-AW276,2))</f>
        <v/>
      </c>
      <c r="J276" s="160">
        <f>MAX(0,ROUND(J275+T276-AX276,2))</f>
        <v/>
      </c>
      <c r="K276" s="160">
        <f>MAX(0,ROUND(K275+U276-AY276,2))</f>
        <v/>
      </c>
      <c r="L276" s="160">
        <f>MAX(0,ROUND(L275+V276-AZ276,2))</f>
        <v/>
      </c>
      <c r="M276" s="160">
        <f>C275*N('Debt Payoff'!$D$15)/12</f>
        <v/>
      </c>
      <c r="N276" s="160">
        <f>D275*N('Debt Payoff'!$D$16)/12</f>
        <v/>
      </c>
      <c r="O276" s="160">
        <f>E275*N('Debt Payoff'!$D$17)/12</f>
        <v/>
      </c>
      <c r="P276" s="160">
        <f>F275*N('Debt Payoff'!$D$18)/12</f>
        <v/>
      </c>
      <c r="Q276" s="160">
        <f>G275*N('Debt Payoff'!$D$19)/12</f>
        <v/>
      </c>
      <c r="R276" s="160">
        <f>H275*N('Debt Payoff'!$D$20)/12</f>
        <v/>
      </c>
      <c r="S276" s="160">
        <f>I275*N('Debt Payoff'!$D$21)/12</f>
        <v/>
      </c>
      <c r="T276" s="160">
        <f>J275*N('Debt Payoff'!$D$22)/12</f>
        <v/>
      </c>
      <c r="U276" s="160">
        <f>K275*N('Debt Payoff'!$D$23)/12</f>
        <v/>
      </c>
      <c r="V276" s="160">
        <f>L275*N('Debt Payoff'!$D$24)/12</f>
        <v/>
      </c>
      <c r="W276" s="160">
        <f>MIN(N('Debt Payoff'!$E$15),C275+M276)</f>
        <v/>
      </c>
      <c r="X276" s="160">
        <f>MIN(N('Debt Payoff'!$E$16),D275+N276)</f>
        <v/>
      </c>
      <c r="Y276" s="160">
        <f>MIN(N('Debt Payoff'!$E$17),E275+O276)</f>
        <v/>
      </c>
      <c r="Z276" s="160">
        <f>MIN(N('Debt Payoff'!$E$18),F275+P276)</f>
        <v/>
      </c>
      <c r="AA276" s="160">
        <f>MIN(N('Debt Payoff'!$E$19),G275+Q276)</f>
        <v/>
      </c>
      <c r="AB276" s="160">
        <f>MIN(N('Debt Payoff'!$E$20),H275+R276)</f>
        <v/>
      </c>
      <c r="AC276" s="160">
        <f>MIN(N('Debt Payoff'!$E$21),I275+S276)</f>
        <v/>
      </c>
      <c r="AD276" s="160">
        <f>MIN(N('Debt Payoff'!$E$22),J275+T276)</f>
        <v/>
      </c>
      <c r="AE276" s="160">
        <f>MIN(N('Debt Payoff'!$E$23),K275+U276)</f>
        <v/>
      </c>
      <c r="AF276" s="160">
        <f>MIN(N('Debt Payoff'!$E$24),L275+V276)</f>
        <v/>
      </c>
      <c r="AG276" s="160">
        <f>C275+M276-W276</f>
        <v/>
      </c>
      <c r="AH276" s="160">
        <f>D275+N276-X276</f>
        <v/>
      </c>
      <c r="AI276" s="160">
        <f>E275+O276-Y276</f>
        <v/>
      </c>
      <c r="AJ276" s="160">
        <f>F275+P276-Z276</f>
        <v/>
      </c>
      <c r="AK276" s="160">
        <f>G275+Q276-AA276</f>
        <v/>
      </c>
      <c r="AL276" s="160">
        <f>H275+R276-AB276</f>
        <v/>
      </c>
      <c r="AM276" s="160">
        <f>I275+S276-AC276</f>
        <v/>
      </c>
      <c r="AN276" s="160">
        <f>J275+T276-AD276</f>
        <v/>
      </c>
      <c r="AO276" s="160">
        <f>K275+U276-AE276</f>
        <v/>
      </c>
      <c r="AP276" s="160">
        <f>L275+V276-AF276</f>
        <v/>
      </c>
      <c r="AQ276" s="160">
        <f>W276+MAX(0,MIN(AG276,'Debt Payoff'!$C$12-SUM($W276:$AF276)-SUMIFS($AG276:$AP276,$AG$4:$AP$4,"&lt;"&amp;AG$4)))</f>
        <v/>
      </c>
      <c r="AR276" s="160">
        <f>X276+MAX(0,MIN(AH276,'Debt Payoff'!$C$12-SUM($W276:$AF276)-SUMIFS($AG276:$AP276,$AG$4:$AP$4,"&lt;"&amp;AH$4)))</f>
        <v/>
      </c>
      <c r="AS276" s="160">
        <f>Y276+MAX(0,MIN(AI276,'Debt Payoff'!$C$12-SUM($W276:$AF276)-SUMIFS($AG276:$AP276,$AG$4:$AP$4,"&lt;"&amp;AI$4)))</f>
        <v/>
      </c>
      <c r="AT276" s="160">
        <f>Z276+MAX(0,MIN(AJ276,'Debt Payoff'!$C$12-SUM($W276:$AF276)-SUMIFS($AG276:$AP276,$AG$4:$AP$4,"&lt;"&amp;AJ$4)))</f>
        <v/>
      </c>
      <c r="AU276" s="160">
        <f>AA276+MAX(0,MIN(AK276,'Debt Payoff'!$C$12-SUM($W276:$AF276)-SUMIFS($AG276:$AP276,$AG$4:$AP$4,"&lt;"&amp;AK$4)))</f>
        <v/>
      </c>
      <c r="AV276" s="160">
        <f>AB276+MAX(0,MIN(AL276,'Debt Payoff'!$C$12-SUM($W276:$AF276)-SUMIFS($AG276:$AP276,$AG$4:$AP$4,"&lt;"&amp;AL$4)))</f>
        <v/>
      </c>
      <c r="AW276" s="160">
        <f>AC276+MAX(0,MIN(AM276,'Debt Payoff'!$C$12-SUM($W276:$AF276)-SUMIFS($AG276:$AP276,$AG$4:$AP$4,"&lt;"&amp;AM$4)))</f>
        <v/>
      </c>
      <c r="AX276" s="160">
        <f>AD276+MAX(0,MIN(AN276,'Debt Payoff'!$C$12-SUM($W276:$AF276)-SUMIFS($AG276:$AP276,$AG$4:$AP$4,"&lt;"&amp;AN$4)))</f>
        <v/>
      </c>
      <c r="AY276" s="160">
        <f>AE276+MAX(0,MIN(AO276,'Debt Payoff'!$C$12-SUM($W276:$AF276)-SUMIFS($AG276:$AP276,$AG$4:$AP$4,"&lt;"&amp;AO$4)))</f>
        <v/>
      </c>
      <c r="AZ276" s="160">
        <f>AF276+MAX(0,MIN(AP276,'Debt Payoff'!$C$12-SUM($W276:$AF276)-SUMIFS($AG276:$AP276,$AG$4:$AP$4,"&lt;"&amp;AP$4)))</f>
        <v/>
      </c>
      <c r="BA276" s="160">
        <f>SUM(C276:L276)</f>
        <v/>
      </c>
      <c r="BB276" s="160">
        <f>SUM(AQ276:AZ276)</f>
        <v/>
      </c>
      <c r="BC276" s="160">
        <f>SUM(M276:V276)</f>
        <v/>
      </c>
    </row>
    <row r="277">
      <c r="A277" s="157" t="n">
        <v>272</v>
      </c>
      <c r="B277" s="159">
        <f>EDATE('Debt Payoff'!$C$6,271)</f>
        <v/>
      </c>
      <c r="C277" s="160">
        <f>MAX(0,ROUND(C276+M277-AQ277,2))</f>
        <v/>
      </c>
      <c r="D277" s="160">
        <f>MAX(0,ROUND(D276+N277-AR277,2))</f>
        <v/>
      </c>
      <c r="E277" s="160">
        <f>MAX(0,ROUND(E276+O277-AS277,2))</f>
        <v/>
      </c>
      <c r="F277" s="160">
        <f>MAX(0,ROUND(F276+P277-AT277,2))</f>
        <v/>
      </c>
      <c r="G277" s="160">
        <f>MAX(0,ROUND(G276+Q277-AU277,2))</f>
        <v/>
      </c>
      <c r="H277" s="160">
        <f>MAX(0,ROUND(H276+R277-AV277,2))</f>
        <v/>
      </c>
      <c r="I277" s="160">
        <f>MAX(0,ROUND(I276+S277-AW277,2))</f>
        <v/>
      </c>
      <c r="J277" s="160">
        <f>MAX(0,ROUND(J276+T277-AX277,2))</f>
        <v/>
      </c>
      <c r="K277" s="160">
        <f>MAX(0,ROUND(K276+U277-AY277,2))</f>
        <v/>
      </c>
      <c r="L277" s="160">
        <f>MAX(0,ROUND(L276+V277-AZ277,2))</f>
        <v/>
      </c>
      <c r="M277" s="160">
        <f>C276*N('Debt Payoff'!$D$15)/12</f>
        <v/>
      </c>
      <c r="N277" s="160">
        <f>D276*N('Debt Payoff'!$D$16)/12</f>
        <v/>
      </c>
      <c r="O277" s="160">
        <f>E276*N('Debt Payoff'!$D$17)/12</f>
        <v/>
      </c>
      <c r="P277" s="160">
        <f>F276*N('Debt Payoff'!$D$18)/12</f>
        <v/>
      </c>
      <c r="Q277" s="160">
        <f>G276*N('Debt Payoff'!$D$19)/12</f>
        <v/>
      </c>
      <c r="R277" s="160">
        <f>H276*N('Debt Payoff'!$D$20)/12</f>
        <v/>
      </c>
      <c r="S277" s="160">
        <f>I276*N('Debt Payoff'!$D$21)/12</f>
        <v/>
      </c>
      <c r="T277" s="160">
        <f>J276*N('Debt Payoff'!$D$22)/12</f>
        <v/>
      </c>
      <c r="U277" s="160">
        <f>K276*N('Debt Payoff'!$D$23)/12</f>
        <v/>
      </c>
      <c r="V277" s="160">
        <f>L276*N('Debt Payoff'!$D$24)/12</f>
        <v/>
      </c>
      <c r="W277" s="160">
        <f>MIN(N('Debt Payoff'!$E$15),C276+M277)</f>
        <v/>
      </c>
      <c r="X277" s="160">
        <f>MIN(N('Debt Payoff'!$E$16),D276+N277)</f>
        <v/>
      </c>
      <c r="Y277" s="160">
        <f>MIN(N('Debt Payoff'!$E$17),E276+O277)</f>
        <v/>
      </c>
      <c r="Z277" s="160">
        <f>MIN(N('Debt Payoff'!$E$18),F276+P277)</f>
        <v/>
      </c>
      <c r="AA277" s="160">
        <f>MIN(N('Debt Payoff'!$E$19),G276+Q277)</f>
        <v/>
      </c>
      <c r="AB277" s="160">
        <f>MIN(N('Debt Payoff'!$E$20),H276+R277)</f>
        <v/>
      </c>
      <c r="AC277" s="160">
        <f>MIN(N('Debt Payoff'!$E$21),I276+S277)</f>
        <v/>
      </c>
      <c r="AD277" s="160">
        <f>MIN(N('Debt Payoff'!$E$22),J276+T277)</f>
        <v/>
      </c>
      <c r="AE277" s="160">
        <f>MIN(N('Debt Payoff'!$E$23),K276+U277)</f>
        <v/>
      </c>
      <c r="AF277" s="160">
        <f>MIN(N('Debt Payoff'!$E$24),L276+V277)</f>
        <v/>
      </c>
      <c r="AG277" s="160">
        <f>C276+M277-W277</f>
        <v/>
      </c>
      <c r="AH277" s="160">
        <f>D276+N277-X277</f>
        <v/>
      </c>
      <c r="AI277" s="160">
        <f>E276+O277-Y277</f>
        <v/>
      </c>
      <c r="AJ277" s="160">
        <f>F276+P277-Z277</f>
        <v/>
      </c>
      <c r="AK277" s="160">
        <f>G276+Q277-AA277</f>
        <v/>
      </c>
      <c r="AL277" s="160">
        <f>H276+R277-AB277</f>
        <v/>
      </c>
      <c r="AM277" s="160">
        <f>I276+S277-AC277</f>
        <v/>
      </c>
      <c r="AN277" s="160">
        <f>J276+T277-AD277</f>
        <v/>
      </c>
      <c r="AO277" s="160">
        <f>K276+U277-AE277</f>
        <v/>
      </c>
      <c r="AP277" s="160">
        <f>L276+V277-AF277</f>
        <v/>
      </c>
      <c r="AQ277" s="160">
        <f>W277+MAX(0,MIN(AG277,'Debt Payoff'!$C$12-SUM($W277:$AF277)-SUMIFS($AG277:$AP277,$AG$4:$AP$4,"&lt;"&amp;AG$4)))</f>
        <v/>
      </c>
      <c r="AR277" s="160">
        <f>X277+MAX(0,MIN(AH277,'Debt Payoff'!$C$12-SUM($W277:$AF277)-SUMIFS($AG277:$AP277,$AG$4:$AP$4,"&lt;"&amp;AH$4)))</f>
        <v/>
      </c>
      <c r="AS277" s="160">
        <f>Y277+MAX(0,MIN(AI277,'Debt Payoff'!$C$12-SUM($W277:$AF277)-SUMIFS($AG277:$AP277,$AG$4:$AP$4,"&lt;"&amp;AI$4)))</f>
        <v/>
      </c>
      <c r="AT277" s="160">
        <f>Z277+MAX(0,MIN(AJ277,'Debt Payoff'!$C$12-SUM($W277:$AF277)-SUMIFS($AG277:$AP277,$AG$4:$AP$4,"&lt;"&amp;AJ$4)))</f>
        <v/>
      </c>
      <c r="AU277" s="160">
        <f>AA277+MAX(0,MIN(AK277,'Debt Payoff'!$C$12-SUM($W277:$AF277)-SUMIFS($AG277:$AP277,$AG$4:$AP$4,"&lt;"&amp;AK$4)))</f>
        <v/>
      </c>
      <c r="AV277" s="160">
        <f>AB277+MAX(0,MIN(AL277,'Debt Payoff'!$C$12-SUM($W277:$AF277)-SUMIFS($AG277:$AP277,$AG$4:$AP$4,"&lt;"&amp;AL$4)))</f>
        <v/>
      </c>
      <c r="AW277" s="160">
        <f>AC277+MAX(0,MIN(AM277,'Debt Payoff'!$C$12-SUM($W277:$AF277)-SUMIFS($AG277:$AP277,$AG$4:$AP$4,"&lt;"&amp;AM$4)))</f>
        <v/>
      </c>
      <c r="AX277" s="160">
        <f>AD277+MAX(0,MIN(AN277,'Debt Payoff'!$C$12-SUM($W277:$AF277)-SUMIFS($AG277:$AP277,$AG$4:$AP$4,"&lt;"&amp;AN$4)))</f>
        <v/>
      </c>
      <c r="AY277" s="160">
        <f>AE277+MAX(0,MIN(AO277,'Debt Payoff'!$C$12-SUM($W277:$AF277)-SUMIFS($AG277:$AP277,$AG$4:$AP$4,"&lt;"&amp;AO$4)))</f>
        <v/>
      </c>
      <c r="AZ277" s="160">
        <f>AF277+MAX(0,MIN(AP277,'Debt Payoff'!$C$12-SUM($W277:$AF277)-SUMIFS($AG277:$AP277,$AG$4:$AP$4,"&lt;"&amp;AP$4)))</f>
        <v/>
      </c>
      <c r="BA277" s="160">
        <f>SUM(C277:L277)</f>
        <v/>
      </c>
      <c r="BB277" s="160">
        <f>SUM(AQ277:AZ277)</f>
        <v/>
      </c>
      <c r="BC277" s="160">
        <f>SUM(M277:V277)</f>
        <v/>
      </c>
    </row>
    <row r="278">
      <c r="A278" s="157" t="n">
        <v>273</v>
      </c>
      <c r="B278" s="159">
        <f>EDATE('Debt Payoff'!$C$6,272)</f>
        <v/>
      </c>
      <c r="C278" s="160">
        <f>MAX(0,ROUND(C277+M278-AQ278,2))</f>
        <v/>
      </c>
      <c r="D278" s="160">
        <f>MAX(0,ROUND(D277+N278-AR278,2))</f>
        <v/>
      </c>
      <c r="E278" s="160">
        <f>MAX(0,ROUND(E277+O278-AS278,2))</f>
        <v/>
      </c>
      <c r="F278" s="160">
        <f>MAX(0,ROUND(F277+P278-AT278,2))</f>
        <v/>
      </c>
      <c r="G278" s="160">
        <f>MAX(0,ROUND(G277+Q278-AU278,2))</f>
        <v/>
      </c>
      <c r="H278" s="160">
        <f>MAX(0,ROUND(H277+R278-AV278,2))</f>
        <v/>
      </c>
      <c r="I278" s="160">
        <f>MAX(0,ROUND(I277+S278-AW278,2))</f>
        <v/>
      </c>
      <c r="J278" s="160">
        <f>MAX(0,ROUND(J277+T278-AX278,2))</f>
        <v/>
      </c>
      <c r="K278" s="160">
        <f>MAX(0,ROUND(K277+U278-AY278,2))</f>
        <v/>
      </c>
      <c r="L278" s="160">
        <f>MAX(0,ROUND(L277+V278-AZ278,2))</f>
        <v/>
      </c>
      <c r="M278" s="160">
        <f>C277*N('Debt Payoff'!$D$15)/12</f>
        <v/>
      </c>
      <c r="N278" s="160">
        <f>D277*N('Debt Payoff'!$D$16)/12</f>
        <v/>
      </c>
      <c r="O278" s="160">
        <f>E277*N('Debt Payoff'!$D$17)/12</f>
        <v/>
      </c>
      <c r="P278" s="160">
        <f>F277*N('Debt Payoff'!$D$18)/12</f>
        <v/>
      </c>
      <c r="Q278" s="160">
        <f>G277*N('Debt Payoff'!$D$19)/12</f>
        <v/>
      </c>
      <c r="R278" s="160">
        <f>H277*N('Debt Payoff'!$D$20)/12</f>
        <v/>
      </c>
      <c r="S278" s="160">
        <f>I277*N('Debt Payoff'!$D$21)/12</f>
        <v/>
      </c>
      <c r="T278" s="160">
        <f>J277*N('Debt Payoff'!$D$22)/12</f>
        <v/>
      </c>
      <c r="U278" s="160">
        <f>K277*N('Debt Payoff'!$D$23)/12</f>
        <v/>
      </c>
      <c r="V278" s="160">
        <f>L277*N('Debt Payoff'!$D$24)/12</f>
        <v/>
      </c>
      <c r="W278" s="160">
        <f>MIN(N('Debt Payoff'!$E$15),C277+M278)</f>
        <v/>
      </c>
      <c r="X278" s="160">
        <f>MIN(N('Debt Payoff'!$E$16),D277+N278)</f>
        <v/>
      </c>
      <c r="Y278" s="160">
        <f>MIN(N('Debt Payoff'!$E$17),E277+O278)</f>
        <v/>
      </c>
      <c r="Z278" s="160">
        <f>MIN(N('Debt Payoff'!$E$18),F277+P278)</f>
        <v/>
      </c>
      <c r="AA278" s="160">
        <f>MIN(N('Debt Payoff'!$E$19),G277+Q278)</f>
        <v/>
      </c>
      <c r="AB278" s="160">
        <f>MIN(N('Debt Payoff'!$E$20),H277+R278)</f>
        <v/>
      </c>
      <c r="AC278" s="160">
        <f>MIN(N('Debt Payoff'!$E$21),I277+S278)</f>
        <v/>
      </c>
      <c r="AD278" s="160">
        <f>MIN(N('Debt Payoff'!$E$22),J277+T278)</f>
        <v/>
      </c>
      <c r="AE278" s="160">
        <f>MIN(N('Debt Payoff'!$E$23),K277+U278)</f>
        <v/>
      </c>
      <c r="AF278" s="160">
        <f>MIN(N('Debt Payoff'!$E$24),L277+V278)</f>
        <v/>
      </c>
      <c r="AG278" s="160">
        <f>C277+M278-W278</f>
        <v/>
      </c>
      <c r="AH278" s="160">
        <f>D277+N278-X278</f>
        <v/>
      </c>
      <c r="AI278" s="160">
        <f>E277+O278-Y278</f>
        <v/>
      </c>
      <c r="AJ278" s="160">
        <f>F277+P278-Z278</f>
        <v/>
      </c>
      <c r="AK278" s="160">
        <f>G277+Q278-AA278</f>
        <v/>
      </c>
      <c r="AL278" s="160">
        <f>H277+R278-AB278</f>
        <v/>
      </c>
      <c r="AM278" s="160">
        <f>I277+S278-AC278</f>
        <v/>
      </c>
      <c r="AN278" s="160">
        <f>J277+T278-AD278</f>
        <v/>
      </c>
      <c r="AO278" s="160">
        <f>K277+U278-AE278</f>
        <v/>
      </c>
      <c r="AP278" s="160">
        <f>L277+V278-AF278</f>
        <v/>
      </c>
      <c r="AQ278" s="160">
        <f>W278+MAX(0,MIN(AG278,'Debt Payoff'!$C$12-SUM($W278:$AF278)-SUMIFS($AG278:$AP278,$AG$4:$AP$4,"&lt;"&amp;AG$4)))</f>
        <v/>
      </c>
      <c r="AR278" s="160">
        <f>X278+MAX(0,MIN(AH278,'Debt Payoff'!$C$12-SUM($W278:$AF278)-SUMIFS($AG278:$AP278,$AG$4:$AP$4,"&lt;"&amp;AH$4)))</f>
        <v/>
      </c>
      <c r="AS278" s="160">
        <f>Y278+MAX(0,MIN(AI278,'Debt Payoff'!$C$12-SUM($W278:$AF278)-SUMIFS($AG278:$AP278,$AG$4:$AP$4,"&lt;"&amp;AI$4)))</f>
        <v/>
      </c>
      <c r="AT278" s="160">
        <f>Z278+MAX(0,MIN(AJ278,'Debt Payoff'!$C$12-SUM($W278:$AF278)-SUMIFS($AG278:$AP278,$AG$4:$AP$4,"&lt;"&amp;AJ$4)))</f>
        <v/>
      </c>
      <c r="AU278" s="160">
        <f>AA278+MAX(0,MIN(AK278,'Debt Payoff'!$C$12-SUM($W278:$AF278)-SUMIFS($AG278:$AP278,$AG$4:$AP$4,"&lt;"&amp;AK$4)))</f>
        <v/>
      </c>
      <c r="AV278" s="160">
        <f>AB278+MAX(0,MIN(AL278,'Debt Payoff'!$C$12-SUM($W278:$AF278)-SUMIFS($AG278:$AP278,$AG$4:$AP$4,"&lt;"&amp;AL$4)))</f>
        <v/>
      </c>
      <c r="AW278" s="160">
        <f>AC278+MAX(0,MIN(AM278,'Debt Payoff'!$C$12-SUM($W278:$AF278)-SUMIFS($AG278:$AP278,$AG$4:$AP$4,"&lt;"&amp;AM$4)))</f>
        <v/>
      </c>
      <c r="AX278" s="160">
        <f>AD278+MAX(0,MIN(AN278,'Debt Payoff'!$C$12-SUM($W278:$AF278)-SUMIFS($AG278:$AP278,$AG$4:$AP$4,"&lt;"&amp;AN$4)))</f>
        <v/>
      </c>
      <c r="AY278" s="160">
        <f>AE278+MAX(0,MIN(AO278,'Debt Payoff'!$C$12-SUM($W278:$AF278)-SUMIFS($AG278:$AP278,$AG$4:$AP$4,"&lt;"&amp;AO$4)))</f>
        <v/>
      </c>
      <c r="AZ278" s="160">
        <f>AF278+MAX(0,MIN(AP278,'Debt Payoff'!$C$12-SUM($W278:$AF278)-SUMIFS($AG278:$AP278,$AG$4:$AP$4,"&lt;"&amp;AP$4)))</f>
        <v/>
      </c>
      <c r="BA278" s="160">
        <f>SUM(C278:L278)</f>
        <v/>
      </c>
      <c r="BB278" s="160">
        <f>SUM(AQ278:AZ278)</f>
        <v/>
      </c>
      <c r="BC278" s="160">
        <f>SUM(M278:V278)</f>
        <v/>
      </c>
    </row>
    <row r="279">
      <c r="A279" s="157" t="n">
        <v>274</v>
      </c>
      <c r="B279" s="159">
        <f>EDATE('Debt Payoff'!$C$6,273)</f>
        <v/>
      </c>
      <c r="C279" s="160">
        <f>MAX(0,ROUND(C278+M279-AQ279,2))</f>
        <v/>
      </c>
      <c r="D279" s="160">
        <f>MAX(0,ROUND(D278+N279-AR279,2))</f>
        <v/>
      </c>
      <c r="E279" s="160">
        <f>MAX(0,ROUND(E278+O279-AS279,2))</f>
        <v/>
      </c>
      <c r="F279" s="160">
        <f>MAX(0,ROUND(F278+P279-AT279,2))</f>
        <v/>
      </c>
      <c r="G279" s="160">
        <f>MAX(0,ROUND(G278+Q279-AU279,2))</f>
        <v/>
      </c>
      <c r="H279" s="160">
        <f>MAX(0,ROUND(H278+R279-AV279,2))</f>
        <v/>
      </c>
      <c r="I279" s="160">
        <f>MAX(0,ROUND(I278+S279-AW279,2))</f>
        <v/>
      </c>
      <c r="J279" s="160">
        <f>MAX(0,ROUND(J278+T279-AX279,2))</f>
        <v/>
      </c>
      <c r="K279" s="160">
        <f>MAX(0,ROUND(K278+U279-AY279,2))</f>
        <v/>
      </c>
      <c r="L279" s="160">
        <f>MAX(0,ROUND(L278+V279-AZ279,2))</f>
        <v/>
      </c>
      <c r="M279" s="160">
        <f>C278*N('Debt Payoff'!$D$15)/12</f>
        <v/>
      </c>
      <c r="N279" s="160">
        <f>D278*N('Debt Payoff'!$D$16)/12</f>
        <v/>
      </c>
      <c r="O279" s="160">
        <f>E278*N('Debt Payoff'!$D$17)/12</f>
        <v/>
      </c>
      <c r="P279" s="160">
        <f>F278*N('Debt Payoff'!$D$18)/12</f>
        <v/>
      </c>
      <c r="Q279" s="160">
        <f>G278*N('Debt Payoff'!$D$19)/12</f>
        <v/>
      </c>
      <c r="R279" s="160">
        <f>H278*N('Debt Payoff'!$D$20)/12</f>
        <v/>
      </c>
      <c r="S279" s="160">
        <f>I278*N('Debt Payoff'!$D$21)/12</f>
        <v/>
      </c>
      <c r="T279" s="160">
        <f>J278*N('Debt Payoff'!$D$22)/12</f>
        <v/>
      </c>
      <c r="U279" s="160">
        <f>K278*N('Debt Payoff'!$D$23)/12</f>
        <v/>
      </c>
      <c r="V279" s="160">
        <f>L278*N('Debt Payoff'!$D$24)/12</f>
        <v/>
      </c>
      <c r="W279" s="160">
        <f>MIN(N('Debt Payoff'!$E$15),C278+M279)</f>
        <v/>
      </c>
      <c r="X279" s="160">
        <f>MIN(N('Debt Payoff'!$E$16),D278+N279)</f>
        <v/>
      </c>
      <c r="Y279" s="160">
        <f>MIN(N('Debt Payoff'!$E$17),E278+O279)</f>
        <v/>
      </c>
      <c r="Z279" s="160">
        <f>MIN(N('Debt Payoff'!$E$18),F278+P279)</f>
        <v/>
      </c>
      <c r="AA279" s="160">
        <f>MIN(N('Debt Payoff'!$E$19),G278+Q279)</f>
        <v/>
      </c>
      <c r="AB279" s="160">
        <f>MIN(N('Debt Payoff'!$E$20),H278+R279)</f>
        <v/>
      </c>
      <c r="AC279" s="160">
        <f>MIN(N('Debt Payoff'!$E$21),I278+S279)</f>
        <v/>
      </c>
      <c r="AD279" s="160">
        <f>MIN(N('Debt Payoff'!$E$22),J278+T279)</f>
        <v/>
      </c>
      <c r="AE279" s="160">
        <f>MIN(N('Debt Payoff'!$E$23),K278+U279)</f>
        <v/>
      </c>
      <c r="AF279" s="160">
        <f>MIN(N('Debt Payoff'!$E$24),L278+V279)</f>
        <v/>
      </c>
      <c r="AG279" s="160">
        <f>C278+M279-W279</f>
        <v/>
      </c>
      <c r="AH279" s="160">
        <f>D278+N279-X279</f>
        <v/>
      </c>
      <c r="AI279" s="160">
        <f>E278+O279-Y279</f>
        <v/>
      </c>
      <c r="AJ279" s="160">
        <f>F278+P279-Z279</f>
        <v/>
      </c>
      <c r="AK279" s="160">
        <f>G278+Q279-AA279</f>
        <v/>
      </c>
      <c r="AL279" s="160">
        <f>H278+R279-AB279</f>
        <v/>
      </c>
      <c r="AM279" s="160">
        <f>I278+S279-AC279</f>
        <v/>
      </c>
      <c r="AN279" s="160">
        <f>J278+T279-AD279</f>
        <v/>
      </c>
      <c r="AO279" s="160">
        <f>K278+U279-AE279</f>
        <v/>
      </c>
      <c r="AP279" s="160">
        <f>L278+V279-AF279</f>
        <v/>
      </c>
      <c r="AQ279" s="160">
        <f>W279+MAX(0,MIN(AG279,'Debt Payoff'!$C$12-SUM($W279:$AF279)-SUMIFS($AG279:$AP279,$AG$4:$AP$4,"&lt;"&amp;AG$4)))</f>
        <v/>
      </c>
      <c r="AR279" s="160">
        <f>X279+MAX(0,MIN(AH279,'Debt Payoff'!$C$12-SUM($W279:$AF279)-SUMIFS($AG279:$AP279,$AG$4:$AP$4,"&lt;"&amp;AH$4)))</f>
        <v/>
      </c>
      <c r="AS279" s="160">
        <f>Y279+MAX(0,MIN(AI279,'Debt Payoff'!$C$12-SUM($W279:$AF279)-SUMIFS($AG279:$AP279,$AG$4:$AP$4,"&lt;"&amp;AI$4)))</f>
        <v/>
      </c>
      <c r="AT279" s="160">
        <f>Z279+MAX(0,MIN(AJ279,'Debt Payoff'!$C$12-SUM($W279:$AF279)-SUMIFS($AG279:$AP279,$AG$4:$AP$4,"&lt;"&amp;AJ$4)))</f>
        <v/>
      </c>
      <c r="AU279" s="160">
        <f>AA279+MAX(0,MIN(AK279,'Debt Payoff'!$C$12-SUM($W279:$AF279)-SUMIFS($AG279:$AP279,$AG$4:$AP$4,"&lt;"&amp;AK$4)))</f>
        <v/>
      </c>
      <c r="AV279" s="160">
        <f>AB279+MAX(0,MIN(AL279,'Debt Payoff'!$C$12-SUM($W279:$AF279)-SUMIFS($AG279:$AP279,$AG$4:$AP$4,"&lt;"&amp;AL$4)))</f>
        <v/>
      </c>
      <c r="AW279" s="160">
        <f>AC279+MAX(0,MIN(AM279,'Debt Payoff'!$C$12-SUM($W279:$AF279)-SUMIFS($AG279:$AP279,$AG$4:$AP$4,"&lt;"&amp;AM$4)))</f>
        <v/>
      </c>
      <c r="AX279" s="160">
        <f>AD279+MAX(0,MIN(AN279,'Debt Payoff'!$C$12-SUM($W279:$AF279)-SUMIFS($AG279:$AP279,$AG$4:$AP$4,"&lt;"&amp;AN$4)))</f>
        <v/>
      </c>
      <c r="AY279" s="160">
        <f>AE279+MAX(0,MIN(AO279,'Debt Payoff'!$C$12-SUM($W279:$AF279)-SUMIFS($AG279:$AP279,$AG$4:$AP$4,"&lt;"&amp;AO$4)))</f>
        <v/>
      </c>
      <c r="AZ279" s="160">
        <f>AF279+MAX(0,MIN(AP279,'Debt Payoff'!$C$12-SUM($W279:$AF279)-SUMIFS($AG279:$AP279,$AG$4:$AP$4,"&lt;"&amp;AP$4)))</f>
        <v/>
      </c>
      <c r="BA279" s="160">
        <f>SUM(C279:L279)</f>
        <v/>
      </c>
      <c r="BB279" s="160">
        <f>SUM(AQ279:AZ279)</f>
        <v/>
      </c>
      <c r="BC279" s="160">
        <f>SUM(M279:V279)</f>
        <v/>
      </c>
    </row>
    <row r="280">
      <c r="A280" s="157" t="n">
        <v>275</v>
      </c>
      <c r="B280" s="159">
        <f>EDATE('Debt Payoff'!$C$6,274)</f>
        <v/>
      </c>
      <c r="C280" s="160">
        <f>MAX(0,ROUND(C279+M280-AQ280,2))</f>
        <v/>
      </c>
      <c r="D280" s="160">
        <f>MAX(0,ROUND(D279+N280-AR280,2))</f>
        <v/>
      </c>
      <c r="E280" s="160">
        <f>MAX(0,ROUND(E279+O280-AS280,2))</f>
        <v/>
      </c>
      <c r="F280" s="160">
        <f>MAX(0,ROUND(F279+P280-AT280,2))</f>
        <v/>
      </c>
      <c r="G280" s="160">
        <f>MAX(0,ROUND(G279+Q280-AU280,2))</f>
        <v/>
      </c>
      <c r="H280" s="160">
        <f>MAX(0,ROUND(H279+R280-AV280,2))</f>
        <v/>
      </c>
      <c r="I280" s="160">
        <f>MAX(0,ROUND(I279+S280-AW280,2))</f>
        <v/>
      </c>
      <c r="J280" s="160">
        <f>MAX(0,ROUND(J279+T280-AX280,2))</f>
        <v/>
      </c>
      <c r="K280" s="160">
        <f>MAX(0,ROUND(K279+U280-AY280,2))</f>
        <v/>
      </c>
      <c r="L280" s="160">
        <f>MAX(0,ROUND(L279+V280-AZ280,2))</f>
        <v/>
      </c>
      <c r="M280" s="160">
        <f>C279*N('Debt Payoff'!$D$15)/12</f>
        <v/>
      </c>
      <c r="N280" s="160">
        <f>D279*N('Debt Payoff'!$D$16)/12</f>
        <v/>
      </c>
      <c r="O280" s="160">
        <f>E279*N('Debt Payoff'!$D$17)/12</f>
        <v/>
      </c>
      <c r="P280" s="160">
        <f>F279*N('Debt Payoff'!$D$18)/12</f>
        <v/>
      </c>
      <c r="Q280" s="160">
        <f>G279*N('Debt Payoff'!$D$19)/12</f>
        <v/>
      </c>
      <c r="R280" s="160">
        <f>H279*N('Debt Payoff'!$D$20)/12</f>
        <v/>
      </c>
      <c r="S280" s="160">
        <f>I279*N('Debt Payoff'!$D$21)/12</f>
        <v/>
      </c>
      <c r="T280" s="160">
        <f>J279*N('Debt Payoff'!$D$22)/12</f>
        <v/>
      </c>
      <c r="U280" s="160">
        <f>K279*N('Debt Payoff'!$D$23)/12</f>
        <v/>
      </c>
      <c r="V280" s="160">
        <f>L279*N('Debt Payoff'!$D$24)/12</f>
        <v/>
      </c>
      <c r="W280" s="160">
        <f>MIN(N('Debt Payoff'!$E$15),C279+M280)</f>
        <v/>
      </c>
      <c r="X280" s="160">
        <f>MIN(N('Debt Payoff'!$E$16),D279+N280)</f>
        <v/>
      </c>
      <c r="Y280" s="160">
        <f>MIN(N('Debt Payoff'!$E$17),E279+O280)</f>
        <v/>
      </c>
      <c r="Z280" s="160">
        <f>MIN(N('Debt Payoff'!$E$18),F279+P280)</f>
        <v/>
      </c>
      <c r="AA280" s="160">
        <f>MIN(N('Debt Payoff'!$E$19),G279+Q280)</f>
        <v/>
      </c>
      <c r="AB280" s="160">
        <f>MIN(N('Debt Payoff'!$E$20),H279+R280)</f>
        <v/>
      </c>
      <c r="AC280" s="160">
        <f>MIN(N('Debt Payoff'!$E$21),I279+S280)</f>
        <v/>
      </c>
      <c r="AD280" s="160">
        <f>MIN(N('Debt Payoff'!$E$22),J279+T280)</f>
        <v/>
      </c>
      <c r="AE280" s="160">
        <f>MIN(N('Debt Payoff'!$E$23),K279+U280)</f>
        <v/>
      </c>
      <c r="AF280" s="160">
        <f>MIN(N('Debt Payoff'!$E$24),L279+V280)</f>
        <v/>
      </c>
      <c r="AG280" s="160">
        <f>C279+M280-W280</f>
        <v/>
      </c>
      <c r="AH280" s="160">
        <f>D279+N280-X280</f>
        <v/>
      </c>
      <c r="AI280" s="160">
        <f>E279+O280-Y280</f>
        <v/>
      </c>
      <c r="AJ280" s="160">
        <f>F279+P280-Z280</f>
        <v/>
      </c>
      <c r="AK280" s="160">
        <f>G279+Q280-AA280</f>
        <v/>
      </c>
      <c r="AL280" s="160">
        <f>H279+R280-AB280</f>
        <v/>
      </c>
      <c r="AM280" s="160">
        <f>I279+S280-AC280</f>
        <v/>
      </c>
      <c r="AN280" s="160">
        <f>J279+T280-AD280</f>
        <v/>
      </c>
      <c r="AO280" s="160">
        <f>K279+U280-AE280</f>
        <v/>
      </c>
      <c r="AP280" s="160">
        <f>L279+V280-AF280</f>
        <v/>
      </c>
      <c r="AQ280" s="160">
        <f>W280+MAX(0,MIN(AG280,'Debt Payoff'!$C$12-SUM($W280:$AF280)-SUMIFS($AG280:$AP280,$AG$4:$AP$4,"&lt;"&amp;AG$4)))</f>
        <v/>
      </c>
      <c r="AR280" s="160">
        <f>X280+MAX(0,MIN(AH280,'Debt Payoff'!$C$12-SUM($W280:$AF280)-SUMIFS($AG280:$AP280,$AG$4:$AP$4,"&lt;"&amp;AH$4)))</f>
        <v/>
      </c>
      <c r="AS280" s="160">
        <f>Y280+MAX(0,MIN(AI280,'Debt Payoff'!$C$12-SUM($W280:$AF280)-SUMIFS($AG280:$AP280,$AG$4:$AP$4,"&lt;"&amp;AI$4)))</f>
        <v/>
      </c>
      <c r="AT280" s="160">
        <f>Z280+MAX(0,MIN(AJ280,'Debt Payoff'!$C$12-SUM($W280:$AF280)-SUMIFS($AG280:$AP280,$AG$4:$AP$4,"&lt;"&amp;AJ$4)))</f>
        <v/>
      </c>
      <c r="AU280" s="160">
        <f>AA280+MAX(0,MIN(AK280,'Debt Payoff'!$C$12-SUM($W280:$AF280)-SUMIFS($AG280:$AP280,$AG$4:$AP$4,"&lt;"&amp;AK$4)))</f>
        <v/>
      </c>
      <c r="AV280" s="160">
        <f>AB280+MAX(0,MIN(AL280,'Debt Payoff'!$C$12-SUM($W280:$AF280)-SUMIFS($AG280:$AP280,$AG$4:$AP$4,"&lt;"&amp;AL$4)))</f>
        <v/>
      </c>
      <c r="AW280" s="160">
        <f>AC280+MAX(0,MIN(AM280,'Debt Payoff'!$C$12-SUM($W280:$AF280)-SUMIFS($AG280:$AP280,$AG$4:$AP$4,"&lt;"&amp;AM$4)))</f>
        <v/>
      </c>
      <c r="AX280" s="160">
        <f>AD280+MAX(0,MIN(AN280,'Debt Payoff'!$C$12-SUM($W280:$AF280)-SUMIFS($AG280:$AP280,$AG$4:$AP$4,"&lt;"&amp;AN$4)))</f>
        <v/>
      </c>
      <c r="AY280" s="160">
        <f>AE280+MAX(0,MIN(AO280,'Debt Payoff'!$C$12-SUM($W280:$AF280)-SUMIFS($AG280:$AP280,$AG$4:$AP$4,"&lt;"&amp;AO$4)))</f>
        <v/>
      </c>
      <c r="AZ280" s="160">
        <f>AF280+MAX(0,MIN(AP280,'Debt Payoff'!$C$12-SUM($W280:$AF280)-SUMIFS($AG280:$AP280,$AG$4:$AP$4,"&lt;"&amp;AP$4)))</f>
        <v/>
      </c>
      <c r="BA280" s="160">
        <f>SUM(C280:L280)</f>
        <v/>
      </c>
      <c r="BB280" s="160">
        <f>SUM(AQ280:AZ280)</f>
        <v/>
      </c>
      <c r="BC280" s="160">
        <f>SUM(M280:V280)</f>
        <v/>
      </c>
    </row>
    <row r="281">
      <c r="A281" s="157" t="n">
        <v>276</v>
      </c>
      <c r="B281" s="159">
        <f>EDATE('Debt Payoff'!$C$6,275)</f>
        <v/>
      </c>
      <c r="C281" s="160">
        <f>MAX(0,ROUND(C280+M281-AQ281,2))</f>
        <v/>
      </c>
      <c r="D281" s="160">
        <f>MAX(0,ROUND(D280+N281-AR281,2))</f>
        <v/>
      </c>
      <c r="E281" s="160">
        <f>MAX(0,ROUND(E280+O281-AS281,2))</f>
        <v/>
      </c>
      <c r="F281" s="160">
        <f>MAX(0,ROUND(F280+P281-AT281,2))</f>
        <v/>
      </c>
      <c r="G281" s="160">
        <f>MAX(0,ROUND(G280+Q281-AU281,2))</f>
        <v/>
      </c>
      <c r="H281" s="160">
        <f>MAX(0,ROUND(H280+R281-AV281,2))</f>
        <v/>
      </c>
      <c r="I281" s="160">
        <f>MAX(0,ROUND(I280+S281-AW281,2))</f>
        <v/>
      </c>
      <c r="J281" s="160">
        <f>MAX(0,ROUND(J280+T281-AX281,2))</f>
        <v/>
      </c>
      <c r="K281" s="160">
        <f>MAX(0,ROUND(K280+U281-AY281,2))</f>
        <v/>
      </c>
      <c r="L281" s="160">
        <f>MAX(0,ROUND(L280+V281-AZ281,2))</f>
        <v/>
      </c>
      <c r="M281" s="160">
        <f>C280*N('Debt Payoff'!$D$15)/12</f>
        <v/>
      </c>
      <c r="N281" s="160">
        <f>D280*N('Debt Payoff'!$D$16)/12</f>
        <v/>
      </c>
      <c r="O281" s="160">
        <f>E280*N('Debt Payoff'!$D$17)/12</f>
        <v/>
      </c>
      <c r="P281" s="160">
        <f>F280*N('Debt Payoff'!$D$18)/12</f>
        <v/>
      </c>
      <c r="Q281" s="160">
        <f>G280*N('Debt Payoff'!$D$19)/12</f>
        <v/>
      </c>
      <c r="R281" s="160">
        <f>H280*N('Debt Payoff'!$D$20)/12</f>
        <v/>
      </c>
      <c r="S281" s="160">
        <f>I280*N('Debt Payoff'!$D$21)/12</f>
        <v/>
      </c>
      <c r="T281" s="160">
        <f>J280*N('Debt Payoff'!$D$22)/12</f>
        <v/>
      </c>
      <c r="U281" s="160">
        <f>K280*N('Debt Payoff'!$D$23)/12</f>
        <v/>
      </c>
      <c r="V281" s="160">
        <f>L280*N('Debt Payoff'!$D$24)/12</f>
        <v/>
      </c>
      <c r="W281" s="160">
        <f>MIN(N('Debt Payoff'!$E$15),C280+M281)</f>
        <v/>
      </c>
      <c r="X281" s="160">
        <f>MIN(N('Debt Payoff'!$E$16),D280+N281)</f>
        <v/>
      </c>
      <c r="Y281" s="160">
        <f>MIN(N('Debt Payoff'!$E$17),E280+O281)</f>
        <v/>
      </c>
      <c r="Z281" s="160">
        <f>MIN(N('Debt Payoff'!$E$18),F280+P281)</f>
        <v/>
      </c>
      <c r="AA281" s="160">
        <f>MIN(N('Debt Payoff'!$E$19),G280+Q281)</f>
        <v/>
      </c>
      <c r="AB281" s="160">
        <f>MIN(N('Debt Payoff'!$E$20),H280+R281)</f>
        <v/>
      </c>
      <c r="AC281" s="160">
        <f>MIN(N('Debt Payoff'!$E$21),I280+S281)</f>
        <v/>
      </c>
      <c r="AD281" s="160">
        <f>MIN(N('Debt Payoff'!$E$22),J280+T281)</f>
        <v/>
      </c>
      <c r="AE281" s="160">
        <f>MIN(N('Debt Payoff'!$E$23),K280+U281)</f>
        <v/>
      </c>
      <c r="AF281" s="160">
        <f>MIN(N('Debt Payoff'!$E$24),L280+V281)</f>
        <v/>
      </c>
      <c r="AG281" s="160">
        <f>C280+M281-W281</f>
        <v/>
      </c>
      <c r="AH281" s="160">
        <f>D280+N281-X281</f>
        <v/>
      </c>
      <c r="AI281" s="160">
        <f>E280+O281-Y281</f>
        <v/>
      </c>
      <c r="AJ281" s="160">
        <f>F280+P281-Z281</f>
        <v/>
      </c>
      <c r="AK281" s="160">
        <f>G280+Q281-AA281</f>
        <v/>
      </c>
      <c r="AL281" s="160">
        <f>H280+R281-AB281</f>
        <v/>
      </c>
      <c r="AM281" s="160">
        <f>I280+S281-AC281</f>
        <v/>
      </c>
      <c r="AN281" s="160">
        <f>J280+T281-AD281</f>
        <v/>
      </c>
      <c r="AO281" s="160">
        <f>K280+U281-AE281</f>
        <v/>
      </c>
      <c r="AP281" s="160">
        <f>L280+V281-AF281</f>
        <v/>
      </c>
      <c r="AQ281" s="160">
        <f>W281+MAX(0,MIN(AG281,'Debt Payoff'!$C$12-SUM($W281:$AF281)-SUMIFS($AG281:$AP281,$AG$4:$AP$4,"&lt;"&amp;AG$4)))</f>
        <v/>
      </c>
      <c r="AR281" s="160">
        <f>X281+MAX(0,MIN(AH281,'Debt Payoff'!$C$12-SUM($W281:$AF281)-SUMIFS($AG281:$AP281,$AG$4:$AP$4,"&lt;"&amp;AH$4)))</f>
        <v/>
      </c>
      <c r="AS281" s="160">
        <f>Y281+MAX(0,MIN(AI281,'Debt Payoff'!$C$12-SUM($W281:$AF281)-SUMIFS($AG281:$AP281,$AG$4:$AP$4,"&lt;"&amp;AI$4)))</f>
        <v/>
      </c>
      <c r="AT281" s="160">
        <f>Z281+MAX(0,MIN(AJ281,'Debt Payoff'!$C$12-SUM($W281:$AF281)-SUMIFS($AG281:$AP281,$AG$4:$AP$4,"&lt;"&amp;AJ$4)))</f>
        <v/>
      </c>
      <c r="AU281" s="160">
        <f>AA281+MAX(0,MIN(AK281,'Debt Payoff'!$C$12-SUM($W281:$AF281)-SUMIFS($AG281:$AP281,$AG$4:$AP$4,"&lt;"&amp;AK$4)))</f>
        <v/>
      </c>
      <c r="AV281" s="160">
        <f>AB281+MAX(0,MIN(AL281,'Debt Payoff'!$C$12-SUM($W281:$AF281)-SUMIFS($AG281:$AP281,$AG$4:$AP$4,"&lt;"&amp;AL$4)))</f>
        <v/>
      </c>
      <c r="AW281" s="160">
        <f>AC281+MAX(0,MIN(AM281,'Debt Payoff'!$C$12-SUM($W281:$AF281)-SUMIFS($AG281:$AP281,$AG$4:$AP$4,"&lt;"&amp;AM$4)))</f>
        <v/>
      </c>
      <c r="AX281" s="160">
        <f>AD281+MAX(0,MIN(AN281,'Debt Payoff'!$C$12-SUM($W281:$AF281)-SUMIFS($AG281:$AP281,$AG$4:$AP$4,"&lt;"&amp;AN$4)))</f>
        <v/>
      </c>
      <c r="AY281" s="160">
        <f>AE281+MAX(0,MIN(AO281,'Debt Payoff'!$C$12-SUM($W281:$AF281)-SUMIFS($AG281:$AP281,$AG$4:$AP$4,"&lt;"&amp;AO$4)))</f>
        <v/>
      </c>
      <c r="AZ281" s="160">
        <f>AF281+MAX(0,MIN(AP281,'Debt Payoff'!$C$12-SUM($W281:$AF281)-SUMIFS($AG281:$AP281,$AG$4:$AP$4,"&lt;"&amp;AP$4)))</f>
        <v/>
      </c>
      <c r="BA281" s="160">
        <f>SUM(C281:L281)</f>
        <v/>
      </c>
      <c r="BB281" s="160">
        <f>SUM(AQ281:AZ281)</f>
        <v/>
      </c>
      <c r="BC281" s="160">
        <f>SUM(M281:V281)</f>
        <v/>
      </c>
    </row>
    <row r="282">
      <c r="A282" s="157" t="n">
        <v>277</v>
      </c>
      <c r="B282" s="159">
        <f>EDATE('Debt Payoff'!$C$6,276)</f>
        <v/>
      </c>
      <c r="C282" s="160">
        <f>MAX(0,ROUND(C281+M282-AQ282,2))</f>
        <v/>
      </c>
      <c r="D282" s="160">
        <f>MAX(0,ROUND(D281+N282-AR282,2))</f>
        <v/>
      </c>
      <c r="E282" s="160">
        <f>MAX(0,ROUND(E281+O282-AS282,2))</f>
        <v/>
      </c>
      <c r="F282" s="160">
        <f>MAX(0,ROUND(F281+P282-AT282,2))</f>
        <v/>
      </c>
      <c r="G282" s="160">
        <f>MAX(0,ROUND(G281+Q282-AU282,2))</f>
        <v/>
      </c>
      <c r="H282" s="160">
        <f>MAX(0,ROUND(H281+R282-AV282,2))</f>
        <v/>
      </c>
      <c r="I282" s="160">
        <f>MAX(0,ROUND(I281+S282-AW282,2))</f>
        <v/>
      </c>
      <c r="J282" s="160">
        <f>MAX(0,ROUND(J281+T282-AX282,2))</f>
        <v/>
      </c>
      <c r="K282" s="160">
        <f>MAX(0,ROUND(K281+U282-AY282,2))</f>
        <v/>
      </c>
      <c r="L282" s="160">
        <f>MAX(0,ROUND(L281+V282-AZ282,2))</f>
        <v/>
      </c>
      <c r="M282" s="160">
        <f>C281*N('Debt Payoff'!$D$15)/12</f>
        <v/>
      </c>
      <c r="N282" s="160">
        <f>D281*N('Debt Payoff'!$D$16)/12</f>
        <v/>
      </c>
      <c r="O282" s="160">
        <f>E281*N('Debt Payoff'!$D$17)/12</f>
        <v/>
      </c>
      <c r="P282" s="160">
        <f>F281*N('Debt Payoff'!$D$18)/12</f>
        <v/>
      </c>
      <c r="Q282" s="160">
        <f>G281*N('Debt Payoff'!$D$19)/12</f>
        <v/>
      </c>
      <c r="R282" s="160">
        <f>H281*N('Debt Payoff'!$D$20)/12</f>
        <v/>
      </c>
      <c r="S282" s="160">
        <f>I281*N('Debt Payoff'!$D$21)/12</f>
        <v/>
      </c>
      <c r="T282" s="160">
        <f>J281*N('Debt Payoff'!$D$22)/12</f>
        <v/>
      </c>
      <c r="U282" s="160">
        <f>K281*N('Debt Payoff'!$D$23)/12</f>
        <v/>
      </c>
      <c r="V282" s="160">
        <f>L281*N('Debt Payoff'!$D$24)/12</f>
        <v/>
      </c>
      <c r="W282" s="160">
        <f>MIN(N('Debt Payoff'!$E$15),C281+M282)</f>
        <v/>
      </c>
      <c r="X282" s="160">
        <f>MIN(N('Debt Payoff'!$E$16),D281+N282)</f>
        <v/>
      </c>
      <c r="Y282" s="160">
        <f>MIN(N('Debt Payoff'!$E$17),E281+O282)</f>
        <v/>
      </c>
      <c r="Z282" s="160">
        <f>MIN(N('Debt Payoff'!$E$18),F281+P282)</f>
        <v/>
      </c>
      <c r="AA282" s="160">
        <f>MIN(N('Debt Payoff'!$E$19),G281+Q282)</f>
        <v/>
      </c>
      <c r="AB282" s="160">
        <f>MIN(N('Debt Payoff'!$E$20),H281+R282)</f>
        <v/>
      </c>
      <c r="AC282" s="160">
        <f>MIN(N('Debt Payoff'!$E$21),I281+S282)</f>
        <v/>
      </c>
      <c r="AD282" s="160">
        <f>MIN(N('Debt Payoff'!$E$22),J281+T282)</f>
        <v/>
      </c>
      <c r="AE282" s="160">
        <f>MIN(N('Debt Payoff'!$E$23),K281+U282)</f>
        <v/>
      </c>
      <c r="AF282" s="160">
        <f>MIN(N('Debt Payoff'!$E$24),L281+V282)</f>
        <v/>
      </c>
      <c r="AG282" s="160">
        <f>C281+M282-W282</f>
        <v/>
      </c>
      <c r="AH282" s="160">
        <f>D281+N282-X282</f>
        <v/>
      </c>
      <c r="AI282" s="160">
        <f>E281+O282-Y282</f>
        <v/>
      </c>
      <c r="AJ282" s="160">
        <f>F281+P282-Z282</f>
        <v/>
      </c>
      <c r="AK282" s="160">
        <f>G281+Q282-AA282</f>
        <v/>
      </c>
      <c r="AL282" s="160">
        <f>H281+R282-AB282</f>
        <v/>
      </c>
      <c r="AM282" s="160">
        <f>I281+S282-AC282</f>
        <v/>
      </c>
      <c r="AN282" s="160">
        <f>J281+T282-AD282</f>
        <v/>
      </c>
      <c r="AO282" s="160">
        <f>K281+U282-AE282</f>
        <v/>
      </c>
      <c r="AP282" s="160">
        <f>L281+V282-AF282</f>
        <v/>
      </c>
      <c r="AQ282" s="160">
        <f>W282+MAX(0,MIN(AG282,'Debt Payoff'!$C$12-SUM($W282:$AF282)-SUMIFS($AG282:$AP282,$AG$4:$AP$4,"&lt;"&amp;AG$4)))</f>
        <v/>
      </c>
      <c r="AR282" s="160">
        <f>X282+MAX(0,MIN(AH282,'Debt Payoff'!$C$12-SUM($W282:$AF282)-SUMIFS($AG282:$AP282,$AG$4:$AP$4,"&lt;"&amp;AH$4)))</f>
        <v/>
      </c>
      <c r="AS282" s="160">
        <f>Y282+MAX(0,MIN(AI282,'Debt Payoff'!$C$12-SUM($W282:$AF282)-SUMIFS($AG282:$AP282,$AG$4:$AP$4,"&lt;"&amp;AI$4)))</f>
        <v/>
      </c>
      <c r="AT282" s="160">
        <f>Z282+MAX(0,MIN(AJ282,'Debt Payoff'!$C$12-SUM($W282:$AF282)-SUMIFS($AG282:$AP282,$AG$4:$AP$4,"&lt;"&amp;AJ$4)))</f>
        <v/>
      </c>
      <c r="AU282" s="160">
        <f>AA282+MAX(0,MIN(AK282,'Debt Payoff'!$C$12-SUM($W282:$AF282)-SUMIFS($AG282:$AP282,$AG$4:$AP$4,"&lt;"&amp;AK$4)))</f>
        <v/>
      </c>
      <c r="AV282" s="160">
        <f>AB282+MAX(0,MIN(AL282,'Debt Payoff'!$C$12-SUM($W282:$AF282)-SUMIFS($AG282:$AP282,$AG$4:$AP$4,"&lt;"&amp;AL$4)))</f>
        <v/>
      </c>
      <c r="AW282" s="160">
        <f>AC282+MAX(0,MIN(AM282,'Debt Payoff'!$C$12-SUM($W282:$AF282)-SUMIFS($AG282:$AP282,$AG$4:$AP$4,"&lt;"&amp;AM$4)))</f>
        <v/>
      </c>
      <c r="AX282" s="160">
        <f>AD282+MAX(0,MIN(AN282,'Debt Payoff'!$C$12-SUM($W282:$AF282)-SUMIFS($AG282:$AP282,$AG$4:$AP$4,"&lt;"&amp;AN$4)))</f>
        <v/>
      </c>
      <c r="AY282" s="160">
        <f>AE282+MAX(0,MIN(AO282,'Debt Payoff'!$C$12-SUM($W282:$AF282)-SUMIFS($AG282:$AP282,$AG$4:$AP$4,"&lt;"&amp;AO$4)))</f>
        <v/>
      </c>
      <c r="AZ282" s="160">
        <f>AF282+MAX(0,MIN(AP282,'Debt Payoff'!$C$12-SUM($W282:$AF282)-SUMIFS($AG282:$AP282,$AG$4:$AP$4,"&lt;"&amp;AP$4)))</f>
        <v/>
      </c>
      <c r="BA282" s="160">
        <f>SUM(C282:L282)</f>
        <v/>
      </c>
      <c r="BB282" s="160">
        <f>SUM(AQ282:AZ282)</f>
        <v/>
      </c>
      <c r="BC282" s="160">
        <f>SUM(M282:V282)</f>
        <v/>
      </c>
    </row>
    <row r="283">
      <c r="A283" s="157" t="n">
        <v>278</v>
      </c>
      <c r="B283" s="159">
        <f>EDATE('Debt Payoff'!$C$6,277)</f>
        <v/>
      </c>
      <c r="C283" s="160">
        <f>MAX(0,ROUND(C282+M283-AQ283,2))</f>
        <v/>
      </c>
      <c r="D283" s="160">
        <f>MAX(0,ROUND(D282+N283-AR283,2))</f>
        <v/>
      </c>
      <c r="E283" s="160">
        <f>MAX(0,ROUND(E282+O283-AS283,2))</f>
        <v/>
      </c>
      <c r="F283" s="160">
        <f>MAX(0,ROUND(F282+P283-AT283,2))</f>
        <v/>
      </c>
      <c r="G283" s="160">
        <f>MAX(0,ROUND(G282+Q283-AU283,2))</f>
        <v/>
      </c>
      <c r="H283" s="160">
        <f>MAX(0,ROUND(H282+R283-AV283,2))</f>
        <v/>
      </c>
      <c r="I283" s="160">
        <f>MAX(0,ROUND(I282+S283-AW283,2))</f>
        <v/>
      </c>
      <c r="J283" s="160">
        <f>MAX(0,ROUND(J282+T283-AX283,2))</f>
        <v/>
      </c>
      <c r="K283" s="160">
        <f>MAX(0,ROUND(K282+U283-AY283,2))</f>
        <v/>
      </c>
      <c r="L283" s="160">
        <f>MAX(0,ROUND(L282+V283-AZ283,2))</f>
        <v/>
      </c>
      <c r="M283" s="160">
        <f>C282*N('Debt Payoff'!$D$15)/12</f>
        <v/>
      </c>
      <c r="N283" s="160">
        <f>D282*N('Debt Payoff'!$D$16)/12</f>
        <v/>
      </c>
      <c r="O283" s="160">
        <f>E282*N('Debt Payoff'!$D$17)/12</f>
        <v/>
      </c>
      <c r="P283" s="160">
        <f>F282*N('Debt Payoff'!$D$18)/12</f>
        <v/>
      </c>
      <c r="Q283" s="160">
        <f>G282*N('Debt Payoff'!$D$19)/12</f>
        <v/>
      </c>
      <c r="R283" s="160">
        <f>H282*N('Debt Payoff'!$D$20)/12</f>
        <v/>
      </c>
      <c r="S283" s="160">
        <f>I282*N('Debt Payoff'!$D$21)/12</f>
        <v/>
      </c>
      <c r="T283" s="160">
        <f>J282*N('Debt Payoff'!$D$22)/12</f>
        <v/>
      </c>
      <c r="U283" s="160">
        <f>K282*N('Debt Payoff'!$D$23)/12</f>
        <v/>
      </c>
      <c r="V283" s="160">
        <f>L282*N('Debt Payoff'!$D$24)/12</f>
        <v/>
      </c>
      <c r="W283" s="160">
        <f>MIN(N('Debt Payoff'!$E$15),C282+M283)</f>
        <v/>
      </c>
      <c r="X283" s="160">
        <f>MIN(N('Debt Payoff'!$E$16),D282+N283)</f>
        <v/>
      </c>
      <c r="Y283" s="160">
        <f>MIN(N('Debt Payoff'!$E$17),E282+O283)</f>
        <v/>
      </c>
      <c r="Z283" s="160">
        <f>MIN(N('Debt Payoff'!$E$18),F282+P283)</f>
        <v/>
      </c>
      <c r="AA283" s="160">
        <f>MIN(N('Debt Payoff'!$E$19),G282+Q283)</f>
        <v/>
      </c>
      <c r="AB283" s="160">
        <f>MIN(N('Debt Payoff'!$E$20),H282+R283)</f>
        <v/>
      </c>
      <c r="AC283" s="160">
        <f>MIN(N('Debt Payoff'!$E$21),I282+S283)</f>
        <v/>
      </c>
      <c r="AD283" s="160">
        <f>MIN(N('Debt Payoff'!$E$22),J282+T283)</f>
        <v/>
      </c>
      <c r="AE283" s="160">
        <f>MIN(N('Debt Payoff'!$E$23),K282+U283)</f>
        <v/>
      </c>
      <c r="AF283" s="160">
        <f>MIN(N('Debt Payoff'!$E$24),L282+V283)</f>
        <v/>
      </c>
      <c r="AG283" s="160">
        <f>C282+M283-W283</f>
        <v/>
      </c>
      <c r="AH283" s="160">
        <f>D282+N283-X283</f>
        <v/>
      </c>
      <c r="AI283" s="160">
        <f>E282+O283-Y283</f>
        <v/>
      </c>
      <c r="AJ283" s="160">
        <f>F282+P283-Z283</f>
        <v/>
      </c>
      <c r="AK283" s="160">
        <f>G282+Q283-AA283</f>
        <v/>
      </c>
      <c r="AL283" s="160">
        <f>H282+R283-AB283</f>
        <v/>
      </c>
      <c r="AM283" s="160">
        <f>I282+S283-AC283</f>
        <v/>
      </c>
      <c r="AN283" s="160">
        <f>J282+T283-AD283</f>
        <v/>
      </c>
      <c r="AO283" s="160">
        <f>K282+U283-AE283</f>
        <v/>
      </c>
      <c r="AP283" s="160">
        <f>L282+V283-AF283</f>
        <v/>
      </c>
      <c r="AQ283" s="160">
        <f>W283+MAX(0,MIN(AG283,'Debt Payoff'!$C$12-SUM($W283:$AF283)-SUMIFS($AG283:$AP283,$AG$4:$AP$4,"&lt;"&amp;AG$4)))</f>
        <v/>
      </c>
      <c r="AR283" s="160">
        <f>X283+MAX(0,MIN(AH283,'Debt Payoff'!$C$12-SUM($W283:$AF283)-SUMIFS($AG283:$AP283,$AG$4:$AP$4,"&lt;"&amp;AH$4)))</f>
        <v/>
      </c>
      <c r="AS283" s="160">
        <f>Y283+MAX(0,MIN(AI283,'Debt Payoff'!$C$12-SUM($W283:$AF283)-SUMIFS($AG283:$AP283,$AG$4:$AP$4,"&lt;"&amp;AI$4)))</f>
        <v/>
      </c>
      <c r="AT283" s="160">
        <f>Z283+MAX(0,MIN(AJ283,'Debt Payoff'!$C$12-SUM($W283:$AF283)-SUMIFS($AG283:$AP283,$AG$4:$AP$4,"&lt;"&amp;AJ$4)))</f>
        <v/>
      </c>
      <c r="AU283" s="160">
        <f>AA283+MAX(0,MIN(AK283,'Debt Payoff'!$C$12-SUM($W283:$AF283)-SUMIFS($AG283:$AP283,$AG$4:$AP$4,"&lt;"&amp;AK$4)))</f>
        <v/>
      </c>
      <c r="AV283" s="160">
        <f>AB283+MAX(0,MIN(AL283,'Debt Payoff'!$C$12-SUM($W283:$AF283)-SUMIFS($AG283:$AP283,$AG$4:$AP$4,"&lt;"&amp;AL$4)))</f>
        <v/>
      </c>
      <c r="AW283" s="160">
        <f>AC283+MAX(0,MIN(AM283,'Debt Payoff'!$C$12-SUM($W283:$AF283)-SUMIFS($AG283:$AP283,$AG$4:$AP$4,"&lt;"&amp;AM$4)))</f>
        <v/>
      </c>
      <c r="AX283" s="160">
        <f>AD283+MAX(0,MIN(AN283,'Debt Payoff'!$C$12-SUM($W283:$AF283)-SUMIFS($AG283:$AP283,$AG$4:$AP$4,"&lt;"&amp;AN$4)))</f>
        <v/>
      </c>
      <c r="AY283" s="160">
        <f>AE283+MAX(0,MIN(AO283,'Debt Payoff'!$C$12-SUM($W283:$AF283)-SUMIFS($AG283:$AP283,$AG$4:$AP$4,"&lt;"&amp;AO$4)))</f>
        <v/>
      </c>
      <c r="AZ283" s="160">
        <f>AF283+MAX(0,MIN(AP283,'Debt Payoff'!$C$12-SUM($W283:$AF283)-SUMIFS($AG283:$AP283,$AG$4:$AP$4,"&lt;"&amp;AP$4)))</f>
        <v/>
      </c>
      <c r="BA283" s="160">
        <f>SUM(C283:L283)</f>
        <v/>
      </c>
      <c r="BB283" s="160">
        <f>SUM(AQ283:AZ283)</f>
        <v/>
      </c>
      <c r="BC283" s="160">
        <f>SUM(M283:V283)</f>
        <v/>
      </c>
    </row>
    <row r="284">
      <c r="A284" s="157" t="n">
        <v>279</v>
      </c>
      <c r="B284" s="159">
        <f>EDATE('Debt Payoff'!$C$6,278)</f>
        <v/>
      </c>
      <c r="C284" s="160">
        <f>MAX(0,ROUND(C283+M284-AQ284,2))</f>
        <v/>
      </c>
      <c r="D284" s="160">
        <f>MAX(0,ROUND(D283+N284-AR284,2))</f>
        <v/>
      </c>
      <c r="E284" s="160">
        <f>MAX(0,ROUND(E283+O284-AS284,2))</f>
        <v/>
      </c>
      <c r="F284" s="160">
        <f>MAX(0,ROUND(F283+P284-AT284,2))</f>
        <v/>
      </c>
      <c r="G284" s="160">
        <f>MAX(0,ROUND(G283+Q284-AU284,2))</f>
        <v/>
      </c>
      <c r="H284" s="160">
        <f>MAX(0,ROUND(H283+R284-AV284,2))</f>
        <v/>
      </c>
      <c r="I284" s="160">
        <f>MAX(0,ROUND(I283+S284-AW284,2))</f>
        <v/>
      </c>
      <c r="J284" s="160">
        <f>MAX(0,ROUND(J283+T284-AX284,2))</f>
        <v/>
      </c>
      <c r="K284" s="160">
        <f>MAX(0,ROUND(K283+U284-AY284,2))</f>
        <v/>
      </c>
      <c r="L284" s="160">
        <f>MAX(0,ROUND(L283+V284-AZ284,2))</f>
        <v/>
      </c>
      <c r="M284" s="160">
        <f>C283*N('Debt Payoff'!$D$15)/12</f>
        <v/>
      </c>
      <c r="N284" s="160">
        <f>D283*N('Debt Payoff'!$D$16)/12</f>
        <v/>
      </c>
      <c r="O284" s="160">
        <f>E283*N('Debt Payoff'!$D$17)/12</f>
        <v/>
      </c>
      <c r="P284" s="160">
        <f>F283*N('Debt Payoff'!$D$18)/12</f>
        <v/>
      </c>
      <c r="Q284" s="160">
        <f>G283*N('Debt Payoff'!$D$19)/12</f>
        <v/>
      </c>
      <c r="R284" s="160">
        <f>H283*N('Debt Payoff'!$D$20)/12</f>
        <v/>
      </c>
      <c r="S284" s="160">
        <f>I283*N('Debt Payoff'!$D$21)/12</f>
        <v/>
      </c>
      <c r="T284" s="160">
        <f>J283*N('Debt Payoff'!$D$22)/12</f>
        <v/>
      </c>
      <c r="U284" s="160">
        <f>K283*N('Debt Payoff'!$D$23)/12</f>
        <v/>
      </c>
      <c r="V284" s="160">
        <f>L283*N('Debt Payoff'!$D$24)/12</f>
        <v/>
      </c>
      <c r="W284" s="160">
        <f>MIN(N('Debt Payoff'!$E$15),C283+M284)</f>
        <v/>
      </c>
      <c r="X284" s="160">
        <f>MIN(N('Debt Payoff'!$E$16),D283+N284)</f>
        <v/>
      </c>
      <c r="Y284" s="160">
        <f>MIN(N('Debt Payoff'!$E$17),E283+O284)</f>
        <v/>
      </c>
      <c r="Z284" s="160">
        <f>MIN(N('Debt Payoff'!$E$18),F283+P284)</f>
        <v/>
      </c>
      <c r="AA284" s="160">
        <f>MIN(N('Debt Payoff'!$E$19),G283+Q284)</f>
        <v/>
      </c>
      <c r="AB284" s="160">
        <f>MIN(N('Debt Payoff'!$E$20),H283+R284)</f>
        <v/>
      </c>
      <c r="AC284" s="160">
        <f>MIN(N('Debt Payoff'!$E$21),I283+S284)</f>
        <v/>
      </c>
      <c r="AD284" s="160">
        <f>MIN(N('Debt Payoff'!$E$22),J283+T284)</f>
        <v/>
      </c>
      <c r="AE284" s="160">
        <f>MIN(N('Debt Payoff'!$E$23),K283+U284)</f>
        <v/>
      </c>
      <c r="AF284" s="160">
        <f>MIN(N('Debt Payoff'!$E$24),L283+V284)</f>
        <v/>
      </c>
      <c r="AG284" s="160">
        <f>C283+M284-W284</f>
        <v/>
      </c>
      <c r="AH284" s="160">
        <f>D283+N284-X284</f>
        <v/>
      </c>
      <c r="AI284" s="160">
        <f>E283+O284-Y284</f>
        <v/>
      </c>
      <c r="AJ284" s="160">
        <f>F283+P284-Z284</f>
        <v/>
      </c>
      <c r="AK284" s="160">
        <f>G283+Q284-AA284</f>
        <v/>
      </c>
      <c r="AL284" s="160">
        <f>H283+R284-AB284</f>
        <v/>
      </c>
      <c r="AM284" s="160">
        <f>I283+S284-AC284</f>
        <v/>
      </c>
      <c r="AN284" s="160">
        <f>J283+T284-AD284</f>
        <v/>
      </c>
      <c r="AO284" s="160">
        <f>K283+U284-AE284</f>
        <v/>
      </c>
      <c r="AP284" s="160">
        <f>L283+V284-AF284</f>
        <v/>
      </c>
      <c r="AQ284" s="160">
        <f>W284+MAX(0,MIN(AG284,'Debt Payoff'!$C$12-SUM($W284:$AF284)-SUMIFS($AG284:$AP284,$AG$4:$AP$4,"&lt;"&amp;AG$4)))</f>
        <v/>
      </c>
      <c r="AR284" s="160">
        <f>X284+MAX(0,MIN(AH284,'Debt Payoff'!$C$12-SUM($W284:$AF284)-SUMIFS($AG284:$AP284,$AG$4:$AP$4,"&lt;"&amp;AH$4)))</f>
        <v/>
      </c>
      <c r="AS284" s="160">
        <f>Y284+MAX(0,MIN(AI284,'Debt Payoff'!$C$12-SUM($W284:$AF284)-SUMIFS($AG284:$AP284,$AG$4:$AP$4,"&lt;"&amp;AI$4)))</f>
        <v/>
      </c>
      <c r="AT284" s="160">
        <f>Z284+MAX(0,MIN(AJ284,'Debt Payoff'!$C$12-SUM($W284:$AF284)-SUMIFS($AG284:$AP284,$AG$4:$AP$4,"&lt;"&amp;AJ$4)))</f>
        <v/>
      </c>
      <c r="AU284" s="160">
        <f>AA284+MAX(0,MIN(AK284,'Debt Payoff'!$C$12-SUM($W284:$AF284)-SUMIFS($AG284:$AP284,$AG$4:$AP$4,"&lt;"&amp;AK$4)))</f>
        <v/>
      </c>
      <c r="AV284" s="160">
        <f>AB284+MAX(0,MIN(AL284,'Debt Payoff'!$C$12-SUM($W284:$AF284)-SUMIFS($AG284:$AP284,$AG$4:$AP$4,"&lt;"&amp;AL$4)))</f>
        <v/>
      </c>
      <c r="AW284" s="160">
        <f>AC284+MAX(0,MIN(AM284,'Debt Payoff'!$C$12-SUM($W284:$AF284)-SUMIFS($AG284:$AP284,$AG$4:$AP$4,"&lt;"&amp;AM$4)))</f>
        <v/>
      </c>
      <c r="AX284" s="160">
        <f>AD284+MAX(0,MIN(AN284,'Debt Payoff'!$C$12-SUM($W284:$AF284)-SUMIFS($AG284:$AP284,$AG$4:$AP$4,"&lt;"&amp;AN$4)))</f>
        <v/>
      </c>
      <c r="AY284" s="160">
        <f>AE284+MAX(0,MIN(AO284,'Debt Payoff'!$C$12-SUM($W284:$AF284)-SUMIFS($AG284:$AP284,$AG$4:$AP$4,"&lt;"&amp;AO$4)))</f>
        <v/>
      </c>
      <c r="AZ284" s="160">
        <f>AF284+MAX(0,MIN(AP284,'Debt Payoff'!$C$12-SUM($W284:$AF284)-SUMIFS($AG284:$AP284,$AG$4:$AP$4,"&lt;"&amp;AP$4)))</f>
        <v/>
      </c>
      <c r="BA284" s="160">
        <f>SUM(C284:L284)</f>
        <v/>
      </c>
      <c r="BB284" s="160">
        <f>SUM(AQ284:AZ284)</f>
        <v/>
      </c>
      <c r="BC284" s="160">
        <f>SUM(M284:V284)</f>
        <v/>
      </c>
    </row>
    <row r="285">
      <c r="A285" s="157" t="n">
        <v>280</v>
      </c>
      <c r="B285" s="159">
        <f>EDATE('Debt Payoff'!$C$6,279)</f>
        <v/>
      </c>
      <c r="C285" s="160">
        <f>MAX(0,ROUND(C284+M285-AQ285,2))</f>
        <v/>
      </c>
      <c r="D285" s="160">
        <f>MAX(0,ROUND(D284+N285-AR285,2))</f>
        <v/>
      </c>
      <c r="E285" s="160">
        <f>MAX(0,ROUND(E284+O285-AS285,2))</f>
        <v/>
      </c>
      <c r="F285" s="160">
        <f>MAX(0,ROUND(F284+P285-AT285,2))</f>
        <v/>
      </c>
      <c r="G285" s="160">
        <f>MAX(0,ROUND(G284+Q285-AU285,2))</f>
        <v/>
      </c>
      <c r="H285" s="160">
        <f>MAX(0,ROUND(H284+R285-AV285,2))</f>
        <v/>
      </c>
      <c r="I285" s="160">
        <f>MAX(0,ROUND(I284+S285-AW285,2))</f>
        <v/>
      </c>
      <c r="J285" s="160">
        <f>MAX(0,ROUND(J284+T285-AX285,2))</f>
        <v/>
      </c>
      <c r="K285" s="160">
        <f>MAX(0,ROUND(K284+U285-AY285,2))</f>
        <v/>
      </c>
      <c r="L285" s="160">
        <f>MAX(0,ROUND(L284+V285-AZ285,2))</f>
        <v/>
      </c>
      <c r="M285" s="160">
        <f>C284*N('Debt Payoff'!$D$15)/12</f>
        <v/>
      </c>
      <c r="N285" s="160">
        <f>D284*N('Debt Payoff'!$D$16)/12</f>
        <v/>
      </c>
      <c r="O285" s="160">
        <f>E284*N('Debt Payoff'!$D$17)/12</f>
        <v/>
      </c>
      <c r="P285" s="160">
        <f>F284*N('Debt Payoff'!$D$18)/12</f>
        <v/>
      </c>
      <c r="Q285" s="160">
        <f>G284*N('Debt Payoff'!$D$19)/12</f>
        <v/>
      </c>
      <c r="R285" s="160">
        <f>H284*N('Debt Payoff'!$D$20)/12</f>
        <v/>
      </c>
      <c r="S285" s="160">
        <f>I284*N('Debt Payoff'!$D$21)/12</f>
        <v/>
      </c>
      <c r="T285" s="160">
        <f>J284*N('Debt Payoff'!$D$22)/12</f>
        <v/>
      </c>
      <c r="U285" s="160">
        <f>K284*N('Debt Payoff'!$D$23)/12</f>
        <v/>
      </c>
      <c r="V285" s="160">
        <f>L284*N('Debt Payoff'!$D$24)/12</f>
        <v/>
      </c>
      <c r="W285" s="160">
        <f>MIN(N('Debt Payoff'!$E$15),C284+M285)</f>
        <v/>
      </c>
      <c r="X285" s="160">
        <f>MIN(N('Debt Payoff'!$E$16),D284+N285)</f>
        <v/>
      </c>
      <c r="Y285" s="160">
        <f>MIN(N('Debt Payoff'!$E$17),E284+O285)</f>
        <v/>
      </c>
      <c r="Z285" s="160">
        <f>MIN(N('Debt Payoff'!$E$18),F284+P285)</f>
        <v/>
      </c>
      <c r="AA285" s="160">
        <f>MIN(N('Debt Payoff'!$E$19),G284+Q285)</f>
        <v/>
      </c>
      <c r="AB285" s="160">
        <f>MIN(N('Debt Payoff'!$E$20),H284+R285)</f>
        <v/>
      </c>
      <c r="AC285" s="160">
        <f>MIN(N('Debt Payoff'!$E$21),I284+S285)</f>
        <v/>
      </c>
      <c r="AD285" s="160">
        <f>MIN(N('Debt Payoff'!$E$22),J284+T285)</f>
        <v/>
      </c>
      <c r="AE285" s="160">
        <f>MIN(N('Debt Payoff'!$E$23),K284+U285)</f>
        <v/>
      </c>
      <c r="AF285" s="160">
        <f>MIN(N('Debt Payoff'!$E$24),L284+V285)</f>
        <v/>
      </c>
      <c r="AG285" s="160">
        <f>C284+M285-W285</f>
        <v/>
      </c>
      <c r="AH285" s="160">
        <f>D284+N285-X285</f>
        <v/>
      </c>
      <c r="AI285" s="160">
        <f>E284+O285-Y285</f>
        <v/>
      </c>
      <c r="AJ285" s="160">
        <f>F284+P285-Z285</f>
        <v/>
      </c>
      <c r="AK285" s="160">
        <f>G284+Q285-AA285</f>
        <v/>
      </c>
      <c r="AL285" s="160">
        <f>H284+R285-AB285</f>
        <v/>
      </c>
      <c r="AM285" s="160">
        <f>I284+S285-AC285</f>
        <v/>
      </c>
      <c r="AN285" s="160">
        <f>J284+T285-AD285</f>
        <v/>
      </c>
      <c r="AO285" s="160">
        <f>K284+U285-AE285</f>
        <v/>
      </c>
      <c r="AP285" s="160">
        <f>L284+V285-AF285</f>
        <v/>
      </c>
      <c r="AQ285" s="160">
        <f>W285+MAX(0,MIN(AG285,'Debt Payoff'!$C$12-SUM($W285:$AF285)-SUMIFS($AG285:$AP285,$AG$4:$AP$4,"&lt;"&amp;AG$4)))</f>
        <v/>
      </c>
      <c r="AR285" s="160">
        <f>X285+MAX(0,MIN(AH285,'Debt Payoff'!$C$12-SUM($W285:$AF285)-SUMIFS($AG285:$AP285,$AG$4:$AP$4,"&lt;"&amp;AH$4)))</f>
        <v/>
      </c>
      <c r="AS285" s="160">
        <f>Y285+MAX(0,MIN(AI285,'Debt Payoff'!$C$12-SUM($W285:$AF285)-SUMIFS($AG285:$AP285,$AG$4:$AP$4,"&lt;"&amp;AI$4)))</f>
        <v/>
      </c>
      <c r="AT285" s="160">
        <f>Z285+MAX(0,MIN(AJ285,'Debt Payoff'!$C$12-SUM($W285:$AF285)-SUMIFS($AG285:$AP285,$AG$4:$AP$4,"&lt;"&amp;AJ$4)))</f>
        <v/>
      </c>
      <c r="AU285" s="160">
        <f>AA285+MAX(0,MIN(AK285,'Debt Payoff'!$C$12-SUM($W285:$AF285)-SUMIFS($AG285:$AP285,$AG$4:$AP$4,"&lt;"&amp;AK$4)))</f>
        <v/>
      </c>
      <c r="AV285" s="160">
        <f>AB285+MAX(0,MIN(AL285,'Debt Payoff'!$C$12-SUM($W285:$AF285)-SUMIFS($AG285:$AP285,$AG$4:$AP$4,"&lt;"&amp;AL$4)))</f>
        <v/>
      </c>
      <c r="AW285" s="160">
        <f>AC285+MAX(0,MIN(AM285,'Debt Payoff'!$C$12-SUM($W285:$AF285)-SUMIFS($AG285:$AP285,$AG$4:$AP$4,"&lt;"&amp;AM$4)))</f>
        <v/>
      </c>
      <c r="AX285" s="160">
        <f>AD285+MAX(0,MIN(AN285,'Debt Payoff'!$C$12-SUM($W285:$AF285)-SUMIFS($AG285:$AP285,$AG$4:$AP$4,"&lt;"&amp;AN$4)))</f>
        <v/>
      </c>
      <c r="AY285" s="160">
        <f>AE285+MAX(0,MIN(AO285,'Debt Payoff'!$C$12-SUM($W285:$AF285)-SUMIFS($AG285:$AP285,$AG$4:$AP$4,"&lt;"&amp;AO$4)))</f>
        <v/>
      </c>
      <c r="AZ285" s="160">
        <f>AF285+MAX(0,MIN(AP285,'Debt Payoff'!$C$12-SUM($W285:$AF285)-SUMIFS($AG285:$AP285,$AG$4:$AP$4,"&lt;"&amp;AP$4)))</f>
        <v/>
      </c>
      <c r="BA285" s="160">
        <f>SUM(C285:L285)</f>
        <v/>
      </c>
      <c r="BB285" s="160">
        <f>SUM(AQ285:AZ285)</f>
        <v/>
      </c>
      <c r="BC285" s="160">
        <f>SUM(M285:V285)</f>
        <v/>
      </c>
    </row>
    <row r="286">
      <c r="A286" s="157" t="n">
        <v>281</v>
      </c>
      <c r="B286" s="159">
        <f>EDATE('Debt Payoff'!$C$6,280)</f>
        <v/>
      </c>
      <c r="C286" s="160">
        <f>MAX(0,ROUND(C285+M286-AQ286,2))</f>
        <v/>
      </c>
      <c r="D286" s="160">
        <f>MAX(0,ROUND(D285+N286-AR286,2))</f>
        <v/>
      </c>
      <c r="E286" s="160">
        <f>MAX(0,ROUND(E285+O286-AS286,2))</f>
        <v/>
      </c>
      <c r="F286" s="160">
        <f>MAX(0,ROUND(F285+P286-AT286,2))</f>
        <v/>
      </c>
      <c r="G286" s="160">
        <f>MAX(0,ROUND(G285+Q286-AU286,2))</f>
        <v/>
      </c>
      <c r="H286" s="160">
        <f>MAX(0,ROUND(H285+R286-AV286,2))</f>
        <v/>
      </c>
      <c r="I286" s="160">
        <f>MAX(0,ROUND(I285+S286-AW286,2))</f>
        <v/>
      </c>
      <c r="J286" s="160">
        <f>MAX(0,ROUND(J285+T286-AX286,2))</f>
        <v/>
      </c>
      <c r="K286" s="160">
        <f>MAX(0,ROUND(K285+U286-AY286,2))</f>
        <v/>
      </c>
      <c r="L286" s="160">
        <f>MAX(0,ROUND(L285+V286-AZ286,2))</f>
        <v/>
      </c>
      <c r="M286" s="160">
        <f>C285*N('Debt Payoff'!$D$15)/12</f>
        <v/>
      </c>
      <c r="N286" s="160">
        <f>D285*N('Debt Payoff'!$D$16)/12</f>
        <v/>
      </c>
      <c r="O286" s="160">
        <f>E285*N('Debt Payoff'!$D$17)/12</f>
        <v/>
      </c>
      <c r="P286" s="160">
        <f>F285*N('Debt Payoff'!$D$18)/12</f>
        <v/>
      </c>
      <c r="Q286" s="160">
        <f>G285*N('Debt Payoff'!$D$19)/12</f>
        <v/>
      </c>
      <c r="R286" s="160">
        <f>H285*N('Debt Payoff'!$D$20)/12</f>
        <v/>
      </c>
      <c r="S286" s="160">
        <f>I285*N('Debt Payoff'!$D$21)/12</f>
        <v/>
      </c>
      <c r="T286" s="160">
        <f>J285*N('Debt Payoff'!$D$22)/12</f>
        <v/>
      </c>
      <c r="U286" s="160">
        <f>K285*N('Debt Payoff'!$D$23)/12</f>
        <v/>
      </c>
      <c r="V286" s="160">
        <f>L285*N('Debt Payoff'!$D$24)/12</f>
        <v/>
      </c>
      <c r="W286" s="160">
        <f>MIN(N('Debt Payoff'!$E$15),C285+M286)</f>
        <v/>
      </c>
      <c r="X286" s="160">
        <f>MIN(N('Debt Payoff'!$E$16),D285+N286)</f>
        <v/>
      </c>
      <c r="Y286" s="160">
        <f>MIN(N('Debt Payoff'!$E$17),E285+O286)</f>
        <v/>
      </c>
      <c r="Z286" s="160">
        <f>MIN(N('Debt Payoff'!$E$18),F285+P286)</f>
        <v/>
      </c>
      <c r="AA286" s="160">
        <f>MIN(N('Debt Payoff'!$E$19),G285+Q286)</f>
        <v/>
      </c>
      <c r="AB286" s="160">
        <f>MIN(N('Debt Payoff'!$E$20),H285+R286)</f>
        <v/>
      </c>
      <c r="AC286" s="160">
        <f>MIN(N('Debt Payoff'!$E$21),I285+S286)</f>
        <v/>
      </c>
      <c r="AD286" s="160">
        <f>MIN(N('Debt Payoff'!$E$22),J285+T286)</f>
        <v/>
      </c>
      <c r="AE286" s="160">
        <f>MIN(N('Debt Payoff'!$E$23),K285+U286)</f>
        <v/>
      </c>
      <c r="AF286" s="160">
        <f>MIN(N('Debt Payoff'!$E$24),L285+V286)</f>
        <v/>
      </c>
      <c r="AG286" s="160">
        <f>C285+M286-W286</f>
        <v/>
      </c>
      <c r="AH286" s="160">
        <f>D285+N286-X286</f>
        <v/>
      </c>
      <c r="AI286" s="160">
        <f>E285+O286-Y286</f>
        <v/>
      </c>
      <c r="AJ286" s="160">
        <f>F285+P286-Z286</f>
        <v/>
      </c>
      <c r="AK286" s="160">
        <f>G285+Q286-AA286</f>
        <v/>
      </c>
      <c r="AL286" s="160">
        <f>H285+R286-AB286</f>
        <v/>
      </c>
      <c r="AM286" s="160">
        <f>I285+S286-AC286</f>
        <v/>
      </c>
      <c r="AN286" s="160">
        <f>J285+T286-AD286</f>
        <v/>
      </c>
      <c r="AO286" s="160">
        <f>K285+U286-AE286</f>
        <v/>
      </c>
      <c r="AP286" s="160">
        <f>L285+V286-AF286</f>
        <v/>
      </c>
      <c r="AQ286" s="160">
        <f>W286+MAX(0,MIN(AG286,'Debt Payoff'!$C$12-SUM($W286:$AF286)-SUMIFS($AG286:$AP286,$AG$4:$AP$4,"&lt;"&amp;AG$4)))</f>
        <v/>
      </c>
      <c r="AR286" s="160">
        <f>X286+MAX(0,MIN(AH286,'Debt Payoff'!$C$12-SUM($W286:$AF286)-SUMIFS($AG286:$AP286,$AG$4:$AP$4,"&lt;"&amp;AH$4)))</f>
        <v/>
      </c>
      <c r="AS286" s="160">
        <f>Y286+MAX(0,MIN(AI286,'Debt Payoff'!$C$12-SUM($W286:$AF286)-SUMIFS($AG286:$AP286,$AG$4:$AP$4,"&lt;"&amp;AI$4)))</f>
        <v/>
      </c>
      <c r="AT286" s="160">
        <f>Z286+MAX(0,MIN(AJ286,'Debt Payoff'!$C$12-SUM($W286:$AF286)-SUMIFS($AG286:$AP286,$AG$4:$AP$4,"&lt;"&amp;AJ$4)))</f>
        <v/>
      </c>
      <c r="AU286" s="160">
        <f>AA286+MAX(0,MIN(AK286,'Debt Payoff'!$C$12-SUM($W286:$AF286)-SUMIFS($AG286:$AP286,$AG$4:$AP$4,"&lt;"&amp;AK$4)))</f>
        <v/>
      </c>
      <c r="AV286" s="160">
        <f>AB286+MAX(0,MIN(AL286,'Debt Payoff'!$C$12-SUM($W286:$AF286)-SUMIFS($AG286:$AP286,$AG$4:$AP$4,"&lt;"&amp;AL$4)))</f>
        <v/>
      </c>
      <c r="AW286" s="160">
        <f>AC286+MAX(0,MIN(AM286,'Debt Payoff'!$C$12-SUM($W286:$AF286)-SUMIFS($AG286:$AP286,$AG$4:$AP$4,"&lt;"&amp;AM$4)))</f>
        <v/>
      </c>
      <c r="AX286" s="160">
        <f>AD286+MAX(0,MIN(AN286,'Debt Payoff'!$C$12-SUM($W286:$AF286)-SUMIFS($AG286:$AP286,$AG$4:$AP$4,"&lt;"&amp;AN$4)))</f>
        <v/>
      </c>
      <c r="AY286" s="160">
        <f>AE286+MAX(0,MIN(AO286,'Debt Payoff'!$C$12-SUM($W286:$AF286)-SUMIFS($AG286:$AP286,$AG$4:$AP$4,"&lt;"&amp;AO$4)))</f>
        <v/>
      </c>
      <c r="AZ286" s="160">
        <f>AF286+MAX(0,MIN(AP286,'Debt Payoff'!$C$12-SUM($W286:$AF286)-SUMIFS($AG286:$AP286,$AG$4:$AP$4,"&lt;"&amp;AP$4)))</f>
        <v/>
      </c>
      <c r="BA286" s="160">
        <f>SUM(C286:L286)</f>
        <v/>
      </c>
      <c r="BB286" s="160">
        <f>SUM(AQ286:AZ286)</f>
        <v/>
      </c>
      <c r="BC286" s="160">
        <f>SUM(M286:V286)</f>
        <v/>
      </c>
    </row>
    <row r="287">
      <c r="A287" s="157" t="n">
        <v>282</v>
      </c>
      <c r="B287" s="159">
        <f>EDATE('Debt Payoff'!$C$6,281)</f>
        <v/>
      </c>
      <c r="C287" s="160">
        <f>MAX(0,ROUND(C286+M287-AQ287,2))</f>
        <v/>
      </c>
      <c r="D287" s="160">
        <f>MAX(0,ROUND(D286+N287-AR287,2))</f>
        <v/>
      </c>
      <c r="E287" s="160">
        <f>MAX(0,ROUND(E286+O287-AS287,2))</f>
        <v/>
      </c>
      <c r="F287" s="160">
        <f>MAX(0,ROUND(F286+P287-AT287,2))</f>
        <v/>
      </c>
      <c r="G287" s="160">
        <f>MAX(0,ROUND(G286+Q287-AU287,2))</f>
        <v/>
      </c>
      <c r="H287" s="160">
        <f>MAX(0,ROUND(H286+R287-AV287,2))</f>
        <v/>
      </c>
      <c r="I287" s="160">
        <f>MAX(0,ROUND(I286+S287-AW287,2))</f>
        <v/>
      </c>
      <c r="J287" s="160">
        <f>MAX(0,ROUND(J286+T287-AX287,2))</f>
        <v/>
      </c>
      <c r="K287" s="160">
        <f>MAX(0,ROUND(K286+U287-AY287,2))</f>
        <v/>
      </c>
      <c r="L287" s="160">
        <f>MAX(0,ROUND(L286+V287-AZ287,2))</f>
        <v/>
      </c>
      <c r="M287" s="160">
        <f>C286*N('Debt Payoff'!$D$15)/12</f>
        <v/>
      </c>
      <c r="N287" s="160">
        <f>D286*N('Debt Payoff'!$D$16)/12</f>
        <v/>
      </c>
      <c r="O287" s="160">
        <f>E286*N('Debt Payoff'!$D$17)/12</f>
        <v/>
      </c>
      <c r="P287" s="160">
        <f>F286*N('Debt Payoff'!$D$18)/12</f>
        <v/>
      </c>
      <c r="Q287" s="160">
        <f>G286*N('Debt Payoff'!$D$19)/12</f>
        <v/>
      </c>
      <c r="R287" s="160">
        <f>H286*N('Debt Payoff'!$D$20)/12</f>
        <v/>
      </c>
      <c r="S287" s="160">
        <f>I286*N('Debt Payoff'!$D$21)/12</f>
        <v/>
      </c>
      <c r="T287" s="160">
        <f>J286*N('Debt Payoff'!$D$22)/12</f>
        <v/>
      </c>
      <c r="U287" s="160">
        <f>K286*N('Debt Payoff'!$D$23)/12</f>
        <v/>
      </c>
      <c r="V287" s="160">
        <f>L286*N('Debt Payoff'!$D$24)/12</f>
        <v/>
      </c>
      <c r="W287" s="160">
        <f>MIN(N('Debt Payoff'!$E$15),C286+M287)</f>
        <v/>
      </c>
      <c r="X287" s="160">
        <f>MIN(N('Debt Payoff'!$E$16),D286+N287)</f>
        <v/>
      </c>
      <c r="Y287" s="160">
        <f>MIN(N('Debt Payoff'!$E$17),E286+O287)</f>
        <v/>
      </c>
      <c r="Z287" s="160">
        <f>MIN(N('Debt Payoff'!$E$18),F286+P287)</f>
        <v/>
      </c>
      <c r="AA287" s="160">
        <f>MIN(N('Debt Payoff'!$E$19),G286+Q287)</f>
        <v/>
      </c>
      <c r="AB287" s="160">
        <f>MIN(N('Debt Payoff'!$E$20),H286+R287)</f>
        <v/>
      </c>
      <c r="AC287" s="160">
        <f>MIN(N('Debt Payoff'!$E$21),I286+S287)</f>
        <v/>
      </c>
      <c r="AD287" s="160">
        <f>MIN(N('Debt Payoff'!$E$22),J286+T287)</f>
        <v/>
      </c>
      <c r="AE287" s="160">
        <f>MIN(N('Debt Payoff'!$E$23),K286+U287)</f>
        <v/>
      </c>
      <c r="AF287" s="160">
        <f>MIN(N('Debt Payoff'!$E$24),L286+V287)</f>
        <v/>
      </c>
      <c r="AG287" s="160">
        <f>C286+M287-W287</f>
        <v/>
      </c>
      <c r="AH287" s="160">
        <f>D286+N287-X287</f>
        <v/>
      </c>
      <c r="AI287" s="160">
        <f>E286+O287-Y287</f>
        <v/>
      </c>
      <c r="AJ287" s="160">
        <f>F286+P287-Z287</f>
        <v/>
      </c>
      <c r="AK287" s="160">
        <f>G286+Q287-AA287</f>
        <v/>
      </c>
      <c r="AL287" s="160">
        <f>H286+R287-AB287</f>
        <v/>
      </c>
      <c r="AM287" s="160">
        <f>I286+S287-AC287</f>
        <v/>
      </c>
      <c r="AN287" s="160">
        <f>J286+T287-AD287</f>
        <v/>
      </c>
      <c r="AO287" s="160">
        <f>K286+U287-AE287</f>
        <v/>
      </c>
      <c r="AP287" s="160">
        <f>L286+V287-AF287</f>
        <v/>
      </c>
      <c r="AQ287" s="160">
        <f>W287+MAX(0,MIN(AG287,'Debt Payoff'!$C$12-SUM($W287:$AF287)-SUMIFS($AG287:$AP287,$AG$4:$AP$4,"&lt;"&amp;AG$4)))</f>
        <v/>
      </c>
      <c r="AR287" s="160">
        <f>X287+MAX(0,MIN(AH287,'Debt Payoff'!$C$12-SUM($W287:$AF287)-SUMIFS($AG287:$AP287,$AG$4:$AP$4,"&lt;"&amp;AH$4)))</f>
        <v/>
      </c>
      <c r="AS287" s="160">
        <f>Y287+MAX(0,MIN(AI287,'Debt Payoff'!$C$12-SUM($W287:$AF287)-SUMIFS($AG287:$AP287,$AG$4:$AP$4,"&lt;"&amp;AI$4)))</f>
        <v/>
      </c>
      <c r="AT287" s="160">
        <f>Z287+MAX(0,MIN(AJ287,'Debt Payoff'!$C$12-SUM($W287:$AF287)-SUMIFS($AG287:$AP287,$AG$4:$AP$4,"&lt;"&amp;AJ$4)))</f>
        <v/>
      </c>
      <c r="AU287" s="160">
        <f>AA287+MAX(0,MIN(AK287,'Debt Payoff'!$C$12-SUM($W287:$AF287)-SUMIFS($AG287:$AP287,$AG$4:$AP$4,"&lt;"&amp;AK$4)))</f>
        <v/>
      </c>
      <c r="AV287" s="160">
        <f>AB287+MAX(0,MIN(AL287,'Debt Payoff'!$C$12-SUM($W287:$AF287)-SUMIFS($AG287:$AP287,$AG$4:$AP$4,"&lt;"&amp;AL$4)))</f>
        <v/>
      </c>
      <c r="AW287" s="160">
        <f>AC287+MAX(0,MIN(AM287,'Debt Payoff'!$C$12-SUM($W287:$AF287)-SUMIFS($AG287:$AP287,$AG$4:$AP$4,"&lt;"&amp;AM$4)))</f>
        <v/>
      </c>
      <c r="AX287" s="160">
        <f>AD287+MAX(0,MIN(AN287,'Debt Payoff'!$C$12-SUM($W287:$AF287)-SUMIFS($AG287:$AP287,$AG$4:$AP$4,"&lt;"&amp;AN$4)))</f>
        <v/>
      </c>
      <c r="AY287" s="160">
        <f>AE287+MAX(0,MIN(AO287,'Debt Payoff'!$C$12-SUM($W287:$AF287)-SUMIFS($AG287:$AP287,$AG$4:$AP$4,"&lt;"&amp;AO$4)))</f>
        <v/>
      </c>
      <c r="AZ287" s="160">
        <f>AF287+MAX(0,MIN(AP287,'Debt Payoff'!$C$12-SUM($W287:$AF287)-SUMIFS($AG287:$AP287,$AG$4:$AP$4,"&lt;"&amp;AP$4)))</f>
        <v/>
      </c>
      <c r="BA287" s="160">
        <f>SUM(C287:L287)</f>
        <v/>
      </c>
      <c r="BB287" s="160">
        <f>SUM(AQ287:AZ287)</f>
        <v/>
      </c>
      <c r="BC287" s="160">
        <f>SUM(M287:V287)</f>
        <v/>
      </c>
    </row>
    <row r="288">
      <c r="A288" s="157" t="n">
        <v>283</v>
      </c>
      <c r="B288" s="159">
        <f>EDATE('Debt Payoff'!$C$6,282)</f>
        <v/>
      </c>
      <c r="C288" s="160">
        <f>MAX(0,ROUND(C287+M288-AQ288,2))</f>
        <v/>
      </c>
      <c r="D288" s="160">
        <f>MAX(0,ROUND(D287+N288-AR288,2))</f>
        <v/>
      </c>
      <c r="E288" s="160">
        <f>MAX(0,ROUND(E287+O288-AS288,2))</f>
        <v/>
      </c>
      <c r="F288" s="160">
        <f>MAX(0,ROUND(F287+P288-AT288,2))</f>
        <v/>
      </c>
      <c r="G288" s="160">
        <f>MAX(0,ROUND(G287+Q288-AU288,2))</f>
        <v/>
      </c>
      <c r="H288" s="160">
        <f>MAX(0,ROUND(H287+R288-AV288,2))</f>
        <v/>
      </c>
      <c r="I288" s="160">
        <f>MAX(0,ROUND(I287+S288-AW288,2))</f>
        <v/>
      </c>
      <c r="J288" s="160">
        <f>MAX(0,ROUND(J287+T288-AX288,2))</f>
        <v/>
      </c>
      <c r="K288" s="160">
        <f>MAX(0,ROUND(K287+U288-AY288,2))</f>
        <v/>
      </c>
      <c r="L288" s="160">
        <f>MAX(0,ROUND(L287+V288-AZ288,2))</f>
        <v/>
      </c>
      <c r="M288" s="160">
        <f>C287*N('Debt Payoff'!$D$15)/12</f>
        <v/>
      </c>
      <c r="N288" s="160">
        <f>D287*N('Debt Payoff'!$D$16)/12</f>
        <v/>
      </c>
      <c r="O288" s="160">
        <f>E287*N('Debt Payoff'!$D$17)/12</f>
        <v/>
      </c>
      <c r="P288" s="160">
        <f>F287*N('Debt Payoff'!$D$18)/12</f>
        <v/>
      </c>
      <c r="Q288" s="160">
        <f>G287*N('Debt Payoff'!$D$19)/12</f>
        <v/>
      </c>
      <c r="R288" s="160">
        <f>H287*N('Debt Payoff'!$D$20)/12</f>
        <v/>
      </c>
      <c r="S288" s="160">
        <f>I287*N('Debt Payoff'!$D$21)/12</f>
        <v/>
      </c>
      <c r="T288" s="160">
        <f>J287*N('Debt Payoff'!$D$22)/12</f>
        <v/>
      </c>
      <c r="U288" s="160">
        <f>K287*N('Debt Payoff'!$D$23)/12</f>
        <v/>
      </c>
      <c r="V288" s="160">
        <f>L287*N('Debt Payoff'!$D$24)/12</f>
        <v/>
      </c>
      <c r="W288" s="160">
        <f>MIN(N('Debt Payoff'!$E$15),C287+M288)</f>
        <v/>
      </c>
      <c r="X288" s="160">
        <f>MIN(N('Debt Payoff'!$E$16),D287+N288)</f>
        <v/>
      </c>
      <c r="Y288" s="160">
        <f>MIN(N('Debt Payoff'!$E$17),E287+O288)</f>
        <v/>
      </c>
      <c r="Z288" s="160">
        <f>MIN(N('Debt Payoff'!$E$18),F287+P288)</f>
        <v/>
      </c>
      <c r="AA288" s="160">
        <f>MIN(N('Debt Payoff'!$E$19),G287+Q288)</f>
        <v/>
      </c>
      <c r="AB288" s="160">
        <f>MIN(N('Debt Payoff'!$E$20),H287+R288)</f>
        <v/>
      </c>
      <c r="AC288" s="160">
        <f>MIN(N('Debt Payoff'!$E$21),I287+S288)</f>
        <v/>
      </c>
      <c r="AD288" s="160">
        <f>MIN(N('Debt Payoff'!$E$22),J287+T288)</f>
        <v/>
      </c>
      <c r="AE288" s="160">
        <f>MIN(N('Debt Payoff'!$E$23),K287+U288)</f>
        <v/>
      </c>
      <c r="AF288" s="160">
        <f>MIN(N('Debt Payoff'!$E$24),L287+V288)</f>
        <v/>
      </c>
      <c r="AG288" s="160">
        <f>C287+M288-W288</f>
        <v/>
      </c>
      <c r="AH288" s="160">
        <f>D287+N288-X288</f>
        <v/>
      </c>
      <c r="AI288" s="160">
        <f>E287+O288-Y288</f>
        <v/>
      </c>
      <c r="AJ288" s="160">
        <f>F287+P288-Z288</f>
        <v/>
      </c>
      <c r="AK288" s="160">
        <f>G287+Q288-AA288</f>
        <v/>
      </c>
      <c r="AL288" s="160">
        <f>H287+R288-AB288</f>
        <v/>
      </c>
      <c r="AM288" s="160">
        <f>I287+S288-AC288</f>
        <v/>
      </c>
      <c r="AN288" s="160">
        <f>J287+T288-AD288</f>
        <v/>
      </c>
      <c r="AO288" s="160">
        <f>K287+U288-AE288</f>
        <v/>
      </c>
      <c r="AP288" s="160">
        <f>L287+V288-AF288</f>
        <v/>
      </c>
      <c r="AQ288" s="160">
        <f>W288+MAX(0,MIN(AG288,'Debt Payoff'!$C$12-SUM($W288:$AF288)-SUMIFS($AG288:$AP288,$AG$4:$AP$4,"&lt;"&amp;AG$4)))</f>
        <v/>
      </c>
      <c r="AR288" s="160">
        <f>X288+MAX(0,MIN(AH288,'Debt Payoff'!$C$12-SUM($W288:$AF288)-SUMIFS($AG288:$AP288,$AG$4:$AP$4,"&lt;"&amp;AH$4)))</f>
        <v/>
      </c>
      <c r="AS288" s="160">
        <f>Y288+MAX(0,MIN(AI288,'Debt Payoff'!$C$12-SUM($W288:$AF288)-SUMIFS($AG288:$AP288,$AG$4:$AP$4,"&lt;"&amp;AI$4)))</f>
        <v/>
      </c>
      <c r="AT288" s="160">
        <f>Z288+MAX(0,MIN(AJ288,'Debt Payoff'!$C$12-SUM($W288:$AF288)-SUMIFS($AG288:$AP288,$AG$4:$AP$4,"&lt;"&amp;AJ$4)))</f>
        <v/>
      </c>
      <c r="AU288" s="160">
        <f>AA288+MAX(0,MIN(AK288,'Debt Payoff'!$C$12-SUM($W288:$AF288)-SUMIFS($AG288:$AP288,$AG$4:$AP$4,"&lt;"&amp;AK$4)))</f>
        <v/>
      </c>
      <c r="AV288" s="160">
        <f>AB288+MAX(0,MIN(AL288,'Debt Payoff'!$C$12-SUM($W288:$AF288)-SUMIFS($AG288:$AP288,$AG$4:$AP$4,"&lt;"&amp;AL$4)))</f>
        <v/>
      </c>
      <c r="AW288" s="160">
        <f>AC288+MAX(0,MIN(AM288,'Debt Payoff'!$C$12-SUM($W288:$AF288)-SUMIFS($AG288:$AP288,$AG$4:$AP$4,"&lt;"&amp;AM$4)))</f>
        <v/>
      </c>
      <c r="AX288" s="160">
        <f>AD288+MAX(0,MIN(AN288,'Debt Payoff'!$C$12-SUM($W288:$AF288)-SUMIFS($AG288:$AP288,$AG$4:$AP$4,"&lt;"&amp;AN$4)))</f>
        <v/>
      </c>
      <c r="AY288" s="160">
        <f>AE288+MAX(0,MIN(AO288,'Debt Payoff'!$C$12-SUM($W288:$AF288)-SUMIFS($AG288:$AP288,$AG$4:$AP$4,"&lt;"&amp;AO$4)))</f>
        <v/>
      </c>
      <c r="AZ288" s="160">
        <f>AF288+MAX(0,MIN(AP288,'Debt Payoff'!$C$12-SUM($W288:$AF288)-SUMIFS($AG288:$AP288,$AG$4:$AP$4,"&lt;"&amp;AP$4)))</f>
        <v/>
      </c>
      <c r="BA288" s="160">
        <f>SUM(C288:L288)</f>
        <v/>
      </c>
      <c r="BB288" s="160">
        <f>SUM(AQ288:AZ288)</f>
        <v/>
      </c>
      <c r="BC288" s="160">
        <f>SUM(M288:V288)</f>
        <v/>
      </c>
    </row>
    <row r="289">
      <c r="A289" s="157" t="n">
        <v>284</v>
      </c>
      <c r="B289" s="159">
        <f>EDATE('Debt Payoff'!$C$6,283)</f>
        <v/>
      </c>
      <c r="C289" s="160">
        <f>MAX(0,ROUND(C288+M289-AQ289,2))</f>
        <v/>
      </c>
      <c r="D289" s="160">
        <f>MAX(0,ROUND(D288+N289-AR289,2))</f>
        <v/>
      </c>
      <c r="E289" s="160">
        <f>MAX(0,ROUND(E288+O289-AS289,2))</f>
        <v/>
      </c>
      <c r="F289" s="160">
        <f>MAX(0,ROUND(F288+P289-AT289,2))</f>
        <v/>
      </c>
      <c r="G289" s="160">
        <f>MAX(0,ROUND(G288+Q289-AU289,2))</f>
        <v/>
      </c>
      <c r="H289" s="160">
        <f>MAX(0,ROUND(H288+R289-AV289,2))</f>
        <v/>
      </c>
      <c r="I289" s="160">
        <f>MAX(0,ROUND(I288+S289-AW289,2))</f>
        <v/>
      </c>
      <c r="J289" s="160">
        <f>MAX(0,ROUND(J288+T289-AX289,2))</f>
        <v/>
      </c>
      <c r="K289" s="160">
        <f>MAX(0,ROUND(K288+U289-AY289,2))</f>
        <v/>
      </c>
      <c r="L289" s="160">
        <f>MAX(0,ROUND(L288+V289-AZ289,2))</f>
        <v/>
      </c>
      <c r="M289" s="160">
        <f>C288*N('Debt Payoff'!$D$15)/12</f>
        <v/>
      </c>
      <c r="N289" s="160">
        <f>D288*N('Debt Payoff'!$D$16)/12</f>
        <v/>
      </c>
      <c r="O289" s="160">
        <f>E288*N('Debt Payoff'!$D$17)/12</f>
        <v/>
      </c>
      <c r="P289" s="160">
        <f>F288*N('Debt Payoff'!$D$18)/12</f>
        <v/>
      </c>
      <c r="Q289" s="160">
        <f>G288*N('Debt Payoff'!$D$19)/12</f>
        <v/>
      </c>
      <c r="R289" s="160">
        <f>H288*N('Debt Payoff'!$D$20)/12</f>
        <v/>
      </c>
      <c r="S289" s="160">
        <f>I288*N('Debt Payoff'!$D$21)/12</f>
        <v/>
      </c>
      <c r="T289" s="160">
        <f>J288*N('Debt Payoff'!$D$22)/12</f>
        <v/>
      </c>
      <c r="U289" s="160">
        <f>K288*N('Debt Payoff'!$D$23)/12</f>
        <v/>
      </c>
      <c r="V289" s="160">
        <f>L288*N('Debt Payoff'!$D$24)/12</f>
        <v/>
      </c>
      <c r="W289" s="160">
        <f>MIN(N('Debt Payoff'!$E$15),C288+M289)</f>
        <v/>
      </c>
      <c r="X289" s="160">
        <f>MIN(N('Debt Payoff'!$E$16),D288+N289)</f>
        <v/>
      </c>
      <c r="Y289" s="160">
        <f>MIN(N('Debt Payoff'!$E$17),E288+O289)</f>
        <v/>
      </c>
      <c r="Z289" s="160">
        <f>MIN(N('Debt Payoff'!$E$18),F288+P289)</f>
        <v/>
      </c>
      <c r="AA289" s="160">
        <f>MIN(N('Debt Payoff'!$E$19),G288+Q289)</f>
        <v/>
      </c>
      <c r="AB289" s="160">
        <f>MIN(N('Debt Payoff'!$E$20),H288+R289)</f>
        <v/>
      </c>
      <c r="AC289" s="160">
        <f>MIN(N('Debt Payoff'!$E$21),I288+S289)</f>
        <v/>
      </c>
      <c r="AD289" s="160">
        <f>MIN(N('Debt Payoff'!$E$22),J288+T289)</f>
        <v/>
      </c>
      <c r="AE289" s="160">
        <f>MIN(N('Debt Payoff'!$E$23),K288+U289)</f>
        <v/>
      </c>
      <c r="AF289" s="160">
        <f>MIN(N('Debt Payoff'!$E$24),L288+V289)</f>
        <v/>
      </c>
      <c r="AG289" s="160">
        <f>C288+M289-W289</f>
        <v/>
      </c>
      <c r="AH289" s="160">
        <f>D288+N289-X289</f>
        <v/>
      </c>
      <c r="AI289" s="160">
        <f>E288+O289-Y289</f>
        <v/>
      </c>
      <c r="AJ289" s="160">
        <f>F288+P289-Z289</f>
        <v/>
      </c>
      <c r="AK289" s="160">
        <f>G288+Q289-AA289</f>
        <v/>
      </c>
      <c r="AL289" s="160">
        <f>H288+R289-AB289</f>
        <v/>
      </c>
      <c r="AM289" s="160">
        <f>I288+S289-AC289</f>
        <v/>
      </c>
      <c r="AN289" s="160">
        <f>J288+T289-AD289</f>
        <v/>
      </c>
      <c r="AO289" s="160">
        <f>K288+U289-AE289</f>
        <v/>
      </c>
      <c r="AP289" s="160">
        <f>L288+V289-AF289</f>
        <v/>
      </c>
      <c r="AQ289" s="160">
        <f>W289+MAX(0,MIN(AG289,'Debt Payoff'!$C$12-SUM($W289:$AF289)-SUMIFS($AG289:$AP289,$AG$4:$AP$4,"&lt;"&amp;AG$4)))</f>
        <v/>
      </c>
      <c r="AR289" s="160">
        <f>X289+MAX(0,MIN(AH289,'Debt Payoff'!$C$12-SUM($W289:$AF289)-SUMIFS($AG289:$AP289,$AG$4:$AP$4,"&lt;"&amp;AH$4)))</f>
        <v/>
      </c>
      <c r="AS289" s="160">
        <f>Y289+MAX(0,MIN(AI289,'Debt Payoff'!$C$12-SUM($W289:$AF289)-SUMIFS($AG289:$AP289,$AG$4:$AP$4,"&lt;"&amp;AI$4)))</f>
        <v/>
      </c>
      <c r="AT289" s="160">
        <f>Z289+MAX(0,MIN(AJ289,'Debt Payoff'!$C$12-SUM($W289:$AF289)-SUMIFS($AG289:$AP289,$AG$4:$AP$4,"&lt;"&amp;AJ$4)))</f>
        <v/>
      </c>
      <c r="AU289" s="160">
        <f>AA289+MAX(0,MIN(AK289,'Debt Payoff'!$C$12-SUM($W289:$AF289)-SUMIFS($AG289:$AP289,$AG$4:$AP$4,"&lt;"&amp;AK$4)))</f>
        <v/>
      </c>
      <c r="AV289" s="160">
        <f>AB289+MAX(0,MIN(AL289,'Debt Payoff'!$C$12-SUM($W289:$AF289)-SUMIFS($AG289:$AP289,$AG$4:$AP$4,"&lt;"&amp;AL$4)))</f>
        <v/>
      </c>
      <c r="AW289" s="160">
        <f>AC289+MAX(0,MIN(AM289,'Debt Payoff'!$C$12-SUM($W289:$AF289)-SUMIFS($AG289:$AP289,$AG$4:$AP$4,"&lt;"&amp;AM$4)))</f>
        <v/>
      </c>
      <c r="AX289" s="160">
        <f>AD289+MAX(0,MIN(AN289,'Debt Payoff'!$C$12-SUM($W289:$AF289)-SUMIFS($AG289:$AP289,$AG$4:$AP$4,"&lt;"&amp;AN$4)))</f>
        <v/>
      </c>
      <c r="AY289" s="160">
        <f>AE289+MAX(0,MIN(AO289,'Debt Payoff'!$C$12-SUM($W289:$AF289)-SUMIFS($AG289:$AP289,$AG$4:$AP$4,"&lt;"&amp;AO$4)))</f>
        <v/>
      </c>
      <c r="AZ289" s="160">
        <f>AF289+MAX(0,MIN(AP289,'Debt Payoff'!$C$12-SUM($W289:$AF289)-SUMIFS($AG289:$AP289,$AG$4:$AP$4,"&lt;"&amp;AP$4)))</f>
        <v/>
      </c>
      <c r="BA289" s="160">
        <f>SUM(C289:L289)</f>
        <v/>
      </c>
      <c r="BB289" s="160">
        <f>SUM(AQ289:AZ289)</f>
        <v/>
      </c>
      <c r="BC289" s="160">
        <f>SUM(M289:V289)</f>
        <v/>
      </c>
    </row>
    <row r="290">
      <c r="A290" s="157" t="n">
        <v>285</v>
      </c>
      <c r="B290" s="159">
        <f>EDATE('Debt Payoff'!$C$6,284)</f>
        <v/>
      </c>
      <c r="C290" s="160">
        <f>MAX(0,ROUND(C289+M290-AQ290,2))</f>
        <v/>
      </c>
      <c r="D290" s="160">
        <f>MAX(0,ROUND(D289+N290-AR290,2))</f>
        <v/>
      </c>
      <c r="E290" s="160">
        <f>MAX(0,ROUND(E289+O290-AS290,2))</f>
        <v/>
      </c>
      <c r="F290" s="160">
        <f>MAX(0,ROUND(F289+P290-AT290,2))</f>
        <v/>
      </c>
      <c r="G290" s="160">
        <f>MAX(0,ROUND(G289+Q290-AU290,2))</f>
        <v/>
      </c>
      <c r="H290" s="160">
        <f>MAX(0,ROUND(H289+R290-AV290,2))</f>
        <v/>
      </c>
      <c r="I290" s="160">
        <f>MAX(0,ROUND(I289+S290-AW290,2))</f>
        <v/>
      </c>
      <c r="J290" s="160">
        <f>MAX(0,ROUND(J289+T290-AX290,2))</f>
        <v/>
      </c>
      <c r="K290" s="160">
        <f>MAX(0,ROUND(K289+U290-AY290,2))</f>
        <v/>
      </c>
      <c r="L290" s="160">
        <f>MAX(0,ROUND(L289+V290-AZ290,2))</f>
        <v/>
      </c>
      <c r="M290" s="160">
        <f>C289*N('Debt Payoff'!$D$15)/12</f>
        <v/>
      </c>
      <c r="N290" s="160">
        <f>D289*N('Debt Payoff'!$D$16)/12</f>
        <v/>
      </c>
      <c r="O290" s="160">
        <f>E289*N('Debt Payoff'!$D$17)/12</f>
        <v/>
      </c>
      <c r="P290" s="160">
        <f>F289*N('Debt Payoff'!$D$18)/12</f>
        <v/>
      </c>
      <c r="Q290" s="160">
        <f>G289*N('Debt Payoff'!$D$19)/12</f>
        <v/>
      </c>
      <c r="R290" s="160">
        <f>H289*N('Debt Payoff'!$D$20)/12</f>
        <v/>
      </c>
      <c r="S290" s="160">
        <f>I289*N('Debt Payoff'!$D$21)/12</f>
        <v/>
      </c>
      <c r="T290" s="160">
        <f>J289*N('Debt Payoff'!$D$22)/12</f>
        <v/>
      </c>
      <c r="U290" s="160">
        <f>K289*N('Debt Payoff'!$D$23)/12</f>
        <v/>
      </c>
      <c r="V290" s="160">
        <f>L289*N('Debt Payoff'!$D$24)/12</f>
        <v/>
      </c>
      <c r="W290" s="160">
        <f>MIN(N('Debt Payoff'!$E$15),C289+M290)</f>
        <v/>
      </c>
      <c r="X290" s="160">
        <f>MIN(N('Debt Payoff'!$E$16),D289+N290)</f>
        <v/>
      </c>
      <c r="Y290" s="160">
        <f>MIN(N('Debt Payoff'!$E$17),E289+O290)</f>
        <v/>
      </c>
      <c r="Z290" s="160">
        <f>MIN(N('Debt Payoff'!$E$18),F289+P290)</f>
        <v/>
      </c>
      <c r="AA290" s="160">
        <f>MIN(N('Debt Payoff'!$E$19),G289+Q290)</f>
        <v/>
      </c>
      <c r="AB290" s="160">
        <f>MIN(N('Debt Payoff'!$E$20),H289+R290)</f>
        <v/>
      </c>
      <c r="AC290" s="160">
        <f>MIN(N('Debt Payoff'!$E$21),I289+S290)</f>
        <v/>
      </c>
      <c r="AD290" s="160">
        <f>MIN(N('Debt Payoff'!$E$22),J289+T290)</f>
        <v/>
      </c>
      <c r="AE290" s="160">
        <f>MIN(N('Debt Payoff'!$E$23),K289+U290)</f>
        <v/>
      </c>
      <c r="AF290" s="160">
        <f>MIN(N('Debt Payoff'!$E$24),L289+V290)</f>
        <v/>
      </c>
      <c r="AG290" s="160">
        <f>C289+M290-W290</f>
        <v/>
      </c>
      <c r="AH290" s="160">
        <f>D289+N290-X290</f>
        <v/>
      </c>
      <c r="AI290" s="160">
        <f>E289+O290-Y290</f>
        <v/>
      </c>
      <c r="AJ290" s="160">
        <f>F289+P290-Z290</f>
        <v/>
      </c>
      <c r="AK290" s="160">
        <f>G289+Q290-AA290</f>
        <v/>
      </c>
      <c r="AL290" s="160">
        <f>H289+R290-AB290</f>
        <v/>
      </c>
      <c r="AM290" s="160">
        <f>I289+S290-AC290</f>
        <v/>
      </c>
      <c r="AN290" s="160">
        <f>J289+T290-AD290</f>
        <v/>
      </c>
      <c r="AO290" s="160">
        <f>K289+U290-AE290</f>
        <v/>
      </c>
      <c r="AP290" s="160">
        <f>L289+V290-AF290</f>
        <v/>
      </c>
      <c r="AQ290" s="160">
        <f>W290+MAX(0,MIN(AG290,'Debt Payoff'!$C$12-SUM($W290:$AF290)-SUMIFS($AG290:$AP290,$AG$4:$AP$4,"&lt;"&amp;AG$4)))</f>
        <v/>
      </c>
      <c r="AR290" s="160">
        <f>X290+MAX(0,MIN(AH290,'Debt Payoff'!$C$12-SUM($W290:$AF290)-SUMIFS($AG290:$AP290,$AG$4:$AP$4,"&lt;"&amp;AH$4)))</f>
        <v/>
      </c>
      <c r="AS290" s="160">
        <f>Y290+MAX(0,MIN(AI290,'Debt Payoff'!$C$12-SUM($W290:$AF290)-SUMIFS($AG290:$AP290,$AG$4:$AP$4,"&lt;"&amp;AI$4)))</f>
        <v/>
      </c>
      <c r="AT290" s="160">
        <f>Z290+MAX(0,MIN(AJ290,'Debt Payoff'!$C$12-SUM($W290:$AF290)-SUMIFS($AG290:$AP290,$AG$4:$AP$4,"&lt;"&amp;AJ$4)))</f>
        <v/>
      </c>
      <c r="AU290" s="160">
        <f>AA290+MAX(0,MIN(AK290,'Debt Payoff'!$C$12-SUM($W290:$AF290)-SUMIFS($AG290:$AP290,$AG$4:$AP$4,"&lt;"&amp;AK$4)))</f>
        <v/>
      </c>
      <c r="AV290" s="160">
        <f>AB290+MAX(0,MIN(AL290,'Debt Payoff'!$C$12-SUM($W290:$AF290)-SUMIFS($AG290:$AP290,$AG$4:$AP$4,"&lt;"&amp;AL$4)))</f>
        <v/>
      </c>
      <c r="AW290" s="160">
        <f>AC290+MAX(0,MIN(AM290,'Debt Payoff'!$C$12-SUM($W290:$AF290)-SUMIFS($AG290:$AP290,$AG$4:$AP$4,"&lt;"&amp;AM$4)))</f>
        <v/>
      </c>
      <c r="AX290" s="160">
        <f>AD290+MAX(0,MIN(AN290,'Debt Payoff'!$C$12-SUM($W290:$AF290)-SUMIFS($AG290:$AP290,$AG$4:$AP$4,"&lt;"&amp;AN$4)))</f>
        <v/>
      </c>
      <c r="AY290" s="160">
        <f>AE290+MAX(0,MIN(AO290,'Debt Payoff'!$C$12-SUM($W290:$AF290)-SUMIFS($AG290:$AP290,$AG$4:$AP$4,"&lt;"&amp;AO$4)))</f>
        <v/>
      </c>
      <c r="AZ290" s="160">
        <f>AF290+MAX(0,MIN(AP290,'Debt Payoff'!$C$12-SUM($W290:$AF290)-SUMIFS($AG290:$AP290,$AG$4:$AP$4,"&lt;"&amp;AP$4)))</f>
        <v/>
      </c>
      <c r="BA290" s="160">
        <f>SUM(C290:L290)</f>
        <v/>
      </c>
      <c r="BB290" s="160">
        <f>SUM(AQ290:AZ290)</f>
        <v/>
      </c>
      <c r="BC290" s="160">
        <f>SUM(M290:V290)</f>
        <v/>
      </c>
    </row>
    <row r="291">
      <c r="A291" s="157" t="n">
        <v>286</v>
      </c>
      <c r="B291" s="159">
        <f>EDATE('Debt Payoff'!$C$6,285)</f>
        <v/>
      </c>
      <c r="C291" s="160">
        <f>MAX(0,ROUND(C290+M291-AQ291,2))</f>
        <v/>
      </c>
      <c r="D291" s="160">
        <f>MAX(0,ROUND(D290+N291-AR291,2))</f>
        <v/>
      </c>
      <c r="E291" s="160">
        <f>MAX(0,ROUND(E290+O291-AS291,2))</f>
        <v/>
      </c>
      <c r="F291" s="160">
        <f>MAX(0,ROUND(F290+P291-AT291,2))</f>
        <v/>
      </c>
      <c r="G291" s="160">
        <f>MAX(0,ROUND(G290+Q291-AU291,2))</f>
        <v/>
      </c>
      <c r="H291" s="160">
        <f>MAX(0,ROUND(H290+R291-AV291,2))</f>
        <v/>
      </c>
      <c r="I291" s="160">
        <f>MAX(0,ROUND(I290+S291-AW291,2))</f>
        <v/>
      </c>
      <c r="J291" s="160">
        <f>MAX(0,ROUND(J290+T291-AX291,2))</f>
        <v/>
      </c>
      <c r="K291" s="160">
        <f>MAX(0,ROUND(K290+U291-AY291,2))</f>
        <v/>
      </c>
      <c r="L291" s="160">
        <f>MAX(0,ROUND(L290+V291-AZ291,2))</f>
        <v/>
      </c>
      <c r="M291" s="160">
        <f>C290*N('Debt Payoff'!$D$15)/12</f>
        <v/>
      </c>
      <c r="N291" s="160">
        <f>D290*N('Debt Payoff'!$D$16)/12</f>
        <v/>
      </c>
      <c r="O291" s="160">
        <f>E290*N('Debt Payoff'!$D$17)/12</f>
        <v/>
      </c>
      <c r="P291" s="160">
        <f>F290*N('Debt Payoff'!$D$18)/12</f>
        <v/>
      </c>
      <c r="Q291" s="160">
        <f>G290*N('Debt Payoff'!$D$19)/12</f>
        <v/>
      </c>
      <c r="R291" s="160">
        <f>H290*N('Debt Payoff'!$D$20)/12</f>
        <v/>
      </c>
      <c r="S291" s="160">
        <f>I290*N('Debt Payoff'!$D$21)/12</f>
        <v/>
      </c>
      <c r="T291" s="160">
        <f>J290*N('Debt Payoff'!$D$22)/12</f>
        <v/>
      </c>
      <c r="U291" s="160">
        <f>K290*N('Debt Payoff'!$D$23)/12</f>
        <v/>
      </c>
      <c r="V291" s="160">
        <f>L290*N('Debt Payoff'!$D$24)/12</f>
        <v/>
      </c>
      <c r="W291" s="160">
        <f>MIN(N('Debt Payoff'!$E$15),C290+M291)</f>
        <v/>
      </c>
      <c r="X291" s="160">
        <f>MIN(N('Debt Payoff'!$E$16),D290+N291)</f>
        <v/>
      </c>
      <c r="Y291" s="160">
        <f>MIN(N('Debt Payoff'!$E$17),E290+O291)</f>
        <v/>
      </c>
      <c r="Z291" s="160">
        <f>MIN(N('Debt Payoff'!$E$18),F290+P291)</f>
        <v/>
      </c>
      <c r="AA291" s="160">
        <f>MIN(N('Debt Payoff'!$E$19),G290+Q291)</f>
        <v/>
      </c>
      <c r="AB291" s="160">
        <f>MIN(N('Debt Payoff'!$E$20),H290+R291)</f>
        <v/>
      </c>
      <c r="AC291" s="160">
        <f>MIN(N('Debt Payoff'!$E$21),I290+S291)</f>
        <v/>
      </c>
      <c r="AD291" s="160">
        <f>MIN(N('Debt Payoff'!$E$22),J290+T291)</f>
        <v/>
      </c>
      <c r="AE291" s="160">
        <f>MIN(N('Debt Payoff'!$E$23),K290+U291)</f>
        <v/>
      </c>
      <c r="AF291" s="160">
        <f>MIN(N('Debt Payoff'!$E$24),L290+V291)</f>
        <v/>
      </c>
      <c r="AG291" s="160">
        <f>C290+M291-W291</f>
        <v/>
      </c>
      <c r="AH291" s="160">
        <f>D290+N291-X291</f>
        <v/>
      </c>
      <c r="AI291" s="160">
        <f>E290+O291-Y291</f>
        <v/>
      </c>
      <c r="AJ291" s="160">
        <f>F290+P291-Z291</f>
        <v/>
      </c>
      <c r="AK291" s="160">
        <f>G290+Q291-AA291</f>
        <v/>
      </c>
      <c r="AL291" s="160">
        <f>H290+R291-AB291</f>
        <v/>
      </c>
      <c r="AM291" s="160">
        <f>I290+S291-AC291</f>
        <v/>
      </c>
      <c r="AN291" s="160">
        <f>J290+T291-AD291</f>
        <v/>
      </c>
      <c r="AO291" s="160">
        <f>K290+U291-AE291</f>
        <v/>
      </c>
      <c r="AP291" s="160">
        <f>L290+V291-AF291</f>
        <v/>
      </c>
      <c r="AQ291" s="160">
        <f>W291+MAX(0,MIN(AG291,'Debt Payoff'!$C$12-SUM($W291:$AF291)-SUMIFS($AG291:$AP291,$AG$4:$AP$4,"&lt;"&amp;AG$4)))</f>
        <v/>
      </c>
      <c r="AR291" s="160">
        <f>X291+MAX(0,MIN(AH291,'Debt Payoff'!$C$12-SUM($W291:$AF291)-SUMIFS($AG291:$AP291,$AG$4:$AP$4,"&lt;"&amp;AH$4)))</f>
        <v/>
      </c>
      <c r="AS291" s="160">
        <f>Y291+MAX(0,MIN(AI291,'Debt Payoff'!$C$12-SUM($W291:$AF291)-SUMIFS($AG291:$AP291,$AG$4:$AP$4,"&lt;"&amp;AI$4)))</f>
        <v/>
      </c>
      <c r="AT291" s="160">
        <f>Z291+MAX(0,MIN(AJ291,'Debt Payoff'!$C$12-SUM($W291:$AF291)-SUMIFS($AG291:$AP291,$AG$4:$AP$4,"&lt;"&amp;AJ$4)))</f>
        <v/>
      </c>
      <c r="AU291" s="160">
        <f>AA291+MAX(0,MIN(AK291,'Debt Payoff'!$C$12-SUM($W291:$AF291)-SUMIFS($AG291:$AP291,$AG$4:$AP$4,"&lt;"&amp;AK$4)))</f>
        <v/>
      </c>
      <c r="AV291" s="160">
        <f>AB291+MAX(0,MIN(AL291,'Debt Payoff'!$C$12-SUM($W291:$AF291)-SUMIFS($AG291:$AP291,$AG$4:$AP$4,"&lt;"&amp;AL$4)))</f>
        <v/>
      </c>
      <c r="AW291" s="160">
        <f>AC291+MAX(0,MIN(AM291,'Debt Payoff'!$C$12-SUM($W291:$AF291)-SUMIFS($AG291:$AP291,$AG$4:$AP$4,"&lt;"&amp;AM$4)))</f>
        <v/>
      </c>
      <c r="AX291" s="160">
        <f>AD291+MAX(0,MIN(AN291,'Debt Payoff'!$C$12-SUM($W291:$AF291)-SUMIFS($AG291:$AP291,$AG$4:$AP$4,"&lt;"&amp;AN$4)))</f>
        <v/>
      </c>
      <c r="AY291" s="160">
        <f>AE291+MAX(0,MIN(AO291,'Debt Payoff'!$C$12-SUM($W291:$AF291)-SUMIFS($AG291:$AP291,$AG$4:$AP$4,"&lt;"&amp;AO$4)))</f>
        <v/>
      </c>
      <c r="AZ291" s="160">
        <f>AF291+MAX(0,MIN(AP291,'Debt Payoff'!$C$12-SUM($W291:$AF291)-SUMIFS($AG291:$AP291,$AG$4:$AP$4,"&lt;"&amp;AP$4)))</f>
        <v/>
      </c>
      <c r="BA291" s="160">
        <f>SUM(C291:L291)</f>
        <v/>
      </c>
      <c r="BB291" s="160">
        <f>SUM(AQ291:AZ291)</f>
        <v/>
      </c>
      <c r="BC291" s="160">
        <f>SUM(M291:V291)</f>
        <v/>
      </c>
    </row>
    <row r="292">
      <c r="A292" s="157" t="n">
        <v>287</v>
      </c>
      <c r="B292" s="159">
        <f>EDATE('Debt Payoff'!$C$6,286)</f>
        <v/>
      </c>
      <c r="C292" s="160">
        <f>MAX(0,ROUND(C291+M292-AQ292,2))</f>
        <v/>
      </c>
      <c r="D292" s="160">
        <f>MAX(0,ROUND(D291+N292-AR292,2))</f>
        <v/>
      </c>
      <c r="E292" s="160">
        <f>MAX(0,ROUND(E291+O292-AS292,2))</f>
        <v/>
      </c>
      <c r="F292" s="160">
        <f>MAX(0,ROUND(F291+P292-AT292,2))</f>
        <v/>
      </c>
      <c r="G292" s="160">
        <f>MAX(0,ROUND(G291+Q292-AU292,2))</f>
        <v/>
      </c>
      <c r="H292" s="160">
        <f>MAX(0,ROUND(H291+R292-AV292,2))</f>
        <v/>
      </c>
      <c r="I292" s="160">
        <f>MAX(0,ROUND(I291+S292-AW292,2))</f>
        <v/>
      </c>
      <c r="J292" s="160">
        <f>MAX(0,ROUND(J291+T292-AX292,2))</f>
        <v/>
      </c>
      <c r="K292" s="160">
        <f>MAX(0,ROUND(K291+U292-AY292,2))</f>
        <v/>
      </c>
      <c r="L292" s="160">
        <f>MAX(0,ROUND(L291+V292-AZ292,2))</f>
        <v/>
      </c>
      <c r="M292" s="160">
        <f>C291*N('Debt Payoff'!$D$15)/12</f>
        <v/>
      </c>
      <c r="N292" s="160">
        <f>D291*N('Debt Payoff'!$D$16)/12</f>
        <v/>
      </c>
      <c r="O292" s="160">
        <f>E291*N('Debt Payoff'!$D$17)/12</f>
        <v/>
      </c>
      <c r="P292" s="160">
        <f>F291*N('Debt Payoff'!$D$18)/12</f>
        <v/>
      </c>
      <c r="Q292" s="160">
        <f>G291*N('Debt Payoff'!$D$19)/12</f>
        <v/>
      </c>
      <c r="R292" s="160">
        <f>H291*N('Debt Payoff'!$D$20)/12</f>
        <v/>
      </c>
      <c r="S292" s="160">
        <f>I291*N('Debt Payoff'!$D$21)/12</f>
        <v/>
      </c>
      <c r="T292" s="160">
        <f>J291*N('Debt Payoff'!$D$22)/12</f>
        <v/>
      </c>
      <c r="U292" s="160">
        <f>K291*N('Debt Payoff'!$D$23)/12</f>
        <v/>
      </c>
      <c r="V292" s="160">
        <f>L291*N('Debt Payoff'!$D$24)/12</f>
        <v/>
      </c>
      <c r="W292" s="160">
        <f>MIN(N('Debt Payoff'!$E$15),C291+M292)</f>
        <v/>
      </c>
      <c r="X292" s="160">
        <f>MIN(N('Debt Payoff'!$E$16),D291+N292)</f>
        <v/>
      </c>
      <c r="Y292" s="160">
        <f>MIN(N('Debt Payoff'!$E$17),E291+O292)</f>
        <v/>
      </c>
      <c r="Z292" s="160">
        <f>MIN(N('Debt Payoff'!$E$18),F291+P292)</f>
        <v/>
      </c>
      <c r="AA292" s="160">
        <f>MIN(N('Debt Payoff'!$E$19),G291+Q292)</f>
        <v/>
      </c>
      <c r="AB292" s="160">
        <f>MIN(N('Debt Payoff'!$E$20),H291+R292)</f>
        <v/>
      </c>
      <c r="AC292" s="160">
        <f>MIN(N('Debt Payoff'!$E$21),I291+S292)</f>
        <v/>
      </c>
      <c r="AD292" s="160">
        <f>MIN(N('Debt Payoff'!$E$22),J291+T292)</f>
        <v/>
      </c>
      <c r="AE292" s="160">
        <f>MIN(N('Debt Payoff'!$E$23),K291+U292)</f>
        <v/>
      </c>
      <c r="AF292" s="160">
        <f>MIN(N('Debt Payoff'!$E$24),L291+V292)</f>
        <v/>
      </c>
      <c r="AG292" s="160">
        <f>C291+M292-W292</f>
        <v/>
      </c>
      <c r="AH292" s="160">
        <f>D291+N292-X292</f>
        <v/>
      </c>
      <c r="AI292" s="160">
        <f>E291+O292-Y292</f>
        <v/>
      </c>
      <c r="AJ292" s="160">
        <f>F291+P292-Z292</f>
        <v/>
      </c>
      <c r="AK292" s="160">
        <f>G291+Q292-AA292</f>
        <v/>
      </c>
      <c r="AL292" s="160">
        <f>H291+R292-AB292</f>
        <v/>
      </c>
      <c r="AM292" s="160">
        <f>I291+S292-AC292</f>
        <v/>
      </c>
      <c r="AN292" s="160">
        <f>J291+T292-AD292</f>
        <v/>
      </c>
      <c r="AO292" s="160">
        <f>K291+U292-AE292</f>
        <v/>
      </c>
      <c r="AP292" s="160">
        <f>L291+V292-AF292</f>
        <v/>
      </c>
      <c r="AQ292" s="160">
        <f>W292+MAX(0,MIN(AG292,'Debt Payoff'!$C$12-SUM($W292:$AF292)-SUMIFS($AG292:$AP292,$AG$4:$AP$4,"&lt;"&amp;AG$4)))</f>
        <v/>
      </c>
      <c r="AR292" s="160">
        <f>X292+MAX(0,MIN(AH292,'Debt Payoff'!$C$12-SUM($W292:$AF292)-SUMIFS($AG292:$AP292,$AG$4:$AP$4,"&lt;"&amp;AH$4)))</f>
        <v/>
      </c>
      <c r="AS292" s="160">
        <f>Y292+MAX(0,MIN(AI292,'Debt Payoff'!$C$12-SUM($W292:$AF292)-SUMIFS($AG292:$AP292,$AG$4:$AP$4,"&lt;"&amp;AI$4)))</f>
        <v/>
      </c>
      <c r="AT292" s="160">
        <f>Z292+MAX(0,MIN(AJ292,'Debt Payoff'!$C$12-SUM($W292:$AF292)-SUMIFS($AG292:$AP292,$AG$4:$AP$4,"&lt;"&amp;AJ$4)))</f>
        <v/>
      </c>
      <c r="AU292" s="160">
        <f>AA292+MAX(0,MIN(AK292,'Debt Payoff'!$C$12-SUM($W292:$AF292)-SUMIFS($AG292:$AP292,$AG$4:$AP$4,"&lt;"&amp;AK$4)))</f>
        <v/>
      </c>
      <c r="AV292" s="160">
        <f>AB292+MAX(0,MIN(AL292,'Debt Payoff'!$C$12-SUM($W292:$AF292)-SUMIFS($AG292:$AP292,$AG$4:$AP$4,"&lt;"&amp;AL$4)))</f>
        <v/>
      </c>
      <c r="AW292" s="160">
        <f>AC292+MAX(0,MIN(AM292,'Debt Payoff'!$C$12-SUM($W292:$AF292)-SUMIFS($AG292:$AP292,$AG$4:$AP$4,"&lt;"&amp;AM$4)))</f>
        <v/>
      </c>
      <c r="AX292" s="160">
        <f>AD292+MAX(0,MIN(AN292,'Debt Payoff'!$C$12-SUM($W292:$AF292)-SUMIFS($AG292:$AP292,$AG$4:$AP$4,"&lt;"&amp;AN$4)))</f>
        <v/>
      </c>
      <c r="AY292" s="160">
        <f>AE292+MAX(0,MIN(AO292,'Debt Payoff'!$C$12-SUM($W292:$AF292)-SUMIFS($AG292:$AP292,$AG$4:$AP$4,"&lt;"&amp;AO$4)))</f>
        <v/>
      </c>
      <c r="AZ292" s="160">
        <f>AF292+MAX(0,MIN(AP292,'Debt Payoff'!$C$12-SUM($W292:$AF292)-SUMIFS($AG292:$AP292,$AG$4:$AP$4,"&lt;"&amp;AP$4)))</f>
        <v/>
      </c>
      <c r="BA292" s="160">
        <f>SUM(C292:L292)</f>
        <v/>
      </c>
      <c r="BB292" s="160">
        <f>SUM(AQ292:AZ292)</f>
        <v/>
      </c>
      <c r="BC292" s="160">
        <f>SUM(M292:V292)</f>
        <v/>
      </c>
    </row>
    <row r="293">
      <c r="A293" s="157" t="n">
        <v>288</v>
      </c>
      <c r="B293" s="159">
        <f>EDATE('Debt Payoff'!$C$6,287)</f>
        <v/>
      </c>
      <c r="C293" s="160">
        <f>MAX(0,ROUND(C292+M293-AQ293,2))</f>
        <v/>
      </c>
      <c r="D293" s="160">
        <f>MAX(0,ROUND(D292+N293-AR293,2))</f>
        <v/>
      </c>
      <c r="E293" s="160">
        <f>MAX(0,ROUND(E292+O293-AS293,2))</f>
        <v/>
      </c>
      <c r="F293" s="160">
        <f>MAX(0,ROUND(F292+P293-AT293,2))</f>
        <v/>
      </c>
      <c r="G293" s="160">
        <f>MAX(0,ROUND(G292+Q293-AU293,2))</f>
        <v/>
      </c>
      <c r="H293" s="160">
        <f>MAX(0,ROUND(H292+R293-AV293,2))</f>
        <v/>
      </c>
      <c r="I293" s="160">
        <f>MAX(0,ROUND(I292+S293-AW293,2))</f>
        <v/>
      </c>
      <c r="J293" s="160">
        <f>MAX(0,ROUND(J292+T293-AX293,2))</f>
        <v/>
      </c>
      <c r="K293" s="160">
        <f>MAX(0,ROUND(K292+U293-AY293,2))</f>
        <v/>
      </c>
      <c r="L293" s="160">
        <f>MAX(0,ROUND(L292+V293-AZ293,2))</f>
        <v/>
      </c>
      <c r="M293" s="160">
        <f>C292*N('Debt Payoff'!$D$15)/12</f>
        <v/>
      </c>
      <c r="N293" s="160">
        <f>D292*N('Debt Payoff'!$D$16)/12</f>
        <v/>
      </c>
      <c r="O293" s="160">
        <f>E292*N('Debt Payoff'!$D$17)/12</f>
        <v/>
      </c>
      <c r="P293" s="160">
        <f>F292*N('Debt Payoff'!$D$18)/12</f>
        <v/>
      </c>
      <c r="Q293" s="160">
        <f>G292*N('Debt Payoff'!$D$19)/12</f>
        <v/>
      </c>
      <c r="R293" s="160">
        <f>H292*N('Debt Payoff'!$D$20)/12</f>
        <v/>
      </c>
      <c r="S293" s="160">
        <f>I292*N('Debt Payoff'!$D$21)/12</f>
        <v/>
      </c>
      <c r="T293" s="160">
        <f>J292*N('Debt Payoff'!$D$22)/12</f>
        <v/>
      </c>
      <c r="U293" s="160">
        <f>K292*N('Debt Payoff'!$D$23)/12</f>
        <v/>
      </c>
      <c r="V293" s="160">
        <f>L292*N('Debt Payoff'!$D$24)/12</f>
        <v/>
      </c>
      <c r="W293" s="160">
        <f>MIN(N('Debt Payoff'!$E$15),C292+M293)</f>
        <v/>
      </c>
      <c r="X293" s="160">
        <f>MIN(N('Debt Payoff'!$E$16),D292+N293)</f>
        <v/>
      </c>
      <c r="Y293" s="160">
        <f>MIN(N('Debt Payoff'!$E$17),E292+O293)</f>
        <v/>
      </c>
      <c r="Z293" s="160">
        <f>MIN(N('Debt Payoff'!$E$18),F292+P293)</f>
        <v/>
      </c>
      <c r="AA293" s="160">
        <f>MIN(N('Debt Payoff'!$E$19),G292+Q293)</f>
        <v/>
      </c>
      <c r="AB293" s="160">
        <f>MIN(N('Debt Payoff'!$E$20),H292+R293)</f>
        <v/>
      </c>
      <c r="AC293" s="160">
        <f>MIN(N('Debt Payoff'!$E$21),I292+S293)</f>
        <v/>
      </c>
      <c r="AD293" s="160">
        <f>MIN(N('Debt Payoff'!$E$22),J292+T293)</f>
        <v/>
      </c>
      <c r="AE293" s="160">
        <f>MIN(N('Debt Payoff'!$E$23),K292+U293)</f>
        <v/>
      </c>
      <c r="AF293" s="160">
        <f>MIN(N('Debt Payoff'!$E$24),L292+V293)</f>
        <v/>
      </c>
      <c r="AG293" s="160">
        <f>C292+M293-W293</f>
        <v/>
      </c>
      <c r="AH293" s="160">
        <f>D292+N293-X293</f>
        <v/>
      </c>
      <c r="AI293" s="160">
        <f>E292+O293-Y293</f>
        <v/>
      </c>
      <c r="AJ293" s="160">
        <f>F292+P293-Z293</f>
        <v/>
      </c>
      <c r="AK293" s="160">
        <f>G292+Q293-AA293</f>
        <v/>
      </c>
      <c r="AL293" s="160">
        <f>H292+R293-AB293</f>
        <v/>
      </c>
      <c r="AM293" s="160">
        <f>I292+S293-AC293</f>
        <v/>
      </c>
      <c r="AN293" s="160">
        <f>J292+T293-AD293</f>
        <v/>
      </c>
      <c r="AO293" s="160">
        <f>K292+U293-AE293</f>
        <v/>
      </c>
      <c r="AP293" s="160">
        <f>L292+V293-AF293</f>
        <v/>
      </c>
      <c r="AQ293" s="160">
        <f>W293+MAX(0,MIN(AG293,'Debt Payoff'!$C$12-SUM($W293:$AF293)-SUMIFS($AG293:$AP293,$AG$4:$AP$4,"&lt;"&amp;AG$4)))</f>
        <v/>
      </c>
      <c r="AR293" s="160">
        <f>X293+MAX(0,MIN(AH293,'Debt Payoff'!$C$12-SUM($W293:$AF293)-SUMIFS($AG293:$AP293,$AG$4:$AP$4,"&lt;"&amp;AH$4)))</f>
        <v/>
      </c>
      <c r="AS293" s="160">
        <f>Y293+MAX(0,MIN(AI293,'Debt Payoff'!$C$12-SUM($W293:$AF293)-SUMIFS($AG293:$AP293,$AG$4:$AP$4,"&lt;"&amp;AI$4)))</f>
        <v/>
      </c>
      <c r="AT293" s="160">
        <f>Z293+MAX(0,MIN(AJ293,'Debt Payoff'!$C$12-SUM($W293:$AF293)-SUMIFS($AG293:$AP293,$AG$4:$AP$4,"&lt;"&amp;AJ$4)))</f>
        <v/>
      </c>
      <c r="AU293" s="160">
        <f>AA293+MAX(0,MIN(AK293,'Debt Payoff'!$C$12-SUM($W293:$AF293)-SUMIFS($AG293:$AP293,$AG$4:$AP$4,"&lt;"&amp;AK$4)))</f>
        <v/>
      </c>
      <c r="AV293" s="160">
        <f>AB293+MAX(0,MIN(AL293,'Debt Payoff'!$C$12-SUM($W293:$AF293)-SUMIFS($AG293:$AP293,$AG$4:$AP$4,"&lt;"&amp;AL$4)))</f>
        <v/>
      </c>
      <c r="AW293" s="160">
        <f>AC293+MAX(0,MIN(AM293,'Debt Payoff'!$C$12-SUM($W293:$AF293)-SUMIFS($AG293:$AP293,$AG$4:$AP$4,"&lt;"&amp;AM$4)))</f>
        <v/>
      </c>
      <c r="AX293" s="160">
        <f>AD293+MAX(0,MIN(AN293,'Debt Payoff'!$C$12-SUM($W293:$AF293)-SUMIFS($AG293:$AP293,$AG$4:$AP$4,"&lt;"&amp;AN$4)))</f>
        <v/>
      </c>
      <c r="AY293" s="160">
        <f>AE293+MAX(0,MIN(AO293,'Debt Payoff'!$C$12-SUM($W293:$AF293)-SUMIFS($AG293:$AP293,$AG$4:$AP$4,"&lt;"&amp;AO$4)))</f>
        <v/>
      </c>
      <c r="AZ293" s="160">
        <f>AF293+MAX(0,MIN(AP293,'Debt Payoff'!$C$12-SUM($W293:$AF293)-SUMIFS($AG293:$AP293,$AG$4:$AP$4,"&lt;"&amp;AP$4)))</f>
        <v/>
      </c>
      <c r="BA293" s="160">
        <f>SUM(C293:L293)</f>
        <v/>
      </c>
      <c r="BB293" s="160">
        <f>SUM(AQ293:AZ293)</f>
        <v/>
      </c>
      <c r="BC293" s="160">
        <f>SUM(M293:V293)</f>
        <v/>
      </c>
    </row>
    <row r="294">
      <c r="A294" s="157" t="n">
        <v>289</v>
      </c>
      <c r="B294" s="159">
        <f>EDATE('Debt Payoff'!$C$6,288)</f>
        <v/>
      </c>
      <c r="C294" s="160">
        <f>MAX(0,ROUND(C293+M294-AQ294,2))</f>
        <v/>
      </c>
      <c r="D294" s="160">
        <f>MAX(0,ROUND(D293+N294-AR294,2))</f>
        <v/>
      </c>
      <c r="E294" s="160">
        <f>MAX(0,ROUND(E293+O294-AS294,2))</f>
        <v/>
      </c>
      <c r="F294" s="160">
        <f>MAX(0,ROUND(F293+P294-AT294,2))</f>
        <v/>
      </c>
      <c r="G294" s="160">
        <f>MAX(0,ROUND(G293+Q294-AU294,2))</f>
        <v/>
      </c>
      <c r="H294" s="160">
        <f>MAX(0,ROUND(H293+R294-AV294,2))</f>
        <v/>
      </c>
      <c r="I294" s="160">
        <f>MAX(0,ROUND(I293+S294-AW294,2))</f>
        <v/>
      </c>
      <c r="J294" s="160">
        <f>MAX(0,ROUND(J293+T294-AX294,2))</f>
        <v/>
      </c>
      <c r="K294" s="160">
        <f>MAX(0,ROUND(K293+U294-AY294,2))</f>
        <v/>
      </c>
      <c r="L294" s="160">
        <f>MAX(0,ROUND(L293+V294-AZ294,2))</f>
        <v/>
      </c>
      <c r="M294" s="160">
        <f>C293*N('Debt Payoff'!$D$15)/12</f>
        <v/>
      </c>
      <c r="N294" s="160">
        <f>D293*N('Debt Payoff'!$D$16)/12</f>
        <v/>
      </c>
      <c r="O294" s="160">
        <f>E293*N('Debt Payoff'!$D$17)/12</f>
        <v/>
      </c>
      <c r="P294" s="160">
        <f>F293*N('Debt Payoff'!$D$18)/12</f>
        <v/>
      </c>
      <c r="Q294" s="160">
        <f>G293*N('Debt Payoff'!$D$19)/12</f>
        <v/>
      </c>
      <c r="R294" s="160">
        <f>H293*N('Debt Payoff'!$D$20)/12</f>
        <v/>
      </c>
      <c r="S294" s="160">
        <f>I293*N('Debt Payoff'!$D$21)/12</f>
        <v/>
      </c>
      <c r="T294" s="160">
        <f>J293*N('Debt Payoff'!$D$22)/12</f>
        <v/>
      </c>
      <c r="U294" s="160">
        <f>K293*N('Debt Payoff'!$D$23)/12</f>
        <v/>
      </c>
      <c r="V294" s="160">
        <f>L293*N('Debt Payoff'!$D$24)/12</f>
        <v/>
      </c>
      <c r="W294" s="160">
        <f>MIN(N('Debt Payoff'!$E$15),C293+M294)</f>
        <v/>
      </c>
      <c r="X294" s="160">
        <f>MIN(N('Debt Payoff'!$E$16),D293+N294)</f>
        <v/>
      </c>
      <c r="Y294" s="160">
        <f>MIN(N('Debt Payoff'!$E$17),E293+O294)</f>
        <v/>
      </c>
      <c r="Z294" s="160">
        <f>MIN(N('Debt Payoff'!$E$18),F293+P294)</f>
        <v/>
      </c>
      <c r="AA294" s="160">
        <f>MIN(N('Debt Payoff'!$E$19),G293+Q294)</f>
        <v/>
      </c>
      <c r="AB294" s="160">
        <f>MIN(N('Debt Payoff'!$E$20),H293+R294)</f>
        <v/>
      </c>
      <c r="AC294" s="160">
        <f>MIN(N('Debt Payoff'!$E$21),I293+S294)</f>
        <v/>
      </c>
      <c r="AD294" s="160">
        <f>MIN(N('Debt Payoff'!$E$22),J293+T294)</f>
        <v/>
      </c>
      <c r="AE294" s="160">
        <f>MIN(N('Debt Payoff'!$E$23),K293+U294)</f>
        <v/>
      </c>
      <c r="AF294" s="160">
        <f>MIN(N('Debt Payoff'!$E$24),L293+V294)</f>
        <v/>
      </c>
      <c r="AG294" s="160">
        <f>C293+M294-W294</f>
        <v/>
      </c>
      <c r="AH294" s="160">
        <f>D293+N294-X294</f>
        <v/>
      </c>
      <c r="AI294" s="160">
        <f>E293+O294-Y294</f>
        <v/>
      </c>
      <c r="AJ294" s="160">
        <f>F293+P294-Z294</f>
        <v/>
      </c>
      <c r="AK294" s="160">
        <f>G293+Q294-AA294</f>
        <v/>
      </c>
      <c r="AL294" s="160">
        <f>H293+R294-AB294</f>
        <v/>
      </c>
      <c r="AM294" s="160">
        <f>I293+S294-AC294</f>
        <v/>
      </c>
      <c r="AN294" s="160">
        <f>J293+T294-AD294</f>
        <v/>
      </c>
      <c r="AO294" s="160">
        <f>K293+U294-AE294</f>
        <v/>
      </c>
      <c r="AP294" s="160">
        <f>L293+V294-AF294</f>
        <v/>
      </c>
      <c r="AQ294" s="160">
        <f>W294+MAX(0,MIN(AG294,'Debt Payoff'!$C$12-SUM($W294:$AF294)-SUMIFS($AG294:$AP294,$AG$4:$AP$4,"&lt;"&amp;AG$4)))</f>
        <v/>
      </c>
      <c r="AR294" s="160">
        <f>X294+MAX(0,MIN(AH294,'Debt Payoff'!$C$12-SUM($W294:$AF294)-SUMIFS($AG294:$AP294,$AG$4:$AP$4,"&lt;"&amp;AH$4)))</f>
        <v/>
      </c>
      <c r="AS294" s="160">
        <f>Y294+MAX(0,MIN(AI294,'Debt Payoff'!$C$12-SUM($W294:$AF294)-SUMIFS($AG294:$AP294,$AG$4:$AP$4,"&lt;"&amp;AI$4)))</f>
        <v/>
      </c>
      <c r="AT294" s="160">
        <f>Z294+MAX(0,MIN(AJ294,'Debt Payoff'!$C$12-SUM($W294:$AF294)-SUMIFS($AG294:$AP294,$AG$4:$AP$4,"&lt;"&amp;AJ$4)))</f>
        <v/>
      </c>
      <c r="AU294" s="160">
        <f>AA294+MAX(0,MIN(AK294,'Debt Payoff'!$C$12-SUM($W294:$AF294)-SUMIFS($AG294:$AP294,$AG$4:$AP$4,"&lt;"&amp;AK$4)))</f>
        <v/>
      </c>
      <c r="AV294" s="160">
        <f>AB294+MAX(0,MIN(AL294,'Debt Payoff'!$C$12-SUM($W294:$AF294)-SUMIFS($AG294:$AP294,$AG$4:$AP$4,"&lt;"&amp;AL$4)))</f>
        <v/>
      </c>
      <c r="AW294" s="160">
        <f>AC294+MAX(0,MIN(AM294,'Debt Payoff'!$C$12-SUM($W294:$AF294)-SUMIFS($AG294:$AP294,$AG$4:$AP$4,"&lt;"&amp;AM$4)))</f>
        <v/>
      </c>
      <c r="AX294" s="160">
        <f>AD294+MAX(0,MIN(AN294,'Debt Payoff'!$C$12-SUM($W294:$AF294)-SUMIFS($AG294:$AP294,$AG$4:$AP$4,"&lt;"&amp;AN$4)))</f>
        <v/>
      </c>
      <c r="AY294" s="160">
        <f>AE294+MAX(0,MIN(AO294,'Debt Payoff'!$C$12-SUM($W294:$AF294)-SUMIFS($AG294:$AP294,$AG$4:$AP$4,"&lt;"&amp;AO$4)))</f>
        <v/>
      </c>
      <c r="AZ294" s="160">
        <f>AF294+MAX(0,MIN(AP294,'Debt Payoff'!$C$12-SUM($W294:$AF294)-SUMIFS($AG294:$AP294,$AG$4:$AP$4,"&lt;"&amp;AP$4)))</f>
        <v/>
      </c>
      <c r="BA294" s="160">
        <f>SUM(C294:L294)</f>
        <v/>
      </c>
      <c r="BB294" s="160">
        <f>SUM(AQ294:AZ294)</f>
        <v/>
      </c>
      <c r="BC294" s="160">
        <f>SUM(M294:V294)</f>
        <v/>
      </c>
    </row>
    <row r="295">
      <c r="A295" s="157" t="n">
        <v>290</v>
      </c>
      <c r="B295" s="159">
        <f>EDATE('Debt Payoff'!$C$6,289)</f>
        <v/>
      </c>
      <c r="C295" s="160">
        <f>MAX(0,ROUND(C294+M295-AQ295,2))</f>
        <v/>
      </c>
      <c r="D295" s="160">
        <f>MAX(0,ROUND(D294+N295-AR295,2))</f>
        <v/>
      </c>
      <c r="E295" s="160">
        <f>MAX(0,ROUND(E294+O295-AS295,2))</f>
        <v/>
      </c>
      <c r="F295" s="160">
        <f>MAX(0,ROUND(F294+P295-AT295,2))</f>
        <v/>
      </c>
      <c r="G295" s="160">
        <f>MAX(0,ROUND(G294+Q295-AU295,2))</f>
        <v/>
      </c>
      <c r="H295" s="160">
        <f>MAX(0,ROUND(H294+R295-AV295,2))</f>
        <v/>
      </c>
      <c r="I295" s="160">
        <f>MAX(0,ROUND(I294+S295-AW295,2))</f>
        <v/>
      </c>
      <c r="J295" s="160">
        <f>MAX(0,ROUND(J294+T295-AX295,2))</f>
        <v/>
      </c>
      <c r="K295" s="160">
        <f>MAX(0,ROUND(K294+U295-AY295,2))</f>
        <v/>
      </c>
      <c r="L295" s="160">
        <f>MAX(0,ROUND(L294+V295-AZ295,2))</f>
        <v/>
      </c>
      <c r="M295" s="160">
        <f>C294*N('Debt Payoff'!$D$15)/12</f>
        <v/>
      </c>
      <c r="N295" s="160">
        <f>D294*N('Debt Payoff'!$D$16)/12</f>
        <v/>
      </c>
      <c r="O295" s="160">
        <f>E294*N('Debt Payoff'!$D$17)/12</f>
        <v/>
      </c>
      <c r="P295" s="160">
        <f>F294*N('Debt Payoff'!$D$18)/12</f>
        <v/>
      </c>
      <c r="Q295" s="160">
        <f>G294*N('Debt Payoff'!$D$19)/12</f>
        <v/>
      </c>
      <c r="R295" s="160">
        <f>H294*N('Debt Payoff'!$D$20)/12</f>
        <v/>
      </c>
      <c r="S295" s="160">
        <f>I294*N('Debt Payoff'!$D$21)/12</f>
        <v/>
      </c>
      <c r="T295" s="160">
        <f>J294*N('Debt Payoff'!$D$22)/12</f>
        <v/>
      </c>
      <c r="U295" s="160">
        <f>K294*N('Debt Payoff'!$D$23)/12</f>
        <v/>
      </c>
      <c r="V295" s="160">
        <f>L294*N('Debt Payoff'!$D$24)/12</f>
        <v/>
      </c>
      <c r="W295" s="160">
        <f>MIN(N('Debt Payoff'!$E$15),C294+M295)</f>
        <v/>
      </c>
      <c r="X295" s="160">
        <f>MIN(N('Debt Payoff'!$E$16),D294+N295)</f>
        <v/>
      </c>
      <c r="Y295" s="160">
        <f>MIN(N('Debt Payoff'!$E$17),E294+O295)</f>
        <v/>
      </c>
      <c r="Z295" s="160">
        <f>MIN(N('Debt Payoff'!$E$18),F294+P295)</f>
        <v/>
      </c>
      <c r="AA295" s="160">
        <f>MIN(N('Debt Payoff'!$E$19),G294+Q295)</f>
        <v/>
      </c>
      <c r="AB295" s="160">
        <f>MIN(N('Debt Payoff'!$E$20),H294+R295)</f>
        <v/>
      </c>
      <c r="AC295" s="160">
        <f>MIN(N('Debt Payoff'!$E$21),I294+S295)</f>
        <v/>
      </c>
      <c r="AD295" s="160">
        <f>MIN(N('Debt Payoff'!$E$22),J294+T295)</f>
        <v/>
      </c>
      <c r="AE295" s="160">
        <f>MIN(N('Debt Payoff'!$E$23),K294+U295)</f>
        <v/>
      </c>
      <c r="AF295" s="160">
        <f>MIN(N('Debt Payoff'!$E$24),L294+V295)</f>
        <v/>
      </c>
      <c r="AG295" s="160">
        <f>C294+M295-W295</f>
        <v/>
      </c>
      <c r="AH295" s="160">
        <f>D294+N295-X295</f>
        <v/>
      </c>
      <c r="AI295" s="160">
        <f>E294+O295-Y295</f>
        <v/>
      </c>
      <c r="AJ295" s="160">
        <f>F294+P295-Z295</f>
        <v/>
      </c>
      <c r="AK295" s="160">
        <f>G294+Q295-AA295</f>
        <v/>
      </c>
      <c r="AL295" s="160">
        <f>H294+R295-AB295</f>
        <v/>
      </c>
      <c r="AM295" s="160">
        <f>I294+S295-AC295</f>
        <v/>
      </c>
      <c r="AN295" s="160">
        <f>J294+T295-AD295</f>
        <v/>
      </c>
      <c r="AO295" s="160">
        <f>K294+U295-AE295</f>
        <v/>
      </c>
      <c r="AP295" s="160">
        <f>L294+V295-AF295</f>
        <v/>
      </c>
      <c r="AQ295" s="160">
        <f>W295+MAX(0,MIN(AG295,'Debt Payoff'!$C$12-SUM($W295:$AF295)-SUMIFS($AG295:$AP295,$AG$4:$AP$4,"&lt;"&amp;AG$4)))</f>
        <v/>
      </c>
      <c r="AR295" s="160">
        <f>X295+MAX(0,MIN(AH295,'Debt Payoff'!$C$12-SUM($W295:$AF295)-SUMIFS($AG295:$AP295,$AG$4:$AP$4,"&lt;"&amp;AH$4)))</f>
        <v/>
      </c>
      <c r="AS295" s="160">
        <f>Y295+MAX(0,MIN(AI295,'Debt Payoff'!$C$12-SUM($W295:$AF295)-SUMIFS($AG295:$AP295,$AG$4:$AP$4,"&lt;"&amp;AI$4)))</f>
        <v/>
      </c>
      <c r="AT295" s="160">
        <f>Z295+MAX(0,MIN(AJ295,'Debt Payoff'!$C$12-SUM($W295:$AF295)-SUMIFS($AG295:$AP295,$AG$4:$AP$4,"&lt;"&amp;AJ$4)))</f>
        <v/>
      </c>
      <c r="AU295" s="160">
        <f>AA295+MAX(0,MIN(AK295,'Debt Payoff'!$C$12-SUM($W295:$AF295)-SUMIFS($AG295:$AP295,$AG$4:$AP$4,"&lt;"&amp;AK$4)))</f>
        <v/>
      </c>
      <c r="AV295" s="160">
        <f>AB295+MAX(0,MIN(AL295,'Debt Payoff'!$C$12-SUM($W295:$AF295)-SUMIFS($AG295:$AP295,$AG$4:$AP$4,"&lt;"&amp;AL$4)))</f>
        <v/>
      </c>
      <c r="AW295" s="160">
        <f>AC295+MAX(0,MIN(AM295,'Debt Payoff'!$C$12-SUM($W295:$AF295)-SUMIFS($AG295:$AP295,$AG$4:$AP$4,"&lt;"&amp;AM$4)))</f>
        <v/>
      </c>
      <c r="AX295" s="160">
        <f>AD295+MAX(0,MIN(AN295,'Debt Payoff'!$C$12-SUM($W295:$AF295)-SUMIFS($AG295:$AP295,$AG$4:$AP$4,"&lt;"&amp;AN$4)))</f>
        <v/>
      </c>
      <c r="AY295" s="160">
        <f>AE295+MAX(0,MIN(AO295,'Debt Payoff'!$C$12-SUM($W295:$AF295)-SUMIFS($AG295:$AP295,$AG$4:$AP$4,"&lt;"&amp;AO$4)))</f>
        <v/>
      </c>
      <c r="AZ295" s="160">
        <f>AF295+MAX(0,MIN(AP295,'Debt Payoff'!$C$12-SUM($W295:$AF295)-SUMIFS($AG295:$AP295,$AG$4:$AP$4,"&lt;"&amp;AP$4)))</f>
        <v/>
      </c>
      <c r="BA295" s="160">
        <f>SUM(C295:L295)</f>
        <v/>
      </c>
      <c r="BB295" s="160">
        <f>SUM(AQ295:AZ295)</f>
        <v/>
      </c>
      <c r="BC295" s="160">
        <f>SUM(M295:V295)</f>
        <v/>
      </c>
    </row>
    <row r="296">
      <c r="A296" s="157" t="n">
        <v>291</v>
      </c>
      <c r="B296" s="159">
        <f>EDATE('Debt Payoff'!$C$6,290)</f>
        <v/>
      </c>
      <c r="C296" s="160">
        <f>MAX(0,ROUND(C295+M296-AQ296,2))</f>
        <v/>
      </c>
      <c r="D296" s="160">
        <f>MAX(0,ROUND(D295+N296-AR296,2))</f>
        <v/>
      </c>
      <c r="E296" s="160">
        <f>MAX(0,ROUND(E295+O296-AS296,2))</f>
        <v/>
      </c>
      <c r="F296" s="160">
        <f>MAX(0,ROUND(F295+P296-AT296,2))</f>
        <v/>
      </c>
      <c r="G296" s="160">
        <f>MAX(0,ROUND(G295+Q296-AU296,2))</f>
        <v/>
      </c>
      <c r="H296" s="160">
        <f>MAX(0,ROUND(H295+R296-AV296,2))</f>
        <v/>
      </c>
      <c r="I296" s="160">
        <f>MAX(0,ROUND(I295+S296-AW296,2))</f>
        <v/>
      </c>
      <c r="J296" s="160">
        <f>MAX(0,ROUND(J295+T296-AX296,2))</f>
        <v/>
      </c>
      <c r="K296" s="160">
        <f>MAX(0,ROUND(K295+U296-AY296,2))</f>
        <v/>
      </c>
      <c r="L296" s="160">
        <f>MAX(0,ROUND(L295+V296-AZ296,2))</f>
        <v/>
      </c>
      <c r="M296" s="160">
        <f>C295*N('Debt Payoff'!$D$15)/12</f>
        <v/>
      </c>
      <c r="N296" s="160">
        <f>D295*N('Debt Payoff'!$D$16)/12</f>
        <v/>
      </c>
      <c r="O296" s="160">
        <f>E295*N('Debt Payoff'!$D$17)/12</f>
        <v/>
      </c>
      <c r="P296" s="160">
        <f>F295*N('Debt Payoff'!$D$18)/12</f>
        <v/>
      </c>
      <c r="Q296" s="160">
        <f>G295*N('Debt Payoff'!$D$19)/12</f>
        <v/>
      </c>
      <c r="R296" s="160">
        <f>H295*N('Debt Payoff'!$D$20)/12</f>
        <v/>
      </c>
      <c r="S296" s="160">
        <f>I295*N('Debt Payoff'!$D$21)/12</f>
        <v/>
      </c>
      <c r="T296" s="160">
        <f>J295*N('Debt Payoff'!$D$22)/12</f>
        <v/>
      </c>
      <c r="U296" s="160">
        <f>K295*N('Debt Payoff'!$D$23)/12</f>
        <v/>
      </c>
      <c r="V296" s="160">
        <f>L295*N('Debt Payoff'!$D$24)/12</f>
        <v/>
      </c>
      <c r="W296" s="160">
        <f>MIN(N('Debt Payoff'!$E$15),C295+M296)</f>
        <v/>
      </c>
      <c r="X296" s="160">
        <f>MIN(N('Debt Payoff'!$E$16),D295+N296)</f>
        <v/>
      </c>
      <c r="Y296" s="160">
        <f>MIN(N('Debt Payoff'!$E$17),E295+O296)</f>
        <v/>
      </c>
      <c r="Z296" s="160">
        <f>MIN(N('Debt Payoff'!$E$18),F295+P296)</f>
        <v/>
      </c>
      <c r="AA296" s="160">
        <f>MIN(N('Debt Payoff'!$E$19),G295+Q296)</f>
        <v/>
      </c>
      <c r="AB296" s="160">
        <f>MIN(N('Debt Payoff'!$E$20),H295+R296)</f>
        <v/>
      </c>
      <c r="AC296" s="160">
        <f>MIN(N('Debt Payoff'!$E$21),I295+S296)</f>
        <v/>
      </c>
      <c r="AD296" s="160">
        <f>MIN(N('Debt Payoff'!$E$22),J295+T296)</f>
        <v/>
      </c>
      <c r="AE296" s="160">
        <f>MIN(N('Debt Payoff'!$E$23),K295+U296)</f>
        <v/>
      </c>
      <c r="AF296" s="160">
        <f>MIN(N('Debt Payoff'!$E$24),L295+V296)</f>
        <v/>
      </c>
      <c r="AG296" s="160">
        <f>C295+M296-W296</f>
        <v/>
      </c>
      <c r="AH296" s="160">
        <f>D295+N296-X296</f>
        <v/>
      </c>
      <c r="AI296" s="160">
        <f>E295+O296-Y296</f>
        <v/>
      </c>
      <c r="AJ296" s="160">
        <f>F295+P296-Z296</f>
        <v/>
      </c>
      <c r="AK296" s="160">
        <f>G295+Q296-AA296</f>
        <v/>
      </c>
      <c r="AL296" s="160">
        <f>H295+R296-AB296</f>
        <v/>
      </c>
      <c r="AM296" s="160">
        <f>I295+S296-AC296</f>
        <v/>
      </c>
      <c r="AN296" s="160">
        <f>J295+T296-AD296</f>
        <v/>
      </c>
      <c r="AO296" s="160">
        <f>K295+U296-AE296</f>
        <v/>
      </c>
      <c r="AP296" s="160">
        <f>L295+V296-AF296</f>
        <v/>
      </c>
      <c r="AQ296" s="160">
        <f>W296+MAX(0,MIN(AG296,'Debt Payoff'!$C$12-SUM($W296:$AF296)-SUMIFS($AG296:$AP296,$AG$4:$AP$4,"&lt;"&amp;AG$4)))</f>
        <v/>
      </c>
      <c r="AR296" s="160">
        <f>X296+MAX(0,MIN(AH296,'Debt Payoff'!$C$12-SUM($W296:$AF296)-SUMIFS($AG296:$AP296,$AG$4:$AP$4,"&lt;"&amp;AH$4)))</f>
        <v/>
      </c>
      <c r="AS296" s="160">
        <f>Y296+MAX(0,MIN(AI296,'Debt Payoff'!$C$12-SUM($W296:$AF296)-SUMIFS($AG296:$AP296,$AG$4:$AP$4,"&lt;"&amp;AI$4)))</f>
        <v/>
      </c>
      <c r="AT296" s="160">
        <f>Z296+MAX(0,MIN(AJ296,'Debt Payoff'!$C$12-SUM($W296:$AF296)-SUMIFS($AG296:$AP296,$AG$4:$AP$4,"&lt;"&amp;AJ$4)))</f>
        <v/>
      </c>
      <c r="AU296" s="160">
        <f>AA296+MAX(0,MIN(AK296,'Debt Payoff'!$C$12-SUM($W296:$AF296)-SUMIFS($AG296:$AP296,$AG$4:$AP$4,"&lt;"&amp;AK$4)))</f>
        <v/>
      </c>
      <c r="AV296" s="160">
        <f>AB296+MAX(0,MIN(AL296,'Debt Payoff'!$C$12-SUM($W296:$AF296)-SUMIFS($AG296:$AP296,$AG$4:$AP$4,"&lt;"&amp;AL$4)))</f>
        <v/>
      </c>
      <c r="AW296" s="160">
        <f>AC296+MAX(0,MIN(AM296,'Debt Payoff'!$C$12-SUM($W296:$AF296)-SUMIFS($AG296:$AP296,$AG$4:$AP$4,"&lt;"&amp;AM$4)))</f>
        <v/>
      </c>
      <c r="AX296" s="160">
        <f>AD296+MAX(0,MIN(AN296,'Debt Payoff'!$C$12-SUM($W296:$AF296)-SUMIFS($AG296:$AP296,$AG$4:$AP$4,"&lt;"&amp;AN$4)))</f>
        <v/>
      </c>
      <c r="AY296" s="160">
        <f>AE296+MAX(0,MIN(AO296,'Debt Payoff'!$C$12-SUM($W296:$AF296)-SUMIFS($AG296:$AP296,$AG$4:$AP$4,"&lt;"&amp;AO$4)))</f>
        <v/>
      </c>
      <c r="AZ296" s="160">
        <f>AF296+MAX(0,MIN(AP296,'Debt Payoff'!$C$12-SUM($W296:$AF296)-SUMIFS($AG296:$AP296,$AG$4:$AP$4,"&lt;"&amp;AP$4)))</f>
        <v/>
      </c>
      <c r="BA296" s="160">
        <f>SUM(C296:L296)</f>
        <v/>
      </c>
      <c r="BB296" s="160">
        <f>SUM(AQ296:AZ296)</f>
        <v/>
      </c>
      <c r="BC296" s="160">
        <f>SUM(M296:V296)</f>
        <v/>
      </c>
    </row>
    <row r="297">
      <c r="A297" s="157" t="n">
        <v>292</v>
      </c>
      <c r="B297" s="159">
        <f>EDATE('Debt Payoff'!$C$6,291)</f>
        <v/>
      </c>
      <c r="C297" s="160">
        <f>MAX(0,ROUND(C296+M297-AQ297,2))</f>
        <v/>
      </c>
      <c r="D297" s="160">
        <f>MAX(0,ROUND(D296+N297-AR297,2))</f>
        <v/>
      </c>
      <c r="E297" s="160">
        <f>MAX(0,ROUND(E296+O297-AS297,2))</f>
        <v/>
      </c>
      <c r="F297" s="160">
        <f>MAX(0,ROUND(F296+P297-AT297,2))</f>
        <v/>
      </c>
      <c r="G297" s="160">
        <f>MAX(0,ROUND(G296+Q297-AU297,2))</f>
        <v/>
      </c>
      <c r="H297" s="160">
        <f>MAX(0,ROUND(H296+R297-AV297,2))</f>
        <v/>
      </c>
      <c r="I297" s="160">
        <f>MAX(0,ROUND(I296+S297-AW297,2))</f>
        <v/>
      </c>
      <c r="J297" s="160">
        <f>MAX(0,ROUND(J296+T297-AX297,2))</f>
        <v/>
      </c>
      <c r="K297" s="160">
        <f>MAX(0,ROUND(K296+U297-AY297,2))</f>
        <v/>
      </c>
      <c r="L297" s="160">
        <f>MAX(0,ROUND(L296+V297-AZ297,2))</f>
        <v/>
      </c>
      <c r="M297" s="160">
        <f>C296*N('Debt Payoff'!$D$15)/12</f>
        <v/>
      </c>
      <c r="N297" s="160">
        <f>D296*N('Debt Payoff'!$D$16)/12</f>
        <v/>
      </c>
      <c r="O297" s="160">
        <f>E296*N('Debt Payoff'!$D$17)/12</f>
        <v/>
      </c>
      <c r="P297" s="160">
        <f>F296*N('Debt Payoff'!$D$18)/12</f>
        <v/>
      </c>
      <c r="Q297" s="160">
        <f>G296*N('Debt Payoff'!$D$19)/12</f>
        <v/>
      </c>
      <c r="R297" s="160">
        <f>H296*N('Debt Payoff'!$D$20)/12</f>
        <v/>
      </c>
      <c r="S297" s="160">
        <f>I296*N('Debt Payoff'!$D$21)/12</f>
        <v/>
      </c>
      <c r="T297" s="160">
        <f>J296*N('Debt Payoff'!$D$22)/12</f>
        <v/>
      </c>
      <c r="U297" s="160">
        <f>K296*N('Debt Payoff'!$D$23)/12</f>
        <v/>
      </c>
      <c r="V297" s="160">
        <f>L296*N('Debt Payoff'!$D$24)/12</f>
        <v/>
      </c>
      <c r="W297" s="160">
        <f>MIN(N('Debt Payoff'!$E$15),C296+M297)</f>
        <v/>
      </c>
      <c r="X297" s="160">
        <f>MIN(N('Debt Payoff'!$E$16),D296+N297)</f>
        <v/>
      </c>
      <c r="Y297" s="160">
        <f>MIN(N('Debt Payoff'!$E$17),E296+O297)</f>
        <v/>
      </c>
      <c r="Z297" s="160">
        <f>MIN(N('Debt Payoff'!$E$18),F296+P297)</f>
        <v/>
      </c>
      <c r="AA297" s="160">
        <f>MIN(N('Debt Payoff'!$E$19),G296+Q297)</f>
        <v/>
      </c>
      <c r="AB297" s="160">
        <f>MIN(N('Debt Payoff'!$E$20),H296+R297)</f>
        <v/>
      </c>
      <c r="AC297" s="160">
        <f>MIN(N('Debt Payoff'!$E$21),I296+S297)</f>
        <v/>
      </c>
      <c r="AD297" s="160">
        <f>MIN(N('Debt Payoff'!$E$22),J296+T297)</f>
        <v/>
      </c>
      <c r="AE297" s="160">
        <f>MIN(N('Debt Payoff'!$E$23),K296+U297)</f>
        <v/>
      </c>
      <c r="AF297" s="160">
        <f>MIN(N('Debt Payoff'!$E$24),L296+V297)</f>
        <v/>
      </c>
      <c r="AG297" s="160">
        <f>C296+M297-W297</f>
        <v/>
      </c>
      <c r="AH297" s="160">
        <f>D296+N297-X297</f>
        <v/>
      </c>
      <c r="AI297" s="160">
        <f>E296+O297-Y297</f>
        <v/>
      </c>
      <c r="AJ297" s="160">
        <f>F296+P297-Z297</f>
        <v/>
      </c>
      <c r="AK297" s="160">
        <f>G296+Q297-AA297</f>
        <v/>
      </c>
      <c r="AL297" s="160">
        <f>H296+R297-AB297</f>
        <v/>
      </c>
      <c r="AM297" s="160">
        <f>I296+S297-AC297</f>
        <v/>
      </c>
      <c r="AN297" s="160">
        <f>J296+T297-AD297</f>
        <v/>
      </c>
      <c r="AO297" s="160">
        <f>K296+U297-AE297</f>
        <v/>
      </c>
      <c r="AP297" s="160">
        <f>L296+V297-AF297</f>
        <v/>
      </c>
      <c r="AQ297" s="160">
        <f>W297+MAX(0,MIN(AG297,'Debt Payoff'!$C$12-SUM($W297:$AF297)-SUMIFS($AG297:$AP297,$AG$4:$AP$4,"&lt;"&amp;AG$4)))</f>
        <v/>
      </c>
      <c r="AR297" s="160">
        <f>X297+MAX(0,MIN(AH297,'Debt Payoff'!$C$12-SUM($W297:$AF297)-SUMIFS($AG297:$AP297,$AG$4:$AP$4,"&lt;"&amp;AH$4)))</f>
        <v/>
      </c>
      <c r="AS297" s="160">
        <f>Y297+MAX(0,MIN(AI297,'Debt Payoff'!$C$12-SUM($W297:$AF297)-SUMIFS($AG297:$AP297,$AG$4:$AP$4,"&lt;"&amp;AI$4)))</f>
        <v/>
      </c>
      <c r="AT297" s="160">
        <f>Z297+MAX(0,MIN(AJ297,'Debt Payoff'!$C$12-SUM($W297:$AF297)-SUMIFS($AG297:$AP297,$AG$4:$AP$4,"&lt;"&amp;AJ$4)))</f>
        <v/>
      </c>
      <c r="AU297" s="160">
        <f>AA297+MAX(0,MIN(AK297,'Debt Payoff'!$C$12-SUM($W297:$AF297)-SUMIFS($AG297:$AP297,$AG$4:$AP$4,"&lt;"&amp;AK$4)))</f>
        <v/>
      </c>
      <c r="AV297" s="160">
        <f>AB297+MAX(0,MIN(AL297,'Debt Payoff'!$C$12-SUM($W297:$AF297)-SUMIFS($AG297:$AP297,$AG$4:$AP$4,"&lt;"&amp;AL$4)))</f>
        <v/>
      </c>
      <c r="AW297" s="160">
        <f>AC297+MAX(0,MIN(AM297,'Debt Payoff'!$C$12-SUM($W297:$AF297)-SUMIFS($AG297:$AP297,$AG$4:$AP$4,"&lt;"&amp;AM$4)))</f>
        <v/>
      </c>
      <c r="AX297" s="160">
        <f>AD297+MAX(0,MIN(AN297,'Debt Payoff'!$C$12-SUM($W297:$AF297)-SUMIFS($AG297:$AP297,$AG$4:$AP$4,"&lt;"&amp;AN$4)))</f>
        <v/>
      </c>
      <c r="AY297" s="160">
        <f>AE297+MAX(0,MIN(AO297,'Debt Payoff'!$C$12-SUM($W297:$AF297)-SUMIFS($AG297:$AP297,$AG$4:$AP$4,"&lt;"&amp;AO$4)))</f>
        <v/>
      </c>
      <c r="AZ297" s="160">
        <f>AF297+MAX(0,MIN(AP297,'Debt Payoff'!$C$12-SUM($W297:$AF297)-SUMIFS($AG297:$AP297,$AG$4:$AP$4,"&lt;"&amp;AP$4)))</f>
        <v/>
      </c>
      <c r="BA297" s="160">
        <f>SUM(C297:L297)</f>
        <v/>
      </c>
      <c r="BB297" s="160">
        <f>SUM(AQ297:AZ297)</f>
        <v/>
      </c>
      <c r="BC297" s="160">
        <f>SUM(M297:V297)</f>
        <v/>
      </c>
    </row>
    <row r="298">
      <c r="A298" s="157" t="n">
        <v>293</v>
      </c>
      <c r="B298" s="159">
        <f>EDATE('Debt Payoff'!$C$6,292)</f>
        <v/>
      </c>
      <c r="C298" s="160">
        <f>MAX(0,ROUND(C297+M298-AQ298,2))</f>
        <v/>
      </c>
      <c r="D298" s="160">
        <f>MAX(0,ROUND(D297+N298-AR298,2))</f>
        <v/>
      </c>
      <c r="E298" s="160">
        <f>MAX(0,ROUND(E297+O298-AS298,2))</f>
        <v/>
      </c>
      <c r="F298" s="160">
        <f>MAX(0,ROUND(F297+P298-AT298,2))</f>
        <v/>
      </c>
      <c r="G298" s="160">
        <f>MAX(0,ROUND(G297+Q298-AU298,2))</f>
        <v/>
      </c>
      <c r="H298" s="160">
        <f>MAX(0,ROUND(H297+R298-AV298,2))</f>
        <v/>
      </c>
      <c r="I298" s="160">
        <f>MAX(0,ROUND(I297+S298-AW298,2))</f>
        <v/>
      </c>
      <c r="J298" s="160">
        <f>MAX(0,ROUND(J297+T298-AX298,2))</f>
        <v/>
      </c>
      <c r="K298" s="160">
        <f>MAX(0,ROUND(K297+U298-AY298,2))</f>
        <v/>
      </c>
      <c r="L298" s="160">
        <f>MAX(0,ROUND(L297+V298-AZ298,2))</f>
        <v/>
      </c>
      <c r="M298" s="160">
        <f>C297*N('Debt Payoff'!$D$15)/12</f>
        <v/>
      </c>
      <c r="N298" s="160">
        <f>D297*N('Debt Payoff'!$D$16)/12</f>
        <v/>
      </c>
      <c r="O298" s="160">
        <f>E297*N('Debt Payoff'!$D$17)/12</f>
        <v/>
      </c>
      <c r="P298" s="160">
        <f>F297*N('Debt Payoff'!$D$18)/12</f>
        <v/>
      </c>
      <c r="Q298" s="160">
        <f>G297*N('Debt Payoff'!$D$19)/12</f>
        <v/>
      </c>
      <c r="R298" s="160">
        <f>H297*N('Debt Payoff'!$D$20)/12</f>
        <v/>
      </c>
      <c r="S298" s="160">
        <f>I297*N('Debt Payoff'!$D$21)/12</f>
        <v/>
      </c>
      <c r="T298" s="160">
        <f>J297*N('Debt Payoff'!$D$22)/12</f>
        <v/>
      </c>
      <c r="U298" s="160">
        <f>K297*N('Debt Payoff'!$D$23)/12</f>
        <v/>
      </c>
      <c r="V298" s="160">
        <f>L297*N('Debt Payoff'!$D$24)/12</f>
        <v/>
      </c>
      <c r="W298" s="160">
        <f>MIN(N('Debt Payoff'!$E$15),C297+M298)</f>
        <v/>
      </c>
      <c r="X298" s="160">
        <f>MIN(N('Debt Payoff'!$E$16),D297+N298)</f>
        <v/>
      </c>
      <c r="Y298" s="160">
        <f>MIN(N('Debt Payoff'!$E$17),E297+O298)</f>
        <v/>
      </c>
      <c r="Z298" s="160">
        <f>MIN(N('Debt Payoff'!$E$18),F297+P298)</f>
        <v/>
      </c>
      <c r="AA298" s="160">
        <f>MIN(N('Debt Payoff'!$E$19),G297+Q298)</f>
        <v/>
      </c>
      <c r="AB298" s="160">
        <f>MIN(N('Debt Payoff'!$E$20),H297+R298)</f>
        <v/>
      </c>
      <c r="AC298" s="160">
        <f>MIN(N('Debt Payoff'!$E$21),I297+S298)</f>
        <v/>
      </c>
      <c r="AD298" s="160">
        <f>MIN(N('Debt Payoff'!$E$22),J297+T298)</f>
        <v/>
      </c>
      <c r="AE298" s="160">
        <f>MIN(N('Debt Payoff'!$E$23),K297+U298)</f>
        <v/>
      </c>
      <c r="AF298" s="160">
        <f>MIN(N('Debt Payoff'!$E$24),L297+V298)</f>
        <v/>
      </c>
      <c r="AG298" s="160">
        <f>C297+M298-W298</f>
        <v/>
      </c>
      <c r="AH298" s="160">
        <f>D297+N298-X298</f>
        <v/>
      </c>
      <c r="AI298" s="160">
        <f>E297+O298-Y298</f>
        <v/>
      </c>
      <c r="AJ298" s="160">
        <f>F297+P298-Z298</f>
        <v/>
      </c>
      <c r="AK298" s="160">
        <f>G297+Q298-AA298</f>
        <v/>
      </c>
      <c r="AL298" s="160">
        <f>H297+R298-AB298</f>
        <v/>
      </c>
      <c r="AM298" s="160">
        <f>I297+S298-AC298</f>
        <v/>
      </c>
      <c r="AN298" s="160">
        <f>J297+T298-AD298</f>
        <v/>
      </c>
      <c r="AO298" s="160">
        <f>K297+U298-AE298</f>
        <v/>
      </c>
      <c r="AP298" s="160">
        <f>L297+V298-AF298</f>
        <v/>
      </c>
      <c r="AQ298" s="160">
        <f>W298+MAX(0,MIN(AG298,'Debt Payoff'!$C$12-SUM($W298:$AF298)-SUMIFS($AG298:$AP298,$AG$4:$AP$4,"&lt;"&amp;AG$4)))</f>
        <v/>
      </c>
      <c r="AR298" s="160">
        <f>X298+MAX(0,MIN(AH298,'Debt Payoff'!$C$12-SUM($W298:$AF298)-SUMIFS($AG298:$AP298,$AG$4:$AP$4,"&lt;"&amp;AH$4)))</f>
        <v/>
      </c>
      <c r="AS298" s="160">
        <f>Y298+MAX(0,MIN(AI298,'Debt Payoff'!$C$12-SUM($W298:$AF298)-SUMIFS($AG298:$AP298,$AG$4:$AP$4,"&lt;"&amp;AI$4)))</f>
        <v/>
      </c>
      <c r="AT298" s="160">
        <f>Z298+MAX(0,MIN(AJ298,'Debt Payoff'!$C$12-SUM($W298:$AF298)-SUMIFS($AG298:$AP298,$AG$4:$AP$4,"&lt;"&amp;AJ$4)))</f>
        <v/>
      </c>
      <c r="AU298" s="160">
        <f>AA298+MAX(0,MIN(AK298,'Debt Payoff'!$C$12-SUM($W298:$AF298)-SUMIFS($AG298:$AP298,$AG$4:$AP$4,"&lt;"&amp;AK$4)))</f>
        <v/>
      </c>
      <c r="AV298" s="160">
        <f>AB298+MAX(0,MIN(AL298,'Debt Payoff'!$C$12-SUM($W298:$AF298)-SUMIFS($AG298:$AP298,$AG$4:$AP$4,"&lt;"&amp;AL$4)))</f>
        <v/>
      </c>
      <c r="AW298" s="160">
        <f>AC298+MAX(0,MIN(AM298,'Debt Payoff'!$C$12-SUM($W298:$AF298)-SUMIFS($AG298:$AP298,$AG$4:$AP$4,"&lt;"&amp;AM$4)))</f>
        <v/>
      </c>
      <c r="AX298" s="160">
        <f>AD298+MAX(0,MIN(AN298,'Debt Payoff'!$C$12-SUM($W298:$AF298)-SUMIFS($AG298:$AP298,$AG$4:$AP$4,"&lt;"&amp;AN$4)))</f>
        <v/>
      </c>
      <c r="AY298" s="160">
        <f>AE298+MAX(0,MIN(AO298,'Debt Payoff'!$C$12-SUM($W298:$AF298)-SUMIFS($AG298:$AP298,$AG$4:$AP$4,"&lt;"&amp;AO$4)))</f>
        <v/>
      </c>
      <c r="AZ298" s="160">
        <f>AF298+MAX(0,MIN(AP298,'Debt Payoff'!$C$12-SUM($W298:$AF298)-SUMIFS($AG298:$AP298,$AG$4:$AP$4,"&lt;"&amp;AP$4)))</f>
        <v/>
      </c>
      <c r="BA298" s="160">
        <f>SUM(C298:L298)</f>
        <v/>
      </c>
      <c r="BB298" s="160">
        <f>SUM(AQ298:AZ298)</f>
        <v/>
      </c>
      <c r="BC298" s="160">
        <f>SUM(M298:V298)</f>
        <v/>
      </c>
    </row>
    <row r="299">
      <c r="A299" s="157" t="n">
        <v>294</v>
      </c>
      <c r="B299" s="159">
        <f>EDATE('Debt Payoff'!$C$6,293)</f>
        <v/>
      </c>
      <c r="C299" s="160">
        <f>MAX(0,ROUND(C298+M299-AQ299,2))</f>
        <v/>
      </c>
      <c r="D299" s="160">
        <f>MAX(0,ROUND(D298+N299-AR299,2))</f>
        <v/>
      </c>
      <c r="E299" s="160">
        <f>MAX(0,ROUND(E298+O299-AS299,2))</f>
        <v/>
      </c>
      <c r="F299" s="160">
        <f>MAX(0,ROUND(F298+P299-AT299,2))</f>
        <v/>
      </c>
      <c r="G299" s="160">
        <f>MAX(0,ROUND(G298+Q299-AU299,2))</f>
        <v/>
      </c>
      <c r="H299" s="160">
        <f>MAX(0,ROUND(H298+R299-AV299,2))</f>
        <v/>
      </c>
      <c r="I299" s="160">
        <f>MAX(0,ROUND(I298+S299-AW299,2))</f>
        <v/>
      </c>
      <c r="J299" s="160">
        <f>MAX(0,ROUND(J298+T299-AX299,2))</f>
        <v/>
      </c>
      <c r="K299" s="160">
        <f>MAX(0,ROUND(K298+U299-AY299,2))</f>
        <v/>
      </c>
      <c r="L299" s="160">
        <f>MAX(0,ROUND(L298+V299-AZ299,2))</f>
        <v/>
      </c>
      <c r="M299" s="160">
        <f>C298*N('Debt Payoff'!$D$15)/12</f>
        <v/>
      </c>
      <c r="N299" s="160">
        <f>D298*N('Debt Payoff'!$D$16)/12</f>
        <v/>
      </c>
      <c r="O299" s="160">
        <f>E298*N('Debt Payoff'!$D$17)/12</f>
        <v/>
      </c>
      <c r="P299" s="160">
        <f>F298*N('Debt Payoff'!$D$18)/12</f>
        <v/>
      </c>
      <c r="Q299" s="160">
        <f>G298*N('Debt Payoff'!$D$19)/12</f>
        <v/>
      </c>
      <c r="R299" s="160">
        <f>H298*N('Debt Payoff'!$D$20)/12</f>
        <v/>
      </c>
      <c r="S299" s="160">
        <f>I298*N('Debt Payoff'!$D$21)/12</f>
        <v/>
      </c>
      <c r="T299" s="160">
        <f>J298*N('Debt Payoff'!$D$22)/12</f>
        <v/>
      </c>
      <c r="U299" s="160">
        <f>K298*N('Debt Payoff'!$D$23)/12</f>
        <v/>
      </c>
      <c r="V299" s="160">
        <f>L298*N('Debt Payoff'!$D$24)/12</f>
        <v/>
      </c>
      <c r="W299" s="160">
        <f>MIN(N('Debt Payoff'!$E$15),C298+M299)</f>
        <v/>
      </c>
      <c r="X299" s="160">
        <f>MIN(N('Debt Payoff'!$E$16),D298+N299)</f>
        <v/>
      </c>
      <c r="Y299" s="160">
        <f>MIN(N('Debt Payoff'!$E$17),E298+O299)</f>
        <v/>
      </c>
      <c r="Z299" s="160">
        <f>MIN(N('Debt Payoff'!$E$18),F298+P299)</f>
        <v/>
      </c>
      <c r="AA299" s="160">
        <f>MIN(N('Debt Payoff'!$E$19),G298+Q299)</f>
        <v/>
      </c>
      <c r="AB299" s="160">
        <f>MIN(N('Debt Payoff'!$E$20),H298+R299)</f>
        <v/>
      </c>
      <c r="AC299" s="160">
        <f>MIN(N('Debt Payoff'!$E$21),I298+S299)</f>
        <v/>
      </c>
      <c r="AD299" s="160">
        <f>MIN(N('Debt Payoff'!$E$22),J298+T299)</f>
        <v/>
      </c>
      <c r="AE299" s="160">
        <f>MIN(N('Debt Payoff'!$E$23),K298+U299)</f>
        <v/>
      </c>
      <c r="AF299" s="160">
        <f>MIN(N('Debt Payoff'!$E$24),L298+V299)</f>
        <v/>
      </c>
      <c r="AG299" s="160">
        <f>C298+M299-W299</f>
        <v/>
      </c>
      <c r="AH299" s="160">
        <f>D298+N299-X299</f>
        <v/>
      </c>
      <c r="AI299" s="160">
        <f>E298+O299-Y299</f>
        <v/>
      </c>
      <c r="AJ299" s="160">
        <f>F298+P299-Z299</f>
        <v/>
      </c>
      <c r="AK299" s="160">
        <f>G298+Q299-AA299</f>
        <v/>
      </c>
      <c r="AL299" s="160">
        <f>H298+R299-AB299</f>
        <v/>
      </c>
      <c r="AM299" s="160">
        <f>I298+S299-AC299</f>
        <v/>
      </c>
      <c r="AN299" s="160">
        <f>J298+T299-AD299</f>
        <v/>
      </c>
      <c r="AO299" s="160">
        <f>K298+U299-AE299</f>
        <v/>
      </c>
      <c r="AP299" s="160">
        <f>L298+V299-AF299</f>
        <v/>
      </c>
      <c r="AQ299" s="160">
        <f>W299+MAX(0,MIN(AG299,'Debt Payoff'!$C$12-SUM($W299:$AF299)-SUMIFS($AG299:$AP299,$AG$4:$AP$4,"&lt;"&amp;AG$4)))</f>
        <v/>
      </c>
      <c r="AR299" s="160">
        <f>X299+MAX(0,MIN(AH299,'Debt Payoff'!$C$12-SUM($W299:$AF299)-SUMIFS($AG299:$AP299,$AG$4:$AP$4,"&lt;"&amp;AH$4)))</f>
        <v/>
      </c>
      <c r="AS299" s="160">
        <f>Y299+MAX(0,MIN(AI299,'Debt Payoff'!$C$12-SUM($W299:$AF299)-SUMIFS($AG299:$AP299,$AG$4:$AP$4,"&lt;"&amp;AI$4)))</f>
        <v/>
      </c>
      <c r="AT299" s="160">
        <f>Z299+MAX(0,MIN(AJ299,'Debt Payoff'!$C$12-SUM($W299:$AF299)-SUMIFS($AG299:$AP299,$AG$4:$AP$4,"&lt;"&amp;AJ$4)))</f>
        <v/>
      </c>
      <c r="AU299" s="160">
        <f>AA299+MAX(0,MIN(AK299,'Debt Payoff'!$C$12-SUM($W299:$AF299)-SUMIFS($AG299:$AP299,$AG$4:$AP$4,"&lt;"&amp;AK$4)))</f>
        <v/>
      </c>
      <c r="AV299" s="160">
        <f>AB299+MAX(0,MIN(AL299,'Debt Payoff'!$C$12-SUM($W299:$AF299)-SUMIFS($AG299:$AP299,$AG$4:$AP$4,"&lt;"&amp;AL$4)))</f>
        <v/>
      </c>
      <c r="AW299" s="160">
        <f>AC299+MAX(0,MIN(AM299,'Debt Payoff'!$C$12-SUM($W299:$AF299)-SUMIFS($AG299:$AP299,$AG$4:$AP$4,"&lt;"&amp;AM$4)))</f>
        <v/>
      </c>
      <c r="AX299" s="160">
        <f>AD299+MAX(0,MIN(AN299,'Debt Payoff'!$C$12-SUM($W299:$AF299)-SUMIFS($AG299:$AP299,$AG$4:$AP$4,"&lt;"&amp;AN$4)))</f>
        <v/>
      </c>
      <c r="AY299" s="160">
        <f>AE299+MAX(0,MIN(AO299,'Debt Payoff'!$C$12-SUM($W299:$AF299)-SUMIFS($AG299:$AP299,$AG$4:$AP$4,"&lt;"&amp;AO$4)))</f>
        <v/>
      </c>
      <c r="AZ299" s="160">
        <f>AF299+MAX(0,MIN(AP299,'Debt Payoff'!$C$12-SUM($W299:$AF299)-SUMIFS($AG299:$AP299,$AG$4:$AP$4,"&lt;"&amp;AP$4)))</f>
        <v/>
      </c>
      <c r="BA299" s="160">
        <f>SUM(C299:L299)</f>
        <v/>
      </c>
      <c r="BB299" s="160">
        <f>SUM(AQ299:AZ299)</f>
        <v/>
      </c>
      <c r="BC299" s="160">
        <f>SUM(M299:V299)</f>
        <v/>
      </c>
    </row>
    <row r="300">
      <c r="A300" s="157" t="n">
        <v>295</v>
      </c>
      <c r="B300" s="159">
        <f>EDATE('Debt Payoff'!$C$6,294)</f>
        <v/>
      </c>
      <c r="C300" s="160">
        <f>MAX(0,ROUND(C299+M300-AQ300,2))</f>
        <v/>
      </c>
      <c r="D300" s="160">
        <f>MAX(0,ROUND(D299+N300-AR300,2))</f>
        <v/>
      </c>
      <c r="E300" s="160">
        <f>MAX(0,ROUND(E299+O300-AS300,2))</f>
        <v/>
      </c>
      <c r="F300" s="160">
        <f>MAX(0,ROUND(F299+P300-AT300,2))</f>
        <v/>
      </c>
      <c r="G300" s="160">
        <f>MAX(0,ROUND(G299+Q300-AU300,2))</f>
        <v/>
      </c>
      <c r="H300" s="160">
        <f>MAX(0,ROUND(H299+R300-AV300,2))</f>
        <v/>
      </c>
      <c r="I300" s="160">
        <f>MAX(0,ROUND(I299+S300-AW300,2))</f>
        <v/>
      </c>
      <c r="J300" s="160">
        <f>MAX(0,ROUND(J299+T300-AX300,2))</f>
        <v/>
      </c>
      <c r="K300" s="160">
        <f>MAX(0,ROUND(K299+U300-AY300,2))</f>
        <v/>
      </c>
      <c r="L300" s="160">
        <f>MAX(0,ROUND(L299+V300-AZ300,2))</f>
        <v/>
      </c>
      <c r="M300" s="160">
        <f>C299*N('Debt Payoff'!$D$15)/12</f>
        <v/>
      </c>
      <c r="N300" s="160">
        <f>D299*N('Debt Payoff'!$D$16)/12</f>
        <v/>
      </c>
      <c r="O300" s="160">
        <f>E299*N('Debt Payoff'!$D$17)/12</f>
        <v/>
      </c>
      <c r="P300" s="160">
        <f>F299*N('Debt Payoff'!$D$18)/12</f>
        <v/>
      </c>
      <c r="Q300" s="160">
        <f>G299*N('Debt Payoff'!$D$19)/12</f>
        <v/>
      </c>
      <c r="R300" s="160">
        <f>H299*N('Debt Payoff'!$D$20)/12</f>
        <v/>
      </c>
      <c r="S300" s="160">
        <f>I299*N('Debt Payoff'!$D$21)/12</f>
        <v/>
      </c>
      <c r="T300" s="160">
        <f>J299*N('Debt Payoff'!$D$22)/12</f>
        <v/>
      </c>
      <c r="U300" s="160">
        <f>K299*N('Debt Payoff'!$D$23)/12</f>
        <v/>
      </c>
      <c r="V300" s="160">
        <f>L299*N('Debt Payoff'!$D$24)/12</f>
        <v/>
      </c>
      <c r="W300" s="160">
        <f>MIN(N('Debt Payoff'!$E$15),C299+M300)</f>
        <v/>
      </c>
      <c r="X300" s="160">
        <f>MIN(N('Debt Payoff'!$E$16),D299+N300)</f>
        <v/>
      </c>
      <c r="Y300" s="160">
        <f>MIN(N('Debt Payoff'!$E$17),E299+O300)</f>
        <v/>
      </c>
      <c r="Z300" s="160">
        <f>MIN(N('Debt Payoff'!$E$18),F299+P300)</f>
        <v/>
      </c>
      <c r="AA300" s="160">
        <f>MIN(N('Debt Payoff'!$E$19),G299+Q300)</f>
        <v/>
      </c>
      <c r="AB300" s="160">
        <f>MIN(N('Debt Payoff'!$E$20),H299+R300)</f>
        <v/>
      </c>
      <c r="AC300" s="160">
        <f>MIN(N('Debt Payoff'!$E$21),I299+S300)</f>
        <v/>
      </c>
      <c r="AD300" s="160">
        <f>MIN(N('Debt Payoff'!$E$22),J299+T300)</f>
        <v/>
      </c>
      <c r="AE300" s="160">
        <f>MIN(N('Debt Payoff'!$E$23),K299+U300)</f>
        <v/>
      </c>
      <c r="AF300" s="160">
        <f>MIN(N('Debt Payoff'!$E$24),L299+V300)</f>
        <v/>
      </c>
      <c r="AG300" s="160">
        <f>C299+M300-W300</f>
        <v/>
      </c>
      <c r="AH300" s="160">
        <f>D299+N300-X300</f>
        <v/>
      </c>
      <c r="AI300" s="160">
        <f>E299+O300-Y300</f>
        <v/>
      </c>
      <c r="AJ300" s="160">
        <f>F299+P300-Z300</f>
        <v/>
      </c>
      <c r="AK300" s="160">
        <f>G299+Q300-AA300</f>
        <v/>
      </c>
      <c r="AL300" s="160">
        <f>H299+R300-AB300</f>
        <v/>
      </c>
      <c r="AM300" s="160">
        <f>I299+S300-AC300</f>
        <v/>
      </c>
      <c r="AN300" s="160">
        <f>J299+T300-AD300</f>
        <v/>
      </c>
      <c r="AO300" s="160">
        <f>K299+U300-AE300</f>
        <v/>
      </c>
      <c r="AP300" s="160">
        <f>L299+V300-AF300</f>
        <v/>
      </c>
      <c r="AQ300" s="160">
        <f>W300+MAX(0,MIN(AG300,'Debt Payoff'!$C$12-SUM($W300:$AF300)-SUMIFS($AG300:$AP300,$AG$4:$AP$4,"&lt;"&amp;AG$4)))</f>
        <v/>
      </c>
      <c r="AR300" s="160">
        <f>X300+MAX(0,MIN(AH300,'Debt Payoff'!$C$12-SUM($W300:$AF300)-SUMIFS($AG300:$AP300,$AG$4:$AP$4,"&lt;"&amp;AH$4)))</f>
        <v/>
      </c>
      <c r="AS300" s="160">
        <f>Y300+MAX(0,MIN(AI300,'Debt Payoff'!$C$12-SUM($W300:$AF300)-SUMIFS($AG300:$AP300,$AG$4:$AP$4,"&lt;"&amp;AI$4)))</f>
        <v/>
      </c>
      <c r="AT300" s="160">
        <f>Z300+MAX(0,MIN(AJ300,'Debt Payoff'!$C$12-SUM($W300:$AF300)-SUMIFS($AG300:$AP300,$AG$4:$AP$4,"&lt;"&amp;AJ$4)))</f>
        <v/>
      </c>
      <c r="AU300" s="160">
        <f>AA300+MAX(0,MIN(AK300,'Debt Payoff'!$C$12-SUM($W300:$AF300)-SUMIFS($AG300:$AP300,$AG$4:$AP$4,"&lt;"&amp;AK$4)))</f>
        <v/>
      </c>
      <c r="AV300" s="160">
        <f>AB300+MAX(0,MIN(AL300,'Debt Payoff'!$C$12-SUM($W300:$AF300)-SUMIFS($AG300:$AP300,$AG$4:$AP$4,"&lt;"&amp;AL$4)))</f>
        <v/>
      </c>
      <c r="AW300" s="160">
        <f>AC300+MAX(0,MIN(AM300,'Debt Payoff'!$C$12-SUM($W300:$AF300)-SUMIFS($AG300:$AP300,$AG$4:$AP$4,"&lt;"&amp;AM$4)))</f>
        <v/>
      </c>
      <c r="AX300" s="160">
        <f>AD300+MAX(0,MIN(AN300,'Debt Payoff'!$C$12-SUM($W300:$AF300)-SUMIFS($AG300:$AP300,$AG$4:$AP$4,"&lt;"&amp;AN$4)))</f>
        <v/>
      </c>
      <c r="AY300" s="160">
        <f>AE300+MAX(0,MIN(AO300,'Debt Payoff'!$C$12-SUM($W300:$AF300)-SUMIFS($AG300:$AP300,$AG$4:$AP$4,"&lt;"&amp;AO$4)))</f>
        <v/>
      </c>
      <c r="AZ300" s="160">
        <f>AF300+MAX(0,MIN(AP300,'Debt Payoff'!$C$12-SUM($W300:$AF300)-SUMIFS($AG300:$AP300,$AG$4:$AP$4,"&lt;"&amp;AP$4)))</f>
        <v/>
      </c>
      <c r="BA300" s="160">
        <f>SUM(C300:L300)</f>
        <v/>
      </c>
      <c r="BB300" s="160">
        <f>SUM(AQ300:AZ300)</f>
        <v/>
      </c>
      <c r="BC300" s="160">
        <f>SUM(M300:V300)</f>
        <v/>
      </c>
    </row>
    <row r="301">
      <c r="A301" s="157" t="n">
        <v>296</v>
      </c>
      <c r="B301" s="159">
        <f>EDATE('Debt Payoff'!$C$6,295)</f>
        <v/>
      </c>
      <c r="C301" s="160">
        <f>MAX(0,ROUND(C300+M301-AQ301,2))</f>
        <v/>
      </c>
      <c r="D301" s="160">
        <f>MAX(0,ROUND(D300+N301-AR301,2))</f>
        <v/>
      </c>
      <c r="E301" s="160">
        <f>MAX(0,ROUND(E300+O301-AS301,2))</f>
        <v/>
      </c>
      <c r="F301" s="160">
        <f>MAX(0,ROUND(F300+P301-AT301,2))</f>
        <v/>
      </c>
      <c r="G301" s="160">
        <f>MAX(0,ROUND(G300+Q301-AU301,2))</f>
        <v/>
      </c>
      <c r="H301" s="160">
        <f>MAX(0,ROUND(H300+R301-AV301,2))</f>
        <v/>
      </c>
      <c r="I301" s="160">
        <f>MAX(0,ROUND(I300+S301-AW301,2))</f>
        <v/>
      </c>
      <c r="J301" s="160">
        <f>MAX(0,ROUND(J300+T301-AX301,2))</f>
        <v/>
      </c>
      <c r="K301" s="160">
        <f>MAX(0,ROUND(K300+U301-AY301,2))</f>
        <v/>
      </c>
      <c r="L301" s="160">
        <f>MAX(0,ROUND(L300+V301-AZ301,2))</f>
        <v/>
      </c>
      <c r="M301" s="160">
        <f>C300*N('Debt Payoff'!$D$15)/12</f>
        <v/>
      </c>
      <c r="N301" s="160">
        <f>D300*N('Debt Payoff'!$D$16)/12</f>
        <v/>
      </c>
      <c r="O301" s="160">
        <f>E300*N('Debt Payoff'!$D$17)/12</f>
        <v/>
      </c>
      <c r="P301" s="160">
        <f>F300*N('Debt Payoff'!$D$18)/12</f>
        <v/>
      </c>
      <c r="Q301" s="160">
        <f>G300*N('Debt Payoff'!$D$19)/12</f>
        <v/>
      </c>
      <c r="R301" s="160">
        <f>H300*N('Debt Payoff'!$D$20)/12</f>
        <v/>
      </c>
      <c r="S301" s="160">
        <f>I300*N('Debt Payoff'!$D$21)/12</f>
        <v/>
      </c>
      <c r="T301" s="160">
        <f>J300*N('Debt Payoff'!$D$22)/12</f>
        <v/>
      </c>
      <c r="U301" s="160">
        <f>K300*N('Debt Payoff'!$D$23)/12</f>
        <v/>
      </c>
      <c r="V301" s="160">
        <f>L300*N('Debt Payoff'!$D$24)/12</f>
        <v/>
      </c>
      <c r="W301" s="160">
        <f>MIN(N('Debt Payoff'!$E$15),C300+M301)</f>
        <v/>
      </c>
      <c r="X301" s="160">
        <f>MIN(N('Debt Payoff'!$E$16),D300+N301)</f>
        <v/>
      </c>
      <c r="Y301" s="160">
        <f>MIN(N('Debt Payoff'!$E$17),E300+O301)</f>
        <v/>
      </c>
      <c r="Z301" s="160">
        <f>MIN(N('Debt Payoff'!$E$18),F300+P301)</f>
        <v/>
      </c>
      <c r="AA301" s="160">
        <f>MIN(N('Debt Payoff'!$E$19),G300+Q301)</f>
        <v/>
      </c>
      <c r="AB301" s="160">
        <f>MIN(N('Debt Payoff'!$E$20),H300+R301)</f>
        <v/>
      </c>
      <c r="AC301" s="160">
        <f>MIN(N('Debt Payoff'!$E$21),I300+S301)</f>
        <v/>
      </c>
      <c r="AD301" s="160">
        <f>MIN(N('Debt Payoff'!$E$22),J300+T301)</f>
        <v/>
      </c>
      <c r="AE301" s="160">
        <f>MIN(N('Debt Payoff'!$E$23),K300+U301)</f>
        <v/>
      </c>
      <c r="AF301" s="160">
        <f>MIN(N('Debt Payoff'!$E$24),L300+V301)</f>
        <v/>
      </c>
      <c r="AG301" s="160">
        <f>C300+M301-W301</f>
        <v/>
      </c>
      <c r="AH301" s="160">
        <f>D300+N301-X301</f>
        <v/>
      </c>
      <c r="AI301" s="160">
        <f>E300+O301-Y301</f>
        <v/>
      </c>
      <c r="AJ301" s="160">
        <f>F300+P301-Z301</f>
        <v/>
      </c>
      <c r="AK301" s="160">
        <f>G300+Q301-AA301</f>
        <v/>
      </c>
      <c r="AL301" s="160">
        <f>H300+R301-AB301</f>
        <v/>
      </c>
      <c r="AM301" s="160">
        <f>I300+S301-AC301</f>
        <v/>
      </c>
      <c r="AN301" s="160">
        <f>J300+T301-AD301</f>
        <v/>
      </c>
      <c r="AO301" s="160">
        <f>K300+U301-AE301</f>
        <v/>
      </c>
      <c r="AP301" s="160">
        <f>L300+V301-AF301</f>
        <v/>
      </c>
      <c r="AQ301" s="160">
        <f>W301+MAX(0,MIN(AG301,'Debt Payoff'!$C$12-SUM($W301:$AF301)-SUMIFS($AG301:$AP301,$AG$4:$AP$4,"&lt;"&amp;AG$4)))</f>
        <v/>
      </c>
      <c r="AR301" s="160">
        <f>X301+MAX(0,MIN(AH301,'Debt Payoff'!$C$12-SUM($W301:$AF301)-SUMIFS($AG301:$AP301,$AG$4:$AP$4,"&lt;"&amp;AH$4)))</f>
        <v/>
      </c>
      <c r="AS301" s="160">
        <f>Y301+MAX(0,MIN(AI301,'Debt Payoff'!$C$12-SUM($W301:$AF301)-SUMIFS($AG301:$AP301,$AG$4:$AP$4,"&lt;"&amp;AI$4)))</f>
        <v/>
      </c>
      <c r="AT301" s="160">
        <f>Z301+MAX(0,MIN(AJ301,'Debt Payoff'!$C$12-SUM($W301:$AF301)-SUMIFS($AG301:$AP301,$AG$4:$AP$4,"&lt;"&amp;AJ$4)))</f>
        <v/>
      </c>
      <c r="AU301" s="160">
        <f>AA301+MAX(0,MIN(AK301,'Debt Payoff'!$C$12-SUM($W301:$AF301)-SUMIFS($AG301:$AP301,$AG$4:$AP$4,"&lt;"&amp;AK$4)))</f>
        <v/>
      </c>
      <c r="AV301" s="160">
        <f>AB301+MAX(0,MIN(AL301,'Debt Payoff'!$C$12-SUM($W301:$AF301)-SUMIFS($AG301:$AP301,$AG$4:$AP$4,"&lt;"&amp;AL$4)))</f>
        <v/>
      </c>
      <c r="AW301" s="160">
        <f>AC301+MAX(0,MIN(AM301,'Debt Payoff'!$C$12-SUM($W301:$AF301)-SUMIFS($AG301:$AP301,$AG$4:$AP$4,"&lt;"&amp;AM$4)))</f>
        <v/>
      </c>
      <c r="AX301" s="160">
        <f>AD301+MAX(0,MIN(AN301,'Debt Payoff'!$C$12-SUM($W301:$AF301)-SUMIFS($AG301:$AP301,$AG$4:$AP$4,"&lt;"&amp;AN$4)))</f>
        <v/>
      </c>
      <c r="AY301" s="160">
        <f>AE301+MAX(0,MIN(AO301,'Debt Payoff'!$C$12-SUM($W301:$AF301)-SUMIFS($AG301:$AP301,$AG$4:$AP$4,"&lt;"&amp;AO$4)))</f>
        <v/>
      </c>
      <c r="AZ301" s="160">
        <f>AF301+MAX(0,MIN(AP301,'Debt Payoff'!$C$12-SUM($W301:$AF301)-SUMIFS($AG301:$AP301,$AG$4:$AP$4,"&lt;"&amp;AP$4)))</f>
        <v/>
      </c>
      <c r="BA301" s="160">
        <f>SUM(C301:L301)</f>
        <v/>
      </c>
      <c r="BB301" s="160">
        <f>SUM(AQ301:AZ301)</f>
        <v/>
      </c>
      <c r="BC301" s="160">
        <f>SUM(M301:V301)</f>
        <v/>
      </c>
    </row>
    <row r="302">
      <c r="A302" s="157" t="n">
        <v>297</v>
      </c>
      <c r="B302" s="159">
        <f>EDATE('Debt Payoff'!$C$6,296)</f>
        <v/>
      </c>
      <c r="C302" s="160">
        <f>MAX(0,ROUND(C301+M302-AQ302,2))</f>
        <v/>
      </c>
      <c r="D302" s="160">
        <f>MAX(0,ROUND(D301+N302-AR302,2))</f>
        <v/>
      </c>
      <c r="E302" s="160">
        <f>MAX(0,ROUND(E301+O302-AS302,2))</f>
        <v/>
      </c>
      <c r="F302" s="160">
        <f>MAX(0,ROUND(F301+P302-AT302,2))</f>
        <v/>
      </c>
      <c r="G302" s="160">
        <f>MAX(0,ROUND(G301+Q302-AU302,2))</f>
        <v/>
      </c>
      <c r="H302" s="160">
        <f>MAX(0,ROUND(H301+R302-AV302,2))</f>
        <v/>
      </c>
      <c r="I302" s="160">
        <f>MAX(0,ROUND(I301+S302-AW302,2))</f>
        <v/>
      </c>
      <c r="J302" s="160">
        <f>MAX(0,ROUND(J301+T302-AX302,2))</f>
        <v/>
      </c>
      <c r="K302" s="160">
        <f>MAX(0,ROUND(K301+U302-AY302,2))</f>
        <v/>
      </c>
      <c r="L302" s="160">
        <f>MAX(0,ROUND(L301+V302-AZ302,2))</f>
        <v/>
      </c>
      <c r="M302" s="160">
        <f>C301*N('Debt Payoff'!$D$15)/12</f>
        <v/>
      </c>
      <c r="N302" s="160">
        <f>D301*N('Debt Payoff'!$D$16)/12</f>
        <v/>
      </c>
      <c r="O302" s="160">
        <f>E301*N('Debt Payoff'!$D$17)/12</f>
        <v/>
      </c>
      <c r="P302" s="160">
        <f>F301*N('Debt Payoff'!$D$18)/12</f>
        <v/>
      </c>
      <c r="Q302" s="160">
        <f>G301*N('Debt Payoff'!$D$19)/12</f>
        <v/>
      </c>
      <c r="R302" s="160">
        <f>H301*N('Debt Payoff'!$D$20)/12</f>
        <v/>
      </c>
      <c r="S302" s="160">
        <f>I301*N('Debt Payoff'!$D$21)/12</f>
        <v/>
      </c>
      <c r="T302" s="160">
        <f>J301*N('Debt Payoff'!$D$22)/12</f>
        <v/>
      </c>
      <c r="U302" s="160">
        <f>K301*N('Debt Payoff'!$D$23)/12</f>
        <v/>
      </c>
      <c r="V302" s="160">
        <f>L301*N('Debt Payoff'!$D$24)/12</f>
        <v/>
      </c>
      <c r="W302" s="160">
        <f>MIN(N('Debt Payoff'!$E$15),C301+M302)</f>
        <v/>
      </c>
      <c r="X302" s="160">
        <f>MIN(N('Debt Payoff'!$E$16),D301+N302)</f>
        <v/>
      </c>
      <c r="Y302" s="160">
        <f>MIN(N('Debt Payoff'!$E$17),E301+O302)</f>
        <v/>
      </c>
      <c r="Z302" s="160">
        <f>MIN(N('Debt Payoff'!$E$18),F301+P302)</f>
        <v/>
      </c>
      <c r="AA302" s="160">
        <f>MIN(N('Debt Payoff'!$E$19),G301+Q302)</f>
        <v/>
      </c>
      <c r="AB302" s="160">
        <f>MIN(N('Debt Payoff'!$E$20),H301+R302)</f>
        <v/>
      </c>
      <c r="AC302" s="160">
        <f>MIN(N('Debt Payoff'!$E$21),I301+S302)</f>
        <v/>
      </c>
      <c r="AD302" s="160">
        <f>MIN(N('Debt Payoff'!$E$22),J301+T302)</f>
        <v/>
      </c>
      <c r="AE302" s="160">
        <f>MIN(N('Debt Payoff'!$E$23),K301+U302)</f>
        <v/>
      </c>
      <c r="AF302" s="160">
        <f>MIN(N('Debt Payoff'!$E$24),L301+V302)</f>
        <v/>
      </c>
      <c r="AG302" s="160">
        <f>C301+M302-W302</f>
        <v/>
      </c>
      <c r="AH302" s="160">
        <f>D301+N302-X302</f>
        <v/>
      </c>
      <c r="AI302" s="160">
        <f>E301+O302-Y302</f>
        <v/>
      </c>
      <c r="AJ302" s="160">
        <f>F301+P302-Z302</f>
        <v/>
      </c>
      <c r="AK302" s="160">
        <f>G301+Q302-AA302</f>
        <v/>
      </c>
      <c r="AL302" s="160">
        <f>H301+R302-AB302</f>
        <v/>
      </c>
      <c r="AM302" s="160">
        <f>I301+S302-AC302</f>
        <v/>
      </c>
      <c r="AN302" s="160">
        <f>J301+T302-AD302</f>
        <v/>
      </c>
      <c r="AO302" s="160">
        <f>K301+U302-AE302</f>
        <v/>
      </c>
      <c r="AP302" s="160">
        <f>L301+V302-AF302</f>
        <v/>
      </c>
      <c r="AQ302" s="160">
        <f>W302+MAX(0,MIN(AG302,'Debt Payoff'!$C$12-SUM($W302:$AF302)-SUMIFS($AG302:$AP302,$AG$4:$AP$4,"&lt;"&amp;AG$4)))</f>
        <v/>
      </c>
      <c r="AR302" s="160">
        <f>X302+MAX(0,MIN(AH302,'Debt Payoff'!$C$12-SUM($W302:$AF302)-SUMIFS($AG302:$AP302,$AG$4:$AP$4,"&lt;"&amp;AH$4)))</f>
        <v/>
      </c>
      <c r="AS302" s="160">
        <f>Y302+MAX(0,MIN(AI302,'Debt Payoff'!$C$12-SUM($W302:$AF302)-SUMIFS($AG302:$AP302,$AG$4:$AP$4,"&lt;"&amp;AI$4)))</f>
        <v/>
      </c>
      <c r="AT302" s="160">
        <f>Z302+MAX(0,MIN(AJ302,'Debt Payoff'!$C$12-SUM($W302:$AF302)-SUMIFS($AG302:$AP302,$AG$4:$AP$4,"&lt;"&amp;AJ$4)))</f>
        <v/>
      </c>
      <c r="AU302" s="160">
        <f>AA302+MAX(0,MIN(AK302,'Debt Payoff'!$C$12-SUM($W302:$AF302)-SUMIFS($AG302:$AP302,$AG$4:$AP$4,"&lt;"&amp;AK$4)))</f>
        <v/>
      </c>
      <c r="AV302" s="160">
        <f>AB302+MAX(0,MIN(AL302,'Debt Payoff'!$C$12-SUM($W302:$AF302)-SUMIFS($AG302:$AP302,$AG$4:$AP$4,"&lt;"&amp;AL$4)))</f>
        <v/>
      </c>
      <c r="AW302" s="160">
        <f>AC302+MAX(0,MIN(AM302,'Debt Payoff'!$C$12-SUM($W302:$AF302)-SUMIFS($AG302:$AP302,$AG$4:$AP$4,"&lt;"&amp;AM$4)))</f>
        <v/>
      </c>
      <c r="AX302" s="160">
        <f>AD302+MAX(0,MIN(AN302,'Debt Payoff'!$C$12-SUM($W302:$AF302)-SUMIFS($AG302:$AP302,$AG$4:$AP$4,"&lt;"&amp;AN$4)))</f>
        <v/>
      </c>
      <c r="AY302" s="160">
        <f>AE302+MAX(0,MIN(AO302,'Debt Payoff'!$C$12-SUM($W302:$AF302)-SUMIFS($AG302:$AP302,$AG$4:$AP$4,"&lt;"&amp;AO$4)))</f>
        <v/>
      </c>
      <c r="AZ302" s="160">
        <f>AF302+MAX(0,MIN(AP302,'Debt Payoff'!$C$12-SUM($W302:$AF302)-SUMIFS($AG302:$AP302,$AG$4:$AP$4,"&lt;"&amp;AP$4)))</f>
        <v/>
      </c>
      <c r="BA302" s="160">
        <f>SUM(C302:L302)</f>
        <v/>
      </c>
      <c r="BB302" s="160">
        <f>SUM(AQ302:AZ302)</f>
        <v/>
      </c>
      <c r="BC302" s="160">
        <f>SUM(M302:V302)</f>
        <v/>
      </c>
    </row>
    <row r="303">
      <c r="A303" s="157" t="n">
        <v>298</v>
      </c>
      <c r="B303" s="159">
        <f>EDATE('Debt Payoff'!$C$6,297)</f>
        <v/>
      </c>
      <c r="C303" s="160">
        <f>MAX(0,ROUND(C302+M303-AQ303,2))</f>
        <v/>
      </c>
      <c r="D303" s="160">
        <f>MAX(0,ROUND(D302+N303-AR303,2))</f>
        <v/>
      </c>
      <c r="E303" s="160">
        <f>MAX(0,ROUND(E302+O303-AS303,2))</f>
        <v/>
      </c>
      <c r="F303" s="160">
        <f>MAX(0,ROUND(F302+P303-AT303,2))</f>
        <v/>
      </c>
      <c r="G303" s="160">
        <f>MAX(0,ROUND(G302+Q303-AU303,2))</f>
        <v/>
      </c>
      <c r="H303" s="160">
        <f>MAX(0,ROUND(H302+R303-AV303,2))</f>
        <v/>
      </c>
      <c r="I303" s="160">
        <f>MAX(0,ROUND(I302+S303-AW303,2))</f>
        <v/>
      </c>
      <c r="J303" s="160">
        <f>MAX(0,ROUND(J302+T303-AX303,2))</f>
        <v/>
      </c>
      <c r="K303" s="160">
        <f>MAX(0,ROUND(K302+U303-AY303,2))</f>
        <v/>
      </c>
      <c r="L303" s="160">
        <f>MAX(0,ROUND(L302+V303-AZ303,2))</f>
        <v/>
      </c>
      <c r="M303" s="160">
        <f>C302*N('Debt Payoff'!$D$15)/12</f>
        <v/>
      </c>
      <c r="N303" s="160">
        <f>D302*N('Debt Payoff'!$D$16)/12</f>
        <v/>
      </c>
      <c r="O303" s="160">
        <f>E302*N('Debt Payoff'!$D$17)/12</f>
        <v/>
      </c>
      <c r="P303" s="160">
        <f>F302*N('Debt Payoff'!$D$18)/12</f>
        <v/>
      </c>
      <c r="Q303" s="160">
        <f>G302*N('Debt Payoff'!$D$19)/12</f>
        <v/>
      </c>
      <c r="R303" s="160">
        <f>H302*N('Debt Payoff'!$D$20)/12</f>
        <v/>
      </c>
      <c r="S303" s="160">
        <f>I302*N('Debt Payoff'!$D$21)/12</f>
        <v/>
      </c>
      <c r="T303" s="160">
        <f>J302*N('Debt Payoff'!$D$22)/12</f>
        <v/>
      </c>
      <c r="U303" s="160">
        <f>K302*N('Debt Payoff'!$D$23)/12</f>
        <v/>
      </c>
      <c r="V303" s="160">
        <f>L302*N('Debt Payoff'!$D$24)/12</f>
        <v/>
      </c>
      <c r="W303" s="160">
        <f>MIN(N('Debt Payoff'!$E$15),C302+M303)</f>
        <v/>
      </c>
      <c r="X303" s="160">
        <f>MIN(N('Debt Payoff'!$E$16),D302+N303)</f>
        <v/>
      </c>
      <c r="Y303" s="160">
        <f>MIN(N('Debt Payoff'!$E$17),E302+O303)</f>
        <v/>
      </c>
      <c r="Z303" s="160">
        <f>MIN(N('Debt Payoff'!$E$18),F302+P303)</f>
        <v/>
      </c>
      <c r="AA303" s="160">
        <f>MIN(N('Debt Payoff'!$E$19),G302+Q303)</f>
        <v/>
      </c>
      <c r="AB303" s="160">
        <f>MIN(N('Debt Payoff'!$E$20),H302+R303)</f>
        <v/>
      </c>
      <c r="AC303" s="160">
        <f>MIN(N('Debt Payoff'!$E$21),I302+S303)</f>
        <v/>
      </c>
      <c r="AD303" s="160">
        <f>MIN(N('Debt Payoff'!$E$22),J302+T303)</f>
        <v/>
      </c>
      <c r="AE303" s="160">
        <f>MIN(N('Debt Payoff'!$E$23),K302+U303)</f>
        <v/>
      </c>
      <c r="AF303" s="160">
        <f>MIN(N('Debt Payoff'!$E$24),L302+V303)</f>
        <v/>
      </c>
      <c r="AG303" s="160">
        <f>C302+M303-W303</f>
        <v/>
      </c>
      <c r="AH303" s="160">
        <f>D302+N303-X303</f>
        <v/>
      </c>
      <c r="AI303" s="160">
        <f>E302+O303-Y303</f>
        <v/>
      </c>
      <c r="AJ303" s="160">
        <f>F302+P303-Z303</f>
        <v/>
      </c>
      <c r="AK303" s="160">
        <f>G302+Q303-AA303</f>
        <v/>
      </c>
      <c r="AL303" s="160">
        <f>H302+R303-AB303</f>
        <v/>
      </c>
      <c r="AM303" s="160">
        <f>I302+S303-AC303</f>
        <v/>
      </c>
      <c r="AN303" s="160">
        <f>J302+T303-AD303</f>
        <v/>
      </c>
      <c r="AO303" s="160">
        <f>K302+U303-AE303</f>
        <v/>
      </c>
      <c r="AP303" s="160">
        <f>L302+V303-AF303</f>
        <v/>
      </c>
      <c r="AQ303" s="160">
        <f>W303+MAX(0,MIN(AG303,'Debt Payoff'!$C$12-SUM($W303:$AF303)-SUMIFS($AG303:$AP303,$AG$4:$AP$4,"&lt;"&amp;AG$4)))</f>
        <v/>
      </c>
      <c r="AR303" s="160">
        <f>X303+MAX(0,MIN(AH303,'Debt Payoff'!$C$12-SUM($W303:$AF303)-SUMIFS($AG303:$AP303,$AG$4:$AP$4,"&lt;"&amp;AH$4)))</f>
        <v/>
      </c>
      <c r="AS303" s="160">
        <f>Y303+MAX(0,MIN(AI303,'Debt Payoff'!$C$12-SUM($W303:$AF303)-SUMIFS($AG303:$AP303,$AG$4:$AP$4,"&lt;"&amp;AI$4)))</f>
        <v/>
      </c>
      <c r="AT303" s="160">
        <f>Z303+MAX(0,MIN(AJ303,'Debt Payoff'!$C$12-SUM($W303:$AF303)-SUMIFS($AG303:$AP303,$AG$4:$AP$4,"&lt;"&amp;AJ$4)))</f>
        <v/>
      </c>
      <c r="AU303" s="160">
        <f>AA303+MAX(0,MIN(AK303,'Debt Payoff'!$C$12-SUM($W303:$AF303)-SUMIFS($AG303:$AP303,$AG$4:$AP$4,"&lt;"&amp;AK$4)))</f>
        <v/>
      </c>
      <c r="AV303" s="160">
        <f>AB303+MAX(0,MIN(AL303,'Debt Payoff'!$C$12-SUM($W303:$AF303)-SUMIFS($AG303:$AP303,$AG$4:$AP$4,"&lt;"&amp;AL$4)))</f>
        <v/>
      </c>
      <c r="AW303" s="160">
        <f>AC303+MAX(0,MIN(AM303,'Debt Payoff'!$C$12-SUM($W303:$AF303)-SUMIFS($AG303:$AP303,$AG$4:$AP$4,"&lt;"&amp;AM$4)))</f>
        <v/>
      </c>
      <c r="AX303" s="160">
        <f>AD303+MAX(0,MIN(AN303,'Debt Payoff'!$C$12-SUM($W303:$AF303)-SUMIFS($AG303:$AP303,$AG$4:$AP$4,"&lt;"&amp;AN$4)))</f>
        <v/>
      </c>
      <c r="AY303" s="160">
        <f>AE303+MAX(0,MIN(AO303,'Debt Payoff'!$C$12-SUM($W303:$AF303)-SUMIFS($AG303:$AP303,$AG$4:$AP$4,"&lt;"&amp;AO$4)))</f>
        <v/>
      </c>
      <c r="AZ303" s="160">
        <f>AF303+MAX(0,MIN(AP303,'Debt Payoff'!$C$12-SUM($W303:$AF303)-SUMIFS($AG303:$AP303,$AG$4:$AP$4,"&lt;"&amp;AP$4)))</f>
        <v/>
      </c>
      <c r="BA303" s="160">
        <f>SUM(C303:L303)</f>
        <v/>
      </c>
      <c r="BB303" s="160">
        <f>SUM(AQ303:AZ303)</f>
        <v/>
      </c>
      <c r="BC303" s="160">
        <f>SUM(M303:V303)</f>
        <v/>
      </c>
    </row>
    <row r="304">
      <c r="A304" s="157" t="n">
        <v>299</v>
      </c>
      <c r="B304" s="159">
        <f>EDATE('Debt Payoff'!$C$6,298)</f>
        <v/>
      </c>
      <c r="C304" s="160">
        <f>MAX(0,ROUND(C303+M304-AQ304,2))</f>
        <v/>
      </c>
      <c r="D304" s="160">
        <f>MAX(0,ROUND(D303+N304-AR304,2))</f>
        <v/>
      </c>
      <c r="E304" s="160">
        <f>MAX(0,ROUND(E303+O304-AS304,2))</f>
        <v/>
      </c>
      <c r="F304" s="160">
        <f>MAX(0,ROUND(F303+P304-AT304,2))</f>
        <v/>
      </c>
      <c r="G304" s="160">
        <f>MAX(0,ROUND(G303+Q304-AU304,2))</f>
        <v/>
      </c>
      <c r="H304" s="160">
        <f>MAX(0,ROUND(H303+R304-AV304,2))</f>
        <v/>
      </c>
      <c r="I304" s="160">
        <f>MAX(0,ROUND(I303+S304-AW304,2))</f>
        <v/>
      </c>
      <c r="J304" s="160">
        <f>MAX(0,ROUND(J303+T304-AX304,2))</f>
        <v/>
      </c>
      <c r="K304" s="160">
        <f>MAX(0,ROUND(K303+U304-AY304,2))</f>
        <v/>
      </c>
      <c r="L304" s="160">
        <f>MAX(0,ROUND(L303+V304-AZ304,2))</f>
        <v/>
      </c>
      <c r="M304" s="160">
        <f>C303*N('Debt Payoff'!$D$15)/12</f>
        <v/>
      </c>
      <c r="N304" s="160">
        <f>D303*N('Debt Payoff'!$D$16)/12</f>
        <v/>
      </c>
      <c r="O304" s="160">
        <f>E303*N('Debt Payoff'!$D$17)/12</f>
        <v/>
      </c>
      <c r="P304" s="160">
        <f>F303*N('Debt Payoff'!$D$18)/12</f>
        <v/>
      </c>
      <c r="Q304" s="160">
        <f>G303*N('Debt Payoff'!$D$19)/12</f>
        <v/>
      </c>
      <c r="R304" s="160">
        <f>H303*N('Debt Payoff'!$D$20)/12</f>
        <v/>
      </c>
      <c r="S304" s="160">
        <f>I303*N('Debt Payoff'!$D$21)/12</f>
        <v/>
      </c>
      <c r="T304" s="160">
        <f>J303*N('Debt Payoff'!$D$22)/12</f>
        <v/>
      </c>
      <c r="U304" s="160">
        <f>K303*N('Debt Payoff'!$D$23)/12</f>
        <v/>
      </c>
      <c r="V304" s="160">
        <f>L303*N('Debt Payoff'!$D$24)/12</f>
        <v/>
      </c>
      <c r="W304" s="160">
        <f>MIN(N('Debt Payoff'!$E$15),C303+M304)</f>
        <v/>
      </c>
      <c r="X304" s="160">
        <f>MIN(N('Debt Payoff'!$E$16),D303+N304)</f>
        <v/>
      </c>
      <c r="Y304" s="160">
        <f>MIN(N('Debt Payoff'!$E$17),E303+O304)</f>
        <v/>
      </c>
      <c r="Z304" s="160">
        <f>MIN(N('Debt Payoff'!$E$18),F303+P304)</f>
        <v/>
      </c>
      <c r="AA304" s="160">
        <f>MIN(N('Debt Payoff'!$E$19),G303+Q304)</f>
        <v/>
      </c>
      <c r="AB304" s="160">
        <f>MIN(N('Debt Payoff'!$E$20),H303+R304)</f>
        <v/>
      </c>
      <c r="AC304" s="160">
        <f>MIN(N('Debt Payoff'!$E$21),I303+S304)</f>
        <v/>
      </c>
      <c r="AD304" s="160">
        <f>MIN(N('Debt Payoff'!$E$22),J303+T304)</f>
        <v/>
      </c>
      <c r="AE304" s="160">
        <f>MIN(N('Debt Payoff'!$E$23),K303+U304)</f>
        <v/>
      </c>
      <c r="AF304" s="160">
        <f>MIN(N('Debt Payoff'!$E$24),L303+V304)</f>
        <v/>
      </c>
      <c r="AG304" s="160">
        <f>C303+M304-W304</f>
        <v/>
      </c>
      <c r="AH304" s="160">
        <f>D303+N304-X304</f>
        <v/>
      </c>
      <c r="AI304" s="160">
        <f>E303+O304-Y304</f>
        <v/>
      </c>
      <c r="AJ304" s="160">
        <f>F303+P304-Z304</f>
        <v/>
      </c>
      <c r="AK304" s="160">
        <f>G303+Q304-AA304</f>
        <v/>
      </c>
      <c r="AL304" s="160">
        <f>H303+R304-AB304</f>
        <v/>
      </c>
      <c r="AM304" s="160">
        <f>I303+S304-AC304</f>
        <v/>
      </c>
      <c r="AN304" s="160">
        <f>J303+T304-AD304</f>
        <v/>
      </c>
      <c r="AO304" s="160">
        <f>K303+U304-AE304</f>
        <v/>
      </c>
      <c r="AP304" s="160">
        <f>L303+V304-AF304</f>
        <v/>
      </c>
      <c r="AQ304" s="160">
        <f>W304+MAX(0,MIN(AG304,'Debt Payoff'!$C$12-SUM($W304:$AF304)-SUMIFS($AG304:$AP304,$AG$4:$AP$4,"&lt;"&amp;AG$4)))</f>
        <v/>
      </c>
      <c r="AR304" s="160">
        <f>X304+MAX(0,MIN(AH304,'Debt Payoff'!$C$12-SUM($W304:$AF304)-SUMIFS($AG304:$AP304,$AG$4:$AP$4,"&lt;"&amp;AH$4)))</f>
        <v/>
      </c>
      <c r="AS304" s="160">
        <f>Y304+MAX(0,MIN(AI304,'Debt Payoff'!$C$12-SUM($W304:$AF304)-SUMIFS($AG304:$AP304,$AG$4:$AP$4,"&lt;"&amp;AI$4)))</f>
        <v/>
      </c>
      <c r="AT304" s="160">
        <f>Z304+MAX(0,MIN(AJ304,'Debt Payoff'!$C$12-SUM($W304:$AF304)-SUMIFS($AG304:$AP304,$AG$4:$AP$4,"&lt;"&amp;AJ$4)))</f>
        <v/>
      </c>
      <c r="AU304" s="160">
        <f>AA304+MAX(0,MIN(AK304,'Debt Payoff'!$C$12-SUM($W304:$AF304)-SUMIFS($AG304:$AP304,$AG$4:$AP$4,"&lt;"&amp;AK$4)))</f>
        <v/>
      </c>
      <c r="AV304" s="160">
        <f>AB304+MAX(0,MIN(AL304,'Debt Payoff'!$C$12-SUM($W304:$AF304)-SUMIFS($AG304:$AP304,$AG$4:$AP$4,"&lt;"&amp;AL$4)))</f>
        <v/>
      </c>
      <c r="AW304" s="160">
        <f>AC304+MAX(0,MIN(AM304,'Debt Payoff'!$C$12-SUM($W304:$AF304)-SUMIFS($AG304:$AP304,$AG$4:$AP$4,"&lt;"&amp;AM$4)))</f>
        <v/>
      </c>
      <c r="AX304" s="160">
        <f>AD304+MAX(0,MIN(AN304,'Debt Payoff'!$C$12-SUM($W304:$AF304)-SUMIFS($AG304:$AP304,$AG$4:$AP$4,"&lt;"&amp;AN$4)))</f>
        <v/>
      </c>
      <c r="AY304" s="160">
        <f>AE304+MAX(0,MIN(AO304,'Debt Payoff'!$C$12-SUM($W304:$AF304)-SUMIFS($AG304:$AP304,$AG$4:$AP$4,"&lt;"&amp;AO$4)))</f>
        <v/>
      </c>
      <c r="AZ304" s="160">
        <f>AF304+MAX(0,MIN(AP304,'Debt Payoff'!$C$12-SUM($W304:$AF304)-SUMIFS($AG304:$AP304,$AG$4:$AP$4,"&lt;"&amp;AP$4)))</f>
        <v/>
      </c>
      <c r="BA304" s="160">
        <f>SUM(C304:L304)</f>
        <v/>
      </c>
      <c r="BB304" s="160">
        <f>SUM(AQ304:AZ304)</f>
        <v/>
      </c>
      <c r="BC304" s="160">
        <f>SUM(M304:V304)</f>
        <v/>
      </c>
    </row>
    <row r="305">
      <c r="A305" s="157" t="n">
        <v>300</v>
      </c>
      <c r="B305" s="159">
        <f>EDATE('Debt Payoff'!$C$6,299)</f>
        <v/>
      </c>
      <c r="C305" s="160">
        <f>MAX(0,ROUND(C304+M305-AQ305,2))</f>
        <v/>
      </c>
      <c r="D305" s="160">
        <f>MAX(0,ROUND(D304+N305-AR305,2))</f>
        <v/>
      </c>
      <c r="E305" s="160">
        <f>MAX(0,ROUND(E304+O305-AS305,2))</f>
        <v/>
      </c>
      <c r="F305" s="160">
        <f>MAX(0,ROUND(F304+P305-AT305,2))</f>
        <v/>
      </c>
      <c r="G305" s="160">
        <f>MAX(0,ROUND(G304+Q305-AU305,2))</f>
        <v/>
      </c>
      <c r="H305" s="160">
        <f>MAX(0,ROUND(H304+R305-AV305,2))</f>
        <v/>
      </c>
      <c r="I305" s="160">
        <f>MAX(0,ROUND(I304+S305-AW305,2))</f>
        <v/>
      </c>
      <c r="J305" s="160">
        <f>MAX(0,ROUND(J304+T305-AX305,2))</f>
        <v/>
      </c>
      <c r="K305" s="160">
        <f>MAX(0,ROUND(K304+U305-AY305,2))</f>
        <v/>
      </c>
      <c r="L305" s="160">
        <f>MAX(0,ROUND(L304+V305-AZ305,2))</f>
        <v/>
      </c>
      <c r="M305" s="160">
        <f>C304*N('Debt Payoff'!$D$15)/12</f>
        <v/>
      </c>
      <c r="N305" s="160">
        <f>D304*N('Debt Payoff'!$D$16)/12</f>
        <v/>
      </c>
      <c r="O305" s="160">
        <f>E304*N('Debt Payoff'!$D$17)/12</f>
        <v/>
      </c>
      <c r="P305" s="160">
        <f>F304*N('Debt Payoff'!$D$18)/12</f>
        <v/>
      </c>
      <c r="Q305" s="160">
        <f>G304*N('Debt Payoff'!$D$19)/12</f>
        <v/>
      </c>
      <c r="R305" s="160">
        <f>H304*N('Debt Payoff'!$D$20)/12</f>
        <v/>
      </c>
      <c r="S305" s="160">
        <f>I304*N('Debt Payoff'!$D$21)/12</f>
        <v/>
      </c>
      <c r="T305" s="160">
        <f>J304*N('Debt Payoff'!$D$22)/12</f>
        <v/>
      </c>
      <c r="U305" s="160">
        <f>K304*N('Debt Payoff'!$D$23)/12</f>
        <v/>
      </c>
      <c r="V305" s="160">
        <f>L304*N('Debt Payoff'!$D$24)/12</f>
        <v/>
      </c>
      <c r="W305" s="160">
        <f>MIN(N('Debt Payoff'!$E$15),C304+M305)</f>
        <v/>
      </c>
      <c r="X305" s="160">
        <f>MIN(N('Debt Payoff'!$E$16),D304+N305)</f>
        <v/>
      </c>
      <c r="Y305" s="160">
        <f>MIN(N('Debt Payoff'!$E$17),E304+O305)</f>
        <v/>
      </c>
      <c r="Z305" s="160">
        <f>MIN(N('Debt Payoff'!$E$18),F304+P305)</f>
        <v/>
      </c>
      <c r="AA305" s="160">
        <f>MIN(N('Debt Payoff'!$E$19),G304+Q305)</f>
        <v/>
      </c>
      <c r="AB305" s="160">
        <f>MIN(N('Debt Payoff'!$E$20),H304+R305)</f>
        <v/>
      </c>
      <c r="AC305" s="160">
        <f>MIN(N('Debt Payoff'!$E$21),I304+S305)</f>
        <v/>
      </c>
      <c r="AD305" s="160">
        <f>MIN(N('Debt Payoff'!$E$22),J304+T305)</f>
        <v/>
      </c>
      <c r="AE305" s="160">
        <f>MIN(N('Debt Payoff'!$E$23),K304+U305)</f>
        <v/>
      </c>
      <c r="AF305" s="160">
        <f>MIN(N('Debt Payoff'!$E$24),L304+V305)</f>
        <v/>
      </c>
      <c r="AG305" s="160">
        <f>C304+M305-W305</f>
        <v/>
      </c>
      <c r="AH305" s="160">
        <f>D304+N305-X305</f>
        <v/>
      </c>
      <c r="AI305" s="160">
        <f>E304+O305-Y305</f>
        <v/>
      </c>
      <c r="AJ305" s="160">
        <f>F304+P305-Z305</f>
        <v/>
      </c>
      <c r="AK305" s="160">
        <f>G304+Q305-AA305</f>
        <v/>
      </c>
      <c r="AL305" s="160">
        <f>H304+R305-AB305</f>
        <v/>
      </c>
      <c r="AM305" s="160">
        <f>I304+S305-AC305</f>
        <v/>
      </c>
      <c r="AN305" s="160">
        <f>J304+T305-AD305</f>
        <v/>
      </c>
      <c r="AO305" s="160">
        <f>K304+U305-AE305</f>
        <v/>
      </c>
      <c r="AP305" s="160">
        <f>L304+V305-AF305</f>
        <v/>
      </c>
      <c r="AQ305" s="160">
        <f>W305+MAX(0,MIN(AG305,'Debt Payoff'!$C$12-SUM($W305:$AF305)-SUMIFS($AG305:$AP305,$AG$4:$AP$4,"&lt;"&amp;AG$4)))</f>
        <v/>
      </c>
      <c r="AR305" s="160">
        <f>X305+MAX(0,MIN(AH305,'Debt Payoff'!$C$12-SUM($W305:$AF305)-SUMIFS($AG305:$AP305,$AG$4:$AP$4,"&lt;"&amp;AH$4)))</f>
        <v/>
      </c>
      <c r="AS305" s="160">
        <f>Y305+MAX(0,MIN(AI305,'Debt Payoff'!$C$12-SUM($W305:$AF305)-SUMIFS($AG305:$AP305,$AG$4:$AP$4,"&lt;"&amp;AI$4)))</f>
        <v/>
      </c>
      <c r="AT305" s="160">
        <f>Z305+MAX(0,MIN(AJ305,'Debt Payoff'!$C$12-SUM($W305:$AF305)-SUMIFS($AG305:$AP305,$AG$4:$AP$4,"&lt;"&amp;AJ$4)))</f>
        <v/>
      </c>
      <c r="AU305" s="160">
        <f>AA305+MAX(0,MIN(AK305,'Debt Payoff'!$C$12-SUM($W305:$AF305)-SUMIFS($AG305:$AP305,$AG$4:$AP$4,"&lt;"&amp;AK$4)))</f>
        <v/>
      </c>
      <c r="AV305" s="160">
        <f>AB305+MAX(0,MIN(AL305,'Debt Payoff'!$C$12-SUM($W305:$AF305)-SUMIFS($AG305:$AP305,$AG$4:$AP$4,"&lt;"&amp;AL$4)))</f>
        <v/>
      </c>
      <c r="AW305" s="160">
        <f>AC305+MAX(0,MIN(AM305,'Debt Payoff'!$C$12-SUM($W305:$AF305)-SUMIFS($AG305:$AP305,$AG$4:$AP$4,"&lt;"&amp;AM$4)))</f>
        <v/>
      </c>
      <c r="AX305" s="160">
        <f>AD305+MAX(0,MIN(AN305,'Debt Payoff'!$C$12-SUM($W305:$AF305)-SUMIFS($AG305:$AP305,$AG$4:$AP$4,"&lt;"&amp;AN$4)))</f>
        <v/>
      </c>
      <c r="AY305" s="160">
        <f>AE305+MAX(0,MIN(AO305,'Debt Payoff'!$C$12-SUM($W305:$AF305)-SUMIFS($AG305:$AP305,$AG$4:$AP$4,"&lt;"&amp;AO$4)))</f>
        <v/>
      </c>
      <c r="AZ305" s="160">
        <f>AF305+MAX(0,MIN(AP305,'Debt Payoff'!$C$12-SUM($W305:$AF305)-SUMIFS($AG305:$AP305,$AG$4:$AP$4,"&lt;"&amp;AP$4)))</f>
        <v/>
      </c>
      <c r="BA305" s="160">
        <f>SUM(C305:L305)</f>
        <v/>
      </c>
      <c r="BB305" s="160">
        <f>SUM(AQ305:AZ305)</f>
        <v/>
      </c>
      <c r="BC305" s="160">
        <f>SUM(M305:V305)</f>
        <v/>
      </c>
    </row>
  </sheetData>
  <mergeCells count="5">
    <mergeCell ref="AG2:AP2"/>
    <mergeCell ref="AQ2:AZ2"/>
    <mergeCell ref="M2:V2"/>
    <mergeCell ref="W2:AF2"/>
    <mergeCell ref="C2:L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Log category</t>
        </is>
      </c>
      <c r="C1" t="inlineStr">
        <is>
          <t>Frequency</t>
        </is>
      </c>
      <c r="D1" t="inlineStr">
        <is>
          <t>Days</t>
        </is>
      </c>
      <c r="E1" t="inlineStr">
        <is>
          <t>Months</t>
        </is>
      </c>
      <c r="F1" t="inlineStr">
        <is>
          <t>Mark</t>
        </is>
      </c>
      <c r="G1" t="inlineStr">
        <is>
          <t>Accounts</t>
        </is>
      </c>
      <c r="H1" t="inlineStr">
        <is>
          <t>Sub-categories</t>
        </is>
      </c>
      <c r="I1" t="inlineStr">
        <is>
          <t>Period</t>
        </is>
      </c>
      <c r="J1" t="inlineStr">
        <is>
          <t>Debt method</t>
        </is>
      </c>
      <c r="K1" t="inlineStr">
        <is>
          <t>YesNo</t>
        </is>
      </c>
      <c r="L1" t="inlineStr">
        <is>
          <t>Week start</t>
        </is>
      </c>
    </row>
    <row r="2">
      <c r="A2" t="inlineStr">
        <is>
          <t>Income</t>
        </is>
      </c>
      <c r="B2" t="inlineStr">
        <is>
          <t>Income</t>
        </is>
      </c>
      <c r="C2" t="inlineStr">
        <is>
          <t>Weekly</t>
        </is>
      </c>
      <c r="D2" t="n">
        <v>7</v>
      </c>
      <c r="E2" t="n">
        <v>0</v>
      </c>
      <c r="F2" t="inlineStr">
        <is>
          <t>✓</t>
        </is>
      </c>
      <c r="G2" t="inlineStr">
        <is>
          <t>N/A</t>
        </is>
      </c>
      <c r="H2">
        <f>IF(Setup!I6="","",Setup!I6)</f>
        <v/>
      </c>
      <c r="I2" t="inlineStr">
        <is>
          <t>Weekly</t>
        </is>
      </c>
      <c r="J2" t="inlineStr">
        <is>
          <t>Debt Snowball</t>
        </is>
      </c>
      <c r="K2" t="inlineStr">
        <is>
          <t>Yes</t>
        </is>
      </c>
      <c r="L2" t="inlineStr">
        <is>
          <t>Sunday</t>
        </is>
      </c>
    </row>
    <row r="3">
      <c r="A3" t="inlineStr">
        <is>
          <t>Bills</t>
        </is>
      </c>
      <c r="B3" t="inlineStr">
        <is>
          <t>Bills</t>
        </is>
      </c>
      <c r="C3" t="inlineStr">
        <is>
          <t>Bi-weekly</t>
        </is>
      </c>
      <c r="D3" t="n">
        <v>14</v>
      </c>
      <c r="E3" t="n">
        <v>0</v>
      </c>
      <c r="F3" t="inlineStr">
        <is>
          <t>✗</t>
        </is>
      </c>
      <c r="G3">
        <f>IF(Setup!F6="","",Setup!F6)</f>
        <v/>
      </c>
      <c r="H3">
        <f>IF(Setup!I7="","",Setup!I7)</f>
        <v/>
      </c>
      <c r="I3" t="inlineStr">
        <is>
          <t>Bi-weekly</t>
        </is>
      </c>
      <c r="J3" t="inlineStr">
        <is>
          <t>Debt Avalanche</t>
        </is>
      </c>
      <c r="K3" t="inlineStr">
        <is>
          <t>No</t>
        </is>
      </c>
      <c r="L3" t="inlineStr">
        <is>
          <t>Monday</t>
        </is>
      </c>
    </row>
    <row r="4">
      <c r="A4" t="inlineStr">
        <is>
          <t>Debt</t>
        </is>
      </c>
      <c r="B4" t="inlineStr">
        <is>
          <t>Debt</t>
        </is>
      </c>
      <c r="C4" t="inlineStr">
        <is>
          <t>4-weekly</t>
        </is>
      </c>
      <c r="D4" t="n">
        <v>28</v>
      </c>
      <c r="E4" t="n">
        <v>0</v>
      </c>
      <c r="G4">
        <f>IF(Setup!F7="","",Setup!F7)</f>
        <v/>
      </c>
      <c r="H4">
        <f>IF(Setup!I8="","",Setup!I8)</f>
        <v/>
      </c>
      <c r="I4" t="inlineStr">
        <is>
          <t>4-weekly</t>
        </is>
      </c>
      <c r="J4" t="inlineStr">
        <is>
          <t>Custom</t>
        </is>
      </c>
    </row>
    <row r="5">
      <c r="A5" t="inlineStr">
        <is>
          <t>Subscriptions</t>
        </is>
      </c>
      <c r="B5" t="inlineStr">
        <is>
          <t>Subscriptions</t>
        </is>
      </c>
      <c r="C5" t="inlineStr">
        <is>
          <t>Monthly</t>
        </is>
      </c>
      <c r="D5" t="n">
        <v>0</v>
      </c>
      <c r="E5" t="n">
        <v>1</v>
      </c>
      <c r="G5">
        <f>IF(Setup!F8="","",Setup!F8)</f>
        <v/>
      </c>
      <c r="H5">
        <f>IF(Setup!I9="","",Setup!I9)</f>
        <v/>
      </c>
      <c r="I5" t="inlineStr">
        <is>
          <t>Monthly</t>
        </is>
      </c>
      <c r="J5" t="inlineStr">
        <is>
          <t>Credit Score Focus</t>
        </is>
      </c>
    </row>
    <row r="6">
      <c r="A6" t="inlineStr">
        <is>
          <t>Savings</t>
        </is>
      </c>
      <c r="B6" t="inlineStr">
        <is>
          <t>Savings</t>
        </is>
      </c>
      <c r="C6" t="inlineStr">
        <is>
          <t>Bi-monthly</t>
        </is>
      </c>
      <c r="D6" t="n">
        <v>0</v>
      </c>
      <c r="E6" t="n">
        <v>2</v>
      </c>
      <c r="G6">
        <f>IF(Setup!F9="","",Setup!F9)</f>
        <v/>
      </c>
      <c r="H6">
        <f>IF(Setup!I10="","",Setup!I10)</f>
        <v/>
      </c>
      <c r="I6" t="inlineStr">
        <is>
          <t>Quarterly</t>
        </is>
      </c>
    </row>
    <row r="7">
      <c r="B7" t="inlineStr">
        <is>
          <t>Variable Exp</t>
        </is>
      </c>
      <c r="C7" t="inlineStr">
        <is>
          <t>Quarterly</t>
        </is>
      </c>
      <c r="D7" t="n">
        <v>0</v>
      </c>
      <c r="E7" t="n">
        <v>3</v>
      </c>
      <c r="G7">
        <f>IF(Setup!F10="","",Setup!F10)</f>
        <v/>
      </c>
      <c r="H7">
        <f>IF(Setup!I11="","",Setup!I11)</f>
        <v/>
      </c>
      <c r="I7" t="inlineStr">
        <is>
          <t>6-month</t>
        </is>
      </c>
    </row>
    <row r="8">
      <c r="B8" t="inlineStr">
        <is>
          <t>Transfer</t>
        </is>
      </c>
      <c r="C8" t="inlineStr">
        <is>
          <t>Semi-annual</t>
        </is>
      </c>
      <c r="D8" t="n">
        <v>0</v>
      </c>
      <c r="E8" t="n">
        <v>6</v>
      </c>
      <c r="G8">
        <f>IF(Setup!F11="","",Setup!F11)</f>
        <v/>
      </c>
      <c r="H8">
        <f>IF(Setup!I12="","",Setup!I12)</f>
        <v/>
      </c>
      <c r="I8" t="inlineStr">
        <is>
          <t>Annual</t>
        </is>
      </c>
    </row>
    <row r="9">
      <c r="C9" t="inlineStr">
        <is>
          <t>Annual</t>
        </is>
      </c>
      <c r="D9" t="n">
        <v>0</v>
      </c>
      <c r="E9" t="n">
        <v>12</v>
      </c>
      <c r="G9">
        <f>IF(Setup!F12="","",Setup!F12)</f>
        <v/>
      </c>
      <c r="H9">
        <f>IF(Setup!I13="","",Setup!I13)</f>
        <v/>
      </c>
      <c r="I9" t="inlineStr">
        <is>
          <t>Custom</t>
        </is>
      </c>
    </row>
    <row r="10">
      <c r="C10" t="inlineStr">
        <is>
          <t>Once</t>
        </is>
      </c>
      <c r="D10" t="n">
        <v>0</v>
      </c>
      <c r="E10" t="n">
        <v>0</v>
      </c>
      <c r="G10">
        <f>IF(Setup!F13="","",Setup!F13)</f>
        <v/>
      </c>
      <c r="H10">
        <f>IF(Setup!I14="","",Setup!I14)</f>
        <v/>
      </c>
    </row>
    <row r="11">
      <c r="G11">
        <f>IF(Setup!F14="","",Setup!F14)</f>
        <v/>
      </c>
      <c r="H11">
        <f>IF(Setup!I15="","",Setup!I15)</f>
        <v/>
      </c>
    </row>
    <row r="12">
      <c r="G12">
        <f>IF(Setup!F15="","",Setup!F15)</f>
        <v/>
      </c>
      <c r="H12">
        <f>IF(Setup!I16="","",Setup!I16)</f>
        <v/>
      </c>
    </row>
    <row r="13">
      <c r="G13">
        <f>IF(Setup!F16="","",Setup!F16)</f>
        <v/>
      </c>
      <c r="H13">
        <f>IF(Setup!I17="","",Setup!I17)</f>
        <v/>
      </c>
    </row>
    <row r="14">
      <c r="G14">
        <f>IF(Setup!F17="","",Setup!F17)</f>
        <v/>
      </c>
      <c r="H14">
        <f>IF(Setup!I18="","",Setup!I18)</f>
        <v/>
      </c>
    </row>
    <row r="15">
      <c r="H15">
        <f>IF(Setup!I19="","",Setup!I19)</f>
        <v/>
      </c>
    </row>
    <row r="16">
      <c r="H16">
        <f>IF(Setup!I20="","",Setup!I20)</f>
        <v/>
      </c>
    </row>
    <row r="17">
      <c r="H17">
        <f>IF(Setup!D25="","",Setup!D25)</f>
        <v/>
      </c>
    </row>
    <row r="18">
      <c r="H18">
        <f>IF(Setup!D26="","",Setup!D26)</f>
        <v/>
      </c>
    </row>
    <row r="19">
      <c r="H19">
        <f>IF(Setup!D27="","",Setup!D27)</f>
        <v/>
      </c>
    </row>
    <row r="20">
      <c r="H20">
        <f>IF(Setup!D28="","",Setup!D28)</f>
        <v/>
      </c>
    </row>
    <row r="21">
      <c r="H21">
        <f>IF(Setup!D29="","",Setup!D29)</f>
        <v/>
      </c>
    </row>
    <row r="22">
      <c r="H22">
        <f>IF(Setup!D30="","",Setup!D30)</f>
        <v/>
      </c>
    </row>
    <row r="23">
      <c r="H23">
        <f>IF(Setup!D31="","",Setup!D31)</f>
        <v/>
      </c>
    </row>
    <row r="24">
      <c r="H24">
        <f>IF(Setup!D32="","",Setup!D32)</f>
        <v/>
      </c>
    </row>
    <row r="25">
      <c r="H25">
        <f>IF(Setup!D33="","",Setup!D33)</f>
        <v/>
      </c>
    </row>
    <row r="26">
      <c r="H26">
        <f>IF(Setup!D34="","",Setup!D34)</f>
        <v/>
      </c>
    </row>
    <row r="27">
      <c r="H27">
        <f>IF(Setup!D35="","",Setup!D35)</f>
        <v/>
      </c>
    </row>
    <row r="28">
      <c r="H28">
        <f>IF(Setup!D36="","",Setup!D36)</f>
        <v/>
      </c>
    </row>
    <row r="29">
      <c r="H29">
        <f>IF(Setup!D37="","",Setup!D37)</f>
        <v/>
      </c>
    </row>
    <row r="30">
      <c r="H30">
        <f>IF(Setup!D38="","",Setup!D38)</f>
        <v/>
      </c>
    </row>
    <row r="31">
      <c r="H31">
        <f>IF(Setup!D39="","",Setup!D39)</f>
        <v/>
      </c>
    </row>
    <row r="32">
      <c r="H32">
        <f>IF(Setup!D40="","",Setup!D40)</f>
        <v/>
      </c>
    </row>
    <row r="33">
      <c r="H33">
        <f>IF(Setup!D41="","",Setup!D41)</f>
        <v/>
      </c>
    </row>
    <row r="34">
      <c r="H34">
        <f>IF(Setup!D42="","",Setup!D42)</f>
        <v/>
      </c>
    </row>
    <row r="35">
      <c r="H35">
        <f>IF(Setup!D43="","",Setup!D43)</f>
        <v/>
      </c>
    </row>
    <row r="36">
      <c r="H36">
        <f>IF(Setup!D44="","",Setup!D44)</f>
        <v/>
      </c>
    </row>
    <row r="37">
      <c r="H37">
        <f>IF(Setup!D45="","",Setup!D45)</f>
        <v/>
      </c>
    </row>
    <row r="38">
      <c r="H38">
        <f>IF(Setup!D46="","",Setup!D46)</f>
        <v/>
      </c>
    </row>
    <row r="39">
      <c r="H39">
        <f>IF(Setup!D47="","",Setup!D47)</f>
        <v/>
      </c>
    </row>
    <row r="40">
      <c r="H40">
        <f>IF(Setup!D48="","",Setup!D48)</f>
        <v/>
      </c>
    </row>
    <row r="41">
      <c r="H41">
        <f>IF(Setup!D49="","",Setup!D49)</f>
        <v/>
      </c>
    </row>
    <row r="42">
      <c r="H42">
        <f>IF(Setup!D50="","",Setup!D50)</f>
        <v/>
      </c>
    </row>
    <row r="43">
      <c r="H43">
        <f>IF(Setup!D51="","",Setup!D51)</f>
        <v/>
      </c>
    </row>
    <row r="44">
      <c r="H44">
        <f>IF(Setup!D52="","",Setup!D52)</f>
        <v/>
      </c>
    </row>
    <row r="45">
      <c r="H45">
        <f>IF(Setup!D53="","",Setup!D53)</f>
        <v/>
      </c>
    </row>
    <row r="46">
      <c r="H46">
        <f>IF(Setup!D54="","",Setup!D54)</f>
        <v/>
      </c>
    </row>
    <row r="47">
      <c r="H47">
        <f>IF(Setup!D55="","",Setup!D55)</f>
        <v/>
      </c>
    </row>
    <row r="48">
      <c r="H48">
        <f>IF(Setup!D56="","",Setup!D56)</f>
        <v/>
      </c>
    </row>
    <row r="49">
      <c r="H49">
        <f>IF(Setup!D57="","",Setup!D57)</f>
        <v/>
      </c>
    </row>
    <row r="50">
      <c r="H50">
        <f>IF(Setup!D58="","",Setup!D58)</f>
        <v/>
      </c>
    </row>
    <row r="51">
      <c r="H51">
        <f>IF(Setup!D59="","",Setup!D59)</f>
        <v/>
      </c>
    </row>
    <row r="52">
      <c r="H52">
        <f>IF(Setup!D60="","",Setup!D60)</f>
        <v/>
      </c>
    </row>
    <row r="53">
      <c r="H53">
        <f>IF(Setup!D61="","",Setup!D61)</f>
        <v/>
      </c>
    </row>
    <row r="54">
      <c r="H54">
        <f>IF(Setup!D62="","",Setup!D62)</f>
        <v/>
      </c>
    </row>
    <row r="55">
      <c r="H55">
        <f>IF(Setup!D63="","",Setup!D63)</f>
        <v/>
      </c>
    </row>
    <row r="56">
      <c r="H56">
        <f>IF(Setup!D64="","",Setup!D64)</f>
        <v/>
      </c>
    </row>
    <row r="57">
      <c r="H57">
        <f>IF(Setup!D65="","",Setup!D65)</f>
        <v/>
      </c>
    </row>
    <row r="58">
      <c r="H58">
        <f>IF(Setup!D66="","",Setup!D66)</f>
        <v/>
      </c>
    </row>
    <row r="59">
      <c r="H59">
        <f>IF(Setup!D67="","",Setup!D67)</f>
        <v/>
      </c>
    </row>
    <row r="60">
      <c r="H60">
        <f>IF(Setup!D68="","",Setup!D68)</f>
        <v/>
      </c>
    </row>
    <row r="61">
      <c r="H61">
        <f>IF(Setup!D69="","",Setup!D69)</f>
        <v/>
      </c>
    </row>
    <row r="62">
      <c r="H62">
        <f>IF(Setup!D70="","",Setup!D70)</f>
        <v/>
      </c>
    </row>
    <row r="63">
      <c r="H63">
        <f>IF(Setup!D71="","",Setup!D71)</f>
        <v/>
      </c>
    </row>
    <row r="64">
      <c r="H64">
        <f>IF(Setup!D72="","",Setup!D72)</f>
        <v/>
      </c>
    </row>
    <row r="65">
      <c r="H65">
        <f>IF(Setup!D73="","",Setup!D73)</f>
        <v/>
      </c>
    </row>
    <row r="66">
      <c r="H66">
        <f>IF(Setup!D74="","",Setup!D74)</f>
        <v/>
      </c>
    </row>
    <row r="67">
      <c r="H67">
        <f>IF(Setup!D75="","",Setup!D75)</f>
        <v/>
      </c>
    </row>
    <row r="68">
      <c r="H68">
        <f>IF(Setup!D76="","",Setup!D76)</f>
        <v/>
      </c>
    </row>
    <row r="69">
      <c r="H69">
        <f>IF(Setup!D77="","",Setup!D77)</f>
        <v/>
      </c>
    </row>
    <row r="70">
      <c r="H70">
        <f>IF(Setup!D78="","",Setup!D78)</f>
        <v/>
      </c>
    </row>
    <row r="71">
      <c r="H71">
        <f>IF(Setup!D79="","",Setup!D79)</f>
        <v/>
      </c>
    </row>
    <row r="72">
      <c r="H72">
        <f>IF(Setup!D80="","",Setup!D80)</f>
        <v/>
      </c>
    </row>
    <row r="73">
      <c r="H73">
        <f>IF(Setup!D81="","",Setup!D81)</f>
        <v/>
      </c>
    </row>
    <row r="74">
      <c r="H74">
        <f>IF(Setup!D82="","",Setup!D82)</f>
        <v/>
      </c>
    </row>
    <row r="75">
      <c r="H75">
        <f>IF(Setup!D83="","",Setup!D83)</f>
        <v/>
      </c>
    </row>
    <row r="76">
      <c r="H76">
        <f>IF(Setup!D84="","",Setup!D84)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\ k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</row>
    <row r="2">
      <c r="A2" t="n">
        <v>1</v>
      </c>
      <c r="B2">
        <f>IF(OR(Setup!$E$25="",Setup!$G$25="",Setup!$F$25=""),"",IF(AND(Setup!$F$25="Once",B$1&gt;0),"",IF(OR(IF(Setup!$M$25&gt;0,Setup!$G$25+(Setup!$O$25+B$1)*Setup!$M$25,EDATE(Setup!$G$25,(Setup!$O$25+B$1)*Setup!$N$25))&gt;Setup!$P$25,IF(Setup!$M$25&gt;0,Setup!$G$25+(Setup!$O$25+B$1)*Setup!$M$25,EDATE(Setup!$G$25,(Setup!$O$25+B$1)*Setup!$N$25))&lt;Setup!$D$5),"",IF(Setup!$M$25&gt;0,Setup!$G$25+(Setup!$O$25+B$1)*Setup!$M$25,EDATE(Setup!$G$25,(Setup!$O$25+B$1)*Setup!$N$25))+$A2/1000)))</f>
        <v/>
      </c>
      <c r="C2">
        <f>IF(OR(Setup!$E$25="",Setup!$G$25="",Setup!$F$25=""),"",IF(AND(Setup!$F$25="Once",C$1&gt;0),"",IF(OR(IF(Setup!$M$25&gt;0,Setup!$G$25+(Setup!$O$25+C$1)*Setup!$M$25,EDATE(Setup!$G$25,(Setup!$O$25+C$1)*Setup!$N$25))&gt;Setup!$P$25,IF(Setup!$M$25&gt;0,Setup!$G$25+(Setup!$O$25+C$1)*Setup!$M$25,EDATE(Setup!$G$25,(Setup!$O$25+C$1)*Setup!$N$25))&lt;Setup!$D$5),"",IF(Setup!$M$25&gt;0,Setup!$G$25+(Setup!$O$25+C$1)*Setup!$M$25,EDATE(Setup!$G$25,(Setup!$O$25+C$1)*Setup!$N$25))+$A2/1000)))</f>
        <v/>
      </c>
      <c r="D2">
        <f>IF(OR(Setup!$E$25="",Setup!$G$25="",Setup!$F$25=""),"",IF(AND(Setup!$F$25="Once",D$1&gt;0),"",IF(OR(IF(Setup!$M$25&gt;0,Setup!$G$25+(Setup!$O$25+D$1)*Setup!$M$25,EDATE(Setup!$G$25,(Setup!$O$25+D$1)*Setup!$N$25))&gt;Setup!$P$25,IF(Setup!$M$25&gt;0,Setup!$G$25+(Setup!$O$25+D$1)*Setup!$M$25,EDATE(Setup!$G$25,(Setup!$O$25+D$1)*Setup!$N$25))&lt;Setup!$D$5),"",IF(Setup!$M$25&gt;0,Setup!$G$25+(Setup!$O$25+D$1)*Setup!$M$25,EDATE(Setup!$G$25,(Setup!$O$25+D$1)*Setup!$N$25))+$A2/1000)))</f>
        <v/>
      </c>
      <c r="E2">
        <f>IF(OR(Setup!$E$25="",Setup!$G$25="",Setup!$F$25=""),"",IF(AND(Setup!$F$25="Once",E$1&gt;0),"",IF(OR(IF(Setup!$M$25&gt;0,Setup!$G$25+(Setup!$O$25+E$1)*Setup!$M$25,EDATE(Setup!$G$25,(Setup!$O$25+E$1)*Setup!$N$25))&gt;Setup!$P$25,IF(Setup!$M$25&gt;0,Setup!$G$25+(Setup!$O$25+E$1)*Setup!$M$25,EDATE(Setup!$G$25,(Setup!$O$25+E$1)*Setup!$N$25))&lt;Setup!$D$5),"",IF(Setup!$M$25&gt;0,Setup!$G$25+(Setup!$O$25+E$1)*Setup!$M$25,EDATE(Setup!$G$25,(Setup!$O$25+E$1)*Setup!$N$25))+$A2/1000)))</f>
        <v/>
      </c>
      <c r="F2">
        <f>IF(OR(Setup!$E$25="",Setup!$G$25="",Setup!$F$25=""),"",IF(AND(Setup!$F$25="Once",F$1&gt;0),"",IF(OR(IF(Setup!$M$25&gt;0,Setup!$G$25+(Setup!$O$25+F$1)*Setup!$M$25,EDATE(Setup!$G$25,(Setup!$O$25+F$1)*Setup!$N$25))&gt;Setup!$P$25,IF(Setup!$M$25&gt;0,Setup!$G$25+(Setup!$O$25+F$1)*Setup!$M$25,EDATE(Setup!$G$25,(Setup!$O$25+F$1)*Setup!$N$25))&lt;Setup!$D$5),"",IF(Setup!$M$25&gt;0,Setup!$G$25+(Setup!$O$25+F$1)*Setup!$M$25,EDATE(Setup!$G$25,(Setup!$O$25+F$1)*Setup!$N$25))+$A2/1000)))</f>
        <v/>
      </c>
      <c r="G2">
        <f>IF(OR(Setup!$E$25="",Setup!$G$25="",Setup!$F$25=""),"",IF(AND(Setup!$F$25="Once",G$1&gt;0),"",IF(OR(IF(Setup!$M$25&gt;0,Setup!$G$25+(Setup!$O$25+G$1)*Setup!$M$25,EDATE(Setup!$G$25,(Setup!$O$25+G$1)*Setup!$N$25))&gt;Setup!$P$25,IF(Setup!$M$25&gt;0,Setup!$G$25+(Setup!$O$25+G$1)*Setup!$M$25,EDATE(Setup!$G$25,(Setup!$O$25+G$1)*Setup!$N$25))&lt;Setup!$D$5),"",IF(Setup!$M$25&gt;0,Setup!$G$25+(Setup!$O$25+G$1)*Setup!$M$25,EDATE(Setup!$G$25,(Setup!$O$25+G$1)*Setup!$N$25))+$A2/1000)))</f>
        <v/>
      </c>
      <c r="H2">
        <f>IF(OR(Setup!$E$25="",Setup!$G$25="",Setup!$F$25=""),"",IF(AND(Setup!$F$25="Once",H$1&gt;0),"",IF(OR(IF(Setup!$M$25&gt;0,Setup!$G$25+(Setup!$O$25+H$1)*Setup!$M$25,EDATE(Setup!$G$25,(Setup!$O$25+H$1)*Setup!$N$25))&gt;Setup!$P$25,IF(Setup!$M$25&gt;0,Setup!$G$25+(Setup!$O$25+H$1)*Setup!$M$25,EDATE(Setup!$G$25,(Setup!$O$25+H$1)*Setup!$N$25))&lt;Setup!$D$5),"",IF(Setup!$M$25&gt;0,Setup!$G$25+(Setup!$O$25+H$1)*Setup!$M$25,EDATE(Setup!$G$25,(Setup!$O$25+H$1)*Setup!$N$25))+$A2/1000)))</f>
        <v/>
      </c>
      <c r="I2">
        <f>IF(OR(Setup!$E$25="",Setup!$G$25="",Setup!$F$25=""),"",IF(AND(Setup!$F$25="Once",I$1&gt;0),"",IF(OR(IF(Setup!$M$25&gt;0,Setup!$G$25+(Setup!$O$25+I$1)*Setup!$M$25,EDATE(Setup!$G$25,(Setup!$O$25+I$1)*Setup!$N$25))&gt;Setup!$P$25,IF(Setup!$M$25&gt;0,Setup!$G$25+(Setup!$O$25+I$1)*Setup!$M$25,EDATE(Setup!$G$25,(Setup!$O$25+I$1)*Setup!$N$25))&lt;Setup!$D$5),"",IF(Setup!$M$25&gt;0,Setup!$G$25+(Setup!$O$25+I$1)*Setup!$M$25,EDATE(Setup!$G$25,(Setup!$O$25+I$1)*Setup!$N$25))+$A2/1000)))</f>
        <v/>
      </c>
      <c r="J2">
        <f>IF(OR(Setup!$E$25="",Setup!$G$25="",Setup!$F$25=""),"",IF(AND(Setup!$F$25="Once",J$1&gt;0),"",IF(OR(IF(Setup!$M$25&gt;0,Setup!$G$25+(Setup!$O$25+J$1)*Setup!$M$25,EDATE(Setup!$G$25,(Setup!$O$25+J$1)*Setup!$N$25))&gt;Setup!$P$25,IF(Setup!$M$25&gt;0,Setup!$G$25+(Setup!$O$25+J$1)*Setup!$M$25,EDATE(Setup!$G$25,(Setup!$O$25+J$1)*Setup!$N$25))&lt;Setup!$D$5),"",IF(Setup!$M$25&gt;0,Setup!$G$25+(Setup!$O$25+J$1)*Setup!$M$25,EDATE(Setup!$G$25,(Setup!$O$25+J$1)*Setup!$N$25))+$A2/1000)))</f>
        <v/>
      </c>
      <c r="K2">
        <f>IF(OR(Setup!$E$25="",Setup!$G$25="",Setup!$F$25=""),"",IF(AND(Setup!$F$25="Once",K$1&gt;0),"",IF(OR(IF(Setup!$M$25&gt;0,Setup!$G$25+(Setup!$O$25+K$1)*Setup!$M$25,EDATE(Setup!$G$25,(Setup!$O$25+K$1)*Setup!$N$25))&gt;Setup!$P$25,IF(Setup!$M$25&gt;0,Setup!$G$25+(Setup!$O$25+K$1)*Setup!$M$25,EDATE(Setup!$G$25,(Setup!$O$25+K$1)*Setup!$N$25))&lt;Setup!$D$5),"",IF(Setup!$M$25&gt;0,Setup!$G$25+(Setup!$O$25+K$1)*Setup!$M$25,EDATE(Setup!$G$25,(Setup!$O$25+K$1)*Setup!$N$25))+$A2/1000)))</f>
        <v/>
      </c>
      <c r="L2">
        <f>IF(OR(Setup!$E$25="",Setup!$G$25="",Setup!$F$25=""),"",IF(AND(Setup!$F$25="Once",L$1&gt;0),"",IF(OR(IF(Setup!$M$25&gt;0,Setup!$G$25+(Setup!$O$25+L$1)*Setup!$M$25,EDATE(Setup!$G$25,(Setup!$O$25+L$1)*Setup!$N$25))&gt;Setup!$P$25,IF(Setup!$M$25&gt;0,Setup!$G$25+(Setup!$O$25+L$1)*Setup!$M$25,EDATE(Setup!$G$25,(Setup!$O$25+L$1)*Setup!$N$25))&lt;Setup!$D$5),"",IF(Setup!$M$25&gt;0,Setup!$G$25+(Setup!$O$25+L$1)*Setup!$M$25,EDATE(Setup!$G$25,(Setup!$O$25+L$1)*Setup!$N$25))+$A2/1000)))</f>
        <v/>
      </c>
      <c r="M2">
        <f>IF(OR(Setup!$E$25="",Setup!$G$25="",Setup!$F$25=""),"",IF(AND(Setup!$F$25="Once",M$1&gt;0),"",IF(OR(IF(Setup!$M$25&gt;0,Setup!$G$25+(Setup!$O$25+M$1)*Setup!$M$25,EDATE(Setup!$G$25,(Setup!$O$25+M$1)*Setup!$N$25))&gt;Setup!$P$25,IF(Setup!$M$25&gt;0,Setup!$G$25+(Setup!$O$25+M$1)*Setup!$M$25,EDATE(Setup!$G$25,(Setup!$O$25+M$1)*Setup!$N$25))&lt;Setup!$D$5),"",IF(Setup!$M$25&gt;0,Setup!$G$25+(Setup!$O$25+M$1)*Setup!$M$25,EDATE(Setup!$G$25,(Setup!$O$25+M$1)*Setup!$N$25))+$A2/1000)))</f>
        <v/>
      </c>
      <c r="N2">
        <f>IF(OR(Setup!$E$25="",Setup!$G$25="",Setup!$F$25=""),"",IF(AND(Setup!$F$25="Once",N$1&gt;0),"",IF(OR(IF(Setup!$M$25&gt;0,Setup!$G$25+(Setup!$O$25+N$1)*Setup!$M$25,EDATE(Setup!$G$25,(Setup!$O$25+N$1)*Setup!$N$25))&gt;Setup!$P$25,IF(Setup!$M$25&gt;0,Setup!$G$25+(Setup!$O$25+N$1)*Setup!$M$25,EDATE(Setup!$G$25,(Setup!$O$25+N$1)*Setup!$N$25))&lt;Setup!$D$5),"",IF(Setup!$M$25&gt;0,Setup!$G$25+(Setup!$O$25+N$1)*Setup!$M$25,EDATE(Setup!$G$25,(Setup!$O$25+N$1)*Setup!$N$25))+$A2/1000)))</f>
        <v/>
      </c>
      <c r="O2">
        <f>IF(OR(Setup!$E$25="",Setup!$G$25="",Setup!$F$25=""),"",IF(AND(Setup!$F$25="Once",O$1&gt;0),"",IF(OR(IF(Setup!$M$25&gt;0,Setup!$G$25+(Setup!$O$25+O$1)*Setup!$M$25,EDATE(Setup!$G$25,(Setup!$O$25+O$1)*Setup!$N$25))&gt;Setup!$P$25,IF(Setup!$M$25&gt;0,Setup!$G$25+(Setup!$O$25+O$1)*Setup!$M$25,EDATE(Setup!$G$25,(Setup!$O$25+O$1)*Setup!$N$25))&lt;Setup!$D$5),"",IF(Setup!$M$25&gt;0,Setup!$G$25+(Setup!$O$25+O$1)*Setup!$M$25,EDATE(Setup!$G$25,(Setup!$O$25+O$1)*Setup!$N$25))+$A2/1000)))</f>
        <v/>
      </c>
      <c r="P2">
        <f>IF(OR(Setup!$E$25="",Setup!$G$25="",Setup!$F$25=""),"",IF(AND(Setup!$F$25="Once",P$1&gt;0),"",IF(OR(IF(Setup!$M$25&gt;0,Setup!$G$25+(Setup!$O$25+P$1)*Setup!$M$25,EDATE(Setup!$G$25,(Setup!$O$25+P$1)*Setup!$N$25))&gt;Setup!$P$25,IF(Setup!$M$25&gt;0,Setup!$G$25+(Setup!$O$25+P$1)*Setup!$M$25,EDATE(Setup!$G$25,(Setup!$O$25+P$1)*Setup!$N$25))&lt;Setup!$D$5),"",IF(Setup!$M$25&gt;0,Setup!$G$25+(Setup!$O$25+P$1)*Setup!$M$25,EDATE(Setup!$G$25,(Setup!$O$25+P$1)*Setup!$N$25))+$A2/1000)))</f>
        <v/>
      </c>
      <c r="Q2">
        <f>IF(OR(Setup!$E$25="",Setup!$G$25="",Setup!$F$25=""),"",IF(AND(Setup!$F$25="Once",Q$1&gt;0),"",IF(OR(IF(Setup!$M$25&gt;0,Setup!$G$25+(Setup!$O$25+Q$1)*Setup!$M$25,EDATE(Setup!$G$25,(Setup!$O$25+Q$1)*Setup!$N$25))&gt;Setup!$P$25,IF(Setup!$M$25&gt;0,Setup!$G$25+(Setup!$O$25+Q$1)*Setup!$M$25,EDATE(Setup!$G$25,(Setup!$O$25+Q$1)*Setup!$N$25))&lt;Setup!$D$5),"",IF(Setup!$M$25&gt;0,Setup!$G$25+(Setup!$O$25+Q$1)*Setup!$M$25,EDATE(Setup!$G$25,(Setup!$O$25+Q$1)*Setup!$N$25))+$A2/1000)))</f>
        <v/>
      </c>
      <c r="R2">
        <f>IF(OR(Setup!$E$25="",Setup!$G$25="",Setup!$F$25=""),"",IF(AND(Setup!$F$25="Once",R$1&gt;0),"",IF(OR(IF(Setup!$M$25&gt;0,Setup!$G$25+(Setup!$O$25+R$1)*Setup!$M$25,EDATE(Setup!$G$25,(Setup!$O$25+R$1)*Setup!$N$25))&gt;Setup!$P$25,IF(Setup!$M$25&gt;0,Setup!$G$25+(Setup!$O$25+R$1)*Setup!$M$25,EDATE(Setup!$G$25,(Setup!$O$25+R$1)*Setup!$N$25))&lt;Setup!$D$5),"",IF(Setup!$M$25&gt;0,Setup!$G$25+(Setup!$O$25+R$1)*Setup!$M$25,EDATE(Setup!$G$25,(Setup!$O$25+R$1)*Setup!$N$25))+$A2/1000)))</f>
        <v/>
      </c>
      <c r="S2">
        <f>IF(OR(Setup!$E$25="",Setup!$G$25="",Setup!$F$25=""),"",IF(AND(Setup!$F$25="Once",S$1&gt;0),"",IF(OR(IF(Setup!$M$25&gt;0,Setup!$G$25+(Setup!$O$25+S$1)*Setup!$M$25,EDATE(Setup!$G$25,(Setup!$O$25+S$1)*Setup!$N$25))&gt;Setup!$P$25,IF(Setup!$M$25&gt;0,Setup!$G$25+(Setup!$O$25+S$1)*Setup!$M$25,EDATE(Setup!$G$25,(Setup!$O$25+S$1)*Setup!$N$25))&lt;Setup!$D$5),"",IF(Setup!$M$25&gt;0,Setup!$G$25+(Setup!$O$25+S$1)*Setup!$M$25,EDATE(Setup!$G$25,(Setup!$O$25+S$1)*Setup!$N$25))+$A2/1000)))</f>
        <v/>
      </c>
      <c r="T2">
        <f>IF(OR(Setup!$E$25="",Setup!$G$25="",Setup!$F$25=""),"",IF(AND(Setup!$F$25="Once",T$1&gt;0),"",IF(OR(IF(Setup!$M$25&gt;0,Setup!$G$25+(Setup!$O$25+T$1)*Setup!$M$25,EDATE(Setup!$G$25,(Setup!$O$25+T$1)*Setup!$N$25))&gt;Setup!$P$25,IF(Setup!$M$25&gt;0,Setup!$G$25+(Setup!$O$25+T$1)*Setup!$M$25,EDATE(Setup!$G$25,(Setup!$O$25+T$1)*Setup!$N$25))&lt;Setup!$D$5),"",IF(Setup!$M$25&gt;0,Setup!$G$25+(Setup!$O$25+T$1)*Setup!$M$25,EDATE(Setup!$G$25,(Setup!$O$25+T$1)*Setup!$N$25))+$A2/1000)))</f>
        <v/>
      </c>
      <c r="U2">
        <f>IF(OR(Setup!$E$25="",Setup!$G$25="",Setup!$F$25=""),"",IF(AND(Setup!$F$25="Once",U$1&gt;0),"",IF(OR(IF(Setup!$M$25&gt;0,Setup!$G$25+(Setup!$O$25+U$1)*Setup!$M$25,EDATE(Setup!$G$25,(Setup!$O$25+U$1)*Setup!$N$25))&gt;Setup!$P$25,IF(Setup!$M$25&gt;0,Setup!$G$25+(Setup!$O$25+U$1)*Setup!$M$25,EDATE(Setup!$G$25,(Setup!$O$25+U$1)*Setup!$N$25))&lt;Setup!$D$5),"",IF(Setup!$M$25&gt;0,Setup!$G$25+(Setup!$O$25+U$1)*Setup!$M$25,EDATE(Setup!$G$25,(Setup!$O$25+U$1)*Setup!$N$25))+$A2/1000)))</f>
        <v/>
      </c>
      <c r="V2">
        <f>IF(OR(Setup!$E$25="",Setup!$G$25="",Setup!$F$25=""),"",IF(AND(Setup!$F$25="Once",V$1&gt;0),"",IF(OR(IF(Setup!$M$25&gt;0,Setup!$G$25+(Setup!$O$25+V$1)*Setup!$M$25,EDATE(Setup!$G$25,(Setup!$O$25+V$1)*Setup!$N$25))&gt;Setup!$P$25,IF(Setup!$M$25&gt;0,Setup!$G$25+(Setup!$O$25+V$1)*Setup!$M$25,EDATE(Setup!$G$25,(Setup!$O$25+V$1)*Setup!$N$25))&lt;Setup!$D$5),"",IF(Setup!$M$25&gt;0,Setup!$G$25+(Setup!$O$25+V$1)*Setup!$M$25,EDATE(Setup!$G$25,(Setup!$O$25+V$1)*Setup!$N$25))+$A2/1000)))</f>
        <v/>
      </c>
      <c r="W2">
        <f>IF(OR(Setup!$E$25="",Setup!$G$25="",Setup!$F$25=""),"",IF(AND(Setup!$F$25="Once",W$1&gt;0),"",IF(OR(IF(Setup!$M$25&gt;0,Setup!$G$25+(Setup!$O$25+W$1)*Setup!$M$25,EDATE(Setup!$G$25,(Setup!$O$25+W$1)*Setup!$N$25))&gt;Setup!$P$25,IF(Setup!$M$25&gt;0,Setup!$G$25+(Setup!$O$25+W$1)*Setup!$M$25,EDATE(Setup!$G$25,(Setup!$O$25+W$1)*Setup!$N$25))&lt;Setup!$D$5),"",IF(Setup!$M$25&gt;0,Setup!$G$25+(Setup!$O$25+W$1)*Setup!$M$25,EDATE(Setup!$G$25,(Setup!$O$25+W$1)*Setup!$N$25))+$A2/1000)))</f>
        <v/>
      </c>
      <c r="X2">
        <f>IF(OR(Setup!$E$25="",Setup!$G$25="",Setup!$F$25=""),"",IF(AND(Setup!$F$25="Once",X$1&gt;0),"",IF(OR(IF(Setup!$M$25&gt;0,Setup!$G$25+(Setup!$O$25+X$1)*Setup!$M$25,EDATE(Setup!$G$25,(Setup!$O$25+X$1)*Setup!$N$25))&gt;Setup!$P$25,IF(Setup!$M$25&gt;0,Setup!$G$25+(Setup!$O$25+X$1)*Setup!$M$25,EDATE(Setup!$G$25,(Setup!$O$25+X$1)*Setup!$N$25))&lt;Setup!$D$5),"",IF(Setup!$M$25&gt;0,Setup!$G$25+(Setup!$O$25+X$1)*Setup!$M$25,EDATE(Setup!$G$25,(Setup!$O$25+X$1)*Setup!$N$25))+$A2/1000)))</f>
        <v/>
      </c>
      <c r="Y2">
        <f>IF(OR(Setup!$E$25="",Setup!$G$25="",Setup!$F$25=""),"",IF(AND(Setup!$F$25="Once",Y$1&gt;0),"",IF(OR(IF(Setup!$M$25&gt;0,Setup!$G$25+(Setup!$O$25+Y$1)*Setup!$M$25,EDATE(Setup!$G$25,(Setup!$O$25+Y$1)*Setup!$N$25))&gt;Setup!$P$25,IF(Setup!$M$25&gt;0,Setup!$G$25+(Setup!$O$25+Y$1)*Setup!$M$25,EDATE(Setup!$G$25,(Setup!$O$25+Y$1)*Setup!$N$25))&lt;Setup!$D$5),"",IF(Setup!$M$25&gt;0,Setup!$G$25+(Setup!$O$25+Y$1)*Setup!$M$25,EDATE(Setup!$G$25,(Setup!$O$25+Y$1)*Setup!$N$25))+$A2/1000)))</f>
        <v/>
      </c>
      <c r="Z2">
        <f>IF(OR(Setup!$E$25="",Setup!$G$25="",Setup!$F$25=""),"",IF(AND(Setup!$F$25="Once",Z$1&gt;0),"",IF(OR(IF(Setup!$M$25&gt;0,Setup!$G$25+(Setup!$O$25+Z$1)*Setup!$M$25,EDATE(Setup!$G$25,(Setup!$O$25+Z$1)*Setup!$N$25))&gt;Setup!$P$25,IF(Setup!$M$25&gt;0,Setup!$G$25+(Setup!$O$25+Z$1)*Setup!$M$25,EDATE(Setup!$G$25,(Setup!$O$25+Z$1)*Setup!$N$25))&lt;Setup!$D$5),"",IF(Setup!$M$25&gt;0,Setup!$G$25+(Setup!$O$25+Z$1)*Setup!$M$25,EDATE(Setup!$G$25,(Setup!$O$25+Z$1)*Setup!$N$25))+$A2/1000)))</f>
        <v/>
      </c>
      <c r="AA2">
        <f>IF(OR(Setup!$E$25="",Setup!$G$25="",Setup!$F$25=""),"",IF(AND(Setup!$F$25="Once",AA$1&gt;0),"",IF(OR(IF(Setup!$M$25&gt;0,Setup!$G$25+(Setup!$O$25+AA$1)*Setup!$M$25,EDATE(Setup!$G$25,(Setup!$O$25+AA$1)*Setup!$N$25))&gt;Setup!$P$25,IF(Setup!$M$25&gt;0,Setup!$G$25+(Setup!$O$25+AA$1)*Setup!$M$25,EDATE(Setup!$G$25,(Setup!$O$25+AA$1)*Setup!$N$25))&lt;Setup!$D$5),"",IF(Setup!$M$25&gt;0,Setup!$G$25+(Setup!$O$25+AA$1)*Setup!$M$25,EDATE(Setup!$G$25,(Setup!$O$25+AA$1)*Setup!$N$25))+$A2/1000)))</f>
        <v/>
      </c>
      <c r="AB2">
        <f>IF(OR(Setup!$E$25="",Setup!$G$25="",Setup!$F$25=""),"",IF(AND(Setup!$F$25="Once",AB$1&gt;0),"",IF(OR(IF(Setup!$M$25&gt;0,Setup!$G$25+(Setup!$O$25+AB$1)*Setup!$M$25,EDATE(Setup!$G$25,(Setup!$O$25+AB$1)*Setup!$N$25))&gt;Setup!$P$25,IF(Setup!$M$25&gt;0,Setup!$G$25+(Setup!$O$25+AB$1)*Setup!$M$25,EDATE(Setup!$G$25,(Setup!$O$25+AB$1)*Setup!$N$25))&lt;Setup!$D$5),"",IF(Setup!$M$25&gt;0,Setup!$G$25+(Setup!$O$25+AB$1)*Setup!$M$25,EDATE(Setup!$G$25,(Setup!$O$25+AB$1)*Setup!$N$25))+$A2/1000)))</f>
        <v/>
      </c>
      <c r="AC2">
        <f>IF(OR(Setup!$E$25="",Setup!$G$25="",Setup!$F$25=""),"",IF(AND(Setup!$F$25="Once",AC$1&gt;0),"",IF(OR(IF(Setup!$M$25&gt;0,Setup!$G$25+(Setup!$O$25+AC$1)*Setup!$M$25,EDATE(Setup!$G$25,(Setup!$O$25+AC$1)*Setup!$N$25))&gt;Setup!$P$25,IF(Setup!$M$25&gt;0,Setup!$G$25+(Setup!$O$25+AC$1)*Setup!$M$25,EDATE(Setup!$G$25,(Setup!$O$25+AC$1)*Setup!$N$25))&lt;Setup!$D$5),"",IF(Setup!$M$25&gt;0,Setup!$G$25+(Setup!$O$25+AC$1)*Setup!$M$25,EDATE(Setup!$G$25,(Setup!$O$25+AC$1)*Setup!$N$25))+$A2/1000)))</f>
        <v/>
      </c>
      <c r="AD2">
        <f>IF(OR(Setup!$E$25="",Setup!$G$25="",Setup!$F$25=""),"",IF(AND(Setup!$F$25="Once",AD$1&gt;0),"",IF(OR(IF(Setup!$M$25&gt;0,Setup!$G$25+(Setup!$O$25+AD$1)*Setup!$M$25,EDATE(Setup!$G$25,(Setup!$O$25+AD$1)*Setup!$N$25))&gt;Setup!$P$25,IF(Setup!$M$25&gt;0,Setup!$G$25+(Setup!$O$25+AD$1)*Setup!$M$25,EDATE(Setup!$G$25,(Setup!$O$25+AD$1)*Setup!$N$25))&lt;Setup!$D$5),"",IF(Setup!$M$25&gt;0,Setup!$G$25+(Setup!$O$25+AD$1)*Setup!$M$25,EDATE(Setup!$G$25,(Setup!$O$25+AD$1)*Setup!$N$25))+$A2/1000)))</f>
        <v/>
      </c>
      <c r="AE2">
        <f>IF(OR(Setup!$E$25="",Setup!$G$25="",Setup!$F$25=""),"",IF(AND(Setup!$F$25="Once",AE$1&gt;0),"",IF(OR(IF(Setup!$M$25&gt;0,Setup!$G$25+(Setup!$O$25+AE$1)*Setup!$M$25,EDATE(Setup!$G$25,(Setup!$O$25+AE$1)*Setup!$N$25))&gt;Setup!$P$25,IF(Setup!$M$25&gt;0,Setup!$G$25+(Setup!$O$25+AE$1)*Setup!$M$25,EDATE(Setup!$G$25,(Setup!$O$25+AE$1)*Setup!$N$25))&lt;Setup!$D$5),"",IF(Setup!$M$25&gt;0,Setup!$G$25+(Setup!$O$25+AE$1)*Setup!$M$25,EDATE(Setup!$G$25,(Setup!$O$25+AE$1)*Setup!$N$25))+$A2/1000)))</f>
        <v/>
      </c>
      <c r="AF2">
        <f>IF(OR(Setup!$E$25="",Setup!$G$25="",Setup!$F$25=""),"",IF(AND(Setup!$F$25="Once",AF$1&gt;0),"",IF(OR(IF(Setup!$M$25&gt;0,Setup!$G$25+(Setup!$O$25+AF$1)*Setup!$M$25,EDATE(Setup!$G$25,(Setup!$O$25+AF$1)*Setup!$N$25))&gt;Setup!$P$25,IF(Setup!$M$25&gt;0,Setup!$G$25+(Setup!$O$25+AF$1)*Setup!$M$25,EDATE(Setup!$G$25,(Setup!$O$25+AF$1)*Setup!$N$25))&lt;Setup!$D$5),"",IF(Setup!$M$25&gt;0,Setup!$G$25+(Setup!$O$25+AF$1)*Setup!$M$25,EDATE(Setup!$G$25,(Setup!$O$25+AF$1)*Setup!$N$25))+$A2/1000)))</f>
        <v/>
      </c>
      <c r="AG2">
        <f>IF(OR(Setup!$E$25="",Setup!$G$25="",Setup!$F$25=""),"",IF(AND(Setup!$F$25="Once",AG$1&gt;0),"",IF(OR(IF(Setup!$M$25&gt;0,Setup!$G$25+(Setup!$O$25+AG$1)*Setup!$M$25,EDATE(Setup!$G$25,(Setup!$O$25+AG$1)*Setup!$N$25))&gt;Setup!$P$25,IF(Setup!$M$25&gt;0,Setup!$G$25+(Setup!$O$25+AG$1)*Setup!$M$25,EDATE(Setup!$G$25,(Setup!$O$25+AG$1)*Setup!$N$25))&lt;Setup!$D$5),"",IF(Setup!$M$25&gt;0,Setup!$G$25+(Setup!$O$25+AG$1)*Setup!$M$25,EDATE(Setup!$G$25,(Setup!$O$25+AG$1)*Setup!$N$25))+$A2/1000)))</f>
        <v/>
      </c>
      <c r="AH2">
        <f>IF(OR(Setup!$E$25="",Setup!$G$25="",Setup!$F$25=""),"",IF(AND(Setup!$F$25="Once",AH$1&gt;0),"",IF(OR(IF(Setup!$M$25&gt;0,Setup!$G$25+(Setup!$O$25+AH$1)*Setup!$M$25,EDATE(Setup!$G$25,(Setup!$O$25+AH$1)*Setup!$N$25))&gt;Setup!$P$25,IF(Setup!$M$25&gt;0,Setup!$G$25+(Setup!$O$25+AH$1)*Setup!$M$25,EDATE(Setup!$G$25,(Setup!$O$25+AH$1)*Setup!$N$25))&lt;Setup!$D$5),"",IF(Setup!$M$25&gt;0,Setup!$G$25+(Setup!$O$25+AH$1)*Setup!$M$25,EDATE(Setup!$G$25,(Setup!$O$25+AH$1)*Setup!$N$25))+$A2/1000)))</f>
        <v/>
      </c>
      <c r="AI2">
        <f>IF(OR(Setup!$E$25="",Setup!$G$25="",Setup!$F$25=""),"",IF(AND(Setup!$F$25="Once",AI$1&gt;0),"",IF(OR(IF(Setup!$M$25&gt;0,Setup!$G$25+(Setup!$O$25+AI$1)*Setup!$M$25,EDATE(Setup!$G$25,(Setup!$O$25+AI$1)*Setup!$N$25))&gt;Setup!$P$25,IF(Setup!$M$25&gt;0,Setup!$G$25+(Setup!$O$25+AI$1)*Setup!$M$25,EDATE(Setup!$G$25,(Setup!$O$25+AI$1)*Setup!$N$25))&lt;Setup!$D$5),"",IF(Setup!$M$25&gt;0,Setup!$G$25+(Setup!$O$25+AI$1)*Setup!$M$25,EDATE(Setup!$G$25,(Setup!$O$25+AI$1)*Setup!$N$25))+$A2/1000)))</f>
        <v/>
      </c>
      <c r="AJ2">
        <f>IF(OR(Setup!$E$25="",Setup!$G$25="",Setup!$F$25=""),"",IF(AND(Setup!$F$25="Once",AJ$1&gt;0),"",IF(OR(IF(Setup!$M$25&gt;0,Setup!$G$25+(Setup!$O$25+AJ$1)*Setup!$M$25,EDATE(Setup!$G$25,(Setup!$O$25+AJ$1)*Setup!$N$25))&gt;Setup!$P$25,IF(Setup!$M$25&gt;0,Setup!$G$25+(Setup!$O$25+AJ$1)*Setup!$M$25,EDATE(Setup!$G$25,(Setup!$O$25+AJ$1)*Setup!$N$25))&lt;Setup!$D$5),"",IF(Setup!$M$25&gt;0,Setup!$G$25+(Setup!$O$25+AJ$1)*Setup!$M$25,EDATE(Setup!$G$25,(Setup!$O$25+AJ$1)*Setup!$N$25))+$A2/1000)))</f>
        <v/>
      </c>
      <c r="AK2">
        <f>IF(OR(Setup!$E$25="",Setup!$G$25="",Setup!$F$25=""),"",IF(AND(Setup!$F$25="Once",AK$1&gt;0),"",IF(OR(IF(Setup!$M$25&gt;0,Setup!$G$25+(Setup!$O$25+AK$1)*Setup!$M$25,EDATE(Setup!$G$25,(Setup!$O$25+AK$1)*Setup!$N$25))&gt;Setup!$P$25,IF(Setup!$M$25&gt;0,Setup!$G$25+(Setup!$O$25+AK$1)*Setup!$M$25,EDATE(Setup!$G$25,(Setup!$O$25+AK$1)*Setup!$N$25))&lt;Setup!$D$5),"",IF(Setup!$M$25&gt;0,Setup!$G$25+(Setup!$O$25+AK$1)*Setup!$M$25,EDATE(Setup!$G$25,(Setup!$O$25+AK$1)*Setup!$N$25))+$A2/1000)))</f>
        <v/>
      </c>
      <c r="AL2">
        <f>IF(OR(Setup!$E$25="",Setup!$G$25="",Setup!$F$25=""),"",IF(AND(Setup!$F$25="Once",AL$1&gt;0),"",IF(OR(IF(Setup!$M$25&gt;0,Setup!$G$25+(Setup!$O$25+AL$1)*Setup!$M$25,EDATE(Setup!$G$25,(Setup!$O$25+AL$1)*Setup!$N$25))&gt;Setup!$P$25,IF(Setup!$M$25&gt;0,Setup!$G$25+(Setup!$O$25+AL$1)*Setup!$M$25,EDATE(Setup!$G$25,(Setup!$O$25+AL$1)*Setup!$N$25))&lt;Setup!$D$5),"",IF(Setup!$M$25&gt;0,Setup!$G$25+(Setup!$O$25+AL$1)*Setup!$M$25,EDATE(Setup!$G$25,(Setup!$O$25+AL$1)*Setup!$N$25))+$A2/1000)))</f>
        <v/>
      </c>
      <c r="AM2">
        <f>IF(OR(Setup!$E$25="",Setup!$G$25="",Setup!$F$25=""),"",IF(AND(Setup!$F$25="Once",AM$1&gt;0),"",IF(OR(IF(Setup!$M$25&gt;0,Setup!$G$25+(Setup!$O$25+AM$1)*Setup!$M$25,EDATE(Setup!$G$25,(Setup!$O$25+AM$1)*Setup!$N$25))&gt;Setup!$P$25,IF(Setup!$M$25&gt;0,Setup!$G$25+(Setup!$O$25+AM$1)*Setup!$M$25,EDATE(Setup!$G$25,(Setup!$O$25+AM$1)*Setup!$N$25))&lt;Setup!$D$5),"",IF(Setup!$M$25&gt;0,Setup!$G$25+(Setup!$O$25+AM$1)*Setup!$M$25,EDATE(Setup!$G$25,(Setup!$O$25+AM$1)*Setup!$N$25))+$A2/1000)))</f>
        <v/>
      </c>
      <c r="AN2">
        <f>IF(OR(Setup!$E$25="",Setup!$G$25="",Setup!$F$25=""),"",IF(AND(Setup!$F$25="Once",AN$1&gt;0),"",IF(OR(IF(Setup!$M$25&gt;0,Setup!$G$25+(Setup!$O$25+AN$1)*Setup!$M$25,EDATE(Setup!$G$25,(Setup!$O$25+AN$1)*Setup!$N$25))&gt;Setup!$P$25,IF(Setup!$M$25&gt;0,Setup!$G$25+(Setup!$O$25+AN$1)*Setup!$M$25,EDATE(Setup!$G$25,(Setup!$O$25+AN$1)*Setup!$N$25))&lt;Setup!$D$5),"",IF(Setup!$M$25&gt;0,Setup!$G$25+(Setup!$O$25+AN$1)*Setup!$M$25,EDATE(Setup!$G$25,(Setup!$O$25+AN$1)*Setup!$N$25))+$A2/1000)))</f>
        <v/>
      </c>
      <c r="AO2">
        <f>IF(OR(Setup!$E$25="",Setup!$G$25="",Setup!$F$25=""),"",IF(AND(Setup!$F$25="Once",AO$1&gt;0),"",IF(OR(IF(Setup!$M$25&gt;0,Setup!$G$25+(Setup!$O$25+AO$1)*Setup!$M$25,EDATE(Setup!$G$25,(Setup!$O$25+AO$1)*Setup!$N$25))&gt;Setup!$P$25,IF(Setup!$M$25&gt;0,Setup!$G$25+(Setup!$O$25+AO$1)*Setup!$M$25,EDATE(Setup!$G$25,(Setup!$O$25+AO$1)*Setup!$N$25))&lt;Setup!$D$5),"",IF(Setup!$M$25&gt;0,Setup!$G$25+(Setup!$O$25+AO$1)*Setup!$M$25,EDATE(Setup!$G$25,(Setup!$O$25+AO$1)*Setup!$N$25))+$A2/1000)))</f>
        <v/>
      </c>
      <c r="AP2">
        <f>IF(OR(Setup!$E$25="",Setup!$G$25="",Setup!$F$25=""),"",IF(AND(Setup!$F$25="Once",AP$1&gt;0),"",IF(OR(IF(Setup!$M$25&gt;0,Setup!$G$25+(Setup!$O$25+AP$1)*Setup!$M$25,EDATE(Setup!$G$25,(Setup!$O$25+AP$1)*Setup!$N$25))&gt;Setup!$P$25,IF(Setup!$M$25&gt;0,Setup!$G$25+(Setup!$O$25+AP$1)*Setup!$M$25,EDATE(Setup!$G$25,(Setup!$O$25+AP$1)*Setup!$N$25))&lt;Setup!$D$5),"",IF(Setup!$M$25&gt;0,Setup!$G$25+(Setup!$O$25+AP$1)*Setup!$M$25,EDATE(Setup!$G$25,(Setup!$O$25+AP$1)*Setup!$N$25))+$A2/1000)))</f>
        <v/>
      </c>
      <c r="AQ2">
        <f>IF(OR(Setup!$E$25="",Setup!$G$25="",Setup!$F$25=""),"",IF(AND(Setup!$F$25="Once",AQ$1&gt;0),"",IF(OR(IF(Setup!$M$25&gt;0,Setup!$G$25+(Setup!$O$25+AQ$1)*Setup!$M$25,EDATE(Setup!$G$25,(Setup!$O$25+AQ$1)*Setup!$N$25))&gt;Setup!$P$25,IF(Setup!$M$25&gt;0,Setup!$G$25+(Setup!$O$25+AQ$1)*Setup!$M$25,EDATE(Setup!$G$25,(Setup!$O$25+AQ$1)*Setup!$N$25))&lt;Setup!$D$5),"",IF(Setup!$M$25&gt;0,Setup!$G$25+(Setup!$O$25+AQ$1)*Setup!$M$25,EDATE(Setup!$G$25,(Setup!$O$25+AQ$1)*Setup!$N$25))+$A2/1000)))</f>
        <v/>
      </c>
      <c r="AR2">
        <f>IF(OR(Setup!$E$25="",Setup!$G$25="",Setup!$F$25=""),"",IF(AND(Setup!$F$25="Once",AR$1&gt;0),"",IF(OR(IF(Setup!$M$25&gt;0,Setup!$G$25+(Setup!$O$25+AR$1)*Setup!$M$25,EDATE(Setup!$G$25,(Setup!$O$25+AR$1)*Setup!$N$25))&gt;Setup!$P$25,IF(Setup!$M$25&gt;0,Setup!$G$25+(Setup!$O$25+AR$1)*Setup!$M$25,EDATE(Setup!$G$25,(Setup!$O$25+AR$1)*Setup!$N$25))&lt;Setup!$D$5),"",IF(Setup!$M$25&gt;0,Setup!$G$25+(Setup!$O$25+AR$1)*Setup!$M$25,EDATE(Setup!$G$25,(Setup!$O$25+AR$1)*Setup!$N$25))+$A2/1000)))</f>
        <v/>
      </c>
      <c r="AS2">
        <f>IF(OR(Setup!$E$25="",Setup!$G$25="",Setup!$F$25=""),"",IF(AND(Setup!$F$25="Once",AS$1&gt;0),"",IF(OR(IF(Setup!$M$25&gt;0,Setup!$G$25+(Setup!$O$25+AS$1)*Setup!$M$25,EDATE(Setup!$G$25,(Setup!$O$25+AS$1)*Setup!$N$25))&gt;Setup!$P$25,IF(Setup!$M$25&gt;0,Setup!$G$25+(Setup!$O$25+AS$1)*Setup!$M$25,EDATE(Setup!$G$25,(Setup!$O$25+AS$1)*Setup!$N$25))&lt;Setup!$D$5),"",IF(Setup!$M$25&gt;0,Setup!$G$25+(Setup!$O$25+AS$1)*Setup!$M$25,EDATE(Setup!$G$25,(Setup!$O$25+AS$1)*Setup!$N$25))+$A2/1000)))</f>
        <v/>
      </c>
      <c r="AT2">
        <f>IF(OR(Setup!$E$25="",Setup!$G$25="",Setup!$F$25=""),"",IF(AND(Setup!$F$25="Once",AT$1&gt;0),"",IF(OR(IF(Setup!$M$25&gt;0,Setup!$G$25+(Setup!$O$25+AT$1)*Setup!$M$25,EDATE(Setup!$G$25,(Setup!$O$25+AT$1)*Setup!$N$25))&gt;Setup!$P$25,IF(Setup!$M$25&gt;0,Setup!$G$25+(Setup!$O$25+AT$1)*Setup!$M$25,EDATE(Setup!$G$25,(Setup!$O$25+AT$1)*Setup!$N$25))&lt;Setup!$D$5),"",IF(Setup!$M$25&gt;0,Setup!$G$25+(Setup!$O$25+AT$1)*Setup!$M$25,EDATE(Setup!$G$25,(Setup!$O$25+AT$1)*Setup!$N$25))+$A2/1000)))</f>
        <v/>
      </c>
      <c r="AU2">
        <f>IF(OR(Setup!$E$25="",Setup!$G$25="",Setup!$F$25=""),"",IF(AND(Setup!$F$25="Once",AU$1&gt;0),"",IF(OR(IF(Setup!$M$25&gt;0,Setup!$G$25+(Setup!$O$25+AU$1)*Setup!$M$25,EDATE(Setup!$G$25,(Setup!$O$25+AU$1)*Setup!$N$25))&gt;Setup!$P$25,IF(Setup!$M$25&gt;0,Setup!$G$25+(Setup!$O$25+AU$1)*Setup!$M$25,EDATE(Setup!$G$25,(Setup!$O$25+AU$1)*Setup!$N$25))&lt;Setup!$D$5),"",IF(Setup!$M$25&gt;0,Setup!$G$25+(Setup!$O$25+AU$1)*Setup!$M$25,EDATE(Setup!$G$25,(Setup!$O$25+AU$1)*Setup!$N$25))+$A2/1000)))</f>
        <v/>
      </c>
      <c r="AV2">
        <f>IF(OR(Setup!$E$25="",Setup!$G$25="",Setup!$F$25=""),"",IF(AND(Setup!$F$25="Once",AV$1&gt;0),"",IF(OR(IF(Setup!$M$25&gt;0,Setup!$G$25+(Setup!$O$25+AV$1)*Setup!$M$25,EDATE(Setup!$G$25,(Setup!$O$25+AV$1)*Setup!$N$25))&gt;Setup!$P$25,IF(Setup!$M$25&gt;0,Setup!$G$25+(Setup!$O$25+AV$1)*Setup!$M$25,EDATE(Setup!$G$25,(Setup!$O$25+AV$1)*Setup!$N$25))&lt;Setup!$D$5),"",IF(Setup!$M$25&gt;0,Setup!$G$25+(Setup!$O$25+AV$1)*Setup!$M$25,EDATE(Setup!$G$25,(Setup!$O$25+AV$1)*Setup!$N$25))+$A2/1000)))</f>
        <v/>
      </c>
      <c r="AW2">
        <f>IF(OR(Setup!$E$25="",Setup!$G$25="",Setup!$F$25=""),"",IF(AND(Setup!$F$25="Once",AW$1&gt;0),"",IF(OR(IF(Setup!$M$25&gt;0,Setup!$G$25+(Setup!$O$25+AW$1)*Setup!$M$25,EDATE(Setup!$G$25,(Setup!$O$25+AW$1)*Setup!$N$25))&gt;Setup!$P$25,IF(Setup!$M$25&gt;0,Setup!$G$25+(Setup!$O$25+AW$1)*Setup!$M$25,EDATE(Setup!$G$25,(Setup!$O$25+AW$1)*Setup!$N$25))&lt;Setup!$D$5),"",IF(Setup!$M$25&gt;0,Setup!$G$25+(Setup!$O$25+AW$1)*Setup!$M$25,EDATE(Setup!$G$25,(Setup!$O$25+AW$1)*Setup!$N$25))+$A2/1000)))</f>
        <v/>
      </c>
      <c r="AX2">
        <f>IF(OR(Setup!$E$25="",Setup!$G$25="",Setup!$F$25=""),"",IF(AND(Setup!$F$25="Once",AX$1&gt;0),"",IF(OR(IF(Setup!$M$25&gt;0,Setup!$G$25+(Setup!$O$25+AX$1)*Setup!$M$25,EDATE(Setup!$G$25,(Setup!$O$25+AX$1)*Setup!$N$25))&gt;Setup!$P$25,IF(Setup!$M$25&gt;0,Setup!$G$25+(Setup!$O$25+AX$1)*Setup!$M$25,EDATE(Setup!$G$25,(Setup!$O$25+AX$1)*Setup!$N$25))&lt;Setup!$D$5),"",IF(Setup!$M$25&gt;0,Setup!$G$25+(Setup!$O$25+AX$1)*Setup!$M$25,EDATE(Setup!$G$25,(Setup!$O$25+AX$1)*Setup!$N$25))+$A2/1000)))</f>
        <v/>
      </c>
      <c r="AY2">
        <f>IF(OR(Setup!$E$25="",Setup!$G$25="",Setup!$F$25=""),"",IF(AND(Setup!$F$25="Once",AY$1&gt;0),"",IF(OR(IF(Setup!$M$25&gt;0,Setup!$G$25+(Setup!$O$25+AY$1)*Setup!$M$25,EDATE(Setup!$G$25,(Setup!$O$25+AY$1)*Setup!$N$25))&gt;Setup!$P$25,IF(Setup!$M$25&gt;0,Setup!$G$25+(Setup!$O$25+AY$1)*Setup!$M$25,EDATE(Setup!$G$25,(Setup!$O$25+AY$1)*Setup!$N$25))&lt;Setup!$D$5),"",IF(Setup!$M$25&gt;0,Setup!$G$25+(Setup!$O$25+AY$1)*Setup!$M$25,EDATE(Setup!$G$25,(Setup!$O$25+AY$1)*Setup!$N$25))+$A2/1000)))</f>
        <v/>
      </c>
      <c r="AZ2">
        <f>IF(OR(Setup!$E$25="",Setup!$G$25="",Setup!$F$25=""),"",IF(AND(Setup!$F$25="Once",AZ$1&gt;0),"",IF(OR(IF(Setup!$M$25&gt;0,Setup!$G$25+(Setup!$O$25+AZ$1)*Setup!$M$25,EDATE(Setup!$G$25,(Setup!$O$25+AZ$1)*Setup!$N$25))&gt;Setup!$P$25,IF(Setup!$M$25&gt;0,Setup!$G$25+(Setup!$O$25+AZ$1)*Setup!$M$25,EDATE(Setup!$G$25,(Setup!$O$25+AZ$1)*Setup!$N$25))&lt;Setup!$D$5),"",IF(Setup!$M$25&gt;0,Setup!$G$25+(Setup!$O$25+AZ$1)*Setup!$M$25,EDATE(Setup!$G$25,(Setup!$O$25+AZ$1)*Setup!$N$25))+$A2/1000)))</f>
        <v/>
      </c>
      <c r="BA2">
        <f>IF(OR(Setup!$E$25="",Setup!$G$25="",Setup!$F$25=""),"",IF(AND(Setup!$F$25="Once",BA$1&gt;0),"",IF(OR(IF(Setup!$M$25&gt;0,Setup!$G$25+(Setup!$O$25+BA$1)*Setup!$M$25,EDATE(Setup!$G$25,(Setup!$O$25+BA$1)*Setup!$N$25))&gt;Setup!$P$25,IF(Setup!$M$25&gt;0,Setup!$G$25+(Setup!$O$25+BA$1)*Setup!$M$25,EDATE(Setup!$G$25,(Setup!$O$25+BA$1)*Setup!$N$25))&lt;Setup!$D$5),"",IF(Setup!$M$25&gt;0,Setup!$G$25+(Setup!$O$25+BA$1)*Setup!$M$25,EDATE(Setup!$G$25,(Setup!$O$25+BA$1)*Setup!$N$25))+$A2/1000)))</f>
        <v/>
      </c>
      <c r="BB2">
        <f>IF(OR(Setup!$E$25="",Setup!$G$25="",Setup!$F$25=""),"",IF(AND(Setup!$F$25="Once",BB$1&gt;0),"",IF(OR(IF(Setup!$M$25&gt;0,Setup!$G$25+(Setup!$O$25+BB$1)*Setup!$M$25,EDATE(Setup!$G$25,(Setup!$O$25+BB$1)*Setup!$N$25))&gt;Setup!$P$25,IF(Setup!$M$25&gt;0,Setup!$G$25+(Setup!$O$25+BB$1)*Setup!$M$25,EDATE(Setup!$G$25,(Setup!$O$25+BB$1)*Setup!$N$25))&lt;Setup!$D$5),"",IF(Setup!$M$25&gt;0,Setup!$G$25+(Setup!$O$25+BB$1)*Setup!$M$25,EDATE(Setup!$G$25,(Setup!$O$25+BB$1)*Setup!$N$25))+$A2/1000)))</f>
        <v/>
      </c>
    </row>
    <row r="3">
      <c r="A3" t="n">
        <v>2</v>
      </c>
      <c r="B3">
        <f>IF(OR(Setup!$E$26="",Setup!$G$26="",Setup!$F$26=""),"",IF(AND(Setup!$F$26="Once",B$1&gt;0),"",IF(OR(IF(Setup!$M$26&gt;0,Setup!$G$26+(Setup!$O$26+B$1)*Setup!$M$26,EDATE(Setup!$G$26,(Setup!$O$26+B$1)*Setup!$N$26))&gt;Setup!$P$26,IF(Setup!$M$26&gt;0,Setup!$G$26+(Setup!$O$26+B$1)*Setup!$M$26,EDATE(Setup!$G$26,(Setup!$O$26+B$1)*Setup!$N$26))&lt;Setup!$D$5),"",IF(Setup!$M$26&gt;0,Setup!$G$26+(Setup!$O$26+B$1)*Setup!$M$26,EDATE(Setup!$G$26,(Setup!$O$26+B$1)*Setup!$N$26))+$A3/1000)))</f>
        <v/>
      </c>
      <c r="C3">
        <f>IF(OR(Setup!$E$26="",Setup!$G$26="",Setup!$F$26=""),"",IF(AND(Setup!$F$26="Once",C$1&gt;0),"",IF(OR(IF(Setup!$M$26&gt;0,Setup!$G$26+(Setup!$O$26+C$1)*Setup!$M$26,EDATE(Setup!$G$26,(Setup!$O$26+C$1)*Setup!$N$26))&gt;Setup!$P$26,IF(Setup!$M$26&gt;0,Setup!$G$26+(Setup!$O$26+C$1)*Setup!$M$26,EDATE(Setup!$G$26,(Setup!$O$26+C$1)*Setup!$N$26))&lt;Setup!$D$5),"",IF(Setup!$M$26&gt;0,Setup!$G$26+(Setup!$O$26+C$1)*Setup!$M$26,EDATE(Setup!$G$26,(Setup!$O$26+C$1)*Setup!$N$26))+$A3/1000)))</f>
        <v/>
      </c>
      <c r="D3">
        <f>IF(OR(Setup!$E$26="",Setup!$G$26="",Setup!$F$26=""),"",IF(AND(Setup!$F$26="Once",D$1&gt;0),"",IF(OR(IF(Setup!$M$26&gt;0,Setup!$G$26+(Setup!$O$26+D$1)*Setup!$M$26,EDATE(Setup!$G$26,(Setup!$O$26+D$1)*Setup!$N$26))&gt;Setup!$P$26,IF(Setup!$M$26&gt;0,Setup!$G$26+(Setup!$O$26+D$1)*Setup!$M$26,EDATE(Setup!$G$26,(Setup!$O$26+D$1)*Setup!$N$26))&lt;Setup!$D$5),"",IF(Setup!$M$26&gt;0,Setup!$G$26+(Setup!$O$26+D$1)*Setup!$M$26,EDATE(Setup!$G$26,(Setup!$O$26+D$1)*Setup!$N$26))+$A3/1000)))</f>
        <v/>
      </c>
      <c r="E3">
        <f>IF(OR(Setup!$E$26="",Setup!$G$26="",Setup!$F$26=""),"",IF(AND(Setup!$F$26="Once",E$1&gt;0),"",IF(OR(IF(Setup!$M$26&gt;0,Setup!$G$26+(Setup!$O$26+E$1)*Setup!$M$26,EDATE(Setup!$G$26,(Setup!$O$26+E$1)*Setup!$N$26))&gt;Setup!$P$26,IF(Setup!$M$26&gt;0,Setup!$G$26+(Setup!$O$26+E$1)*Setup!$M$26,EDATE(Setup!$G$26,(Setup!$O$26+E$1)*Setup!$N$26))&lt;Setup!$D$5),"",IF(Setup!$M$26&gt;0,Setup!$G$26+(Setup!$O$26+E$1)*Setup!$M$26,EDATE(Setup!$G$26,(Setup!$O$26+E$1)*Setup!$N$26))+$A3/1000)))</f>
        <v/>
      </c>
      <c r="F3">
        <f>IF(OR(Setup!$E$26="",Setup!$G$26="",Setup!$F$26=""),"",IF(AND(Setup!$F$26="Once",F$1&gt;0),"",IF(OR(IF(Setup!$M$26&gt;0,Setup!$G$26+(Setup!$O$26+F$1)*Setup!$M$26,EDATE(Setup!$G$26,(Setup!$O$26+F$1)*Setup!$N$26))&gt;Setup!$P$26,IF(Setup!$M$26&gt;0,Setup!$G$26+(Setup!$O$26+F$1)*Setup!$M$26,EDATE(Setup!$G$26,(Setup!$O$26+F$1)*Setup!$N$26))&lt;Setup!$D$5),"",IF(Setup!$M$26&gt;0,Setup!$G$26+(Setup!$O$26+F$1)*Setup!$M$26,EDATE(Setup!$G$26,(Setup!$O$26+F$1)*Setup!$N$26))+$A3/1000)))</f>
        <v/>
      </c>
      <c r="G3">
        <f>IF(OR(Setup!$E$26="",Setup!$G$26="",Setup!$F$26=""),"",IF(AND(Setup!$F$26="Once",G$1&gt;0),"",IF(OR(IF(Setup!$M$26&gt;0,Setup!$G$26+(Setup!$O$26+G$1)*Setup!$M$26,EDATE(Setup!$G$26,(Setup!$O$26+G$1)*Setup!$N$26))&gt;Setup!$P$26,IF(Setup!$M$26&gt;0,Setup!$G$26+(Setup!$O$26+G$1)*Setup!$M$26,EDATE(Setup!$G$26,(Setup!$O$26+G$1)*Setup!$N$26))&lt;Setup!$D$5),"",IF(Setup!$M$26&gt;0,Setup!$G$26+(Setup!$O$26+G$1)*Setup!$M$26,EDATE(Setup!$G$26,(Setup!$O$26+G$1)*Setup!$N$26))+$A3/1000)))</f>
        <v/>
      </c>
      <c r="H3">
        <f>IF(OR(Setup!$E$26="",Setup!$G$26="",Setup!$F$26=""),"",IF(AND(Setup!$F$26="Once",H$1&gt;0),"",IF(OR(IF(Setup!$M$26&gt;0,Setup!$G$26+(Setup!$O$26+H$1)*Setup!$M$26,EDATE(Setup!$G$26,(Setup!$O$26+H$1)*Setup!$N$26))&gt;Setup!$P$26,IF(Setup!$M$26&gt;0,Setup!$G$26+(Setup!$O$26+H$1)*Setup!$M$26,EDATE(Setup!$G$26,(Setup!$O$26+H$1)*Setup!$N$26))&lt;Setup!$D$5),"",IF(Setup!$M$26&gt;0,Setup!$G$26+(Setup!$O$26+H$1)*Setup!$M$26,EDATE(Setup!$G$26,(Setup!$O$26+H$1)*Setup!$N$26))+$A3/1000)))</f>
        <v/>
      </c>
      <c r="I3">
        <f>IF(OR(Setup!$E$26="",Setup!$G$26="",Setup!$F$26=""),"",IF(AND(Setup!$F$26="Once",I$1&gt;0),"",IF(OR(IF(Setup!$M$26&gt;0,Setup!$G$26+(Setup!$O$26+I$1)*Setup!$M$26,EDATE(Setup!$G$26,(Setup!$O$26+I$1)*Setup!$N$26))&gt;Setup!$P$26,IF(Setup!$M$26&gt;0,Setup!$G$26+(Setup!$O$26+I$1)*Setup!$M$26,EDATE(Setup!$G$26,(Setup!$O$26+I$1)*Setup!$N$26))&lt;Setup!$D$5),"",IF(Setup!$M$26&gt;0,Setup!$G$26+(Setup!$O$26+I$1)*Setup!$M$26,EDATE(Setup!$G$26,(Setup!$O$26+I$1)*Setup!$N$26))+$A3/1000)))</f>
        <v/>
      </c>
      <c r="J3">
        <f>IF(OR(Setup!$E$26="",Setup!$G$26="",Setup!$F$26=""),"",IF(AND(Setup!$F$26="Once",J$1&gt;0),"",IF(OR(IF(Setup!$M$26&gt;0,Setup!$G$26+(Setup!$O$26+J$1)*Setup!$M$26,EDATE(Setup!$G$26,(Setup!$O$26+J$1)*Setup!$N$26))&gt;Setup!$P$26,IF(Setup!$M$26&gt;0,Setup!$G$26+(Setup!$O$26+J$1)*Setup!$M$26,EDATE(Setup!$G$26,(Setup!$O$26+J$1)*Setup!$N$26))&lt;Setup!$D$5),"",IF(Setup!$M$26&gt;0,Setup!$G$26+(Setup!$O$26+J$1)*Setup!$M$26,EDATE(Setup!$G$26,(Setup!$O$26+J$1)*Setup!$N$26))+$A3/1000)))</f>
        <v/>
      </c>
      <c r="K3">
        <f>IF(OR(Setup!$E$26="",Setup!$G$26="",Setup!$F$26=""),"",IF(AND(Setup!$F$26="Once",K$1&gt;0),"",IF(OR(IF(Setup!$M$26&gt;0,Setup!$G$26+(Setup!$O$26+K$1)*Setup!$M$26,EDATE(Setup!$G$26,(Setup!$O$26+K$1)*Setup!$N$26))&gt;Setup!$P$26,IF(Setup!$M$26&gt;0,Setup!$G$26+(Setup!$O$26+K$1)*Setup!$M$26,EDATE(Setup!$G$26,(Setup!$O$26+K$1)*Setup!$N$26))&lt;Setup!$D$5),"",IF(Setup!$M$26&gt;0,Setup!$G$26+(Setup!$O$26+K$1)*Setup!$M$26,EDATE(Setup!$G$26,(Setup!$O$26+K$1)*Setup!$N$26))+$A3/1000)))</f>
        <v/>
      </c>
      <c r="L3">
        <f>IF(OR(Setup!$E$26="",Setup!$G$26="",Setup!$F$26=""),"",IF(AND(Setup!$F$26="Once",L$1&gt;0),"",IF(OR(IF(Setup!$M$26&gt;0,Setup!$G$26+(Setup!$O$26+L$1)*Setup!$M$26,EDATE(Setup!$G$26,(Setup!$O$26+L$1)*Setup!$N$26))&gt;Setup!$P$26,IF(Setup!$M$26&gt;0,Setup!$G$26+(Setup!$O$26+L$1)*Setup!$M$26,EDATE(Setup!$G$26,(Setup!$O$26+L$1)*Setup!$N$26))&lt;Setup!$D$5),"",IF(Setup!$M$26&gt;0,Setup!$G$26+(Setup!$O$26+L$1)*Setup!$M$26,EDATE(Setup!$G$26,(Setup!$O$26+L$1)*Setup!$N$26))+$A3/1000)))</f>
        <v/>
      </c>
      <c r="M3">
        <f>IF(OR(Setup!$E$26="",Setup!$G$26="",Setup!$F$26=""),"",IF(AND(Setup!$F$26="Once",M$1&gt;0),"",IF(OR(IF(Setup!$M$26&gt;0,Setup!$G$26+(Setup!$O$26+M$1)*Setup!$M$26,EDATE(Setup!$G$26,(Setup!$O$26+M$1)*Setup!$N$26))&gt;Setup!$P$26,IF(Setup!$M$26&gt;0,Setup!$G$26+(Setup!$O$26+M$1)*Setup!$M$26,EDATE(Setup!$G$26,(Setup!$O$26+M$1)*Setup!$N$26))&lt;Setup!$D$5),"",IF(Setup!$M$26&gt;0,Setup!$G$26+(Setup!$O$26+M$1)*Setup!$M$26,EDATE(Setup!$G$26,(Setup!$O$26+M$1)*Setup!$N$26))+$A3/1000)))</f>
        <v/>
      </c>
      <c r="N3">
        <f>IF(OR(Setup!$E$26="",Setup!$G$26="",Setup!$F$26=""),"",IF(AND(Setup!$F$26="Once",N$1&gt;0),"",IF(OR(IF(Setup!$M$26&gt;0,Setup!$G$26+(Setup!$O$26+N$1)*Setup!$M$26,EDATE(Setup!$G$26,(Setup!$O$26+N$1)*Setup!$N$26))&gt;Setup!$P$26,IF(Setup!$M$26&gt;0,Setup!$G$26+(Setup!$O$26+N$1)*Setup!$M$26,EDATE(Setup!$G$26,(Setup!$O$26+N$1)*Setup!$N$26))&lt;Setup!$D$5),"",IF(Setup!$M$26&gt;0,Setup!$G$26+(Setup!$O$26+N$1)*Setup!$M$26,EDATE(Setup!$G$26,(Setup!$O$26+N$1)*Setup!$N$26))+$A3/1000)))</f>
        <v/>
      </c>
      <c r="O3">
        <f>IF(OR(Setup!$E$26="",Setup!$G$26="",Setup!$F$26=""),"",IF(AND(Setup!$F$26="Once",O$1&gt;0),"",IF(OR(IF(Setup!$M$26&gt;0,Setup!$G$26+(Setup!$O$26+O$1)*Setup!$M$26,EDATE(Setup!$G$26,(Setup!$O$26+O$1)*Setup!$N$26))&gt;Setup!$P$26,IF(Setup!$M$26&gt;0,Setup!$G$26+(Setup!$O$26+O$1)*Setup!$M$26,EDATE(Setup!$G$26,(Setup!$O$26+O$1)*Setup!$N$26))&lt;Setup!$D$5),"",IF(Setup!$M$26&gt;0,Setup!$G$26+(Setup!$O$26+O$1)*Setup!$M$26,EDATE(Setup!$G$26,(Setup!$O$26+O$1)*Setup!$N$26))+$A3/1000)))</f>
        <v/>
      </c>
      <c r="P3">
        <f>IF(OR(Setup!$E$26="",Setup!$G$26="",Setup!$F$26=""),"",IF(AND(Setup!$F$26="Once",P$1&gt;0),"",IF(OR(IF(Setup!$M$26&gt;0,Setup!$G$26+(Setup!$O$26+P$1)*Setup!$M$26,EDATE(Setup!$G$26,(Setup!$O$26+P$1)*Setup!$N$26))&gt;Setup!$P$26,IF(Setup!$M$26&gt;0,Setup!$G$26+(Setup!$O$26+P$1)*Setup!$M$26,EDATE(Setup!$G$26,(Setup!$O$26+P$1)*Setup!$N$26))&lt;Setup!$D$5),"",IF(Setup!$M$26&gt;0,Setup!$G$26+(Setup!$O$26+P$1)*Setup!$M$26,EDATE(Setup!$G$26,(Setup!$O$26+P$1)*Setup!$N$26))+$A3/1000)))</f>
        <v/>
      </c>
      <c r="Q3">
        <f>IF(OR(Setup!$E$26="",Setup!$G$26="",Setup!$F$26=""),"",IF(AND(Setup!$F$26="Once",Q$1&gt;0),"",IF(OR(IF(Setup!$M$26&gt;0,Setup!$G$26+(Setup!$O$26+Q$1)*Setup!$M$26,EDATE(Setup!$G$26,(Setup!$O$26+Q$1)*Setup!$N$26))&gt;Setup!$P$26,IF(Setup!$M$26&gt;0,Setup!$G$26+(Setup!$O$26+Q$1)*Setup!$M$26,EDATE(Setup!$G$26,(Setup!$O$26+Q$1)*Setup!$N$26))&lt;Setup!$D$5),"",IF(Setup!$M$26&gt;0,Setup!$G$26+(Setup!$O$26+Q$1)*Setup!$M$26,EDATE(Setup!$G$26,(Setup!$O$26+Q$1)*Setup!$N$26))+$A3/1000)))</f>
        <v/>
      </c>
      <c r="R3">
        <f>IF(OR(Setup!$E$26="",Setup!$G$26="",Setup!$F$26=""),"",IF(AND(Setup!$F$26="Once",R$1&gt;0),"",IF(OR(IF(Setup!$M$26&gt;0,Setup!$G$26+(Setup!$O$26+R$1)*Setup!$M$26,EDATE(Setup!$G$26,(Setup!$O$26+R$1)*Setup!$N$26))&gt;Setup!$P$26,IF(Setup!$M$26&gt;0,Setup!$G$26+(Setup!$O$26+R$1)*Setup!$M$26,EDATE(Setup!$G$26,(Setup!$O$26+R$1)*Setup!$N$26))&lt;Setup!$D$5),"",IF(Setup!$M$26&gt;0,Setup!$G$26+(Setup!$O$26+R$1)*Setup!$M$26,EDATE(Setup!$G$26,(Setup!$O$26+R$1)*Setup!$N$26))+$A3/1000)))</f>
        <v/>
      </c>
      <c r="S3">
        <f>IF(OR(Setup!$E$26="",Setup!$G$26="",Setup!$F$26=""),"",IF(AND(Setup!$F$26="Once",S$1&gt;0),"",IF(OR(IF(Setup!$M$26&gt;0,Setup!$G$26+(Setup!$O$26+S$1)*Setup!$M$26,EDATE(Setup!$G$26,(Setup!$O$26+S$1)*Setup!$N$26))&gt;Setup!$P$26,IF(Setup!$M$26&gt;0,Setup!$G$26+(Setup!$O$26+S$1)*Setup!$M$26,EDATE(Setup!$G$26,(Setup!$O$26+S$1)*Setup!$N$26))&lt;Setup!$D$5),"",IF(Setup!$M$26&gt;0,Setup!$G$26+(Setup!$O$26+S$1)*Setup!$M$26,EDATE(Setup!$G$26,(Setup!$O$26+S$1)*Setup!$N$26))+$A3/1000)))</f>
        <v/>
      </c>
      <c r="T3">
        <f>IF(OR(Setup!$E$26="",Setup!$G$26="",Setup!$F$26=""),"",IF(AND(Setup!$F$26="Once",T$1&gt;0),"",IF(OR(IF(Setup!$M$26&gt;0,Setup!$G$26+(Setup!$O$26+T$1)*Setup!$M$26,EDATE(Setup!$G$26,(Setup!$O$26+T$1)*Setup!$N$26))&gt;Setup!$P$26,IF(Setup!$M$26&gt;0,Setup!$G$26+(Setup!$O$26+T$1)*Setup!$M$26,EDATE(Setup!$G$26,(Setup!$O$26+T$1)*Setup!$N$26))&lt;Setup!$D$5),"",IF(Setup!$M$26&gt;0,Setup!$G$26+(Setup!$O$26+T$1)*Setup!$M$26,EDATE(Setup!$G$26,(Setup!$O$26+T$1)*Setup!$N$26))+$A3/1000)))</f>
        <v/>
      </c>
      <c r="U3">
        <f>IF(OR(Setup!$E$26="",Setup!$G$26="",Setup!$F$26=""),"",IF(AND(Setup!$F$26="Once",U$1&gt;0),"",IF(OR(IF(Setup!$M$26&gt;0,Setup!$G$26+(Setup!$O$26+U$1)*Setup!$M$26,EDATE(Setup!$G$26,(Setup!$O$26+U$1)*Setup!$N$26))&gt;Setup!$P$26,IF(Setup!$M$26&gt;0,Setup!$G$26+(Setup!$O$26+U$1)*Setup!$M$26,EDATE(Setup!$G$26,(Setup!$O$26+U$1)*Setup!$N$26))&lt;Setup!$D$5),"",IF(Setup!$M$26&gt;0,Setup!$G$26+(Setup!$O$26+U$1)*Setup!$M$26,EDATE(Setup!$G$26,(Setup!$O$26+U$1)*Setup!$N$26))+$A3/1000)))</f>
        <v/>
      </c>
      <c r="V3">
        <f>IF(OR(Setup!$E$26="",Setup!$G$26="",Setup!$F$26=""),"",IF(AND(Setup!$F$26="Once",V$1&gt;0),"",IF(OR(IF(Setup!$M$26&gt;0,Setup!$G$26+(Setup!$O$26+V$1)*Setup!$M$26,EDATE(Setup!$G$26,(Setup!$O$26+V$1)*Setup!$N$26))&gt;Setup!$P$26,IF(Setup!$M$26&gt;0,Setup!$G$26+(Setup!$O$26+V$1)*Setup!$M$26,EDATE(Setup!$G$26,(Setup!$O$26+V$1)*Setup!$N$26))&lt;Setup!$D$5),"",IF(Setup!$M$26&gt;0,Setup!$G$26+(Setup!$O$26+V$1)*Setup!$M$26,EDATE(Setup!$G$26,(Setup!$O$26+V$1)*Setup!$N$26))+$A3/1000)))</f>
        <v/>
      </c>
      <c r="W3">
        <f>IF(OR(Setup!$E$26="",Setup!$G$26="",Setup!$F$26=""),"",IF(AND(Setup!$F$26="Once",W$1&gt;0),"",IF(OR(IF(Setup!$M$26&gt;0,Setup!$G$26+(Setup!$O$26+W$1)*Setup!$M$26,EDATE(Setup!$G$26,(Setup!$O$26+W$1)*Setup!$N$26))&gt;Setup!$P$26,IF(Setup!$M$26&gt;0,Setup!$G$26+(Setup!$O$26+W$1)*Setup!$M$26,EDATE(Setup!$G$26,(Setup!$O$26+W$1)*Setup!$N$26))&lt;Setup!$D$5),"",IF(Setup!$M$26&gt;0,Setup!$G$26+(Setup!$O$26+W$1)*Setup!$M$26,EDATE(Setup!$G$26,(Setup!$O$26+W$1)*Setup!$N$26))+$A3/1000)))</f>
        <v/>
      </c>
      <c r="X3">
        <f>IF(OR(Setup!$E$26="",Setup!$G$26="",Setup!$F$26=""),"",IF(AND(Setup!$F$26="Once",X$1&gt;0),"",IF(OR(IF(Setup!$M$26&gt;0,Setup!$G$26+(Setup!$O$26+X$1)*Setup!$M$26,EDATE(Setup!$G$26,(Setup!$O$26+X$1)*Setup!$N$26))&gt;Setup!$P$26,IF(Setup!$M$26&gt;0,Setup!$G$26+(Setup!$O$26+X$1)*Setup!$M$26,EDATE(Setup!$G$26,(Setup!$O$26+X$1)*Setup!$N$26))&lt;Setup!$D$5),"",IF(Setup!$M$26&gt;0,Setup!$G$26+(Setup!$O$26+X$1)*Setup!$M$26,EDATE(Setup!$G$26,(Setup!$O$26+X$1)*Setup!$N$26))+$A3/1000)))</f>
        <v/>
      </c>
      <c r="Y3">
        <f>IF(OR(Setup!$E$26="",Setup!$G$26="",Setup!$F$26=""),"",IF(AND(Setup!$F$26="Once",Y$1&gt;0),"",IF(OR(IF(Setup!$M$26&gt;0,Setup!$G$26+(Setup!$O$26+Y$1)*Setup!$M$26,EDATE(Setup!$G$26,(Setup!$O$26+Y$1)*Setup!$N$26))&gt;Setup!$P$26,IF(Setup!$M$26&gt;0,Setup!$G$26+(Setup!$O$26+Y$1)*Setup!$M$26,EDATE(Setup!$G$26,(Setup!$O$26+Y$1)*Setup!$N$26))&lt;Setup!$D$5),"",IF(Setup!$M$26&gt;0,Setup!$G$26+(Setup!$O$26+Y$1)*Setup!$M$26,EDATE(Setup!$G$26,(Setup!$O$26+Y$1)*Setup!$N$26))+$A3/1000)))</f>
        <v/>
      </c>
      <c r="Z3">
        <f>IF(OR(Setup!$E$26="",Setup!$G$26="",Setup!$F$26=""),"",IF(AND(Setup!$F$26="Once",Z$1&gt;0),"",IF(OR(IF(Setup!$M$26&gt;0,Setup!$G$26+(Setup!$O$26+Z$1)*Setup!$M$26,EDATE(Setup!$G$26,(Setup!$O$26+Z$1)*Setup!$N$26))&gt;Setup!$P$26,IF(Setup!$M$26&gt;0,Setup!$G$26+(Setup!$O$26+Z$1)*Setup!$M$26,EDATE(Setup!$G$26,(Setup!$O$26+Z$1)*Setup!$N$26))&lt;Setup!$D$5),"",IF(Setup!$M$26&gt;0,Setup!$G$26+(Setup!$O$26+Z$1)*Setup!$M$26,EDATE(Setup!$G$26,(Setup!$O$26+Z$1)*Setup!$N$26))+$A3/1000)))</f>
        <v/>
      </c>
      <c r="AA3">
        <f>IF(OR(Setup!$E$26="",Setup!$G$26="",Setup!$F$26=""),"",IF(AND(Setup!$F$26="Once",AA$1&gt;0),"",IF(OR(IF(Setup!$M$26&gt;0,Setup!$G$26+(Setup!$O$26+AA$1)*Setup!$M$26,EDATE(Setup!$G$26,(Setup!$O$26+AA$1)*Setup!$N$26))&gt;Setup!$P$26,IF(Setup!$M$26&gt;0,Setup!$G$26+(Setup!$O$26+AA$1)*Setup!$M$26,EDATE(Setup!$G$26,(Setup!$O$26+AA$1)*Setup!$N$26))&lt;Setup!$D$5),"",IF(Setup!$M$26&gt;0,Setup!$G$26+(Setup!$O$26+AA$1)*Setup!$M$26,EDATE(Setup!$G$26,(Setup!$O$26+AA$1)*Setup!$N$26))+$A3/1000)))</f>
        <v/>
      </c>
      <c r="AB3">
        <f>IF(OR(Setup!$E$26="",Setup!$G$26="",Setup!$F$26=""),"",IF(AND(Setup!$F$26="Once",AB$1&gt;0),"",IF(OR(IF(Setup!$M$26&gt;0,Setup!$G$26+(Setup!$O$26+AB$1)*Setup!$M$26,EDATE(Setup!$G$26,(Setup!$O$26+AB$1)*Setup!$N$26))&gt;Setup!$P$26,IF(Setup!$M$26&gt;0,Setup!$G$26+(Setup!$O$26+AB$1)*Setup!$M$26,EDATE(Setup!$G$26,(Setup!$O$26+AB$1)*Setup!$N$26))&lt;Setup!$D$5),"",IF(Setup!$M$26&gt;0,Setup!$G$26+(Setup!$O$26+AB$1)*Setup!$M$26,EDATE(Setup!$G$26,(Setup!$O$26+AB$1)*Setup!$N$26))+$A3/1000)))</f>
        <v/>
      </c>
      <c r="AC3">
        <f>IF(OR(Setup!$E$26="",Setup!$G$26="",Setup!$F$26=""),"",IF(AND(Setup!$F$26="Once",AC$1&gt;0),"",IF(OR(IF(Setup!$M$26&gt;0,Setup!$G$26+(Setup!$O$26+AC$1)*Setup!$M$26,EDATE(Setup!$G$26,(Setup!$O$26+AC$1)*Setup!$N$26))&gt;Setup!$P$26,IF(Setup!$M$26&gt;0,Setup!$G$26+(Setup!$O$26+AC$1)*Setup!$M$26,EDATE(Setup!$G$26,(Setup!$O$26+AC$1)*Setup!$N$26))&lt;Setup!$D$5),"",IF(Setup!$M$26&gt;0,Setup!$G$26+(Setup!$O$26+AC$1)*Setup!$M$26,EDATE(Setup!$G$26,(Setup!$O$26+AC$1)*Setup!$N$26))+$A3/1000)))</f>
        <v/>
      </c>
      <c r="AD3">
        <f>IF(OR(Setup!$E$26="",Setup!$G$26="",Setup!$F$26=""),"",IF(AND(Setup!$F$26="Once",AD$1&gt;0),"",IF(OR(IF(Setup!$M$26&gt;0,Setup!$G$26+(Setup!$O$26+AD$1)*Setup!$M$26,EDATE(Setup!$G$26,(Setup!$O$26+AD$1)*Setup!$N$26))&gt;Setup!$P$26,IF(Setup!$M$26&gt;0,Setup!$G$26+(Setup!$O$26+AD$1)*Setup!$M$26,EDATE(Setup!$G$26,(Setup!$O$26+AD$1)*Setup!$N$26))&lt;Setup!$D$5),"",IF(Setup!$M$26&gt;0,Setup!$G$26+(Setup!$O$26+AD$1)*Setup!$M$26,EDATE(Setup!$G$26,(Setup!$O$26+AD$1)*Setup!$N$26))+$A3/1000)))</f>
        <v/>
      </c>
      <c r="AE3">
        <f>IF(OR(Setup!$E$26="",Setup!$G$26="",Setup!$F$26=""),"",IF(AND(Setup!$F$26="Once",AE$1&gt;0),"",IF(OR(IF(Setup!$M$26&gt;0,Setup!$G$26+(Setup!$O$26+AE$1)*Setup!$M$26,EDATE(Setup!$G$26,(Setup!$O$26+AE$1)*Setup!$N$26))&gt;Setup!$P$26,IF(Setup!$M$26&gt;0,Setup!$G$26+(Setup!$O$26+AE$1)*Setup!$M$26,EDATE(Setup!$G$26,(Setup!$O$26+AE$1)*Setup!$N$26))&lt;Setup!$D$5),"",IF(Setup!$M$26&gt;0,Setup!$G$26+(Setup!$O$26+AE$1)*Setup!$M$26,EDATE(Setup!$G$26,(Setup!$O$26+AE$1)*Setup!$N$26))+$A3/1000)))</f>
        <v/>
      </c>
      <c r="AF3">
        <f>IF(OR(Setup!$E$26="",Setup!$G$26="",Setup!$F$26=""),"",IF(AND(Setup!$F$26="Once",AF$1&gt;0),"",IF(OR(IF(Setup!$M$26&gt;0,Setup!$G$26+(Setup!$O$26+AF$1)*Setup!$M$26,EDATE(Setup!$G$26,(Setup!$O$26+AF$1)*Setup!$N$26))&gt;Setup!$P$26,IF(Setup!$M$26&gt;0,Setup!$G$26+(Setup!$O$26+AF$1)*Setup!$M$26,EDATE(Setup!$G$26,(Setup!$O$26+AF$1)*Setup!$N$26))&lt;Setup!$D$5),"",IF(Setup!$M$26&gt;0,Setup!$G$26+(Setup!$O$26+AF$1)*Setup!$M$26,EDATE(Setup!$G$26,(Setup!$O$26+AF$1)*Setup!$N$26))+$A3/1000)))</f>
        <v/>
      </c>
      <c r="AG3">
        <f>IF(OR(Setup!$E$26="",Setup!$G$26="",Setup!$F$26=""),"",IF(AND(Setup!$F$26="Once",AG$1&gt;0),"",IF(OR(IF(Setup!$M$26&gt;0,Setup!$G$26+(Setup!$O$26+AG$1)*Setup!$M$26,EDATE(Setup!$G$26,(Setup!$O$26+AG$1)*Setup!$N$26))&gt;Setup!$P$26,IF(Setup!$M$26&gt;0,Setup!$G$26+(Setup!$O$26+AG$1)*Setup!$M$26,EDATE(Setup!$G$26,(Setup!$O$26+AG$1)*Setup!$N$26))&lt;Setup!$D$5),"",IF(Setup!$M$26&gt;0,Setup!$G$26+(Setup!$O$26+AG$1)*Setup!$M$26,EDATE(Setup!$G$26,(Setup!$O$26+AG$1)*Setup!$N$26))+$A3/1000)))</f>
        <v/>
      </c>
      <c r="AH3">
        <f>IF(OR(Setup!$E$26="",Setup!$G$26="",Setup!$F$26=""),"",IF(AND(Setup!$F$26="Once",AH$1&gt;0),"",IF(OR(IF(Setup!$M$26&gt;0,Setup!$G$26+(Setup!$O$26+AH$1)*Setup!$M$26,EDATE(Setup!$G$26,(Setup!$O$26+AH$1)*Setup!$N$26))&gt;Setup!$P$26,IF(Setup!$M$26&gt;0,Setup!$G$26+(Setup!$O$26+AH$1)*Setup!$M$26,EDATE(Setup!$G$26,(Setup!$O$26+AH$1)*Setup!$N$26))&lt;Setup!$D$5),"",IF(Setup!$M$26&gt;0,Setup!$G$26+(Setup!$O$26+AH$1)*Setup!$M$26,EDATE(Setup!$G$26,(Setup!$O$26+AH$1)*Setup!$N$26))+$A3/1000)))</f>
        <v/>
      </c>
      <c r="AI3">
        <f>IF(OR(Setup!$E$26="",Setup!$G$26="",Setup!$F$26=""),"",IF(AND(Setup!$F$26="Once",AI$1&gt;0),"",IF(OR(IF(Setup!$M$26&gt;0,Setup!$G$26+(Setup!$O$26+AI$1)*Setup!$M$26,EDATE(Setup!$G$26,(Setup!$O$26+AI$1)*Setup!$N$26))&gt;Setup!$P$26,IF(Setup!$M$26&gt;0,Setup!$G$26+(Setup!$O$26+AI$1)*Setup!$M$26,EDATE(Setup!$G$26,(Setup!$O$26+AI$1)*Setup!$N$26))&lt;Setup!$D$5),"",IF(Setup!$M$26&gt;0,Setup!$G$26+(Setup!$O$26+AI$1)*Setup!$M$26,EDATE(Setup!$G$26,(Setup!$O$26+AI$1)*Setup!$N$26))+$A3/1000)))</f>
        <v/>
      </c>
      <c r="AJ3">
        <f>IF(OR(Setup!$E$26="",Setup!$G$26="",Setup!$F$26=""),"",IF(AND(Setup!$F$26="Once",AJ$1&gt;0),"",IF(OR(IF(Setup!$M$26&gt;0,Setup!$G$26+(Setup!$O$26+AJ$1)*Setup!$M$26,EDATE(Setup!$G$26,(Setup!$O$26+AJ$1)*Setup!$N$26))&gt;Setup!$P$26,IF(Setup!$M$26&gt;0,Setup!$G$26+(Setup!$O$26+AJ$1)*Setup!$M$26,EDATE(Setup!$G$26,(Setup!$O$26+AJ$1)*Setup!$N$26))&lt;Setup!$D$5),"",IF(Setup!$M$26&gt;0,Setup!$G$26+(Setup!$O$26+AJ$1)*Setup!$M$26,EDATE(Setup!$G$26,(Setup!$O$26+AJ$1)*Setup!$N$26))+$A3/1000)))</f>
        <v/>
      </c>
      <c r="AK3">
        <f>IF(OR(Setup!$E$26="",Setup!$G$26="",Setup!$F$26=""),"",IF(AND(Setup!$F$26="Once",AK$1&gt;0),"",IF(OR(IF(Setup!$M$26&gt;0,Setup!$G$26+(Setup!$O$26+AK$1)*Setup!$M$26,EDATE(Setup!$G$26,(Setup!$O$26+AK$1)*Setup!$N$26))&gt;Setup!$P$26,IF(Setup!$M$26&gt;0,Setup!$G$26+(Setup!$O$26+AK$1)*Setup!$M$26,EDATE(Setup!$G$26,(Setup!$O$26+AK$1)*Setup!$N$26))&lt;Setup!$D$5),"",IF(Setup!$M$26&gt;0,Setup!$G$26+(Setup!$O$26+AK$1)*Setup!$M$26,EDATE(Setup!$G$26,(Setup!$O$26+AK$1)*Setup!$N$26))+$A3/1000)))</f>
        <v/>
      </c>
      <c r="AL3">
        <f>IF(OR(Setup!$E$26="",Setup!$G$26="",Setup!$F$26=""),"",IF(AND(Setup!$F$26="Once",AL$1&gt;0),"",IF(OR(IF(Setup!$M$26&gt;0,Setup!$G$26+(Setup!$O$26+AL$1)*Setup!$M$26,EDATE(Setup!$G$26,(Setup!$O$26+AL$1)*Setup!$N$26))&gt;Setup!$P$26,IF(Setup!$M$26&gt;0,Setup!$G$26+(Setup!$O$26+AL$1)*Setup!$M$26,EDATE(Setup!$G$26,(Setup!$O$26+AL$1)*Setup!$N$26))&lt;Setup!$D$5),"",IF(Setup!$M$26&gt;0,Setup!$G$26+(Setup!$O$26+AL$1)*Setup!$M$26,EDATE(Setup!$G$26,(Setup!$O$26+AL$1)*Setup!$N$26))+$A3/1000)))</f>
        <v/>
      </c>
      <c r="AM3">
        <f>IF(OR(Setup!$E$26="",Setup!$G$26="",Setup!$F$26=""),"",IF(AND(Setup!$F$26="Once",AM$1&gt;0),"",IF(OR(IF(Setup!$M$26&gt;0,Setup!$G$26+(Setup!$O$26+AM$1)*Setup!$M$26,EDATE(Setup!$G$26,(Setup!$O$26+AM$1)*Setup!$N$26))&gt;Setup!$P$26,IF(Setup!$M$26&gt;0,Setup!$G$26+(Setup!$O$26+AM$1)*Setup!$M$26,EDATE(Setup!$G$26,(Setup!$O$26+AM$1)*Setup!$N$26))&lt;Setup!$D$5),"",IF(Setup!$M$26&gt;0,Setup!$G$26+(Setup!$O$26+AM$1)*Setup!$M$26,EDATE(Setup!$G$26,(Setup!$O$26+AM$1)*Setup!$N$26))+$A3/1000)))</f>
        <v/>
      </c>
      <c r="AN3">
        <f>IF(OR(Setup!$E$26="",Setup!$G$26="",Setup!$F$26=""),"",IF(AND(Setup!$F$26="Once",AN$1&gt;0),"",IF(OR(IF(Setup!$M$26&gt;0,Setup!$G$26+(Setup!$O$26+AN$1)*Setup!$M$26,EDATE(Setup!$G$26,(Setup!$O$26+AN$1)*Setup!$N$26))&gt;Setup!$P$26,IF(Setup!$M$26&gt;0,Setup!$G$26+(Setup!$O$26+AN$1)*Setup!$M$26,EDATE(Setup!$G$26,(Setup!$O$26+AN$1)*Setup!$N$26))&lt;Setup!$D$5),"",IF(Setup!$M$26&gt;0,Setup!$G$26+(Setup!$O$26+AN$1)*Setup!$M$26,EDATE(Setup!$G$26,(Setup!$O$26+AN$1)*Setup!$N$26))+$A3/1000)))</f>
        <v/>
      </c>
      <c r="AO3">
        <f>IF(OR(Setup!$E$26="",Setup!$G$26="",Setup!$F$26=""),"",IF(AND(Setup!$F$26="Once",AO$1&gt;0),"",IF(OR(IF(Setup!$M$26&gt;0,Setup!$G$26+(Setup!$O$26+AO$1)*Setup!$M$26,EDATE(Setup!$G$26,(Setup!$O$26+AO$1)*Setup!$N$26))&gt;Setup!$P$26,IF(Setup!$M$26&gt;0,Setup!$G$26+(Setup!$O$26+AO$1)*Setup!$M$26,EDATE(Setup!$G$26,(Setup!$O$26+AO$1)*Setup!$N$26))&lt;Setup!$D$5),"",IF(Setup!$M$26&gt;0,Setup!$G$26+(Setup!$O$26+AO$1)*Setup!$M$26,EDATE(Setup!$G$26,(Setup!$O$26+AO$1)*Setup!$N$26))+$A3/1000)))</f>
        <v/>
      </c>
      <c r="AP3">
        <f>IF(OR(Setup!$E$26="",Setup!$G$26="",Setup!$F$26=""),"",IF(AND(Setup!$F$26="Once",AP$1&gt;0),"",IF(OR(IF(Setup!$M$26&gt;0,Setup!$G$26+(Setup!$O$26+AP$1)*Setup!$M$26,EDATE(Setup!$G$26,(Setup!$O$26+AP$1)*Setup!$N$26))&gt;Setup!$P$26,IF(Setup!$M$26&gt;0,Setup!$G$26+(Setup!$O$26+AP$1)*Setup!$M$26,EDATE(Setup!$G$26,(Setup!$O$26+AP$1)*Setup!$N$26))&lt;Setup!$D$5),"",IF(Setup!$M$26&gt;0,Setup!$G$26+(Setup!$O$26+AP$1)*Setup!$M$26,EDATE(Setup!$G$26,(Setup!$O$26+AP$1)*Setup!$N$26))+$A3/1000)))</f>
        <v/>
      </c>
      <c r="AQ3">
        <f>IF(OR(Setup!$E$26="",Setup!$G$26="",Setup!$F$26=""),"",IF(AND(Setup!$F$26="Once",AQ$1&gt;0),"",IF(OR(IF(Setup!$M$26&gt;0,Setup!$G$26+(Setup!$O$26+AQ$1)*Setup!$M$26,EDATE(Setup!$G$26,(Setup!$O$26+AQ$1)*Setup!$N$26))&gt;Setup!$P$26,IF(Setup!$M$26&gt;0,Setup!$G$26+(Setup!$O$26+AQ$1)*Setup!$M$26,EDATE(Setup!$G$26,(Setup!$O$26+AQ$1)*Setup!$N$26))&lt;Setup!$D$5),"",IF(Setup!$M$26&gt;0,Setup!$G$26+(Setup!$O$26+AQ$1)*Setup!$M$26,EDATE(Setup!$G$26,(Setup!$O$26+AQ$1)*Setup!$N$26))+$A3/1000)))</f>
        <v/>
      </c>
      <c r="AR3">
        <f>IF(OR(Setup!$E$26="",Setup!$G$26="",Setup!$F$26=""),"",IF(AND(Setup!$F$26="Once",AR$1&gt;0),"",IF(OR(IF(Setup!$M$26&gt;0,Setup!$G$26+(Setup!$O$26+AR$1)*Setup!$M$26,EDATE(Setup!$G$26,(Setup!$O$26+AR$1)*Setup!$N$26))&gt;Setup!$P$26,IF(Setup!$M$26&gt;0,Setup!$G$26+(Setup!$O$26+AR$1)*Setup!$M$26,EDATE(Setup!$G$26,(Setup!$O$26+AR$1)*Setup!$N$26))&lt;Setup!$D$5),"",IF(Setup!$M$26&gt;0,Setup!$G$26+(Setup!$O$26+AR$1)*Setup!$M$26,EDATE(Setup!$G$26,(Setup!$O$26+AR$1)*Setup!$N$26))+$A3/1000)))</f>
        <v/>
      </c>
      <c r="AS3">
        <f>IF(OR(Setup!$E$26="",Setup!$G$26="",Setup!$F$26=""),"",IF(AND(Setup!$F$26="Once",AS$1&gt;0),"",IF(OR(IF(Setup!$M$26&gt;0,Setup!$G$26+(Setup!$O$26+AS$1)*Setup!$M$26,EDATE(Setup!$G$26,(Setup!$O$26+AS$1)*Setup!$N$26))&gt;Setup!$P$26,IF(Setup!$M$26&gt;0,Setup!$G$26+(Setup!$O$26+AS$1)*Setup!$M$26,EDATE(Setup!$G$26,(Setup!$O$26+AS$1)*Setup!$N$26))&lt;Setup!$D$5),"",IF(Setup!$M$26&gt;0,Setup!$G$26+(Setup!$O$26+AS$1)*Setup!$M$26,EDATE(Setup!$G$26,(Setup!$O$26+AS$1)*Setup!$N$26))+$A3/1000)))</f>
        <v/>
      </c>
      <c r="AT3">
        <f>IF(OR(Setup!$E$26="",Setup!$G$26="",Setup!$F$26=""),"",IF(AND(Setup!$F$26="Once",AT$1&gt;0),"",IF(OR(IF(Setup!$M$26&gt;0,Setup!$G$26+(Setup!$O$26+AT$1)*Setup!$M$26,EDATE(Setup!$G$26,(Setup!$O$26+AT$1)*Setup!$N$26))&gt;Setup!$P$26,IF(Setup!$M$26&gt;0,Setup!$G$26+(Setup!$O$26+AT$1)*Setup!$M$26,EDATE(Setup!$G$26,(Setup!$O$26+AT$1)*Setup!$N$26))&lt;Setup!$D$5),"",IF(Setup!$M$26&gt;0,Setup!$G$26+(Setup!$O$26+AT$1)*Setup!$M$26,EDATE(Setup!$G$26,(Setup!$O$26+AT$1)*Setup!$N$26))+$A3/1000)))</f>
        <v/>
      </c>
      <c r="AU3">
        <f>IF(OR(Setup!$E$26="",Setup!$G$26="",Setup!$F$26=""),"",IF(AND(Setup!$F$26="Once",AU$1&gt;0),"",IF(OR(IF(Setup!$M$26&gt;0,Setup!$G$26+(Setup!$O$26+AU$1)*Setup!$M$26,EDATE(Setup!$G$26,(Setup!$O$26+AU$1)*Setup!$N$26))&gt;Setup!$P$26,IF(Setup!$M$26&gt;0,Setup!$G$26+(Setup!$O$26+AU$1)*Setup!$M$26,EDATE(Setup!$G$26,(Setup!$O$26+AU$1)*Setup!$N$26))&lt;Setup!$D$5),"",IF(Setup!$M$26&gt;0,Setup!$G$26+(Setup!$O$26+AU$1)*Setup!$M$26,EDATE(Setup!$G$26,(Setup!$O$26+AU$1)*Setup!$N$26))+$A3/1000)))</f>
        <v/>
      </c>
      <c r="AV3">
        <f>IF(OR(Setup!$E$26="",Setup!$G$26="",Setup!$F$26=""),"",IF(AND(Setup!$F$26="Once",AV$1&gt;0),"",IF(OR(IF(Setup!$M$26&gt;0,Setup!$G$26+(Setup!$O$26+AV$1)*Setup!$M$26,EDATE(Setup!$G$26,(Setup!$O$26+AV$1)*Setup!$N$26))&gt;Setup!$P$26,IF(Setup!$M$26&gt;0,Setup!$G$26+(Setup!$O$26+AV$1)*Setup!$M$26,EDATE(Setup!$G$26,(Setup!$O$26+AV$1)*Setup!$N$26))&lt;Setup!$D$5),"",IF(Setup!$M$26&gt;0,Setup!$G$26+(Setup!$O$26+AV$1)*Setup!$M$26,EDATE(Setup!$G$26,(Setup!$O$26+AV$1)*Setup!$N$26))+$A3/1000)))</f>
        <v/>
      </c>
      <c r="AW3">
        <f>IF(OR(Setup!$E$26="",Setup!$G$26="",Setup!$F$26=""),"",IF(AND(Setup!$F$26="Once",AW$1&gt;0),"",IF(OR(IF(Setup!$M$26&gt;0,Setup!$G$26+(Setup!$O$26+AW$1)*Setup!$M$26,EDATE(Setup!$G$26,(Setup!$O$26+AW$1)*Setup!$N$26))&gt;Setup!$P$26,IF(Setup!$M$26&gt;0,Setup!$G$26+(Setup!$O$26+AW$1)*Setup!$M$26,EDATE(Setup!$G$26,(Setup!$O$26+AW$1)*Setup!$N$26))&lt;Setup!$D$5),"",IF(Setup!$M$26&gt;0,Setup!$G$26+(Setup!$O$26+AW$1)*Setup!$M$26,EDATE(Setup!$G$26,(Setup!$O$26+AW$1)*Setup!$N$26))+$A3/1000)))</f>
        <v/>
      </c>
      <c r="AX3">
        <f>IF(OR(Setup!$E$26="",Setup!$G$26="",Setup!$F$26=""),"",IF(AND(Setup!$F$26="Once",AX$1&gt;0),"",IF(OR(IF(Setup!$M$26&gt;0,Setup!$G$26+(Setup!$O$26+AX$1)*Setup!$M$26,EDATE(Setup!$G$26,(Setup!$O$26+AX$1)*Setup!$N$26))&gt;Setup!$P$26,IF(Setup!$M$26&gt;0,Setup!$G$26+(Setup!$O$26+AX$1)*Setup!$M$26,EDATE(Setup!$G$26,(Setup!$O$26+AX$1)*Setup!$N$26))&lt;Setup!$D$5),"",IF(Setup!$M$26&gt;0,Setup!$G$26+(Setup!$O$26+AX$1)*Setup!$M$26,EDATE(Setup!$G$26,(Setup!$O$26+AX$1)*Setup!$N$26))+$A3/1000)))</f>
        <v/>
      </c>
      <c r="AY3">
        <f>IF(OR(Setup!$E$26="",Setup!$G$26="",Setup!$F$26=""),"",IF(AND(Setup!$F$26="Once",AY$1&gt;0),"",IF(OR(IF(Setup!$M$26&gt;0,Setup!$G$26+(Setup!$O$26+AY$1)*Setup!$M$26,EDATE(Setup!$G$26,(Setup!$O$26+AY$1)*Setup!$N$26))&gt;Setup!$P$26,IF(Setup!$M$26&gt;0,Setup!$G$26+(Setup!$O$26+AY$1)*Setup!$M$26,EDATE(Setup!$G$26,(Setup!$O$26+AY$1)*Setup!$N$26))&lt;Setup!$D$5),"",IF(Setup!$M$26&gt;0,Setup!$G$26+(Setup!$O$26+AY$1)*Setup!$M$26,EDATE(Setup!$G$26,(Setup!$O$26+AY$1)*Setup!$N$26))+$A3/1000)))</f>
        <v/>
      </c>
      <c r="AZ3">
        <f>IF(OR(Setup!$E$26="",Setup!$G$26="",Setup!$F$26=""),"",IF(AND(Setup!$F$26="Once",AZ$1&gt;0),"",IF(OR(IF(Setup!$M$26&gt;0,Setup!$G$26+(Setup!$O$26+AZ$1)*Setup!$M$26,EDATE(Setup!$G$26,(Setup!$O$26+AZ$1)*Setup!$N$26))&gt;Setup!$P$26,IF(Setup!$M$26&gt;0,Setup!$G$26+(Setup!$O$26+AZ$1)*Setup!$M$26,EDATE(Setup!$G$26,(Setup!$O$26+AZ$1)*Setup!$N$26))&lt;Setup!$D$5),"",IF(Setup!$M$26&gt;0,Setup!$G$26+(Setup!$O$26+AZ$1)*Setup!$M$26,EDATE(Setup!$G$26,(Setup!$O$26+AZ$1)*Setup!$N$26))+$A3/1000)))</f>
        <v/>
      </c>
      <c r="BA3">
        <f>IF(OR(Setup!$E$26="",Setup!$G$26="",Setup!$F$26=""),"",IF(AND(Setup!$F$26="Once",BA$1&gt;0),"",IF(OR(IF(Setup!$M$26&gt;0,Setup!$G$26+(Setup!$O$26+BA$1)*Setup!$M$26,EDATE(Setup!$G$26,(Setup!$O$26+BA$1)*Setup!$N$26))&gt;Setup!$P$26,IF(Setup!$M$26&gt;0,Setup!$G$26+(Setup!$O$26+BA$1)*Setup!$M$26,EDATE(Setup!$G$26,(Setup!$O$26+BA$1)*Setup!$N$26))&lt;Setup!$D$5),"",IF(Setup!$M$26&gt;0,Setup!$G$26+(Setup!$O$26+BA$1)*Setup!$M$26,EDATE(Setup!$G$26,(Setup!$O$26+BA$1)*Setup!$N$26))+$A3/1000)))</f>
        <v/>
      </c>
      <c r="BB3">
        <f>IF(OR(Setup!$E$26="",Setup!$G$26="",Setup!$F$26=""),"",IF(AND(Setup!$F$26="Once",BB$1&gt;0),"",IF(OR(IF(Setup!$M$26&gt;0,Setup!$G$26+(Setup!$O$26+BB$1)*Setup!$M$26,EDATE(Setup!$G$26,(Setup!$O$26+BB$1)*Setup!$N$26))&gt;Setup!$P$26,IF(Setup!$M$26&gt;0,Setup!$G$26+(Setup!$O$26+BB$1)*Setup!$M$26,EDATE(Setup!$G$26,(Setup!$O$26+BB$1)*Setup!$N$26))&lt;Setup!$D$5),"",IF(Setup!$M$26&gt;0,Setup!$G$26+(Setup!$O$26+BB$1)*Setup!$M$26,EDATE(Setup!$G$26,(Setup!$O$26+BB$1)*Setup!$N$26))+$A3/1000)))</f>
        <v/>
      </c>
    </row>
    <row r="4">
      <c r="A4" t="n">
        <v>3</v>
      </c>
      <c r="B4">
        <f>IF(OR(Setup!$E$27="",Setup!$G$27="",Setup!$F$27=""),"",IF(AND(Setup!$F$27="Once",B$1&gt;0),"",IF(OR(IF(Setup!$M$27&gt;0,Setup!$G$27+(Setup!$O$27+B$1)*Setup!$M$27,EDATE(Setup!$G$27,(Setup!$O$27+B$1)*Setup!$N$27))&gt;Setup!$P$27,IF(Setup!$M$27&gt;0,Setup!$G$27+(Setup!$O$27+B$1)*Setup!$M$27,EDATE(Setup!$G$27,(Setup!$O$27+B$1)*Setup!$N$27))&lt;Setup!$D$5),"",IF(Setup!$M$27&gt;0,Setup!$G$27+(Setup!$O$27+B$1)*Setup!$M$27,EDATE(Setup!$G$27,(Setup!$O$27+B$1)*Setup!$N$27))+$A4/1000)))</f>
        <v/>
      </c>
      <c r="C4">
        <f>IF(OR(Setup!$E$27="",Setup!$G$27="",Setup!$F$27=""),"",IF(AND(Setup!$F$27="Once",C$1&gt;0),"",IF(OR(IF(Setup!$M$27&gt;0,Setup!$G$27+(Setup!$O$27+C$1)*Setup!$M$27,EDATE(Setup!$G$27,(Setup!$O$27+C$1)*Setup!$N$27))&gt;Setup!$P$27,IF(Setup!$M$27&gt;0,Setup!$G$27+(Setup!$O$27+C$1)*Setup!$M$27,EDATE(Setup!$G$27,(Setup!$O$27+C$1)*Setup!$N$27))&lt;Setup!$D$5),"",IF(Setup!$M$27&gt;0,Setup!$G$27+(Setup!$O$27+C$1)*Setup!$M$27,EDATE(Setup!$G$27,(Setup!$O$27+C$1)*Setup!$N$27))+$A4/1000)))</f>
        <v/>
      </c>
      <c r="D4">
        <f>IF(OR(Setup!$E$27="",Setup!$G$27="",Setup!$F$27=""),"",IF(AND(Setup!$F$27="Once",D$1&gt;0),"",IF(OR(IF(Setup!$M$27&gt;0,Setup!$G$27+(Setup!$O$27+D$1)*Setup!$M$27,EDATE(Setup!$G$27,(Setup!$O$27+D$1)*Setup!$N$27))&gt;Setup!$P$27,IF(Setup!$M$27&gt;0,Setup!$G$27+(Setup!$O$27+D$1)*Setup!$M$27,EDATE(Setup!$G$27,(Setup!$O$27+D$1)*Setup!$N$27))&lt;Setup!$D$5),"",IF(Setup!$M$27&gt;0,Setup!$G$27+(Setup!$O$27+D$1)*Setup!$M$27,EDATE(Setup!$G$27,(Setup!$O$27+D$1)*Setup!$N$27))+$A4/1000)))</f>
        <v/>
      </c>
      <c r="E4">
        <f>IF(OR(Setup!$E$27="",Setup!$G$27="",Setup!$F$27=""),"",IF(AND(Setup!$F$27="Once",E$1&gt;0),"",IF(OR(IF(Setup!$M$27&gt;0,Setup!$G$27+(Setup!$O$27+E$1)*Setup!$M$27,EDATE(Setup!$G$27,(Setup!$O$27+E$1)*Setup!$N$27))&gt;Setup!$P$27,IF(Setup!$M$27&gt;0,Setup!$G$27+(Setup!$O$27+E$1)*Setup!$M$27,EDATE(Setup!$G$27,(Setup!$O$27+E$1)*Setup!$N$27))&lt;Setup!$D$5),"",IF(Setup!$M$27&gt;0,Setup!$G$27+(Setup!$O$27+E$1)*Setup!$M$27,EDATE(Setup!$G$27,(Setup!$O$27+E$1)*Setup!$N$27))+$A4/1000)))</f>
        <v/>
      </c>
      <c r="F4">
        <f>IF(OR(Setup!$E$27="",Setup!$G$27="",Setup!$F$27=""),"",IF(AND(Setup!$F$27="Once",F$1&gt;0),"",IF(OR(IF(Setup!$M$27&gt;0,Setup!$G$27+(Setup!$O$27+F$1)*Setup!$M$27,EDATE(Setup!$G$27,(Setup!$O$27+F$1)*Setup!$N$27))&gt;Setup!$P$27,IF(Setup!$M$27&gt;0,Setup!$G$27+(Setup!$O$27+F$1)*Setup!$M$27,EDATE(Setup!$G$27,(Setup!$O$27+F$1)*Setup!$N$27))&lt;Setup!$D$5),"",IF(Setup!$M$27&gt;0,Setup!$G$27+(Setup!$O$27+F$1)*Setup!$M$27,EDATE(Setup!$G$27,(Setup!$O$27+F$1)*Setup!$N$27))+$A4/1000)))</f>
        <v/>
      </c>
      <c r="G4">
        <f>IF(OR(Setup!$E$27="",Setup!$G$27="",Setup!$F$27=""),"",IF(AND(Setup!$F$27="Once",G$1&gt;0),"",IF(OR(IF(Setup!$M$27&gt;0,Setup!$G$27+(Setup!$O$27+G$1)*Setup!$M$27,EDATE(Setup!$G$27,(Setup!$O$27+G$1)*Setup!$N$27))&gt;Setup!$P$27,IF(Setup!$M$27&gt;0,Setup!$G$27+(Setup!$O$27+G$1)*Setup!$M$27,EDATE(Setup!$G$27,(Setup!$O$27+G$1)*Setup!$N$27))&lt;Setup!$D$5),"",IF(Setup!$M$27&gt;0,Setup!$G$27+(Setup!$O$27+G$1)*Setup!$M$27,EDATE(Setup!$G$27,(Setup!$O$27+G$1)*Setup!$N$27))+$A4/1000)))</f>
        <v/>
      </c>
      <c r="H4">
        <f>IF(OR(Setup!$E$27="",Setup!$G$27="",Setup!$F$27=""),"",IF(AND(Setup!$F$27="Once",H$1&gt;0),"",IF(OR(IF(Setup!$M$27&gt;0,Setup!$G$27+(Setup!$O$27+H$1)*Setup!$M$27,EDATE(Setup!$G$27,(Setup!$O$27+H$1)*Setup!$N$27))&gt;Setup!$P$27,IF(Setup!$M$27&gt;0,Setup!$G$27+(Setup!$O$27+H$1)*Setup!$M$27,EDATE(Setup!$G$27,(Setup!$O$27+H$1)*Setup!$N$27))&lt;Setup!$D$5),"",IF(Setup!$M$27&gt;0,Setup!$G$27+(Setup!$O$27+H$1)*Setup!$M$27,EDATE(Setup!$G$27,(Setup!$O$27+H$1)*Setup!$N$27))+$A4/1000)))</f>
        <v/>
      </c>
      <c r="I4">
        <f>IF(OR(Setup!$E$27="",Setup!$G$27="",Setup!$F$27=""),"",IF(AND(Setup!$F$27="Once",I$1&gt;0),"",IF(OR(IF(Setup!$M$27&gt;0,Setup!$G$27+(Setup!$O$27+I$1)*Setup!$M$27,EDATE(Setup!$G$27,(Setup!$O$27+I$1)*Setup!$N$27))&gt;Setup!$P$27,IF(Setup!$M$27&gt;0,Setup!$G$27+(Setup!$O$27+I$1)*Setup!$M$27,EDATE(Setup!$G$27,(Setup!$O$27+I$1)*Setup!$N$27))&lt;Setup!$D$5),"",IF(Setup!$M$27&gt;0,Setup!$G$27+(Setup!$O$27+I$1)*Setup!$M$27,EDATE(Setup!$G$27,(Setup!$O$27+I$1)*Setup!$N$27))+$A4/1000)))</f>
        <v/>
      </c>
      <c r="J4">
        <f>IF(OR(Setup!$E$27="",Setup!$G$27="",Setup!$F$27=""),"",IF(AND(Setup!$F$27="Once",J$1&gt;0),"",IF(OR(IF(Setup!$M$27&gt;0,Setup!$G$27+(Setup!$O$27+J$1)*Setup!$M$27,EDATE(Setup!$G$27,(Setup!$O$27+J$1)*Setup!$N$27))&gt;Setup!$P$27,IF(Setup!$M$27&gt;0,Setup!$G$27+(Setup!$O$27+J$1)*Setup!$M$27,EDATE(Setup!$G$27,(Setup!$O$27+J$1)*Setup!$N$27))&lt;Setup!$D$5),"",IF(Setup!$M$27&gt;0,Setup!$G$27+(Setup!$O$27+J$1)*Setup!$M$27,EDATE(Setup!$G$27,(Setup!$O$27+J$1)*Setup!$N$27))+$A4/1000)))</f>
        <v/>
      </c>
      <c r="K4">
        <f>IF(OR(Setup!$E$27="",Setup!$G$27="",Setup!$F$27=""),"",IF(AND(Setup!$F$27="Once",K$1&gt;0),"",IF(OR(IF(Setup!$M$27&gt;0,Setup!$G$27+(Setup!$O$27+K$1)*Setup!$M$27,EDATE(Setup!$G$27,(Setup!$O$27+K$1)*Setup!$N$27))&gt;Setup!$P$27,IF(Setup!$M$27&gt;0,Setup!$G$27+(Setup!$O$27+K$1)*Setup!$M$27,EDATE(Setup!$G$27,(Setup!$O$27+K$1)*Setup!$N$27))&lt;Setup!$D$5),"",IF(Setup!$M$27&gt;0,Setup!$G$27+(Setup!$O$27+K$1)*Setup!$M$27,EDATE(Setup!$G$27,(Setup!$O$27+K$1)*Setup!$N$27))+$A4/1000)))</f>
        <v/>
      </c>
      <c r="L4">
        <f>IF(OR(Setup!$E$27="",Setup!$G$27="",Setup!$F$27=""),"",IF(AND(Setup!$F$27="Once",L$1&gt;0),"",IF(OR(IF(Setup!$M$27&gt;0,Setup!$G$27+(Setup!$O$27+L$1)*Setup!$M$27,EDATE(Setup!$G$27,(Setup!$O$27+L$1)*Setup!$N$27))&gt;Setup!$P$27,IF(Setup!$M$27&gt;0,Setup!$G$27+(Setup!$O$27+L$1)*Setup!$M$27,EDATE(Setup!$G$27,(Setup!$O$27+L$1)*Setup!$N$27))&lt;Setup!$D$5),"",IF(Setup!$M$27&gt;0,Setup!$G$27+(Setup!$O$27+L$1)*Setup!$M$27,EDATE(Setup!$G$27,(Setup!$O$27+L$1)*Setup!$N$27))+$A4/1000)))</f>
        <v/>
      </c>
      <c r="M4">
        <f>IF(OR(Setup!$E$27="",Setup!$G$27="",Setup!$F$27=""),"",IF(AND(Setup!$F$27="Once",M$1&gt;0),"",IF(OR(IF(Setup!$M$27&gt;0,Setup!$G$27+(Setup!$O$27+M$1)*Setup!$M$27,EDATE(Setup!$G$27,(Setup!$O$27+M$1)*Setup!$N$27))&gt;Setup!$P$27,IF(Setup!$M$27&gt;0,Setup!$G$27+(Setup!$O$27+M$1)*Setup!$M$27,EDATE(Setup!$G$27,(Setup!$O$27+M$1)*Setup!$N$27))&lt;Setup!$D$5),"",IF(Setup!$M$27&gt;0,Setup!$G$27+(Setup!$O$27+M$1)*Setup!$M$27,EDATE(Setup!$G$27,(Setup!$O$27+M$1)*Setup!$N$27))+$A4/1000)))</f>
        <v/>
      </c>
      <c r="N4">
        <f>IF(OR(Setup!$E$27="",Setup!$G$27="",Setup!$F$27=""),"",IF(AND(Setup!$F$27="Once",N$1&gt;0),"",IF(OR(IF(Setup!$M$27&gt;0,Setup!$G$27+(Setup!$O$27+N$1)*Setup!$M$27,EDATE(Setup!$G$27,(Setup!$O$27+N$1)*Setup!$N$27))&gt;Setup!$P$27,IF(Setup!$M$27&gt;0,Setup!$G$27+(Setup!$O$27+N$1)*Setup!$M$27,EDATE(Setup!$G$27,(Setup!$O$27+N$1)*Setup!$N$27))&lt;Setup!$D$5),"",IF(Setup!$M$27&gt;0,Setup!$G$27+(Setup!$O$27+N$1)*Setup!$M$27,EDATE(Setup!$G$27,(Setup!$O$27+N$1)*Setup!$N$27))+$A4/1000)))</f>
        <v/>
      </c>
      <c r="O4">
        <f>IF(OR(Setup!$E$27="",Setup!$G$27="",Setup!$F$27=""),"",IF(AND(Setup!$F$27="Once",O$1&gt;0),"",IF(OR(IF(Setup!$M$27&gt;0,Setup!$G$27+(Setup!$O$27+O$1)*Setup!$M$27,EDATE(Setup!$G$27,(Setup!$O$27+O$1)*Setup!$N$27))&gt;Setup!$P$27,IF(Setup!$M$27&gt;0,Setup!$G$27+(Setup!$O$27+O$1)*Setup!$M$27,EDATE(Setup!$G$27,(Setup!$O$27+O$1)*Setup!$N$27))&lt;Setup!$D$5),"",IF(Setup!$M$27&gt;0,Setup!$G$27+(Setup!$O$27+O$1)*Setup!$M$27,EDATE(Setup!$G$27,(Setup!$O$27+O$1)*Setup!$N$27))+$A4/1000)))</f>
        <v/>
      </c>
      <c r="P4">
        <f>IF(OR(Setup!$E$27="",Setup!$G$27="",Setup!$F$27=""),"",IF(AND(Setup!$F$27="Once",P$1&gt;0),"",IF(OR(IF(Setup!$M$27&gt;0,Setup!$G$27+(Setup!$O$27+P$1)*Setup!$M$27,EDATE(Setup!$G$27,(Setup!$O$27+P$1)*Setup!$N$27))&gt;Setup!$P$27,IF(Setup!$M$27&gt;0,Setup!$G$27+(Setup!$O$27+P$1)*Setup!$M$27,EDATE(Setup!$G$27,(Setup!$O$27+P$1)*Setup!$N$27))&lt;Setup!$D$5),"",IF(Setup!$M$27&gt;0,Setup!$G$27+(Setup!$O$27+P$1)*Setup!$M$27,EDATE(Setup!$G$27,(Setup!$O$27+P$1)*Setup!$N$27))+$A4/1000)))</f>
        <v/>
      </c>
      <c r="Q4">
        <f>IF(OR(Setup!$E$27="",Setup!$G$27="",Setup!$F$27=""),"",IF(AND(Setup!$F$27="Once",Q$1&gt;0),"",IF(OR(IF(Setup!$M$27&gt;0,Setup!$G$27+(Setup!$O$27+Q$1)*Setup!$M$27,EDATE(Setup!$G$27,(Setup!$O$27+Q$1)*Setup!$N$27))&gt;Setup!$P$27,IF(Setup!$M$27&gt;0,Setup!$G$27+(Setup!$O$27+Q$1)*Setup!$M$27,EDATE(Setup!$G$27,(Setup!$O$27+Q$1)*Setup!$N$27))&lt;Setup!$D$5),"",IF(Setup!$M$27&gt;0,Setup!$G$27+(Setup!$O$27+Q$1)*Setup!$M$27,EDATE(Setup!$G$27,(Setup!$O$27+Q$1)*Setup!$N$27))+$A4/1000)))</f>
        <v/>
      </c>
      <c r="R4">
        <f>IF(OR(Setup!$E$27="",Setup!$G$27="",Setup!$F$27=""),"",IF(AND(Setup!$F$27="Once",R$1&gt;0),"",IF(OR(IF(Setup!$M$27&gt;0,Setup!$G$27+(Setup!$O$27+R$1)*Setup!$M$27,EDATE(Setup!$G$27,(Setup!$O$27+R$1)*Setup!$N$27))&gt;Setup!$P$27,IF(Setup!$M$27&gt;0,Setup!$G$27+(Setup!$O$27+R$1)*Setup!$M$27,EDATE(Setup!$G$27,(Setup!$O$27+R$1)*Setup!$N$27))&lt;Setup!$D$5),"",IF(Setup!$M$27&gt;0,Setup!$G$27+(Setup!$O$27+R$1)*Setup!$M$27,EDATE(Setup!$G$27,(Setup!$O$27+R$1)*Setup!$N$27))+$A4/1000)))</f>
        <v/>
      </c>
      <c r="S4">
        <f>IF(OR(Setup!$E$27="",Setup!$G$27="",Setup!$F$27=""),"",IF(AND(Setup!$F$27="Once",S$1&gt;0),"",IF(OR(IF(Setup!$M$27&gt;0,Setup!$G$27+(Setup!$O$27+S$1)*Setup!$M$27,EDATE(Setup!$G$27,(Setup!$O$27+S$1)*Setup!$N$27))&gt;Setup!$P$27,IF(Setup!$M$27&gt;0,Setup!$G$27+(Setup!$O$27+S$1)*Setup!$M$27,EDATE(Setup!$G$27,(Setup!$O$27+S$1)*Setup!$N$27))&lt;Setup!$D$5),"",IF(Setup!$M$27&gt;0,Setup!$G$27+(Setup!$O$27+S$1)*Setup!$M$27,EDATE(Setup!$G$27,(Setup!$O$27+S$1)*Setup!$N$27))+$A4/1000)))</f>
        <v/>
      </c>
      <c r="T4">
        <f>IF(OR(Setup!$E$27="",Setup!$G$27="",Setup!$F$27=""),"",IF(AND(Setup!$F$27="Once",T$1&gt;0),"",IF(OR(IF(Setup!$M$27&gt;0,Setup!$G$27+(Setup!$O$27+T$1)*Setup!$M$27,EDATE(Setup!$G$27,(Setup!$O$27+T$1)*Setup!$N$27))&gt;Setup!$P$27,IF(Setup!$M$27&gt;0,Setup!$G$27+(Setup!$O$27+T$1)*Setup!$M$27,EDATE(Setup!$G$27,(Setup!$O$27+T$1)*Setup!$N$27))&lt;Setup!$D$5),"",IF(Setup!$M$27&gt;0,Setup!$G$27+(Setup!$O$27+T$1)*Setup!$M$27,EDATE(Setup!$G$27,(Setup!$O$27+T$1)*Setup!$N$27))+$A4/1000)))</f>
        <v/>
      </c>
      <c r="U4">
        <f>IF(OR(Setup!$E$27="",Setup!$G$27="",Setup!$F$27=""),"",IF(AND(Setup!$F$27="Once",U$1&gt;0),"",IF(OR(IF(Setup!$M$27&gt;0,Setup!$G$27+(Setup!$O$27+U$1)*Setup!$M$27,EDATE(Setup!$G$27,(Setup!$O$27+U$1)*Setup!$N$27))&gt;Setup!$P$27,IF(Setup!$M$27&gt;0,Setup!$G$27+(Setup!$O$27+U$1)*Setup!$M$27,EDATE(Setup!$G$27,(Setup!$O$27+U$1)*Setup!$N$27))&lt;Setup!$D$5),"",IF(Setup!$M$27&gt;0,Setup!$G$27+(Setup!$O$27+U$1)*Setup!$M$27,EDATE(Setup!$G$27,(Setup!$O$27+U$1)*Setup!$N$27))+$A4/1000)))</f>
        <v/>
      </c>
      <c r="V4">
        <f>IF(OR(Setup!$E$27="",Setup!$G$27="",Setup!$F$27=""),"",IF(AND(Setup!$F$27="Once",V$1&gt;0),"",IF(OR(IF(Setup!$M$27&gt;0,Setup!$G$27+(Setup!$O$27+V$1)*Setup!$M$27,EDATE(Setup!$G$27,(Setup!$O$27+V$1)*Setup!$N$27))&gt;Setup!$P$27,IF(Setup!$M$27&gt;0,Setup!$G$27+(Setup!$O$27+V$1)*Setup!$M$27,EDATE(Setup!$G$27,(Setup!$O$27+V$1)*Setup!$N$27))&lt;Setup!$D$5),"",IF(Setup!$M$27&gt;0,Setup!$G$27+(Setup!$O$27+V$1)*Setup!$M$27,EDATE(Setup!$G$27,(Setup!$O$27+V$1)*Setup!$N$27))+$A4/1000)))</f>
        <v/>
      </c>
      <c r="W4">
        <f>IF(OR(Setup!$E$27="",Setup!$G$27="",Setup!$F$27=""),"",IF(AND(Setup!$F$27="Once",W$1&gt;0),"",IF(OR(IF(Setup!$M$27&gt;0,Setup!$G$27+(Setup!$O$27+W$1)*Setup!$M$27,EDATE(Setup!$G$27,(Setup!$O$27+W$1)*Setup!$N$27))&gt;Setup!$P$27,IF(Setup!$M$27&gt;0,Setup!$G$27+(Setup!$O$27+W$1)*Setup!$M$27,EDATE(Setup!$G$27,(Setup!$O$27+W$1)*Setup!$N$27))&lt;Setup!$D$5),"",IF(Setup!$M$27&gt;0,Setup!$G$27+(Setup!$O$27+W$1)*Setup!$M$27,EDATE(Setup!$G$27,(Setup!$O$27+W$1)*Setup!$N$27))+$A4/1000)))</f>
        <v/>
      </c>
      <c r="X4">
        <f>IF(OR(Setup!$E$27="",Setup!$G$27="",Setup!$F$27=""),"",IF(AND(Setup!$F$27="Once",X$1&gt;0),"",IF(OR(IF(Setup!$M$27&gt;0,Setup!$G$27+(Setup!$O$27+X$1)*Setup!$M$27,EDATE(Setup!$G$27,(Setup!$O$27+X$1)*Setup!$N$27))&gt;Setup!$P$27,IF(Setup!$M$27&gt;0,Setup!$G$27+(Setup!$O$27+X$1)*Setup!$M$27,EDATE(Setup!$G$27,(Setup!$O$27+X$1)*Setup!$N$27))&lt;Setup!$D$5),"",IF(Setup!$M$27&gt;0,Setup!$G$27+(Setup!$O$27+X$1)*Setup!$M$27,EDATE(Setup!$G$27,(Setup!$O$27+X$1)*Setup!$N$27))+$A4/1000)))</f>
        <v/>
      </c>
      <c r="Y4">
        <f>IF(OR(Setup!$E$27="",Setup!$G$27="",Setup!$F$27=""),"",IF(AND(Setup!$F$27="Once",Y$1&gt;0),"",IF(OR(IF(Setup!$M$27&gt;0,Setup!$G$27+(Setup!$O$27+Y$1)*Setup!$M$27,EDATE(Setup!$G$27,(Setup!$O$27+Y$1)*Setup!$N$27))&gt;Setup!$P$27,IF(Setup!$M$27&gt;0,Setup!$G$27+(Setup!$O$27+Y$1)*Setup!$M$27,EDATE(Setup!$G$27,(Setup!$O$27+Y$1)*Setup!$N$27))&lt;Setup!$D$5),"",IF(Setup!$M$27&gt;0,Setup!$G$27+(Setup!$O$27+Y$1)*Setup!$M$27,EDATE(Setup!$G$27,(Setup!$O$27+Y$1)*Setup!$N$27))+$A4/1000)))</f>
        <v/>
      </c>
      <c r="Z4">
        <f>IF(OR(Setup!$E$27="",Setup!$G$27="",Setup!$F$27=""),"",IF(AND(Setup!$F$27="Once",Z$1&gt;0),"",IF(OR(IF(Setup!$M$27&gt;0,Setup!$G$27+(Setup!$O$27+Z$1)*Setup!$M$27,EDATE(Setup!$G$27,(Setup!$O$27+Z$1)*Setup!$N$27))&gt;Setup!$P$27,IF(Setup!$M$27&gt;0,Setup!$G$27+(Setup!$O$27+Z$1)*Setup!$M$27,EDATE(Setup!$G$27,(Setup!$O$27+Z$1)*Setup!$N$27))&lt;Setup!$D$5),"",IF(Setup!$M$27&gt;0,Setup!$G$27+(Setup!$O$27+Z$1)*Setup!$M$27,EDATE(Setup!$G$27,(Setup!$O$27+Z$1)*Setup!$N$27))+$A4/1000)))</f>
        <v/>
      </c>
      <c r="AA4">
        <f>IF(OR(Setup!$E$27="",Setup!$G$27="",Setup!$F$27=""),"",IF(AND(Setup!$F$27="Once",AA$1&gt;0),"",IF(OR(IF(Setup!$M$27&gt;0,Setup!$G$27+(Setup!$O$27+AA$1)*Setup!$M$27,EDATE(Setup!$G$27,(Setup!$O$27+AA$1)*Setup!$N$27))&gt;Setup!$P$27,IF(Setup!$M$27&gt;0,Setup!$G$27+(Setup!$O$27+AA$1)*Setup!$M$27,EDATE(Setup!$G$27,(Setup!$O$27+AA$1)*Setup!$N$27))&lt;Setup!$D$5),"",IF(Setup!$M$27&gt;0,Setup!$G$27+(Setup!$O$27+AA$1)*Setup!$M$27,EDATE(Setup!$G$27,(Setup!$O$27+AA$1)*Setup!$N$27))+$A4/1000)))</f>
        <v/>
      </c>
      <c r="AB4">
        <f>IF(OR(Setup!$E$27="",Setup!$G$27="",Setup!$F$27=""),"",IF(AND(Setup!$F$27="Once",AB$1&gt;0),"",IF(OR(IF(Setup!$M$27&gt;0,Setup!$G$27+(Setup!$O$27+AB$1)*Setup!$M$27,EDATE(Setup!$G$27,(Setup!$O$27+AB$1)*Setup!$N$27))&gt;Setup!$P$27,IF(Setup!$M$27&gt;0,Setup!$G$27+(Setup!$O$27+AB$1)*Setup!$M$27,EDATE(Setup!$G$27,(Setup!$O$27+AB$1)*Setup!$N$27))&lt;Setup!$D$5),"",IF(Setup!$M$27&gt;0,Setup!$G$27+(Setup!$O$27+AB$1)*Setup!$M$27,EDATE(Setup!$G$27,(Setup!$O$27+AB$1)*Setup!$N$27))+$A4/1000)))</f>
        <v/>
      </c>
      <c r="AC4">
        <f>IF(OR(Setup!$E$27="",Setup!$G$27="",Setup!$F$27=""),"",IF(AND(Setup!$F$27="Once",AC$1&gt;0),"",IF(OR(IF(Setup!$M$27&gt;0,Setup!$G$27+(Setup!$O$27+AC$1)*Setup!$M$27,EDATE(Setup!$G$27,(Setup!$O$27+AC$1)*Setup!$N$27))&gt;Setup!$P$27,IF(Setup!$M$27&gt;0,Setup!$G$27+(Setup!$O$27+AC$1)*Setup!$M$27,EDATE(Setup!$G$27,(Setup!$O$27+AC$1)*Setup!$N$27))&lt;Setup!$D$5),"",IF(Setup!$M$27&gt;0,Setup!$G$27+(Setup!$O$27+AC$1)*Setup!$M$27,EDATE(Setup!$G$27,(Setup!$O$27+AC$1)*Setup!$N$27))+$A4/1000)))</f>
        <v/>
      </c>
      <c r="AD4">
        <f>IF(OR(Setup!$E$27="",Setup!$G$27="",Setup!$F$27=""),"",IF(AND(Setup!$F$27="Once",AD$1&gt;0),"",IF(OR(IF(Setup!$M$27&gt;0,Setup!$G$27+(Setup!$O$27+AD$1)*Setup!$M$27,EDATE(Setup!$G$27,(Setup!$O$27+AD$1)*Setup!$N$27))&gt;Setup!$P$27,IF(Setup!$M$27&gt;0,Setup!$G$27+(Setup!$O$27+AD$1)*Setup!$M$27,EDATE(Setup!$G$27,(Setup!$O$27+AD$1)*Setup!$N$27))&lt;Setup!$D$5),"",IF(Setup!$M$27&gt;0,Setup!$G$27+(Setup!$O$27+AD$1)*Setup!$M$27,EDATE(Setup!$G$27,(Setup!$O$27+AD$1)*Setup!$N$27))+$A4/1000)))</f>
        <v/>
      </c>
      <c r="AE4">
        <f>IF(OR(Setup!$E$27="",Setup!$G$27="",Setup!$F$27=""),"",IF(AND(Setup!$F$27="Once",AE$1&gt;0),"",IF(OR(IF(Setup!$M$27&gt;0,Setup!$G$27+(Setup!$O$27+AE$1)*Setup!$M$27,EDATE(Setup!$G$27,(Setup!$O$27+AE$1)*Setup!$N$27))&gt;Setup!$P$27,IF(Setup!$M$27&gt;0,Setup!$G$27+(Setup!$O$27+AE$1)*Setup!$M$27,EDATE(Setup!$G$27,(Setup!$O$27+AE$1)*Setup!$N$27))&lt;Setup!$D$5),"",IF(Setup!$M$27&gt;0,Setup!$G$27+(Setup!$O$27+AE$1)*Setup!$M$27,EDATE(Setup!$G$27,(Setup!$O$27+AE$1)*Setup!$N$27))+$A4/1000)))</f>
        <v/>
      </c>
      <c r="AF4">
        <f>IF(OR(Setup!$E$27="",Setup!$G$27="",Setup!$F$27=""),"",IF(AND(Setup!$F$27="Once",AF$1&gt;0),"",IF(OR(IF(Setup!$M$27&gt;0,Setup!$G$27+(Setup!$O$27+AF$1)*Setup!$M$27,EDATE(Setup!$G$27,(Setup!$O$27+AF$1)*Setup!$N$27))&gt;Setup!$P$27,IF(Setup!$M$27&gt;0,Setup!$G$27+(Setup!$O$27+AF$1)*Setup!$M$27,EDATE(Setup!$G$27,(Setup!$O$27+AF$1)*Setup!$N$27))&lt;Setup!$D$5),"",IF(Setup!$M$27&gt;0,Setup!$G$27+(Setup!$O$27+AF$1)*Setup!$M$27,EDATE(Setup!$G$27,(Setup!$O$27+AF$1)*Setup!$N$27))+$A4/1000)))</f>
        <v/>
      </c>
      <c r="AG4">
        <f>IF(OR(Setup!$E$27="",Setup!$G$27="",Setup!$F$27=""),"",IF(AND(Setup!$F$27="Once",AG$1&gt;0),"",IF(OR(IF(Setup!$M$27&gt;0,Setup!$G$27+(Setup!$O$27+AG$1)*Setup!$M$27,EDATE(Setup!$G$27,(Setup!$O$27+AG$1)*Setup!$N$27))&gt;Setup!$P$27,IF(Setup!$M$27&gt;0,Setup!$G$27+(Setup!$O$27+AG$1)*Setup!$M$27,EDATE(Setup!$G$27,(Setup!$O$27+AG$1)*Setup!$N$27))&lt;Setup!$D$5),"",IF(Setup!$M$27&gt;0,Setup!$G$27+(Setup!$O$27+AG$1)*Setup!$M$27,EDATE(Setup!$G$27,(Setup!$O$27+AG$1)*Setup!$N$27))+$A4/1000)))</f>
        <v/>
      </c>
      <c r="AH4">
        <f>IF(OR(Setup!$E$27="",Setup!$G$27="",Setup!$F$27=""),"",IF(AND(Setup!$F$27="Once",AH$1&gt;0),"",IF(OR(IF(Setup!$M$27&gt;0,Setup!$G$27+(Setup!$O$27+AH$1)*Setup!$M$27,EDATE(Setup!$G$27,(Setup!$O$27+AH$1)*Setup!$N$27))&gt;Setup!$P$27,IF(Setup!$M$27&gt;0,Setup!$G$27+(Setup!$O$27+AH$1)*Setup!$M$27,EDATE(Setup!$G$27,(Setup!$O$27+AH$1)*Setup!$N$27))&lt;Setup!$D$5),"",IF(Setup!$M$27&gt;0,Setup!$G$27+(Setup!$O$27+AH$1)*Setup!$M$27,EDATE(Setup!$G$27,(Setup!$O$27+AH$1)*Setup!$N$27))+$A4/1000)))</f>
        <v/>
      </c>
      <c r="AI4">
        <f>IF(OR(Setup!$E$27="",Setup!$G$27="",Setup!$F$27=""),"",IF(AND(Setup!$F$27="Once",AI$1&gt;0),"",IF(OR(IF(Setup!$M$27&gt;0,Setup!$G$27+(Setup!$O$27+AI$1)*Setup!$M$27,EDATE(Setup!$G$27,(Setup!$O$27+AI$1)*Setup!$N$27))&gt;Setup!$P$27,IF(Setup!$M$27&gt;0,Setup!$G$27+(Setup!$O$27+AI$1)*Setup!$M$27,EDATE(Setup!$G$27,(Setup!$O$27+AI$1)*Setup!$N$27))&lt;Setup!$D$5),"",IF(Setup!$M$27&gt;0,Setup!$G$27+(Setup!$O$27+AI$1)*Setup!$M$27,EDATE(Setup!$G$27,(Setup!$O$27+AI$1)*Setup!$N$27))+$A4/1000)))</f>
        <v/>
      </c>
      <c r="AJ4">
        <f>IF(OR(Setup!$E$27="",Setup!$G$27="",Setup!$F$27=""),"",IF(AND(Setup!$F$27="Once",AJ$1&gt;0),"",IF(OR(IF(Setup!$M$27&gt;0,Setup!$G$27+(Setup!$O$27+AJ$1)*Setup!$M$27,EDATE(Setup!$G$27,(Setup!$O$27+AJ$1)*Setup!$N$27))&gt;Setup!$P$27,IF(Setup!$M$27&gt;0,Setup!$G$27+(Setup!$O$27+AJ$1)*Setup!$M$27,EDATE(Setup!$G$27,(Setup!$O$27+AJ$1)*Setup!$N$27))&lt;Setup!$D$5),"",IF(Setup!$M$27&gt;0,Setup!$G$27+(Setup!$O$27+AJ$1)*Setup!$M$27,EDATE(Setup!$G$27,(Setup!$O$27+AJ$1)*Setup!$N$27))+$A4/1000)))</f>
        <v/>
      </c>
      <c r="AK4">
        <f>IF(OR(Setup!$E$27="",Setup!$G$27="",Setup!$F$27=""),"",IF(AND(Setup!$F$27="Once",AK$1&gt;0),"",IF(OR(IF(Setup!$M$27&gt;0,Setup!$G$27+(Setup!$O$27+AK$1)*Setup!$M$27,EDATE(Setup!$G$27,(Setup!$O$27+AK$1)*Setup!$N$27))&gt;Setup!$P$27,IF(Setup!$M$27&gt;0,Setup!$G$27+(Setup!$O$27+AK$1)*Setup!$M$27,EDATE(Setup!$G$27,(Setup!$O$27+AK$1)*Setup!$N$27))&lt;Setup!$D$5),"",IF(Setup!$M$27&gt;0,Setup!$G$27+(Setup!$O$27+AK$1)*Setup!$M$27,EDATE(Setup!$G$27,(Setup!$O$27+AK$1)*Setup!$N$27))+$A4/1000)))</f>
        <v/>
      </c>
      <c r="AL4">
        <f>IF(OR(Setup!$E$27="",Setup!$G$27="",Setup!$F$27=""),"",IF(AND(Setup!$F$27="Once",AL$1&gt;0),"",IF(OR(IF(Setup!$M$27&gt;0,Setup!$G$27+(Setup!$O$27+AL$1)*Setup!$M$27,EDATE(Setup!$G$27,(Setup!$O$27+AL$1)*Setup!$N$27))&gt;Setup!$P$27,IF(Setup!$M$27&gt;0,Setup!$G$27+(Setup!$O$27+AL$1)*Setup!$M$27,EDATE(Setup!$G$27,(Setup!$O$27+AL$1)*Setup!$N$27))&lt;Setup!$D$5),"",IF(Setup!$M$27&gt;0,Setup!$G$27+(Setup!$O$27+AL$1)*Setup!$M$27,EDATE(Setup!$G$27,(Setup!$O$27+AL$1)*Setup!$N$27))+$A4/1000)))</f>
        <v/>
      </c>
      <c r="AM4">
        <f>IF(OR(Setup!$E$27="",Setup!$G$27="",Setup!$F$27=""),"",IF(AND(Setup!$F$27="Once",AM$1&gt;0),"",IF(OR(IF(Setup!$M$27&gt;0,Setup!$G$27+(Setup!$O$27+AM$1)*Setup!$M$27,EDATE(Setup!$G$27,(Setup!$O$27+AM$1)*Setup!$N$27))&gt;Setup!$P$27,IF(Setup!$M$27&gt;0,Setup!$G$27+(Setup!$O$27+AM$1)*Setup!$M$27,EDATE(Setup!$G$27,(Setup!$O$27+AM$1)*Setup!$N$27))&lt;Setup!$D$5),"",IF(Setup!$M$27&gt;0,Setup!$G$27+(Setup!$O$27+AM$1)*Setup!$M$27,EDATE(Setup!$G$27,(Setup!$O$27+AM$1)*Setup!$N$27))+$A4/1000)))</f>
        <v/>
      </c>
      <c r="AN4">
        <f>IF(OR(Setup!$E$27="",Setup!$G$27="",Setup!$F$27=""),"",IF(AND(Setup!$F$27="Once",AN$1&gt;0),"",IF(OR(IF(Setup!$M$27&gt;0,Setup!$G$27+(Setup!$O$27+AN$1)*Setup!$M$27,EDATE(Setup!$G$27,(Setup!$O$27+AN$1)*Setup!$N$27))&gt;Setup!$P$27,IF(Setup!$M$27&gt;0,Setup!$G$27+(Setup!$O$27+AN$1)*Setup!$M$27,EDATE(Setup!$G$27,(Setup!$O$27+AN$1)*Setup!$N$27))&lt;Setup!$D$5),"",IF(Setup!$M$27&gt;0,Setup!$G$27+(Setup!$O$27+AN$1)*Setup!$M$27,EDATE(Setup!$G$27,(Setup!$O$27+AN$1)*Setup!$N$27))+$A4/1000)))</f>
        <v/>
      </c>
      <c r="AO4">
        <f>IF(OR(Setup!$E$27="",Setup!$G$27="",Setup!$F$27=""),"",IF(AND(Setup!$F$27="Once",AO$1&gt;0),"",IF(OR(IF(Setup!$M$27&gt;0,Setup!$G$27+(Setup!$O$27+AO$1)*Setup!$M$27,EDATE(Setup!$G$27,(Setup!$O$27+AO$1)*Setup!$N$27))&gt;Setup!$P$27,IF(Setup!$M$27&gt;0,Setup!$G$27+(Setup!$O$27+AO$1)*Setup!$M$27,EDATE(Setup!$G$27,(Setup!$O$27+AO$1)*Setup!$N$27))&lt;Setup!$D$5),"",IF(Setup!$M$27&gt;0,Setup!$G$27+(Setup!$O$27+AO$1)*Setup!$M$27,EDATE(Setup!$G$27,(Setup!$O$27+AO$1)*Setup!$N$27))+$A4/1000)))</f>
        <v/>
      </c>
      <c r="AP4">
        <f>IF(OR(Setup!$E$27="",Setup!$G$27="",Setup!$F$27=""),"",IF(AND(Setup!$F$27="Once",AP$1&gt;0),"",IF(OR(IF(Setup!$M$27&gt;0,Setup!$G$27+(Setup!$O$27+AP$1)*Setup!$M$27,EDATE(Setup!$G$27,(Setup!$O$27+AP$1)*Setup!$N$27))&gt;Setup!$P$27,IF(Setup!$M$27&gt;0,Setup!$G$27+(Setup!$O$27+AP$1)*Setup!$M$27,EDATE(Setup!$G$27,(Setup!$O$27+AP$1)*Setup!$N$27))&lt;Setup!$D$5),"",IF(Setup!$M$27&gt;0,Setup!$G$27+(Setup!$O$27+AP$1)*Setup!$M$27,EDATE(Setup!$G$27,(Setup!$O$27+AP$1)*Setup!$N$27))+$A4/1000)))</f>
        <v/>
      </c>
      <c r="AQ4">
        <f>IF(OR(Setup!$E$27="",Setup!$G$27="",Setup!$F$27=""),"",IF(AND(Setup!$F$27="Once",AQ$1&gt;0),"",IF(OR(IF(Setup!$M$27&gt;0,Setup!$G$27+(Setup!$O$27+AQ$1)*Setup!$M$27,EDATE(Setup!$G$27,(Setup!$O$27+AQ$1)*Setup!$N$27))&gt;Setup!$P$27,IF(Setup!$M$27&gt;0,Setup!$G$27+(Setup!$O$27+AQ$1)*Setup!$M$27,EDATE(Setup!$G$27,(Setup!$O$27+AQ$1)*Setup!$N$27))&lt;Setup!$D$5),"",IF(Setup!$M$27&gt;0,Setup!$G$27+(Setup!$O$27+AQ$1)*Setup!$M$27,EDATE(Setup!$G$27,(Setup!$O$27+AQ$1)*Setup!$N$27))+$A4/1000)))</f>
        <v/>
      </c>
      <c r="AR4">
        <f>IF(OR(Setup!$E$27="",Setup!$G$27="",Setup!$F$27=""),"",IF(AND(Setup!$F$27="Once",AR$1&gt;0),"",IF(OR(IF(Setup!$M$27&gt;0,Setup!$G$27+(Setup!$O$27+AR$1)*Setup!$M$27,EDATE(Setup!$G$27,(Setup!$O$27+AR$1)*Setup!$N$27))&gt;Setup!$P$27,IF(Setup!$M$27&gt;0,Setup!$G$27+(Setup!$O$27+AR$1)*Setup!$M$27,EDATE(Setup!$G$27,(Setup!$O$27+AR$1)*Setup!$N$27))&lt;Setup!$D$5),"",IF(Setup!$M$27&gt;0,Setup!$G$27+(Setup!$O$27+AR$1)*Setup!$M$27,EDATE(Setup!$G$27,(Setup!$O$27+AR$1)*Setup!$N$27))+$A4/1000)))</f>
        <v/>
      </c>
      <c r="AS4">
        <f>IF(OR(Setup!$E$27="",Setup!$G$27="",Setup!$F$27=""),"",IF(AND(Setup!$F$27="Once",AS$1&gt;0),"",IF(OR(IF(Setup!$M$27&gt;0,Setup!$G$27+(Setup!$O$27+AS$1)*Setup!$M$27,EDATE(Setup!$G$27,(Setup!$O$27+AS$1)*Setup!$N$27))&gt;Setup!$P$27,IF(Setup!$M$27&gt;0,Setup!$G$27+(Setup!$O$27+AS$1)*Setup!$M$27,EDATE(Setup!$G$27,(Setup!$O$27+AS$1)*Setup!$N$27))&lt;Setup!$D$5),"",IF(Setup!$M$27&gt;0,Setup!$G$27+(Setup!$O$27+AS$1)*Setup!$M$27,EDATE(Setup!$G$27,(Setup!$O$27+AS$1)*Setup!$N$27))+$A4/1000)))</f>
        <v/>
      </c>
      <c r="AT4">
        <f>IF(OR(Setup!$E$27="",Setup!$G$27="",Setup!$F$27=""),"",IF(AND(Setup!$F$27="Once",AT$1&gt;0),"",IF(OR(IF(Setup!$M$27&gt;0,Setup!$G$27+(Setup!$O$27+AT$1)*Setup!$M$27,EDATE(Setup!$G$27,(Setup!$O$27+AT$1)*Setup!$N$27))&gt;Setup!$P$27,IF(Setup!$M$27&gt;0,Setup!$G$27+(Setup!$O$27+AT$1)*Setup!$M$27,EDATE(Setup!$G$27,(Setup!$O$27+AT$1)*Setup!$N$27))&lt;Setup!$D$5),"",IF(Setup!$M$27&gt;0,Setup!$G$27+(Setup!$O$27+AT$1)*Setup!$M$27,EDATE(Setup!$G$27,(Setup!$O$27+AT$1)*Setup!$N$27))+$A4/1000)))</f>
        <v/>
      </c>
      <c r="AU4">
        <f>IF(OR(Setup!$E$27="",Setup!$G$27="",Setup!$F$27=""),"",IF(AND(Setup!$F$27="Once",AU$1&gt;0),"",IF(OR(IF(Setup!$M$27&gt;0,Setup!$G$27+(Setup!$O$27+AU$1)*Setup!$M$27,EDATE(Setup!$G$27,(Setup!$O$27+AU$1)*Setup!$N$27))&gt;Setup!$P$27,IF(Setup!$M$27&gt;0,Setup!$G$27+(Setup!$O$27+AU$1)*Setup!$M$27,EDATE(Setup!$G$27,(Setup!$O$27+AU$1)*Setup!$N$27))&lt;Setup!$D$5),"",IF(Setup!$M$27&gt;0,Setup!$G$27+(Setup!$O$27+AU$1)*Setup!$M$27,EDATE(Setup!$G$27,(Setup!$O$27+AU$1)*Setup!$N$27))+$A4/1000)))</f>
        <v/>
      </c>
      <c r="AV4">
        <f>IF(OR(Setup!$E$27="",Setup!$G$27="",Setup!$F$27=""),"",IF(AND(Setup!$F$27="Once",AV$1&gt;0),"",IF(OR(IF(Setup!$M$27&gt;0,Setup!$G$27+(Setup!$O$27+AV$1)*Setup!$M$27,EDATE(Setup!$G$27,(Setup!$O$27+AV$1)*Setup!$N$27))&gt;Setup!$P$27,IF(Setup!$M$27&gt;0,Setup!$G$27+(Setup!$O$27+AV$1)*Setup!$M$27,EDATE(Setup!$G$27,(Setup!$O$27+AV$1)*Setup!$N$27))&lt;Setup!$D$5),"",IF(Setup!$M$27&gt;0,Setup!$G$27+(Setup!$O$27+AV$1)*Setup!$M$27,EDATE(Setup!$G$27,(Setup!$O$27+AV$1)*Setup!$N$27))+$A4/1000)))</f>
        <v/>
      </c>
      <c r="AW4">
        <f>IF(OR(Setup!$E$27="",Setup!$G$27="",Setup!$F$27=""),"",IF(AND(Setup!$F$27="Once",AW$1&gt;0),"",IF(OR(IF(Setup!$M$27&gt;0,Setup!$G$27+(Setup!$O$27+AW$1)*Setup!$M$27,EDATE(Setup!$G$27,(Setup!$O$27+AW$1)*Setup!$N$27))&gt;Setup!$P$27,IF(Setup!$M$27&gt;0,Setup!$G$27+(Setup!$O$27+AW$1)*Setup!$M$27,EDATE(Setup!$G$27,(Setup!$O$27+AW$1)*Setup!$N$27))&lt;Setup!$D$5),"",IF(Setup!$M$27&gt;0,Setup!$G$27+(Setup!$O$27+AW$1)*Setup!$M$27,EDATE(Setup!$G$27,(Setup!$O$27+AW$1)*Setup!$N$27))+$A4/1000)))</f>
        <v/>
      </c>
      <c r="AX4">
        <f>IF(OR(Setup!$E$27="",Setup!$G$27="",Setup!$F$27=""),"",IF(AND(Setup!$F$27="Once",AX$1&gt;0),"",IF(OR(IF(Setup!$M$27&gt;0,Setup!$G$27+(Setup!$O$27+AX$1)*Setup!$M$27,EDATE(Setup!$G$27,(Setup!$O$27+AX$1)*Setup!$N$27))&gt;Setup!$P$27,IF(Setup!$M$27&gt;0,Setup!$G$27+(Setup!$O$27+AX$1)*Setup!$M$27,EDATE(Setup!$G$27,(Setup!$O$27+AX$1)*Setup!$N$27))&lt;Setup!$D$5),"",IF(Setup!$M$27&gt;0,Setup!$G$27+(Setup!$O$27+AX$1)*Setup!$M$27,EDATE(Setup!$G$27,(Setup!$O$27+AX$1)*Setup!$N$27))+$A4/1000)))</f>
        <v/>
      </c>
      <c r="AY4">
        <f>IF(OR(Setup!$E$27="",Setup!$G$27="",Setup!$F$27=""),"",IF(AND(Setup!$F$27="Once",AY$1&gt;0),"",IF(OR(IF(Setup!$M$27&gt;0,Setup!$G$27+(Setup!$O$27+AY$1)*Setup!$M$27,EDATE(Setup!$G$27,(Setup!$O$27+AY$1)*Setup!$N$27))&gt;Setup!$P$27,IF(Setup!$M$27&gt;0,Setup!$G$27+(Setup!$O$27+AY$1)*Setup!$M$27,EDATE(Setup!$G$27,(Setup!$O$27+AY$1)*Setup!$N$27))&lt;Setup!$D$5),"",IF(Setup!$M$27&gt;0,Setup!$G$27+(Setup!$O$27+AY$1)*Setup!$M$27,EDATE(Setup!$G$27,(Setup!$O$27+AY$1)*Setup!$N$27))+$A4/1000)))</f>
        <v/>
      </c>
      <c r="AZ4">
        <f>IF(OR(Setup!$E$27="",Setup!$G$27="",Setup!$F$27=""),"",IF(AND(Setup!$F$27="Once",AZ$1&gt;0),"",IF(OR(IF(Setup!$M$27&gt;0,Setup!$G$27+(Setup!$O$27+AZ$1)*Setup!$M$27,EDATE(Setup!$G$27,(Setup!$O$27+AZ$1)*Setup!$N$27))&gt;Setup!$P$27,IF(Setup!$M$27&gt;0,Setup!$G$27+(Setup!$O$27+AZ$1)*Setup!$M$27,EDATE(Setup!$G$27,(Setup!$O$27+AZ$1)*Setup!$N$27))&lt;Setup!$D$5),"",IF(Setup!$M$27&gt;0,Setup!$G$27+(Setup!$O$27+AZ$1)*Setup!$M$27,EDATE(Setup!$G$27,(Setup!$O$27+AZ$1)*Setup!$N$27))+$A4/1000)))</f>
        <v/>
      </c>
      <c r="BA4">
        <f>IF(OR(Setup!$E$27="",Setup!$G$27="",Setup!$F$27=""),"",IF(AND(Setup!$F$27="Once",BA$1&gt;0),"",IF(OR(IF(Setup!$M$27&gt;0,Setup!$G$27+(Setup!$O$27+BA$1)*Setup!$M$27,EDATE(Setup!$G$27,(Setup!$O$27+BA$1)*Setup!$N$27))&gt;Setup!$P$27,IF(Setup!$M$27&gt;0,Setup!$G$27+(Setup!$O$27+BA$1)*Setup!$M$27,EDATE(Setup!$G$27,(Setup!$O$27+BA$1)*Setup!$N$27))&lt;Setup!$D$5),"",IF(Setup!$M$27&gt;0,Setup!$G$27+(Setup!$O$27+BA$1)*Setup!$M$27,EDATE(Setup!$G$27,(Setup!$O$27+BA$1)*Setup!$N$27))+$A4/1000)))</f>
        <v/>
      </c>
      <c r="BB4">
        <f>IF(OR(Setup!$E$27="",Setup!$G$27="",Setup!$F$27=""),"",IF(AND(Setup!$F$27="Once",BB$1&gt;0),"",IF(OR(IF(Setup!$M$27&gt;0,Setup!$G$27+(Setup!$O$27+BB$1)*Setup!$M$27,EDATE(Setup!$G$27,(Setup!$O$27+BB$1)*Setup!$N$27))&gt;Setup!$P$27,IF(Setup!$M$27&gt;0,Setup!$G$27+(Setup!$O$27+BB$1)*Setup!$M$27,EDATE(Setup!$G$27,(Setup!$O$27+BB$1)*Setup!$N$27))&lt;Setup!$D$5),"",IF(Setup!$M$27&gt;0,Setup!$G$27+(Setup!$O$27+BB$1)*Setup!$M$27,EDATE(Setup!$G$27,(Setup!$O$27+BB$1)*Setup!$N$27))+$A4/1000)))</f>
        <v/>
      </c>
    </row>
    <row r="5">
      <c r="A5" t="n">
        <v>4</v>
      </c>
      <c r="B5">
        <f>IF(OR(Setup!$E$28="",Setup!$G$28="",Setup!$F$28=""),"",IF(AND(Setup!$F$28="Once",B$1&gt;0),"",IF(OR(IF(Setup!$M$28&gt;0,Setup!$G$28+(Setup!$O$28+B$1)*Setup!$M$28,EDATE(Setup!$G$28,(Setup!$O$28+B$1)*Setup!$N$28))&gt;Setup!$P$28,IF(Setup!$M$28&gt;0,Setup!$G$28+(Setup!$O$28+B$1)*Setup!$M$28,EDATE(Setup!$G$28,(Setup!$O$28+B$1)*Setup!$N$28))&lt;Setup!$D$5),"",IF(Setup!$M$28&gt;0,Setup!$G$28+(Setup!$O$28+B$1)*Setup!$M$28,EDATE(Setup!$G$28,(Setup!$O$28+B$1)*Setup!$N$28))+$A5/1000)))</f>
        <v/>
      </c>
      <c r="C5">
        <f>IF(OR(Setup!$E$28="",Setup!$G$28="",Setup!$F$28=""),"",IF(AND(Setup!$F$28="Once",C$1&gt;0),"",IF(OR(IF(Setup!$M$28&gt;0,Setup!$G$28+(Setup!$O$28+C$1)*Setup!$M$28,EDATE(Setup!$G$28,(Setup!$O$28+C$1)*Setup!$N$28))&gt;Setup!$P$28,IF(Setup!$M$28&gt;0,Setup!$G$28+(Setup!$O$28+C$1)*Setup!$M$28,EDATE(Setup!$G$28,(Setup!$O$28+C$1)*Setup!$N$28))&lt;Setup!$D$5),"",IF(Setup!$M$28&gt;0,Setup!$G$28+(Setup!$O$28+C$1)*Setup!$M$28,EDATE(Setup!$G$28,(Setup!$O$28+C$1)*Setup!$N$28))+$A5/1000)))</f>
        <v/>
      </c>
      <c r="D5">
        <f>IF(OR(Setup!$E$28="",Setup!$G$28="",Setup!$F$28=""),"",IF(AND(Setup!$F$28="Once",D$1&gt;0),"",IF(OR(IF(Setup!$M$28&gt;0,Setup!$G$28+(Setup!$O$28+D$1)*Setup!$M$28,EDATE(Setup!$G$28,(Setup!$O$28+D$1)*Setup!$N$28))&gt;Setup!$P$28,IF(Setup!$M$28&gt;0,Setup!$G$28+(Setup!$O$28+D$1)*Setup!$M$28,EDATE(Setup!$G$28,(Setup!$O$28+D$1)*Setup!$N$28))&lt;Setup!$D$5),"",IF(Setup!$M$28&gt;0,Setup!$G$28+(Setup!$O$28+D$1)*Setup!$M$28,EDATE(Setup!$G$28,(Setup!$O$28+D$1)*Setup!$N$28))+$A5/1000)))</f>
        <v/>
      </c>
      <c r="E5">
        <f>IF(OR(Setup!$E$28="",Setup!$G$28="",Setup!$F$28=""),"",IF(AND(Setup!$F$28="Once",E$1&gt;0),"",IF(OR(IF(Setup!$M$28&gt;0,Setup!$G$28+(Setup!$O$28+E$1)*Setup!$M$28,EDATE(Setup!$G$28,(Setup!$O$28+E$1)*Setup!$N$28))&gt;Setup!$P$28,IF(Setup!$M$28&gt;0,Setup!$G$28+(Setup!$O$28+E$1)*Setup!$M$28,EDATE(Setup!$G$28,(Setup!$O$28+E$1)*Setup!$N$28))&lt;Setup!$D$5),"",IF(Setup!$M$28&gt;0,Setup!$G$28+(Setup!$O$28+E$1)*Setup!$M$28,EDATE(Setup!$G$28,(Setup!$O$28+E$1)*Setup!$N$28))+$A5/1000)))</f>
        <v/>
      </c>
      <c r="F5">
        <f>IF(OR(Setup!$E$28="",Setup!$G$28="",Setup!$F$28=""),"",IF(AND(Setup!$F$28="Once",F$1&gt;0),"",IF(OR(IF(Setup!$M$28&gt;0,Setup!$G$28+(Setup!$O$28+F$1)*Setup!$M$28,EDATE(Setup!$G$28,(Setup!$O$28+F$1)*Setup!$N$28))&gt;Setup!$P$28,IF(Setup!$M$28&gt;0,Setup!$G$28+(Setup!$O$28+F$1)*Setup!$M$28,EDATE(Setup!$G$28,(Setup!$O$28+F$1)*Setup!$N$28))&lt;Setup!$D$5),"",IF(Setup!$M$28&gt;0,Setup!$G$28+(Setup!$O$28+F$1)*Setup!$M$28,EDATE(Setup!$G$28,(Setup!$O$28+F$1)*Setup!$N$28))+$A5/1000)))</f>
        <v/>
      </c>
      <c r="G5">
        <f>IF(OR(Setup!$E$28="",Setup!$G$28="",Setup!$F$28=""),"",IF(AND(Setup!$F$28="Once",G$1&gt;0),"",IF(OR(IF(Setup!$M$28&gt;0,Setup!$G$28+(Setup!$O$28+G$1)*Setup!$M$28,EDATE(Setup!$G$28,(Setup!$O$28+G$1)*Setup!$N$28))&gt;Setup!$P$28,IF(Setup!$M$28&gt;0,Setup!$G$28+(Setup!$O$28+G$1)*Setup!$M$28,EDATE(Setup!$G$28,(Setup!$O$28+G$1)*Setup!$N$28))&lt;Setup!$D$5),"",IF(Setup!$M$28&gt;0,Setup!$G$28+(Setup!$O$28+G$1)*Setup!$M$28,EDATE(Setup!$G$28,(Setup!$O$28+G$1)*Setup!$N$28))+$A5/1000)))</f>
        <v/>
      </c>
      <c r="H5">
        <f>IF(OR(Setup!$E$28="",Setup!$G$28="",Setup!$F$28=""),"",IF(AND(Setup!$F$28="Once",H$1&gt;0),"",IF(OR(IF(Setup!$M$28&gt;0,Setup!$G$28+(Setup!$O$28+H$1)*Setup!$M$28,EDATE(Setup!$G$28,(Setup!$O$28+H$1)*Setup!$N$28))&gt;Setup!$P$28,IF(Setup!$M$28&gt;0,Setup!$G$28+(Setup!$O$28+H$1)*Setup!$M$28,EDATE(Setup!$G$28,(Setup!$O$28+H$1)*Setup!$N$28))&lt;Setup!$D$5),"",IF(Setup!$M$28&gt;0,Setup!$G$28+(Setup!$O$28+H$1)*Setup!$M$28,EDATE(Setup!$G$28,(Setup!$O$28+H$1)*Setup!$N$28))+$A5/1000)))</f>
        <v/>
      </c>
      <c r="I5">
        <f>IF(OR(Setup!$E$28="",Setup!$G$28="",Setup!$F$28=""),"",IF(AND(Setup!$F$28="Once",I$1&gt;0),"",IF(OR(IF(Setup!$M$28&gt;0,Setup!$G$28+(Setup!$O$28+I$1)*Setup!$M$28,EDATE(Setup!$G$28,(Setup!$O$28+I$1)*Setup!$N$28))&gt;Setup!$P$28,IF(Setup!$M$28&gt;0,Setup!$G$28+(Setup!$O$28+I$1)*Setup!$M$28,EDATE(Setup!$G$28,(Setup!$O$28+I$1)*Setup!$N$28))&lt;Setup!$D$5),"",IF(Setup!$M$28&gt;0,Setup!$G$28+(Setup!$O$28+I$1)*Setup!$M$28,EDATE(Setup!$G$28,(Setup!$O$28+I$1)*Setup!$N$28))+$A5/1000)))</f>
        <v/>
      </c>
      <c r="J5">
        <f>IF(OR(Setup!$E$28="",Setup!$G$28="",Setup!$F$28=""),"",IF(AND(Setup!$F$28="Once",J$1&gt;0),"",IF(OR(IF(Setup!$M$28&gt;0,Setup!$G$28+(Setup!$O$28+J$1)*Setup!$M$28,EDATE(Setup!$G$28,(Setup!$O$28+J$1)*Setup!$N$28))&gt;Setup!$P$28,IF(Setup!$M$28&gt;0,Setup!$G$28+(Setup!$O$28+J$1)*Setup!$M$28,EDATE(Setup!$G$28,(Setup!$O$28+J$1)*Setup!$N$28))&lt;Setup!$D$5),"",IF(Setup!$M$28&gt;0,Setup!$G$28+(Setup!$O$28+J$1)*Setup!$M$28,EDATE(Setup!$G$28,(Setup!$O$28+J$1)*Setup!$N$28))+$A5/1000)))</f>
        <v/>
      </c>
      <c r="K5">
        <f>IF(OR(Setup!$E$28="",Setup!$G$28="",Setup!$F$28=""),"",IF(AND(Setup!$F$28="Once",K$1&gt;0),"",IF(OR(IF(Setup!$M$28&gt;0,Setup!$G$28+(Setup!$O$28+K$1)*Setup!$M$28,EDATE(Setup!$G$28,(Setup!$O$28+K$1)*Setup!$N$28))&gt;Setup!$P$28,IF(Setup!$M$28&gt;0,Setup!$G$28+(Setup!$O$28+K$1)*Setup!$M$28,EDATE(Setup!$G$28,(Setup!$O$28+K$1)*Setup!$N$28))&lt;Setup!$D$5),"",IF(Setup!$M$28&gt;0,Setup!$G$28+(Setup!$O$28+K$1)*Setup!$M$28,EDATE(Setup!$G$28,(Setup!$O$28+K$1)*Setup!$N$28))+$A5/1000)))</f>
        <v/>
      </c>
      <c r="L5">
        <f>IF(OR(Setup!$E$28="",Setup!$G$28="",Setup!$F$28=""),"",IF(AND(Setup!$F$28="Once",L$1&gt;0),"",IF(OR(IF(Setup!$M$28&gt;0,Setup!$G$28+(Setup!$O$28+L$1)*Setup!$M$28,EDATE(Setup!$G$28,(Setup!$O$28+L$1)*Setup!$N$28))&gt;Setup!$P$28,IF(Setup!$M$28&gt;0,Setup!$G$28+(Setup!$O$28+L$1)*Setup!$M$28,EDATE(Setup!$G$28,(Setup!$O$28+L$1)*Setup!$N$28))&lt;Setup!$D$5),"",IF(Setup!$M$28&gt;0,Setup!$G$28+(Setup!$O$28+L$1)*Setup!$M$28,EDATE(Setup!$G$28,(Setup!$O$28+L$1)*Setup!$N$28))+$A5/1000)))</f>
        <v/>
      </c>
      <c r="M5">
        <f>IF(OR(Setup!$E$28="",Setup!$G$28="",Setup!$F$28=""),"",IF(AND(Setup!$F$28="Once",M$1&gt;0),"",IF(OR(IF(Setup!$M$28&gt;0,Setup!$G$28+(Setup!$O$28+M$1)*Setup!$M$28,EDATE(Setup!$G$28,(Setup!$O$28+M$1)*Setup!$N$28))&gt;Setup!$P$28,IF(Setup!$M$28&gt;0,Setup!$G$28+(Setup!$O$28+M$1)*Setup!$M$28,EDATE(Setup!$G$28,(Setup!$O$28+M$1)*Setup!$N$28))&lt;Setup!$D$5),"",IF(Setup!$M$28&gt;0,Setup!$G$28+(Setup!$O$28+M$1)*Setup!$M$28,EDATE(Setup!$G$28,(Setup!$O$28+M$1)*Setup!$N$28))+$A5/1000)))</f>
        <v/>
      </c>
      <c r="N5">
        <f>IF(OR(Setup!$E$28="",Setup!$G$28="",Setup!$F$28=""),"",IF(AND(Setup!$F$28="Once",N$1&gt;0),"",IF(OR(IF(Setup!$M$28&gt;0,Setup!$G$28+(Setup!$O$28+N$1)*Setup!$M$28,EDATE(Setup!$G$28,(Setup!$O$28+N$1)*Setup!$N$28))&gt;Setup!$P$28,IF(Setup!$M$28&gt;0,Setup!$G$28+(Setup!$O$28+N$1)*Setup!$M$28,EDATE(Setup!$G$28,(Setup!$O$28+N$1)*Setup!$N$28))&lt;Setup!$D$5),"",IF(Setup!$M$28&gt;0,Setup!$G$28+(Setup!$O$28+N$1)*Setup!$M$28,EDATE(Setup!$G$28,(Setup!$O$28+N$1)*Setup!$N$28))+$A5/1000)))</f>
        <v/>
      </c>
      <c r="O5">
        <f>IF(OR(Setup!$E$28="",Setup!$G$28="",Setup!$F$28=""),"",IF(AND(Setup!$F$28="Once",O$1&gt;0),"",IF(OR(IF(Setup!$M$28&gt;0,Setup!$G$28+(Setup!$O$28+O$1)*Setup!$M$28,EDATE(Setup!$G$28,(Setup!$O$28+O$1)*Setup!$N$28))&gt;Setup!$P$28,IF(Setup!$M$28&gt;0,Setup!$G$28+(Setup!$O$28+O$1)*Setup!$M$28,EDATE(Setup!$G$28,(Setup!$O$28+O$1)*Setup!$N$28))&lt;Setup!$D$5),"",IF(Setup!$M$28&gt;0,Setup!$G$28+(Setup!$O$28+O$1)*Setup!$M$28,EDATE(Setup!$G$28,(Setup!$O$28+O$1)*Setup!$N$28))+$A5/1000)))</f>
        <v/>
      </c>
      <c r="P5">
        <f>IF(OR(Setup!$E$28="",Setup!$G$28="",Setup!$F$28=""),"",IF(AND(Setup!$F$28="Once",P$1&gt;0),"",IF(OR(IF(Setup!$M$28&gt;0,Setup!$G$28+(Setup!$O$28+P$1)*Setup!$M$28,EDATE(Setup!$G$28,(Setup!$O$28+P$1)*Setup!$N$28))&gt;Setup!$P$28,IF(Setup!$M$28&gt;0,Setup!$G$28+(Setup!$O$28+P$1)*Setup!$M$28,EDATE(Setup!$G$28,(Setup!$O$28+P$1)*Setup!$N$28))&lt;Setup!$D$5),"",IF(Setup!$M$28&gt;0,Setup!$G$28+(Setup!$O$28+P$1)*Setup!$M$28,EDATE(Setup!$G$28,(Setup!$O$28+P$1)*Setup!$N$28))+$A5/1000)))</f>
        <v/>
      </c>
      <c r="Q5">
        <f>IF(OR(Setup!$E$28="",Setup!$G$28="",Setup!$F$28=""),"",IF(AND(Setup!$F$28="Once",Q$1&gt;0),"",IF(OR(IF(Setup!$M$28&gt;0,Setup!$G$28+(Setup!$O$28+Q$1)*Setup!$M$28,EDATE(Setup!$G$28,(Setup!$O$28+Q$1)*Setup!$N$28))&gt;Setup!$P$28,IF(Setup!$M$28&gt;0,Setup!$G$28+(Setup!$O$28+Q$1)*Setup!$M$28,EDATE(Setup!$G$28,(Setup!$O$28+Q$1)*Setup!$N$28))&lt;Setup!$D$5),"",IF(Setup!$M$28&gt;0,Setup!$G$28+(Setup!$O$28+Q$1)*Setup!$M$28,EDATE(Setup!$G$28,(Setup!$O$28+Q$1)*Setup!$N$28))+$A5/1000)))</f>
        <v/>
      </c>
      <c r="R5">
        <f>IF(OR(Setup!$E$28="",Setup!$G$28="",Setup!$F$28=""),"",IF(AND(Setup!$F$28="Once",R$1&gt;0),"",IF(OR(IF(Setup!$M$28&gt;0,Setup!$G$28+(Setup!$O$28+R$1)*Setup!$M$28,EDATE(Setup!$G$28,(Setup!$O$28+R$1)*Setup!$N$28))&gt;Setup!$P$28,IF(Setup!$M$28&gt;0,Setup!$G$28+(Setup!$O$28+R$1)*Setup!$M$28,EDATE(Setup!$G$28,(Setup!$O$28+R$1)*Setup!$N$28))&lt;Setup!$D$5),"",IF(Setup!$M$28&gt;0,Setup!$G$28+(Setup!$O$28+R$1)*Setup!$M$28,EDATE(Setup!$G$28,(Setup!$O$28+R$1)*Setup!$N$28))+$A5/1000)))</f>
        <v/>
      </c>
      <c r="S5">
        <f>IF(OR(Setup!$E$28="",Setup!$G$28="",Setup!$F$28=""),"",IF(AND(Setup!$F$28="Once",S$1&gt;0),"",IF(OR(IF(Setup!$M$28&gt;0,Setup!$G$28+(Setup!$O$28+S$1)*Setup!$M$28,EDATE(Setup!$G$28,(Setup!$O$28+S$1)*Setup!$N$28))&gt;Setup!$P$28,IF(Setup!$M$28&gt;0,Setup!$G$28+(Setup!$O$28+S$1)*Setup!$M$28,EDATE(Setup!$G$28,(Setup!$O$28+S$1)*Setup!$N$28))&lt;Setup!$D$5),"",IF(Setup!$M$28&gt;0,Setup!$G$28+(Setup!$O$28+S$1)*Setup!$M$28,EDATE(Setup!$G$28,(Setup!$O$28+S$1)*Setup!$N$28))+$A5/1000)))</f>
        <v/>
      </c>
      <c r="T5">
        <f>IF(OR(Setup!$E$28="",Setup!$G$28="",Setup!$F$28=""),"",IF(AND(Setup!$F$28="Once",T$1&gt;0),"",IF(OR(IF(Setup!$M$28&gt;0,Setup!$G$28+(Setup!$O$28+T$1)*Setup!$M$28,EDATE(Setup!$G$28,(Setup!$O$28+T$1)*Setup!$N$28))&gt;Setup!$P$28,IF(Setup!$M$28&gt;0,Setup!$G$28+(Setup!$O$28+T$1)*Setup!$M$28,EDATE(Setup!$G$28,(Setup!$O$28+T$1)*Setup!$N$28))&lt;Setup!$D$5),"",IF(Setup!$M$28&gt;0,Setup!$G$28+(Setup!$O$28+T$1)*Setup!$M$28,EDATE(Setup!$G$28,(Setup!$O$28+T$1)*Setup!$N$28))+$A5/1000)))</f>
        <v/>
      </c>
      <c r="U5">
        <f>IF(OR(Setup!$E$28="",Setup!$G$28="",Setup!$F$28=""),"",IF(AND(Setup!$F$28="Once",U$1&gt;0),"",IF(OR(IF(Setup!$M$28&gt;0,Setup!$G$28+(Setup!$O$28+U$1)*Setup!$M$28,EDATE(Setup!$G$28,(Setup!$O$28+U$1)*Setup!$N$28))&gt;Setup!$P$28,IF(Setup!$M$28&gt;0,Setup!$G$28+(Setup!$O$28+U$1)*Setup!$M$28,EDATE(Setup!$G$28,(Setup!$O$28+U$1)*Setup!$N$28))&lt;Setup!$D$5),"",IF(Setup!$M$28&gt;0,Setup!$G$28+(Setup!$O$28+U$1)*Setup!$M$28,EDATE(Setup!$G$28,(Setup!$O$28+U$1)*Setup!$N$28))+$A5/1000)))</f>
        <v/>
      </c>
      <c r="V5">
        <f>IF(OR(Setup!$E$28="",Setup!$G$28="",Setup!$F$28=""),"",IF(AND(Setup!$F$28="Once",V$1&gt;0),"",IF(OR(IF(Setup!$M$28&gt;0,Setup!$G$28+(Setup!$O$28+V$1)*Setup!$M$28,EDATE(Setup!$G$28,(Setup!$O$28+V$1)*Setup!$N$28))&gt;Setup!$P$28,IF(Setup!$M$28&gt;0,Setup!$G$28+(Setup!$O$28+V$1)*Setup!$M$28,EDATE(Setup!$G$28,(Setup!$O$28+V$1)*Setup!$N$28))&lt;Setup!$D$5),"",IF(Setup!$M$28&gt;0,Setup!$G$28+(Setup!$O$28+V$1)*Setup!$M$28,EDATE(Setup!$G$28,(Setup!$O$28+V$1)*Setup!$N$28))+$A5/1000)))</f>
        <v/>
      </c>
      <c r="W5">
        <f>IF(OR(Setup!$E$28="",Setup!$G$28="",Setup!$F$28=""),"",IF(AND(Setup!$F$28="Once",W$1&gt;0),"",IF(OR(IF(Setup!$M$28&gt;0,Setup!$G$28+(Setup!$O$28+W$1)*Setup!$M$28,EDATE(Setup!$G$28,(Setup!$O$28+W$1)*Setup!$N$28))&gt;Setup!$P$28,IF(Setup!$M$28&gt;0,Setup!$G$28+(Setup!$O$28+W$1)*Setup!$M$28,EDATE(Setup!$G$28,(Setup!$O$28+W$1)*Setup!$N$28))&lt;Setup!$D$5),"",IF(Setup!$M$28&gt;0,Setup!$G$28+(Setup!$O$28+W$1)*Setup!$M$28,EDATE(Setup!$G$28,(Setup!$O$28+W$1)*Setup!$N$28))+$A5/1000)))</f>
        <v/>
      </c>
      <c r="X5">
        <f>IF(OR(Setup!$E$28="",Setup!$G$28="",Setup!$F$28=""),"",IF(AND(Setup!$F$28="Once",X$1&gt;0),"",IF(OR(IF(Setup!$M$28&gt;0,Setup!$G$28+(Setup!$O$28+X$1)*Setup!$M$28,EDATE(Setup!$G$28,(Setup!$O$28+X$1)*Setup!$N$28))&gt;Setup!$P$28,IF(Setup!$M$28&gt;0,Setup!$G$28+(Setup!$O$28+X$1)*Setup!$M$28,EDATE(Setup!$G$28,(Setup!$O$28+X$1)*Setup!$N$28))&lt;Setup!$D$5),"",IF(Setup!$M$28&gt;0,Setup!$G$28+(Setup!$O$28+X$1)*Setup!$M$28,EDATE(Setup!$G$28,(Setup!$O$28+X$1)*Setup!$N$28))+$A5/1000)))</f>
        <v/>
      </c>
      <c r="Y5">
        <f>IF(OR(Setup!$E$28="",Setup!$G$28="",Setup!$F$28=""),"",IF(AND(Setup!$F$28="Once",Y$1&gt;0),"",IF(OR(IF(Setup!$M$28&gt;0,Setup!$G$28+(Setup!$O$28+Y$1)*Setup!$M$28,EDATE(Setup!$G$28,(Setup!$O$28+Y$1)*Setup!$N$28))&gt;Setup!$P$28,IF(Setup!$M$28&gt;0,Setup!$G$28+(Setup!$O$28+Y$1)*Setup!$M$28,EDATE(Setup!$G$28,(Setup!$O$28+Y$1)*Setup!$N$28))&lt;Setup!$D$5),"",IF(Setup!$M$28&gt;0,Setup!$G$28+(Setup!$O$28+Y$1)*Setup!$M$28,EDATE(Setup!$G$28,(Setup!$O$28+Y$1)*Setup!$N$28))+$A5/1000)))</f>
        <v/>
      </c>
      <c r="Z5">
        <f>IF(OR(Setup!$E$28="",Setup!$G$28="",Setup!$F$28=""),"",IF(AND(Setup!$F$28="Once",Z$1&gt;0),"",IF(OR(IF(Setup!$M$28&gt;0,Setup!$G$28+(Setup!$O$28+Z$1)*Setup!$M$28,EDATE(Setup!$G$28,(Setup!$O$28+Z$1)*Setup!$N$28))&gt;Setup!$P$28,IF(Setup!$M$28&gt;0,Setup!$G$28+(Setup!$O$28+Z$1)*Setup!$M$28,EDATE(Setup!$G$28,(Setup!$O$28+Z$1)*Setup!$N$28))&lt;Setup!$D$5),"",IF(Setup!$M$28&gt;0,Setup!$G$28+(Setup!$O$28+Z$1)*Setup!$M$28,EDATE(Setup!$G$28,(Setup!$O$28+Z$1)*Setup!$N$28))+$A5/1000)))</f>
        <v/>
      </c>
      <c r="AA5">
        <f>IF(OR(Setup!$E$28="",Setup!$G$28="",Setup!$F$28=""),"",IF(AND(Setup!$F$28="Once",AA$1&gt;0),"",IF(OR(IF(Setup!$M$28&gt;0,Setup!$G$28+(Setup!$O$28+AA$1)*Setup!$M$28,EDATE(Setup!$G$28,(Setup!$O$28+AA$1)*Setup!$N$28))&gt;Setup!$P$28,IF(Setup!$M$28&gt;0,Setup!$G$28+(Setup!$O$28+AA$1)*Setup!$M$28,EDATE(Setup!$G$28,(Setup!$O$28+AA$1)*Setup!$N$28))&lt;Setup!$D$5),"",IF(Setup!$M$28&gt;0,Setup!$G$28+(Setup!$O$28+AA$1)*Setup!$M$28,EDATE(Setup!$G$28,(Setup!$O$28+AA$1)*Setup!$N$28))+$A5/1000)))</f>
        <v/>
      </c>
      <c r="AB5">
        <f>IF(OR(Setup!$E$28="",Setup!$G$28="",Setup!$F$28=""),"",IF(AND(Setup!$F$28="Once",AB$1&gt;0),"",IF(OR(IF(Setup!$M$28&gt;0,Setup!$G$28+(Setup!$O$28+AB$1)*Setup!$M$28,EDATE(Setup!$G$28,(Setup!$O$28+AB$1)*Setup!$N$28))&gt;Setup!$P$28,IF(Setup!$M$28&gt;0,Setup!$G$28+(Setup!$O$28+AB$1)*Setup!$M$28,EDATE(Setup!$G$28,(Setup!$O$28+AB$1)*Setup!$N$28))&lt;Setup!$D$5),"",IF(Setup!$M$28&gt;0,Setup!$G$28+(Setup!$O$28+AB$1)*Setup!$M$28,EDATE(Setup!$G$28,(Setup!$O$28+AB$1)*Setup!$N$28))+$A5/1000)))</f>
        <v/>
      </c>
      <c r="AC5">
        <f>IF(OR(Setup!$E$28="",Setup!$G$28="",Setup!$F$28=""),"",IF(AND(Setup!$F$28="Once",AC$1&gt;0),"",IF(OR(IF(Setup!$M$28&gt;0,Setup!$G$28+(Setup!$O$28+AC$1)*Setup!$M$28,EDATE(Setup!$G$28,(Setup!$O$28+AC$1)*Setup!$N$28))&gt;Setup!$P$28,IF(Setup!$M$28&gt;0,Setup!$G$28+(Setup!$O$28+AC$1)*Setup!$M$28,EDATE(Setup!$G$28,(Setup!$O$28+AC$1)*Setup!$N$28))&lt;Setup!$D$5),"",IF(Setup!$M$28&gt;0,Setup!$G$28+(Setup!$O$28+AC$1)*Setup!$M$28,EDATE(Setup!$G$28,(Setup!$O$28+AC$1)*Setup!$N$28))+$A5/1000)))</f>
        <v/>
      </c>
      <c r="AD5">
        <f>IF(OR(Setup!$E$28="",Setup!$G$28="",Setup!$F$28=""),"",IF(AND(Setup!$F$28="Once",AD$1&gt;0),"",IF(OR(IF(Setup!$M$28&gt;0,Setup!$G$28+(Setup!$O$28+AD$1)*Setup!$M$28,EDATE(Setup!$G$28,(Setup!$O$28+AD$1)*Setup!$N$28))&gt;Setup!$P$28,IF(Setup!$M$28&gt;0,Setup!$G$28+(Setup!$O$28+AD$1)*Setup!$M$28,EDATE(Setup!$G$28,(Setup!$O$28+AD$1)*Setup!$N$28))&lt;Setup!$D$5),"",IF(Setup!$M$28&gt;0,Setup!$G$28+(Setup!$O$28+AD$1)*Setup!$M$28,EDATE(Setup!$G$28,(Setup!$O$28+AD$1)*Setup!$N$28))+$A5/1000)))</f>
        <v/>
      </c>
      <c r="AE5">
        <f>IF(OR(Setup!$E$28="",Setup!$G$28="",Setup!$F$28=""),"",IF(AND(Setup!$F$28="Once",AE$1&gt;0),"",IF(OR(IF(Setup!$M$28&gt;0,Setup!$G$28+(Setup!$O$28+AE$1)*Setup!$M$28,EDATE(Setup!$G$28,(Setup!$O$28+AE$1)*Setup!$N$28))&gt;Setup!$P$28,IF(Setup!$M$28&gt;0,Setup!$G$28+(Setup!$O$28+AE$1)*Setup!$M$28,EDATE(Setup!$G$28,(Setup!$O$28+AE$1)*Setup!$N$28))&lt;Setup!$D$5),"",IF(Setup!$M$28&gt;0,Setup!$G$28+(Setup!$O$28+AE$1)*Setup!$M$28,EDATE(Setup!$G$28,(Setup!$O$28+AE$1)*Setup!$N$28))+$A5/1000)))</f>
        <v/>
      </c>
      <c r="AF5">
        <f>IF(OR(Setup!$E$28="",Setup!$G$28="",Setup!$F$28=""),"",IF(AND(Setup!$F$28="Once",AF$1&gt;0),"",IF(OR(IF(Setup!$M$28&gt;0,Setup!$G$28+(Setup!$O$28+AF$1)*Setup!$M$28,EDATE(Setup!$G$28,(Setup!$O$28+AF$1)*Setup!$N$28))&gt;Setup!$P$28,IF(Setup!$M$28&gt;0,Setup!$G$28+(Setup!$O$28+AF$1)*Setup!$M$28,EDATE(Setup!$G$28,(Setup!$O$28+AF$1)*Setup!$N$28))&lt;Setup!$D$5),"",IF(Setup!$M$28&gt;0,Setup!$G$28+(Setup!$O$28+AF$1)*Setup!$M$28,EDATE(Setup!$G$28,(Setup!$O$28+AF$1)*Setup!$N$28))+$A5/1000)))</f>
        <v/>
      </c>
      <c r="AG5">
        <f>IF(OR(Setup!$E$28="",Setup!$G$28="",Setup!$F$28=""),"",IF(AND(Setup!$F$28="Once",AG$1&gt;0),"",IF(OR(IF(Setup!$M$28&gt;0,Setup!$G$28+(Setup!$O$28+AG$1)*Setup!$M$28,EDATE(Setup!$G$28,(Setup!$O$28+AG$1)*Setup!$N$28))&gt;Setup!$P$28,IF(Setup!$M$28&gt;0,Setup!$G$28+(Setup!$O$28+AG$1)*Setup!$M$28,EDATE(Setup!$G$28,(Setup!$O$28+AG$1)*Setup!$N$28))&lt;Setup!$D$5),"",IF(Setup!$M$28&gt;0,Setup!$G$28+(Setup!$O$28+AG$1)*Setup!$M$28,EDATE(Setup!$G$28,(Setup!$O$28+AG$1)*Setup!$N$28))+$A5/1000)))</f>
        <v/>
      </c>
      <c r="AH5">
        <f>IF(OR(Setup!$E$28="",Setup!$G$28="",Setup!$F$28=""),"",IF(AND(Setup!$F$28="Once",AH$1&gt;0),"",IF(OR(IF(Setup!$M$28&gt;0,Setup!$G$28+(Setup!$O$28+AH$1)*Setup!$M$28,EDATE(Setup!$G$28,(Setup!$O$28+AH$1)*Setup!$N$28))&gt;Setup!$P$28,IF(Setup!$M$28&gt;0,Setup!$G$28+(Setup!$O$28+AH$1)*Setup!$M$28,EDATE(Setup!$G$28,(Setup!$O$28+AH$1)*Setup!$N$28))&lt;Setup!$D$5),"",IF(Setup!$M$28&gt;0,Setup!$G$28+(Setup!$O$28+AH$1)*Setup!$M$28,EDATE(Setup!$G$28,(Setup!$O$28+AH$1)*Setup!$N$28))+$A5/1000)))</f>
        <v/>
      </c>
      <c r="AI5">
        <f>IF(OR(Setup!$E$28="",Setup!$G$28="",Setup!$F$28=""),"",IF(AND(Setup!$F$28="Once",AI$1&gt;0),"",IF(OR(IF(Setup!$M$28&gt;0,Setup!$G$28+(Setup!$O$28+AI$1)*Setup!$M$28,EDATE(Setup!$G$28,(Setup!$O$28+AI$1)*Setup!$N$28))&gt;Setup!$P$28,IF(Setup!$M$28&gt;0,Setup!$G$28+(Setup!$O$28+AI$1)*Setup!$M$28,EDATE(Setup!$G$28,(Setup!$O$28+AI$1)*Setup!$N$28))&lt;Setup!$D$5),"",IF(Setup!$M$28&gt;0,Setup!$G$28+(Setup!$O$28+AI$1)*Setup!$M$28,EDATE(Setup!$G$28,(Setup!$O$28+AI$1)*Setup!$N$28))+$A5/1000)))</f>
        <v/>
      </c>
      <c r="AJ5">
        <f>IF(OR(Setup!$E$28="",Setup!$G$28="",Setup!$F$28=""),"",IF(AND(Setup!$F$28="Once",AJ$1&gt;0),"",IF(OR(IF(Setup!$M$28&gt;0,Setup!$G$28+(Setup!$O$28+AJ$1)*Setup!$M$28,EDATE(Setup!$G$28,(Setup!$O$28+AJ$1)*Setup!$N$28))&gt;Setup!$P$28,IF(Setup!$M$28&gt;0,Setup!$G$28+(Setup!$O$28+AJ$1)*Setup!$M$28,EDATE(Setup!$G$28,(Setup!$O$28+AJ$1)*Setup!$N$28))&lt;Setup!$D$5),"",IF(Setup!$M$28&gt;0,Setup!$G$28+(Setup!$O$28+AJ$1)*Setup!$M$28,EDATE(Setup!$G$28,(Setup!$O$28+AJ$1)*Setup!$N$28))+$A5/1000)))</f>
        <v/>
      </c>
      <c r="AK5">
        <f>IF(OR(Setup!$E$28="",Setup!$G$28="",Setup!$F$28=""),"",IF(AND(Setup!$F$28="Once",AK$1&gt;0),"",IF(OR(IF(Setup!$M$28&gt;0,Setup!$G$28+(Setup!$O$28+AK$1)*Setup!$M$28,EDATE(Setup!$G$28,(Setup!$O$28+AK$1)*Setup!$N$28))&gt;Setup!$P$28,IF(Setup!$M$28&gt;0,Setup!$G$28+(Setup!$O$28+AK$1)*Setup!$M$28,EDATE(Setup!$G$28,(Setup!$O$28+AK$1)*Setup!$N$28))&lt;Setup!$D$5),"",IF(Setup!$M$28&gt;0,Setup!$G$28+(Setup!$O$28+AK$1)*Setup!$M$28,EDATE(Setup!$G$28,(Setup!$O$28+AK$1)*Setup!$N$28))+$A5/1000)))</f>
        <v/>
      </c>
      <c r="AL5">
        <f>IF(OR(Setup!$E$28="",Setup!$G$28="",Setup!$F$28=""),"",IF(AND(Setup!$F$28="Once",AL$1&gt;0),"",IF(OR(IF(Setup!$M$28&gt;0,Setup!$G$28+(Setup!$O$28+AL$1)*Setup!$M$28,EDATE(Setup!$G$28,(Setup!$O$28+AL$1)*Setup!$N$28))&gt;Setup!$P$28,IF(Setup!$M$28&gt;0,Setup!$G$28+(Setup!$O$28+AL$1)*Setup!$M$28,EDATE(Setup!$G$28,(Setup!$O$28+AL$1)*Setup!$N$28))&lt;Setup!$D$5),"",IF(Setup!$M$28&gt;0,Setup!$G$28+(Setup!$O$28+AL$1)*Setup!$M$28,EDATE(Setup!$G$28,(Setup!$O$28+AL$1)*Setup!$N$28))+$A5/1000)))</f>
        <v/>
      </c>
      <c r="AM5">
        <f>IF(OR(Setup!$E$28="",Setup!$G$28="",Setup!$F$28=""),"",IF(AND(Setup!$F$28="Once",AM$1&gt;0),"",IF(OR(IF(Setup!$M$28&gt;0,Setup!$G$28+(Setup!$O$28+AM$1)*Setup!$M$28,EDATE(Setup!$G$28,(Setup!$O$28+AM$1)*Setup!$N$28))&gt;Setup!$P$28,IF(Setup!$M$28&gt;0,Setup!$G$28+(Setup!$O$28+AM$1)*Setup!$M$28,EDATE(Setup!$G$28,(Setup!$O$28+AM$1)*Setup!$N$28))&lt;Setup!$D$5),"",IF(Setup!$M$28&gt;0,Setup!$G$28+(Setup!$O$28+AM$1)*Setup!$M$28,EDATE(Setup!$G$28,(Setup!$O$28+AM$1)*Setup!$N$28))+$A5/1000)))</f>
        <v/>
      </c>
      <c r="AN5">
        <f>IF(OR(Setup!$E$28="",Setup!$G$28="",Setup!$F$28=""),"",IF(AND(Setup!$F$28="Once",AN$1&gt;0),"",IF(OR(IF(Setup!$M$28&gt;0,Setup!$G$28+(Setup!$O$28+AN$1)*Setup!$M$28,EDATE(Setup!$G$28,(Setup!$O$28+AN$1)*Setup!$N$28))&gt;Setup!$P$28,IF(Setup!$M$28&gt;0,Setup!$G$28+(Setup!$O$28+AN$1)*Setup!$M$28,EDATE(Setup!$G$28,(Setup!$O$28+AN$1)*Setup!$N$28))&lt;Setup!$D$5),"",IF(Setup!$M$28&gt;0,Setup!$G$28+(Setup!$O$28+AN$1)*Setup!$M$28,EDATE(Setup!$G$28,(Setup!$O$28+AN$1)*Setup!$N$28))+$A5/1000)))</f>
        <v/>
      </c>
      <c r="AO5">
        <f>IF(OR(Setup!$E$28="",Setup!$G$28="",Setup!$F$28=""),"",IF(AND(Setup!$F$28="Once",AO$1&gt;0),"",IF(OR(IF(Setup!$M$28&gt;0,Setup!$G$28+(Setup!$O$28+AO$1)*Setup!$M$28,EDATE(Setup!$G$28,(Setup!$O$28+AO$1)*Setup!$N$28))&gt;Setup!$P$28,IF(Setup!$M$28&gt;0,Setup!$G$28+(Setup!$O$28+AO$1)*Setup!$M$28,EDATE(Setup!$G$28,(Setup!$O$28+AO$1)*Setup!$N$28))&lt;Setup!$D$5),"",IF(Setup!$M$28&gt;0,Setup!$G$28+(Setup!$O$28+AO$1)*Setup!$M$28,EDATE(Setup!$G$28,(Setup!$O$28+AO$1)*Setup!$N$28))+$A5/1000)))</f>
        <v/>
      </c>
      <c r="AP5">
        <f>IF(OR(Setup!$E$28="",Setup!$G$28="",Setup!$F$28=""),"",IF(AND(Setup!$F$28="Once",AP$1&gt;0),"",IF(OR(IF(Setup!$M$28&gt;0,Setup!$G$28+(Setup!$O$28+AP$1)*Setup!$M$28,EDATE(Setup!$G$28,(Setup!$O$28+AP$1)*Setup!$N$28))&gt;Setup!$P$28,IF(Setup!$M$28&gt;0,Setup!$G$28+(Setup!$O$28+AP$1)*Setup!$M$28,EDATE(Setup!$G$28,(Setup!$O$28+AP$1)*Setup!$N$28))&lt;Setup!$D$5),"",IF(Setup!$M$28&gt;0,Setup!$G$28+(Setup!$O$28+AP$1)*Setup!$M$28,EDATE(Setup!$G$28,(Setup!$O$28+AP$1)*Setup!$N$28))+$A5/1000)))</f>
        <v/>
      </c>
      <c r="AQ5">
        <f>IF(OR(Setup!$E$28="",Setup!$G$28="",Setup!$F$28=""),"",IF(AND(Setup!$F$28="Once",AQ$1&gt;0),"",IF(OR(IF(Setup!$M$28&gt;0,Setup!$G$28+(Setup!$O$28+AQ$1)*Setup!$M$28,EDATE(Setup!$G$28,(Setup!$O$28+AQ$1)*Setup!$N$28))&gt;Setup!$P$28,IF(Setup!$M$28&gt;0,Setup!$G$28+(Setup!$O$28+AQ$1)*Setup!$M$28,EDATE(Setup!$G$28,(Setup!$O$28+AQ$1)*Setup!$N$28))&lt;Setup!$D$5),"",IF(Setup!$M$28&gt;0,Setup!$G$28+(Setup!$O$28+AQ$1)*Setup!$M$28,EDATE(Setup!$G$28,(Setup!$O$28+AQ$1)*Setup!$N$28))+$A5/1000)))</f>
        <v/>
      </c>
      <c r="AR5">
        <f>IF(OR(Setup!$E$28="",Setup!$G$28="",Setup!$F$28=""),"",IF(AND(Setup!$F$28="Once",AR$1&gt;0),"",IF(OR(IF(Setup!$M$28&gt;0,Setup!$G$28+(Setup!$O$28+AR$1)*Setup!$M$28,EDATE(Setup!$G$28,(Setup!$O$28+AR$1)*Setup!$N$28))&gt;Setup!$P$28,IF(Setup!$M$28&gt;0,Setup!$G$28+(Setup!$O$28+AR$1)*Setup!$M$28,EDATE(Setup!$G$28,(Setup!$O$28+AR$1)*Setup!$N$28))&lt;Setup!$D$5),"",IF(Setup!$M$28&gt;0,Setup!$G$28+(Setup!$O$28+AR$1)*Setup!$M$28,EDATE(Setup!$G$28,(Setup!$O$28+AR$1)*Setup!$N$28))+$A5/1000)))</f>
        <v/>
      </c>
      <c r="AS5">
        <f>IF(OR(Setup!$E$28="",Setup!$G$28="",Setup!$F$28=""),"",IF(AND(Setup!$F$28="Once",AS$1&gt;0),"",IF(OR(IF(Setup!$M$28&gt;0,Setup!$G$28+(Setup!$O$28+AS$1)*Setup!$M$28,EDATE(Setup!$G$28,(Setup!$O$28+AS$1)*Setup!$N$28))&gt;Setup!$P$28,IF(Setup!$M$28&gt;0,Setup!$G$28+(Setup!$O$28+AS$1)*Setup!$M$28,EDATE(Setup!$G$28,(Setup!$O$28+AS$1)*Setup!$N$28))&lt;Setup!$D$5),"",IF(Setup!$M$28&gt;0,Setup!$G$28+(Setup!$O$28+AS$1)*Setup!$M$28,EDATE(Setup!$G$28,(Setup!$O$28+AS$1)*Setup!$N$28))+$A5/1000)))</f>
        <v/>
      </c>
      <c r="AT5">
        <f>IF(OR(Setup!$E$28="",Setup!$G$28="",Setup!$F$28=""),"",IF(AND(Setup!$F$28="Once",AT$1&gt;0),"",IF(OR(IF(Setup!$M$28&gt;0,Setup!$G$28+(Setup!$O$28+AT$1)*Setup!$M$28,EDATE(Setup!$G$28,(Setup!$O$28+AT$1)*Setup!$N$28))&gt;Setup!$P$28,IF(Setup!$M$28&gt;0,Setup!$G$28+(Setup!$O$28+AT$1)*Setup!$M$28,EDATE(Setup!$G$28,(Setup!$O$28+AT$1)*Setup!$N$28))&lt;Setup!$D$5),"",IF(Setup!$M$28&gt;0,Setup!$G$28+(Setup!$O$28+AT$1)*Setup!$M$28,EDATE(Setup!$G$28,(Setup!$O$28+AT$1)*Setup!$N$28))+$A5/1000)))</f>
        <v/>
      </c>
      <c r="AU5">
        <f>IF(OR(Setup!$E$28="",Setup!$G$28="",Setup!$F$28=""),"",IF(AND(Setup!$F$28="Once",AU$1&gt;0),"",IF(OR(IF(Setup!$M$28&gt;0,Setup!$G$28+(Setup!$O$28+AU$1)*Setup!$M$28,EDATE(Setup!$G$28,(Setup!$O$28+AU$1)*Setup!$N$28))&gt;Setup!$P$28,IF(Setup!$M$28&gt;0,Setup!$G$28+(Setup!$O$28+AU$1)*Setup!$M$28,EDATE(Setup!$G$28,(Setup!$O$28+AU$1)*Setup!$N$28))&lt;Setup!$D$5),"",IF(Setup!$M$28&gt;0,Setup!$G$28+(Setup!$O$28+AU$1)*Setup!$M$28,EDATE(Setup!$G$28,(Setup!$O$28+AU$1)*Setup!$N$28))+$A5/1000)))</f>
        <v/>
      </c>
      <c r="AV5">
        <f>IF(OR(Setup!$E$28="",Setup!$G$28="",Setup!$F$28=""),"",IF(AND(Setup!$F$28="Once",AV$1&gt;0),"",IF(OR(IF(Setup!$M$28&gt;0,Setup!$G$28+(Setup!$O$28+AV$1)*Setup!$M$28,EDATE(Setup!$G$28,(Setup!$O$28+AV$1)*Setup!$N$28))&gt;Setup!$P$28,IF(Setup!$M$28&gt;0,Setup!$G$28+(Setup!$O$28+AV$1)*Setup!$M$28,EDATE(Setup!$G$28,(Setup!$O$28+AV$1)*Setup!$N$28))&lt;Setup!$D$5),"",IF(Setup!$M$28&gt;0,Setup!$G$28+(Setup!$O$28+AV$1)*Setup!$M$28,EDATE(Setup!$G$28,(Setup!$O$28+AV$1)*Setup!$N$28))+$A5/1000)))</f>
        <v/>
      </c>
      <c r="AW5">
        <f>IF(OR(Setup!$E$28="",Setup!$G$28="",Setup!$F$28=""),"",IF(AND(Setup!$F$28="Once",AW$1&gt;0),"",IF(OR(IF(Setup!$M$28&gt;0,Setup!$G$28+(Setup!$O$28+AW$1)*Setup!$M$28,EDATE(Setup!$G$28,(Setup!$O$28+AW$1)*Setup!$N$28))&gt;Setup!$P$28,IF(Setup!$M$28&gt;0,Setup!$G$28+(Setup!$O$28+AW$1)*Setup!$M$28,EDATE(Setup!$G$28,(Setup!$O$28+AW$1)*Setup!$N$28))&lt;Setup!$D$5),"",IF(Setup!$M$28&gt;0,Setup!$G$28+(Setup!$O$28+AW$1)*Setup!$M$28,EDATE(Setup!$G$28,(Setup!$O$28+AW$1)*Setup!$N$28))+$A5/1000)))</f>
        <v/>
      </c>
      <c r="AX5">
        <f>IF(OR(Setup!$E$28="",Setup!$G$28="",Setup!$F$28=""),"",IF(AND(Setup!$F$28="Once",AX$1&gt;0),"",IF(OR(IF(Setup!$M$28&gt;0,Setup!$G$28+(Setup!$O$28+AX$1)*Setup!$M$28,EDATE(Setup!$G$28,(Setup!$O$28+AX$1)*Setup!$N$28))&gt;Setup!$P$28,IF(Setup!$M$28&gt;0,Setup!$G$28+(Setup!$O$28+AX$1)*Setup!$M$28,EDATE(Setup!$G$28,(Setup!$O$28+AX$1)*Setup!$N$28))&lt;Setup!$D$5),"",IF(Setup!$M$28&gt;0,Setup!$G$28+(Setup!$O$28+AX$1)*Setup!$M$28,EDATE(Setup!$G$28,(Setup!$O$28+AX$1)*Setup!$N$28))+$A5/1000)))</f>
        <v/>
      </c>
      <c r="AY5">
        <f>IF(OR(Setup!$E$28="",Setup!$G$28="",Setup!$F$28=""),"",IF(AND(Setup!$F$28="Once",AY$1&gt;0),"",IF(OR(IF(Setup!$M$28&gt;0,Setup!$G$28+(Setup!$O$28+AY$1)*Setup!$M$28,EDATE(Setup!$G$28,(Setup!$O$28+AY$1)*Setup!$N$28))&gt;Setup!$P$28,IF(Setup!$M$28&gt;0,Setup!$G$28+(Setup!$O$28+AY$1)*Setup!$M$28,EDATE(Setup!$G$28,(Setup!$O$28+AY$1)*Setup!$N$28))&lt;Setup!$D$5),"",IF(Setup!$M$28&gt;0,Setup!$G$28+(Setup!$O$28+AY$1)*Setup!$M$28,EDATE(Setup!$G$28,(Setup!$O$28+AY$1)*Setup!$N$28))+$A5/1000)))</f>
        <v/>
      </c>
      <c r="AZ5">
        <f>IF(OR(Setup!$E$28="",Setup!$G$28="",Setup!$F$28=""),"",IF(AND(Setup!$F$28="Once",AZ$1&gt;0),"",IF(OR(IF(Setup!$M$28&gt;0,Setup!$G$28+(Setup!$O$28+AZ$1)*Setup!$M$28,EDATE(Setup!$G$28,(Setup!$O$28+AZ$1)*Setup!$N$28))&gt;Setup!$P$28,IF(Setup!$M$28&gt;0,Setup!$G$28+(Setup!$O$28+AZ$1)*Setup!$M$28,EDATE(Setup!$G$28,(Setup!$O$28+AZ$1)*Setup!$N$28))&lt;Setup!$D$5),"",IF(Setup!$M$28&gt;0,Setup!$G$28+(Setup!$O$28+AZ$1)*Setup!$M$28,EDATE(Setup!$G$28,(Setup!$O$28+AZ$1)*Setup!$N$28))+$A5/1000)))</f>
        <v/>
      </c>
      <c r="BA5">
        <f>IF(OR(Setup!$E$28="",Setup!$G$28="",Setup!$F$28=""),"",IF(AND(Setup!$F$28="Once",BA$1&gt;0),"",IF(OR(IF(Setup!$M$28&gt;0,Setup!$G$28+(Setup!$O$28+BA$1)*Setup!$M$28,EDATE(Setup!$G$28,(Setup!$O$28+BA$1)*Setup!$N$28))&gt;Setup!$P$28,IF(Setup!$M$28&gt;0,Setup!$G$28+(Setup!$O$28+BA$1)*Setup!$M$28,EDATE(Setup!$G$28,(Setup!$O$28+BA$1)*Setup!$N$28))&lt;Setup!$D$5),"",IF(Setup!$M$28&gt;0,Setup!$G$28+(Setup!$O$28+BA$1)*Setup!$M$28,EDATE(Setup!$G$28,(Setup!$O$28+BA$1)*Setup!$N$28))+$A5/1000)))</f>
        <v/>
      </c>
      <c r="BB5">
        <f>IF(OR(Setup!$E$28="",Setup!$G$28="",Setup!$F$28=""),"",IF(AND(Setup!$F$28="Once",BB$1&gt;0),"",IF(OR(IF(Setup!$M$28&gt;0,Setup!$G$28+(Setup!$O$28+BB$1)*Setup!$M$28,EDATE(Setup!$G$28,(Setup!$O$28+BB$1)*Setup!$N$28))&gt;Setup!$P$28,IF(Setup!$M$28&gt;0,Setup!$G$28+(Setup!$O$28+BB$1)*Setup!$M$28,EDATE(Setup!$G$28,(Setup!$O$28+BB$1)*Setup!$N$28))&lt;Setup!$D$5),"",IF(Setup!$M$28&gt;0,Setup!$G$28+(Setup!$O$28+BB$1)*Setup!$M$28,EDATE(Setup!$G$28,(Setup!$O$28+BB$1)*Setup!$N$28))+$A5/1000)))</f>
        <v/>
      </c>
    </row>
    <row r="6">
      <c r="A6" t="n">
        <v>5</v>
      </c>
      <c r="B6">
        <f>IF(OR(Setup!$E$29="",Setup!$G$29="",Setup!$F$29=""),"",IF(AND(Setup!$F$29="Once",B$1&gt;0),"",IF(OR(IF(Setup!$M$29&gt;0,Setup!$G$29+(Setup!$O$29+B$1)*Setup!$M$29,EDATE(Setup!$G$29,(Setup!$O$29+B$1)*Setup!$N$29))&gt;Setup!$P$29,IF(Setup!$M$29&gt;0,Setup!$G$29+(Setup!$O$29+B$1)*Setup!$M$29,EDATE(Setup!$G$29,(Setup!$O$29+B$1)*Setup!$N$29))&lt;Setup!$D$5),"",IF(Setup!$M$29&gt;0,Setup!$G$29+(Setup!$O$29+B$1)*Setup!$M$29,EDATE(Setup!$G$29,(Setup!$O$29+B$1)*Setup!$N$29))+$A6/1000)))</f>
        <v/>
      </c>
      <c r="C6">
        <f>IF(OR(Setup!$E$29="",Setup!$G$29="",Setup!$F$29=""),"",IF(AND(Setup!$F$29="Once",C$1&gt;0),"",IF(OR(IF(Setup!$M$29&gt;0,Setup!$G$29+(Setup!$O$29+C$1)*Setup!$M$29,EDATE(Setup!$G$29,(Setup!$O$29+C$1)*Setup!$N$29))&gt;Setup!$P$29,IF(Setup!$M$29&gt;0,Setup!$G$29+(Setup!$O$29+C$1)*Setup!$M$29,EDATE(Setup!$G$29,(Setup!$O$29+C$1)*Setup!$N$29))&lt;Setup!$D$5),"",IF(Setup!$M$29&gt;0,Setup!$G$29+(Setup!$O$29+C$1)*Setup!$M$29,EDATE(Setup!$G$29,(Setup!$O$29+C$1)*Setup!$N$29))+$A6/1000)))</f>
        <v/>
      </c>
      <c r="D6">
        <f>IF(OR(Setup!$E$29="",Setup!$G$29="",Setup!$F$29=""),"",IF(AND(Setup!$F$29="Once",D$1&gt;0),"",IF(OR(IF(Setup!$M$29&gt;0,Setup!$G$29+(Setup!$O$29+D$1)*Setup!$M$29,EDATE(Setup!$G$29,(Setup!$O$29+D$1)*Setup!$N$29))&gt;Setup!$P$29,IF(Setup!$M$29&gt;0,Setup!$G$29+(Setup!$O$29+D$1)*Setup!$M$29,EDATE(Setup!$G$29,(Setup!$O$29+D$1)*Setup!$N$29))&lt;Setup!$D$5),"",IF(Setup!$M$29&gt;0,Setup!$G$29+(Setup!$O$29+D$1)*Setup!$M$29,EDATE(Setup!$G$29,(Setup!$O$29+D$1)*Setup!$N$29))+$A6/1000)))</f>
        <v/>
      </c>
      <c r="E6">
        <f>IF(OR(Setup!$E$29="",Setup!$G$29="",Setup!$F$29=""),"",IF(AND(Setup!$F$29="Once",E$1&gt;0),"",IF(OR(IF(Setup!$M$29&gt;0,Setup!$G$29+(Setup!$O$29+E$1)*Setup!$M$29,EDATE(Setup!$G$29,(Setup!$O$29+E$1)*Setup!$N$29))&gt;Setup!$P$29,IF(Setup!$M$29&gt;0,Setup!$G$29+(Setup!$O$29+E$1)*Setup!$M$29,EDATE(Setup!$G$29,(Setup!$O$29+E$1)*Setup!$N$29))&lt;Setup!$D$5),"",IF(Setup!$M$29&gt;0,Setup!$G$29+(Setup!$O$29+E$1)*Setup!$M$29,EDATE(Setup!$G$29,(Setup!$O$29+E$1)*Setup!$N$29))+$A6/1000)))</f>
        <v/>
      </c>
      <c r="F6">
        <f>IF(OR(Setup!$E$29="",Setup!$G$29="",Setup!$F$29=""),"",IF(AND(Setup!$F$29="Once",F$1&gt;0),"",IF(OR(IF(Setup!$M$29&gt;0,Setup!$G$29+(Setup!$O$29+F$1)*Setup!$M$29,EDATE(Setup!$G$29,(Setup!$O$29+F$1)*Setup!$N$29))&gt;Setup!$P$29,IF(Setup!$M$29&gt;0,Setup!$G$29+(Setup!$O$29+F$1)*Setup!$M$29,EDATE(Setup!$G$29,(Setup!$O$29+F$1)*Setup!$N$29))&lt;Setup!$D$5),"",IF(Setup!$M$29&gt;0,Setup!$G$29+(Setup!$O$29+F$1)*Setup!$M$29,EDATE(Setup!$G$29,(Setup!$O$29+F$1)*Setup!$N$29))+$A6/1000)))</f>
        <v/>
      </c>
      <c r="G6">
        <f>IF(OR(Setup!$E$29="",Setup!$G$29="",Setup!$F$29=""),"",IF(AND(Setup!$F$29="Once",G$1&gt;0),"",IF(OR(IF(Setup!$M$29&gt;0,Setup!$G$29+(Setup!$O$29+G$1)*Setup!$M$29,EDATE(Setup!$G$29,(Setup!$O$29+G$1)*Setup!$N$29))&gt;Setup!$P$29,IF(Setup!$M$29&gt;0,Setup!$G$29+(Setup!$O$29+G$1)*Setup!$M$29,EDATE(Setup!$G$29,(Setup!$O$29+G$1)*Setup!$N$29))&lt;Setup!$D$5),"",IF(Setup!$M$29&gt;0,Setup!$G$29+(Setup!$O$29+G$1)*Setup!$M$29,EDATE(Setup!$G$29,(Setup!$O$29+G$1)*Setup!$N$29))+$A6/1000)))</f>
        <v/>
      </c>
      <c r="H6">
        <f>IF(OR(Setup!$E$29="",Setup!$G$29="",Setup!$F$29=""),"",IF(AND(Setup!$F$29="Once",H$1&gt;0),"",IF(OR(IF(Setup!$M$29&gt;0,Setup!$G$29+(Setup!$O$29+H$1)*Setup!$M$29,EDATE(Setup!$G$29,(Setup!$O$29+H$1)*Setup!$N$29))&gt;Setup!$P$29,IF(Setup!$M$29&gt;0,Setup!$G$29+(Setup!$O$29+H$1)*Setup!$M$29,EDATE(Setup!$G$29,(Setup!$O$29+H$1)*Setup!$N$29))&lt;Setup!$D$5),"",IF(Setup!$M$29&gt;0,Setup!$G$29+(Setup!$O$29+H$1)*Setup!$M$29,EDATE(Setup!$G$29,(Setup!$O$29+H$1)*Setup!$N$29))+$A6/1000)))</f>
        <v/>
      </c>
      <c r="I6">
        <f>IF(OR(Setup!$E$29="",Setup!$G$29="",Setup!$F$29=""),"",IF(AND(Setup!$F$29="Once",I$1&gt;0),"",IF(OR(IF(Setup!$M$29&gt;0,Setup!$G$29+(Setup!$O$29+I$1)*Setup!$M$29,EDATE(Setup!$G$29,(Setup!$O$29+I$1)*Setup!$N$29))&gt;Setup!$P$29,IF(Setup!$M$29&gt;0,Setup!$G$29+(Setup!$O$29+I$1)*Setup!$M$29,EDATE(Setup!$G$29,(Setup!$O$29+I$1)*Setup!$N$29))&lt;Setup!$D$5),"",IF(Setup!$M$29&gt;0,Setup!$G$29+(Setup!$O$29+I$1)*Setup!$M$29,EDATE(Setup!$G$29,(Setup!$O$29+I$1)*Setup!$N$29))+$A6/1000)))</f>
        <v/>
      </c>
      <c r="J6">
        <f>IF(OR(Setup!$E$29="",Setup!$G$29="",Setup!$F$29=""),"",IF(AND(Setup!$F$29="Once",J$1&gt;0),"",IF(OR(IF(Setup!$M$29&gt;0,Setup!$G$29+(Setup!$O$29+J$1)*Setup!$M$29,EDATE(Setup!$G$29,(Setup!$O$29+J$1)*Setup!$N$29))&gt;Setup!$P$29,IF(Setup!$M$29&gt;0,Setup!$G$29+(Setup!$O$29+J$1)*Setup!$M$29,EDATE(Setup!$G$29,(Setup!$O$29+J$1)*Setup!$N$29))&lt;Setup!$D$5),"",IF(Setup!$M$29&gt;0,Setup!$G$29+(Setup!$O$29+J$1)*Setup!$M$29,EDATE(Setup!$G$29,(Setup!$O$29+J$1)*Setup!$N$29))+$A6/1000)))</f>
        <v/>
      </c>
      <c r="K6">
        <f>IF(OR(Setup!$E$29="",Setup!$G$29="",Setup!$F$29=""),"",IF(AND(Setup!$F$29="Once",K$1&gt;0),"",IF(OR(IF(Setup!$M$29&gt;0,Setup!$G$29+(Setup!$O$29+K$1)*Setup!$M$29,EDATE(Setup!$G$29,(Setup!$O$29+K$1)*Setup!$N$29))&gt;Setup!$P$29,IF(Setup!$M$29&gt;0,Setup!$G$29+(Setup!$O$29+K$1)*Setup!$M$29,EDATE(Setup!$G$29,(Setup!$O$29+K$1)*Setup!$N$29))&lt;Setup!$D$5),"",IF(Setup!$M$29&gt;0,Setup!$G$29+(Setup!$O$29+K$1)*Setup!$M$29,EDATE(Setup!$G$29,(Setup!$O$29+K$1)*Setup!$N$29))+$A6/1000)))</f>
        <v/>
      </c>
      <c r="L6">
        <f>IF(OR(Setup!$E$29="",Setup!$G$29="",Setup!$F$29=""),"",IF(AND(Setup!$F$29="Once",L$1&gt;0),"",IF(OR(IF(Setup!$M$29&gt;0,Setup!$G$29+(Setup!$O$29+L$1)*Setup!$M$29,EDATE(Setup!$G$29,(Setup!$O$29+L$1)*Setup!$N$29))&gt;Setup!$P$29,IF(Setup!$M$29&gt;0,Setup!$G$29+(Setup!$O$29+L$1)*Setup!$M$29,EDATE(Setup!$G$29,(Setup!$O$29+L$1)*Setup!$N$29))&lt;Setup!$D$5),"",IF(Setup!$M$29&gt;0,Setup!$G$29+(Setup!$O$29+L$1)*Setup!$M$29,EDATE(Setup!$G$29,(Setup!$O$29+L$1)*Setup!$N$29))+$A6/1000)))</f>
        <v/>
      </c>
      <c r="M6">
        <f>IF(OR(Setup!$E$29="",Setup!$G$29="",Setup!$F$29=""),"",IF(AND(Setup!$F$29="Once",M$1&gt;0),"",IF(OR(IF(Setup!$M$29&gt;0,Setup!$G$29+(Setup!$O$29+M$1)*Setup!$M$29,EDATE(Setup!$G$29,(Setup!$O$29+M$1)*Setup!$N$29))&gt;Setup!$P$29,IF(Setup!$M$29&gt;0,Setup!$G$29+(Setup!$O$29+M$1)*Setup!$M$29,EDATE(Setup!$G$29,(Setup!$O$29+M$1)*Setup!$N$29))&lt;Setup!$D$5),"",IF(Setup!$M$29&gt;0,Setup!$G$29+(Setup!$O$29+M$1)*Setup!$M$29,EDATE(Setup!$G$29,(Setup!$O$29+M$1)*Setup!$N$29))+$A6/1000)))</f>
        <v/>
      </c>
      <c r="N6">
        <f>IF(OR(Setup!$E$29="",Setup!$G$29="",Setup!$F$29=""),"",IF(AND(Setup!$F$29="Once",N$1&gt;0),"",IF(OR(IF(Setup!$M$29&gt;0,Setup!$G$29+(Setup!$O$29+N$1)*Setup!$M$29,EDATE(Setup!$G$29,(Setup!$O$29+N$1)*Setup!$N$29))&gt;Setup!$P$29,IF(Setup!$M$29&gt;0,Setup!$G$29+(Setup!$O$29+N$1)*Setup!$M$29,EDATE(Setup!$G$29,(Setup!$O$29+N$1)*Setup!$N$29))&lt;Setup!$D$5),"",IF(Setup!$M$29&gt;0,Setup!$G$29+(Setup!$O$29+N$1)*Setup!$M$29,EDATE(Setup!$G$29,(Setup!$O$29+N$1)*Setup!$N$29))+$A6/1000)))</f>
        <v/>
      </c>
      <c r="O6">
        <f>IF(OR(Setup!$E$29="",Setup!$G$29="",Setup!$F$29=""),"",IF(AND(Setup!$F$29="Once",O$1&gt;0),"",IF(OR(IF(Setup!$M$29&gt;0,Setup!$G$29+(Setup!$O$29+O$1)*Setup!$M$29,EDATE(Setup!$G$29,(Setup!$O$29+O$1)*Setup!$N$29))&gt;Setup!$P$29,IF(Setup!$M$29&gt;0,Setup!$G$29+(Setup!$O$29+O$1)*Setup!$M$29,EDATE(Setup!$G$29,(Setup!$O$29+O$1)*Setup!$N$29))&lt;Setup!$D$5),"",IF(Setup!$M$29&gt;0,Setup!$G$29+(Setup!$O$29+O$1)*Setup!$M$29,EDATE(Setup!$G$29,(Setup!$O$29+O$1)*Setup!$N$29))+$A6/1000)))</f>
        <v/>
      </c>
      <c r="P6">
        <f>IF(OR(Setup!$E$29="",Setup!$G$29="",Setup!$F$29=""),"",IF(AND(Setup!$F$29="Once",P$1&gt;0),"",IF(OR(IF(Setup!$M$29&gt;0,Setup!$G$29+(Setup!$O$29+P$1)*Setup!$M$29,EDATE(Setup!$G$29,(Setup!$O$29+P$1)*Setup!$N$29))&gt;Setup!$P$29,IF(Setup!$M$29&gt;0,Setup!$G$29+(Setup!$O$29+P$1)*Setup!$M$29,EDATE(Setup!$G$29,(Setup!$O$29+P$1)*Setup!$N$29))&lt;Setup!$D$5),"",IF(Setup!$M$29&gt;0,Setup!$G$29+(Setup!$O$29+P$1)*Setup!$M$29,EDATE(Setup!$G$29,(Setup!$O$29+P$1)*Setup!$N$29))+$A6/1000)))</f>
        <v/>
      </c>
      <c r="Q6">
        <f>IF(OR(Setup!$E$29="",Setup!$G$29="",Setup!$F$29=""),"",IF(AND(Setup!$F$29="Once",Q$1&gt;0),"",IF(OR(IF(Setup!$M$29&gt;0,Setup!$G$29+(Setup!$O$29+Q$1)*Setup!$M$29,EDATE(Setup!$G$29,(Setup!$O$29+Q$1)*Setup!$N$29))&gt;Setup!$P$29,IF(Setup!$M$29&gt;0,Setup!$G$29+(Setup!$O$29+Q$1)*Setup!$M$29,EDATE(Setup!$G$29,(Setup!$O$29+Q$1)*Setup!$N$29))&lt;Setup!$D$5),"",IF(Setup!$M$29&gt;0,Setup!$G$29+(Setup!$O$29+Q$1)*Setup!$M$29,EDATE(Setup!$G$29,(Setup!$O$29+Q$1)*Setup!$N$29))+$A6/1000)))</f>
        <v/>
      </c>
      <c r="R6">
        <f>IF(OR(Setup!$E$29="",Setup!$G$29="",Setup!$F$29=""),"",IF(AND(Setup!$F$29="Once",R$1&gt;0),"",IF(OR(IF(Setup!$M$29&gt;0,Setup!$G$29+(Setup!$O$29+R$1)*Setup!$M$29,EDATE(Setup!$G$29,(Setup!$O$29+R$1)*Setup!$N$29))&gt;Setup!$P$29,IF(Setup!$M$29&gt;0,Setup!$G$29+(Setup!$O$29+R$1)*Setup!$M$29,EDATE(Setup!$G$29,(Setup!$O$29+R$1)*Setup!$N$29))&lt;Setup!$D$5),"",IF(Setup!$M$29&gt;0,Setup!$G$29+(Setup!$O$29+R$1)*Setup!$M$29,EDATE(Setup!$G$29,(Setup!$O$29+R$1)*Setup!$N$29))+$A6/1000)))</f>
        <v/>
      </c>
      <c r="S6">
        <f>IF(OR(Setup!$E$29="",Setup!$G$29="",Setup!$F$29=""),"",IF(AND(Setup!$F$29="Once",S$1&gt;0),"",IF(OR(IF(Setup!$M$29&gt;0,Setup!$G$29+(Setup!$O$29+S$1)*Setup!$M$29,EDATE(Setup!$G$29,(Setup!$O$29+S$1)*Setup!$N$29))&gt;Setup!$P$29,IF(Setup!$M$29&gt;0,Setup!$G$29+(Setup!$O$29+S$1)*Setup!$M$29,EDATE(Setup!$G$29,(Setup!$O$29+S$1)*Setup!$N$29))&lt;Setup!$D$5),"",IF(Setup!$M$29&gt;0,Setup!$G$29+(Setup!$O$29+S$1)*Setup!$M$29,EDATE(Setup!$G$29,(Setup!$O$29+S$1)*Setup!$N$29))+$A6/1000)))</f>
        <v/>
      </c>
      <c r="T6">
        <f>IF(OR(Setup!$E$29="",Setup!$G$29="",Setup!$F$29=""),"",IF(AND(Setup!$F$29="Once",T$1&gt;0),"",IF(OR(IF(Setup!$M$29&gt;0,Setup!$G$29+(Setup!$O$29+T$1)*Setup!$M$29,EDATE(Setup!$G$29,(Setup!$O$29+T$1)*Setup!$N$29))&gt;Setup!$P$29,IF(Setup!$M$29&gt;0,Setup!$G$29+(Setup!$O$29+T$1)*Setup!$M$29,EDATE(Setup!$G$29,(Setup!$O$29+T$1)*Setup!$N$29))&lt;Setup!$D$5),"",IF(Setup!$M$29&gt;0,Setup!$G$29+(Setup!$O$29+T$1)*Setup!$M$29,EDATE(Setup!$G$29,(Setup!$O$29+T$1)*Setup!$N$29))+$A6/1000)))</f>
        <v/>
      </c>
      <c r="U6">
        <f>IF(OR(Setup!$E$29="",Setup!$G$29="",Setup!$F$29=""),"",IF(AND(Setup!$F$29="Once",U$1&gt;0),"",IF(OR(IF(Setup!$M$29&gt;0,Setup!$G$29+(Setup!$O$29+U$1)*Setup!$M$29,EDATE(Setup!$G$29,(Setup!$O$29+U$1)*Setup!$N$29))&gt;Setup!$P$29,IF(Setup!$M$29&gt;0,Setup!$G$29+(Setup!$O$29+U$1)*Setup!$M$29,EDATE(Setup!$G$29,(Setup!$O$29+U$1)*Setup!$N$29))&lt;Setup!$D$5),"",IF(Setup!$M$29&gt;0,Setup!$G$29+(Setup!$O$29+U$1)*Setup!$M$29,EDATE(Setup!$G$29,(Setup!$O$29+U$1)*Setup!$N$29))+$A6/1000)))</f>
        <v/>
      </c>
      <c r="V6">
        <f>IF(OR(Setup!$E$29="",Setup!$G$29="",Setup!$F$29=""),"",IF(AND(Setup!$F$29="Once",V$1&gt;0),"",IF(OR(IF(Setup!$M$29&gt;0,Setup!$G$29+(Setup!$O$29+V$1)*Setup!$M$29,EDATE(Setup!$G$29,(Setup!$O$29+V$1)*Setup!$N$29))&gt;Setup!$P$29,IF(Setup!$M$29&gt;0,Setup!$G$29+(Setup!$O$29+V$1)*Setup!$M$29,EDATE(Setup!$G$29,(Setup!$O$29+V$1)*Setup!$N$29))&lt;Setup!$D$5),"",IF(Setup!$M$29&gt;0,Setup!$G$29+(Setup!$O$29+V$1)*Setup!$M$29,EDATE(Setup!$G$29,(Setup!$O$29+V$1)*Setup!$N$29))+$A6/1000)))</f>
        <v/>
      </c>
      <c r="W6">
        <f>IF(OR(Setup!$E$29="",Setup!$G$29="",Setup!$F$29=""),"",IF(AND(Setup!$F$29="Once",W$1&gt;0),"",IF(OR(IF(Setup!$M$29&gt;0,Setup!$G$29+(Setup!$O$29+W$1)*Setup!$M$29,EDATE(Setup!$G$29,(Setup!$O$29+W$1)*Setup!$N$29))&gt;Setup!$P$29,IF(Setup!$M$29&gt;0,Setup!$G$29+(Setup!$O$29+W$1)*Setup!$M$29,EDATE(Setup!$G$29,(Setup!$O$29+W$1)*Setup!$N$29))&lt;Setup!$D$5),"",IF(Setup!$M$29&gt;0,Setup!$G$29+(Setup!$O$29+W$1)*Setup!$M$29,EDATE(Setup!$G$29,(Setup!$O$29+W$1)*Setup!$N$29))+$A6/1000)))</f>
        <v/>
      </c>
      <c r="X6">
        <f>IF(OR(Setup!$E$29="",Setup!$G$29="",Setup!$F$29=""),"",IF(AND(Setup!$F$29="Once",X$1&gt;0),"",IF(OR(IF(Setup!$M$29&gt;0,Setup!$G$29+(Setup!$O$29+X$1)*Setup!$M$29,EDATE(Setup!$G$29,(Setup!$O$29+X$1)*Setup!$N$29))&gt;Setup!$P$29,IF(Setup!$M$29&gt;0,Setup!$G$29+(Setup!$O$29+X$1)*Setup!$M$29,EDATE(Setup!$G$29,(Setup!$O$29+X$1)*Setup!$N$29))&lt;Setup!$D$5),"",IF(Setup!$M$29&gt;0,Setup!$G$29+(Setup!$O$29+X$1)*Setup!$M$29,EDATE(Setup!$G$29,(Setup!$O$29+X$1)*Setup!$N$29))+$A6/1000)))</f>
        <v/>
      </c>
      <c r="Y6">
        <f>IF(OR(Setup!$E$29="",Setup!$G$29="",Setup!$F$29=""),"",IF(AND(Setup!$F$29="Once",Y$1&gt;0),"",IF(OR(IF(Setup!$M$29&gt;0,Setup!$G$29+(Setup!$O$29+Y$1)*Setup!$M$29,EDATE(Setup!$G$29,(Setup!$O$29+Y$1)*Setup!$N$29))&gt;Setup!$P$29,IF(Setup!$M$29&gt;0,Setup!$G$29+(Setup!$O$29+Y$1)*Setup!$M$29,EDATE(Setup!$G$29,(Setup!$O$29+Y$1)*Setup!$N$29))&lt;Setup!$D$5),"",IF(Setup!$M$29&gt;0,Setup!$G$29+(Setup!$O$29+Y$1)*Setup!$M$29,EDATE(Setup!$G$29,(Setup!$O$29+Y$1)*Setup!$N$29))+$A6/1000)))</f>
        <v/>
      </c>
      <c r="Z6">
        <f>IF(OR(Setup!$E$29="",Setup!$G$29="",Setup!$F$29=""),"",IF(AND(Setup!$F$29="Once",Z$1&gt;0),"",IF(OR(IF(Setup!$M$29&gt;0,Setup!$G$29+(Setup!$O$29+Z$1)*Setup!$M$29,EDATE(Setup!$G$29,(Setup!$O$29+Z$1)*Setup!$N$29))&gt;Setup!$P$29,IF(Setup!$M$29&gt;0,Setup!$G$29+(Setup!$O$29+Z$1)*Setup!$M$29,EDATE(Setup!$G$29,(Setup!$O$29+Z$1)*Setup!$N$29))&lt;Setup!$D$5),"",IF(Setup!$M$29&gt;0,Setup!$G$29+(Setup!$O$29+Z$1)*Setup!$M$29,EDATE(Setup!$G$29,(Setup!$O$29+Z$1)*Setup!$N$29))+$A6/1000)))</f>
        <v/>
      </c>
      <c r="AA6">
        <f>IF(OR(Setup!$E$29="",Setup!$G$29="",Setup!$F$29=""),"",IF(AND(Setup!$F$29="Once",AA$1&gt;0),"",IF(OR(IF(Setup!$M$29&gt;0,Setup!$G$29+(Setup!$O$29+AA$1)*Setup!$M$29,EDATE(Setup!$G$29,(Setup!$O$29+AA$1)*Setup!$N$29))&gt;Setup!$P$29,IF(Setup!$M$29&gt;0,Setup!$G$29+(Setup!$O$29+AA$1)*Setup!$M$29,EDATE(Setup!$G$29,(Setup!$O$29+AA$1)*Setup!$N$29))&lt;Setup!$D$5),"",IF(Setup!$M$29&gt;0,Setup!$G$29+(Setup!$O$29+AA$1)*Setup!$M$29,EDATE(Setup!$G$29,(Setup!$O$29+AA$1)*Setup!$N$29))+$A6/1000)))</f>
        <v/>
      </c>
      <c r="AB6">
        <f>IF(OR(Setup!$E$29="",Setup!$G$29="",Setup!$F$29=""),"",IF(AND(Setup!$F$29="Once",AB$1&gt;0),"",IF(OR(IF(Setup!$M$29&gt;0,Setup!$G$29+(Setup!$O$29+AB$1)*Setup!$M$29,EDATE(Setup!$G$29,(Setup!$O$29+AB$1)*Setup!$N$29))&gt;Setup!$P$29,IF(Setup!$M$29&gt;0,Setup!$G$29+(Setup!$O$29+AB$1)*Setup!$M$29,EDATE(Setup!$G$29,(Setup!$O$29+AB$1)*Setup!$N$29))&lt;Setup!$D$5),"",IF(Setup!$M$29&gt;0,Setup!$G$29+(Setup!$O$29+AB$1)*Setup!$M$29,EDATE(Setup!$G$29,(Setup!$O$29+AB$1)*Setup!$N$29))+$A6/1000)))</f>
        <v/>
      </c>
      <c r="AC6">
        <f>IF(OR(Setup!$E$29="",Setup!$G$29="",Setup!$F$29=""),"",IF(AND(Setup!$F$29="Once",AC$1&gt;0),"",IF(OR(IF(Setup!$M$29&gt;0,Setup!$G$29+(Setup!$O$29+AC$1)*Setup!$M$29,EDATE(Setup!$G$29,(Setup!$O$29+AC$1)*Setup!$N$29))&gt;Setup!$P$29,IF(Setup!$M$29&gt;0,Setup!$G$29+(Setup!$O$29+AC$1)*Setup!$M$29,EDATE(Setup!$G$29,(Setup!$O$29+AC$1)*Setup!$N$29))&lt;Setup!$D$5),"",IF(Setup!$M$29&gt;0,Setup!$G$29+(Setup!$O$29+AC$1)*Setup!$M$29,EDATE(Setup!$G$29,(Setup!$O$29+AC$1)*Setup!$N$29))+$A6/1000)))</f>
        <v/>
      </c>
      <c r="AD6">
        <f>IF(OR(Setup!$E$29="",Setup!$G$29="",Setup!$F$29=""),"",IF(AND(Setup!$F$29="Once",AD$1&gt;0),"",IF(OR(IF(Setup!$M$29&gt;0,Setup!$G$29+(Setup!$O$29+AD$1)*Setup!$M$29,EDATE(Setup!$G$29,(Setup!$O$29+AD$1)*Setup!$N$29))&gt;Setup!$P$29,IF(Setup!$M$29&gt;0,Setup!$G$29+(Setup!$O$29+AD$1)*Setup!$M$29,EDATE(Setup!$G$29,(Setup!$O$29+AD$1)*Setup!$N$29))&lt;Setup!$D$5),"",IF(Setup!$M$29&gt;0,Setup!$G$29+(Setup!$O$29+AD$1)*Setup!$M$29,EDATE(Setup!$G$29,(Setup!$O$29+AD$1)*Setup!$N$29))+$A6/1000)))</f>
        <v/>
      </c>
      <c r="AE6">
        <f>IF(OR(Setup!$E$29="",Setup!$G$29="",Setup!$F$29=""),"",IF(AND(Setup!$F$29="Once",AE$1&gt;0),"",IF(OR(IF(Setup!$M$29&gt;0,Setup!$G$29+(Setup!$O$29+AE$1)*Setup!$M$29,EDATE(Setup!$G$29,(Setup!$O$29+AE$1)*Setup!$N$29))&gt;Setup!$P$29,IF(Setup!$M$29&gt;0,Setup!$G$29+(Setup!$O$29+AE$1)*Setup!$M$29,EDATE(Setup!$G$29,(Setup!$O$29+AE$1)*Setup!$N$29))&lt;Setup!$D$5),"",IF(Setup!$M$29&gt;0,Setup!$G$29+(Setup!$O$29+AE$1)*Setup!$M$29,EDATE(Setup!$G$29,(Setup!$O$29+AE$1)*Setup!$N$29))+$A6/1000)))</f>
        <v/>
      </c>
      <c r="AF6">
        <f>IF(OR(Setup!$E$29="",Setup!$G$29="",Setup!$F$29=""),"",IF(AND(Setup!$F$29="Once",AF$1&gt;0),"",IF(OR(IF(Setup!$M$29&gt;0,Setup!$G$29+(Setup!$O$29+AF$1)*Setup!$M$29,EDATE(Setup!$G$29,(Setup!$O$29+AF$1)*Setup!$N$29))&gt;Setup!$P$29,IF(Setup!$M$29&gt;0,Setup!$G$29+(Setup!$O$29+AF$1)*Setup!$M$29,EDATE(Setup!$G$29,(Setup!$O$29+AF$1)*Setup!$N$29))&lt;Setup!$D$5),"",IF(Setup!$M$29&gt;0,Setup!$G$29+(Setup!$O$29+AF$1)*Setup!$M$29,EDATE(Setup!$G$29,(Setup!$O$29+AF$1)*Setup!$N$29))+$A6/1000)))</f>
        <v/>
      </c>
      <c r="AG6">
        <f>IF(OR(Setup!$E$29="",Setup!$G$29="",Setup!$F$29=""),"",IF(AND(Setup!$F$29="Once",AG$1&gt;0),"",IF(OR(IF(Setup!$M$29&gt;0,Setup!$G$29+(Setup!$O$29+AG$1)*Setup!$M$29,EDATE(Setup!$G$29,(Setup!$O$29+AG$1)*Setup!$N$29))&gt;Setup!$P$29,IF(Setup!$M$29&gt;0,Setup!$G$29+(Setup!$O$29+AG$1)*Setup!$M$29,EDATE(Setup!$G$29,(Setup!$O$29+AG$1)*Setup!$N$29))&lt;Setup!$D$5),"",IF(Setup!$M$29&gt;0,Setup!$G$29+(Setup!$O$29+AG$1)*Setup!$M$29,EDATE(Setup!$G$29,(Setup!$O$29+AG$1)*Setup!$N$29))+$A6/1000)))</f>
        <v/>
      </c>
      <c r="AH6">
        <f>IF(OR(Setup!$E$29="",Setup!$G$29="",Setup!$F$29=""),"",IF(AND(Setup!$F$29="Once",AH$1&gt;0),"",IF(OR(IF(Setup!$M$29&gt;0,Setup!$G$29+(Setup!$O$29+AH$1)*Setup!$M$29,EDATE(Setup!$G$29,(Setup!$O$29+AH$1)*Setup!$N$29))&gt;Setup!$P$29,IF(Setup!$M$29&gt;0,Setup!$G$29+(Setup!$O$29+AH$1)*Setup!$M$29,EDATE(Setup!$G$29,(Setup!$O$29+AH$1)*Setup!$N$29))&lt;Setup!$D$5),"",IF(Setup!$M$29&gt;0,Setup!$G$29+(Setup!$O$29+AH$1)*Setup!$M$29,EDATE(Setup!$G$29,(Setup!$O$29+AH$1)*Setup!$N$29))+$A6/1000)))</f>
        <v/>
      </c>
      <c r="AI6">
        <f>IF(OR(Setup!$E$29="",Setup!$G$29="",Setup!$F$29=""),"",IF(AND(Setup!$F$29="Once",AI$1&gt;0),"",IF(OR(IF(Setup!$M$29&gt;0,Setup!$G$29+(Setup!$O$29+AI$1)*Setup!$M$29,EDATE(Setup!$G$29,(Setup!$O$29+AI$1)*Setup!$N$29))&gt;Setup!$P$29,IF(Setup!$M$29&gt;0,Setup!$G$29+(Setup!$O$29+AI$1)*Setup!$M$29,EDATE(Setup!$G$29,(Setup!$O$29+AI$1)*Setup!$N$29))&lt;Setup!$D$5),"",IF(Setup!$M$29&gt;0,Setup!$G$29+(Setup!$O$29+AI$1)*Setup!$M$29,EDATE(Setup!$G$29,(Setup!$O$29+AI$1)*Setup!$N$29))+$A6/1000)))</f>
        <v/>
      </c>
      <c r="AJ6">
        <f>IF(OR(Setup!$E$29="",Setup!$G$29="",Setup!$F$29=""),"",IF(AND(Setup!$F$29="Once",AJ$1&gt;0),"",IF(OR(IF(Setup!$M$29&gt;0,Setup!$G$29+(Setup!$O$29+AJ$1)*Setup!$M$29,EDATE(Setup!$G$29,(Setup!$O$29+AJ$1)*Setup!$N$29))&gt;Setup!$P$29,IF(Setup!$M$29&gt;0,Setup!$G$29+(Setup!$O$29+AJ$1)*Setup!$M$29,EDATE(Setup!$G$29,(Setup!$O$29+AJ$1)*Setup!$N$29))&lt;Setup!$D$5),"",IF(Setup!$M$29&gt;0,Setup!$G$29+(Setup!$O$29+AJ$1)*Setup!$M$29,EDATE(Setup!$G$29,(Setup!$O$29+AJ$1)*Setup!$N$29))+$A6/1000)))</f>
        <v/>
      </c>
      <c r="AK6">
        <f>IF(OR(Setup!$E$29="",Setup!$G$29="",Setup!$F$29=""),"",IF(AND(Setup!$F$29="Once",AK$1&gt;0),"",IF(OR(IF(Setup!$M$29&gt;0,Setup!$G$29+(Setup!$O$29+AK$1)*Setup!$M$29,EDATE(Setup!$G$29,(Setup!$O$29+AK$1)*Setup!$N$29))&gt;Setup!$P$29,IF(Setup!$M$29&gt;0,Setup!$G$29+(Setup!$O$29+AK$1)*Setup!$M$29,EDATE(Setup!$G$29,(Setup!$O$29+AK$1)*Setup!$N$29))&lt;Setup!$D$5),"",IF(Setup!$M$29&gt;0,Setup!$G$29+(Setup!$O$29+AK$1)*Setup!$M$29,EDATE(Setup!$G$29,(Setup!$O$29+AK$1)*Setup!$N$29))+$A6/1000)))</f>
        <v/>
      </c>
      <c r="AL6">
        <f>IF(OR(Setup!$E$29="",Setup!$G$29="",Setup!$F$29=""),"",IF(AND(Setup!$F$29="Once",AL$1&gt;0),"",IF(OR(IF(Setup!$M$29&gt;0,Setup!$G$29+(Setup!$O$29+AL$1)*Setup!$M$29,EDATE(Setup!$G$29,(Setup!$O$29+AL$1)*Setup!$N$29))&gt;Setup!$P$29,IF(Setup!$M$29&gt;0,Setup!$G$29+(Setup!$O$29+AL$1)*Setup!$M$29,EDATE(Setup!$G$29,(Setup!$O$29+AL$1)*Setup!$N$29))&lt;Setup!$D$5),"",IF(Setup!$M$29&gt;0,Setup!$G$29+(Setup!$O$29+AL$1)*Setup!$M$29,EDATE(Setup!$G$29,(Setup!$O$29+AL$1)*Setup!$N$29))+$A6/1000)))</f>
        <v/>
      </c>
      <c r="AM6">
        <f>IF(OR(Setup!$E$29="",Setup!$G$29="",Setup!$F$29=""),"",IF(AND(Setup!$F$29="Once",AM$1&gt;0),"",IF(OR(IF(Setup!$M$29&gt;0,Setup!$G$29+(Setup!$O$29+AM$1)*Setup!$M$29,EDATE(Setup!$G$29,(Setup!$O$29+AM$1)*Setup!$N$29))&gt;Setup!$P$29,IF(Setup!$M$29&gt;0,Setup!$G$29+(Setup!$O$29+AM$1)*Setup!$M$29,EDATE(Setup!$G$29,(Setup!$O$29+AM$1)*Setup!$N$29))&lt;Setup!$D$5),"",IF(Setup!$M$29&gt;0,Setup!$G$29+(Setup!$O$29+AM$1)*Setup!$M$29,EDATE(Setup!$G$29,(Setup!$O$29+AM$1)*Setup!$N$29))+$A6/1000)))</f>
        <v/>
      </c>
      <c r="AN6">
        <f>IF(OR(Setup!$E$29="",Setup!$G$29="",Setup!$F$29=""),"",IF(AND(Setup!$F$29="Once",AN$1&gt;0),"",IF(OR(IF(Setup!$M$29&gt;0,Setup!$G$29+(Setup!$O$29+AN$1)*Setup!$M$29,EDATE(Setup!$G$29,(Setup!$O$29+AN$1)*Setup!$N$29))&gt;Setup!$P$29,IF(Setup!$M$29&gt;0,Setup!$G$29+(Setup!$O$29+AN$1)*Setup!$M$29,EDATE(Setup!$G$29,(Setup!$O$29+AN$1)*Setup!$N$29))&lt;Setup!$D$5),"",IF(Setup!$M$29&gt;0,Setup!$G$29+(Setup!$O$29+AN$1)*Setup!$M$29,EDATE(Setup!$G$29,(Setup!$O$29+AN$1)*Setup!$N$29))+$A6/1000)))</f>
        <v/>
      </c>
      <c r="AO6">
        <f>IF(OR(Setup!$E$29="",Setup!$G$29="",Setup!$F$29=""),"",IF(AND(Setup!$F$29="Once",AO$1&gt;0),"",IF(OR(IF(Setup!$M$29&gt;0,Setup!$G$29+(Setup!$O$29+AO$1)*Setup!$M$29,EDATE(Setup!$G$29,(Setup!$O$29+AO$1)*Setup!$N$29))&gt;Setup!$P$29,IF(Setup!$M$29&gt;0,Setup!$G$29+(Setup!$O$29+AO$1)*Setup!$M$29,EDATE(Setup!$G$29,(Setup!$O$29+AO$1)*Setup!$N$29))&lt;Setup!$D$5),"",IF(Setup!$M$29&gt;0,Setup!$G$29+(Setup!$O$29+AO$1)*Setup!$M$29,EDATE(Setup!$G$29,(Setup!$O$29+AO$1)*Setup!$N$29))+$A6/1000)))</f>
        <v/>
      </c>
      <c r="AP6">
        <f>IF(OR(Setup!$E$29="",Setup!$G$29="",Setup!$F$29=""),"",IF(AND(Setup!$F$29="Once",AP$1&gt;0),"",IF(OR(IF(Setup!$M$29&gt;0,Setup!$G$29+(Setup!$O$29+AP$1)*Setup!$M$29,EDATE(Setup!$G$29,(Setup!$O$29+AP$1)*Setup!$N$29))&gt;Setup!$P$29,IF(Setup!$M$29&gt;0,Setup!$G$29+(Setup!$O$29+AP$1)*Setup!$M$29,EDATE(Setup!$G$29,(Setup!$O$29+AP$1)*Setup!$N$29))&lt;Setup!$D$5),"",IF(Setup!$M$29&gt;0,Setup!$G$29+(Setup!$O$29+AP$1)*Setup!$M$29,EDATE(Setup!$G$29,(Setup!$O$29+AP$1)*Setup!$N$29))+$A6/1000)))</f>
        <v/>
      </c>
      <c r="AQ6">
        <f>IF(OR(Setup!$E$29="",Setup!$G$29="",Setup!$F$29=""),"",IF(AND(Setup!$F$29="Once",AQ$1&gt;0),"",IF(OR(IF(Setup!$M$29&gt;0,Setup!$G$29+(Setup!$O$29+AQ$1)*Setup!$M$29,EDATE(Setup!$G$29,(Setup!$O$29+AQ$1)*Setup!$N$29))&gt;Setup!$P$29,IF(Setup!$M$29&gt;0,Setup!$G$29+(Setup!$O$29+AQ$1)*Setup!$M$29,EDATE(Setup!$G$29,(Setup!$O$29+AQ$1)*Setup!$N$29))&lt;Setup!$D$5),"",IF(Setup!$M$29&gt;0,Setup!$G$29+(Setup!$O$29+AQ$1)*Setup!$M$29,EDATE(Setup!$G$29,(Setup!$O$29+AQ$1)*Setup!$N$29))+$A6/1000)))</f>
        <v/>
      </c>
      <c r="AR6">
        <f>IF(OR(Setup!$E$29="",Setup!$G$29="",Setup!$F$29=""),"",IF(AND(Setup!$F$29="Once",AR$1&gt;0),"",IF(OR(IF(Setup!$M$29&gt;0,Setup!$G$29+(Setup!$O$29+AR$1)*Setup!$M$29,EDATE(Setup!$G$29,(Setup!$O$29+AR$1)*Setup!$N$29))&gt;Setup!$P$29,IF(Setup!$M$29&gt;0,Setup!$G$29+(Setup!$O$29+AR$1)*Setup!$M$29,EDATE(Setup!$G$29,(Setup!$O$29+AR$1)*Setup!$N$29))&lt;Setup!$D$5),"",IF(Setup!$M$29&gt;0,Setup!$G$29+(Setup!$O$29+AR$1)*Setup!$M$29,EDATE(Setup!$G$29,(Setup!$O$29+AR$1)*Setup!$N$29))+$A6/1000)))</f>
        <v/>
      </c>
      <c r="AS6">
        <f>IF(OR(Setup!$E$29="",Setup!$G$29="",Setup!$F$29=""),"",IF(AND(Setup!$F$29="Once",AS$1&gt;0),"",IF(OR(IF(Setup!$M$29&gt;0,Setup!$G$29+(Setup!$O$29+AS$1)*Setup!$M$29,EDATE(Setup!$G$29,(Setup!$O$29+AS$1)*Setup!$N$29))&gt;Setup!$P$29,IF(Setup!$M$29&gt;0,Setup!$G$29+(Setup!$O$29+AS$1)*Setup!$M$29,EDATE(Setup!$G$29,(Setup!$O$29+AS$1)*Setup!$N$29))&lt;Setup!$D$5),"",IF(Setup!$M$29&gt;0,Setup!$G$29+(Setup!$O$29+AS$1)*Setup!$M$29,EDATE(Setup!$G$29,(Setup!$O$29+AS$1)*Setup!$N$29))+$A6/1000)))</f>
        <v/>
      </c>
      <c r="AT6">
        <f>IF(OR(Setup!$E$29="",Setup!$G$29="",Setup!$F$29=""),"",IF(AND(Setup!$F$29="Once",AT$1&gt;0),"",IF(OR(IF(Setup!$M$29&gt;0,Setup!$G$29+(Setup!$O$29+AT$1)*Setup!$M$29,EDATE(Setup!$G$29,(Setup!$O$29+AT$1)*Setup!$N$29))&gt;Setup!$P$29,IF(Setup!$M$29&gt;0,Setup!$G$29+(Setup!$O$29+AT$1)*Setup!$M$29,EDATE(Setup!$G$29,(Setup!$O$29+AT$1)*Setup!$N$29))&lt;Setup!$D$5),"",IF(Setup!$M$29&gt;0,Setup!$G$29+(Setup!$O$29+AT$1)*Setup!$M$29,EDATE(Setup!$G$29,(Setup!$O$29+AT$1)*Setup!$N$29))+$A6/1000)))</f>
        <v/>
      </c>
      <c r="AU6">
        <f>IF(OR(Setup!$E$29="",Setup!$G$29="",Setup!$F$29=""),"",IF(AND(Setup!$F$29="Once",AU$1&gt;0),"",IF(OR(IF(Setup!$M$29&gt;0,Setup!$G$29+(Setup!$O$29+AU$1)*Setup!$M$29,EDATE(Setup!$G$29,(Setup!$O$29+AU$1)*Setup!$N$29))&gt;Setup!$P$29,IF(Setup!$M$29&gt;0,Setup!$G$29+(Setup!$O$29+AU$1)*Setup!$M$29,EDATE(Setup!$G$29,(Setup!$O$29+AU$1)*Setup!$N$29))&lt;Setup!$D$5),"",IF(Setup!$M$29&gt;0,Setup!$G$29+(Setup!$O$29+AU$1)*Setup!$M$29,EDATE(Setup!$G$29,(Setup!$O$29+AU$1)*Setup!$N$29))+$A6/1000)))</f>
        <v/>
      </c>
      <c r="AV6">
        <f>IF(OR(Setup!$E$29="",Setup!$G$29="",Setup!$F$29=""),"",IF(AND(Setup!$F$29="Once",AV$1&gt;0),"",IF(OR(IF(Setup!$M$29&gt;0,Setup!$G$29+(Setup!$O$29+AV$1)*Setup!$M$29,EDATE(Setup!$G$29,(Setup!$O$29+AV$1)*Setup!$N$29))&gt;Setup!$P$29,IF(Setup!$M$29&gt;0,Setup!$G$29+(Setup!$O$29+AV$1)*Setup!$M$29,EDATE(Setup!$G$29,(Setup!$O$29+AV$1)*Setup!$N$29))&lt;Setup!$D$5),"",IF(Setup!$M$29&gt;0,Setup!$G$29+(Setup!$O$29+AV$1)*Setup!$M$29,EDATE(Setup!$G$29,(Setup!$O$29+AV$1)*Setup!$N$29))+$A6/1000)))</f>
        <v/>
      </c>
      <c r="AW6">
        <f>IF(OR(Setup!$E$29="",Setup!$G$29="",Setup!$F$29=""),"",IF(AND(Setup!$F$29="Once",AW$1&gt;0),"",IF(OR(IF(Setup!$M$29&gt;0,Setup!$G$29+(Setup!$O$29+AW$1)*Setup!$M$29,EDATE(Setup!$G$29,(Setup!$O$29+AW$1)*Setup!$N$29))&gt;Setup!$P$29,IF(Setup!$M$29&gt;0,Setup!$G$29+(Setup!$O$29+AW$1)*Setup!$M$29,EDATE(Setup!$G$29,(Setup!$O$29+AW$1)*Setup!$N$29))&lt;Setup!$D$5),"",IF(Setup!$M$29&gt;0,Setup!$G$29+(Setup!$O$29+AW$1)*Setup!$M$29,EDATE(Setup!$G$29,(Setup!$O$29+AW$1)*Setup!$N$29))+$A6/1000)))</f>
        <v/>
      </c>
      <c r="AX6">
        <f>IF(OR(Setup!$E$29="",Setup!$G$29="",Setup!$F$29=""),"",IF(AND(Setup!$F$29="Once",AX$1&gt;0),"",IF(OR(IF(Setup!$M$29&gt;0,Setup!$G$29+(Setup!$O$29+AX$1)*Setup!$M$29,EDATE(Setup!$G$29,(Setup!$O$29+AX$1)*Setup!$N$29))&gt;Setup!$P$29,IF(Setup!$M$29&gt;0,Setup!$G$29+(Setup!$O$29+AX$1)*Setup!$M$29,EDATE(Setup!$G$29,(Setup!$O$29+AX$1)*Setup!$N$29))&lt;Setup!$D$5),"",IF(Setup!$M$29&gt;0,Setup!$G$29+(Setup!$O$29+AX$1)*Setup!$M$29,EDATE(Setup!$G$29,(Setup!$O$29+AX$1)*Setup!$N$29))+$A6/1000)))</f>
        <v/>
      </c>
      <c r="AY6">
        <f>IF(OR(Setup!$E$29="",Setup!$G$29="",Setup!$F$29=""),"",IF(AND(Setup!$F$29="Once",AY$1&gt;0),"",IF(OR(IF(Setup!$M$29&gt;0,Setup!$G$29+(Setup!$O$29+AY$1)*Setup!$M$29,EDATE(Setup!$G$29,(Setup!$O$29+AY$1)*Setup!$N$29))&gt;Setup!$P$29,IF(Setup!$M$29&gt;0,Setup!$G$29+(Setup!$O$29+AY$1)*Setup!$M$29,EDATE(Setup!$G$29,(Setup!$O$29+AY$1)*Setup!$N$29))&lt;Setup!$D$5),"",IF(Setup!$M$29&gt;0,Setup!$G$29+(Setup!$O$29+AY$1)*Setup!$M$29,EDATE(Setup!$G$29,(Setup!$O$29+AY$1)*Setup!$N$29))+$A6/1000)))</f>
        <v/>
      </c>
      <c r="AZ6">
        <f>IF(OR(Setup!$E$29="",Setup!$G$29="",Setup!$F$29=""),"",IF(AND(Setup!$F$29="Once",AZ$1&gt;0),"",IF(OR(IF(Setup!$M$29&gt;0,Setup!$G$29+(Setup!$O$29+AZ$1)*Setup!$M$29,EDATE(Setup!$G$29,(Setup!$O$29+AZ$1)*Setup!$N$29))&gt;Setup!$P$29,IF(Setup!$M$29&gt;0,Setup!$G$29+(Setup!$O$29+AZ$1)*Setup!$M$29,EDATE(Setup!$G$29,(Setup!$O$29+AZ$1)*Setup!$N$29))&lt;Setup!$D$5),"",IF(Setup!$M$29&gt;0,Setup!$G$29+(Setup!$O$29+AZ$1)*Setup!$M$29,EDATE(Setup!$G$29,(Setup!$O$29+AZ$1)*Setup!$N$29))+$A6/1000)))</f>
        <v/>
      </c>
      <c r="BA6">
        <f>IF(OR(Setup!$E$29="",Setup!$G$29="",Setup!$F$29=""),"",IF(AND(Setup!$F$29="Once",BA$1&gt;0),"",IF(OR(IF(Setup!$M$29&gt;0,Setup!$G$29+(Setup!$O$29+BA$1)*Setup!$M$29,EDATE(Setup!$G$29,(Setup!$O$29+BA$1)*Setup!$N$29))&gt;Setup!$P$29,IF(Setup!$M$29&gt;0,Setup!$G$29+(Setup!$O$29+BA$1)*Setup!$M$29,EDATE(Setup!$G$29,(Setup!$O$29+BA$1)*Setup!$N$29))&lt;Setup!$D$5),"",IF(Setup!$M$29&gt;0,Setup!$G$29+(Setup!$O$29+BA$1)*Setup!$M$29,EDATE(Setup!$G$29,(Setup!$O$29+BA$1)*Setup!$N$29))+$A6/1000)))</f>
        <v/>
      </c>
      <c r="BB6">
        <f>IF(OR(Setup!$E$29="",Setup!$G$29="",Setup!$F$29=""),"",IF(AND(Setup!$F$29="Once",BB$1&gt;0),"",IF(OR(IF(Setup!$M$29&gt;0,Setup!$G$29+(Setup!$O$29+BB$1)*Setup!$M$29,EDATE(Setup!$G$29,(Setup!$O$29+BB$1)*Setup!$N$29))&gt;Setup!$P$29,IF(Setup!$M$29&gt;0,Setup!$G$29+(Setup!$O$29+BB$1)*Setup!$M$29,EDATE(Setup!$G$29,(Setup!$O$29+BB$1)*Setup!$N$29))&lt;Setup!$D$5),"",IF(Setup!$M$29&gt;0,Setup!$G$29+(Setup!$O$29+BB$1)*Setup!$M$29,EDATE(Setup!$G$29,(Setup!$O$29+BB$1)*Setup!$N$29))+$A6/1000)))</f>
        <v/>
      </c>
    </row>
    <row r="7">
      <c r="A7" t="n">
        <v>6</v>
      </c>
      <c r="B7">
        <f>IF(OR(Setup!$E$30="",Setup!$G$30="",Setup!$F$30=""),"",IF(AND(Setup!$F$30="Once",B$1&gt;0),"",IF(OR(IF(Setup!$M$30&gt;0,Setup!$G$30+(Setup!$O$30+B$1)*Setup!$M$30,EDATE(Setup!$G$30,(Setup!$O$30+B$1)*Setup!$N$30))&gt;Setup!$P$30,IF(Setup!$M$30&gt;0,Setup!$G$30+(Setup!$O$30+B$1)*Setup!$M$30,EDATE(Setup!$G$30,(Setup!$O$30+B$1)*Setup!$N$30))&lt;Setup!$D$5),"",IF(Setup!$M$30&gt;0,Setup!$G$30+(Setup!$O$30+B$1)*Setup!$M$30,EDATE(Setup!$G$30,(Setup!$O$30+B$1)*Setup!$N$30))+$A7/1000)))</f>
        <v/>
      </c>
      <c r="C7">
        <f>IF(OR(Setup!$E$30="",Setup!$G$30="",Setup!$F$30=""),"",IF(AND(Setup!$F$30="Once",C$1&gt;0),"",IF(OR(IF(Setup!$M$30&gt;0,Setup!$G$30+(Setup!$O$30+C$1)*Setup!$M$30,EDATE(Setup!$G$30,(Setup!$O$30+C$1)*Setup!$N$30))&gt;Setup!$P$30,IF(Setup!$M$30&gt;0,Setup!$G$30+(Setup!$O$30+C$1)*Setup!$M$30,EDATE(Setup!$G$30,(Setup!$O$30+C$1)*Setup!$N$30))&lt;Setup!$D$5),"",IF(Setup!$M$30&gt;0,Setup!$G$30+(Setup!$O$30+C$1)*Setup!$M$30,EDATE(Setup!$G$30,(Setup!$O$30+C$1)*Setup!$N$30))+$A7/1000)))</f>
        <v/>
      </c>
      <c r="D7">
        <f>IF(OR(Setup!$E$30="",Setup!$G$30="",Setup!$F$30=""),"",IF(AND(Setup!$F$30="Once",D$1&gt;0),"",IF(OR(IF(Setup!$M$30&gt;0,Setup!$G$30+(Setup!$O$30+D$1)*Setup!$M$30,EDATE(Setup!$G$30,(Setup!$O$30+D$1)*Setup!$N$30))&gt;Setup!$P$30,IF(Setup!$M$30&gt;0,Setup!$G$30+(Setup!$O$30+D$1)*Setup!$M$30,EDATE(Setup!$G$30,(Setup!$O$30+D$1)*Setup!$N$30))&lt;Setup!$D$5),"",IF(Setup!$M$30&gt;0,Setup!$G$30+(Setup!$O$30+D$1)*Setup!$M$30,EDATE(Setup!$G$30,(Setup!$O$30+D$1)*Setup!$N$30))+$A7/1000)))</f>
        <v/>
      </c>
      <c r="E7">
        <f>IF(OR(Setup!$E$30="",Setup!$G$30="",Setup!$F$30=""),"",IF(AND(Setup!$F$30="Once",E$1&gt;0),"",IF(OR(IF(Setup!$M$30&gt;0,Setup!$G$30+(Setup!$O$30+E$1)*Setup!$M$30,EDATE(Setup!$G$30,(Setup!$O$30+E$1)*Setup!$N$30))&gt;Setup!$P$30,IF(Setup!$M$30&gt;0,Setup!$G$30+(Setup!$O$30+E$1)*Setup!$M$30,EDATE(Setup!$G$30,(Setup!$O$30+E$1)*Setup!$N$30))&lt;Setup!$D$5),"",IF(Setup!$M$30&gt;0,Setup!$G$30+(Setup!$O$30+E$1)*Setup!$M$30,EDATE(Setup!$G$30,(Setup!$O$30+E$1)*Setup!$N$30))+$A7/1000)))</f>
        <v/>
      </c>
      <c r="F7">
        <f>IF(OR(Setup!$E$30="",Setup!$G$30="",Setup!$F$30=""),"",IF(AND(Setup!$F$30="Once",F$1&gt;0),"",IF(OR(IF(Setup!$M$30&gt;0,Setup!$G$30+(Setup!$O$30+F$1)*Setup!$M$30,EDATE(Setup!$G$30,(Setup!$O$30+F$1)*Setup!$N$30))&gt;Setup!$P$30,IF(Setup!$M$30&gt;0,Setup!$G$30+(Setup!$O$30+F$1)*Setup!$M$30,EDATE(Setup!$G$30,(Setup!$O$30+F$1)*Setup!$N$30))&lt;Setup!$D$5),"",IF(Setup!$M$30&gt;0,Setup!$G$30+(Setup!$O$30+F$1)*Setup!$M$30,EDATE(Setup!$G$30,(Setup!$O$30+F$1)*Setup!$N$30))+$A7/1000)))</f>
        <v/>
      </c>
      <c r="G7">
        <f>IF(OR(Setup!$E$30="",Setup!$G$30="",Setup!$F$30=""),"",IF(AND(Setup!$F$30="Once",G$1&gt;0),"",IF(OR(IF(Setup!$M$30&gt;0,Setup!$G$30+(Setup!$O$30+G$1)*Setup!$M$30,EDATE(Setup!$G$30,(Setup!$O$30+G$1)*Setup!$N$30))&gt;Setup!$P$30,IF(Setup!$M$30&gt;0,Setup!$G$30+(Setup!$O$30+G$1)*Setup!$M$30,EDATE(Setup!$G$30,(Setup!$O$30+G$1)*Setup!$N$30))&lt;Setup!$D$5),"",IF(Setup!$M$30&gt;0,Setup!$G$30+(Setup!$O$30+G$1)*Setup!$M$30,EDATE(Setup!$G$30,(Setup!$O$30+G$1)*Setup!$N$30))+$A7/1000)))</f>
        <v/>
      </c>
      <c r="H7">
        <f>IF(OR(Setup!$E$30="",Setup!$G$30="",Setup!$F$30=""),"",IF(AND(Setup!$F$30="Once",H$1&gt;0),"",IF(OR(IF(Setup!$M$30&gt;0,Setup!$G$30+(Setup!$O$30+H$1)*Setup!$M$30,EDATE(Setup!$G$30,(Setup!$O$30+H$1)*Setup!$N$30))&gt;Setup!$P$30,IF(Setup!$M$30&gt;0,Setup!$G$30+(Setup!$O$30+H$1)*Setup!$M$30,EDATE(Setup!$G$30,(Setup!$O$30+H$1)*Setup!$N$30))&lt;Setup!$D$5),"",IF(Setup!$M$30&gt;0,Setup!$G$30+(Setup!$O$30+H$1)*Setup!$M$30,EDATE(Setup!$G$30,(Setup!$O$30+H$1)*Setup!$N$30))+$A7/1000)))</f>
        <v/>
      </c>
      <c r="I7">
        <f>IF(OR(Setup!$E$30="",Setup!$G$30="",Setup!$F$30=""),"",IF(AND(Setup!$F$30="Once",I$1&gt;0),"",IF(OR(IF(Setup!$M$30&gt;0,Setup!$G$30+(Setup!$O$30+I$1)*Setup!$M$30,EDATE(Setup!$G$30,(Setup!$O$30+I$1)*Setup!$N$30))&gt;Setup!$P$30,IF(Setup!$M$30&gt;0,Setup!$G$30+(Setup!$O$30+I$1)*Setup!$M$30,EDATE(Setup!$G$30,(Setup!$O$30+I$1)*Setup!$N$30))&lt;Setup!$D$5),"",IF(Setup!$M$30&gt;0,Setup!$G$30+(Setup!$O$30+I$1)*Setup!$M$30,EDATE(Setup!$G$30,(Setup!$O$30+I$1)*Setup!$N$30))+$A7/1000)))</f>
        <v/>
      </c>
      <c r="J7">
        <f>IF(OR(Setup!$E$30="",Setup!$G$30="",Setup!$F$30=""),"",IF(AND(Setup!$F$30="Once",J$1&gt;0),"",IF(OR(IF(Setup!$M$30&gt;0,Setup!$G$30+(Setup!$O$30+J$1)*Setup!$M$30,EDATE(Setup!$G$30,(Setup!$O$30+J$1)*Setup!$N$30))&gt;Setup!$P$30,IF(Setup!$M$30&gt;0,Setup!$G$30+(Setup!$O$30+J$1)*Setup!$M$30,EDATE(Setup!$G$30,(Setup!$O$30+J$1)*Setup!$N$30))&lt;Setup!$D$5),"",IF(Setup!$M$30&gt;0,Setup!$G$30+(Setup!$O$30+J$1)*Setup!$M$30,EDATE(Setup!$G$30,(Setup!$O$30+J$1)*Setup!$N$30))+$A7/1000)))</f>
        <v/>
      </c>
      <c r="K7">
        <f>IF(OR(Setup!$E$30="",Setup!$G$30="",Setup!$F$30=""),"",IF(AND(Setup!$F$30="Once",K$1&gt;0),"",IF(OR(IF(Setup!$M$30&gt;0,Setup!$G$30+(Setup!$O$30+K$1)*Setup!$M$30,EDATE(Setup!$G$30,(Setup!$O$30+K$1)*Setup!$N$30))&gt;Setup!$P$30,IF(Setup!$M$30&gt;0,Setup!$G$30+(Setup!$O$30+K$1)*Setup!$M$30,EDATE(Setup!$G$30,(Setup!$O$30+K$1)*Setup!$N$30))&lt;Setup!$D$5),"",IF(Setup!$M$30&gt;0,Setup!$G$30+(Setup!$O$30+K$1)*Setup!$M$30,EDATE(Setup!$G$30,(Setup!$O$30+K$1)*Setup!$N$30))+$A7/1000)))</f>
        <v/>
      </c>
      <c r="L7">
        <f>IF(OR(Setup!$E$30="",Setup!$G$30="",Setup!$F$30=""),"",IF(AND(Setup!$F$30="Once",L$1&gt;0),"",IF(OR(IF(Setup!$M$30&gt;0,Setup!$G$30+(Setup!$O$30+L$1)*Setup!$M$30,EDATE(Setup!$G$30,(Setup!$O$30+L$1)*Setup!$N$30))&gt;Setup!$P$30,IF(Setup!$M$30&gt;0,Setup!$G$30+(Setup!$O$30+L$1)*Setup!$M$30,EDATE(Setup!$G$30,(Setup!$O$30+L$1)*Setup!$N$30))&lt;Setup!$D$5),"",IF(Setup!$M$30&gt;0,Setup!$G$30+(Setup!$O$30+L$1)*Setup!$M$30,EDATE(Setup!$G$30,(Setup!$O$30+L$1)*Setup!$N$30))+$A7/1000)))</f>
        <v/>
      </c>
      <c r="M7">
        <f>IF(OR(Setup!$E$30="",Setup!$G$30="",Setup!$F$30=""),"",IF(AND(Setup!$F$30="Once",M$1&gt;0),"",IF(OR(IF(Setup!$M$30&gt;0,Setup!$G$30+(Setup!$O$30+M$1)*Setup!$M$30,EDATE(Setup!$G$30,(Setup!$O$30+M$1)*Setup!$N$30))&gt;Setup!$P$30,IF(Setup!$M$30&gt;0,Setup!$G$30+(Setup!$O$30+M$1)*Setup!$M$30,EDATE(Setup!$G$30,(Setup!$O$30+M$1)*Setup!$N$30))&lt;Setup!$D$5),"",IF(Setup!$M$30&gt;0,Setup!$G$30+(Setup!$O$30+M$1)*Setup!$M$30,EDATE(Setup!$G$30,(Setup!$O$30+M$1)*Setup!$N$30))+$A7/1000)))</f>
        <v/>
      </c>
      <c r="N7">
        <f>IF(OR(Setup!$E$30="",Setup!$G$30="",Setup!$F$30=""),"",IF(AND(Setup!$F$30="Once",N$1&gt;0),"",IF(OR(IF(Setup!$M$30&gt;0,Setup!$G$30+(Setup!$O$30+N$1)*Setup!$M$30,EDATE(Setup!$G$30,(Setup!$O$30+N$1)*Setup!$N$30))&gt;Setup!$P$30,IF(Setup!$M$30&gt;0,Setup!$G$30+(Setup!$O$30+N$1)*Setup!$M$30,EDATE(Setup!$G$30,(Setup!$O$30+N$1)*Setup!$N$30))&lt;Setup!$D$5),"",IF(Setup!$M$30&gt;0,Setup!$G$30+(Setup!$O$30+N$1)*Setup!$M$30,EDATE(Setup!$G$30,(Setup!$O$30+N$1)*Setup!$N$30))+$A7/1000)))</f>
        <v/>
      </c>
      <c r="O7">
        <f>IF(OR(Setup!$E$30="",Setup!$G$30="",Setup!$F$30=""),"",IF(AND(Setup!$F$30="Once",O$1&gt;0),"",IF(OR(IF(Setup!$M$30&gt;0,Setup!$G$30+(Setup!$O$30+O$1)*Setup!$M$30,EDATE(Setup!$G$30,(Setup!$O$30+O$1)*Setup!$N$30))&gt;Setup!$P$30,IF(Setup!$M$30&gt;0,Setup!$G$30+(Setup!$O$30+O$1)*Setup!$M$30,EDATE(Setup!$G$30,(Setup!$O$30+O$1)*Setup!$N$30))&lt;Setup!$D$5),"",IF(Setup!$M$30&gt;0,Setup!$G$30+(Setup!$O$30+O$1)*Setup!$M$30,EDATE(Setup!$G$30,(Setup!$O$30+O$1)*Setup!$N$30))+$A7/1000)))</f>
        <v/>
      </c>
      <c r="P7">
        <f>IF(OR(Setup!$E$30="",Setup!$G$30="",Setup!$F$30=""),"",IF(AND(Setup!$F$30="Once",P$1&gt;0),"",IF(OR(IF(Setup!$M$30&gt;0,Setup!$G$30+(Setup!$O$30+P$1)*Setup!$M$30,EDATE(Setup!$G$30,(Setup!$O$30+P$1)*Setup!$N$30))&gt;Setup!$P$30,IF(Setup!$M$30&gt;0,Setup!$G$30+(Setup!$O$30+P$1)*Setup!$M$30,EDATE(Setup!$G$30,(Setup!$O$30+P$1)*Setup!$N$30))&lt;Setup!$D$5),"",IF(Setup!$M$30&gt;0,Setup!$G$30+(Setup!$O$30+P$1)*Setup!$M$30,EDATE(Setup!$G$30,(Setup!$O$30+P$1)*Setup!$N$30))+$A7/1000)))</f>
        <v/>
      </c>
      <c r="Q7">
        <f>IF(OR(Setup!$E$30="",Setup!$G$30="",Setup!$F$30=""),"",IF(AND(Setup!$F$30="Once",Q$1&gt;0),"",IF(OR(IF(Setup!$M$30&gt;0,Setup!$G$30+(Setup!$O$30+Q$1)*Setup!$M$30,EDATE(Setup!$G$30,(Setup!$O$30+Q$1)*Setup!$N$30))&gt;Setup!$P$30,IF(Setup!$M$30&gt;0,Setup!$G$30+(Setup!$O$30+Q$1)*Setup!$M$30,EDATE(Setup!$G$30,(Setup!$O$30+Q$1)*Setup!$N$30))&lt;Setup!$D$5),"",IF(Setup!$M$30&gt;0,Setup!$G$30+(Setup!$O$30+Q$1)*Setup!$M$30,EDATE(Setup!$G$30,(Setup!$O$30+Q$1)*Setup!$N$30))+$A7/1000)))</f>
        <v/>
      </c>
      <c r="R7">
        <f>IF(OR(Setup!$E$30="",Setup!$G$30="",Setup!$F$30=""),"",IF(AND(Setup!$F$30="Once",R$1&gt;0),"",IF(OR(IF(Setup!$M$30&gt;0,Setup!$G$30+(Setup!$O$30+R$1)*Setup!$M$30,EDATE(Setup!$G$30,(Setup!$O$30+R$1)*Setup!$N$30))&gt;Setup!$P$30,IF(Setup!$M$30&gt;0,Setup!$G$30+(Setup!$O$30+R$1)*Setup!$M$30,EDATE(Setup!$G$30,(Setup!$O$30+R$1)*Setup!$N$30))&lt;Setup!$D$5),"",IF(Setup!$M$30&gt;0,Setup!$G$30+(Setup!$O$30+R$1)*Setup!$M$30,EDATE(Setup!$G$30,(Setup!$O$30+R$1)*Setup!$N$30))+$A7/1000)))</f>
        <v/>
      </c>
      <c r="S7">
        <f>IF(OR(Setup!$E$30="",Setup!$G$30="",Setup!$F$30=""),"",IF(AND(Setup!$F$30="Once",S$1&gt;0),"",IF(OR(IF(Setup!$M$30&gt;0,Setup!$G$30+(Setup!$O$30+S$1)*Setup!$M$30,EDATE(Setup!$G$30,(Setup!$O$30+S$1)*Setup!$N$30))&gt;Setup!$P$30,IF(Setup!$M$30&gt;0,Setup!$G$30+(Setup!$O$30+S$1)*Setup!$M$30,EDATE(Setup!$G$30,(Setup!$O$30+S$1)*Setup!$N$30))&lt;Setup!$D$5),"",IF(Setup!$M$30&gt;0,Setup!$G$30+(Setup!$O$30+S$1)*Setup!$M$30,EDATE(Setup!$G$30,(Setup!$O$30+S$1)*Setup!$N$30))+$A7/1000)))</f>
        <v/>
      </c>
      <c r="T7">
        <f>IF(OR(Setup!$E$30="",Setup!$G$30="",Setup!$F$30=""),"",IF(AND(Setup!$F$30="Once",T$1&gt;0),"",IF(OR(IF(Setup!$M$30&gt;0,Setup!$G$30+(Setup!$O$30+T$1)*Setup!$M$30,EDATE(Setup!$G$30,(Setup!$O$30+T$1)*Setup!$N$30))&gt;Setup!$P$30,IF(Setup!$M$30&gt;0,Setup!$G$30+(Setup!$O$30+T$1)*Setup!$M$30,EDATE(Setup!$G$30,(Setup!$O$30+T$1)*Setup!$N$30))&lt;Setup!$D$5),"",IF(Setup!$M$30&gt;0,Setup!$G$30+(Setup!$O$30+T$1)*Setup!$M$30,EDATE(Setup!$G$30,(Setup!$O$30+T$1)*Setup!$N$30))+$A7/1000)))</f>
        <v/>
      </c>
      <c r="U7">
        <f>IF(OR(Setup!$E$30="",Setup!$G$30="",Setup!$F$30=""),"",IF(AND(Setup!$F$30="Once",U$1&gt;0),"",IF(OR(IF(Setup!$M$30&gt;0,Setup!$G$30+(Setup!$O$30+U$1)*Setup!$M$30,EDATE(Setup!$G$30,(Setup!$O$30+U$1)*Setup!$N$30))&gt;Setup!$P$30,IF(Setup!$M$30&gt;0,Setup!$G$30+(Setup!$O$30+U$1)*Setup!$M$30,EDATE(Setup!$G$30,(Setup!$O$30+U$1)*Setup!$N$30))&lt;Setup!$D$5),"",IF(Setup!$M$30&gt;0,Setup!$G$30+(Setup!$O$30+U$1)*Setup!$M$30,EDATE(Setup!$G$30,(Setup!$O$30+U$1)*Setup!$N$30))+$A7/1000)))</f>
        <v/>
      </c>
      <c r="V7">
        <f>IF(OR(Setup!$E$30="",Setup!$G$30="",Setup!$F$30=""),"",IF(AND(Setup!$F$30="Once",V$1&gt;0),"",IF(OR(IF(Setup!$M$30&gt;0,Setup!$G$30+(Setup!$O$30+V$1)*Setup!$M$30,EDATE(Setup!$G$30,(Setup!$O$30+V$1)*Setup!$N$30))&gt;Setup!$P$30,IF(Setup!$M$30&gt;0,Setup!$G$30+(Setup!$O$30+V$1)*Setup!$M$30,EDATE(Setup!$G$30,(Setup!$O$30+V$1)*Setup!$N$30))&lt;Setup!$D$5),"",IF(Setup!$M$30&gt;0,Setup!$G$30+(Setup!$O$30+V$1)*Setup!$M$30,EDATE(Setup!$G$30,(Setup!$O$30+V$1)*Setup!$N$30))+$A7/1000)))</f>
        <v/>
      </c>
      <c r="W7">
        <f>IF(OR(Setup!$E$30="",Setup!$G$30="",Setup!$F$30=""),"",IF(AND(Setup!$F$30="Once",W$1&gt;0),"",IF(OR(IF(Setup!$M$30&gt;0,Setup!$G$30+(Setup!$O$30+W$1)*Setup!$M$30,EDATE(Setup!$G$30,(Setup!$O$30+W$1)*Setup!$N$30))&gt;Setup!$P$30,IF(Setup!$M$30&gt;0,Setup!$G$30+(Setup!$O$30+W$1)*Setup!$M$30,EDATE(Setup!$G$30,(Setup!$O$30+W$1)*Setup!$N$30))&lt;Setup!$D$5),"",IF(Setup!$M$30&gt;0,Setup!$G$30+(Setup!$O$30+W$1)*Setup!$M$30,EDATE(Setup!$G$30,(Setup!$O$30+W$1)*Setup!$N$30))+$A7/1000)))</f>
        <v/>
      </c>
      <c r="X7">
        <f>IF(OR(Setup!$E$30="",Setup!$G$30="",Setup!$F$30=""),"",IF(AND(Setup!$F$30="Once",X$1&gt;0),"",IF(OR(IF(Setup!$M$30&gt;0,Setup!$G$30+(Setup!$O$30+X$1)*Setup!$M$30,EDATE(Setup!$G$30,(Setup!$O$30+X$1)*Setup!$N$30))&gt;Setup!$P$30,IF(Setup!$M$30&gt;0,Setup!$G$30+(Setup!$O$30+X$1)*Setup!$M$30,EDATE(Setup!$G$30,(Setup!$O$30+X$1)*Setup!$N$30))&lt;Setup!$D$5),"",IF(Setup!$M$30&gt;0,Setup!$G$30+(Setup!$O$30+X$1)*Setup!$M$30,EDATE(Setup!$G$30,(Setup!$O$30+X$1)*Setup!$N$30))+$A7/1000)))</f>
        <v/>
      </c>
      <c r="Y7">
        <f>IF(OR(Setup!$E$30="",Setup!$G$30="",Setup!$F$30=""),"",IF(AND(Setup!$F$30="Once",Y$1&gt;0),"",IF(OR(IF(Setup!$M$30&gt;0,Setup!$G$30+(Setup!$O$30+Y$1)*Setup!$M$30,EDATE(Setup!$G$30,(Setup!$O$30+Y$1)*Setup!$N$30))&gt;Setup!$P$30,IF(Setup!$M$30&gt;0,Setup!$G$30+(Setup!$O$30+Y$1)*Setup!$M$30,EDATE(Setup!$G$30,(Setup!$O$30+Y$1)*Setup!$N$30))&lt;Setup!$D$5),"",IF(Setup!$M$30&gt;0,Setup!$G$30+(Setup!$O$30+Y$1)*Setup!$M$30,EDATE(Setup!$G$30,(Setup!$O$30+Y$1)*Setup!$N$30))+$A7/1000)))</f>
        <v/>
      </c>
      <c r="Z7">
        <f>IF(OR(Setup!$E$30="",Setup!$G$30="",Setup!$F$30=""),"",IF(AND(Setup!$F$30="Once",Z$1&gt;0),"",IF(OR(IF(Setup!$M$30&gt;0,Setup!$G$30+(Setup!$O$30+Z$1)*Setup!$M$30,EDATE(Setup!$G$30,(Setup!$O$30+Z$1)*Setup!$N$30))&gt;Setup!$P$30,IF(Setup!$M$30&gt;0,Setup!$G$30+(Setup!$O$30+Z$1)*Setup!$M$30,EDATE(Setup!$G$30,(Setup!$O$30+Z$1)*Setup!$N$30))&lt;Setup!$D$5),"",IF(Setup!$M$30&gt;0,Setup!$G$30+(Setup!$O$30+Z$1)*Setup!$M$30,EDATE(Setup!$G$30,(Setup!$O$30+Z$1)*Setup!$N$30))+$A7/1000)))</f>
        <v/>
      </c>
      <c r="AA7">
        <f>IF(OR(Setup!$E$30="",Setup!$G$30="",Setup!$F$30=""),"",IF(AND(Setup!$F$30="Once",AA$1&gt;0),"",IF(OR(IF(Setup!$M$30&gt;0,Setup!$G$30+(Setup!$O$30+AA$1)*Setup!$M$30,EDATE(Setup!$G$30,(Setup!$O$30+AA$1)*Setup!$N$30))&gt;Setup!$P$30,IF(Setup!$M$30&gt;0,Setup!$G$30+(Setup!$O$30+AA$1)*Setup!$M$30,EDATE(Setup!$G$30,(Setup!$O$30+AA$1)*Setup!$N$30))&lt;Setup!$D$5),"",IF(Setup!$M$30&gt;0,Setup!$G$30+(Setup!$O$30+AA$1)*Setup!$M$30,EDATE(Setup!$G$30,(Setup!$O$30+AA$1)*Setup!$N$30))+$A7/1000)))</f>
        <v/>
      </c>
      <c r="AB7">
        <f>IF(OR(Setup!$E$30="",Setup!$G$30="",Setup!$F$30=""),"",IF(AND(Setup!$F$30="Once",AB$1&gt;0),"",IF(OR(IF(Setup!$M$30&gt;0,Setup!$G$30+(Setup!$O$30+AB$1)*Setup!$M$30,EDATE(Setup!$G$30,(Setup!$O$30+AB$1)*Setup!$N$30))&gt;Setup!$P$30,IF(Setup!$M$30&gt;0,Setup!$G$30+(Setup!$O$30+AB$1)*Setup!$M$30,EDATE(Setup!$G$30,(Setup!$O$30+AB$1)*Setup!$N$30))&lt;Setup!$D$5),"",IF(Setup!$M$30&gt;0,Setup!$G$30+(Setup!$O$30+AB$1)*Setup!$M$30,EDATE(Setup!$G$30,(Setup!$O$30+AB$1)*Setup!$N$30))+$A7/1000)))</f>
        <v/>
      </c>
      <c r="AC7">
        <f>IF(OR(Setup!$E$30="",Setup!$G$30="",Setup!$F$30=""),"",IF(AND(Setup!$F$30="Once",AC$1&gt;0),"",IF(OR(IF(Setup!$M$30&gt;0,Setup!$G$30+(Setup!$O$30+AC$1)*Setup!$M$30,EDATE(Setup!$G$30,(Setup!$O$30+AC$1)*Setup!$N$30))&gt;Setup!$P$30,IF(Setup!$M$30&gt;0,Setup!$G$30+(Setup!$O$30+AC$1)*Setup!$M$30,EDATE(Setup!$G$30,(Setup!$O$30+AC$1)*Setup!$N$30))&lt;Setup!$D$5),"",IF(Setup!$M$30&gt;0,Setup!$G$30+(Setup!$O$30+AC$1)*Setup!$M$30,EDATE(Setup!$G$30,(Setup!$O$30+AC$1)*Setup!$N$30))+$A7/1000)))</f>
        <v/>
      </c>
      <c r="AD7">
        <f>IF(OR(Setup!$E$30="",Setup!$G$30="",Setup!$F$30=""),"",IF(AND(Setup!$F$30="Once",AD$1&gt;0),"",IF(OR(IF(Setup!$M$30&gt;0,Setup!$G$30+(Setup!$O$30+AD$1)*Setup!$M$30,EDATE(Setup!$G$30,(Setup!$O$30+AD$1)*Setup!$N$30))&gt;Setup!$P$30,IF(Setup!$M$30&gt;0,Setup!$G$30+(Setup!$O$30+AD$1)*Setup!$M$30,EDATE(Setup!$G$30,(Setup!$O$30+AD$1)*Setup!$N$30))&lt;Setup!$D$5),"",IF(Setup!$M$30&gt;0,Setup!$G$30+(Setup!$O$30+AD$1)*Setup!$M$30,EDATE(Setup!$G$30,(Setup!$O$30+AD$1)*Setup!$N$30))+$A7/1000)))</f>
        <v/>
      </c>
      <c r="AE7">
        <f>IF(OR(Setup!$E$30="",Setup!$G$30="",Setup!$F$30=""),"",IF(AND(Setup!$F$30="Once",AE$1&gt;0),"",IF(OR(IF(Setup!$M$30&gt;0,Setup!$G$30+(Setup!$O$30+AE$1)*Setup!$M$30,EDATE(Setup!$G$30,(Setup!$O$30+AE$1)*Setup!$N$30))&gt;Setup!$P$30,IF(Setup!$M$30&gt;0,Setup!$G$30+(Setup!$O$30+AE$1)*Setup!$M$30,EDATE(Setup!$G$30,(Setup!$O$30+AE$1)*Setup!$N$30))&lt;Setup!$D$5),"",IF(Setup!$M$30&gt;0,Setup!$G$30+(Setup!$O$30+AE$1)*Setup!$M$30,EDATE(Setup!$G$30,(Setup!$O$30+AE$1)*Setup!$N$30))+$A7/1000)))</f>
        <v/>
      </c>
      <c r="AF7">
        <f>IF(OR(Setup!$E$30="",Setup!$G$30="",Setup!$F$30=""),"",IF(AND(Setup!$F$30="Once",AF$1&gt;0),"",IF(OR(IF(Setup!$M$30&gt;0,Setup!$G$30+(Setup!$O$30+AF$1)*Setup!$M$30,EDATE(Setup!$G$30,(Setup!$O$30+AF$1)*Setup!$N$30))&gt;Setup!$P$30,IF(Setup!$M$30&gt;0,Setup!$G$30+(Setup!$O$30+AF$1)*Setup!$M$30,EDATE(Setup!$G$30,(Setup!$O$30+AF$1)*Setup!$N$30))&lt;Setup!$D$5),"",IF(Setup!$M$30&gt;0,Setup!$G$30+(Setup!$O$30+AF$1)*Setup!$M$30,EDATE(Setup!$G$30,(Setup!$O$30+AF$1)*Setup!$N$30))+$A7/1000)))</f>
        <v/>
      </c>
      <c r="AG7">
        <f>IF(OR(Setup!$E$30="",Setup!$G$30="",Setup!$F$30=""),"",IF(AND(Setup!$F$30="Once",AG$1&gt;0),"",IF(OR(IF(Setup!$M$30&gt;0,Setup!$G$30+(Setup!$O$30+AG$1)*Setup!$M$30,EDATE(Setup!$G$30,(Setup!$O$30+AG$1)*Setup!$N$30))&gt;Setup!$P$30,IF(Setup!$M$30&gt;0,Setup!$G$30+(Setup!$O$30+AG$1)*Setup!$M$30,EDATE(Setup!$G$30,(Setup!$O$30+AG$1)*Setup!$N$30))&lt;Setup!$D$5),"",IF(Setup!$M$30&gt;0,Setup!$G$30+(Setup!$O$30+AG$1)*Setup!$M$30,EDATE(Setup!$G$30,(Setup!$O$30+AG$1)*Setup!$N$30))+$A7/1000)))</f>
        <v/>
      </c>
      <c r="AH7">
        <f>IF(OR(Setup!$E$30="",Setup!$G$30="",Setup!$F$30=""),"",IF(AND(Setup!$F$30="Once",AH$1&gt;0),"",IF(OR(IF(Setup!$M$30&gt;0,Setup!$G$30+(Setup!$O$30+AH$1)*Setup!$M$30,EDATE(Setup!$G$30,(Setup!$O$30+AH$1)*Setup!$N$30))&gt;Setup!$P$30,IF(Setup!$M$30&gt;0,Setup!$G$30+(Setup!$O$30+AH$1)*Setup!$M$30,EDATE(Setup!$G$30,(Setup!$O$30+AH$1)*Setup!$N$30))&lt;Setup!$D$5),"",IF(Setup!$M$30&gt;0,Setup!$G$30+(Setup!$O$30+AH$1)*Setup!$M$30,EDATE(Setup!$G$30,(Setup!$O$30+AH$1)*Setup!$N$30))+$A7/1000)))</f>
        <v/>
      </c>
      <c r="AI7">
        <f>IF(OR(Setup!$E$30="",Setup!$G$30="",Setup!$F$30=""),"",IF(AND(Setup!$F$30="Once",AI$1&gt;0),"",IF(OR(IF(Setup!$M$30&gt;0,Setup!$G$30+(Setup!$O$30+AI$1)*Setup!$M$30,EDATE(Setup!$G$30,(Setup!$O$30+AI$1)*Setup!$N$30))&gt;Setup!$P$30,IF(Setup!$M$30&gt;0,Setup!$G$30+(Setup!$O$30+AI$1)*Setup!$M$30,EDATE(Setup!$G$30,(Setup!$O$30+AI$1)*Setup!$N$30))&lt;Setup!$D$5),"",IF(Setup!$M$30&gt;0,Setup!$G$30+(Setup!$O$30+AI$1)*Setup!$M$30,EDATE(Setup!$G$30,(Setup!$O$30+AI$1)*Setup!$N$30))+$A7/1000)))</f>
        <v/>
      </c>
      <c r="AJ7">
        <f>IF(OR(Setup!$E$30="",Setup!$G$30="",Setup!$F$30=""),"",IF(AND(Setup!$F$30="Once",AJ$1&gt;0),"",IF(OR(IF(Setup!$M$30&gt;0,Setup!$G$30+(Setup!$O$30+AJ$1)*Setup!$M$30,EDATE(Setup!$G$30,(Setup!$O$30+AJ$1)*Setup!$N$30))&gt;Setup!$P$30,IF(Setup!$M$30&gt;0,Setup!$G$30+(Setup!$O$30+AJ$1)*Setup!$M$30,EDATE(Setup!$G$30,(Setup!$O$30+AJ$1)*Setup!$N$30))&lt;Setup!$D$5),"",IF(Setup!$M$30&gt;0,Setup!$G$30+(Setup!$O$30+AJ$1)*Setup!$M$30,EDATE(Setup!$G$30,(Setup!$O$30+AJ$1)*Setup!$N$30))+$A7/1000)))</f>
        <v/>
      </c>
      <c r="AK7">
        <f>IF(OR(Setup!$E$30="",Setup!$G$30="",Setup!$F$30=""),"",IF(AND(Setup!$F$30="Once",AK$1&gt;0),"",IF(OR(IF(Setup!$M$30&gt;0,Setup!$G$30+(Setup!$O$30+AK$1)*Setup!$M$30,EDATE(Setup!$G$30,(Setup!$O$30+AK$1)*Setup!$N$30))&gt;Setup!$P$30,IF(Setup!$M$30&gt;0,Setup!$G$30+(Setup!$O$30+AK$1)*Setup!$M$30,EDATE(Setup!$G$30,(Setup!$O$30+AK$1)*Setup!$N$30))&lt;Setup!$D$5),"",IF(Setup!$M$30&gt;0,Setup!$G$30+(Setup!$O$30+AK$1)*Setup!$M$30,EDATE(Setup!$G$30,(Setup!$O$30+AK$1)*Setup!$N$30))+$A7/1000)))</f>
        <v/>
      </c>
      <c r="AL7">
        <f>IF(OR(Setup!$E$30="",Setup!$G$30="",Setup!$F$30=""),"",IF(AND(Setup!$F$30="Once",AL$1&gt;0),"",IF(OR(IF(Setup!$M$30&gt;0,Setup!$G$30+(Setup!$O$30+AL$1)*Setup!$M$30,EDATE(Setup!$G$30,(Setup!$O$30+AL$1)*Setup!$N$30))&gt;Setup!$P$30,IF(Setup!$M$30&gt;0,Setup!$G$30+(Setup!$O$30+AL$1)*Setup!$M$30,EDATE(Setup!$G$30,(Setup!$O$30+AL$1)*Setup!$N$30))&lt;Setup!$D$5),"",IF(Setup!$M$30&gt;0,Setup!$G$30+(Setup!$O$30+AL$1)*Setup!$M$30,EDATE(Setup!$G$30,(Setup!$O$30+AL$1)*Setup!$N$30))+$A7/1000)))</f>
        <v/>
      </c>
      <c r="AM7">
        <f>IF(OR(Setup!$E$30="",Setup!$G$30="",Setup!$F$30=""),"",IF(AND(Setup!$F$30="Once",AM$1&gt;0),"",IF(OR(IF(Setup!$M$30&gt;0,Setup!$G$30+(Setup!$O$30+AM$1)*Setup!$M$30,EDATE(Setup!$G$30,(Setup!$O$30+AM$1)*Setup!$N$30))&gt;Setup!$P$30,IF(Setup!$M$30&gt;0,Setup!$G$30+(Setup!$O$30+AM$1)*Setup!$M$30,EDATE(Setup!$G$30,(Setup!$O$30+AM$1)*Setup!$N$30))&lt;Setup!$D$5),"",IF(Setup!$M$30&gt;0,Setup!$G$30+(Setup!$O$30+AM$1)*Setup!$M$30,EDATE(Setup!$G$30,(Setup!$O$30+AM$1)*Setup!$N$30))+$A7/1000)))</f>
        <v/>
      </c>
      <c r="AN7">
        <f>IF(OR(Setup!$E$30="",Setup!$G$30="",Setup!$F$30=""),"",IF(AND(Setup!$F$30="Once",AN$1&gt;0),"",IF(OR(IF(Setup!$M$30&gt;0,Setup!$G$30+(Setup!$O$30+AN$1)*Setup!$M$30,EDATE(Setup!$G$30,(Setup!$O$30+AN$1)*Setup!$N$30))&gt;Setup!$P$30,IF(Setup!$M$30&gt;0,Setup!$G$30+(Setup!$O$30+AN$1)*Setup!$M$30,EDATE(Setup!$G$30,(Setup!$O$30+AN$1)*Setup!$N$30))&lt;Setup!$D$5),"",IF(Setup!$M$30&gt;0,Setup!$G$30+(Setup!$O$30+AN$1)*Setup!$M$30,EDATE(Setup!$G$30,(Setup!$O$30+AN$1)*Setup!$N$30))+$A7/1000)))</f>
        <v/>
      </c>
      <c r="AO7">
        <f>IF(OR(Setup!$E$30="",Setup!$G$30="",Setup!$F$30=""),"",IF(AND(Setup!$F$30="Once",AO$1&gt;0),"",IF(OR(IF(Setup!$M$30&gt;0,Setup!$G$30+(Setup!$O$30+AO$1)*Setup!$M$30,EDATE(Setup!$G$30,(Setup!$O$30+AO$1)*Setup!$N$30))&gt;Setup!$P$30,IF(Setup!$M$30&gt;0,Setup!$G$30+(Setup!$O$30+AO$1)*Setup!$M$30,EDATE(Setup!$G$30,(Setup!$O$30+AO$1)*Setup!$N$30))&lt;Setup!$D$5),"",IF(Setup!$M$30&gt;0,Setup!$G$30+(Setup!$O$30+AO$1)*Setup!$M$30,EDATE(Setup!$G$30,(Setup!$O$30+AO$1)*Setup!$N$30))+$A7/1000)))</f>
        <v/>
      </c>
      <c r="AP7">
        <f>IF(OR(Setup!$E$30="",Setup!$G$30="",Setup!$F$30=""),"",IF(AND(Setup!$F$30="Once",AP$1&gt;0),"",IF(OR(IF(Setup!$M$30&gt;0,Setup!$G$30+(Setup!$O$30+AP$1)*Setup!$M$30,EDATE(Setup!$G$30,(Setup!$O$30+AP$1)*Setup!$N$30))&gt;Setup!$P$30,IF(Setup!$M$30&gt;0,Setup!$G$30+(Setup!$O$30+AP$1)*Setup!$M$30,EDATE(Setup!$G$30,(Setup!$O$30+AP$1)*Setup!$N$30))&lt;Setup!$D$5),"",IF(Setup!$M$30&gt;0,Setup!$G$30+(Setup!$O$30+AP$1)*Setup!$M$30,EDATE(Setup!$G$30,(Setup!$O$30+AP$1)*Setup!$N$30))+$A7/1000)))</f>
        <v/>
      </c>
      <c r="AQ7">
        <f>IF(OR(Setup!$E$30="",Setup!$G$30="",Setup!$F$30=""),"",IF(AND(Setup!$F$30="Once",AQ$1&gt;0),"",IF(OR(IF(Setup!$M$30&gt;0,Setup!$G$30+(Setup!$O$30+AQ$1)*Setup!$M$30,EDATE(Setup!$G$30,(Setup!$O$30+AQ$1)*Setup!$N$30))&gt;Setup!$P$30,IF(Setup!$M$30&gt;0,Setup!$G$30+(Setup!$O$30+AQ$1)*Setup!$M$30,EDATE(Setup!$G$30,(Setup!$O$30+AQ$1)*Setup!$N$30))&lt;Setup!$D$5),"",IF(Setup!$M$30&gt;0,Setup!$G$30+(Setup!$O$30+AQ$1)*Setup!$M$30,EDATE(Setup!$G$30,(Setup!$O$30+AQ$1)*Setup!$N$30))+$A7/1000)))</f>
        <v/>
      </c>
      <c r="AR7">
        <f>IF(OR(Setup!$E$30="",Setup!$G$30="",Setup!$F$30=""),"",IF(AND(Setup!$F$30="Once",AR$1&gt;0),"",IF(OR(IF(Setup!$M$30&gt;0,Setup!$G$30+(Setup!$O$30+AR$1)*Setup!$M$30,EDATE(Setup!$G$30,(Setup!$O$30+AR$1)*Setup!$N$30))&gt;Setup!$P$30,IF(Setup!$M$30&gt;0,Setup!$G$30+(Setup!$O$30+AR$1)*Setup!$M$30,EDATE(Setup!$G$30,(Setup!$O$30+AR$1)*Setup!$N$30))&lt;Setup!$D$5),"",IF(Setup!$M$30&gt;0,Setup!$G$30+(Setup!$O$30+AR$1)*Setup!$M$30,EDATE(Setup!$G$30,(Setup!$O$30+AR$1)*Setup!$N$30))+$A7/1000)))</f>
        <v/>
      </c>
      <c r="AS7">
        <f>IF(OR(Setup!$E$30="",Setup!$G$30="",Setup!$F$30=""),"",IF(AND(Setup!$F$30="Once",AS$1&gt;0),"",IF(OR(IF(Setup!$M$30&gt;0,Setup!$G$30+(Setup!$O$30+AS$1)*Setup!$M$30,EDATE(Setup!$G$30,(Setup!$O$30+AS$1)*Setup!$N$30))&gt;Setup!$P$30,IF(Setup!$M$30&gt;0,Setup!$G$30+(Setup!$O$30+AS$1)*Setup!$M$30,EDATE(Setup!$G$30,(Setup!$O$30+AS$1)*Setup!$N$30))&lt;Setup!$D$5),"",IF(Setup!$M$30&gt;0,Setup!$G$30+(Setup!$O$30+AS$1)*Setup!$M$30,EDATE(Setup!$G$30,(Setup!$O$30+AS$1)*Setup!$N$30))+$A7/1000)))</f>
        <v/>
      </c>
      <c r="AT7">
        <f>IF(OR(Setup!$E$30="",Setup!$G$30="",Setup!$F$30=""),"",IF(AND(Setup!$F$30="Once",AT$1&gt;0),"",IF(OR(IF(Setup!$M$30&gt;0,Setup!$G$30+(Setup!$O$30+AT$1)*Setup!$M$30,EDATE(Setup!$G$30,(Setup!$O$30+AT$1)*Setup!$N$30))&gt;Setup!$P$30,IF(Setup!$M$30&gt;0,Setup!$G$30+(Setup!$O$30+AT$1)*Setup!$M$30,EDATE(Setup!$G$30,(Setup!$O$30+AT$1)*Setup!$N$30))&lt;Setup!$D$5),"",IF(Setup!$M$30&gt;0,Setup!$G$30+(Setup!$O$30+AT$1)*Setup!$M$30,EDATE(Setup!$G$30,(Setup!$O$30+AT$1)*Setup!$N$30))+$A7/1000)))</f>
        <v/>
      </c>
      <c r="AU7">
        <f>IF(OR(Setup!$E$30="",Setup!$G$30="",Setup!$F$30=""),"",IF(AND(Setup!$F$30="Once",AU$1&gt;0),"",IF(OR(IF(Setup!$M$30&gt;0,Setup!$G$30+(Setup!$O$30+AU$1)*Setup!$M$30,EDATE(Setup!$G$30,(Setup!$O$30+AU$1)*Setup!$N$30))&gt;Setup!$P$30,IF(Setup!$M$30&gt;0,Setup!$G$30+(Setup!$O$30+AU$1)*Setup!$M$30,EDATE(Setup!$G$30,(Setup!$O$30+AU$1)*Setup!$N$30))&lt;Setup!$D$5),"",IF(Setup!$M$30&gt;0,Setup!$G$30+(Setup!$O$30+AU$1)*Setup!$M$30,EDATE(Setup!$G$30,(Setup!$O$30+AU$1)*Setup!$N$30))+$A7/1000)))</f>
        <v/>
      </c>
      <c r="AV7">
        <f>IF(OR(Setup!$E$30="",Setup!$G$30="",Setup!$F$30=""),"",IF(AND(Setup!$F$30="Once",AV$1&gt;0),"",IF(OR(IF(Setup!$M$30&gt;0,Setup!$G$30+(Setup!$O$30+AV$1)*Setup!$M$30,EDATE(Setup!$G$30,(Setup!$O$30+AV$1)*Setup!$N$30))&gt;Setup!$P$30,IF(Setup!$M$30&gt;0,Setup!$G$30+(Setup!$O$30+AV$1)*Setup!$M$30,EDATE(Setup!$G$30,(Setup!$O$30+AV$1)*Setup!$N$30))&lt;Setup!$D$5),"",IF(Setup!$M$30&gt;0,Setup!$G$30+(Setup!$O$30+AV$1)*Setup!$M$30,EDATE(Setup!$G$30,(Setup!$O$30+AV$1)*Setup!$N$30))+$A7/1000)))</f>
        <v/>
      </c>
      <c r="AW7">
        <f>IF(OR(Setup!$E$30="",Setup!$G$30="",Setup!$F$30=""),"",IF(AND(Setup!$F$30="Once",AW$1&gt;0),"",IF(OR(IF(Setup!$M$30&gt;0,Setup!$G$30+(Setup!$O$30+AW$1)*Setup!$M$30,EDATE(Setup!$G$30,(Setup!$O$30+AW$1)*Setup!$N$30))&gt;Setup!$P$30,IF(Setup!$M$30&gt;0,Setup!$G$30+(Setup!$O$30+AW$1)*Setup!$M$30,EDATE(Setup!$G$30,(Setup!$O$30+AW$1)*Setup!$N$30))&lt;Setup!$D$5),"",IF(Setup!$M$30&gt;0,Setup!$G$30+(Setup!$O$30+AW$1)*Setup!$M$30,EDATE(Setup!$G$30,(Setup!$O$30+AW$1)*Setup!$N$30))+$A7/1000)))</f>
        <v/>
      </c>
      <c r="AX7">
        <f>IF(OR(Setup!$E$30="",Setup!$G$30="",Setup!$F$30=""),"",IF(AND(Setup!$F$30="Once",AX$1&gt;0),"",IF(OR(IF(Setup!$M$30&gt;0,Setup!$G$30+(Setup!$O$30+AX$1)*Setup!$M$30,EDATE(Setup!$G$30,(Setup!$O$30+AX$1)*Setup!$N$30))&gt;Setup!$P$30,IF(Setup!$M$30&gt;0,Setup!$G$30+(Setup!$O$30+AX$1)*Setup!$M$30,EDATE(Setup!$G$30,(Setup!$O$30+AX$1)*Setup!$N$30))&lt;Setup!$D$5),"",IF(Setup!$M$30&gt;0,Setup!$G$30+(Setup!$O$30+AX$1)*Setup!$M$30,EDATE(Setup!$G$30,(Setup!$O$30+AX$1)*Setup!$N$30))+$A7/1000)))</f>
        <v/>
      </c>
      <c r="AY7">
        <f>IF(OR(Setup!$E$30="",Setup!$G$30="",Setup!$F$30=""),"",IF(AND(Setup!$F$30="Once",AY$1&gt;0),"",IF(OR(IF(Setup!$M$30&gt;0,Setup!$G$30+(Setup!$O$30+AY$1)*Setup!$M$30,EDATE(Setup!$G$30,(Setup!$O$30+AY$1)*Setup!$N$30))&gt;Setup!$P$30,IF(Setup!$M$30&gt;0,Setup!$G$30+(Setup!$O$30+AY$1)*Setup!$M$30,EDATE(Setup!$G$30,(Setup!$O$30+AY$1)*Setup!$N$30))&lt;Setup!$D$5),"",IF(Setup!$M$30&gt;0,Setup!$G$30+(Setup!$O$30+AY$1)*Setup!$M$30,EDATE(Setup!$G$30,(Setup!$O$30+AY$1)*Setup!$N$30))+$A7/1000)))</f>
        <v/>
      </c>
      <c r="AZ7">
        <f>IF(OR(Setup!$E$30="",Setup!$G$30="",Setup!$F$30=""),"",IF(AND(Setup!$F$30="Once",AZ$1&gt;0),"",IF(OR(IF(Setup!$M$30&gt;0,Setup!$G$30+(Setup!$O$30+AZ$1)*Setup!$M$30,EDATE(Setup!$G$30,(Setup!$O$30+AZ$1)*Setup!$N$30))&gt;Setup!$P$30,IF(Setup!$M$30&gt;0,Setup!$G$30+(Setup!$O$30+AZ$1)*Setup!$M$30,EDATE(Setup!$G$30,(Setup!$O$30+AZ$1)*Setup!$N$30))&lt;Setup!$D$5),"",IF(Setup!$M$30&gt;0,Setup!$G$30+(Setup!$O$30+AZ$1)*Setup!$M$30,EDATE(Setup!$G$30,(Setup!$O$30+AZ$1)*Setup!$N$30))+$A7/1000)))</f>
        <v/>
      </c>
      <c r="BA7">
        <f>IF(OR(Setup!$E$30="",Setup!$G$30="",Setup!$F$30=""),"",IF(AND(Setup!$F$30="Once",BA$1&gt;0),"",IF(OR(IF(Setup!$M$30&gt;0,Setup!$G$30+(Setup!$O$30+BA$1)*Setup!$M$30,EDATE(Setup!$G$30,(Setup!$O$30+BA$1)*Setup!$N$30))&gt;Setup!$P$30,IF(Setup!$M$30&gt;0,Setup!$G$30+(Setup!$O$30+BA$1)*Setup!$M$30,EDATE(Setup!$G$30,(Setup!$O$30+BA$1)*Setup!$N$30))&lt;Setup!$D$5),"",IF(Setup!$M$30&gt;0,Setup!$G$30+(Setup!$O$30+BA$1)*Setup!$M$30,EDATE(Setup!$G$30,(Setup!$O$30+BA$1)*Setup!$N$30))+$A7/1000)))</f>
        <v/>
      </c>
      <c r="BB7">
        <f>IF(OR(Setup!$E$30="",Setup!$G$30="",Setup!$F$30=""),"",IF(AND(Setup!$F$30="Once",BB$1&gt;0),"",IF(OR(IF(Setup!$M$30&gt;0,Setup!$G$30+(Setup!$O$30+BB$1)*Setup!$M$30,EDATE(Setup!$G$30,(Setup!$O$30+BB$1)*Setup!$N$30))&gt;Setup!$P$30,IF(Setup!$M$30&gt;0,Setup!$G$30+(Setup!$O$30+BB$1)*Setup!$M$30,EDATE(Setup!$G$30,(Setup!$O$30+BB$1)*Setup!$N$30))&lt;Setup!$D$5),"",IF(Setup!$M$30&gt;0,Setup!$G$30+(Setup!$O$30+BB$1)*Setup!$M$30,EDATE(Setup!$G$30,(Setup!$O$30+BB$1)*Setup!$N$30))+$A7/1000)))</f>
        <v/>
      </c>
    </row>
    <row r="8">
      <c r="A8" t="n">
        <v>7</v>
      </c>
      <c r="B8">
        <f>IF(OR(Setup!$E$31="",Setup!$G$31="",Setup!$F$31=""),"",IF(AND(Setup!$F$31="Once",B$1&gt;0),"",IF(OR(IF(Setup!$M$31&gt;0,Setup!$G$31+(Setup!$O$31+B$1)*Setup!$M$31,EDATE(Setup!$G$31,(Setup!$O$31+B$1)*Setup!$N$31))&gt;Setup!$P$31,IF(Setup!$M$31&gt;0,Setup!$G$31+(Setup!$O$31+B$1)*Setup!$M$31,EDATE(Setup!$G$31,(Setup!$O$31+B$1)*Setup!$N$31))&lt;Setup!$D$5),"",IF(Setup!$M$31&gt;0,Setup!$G$31+(Setup!$O$31+B$1)*Setup!$M$31,EDATE(Setup!$G$31,(Setup!$O$31+B$1)*Setup!$N$31))+$A8/1000)))</f>
        <v/>
      </c>
      <c r="C8">
        <f>IF(OR(Setup!$E$31="",Setup!$G$31="",Setup!$F$31=""),"",IF(AND(Setup!$F$31="Once",C$1&gt;0),"",IF(OR(IF(Setup!$M$31&gt;0,Setup!$G$31+(Setup!$O$31+C$1)*Setup!$M$31,EDATE(Setup!$G$31,(Setup!$O$31+C$1)*Setup!$N$31))&gt;Setup!$P$31,IF(Setup!$M$31&gt;0,Setup!$G$31+(Setup!$O$31+C$1)*Setup!$M$31,EDATE(Setup!$G$31,(Setup!$O$31+C$1)*Setup!$N$31))&lt;Setup!$D$5),"",IF(Setup!$M$31&gt;0,Setup!$G$31+(Setup!$O$31+C$1)*Setup!$M$31,EDATE(Setup!$G$31,(Setup!$O$31+C$1)*Setup!$N$31))+$A8/1000)))</f>
        <v/>
      </c>
      <c r="D8">
        <f>IF(OR(Setup!$E$31="",Setup!$G$31="",Setup!$F$31=""),"",IF(AND(Setup!$F$31="Once",D$1&gt;0),"",IF(OR(IF(Setup!$M$31&gt;0,Setup!$G$31+(Setup!$O$31+D$1)*Setup!$M$31,EDATE(Setup!$G$31,(Setup!$O$31+D$1)*Setup!$N$31))&gt;Setup!$P$31,IF(Setup!$M$31&gt;0,Setup!$G$31+(Setup!$O$31+D$1)*Setup!$M$31,EDATE(Setup!$G$31,(Setup!$O$31+D$1)*Setup!$N$31))&lt;Setup!$D$5),"",IF(Setup!$M$31&gt;0,Setup!$G$31+(Setup!$O$31+D$1)*Setup!$M$31,EDATE(Setup!$G$31,(Setup!$O$31+D$1)*Setup!$N$31))+$A8/1000)))</f>
        <v/>
      </c>
      <c r="E8">
        <f>IF(OR(Setup!$E$31="",Setup!$G$31="",Setup!$F$31=""),"",IF(AND(Setup!$F$31="Once",E$1&gt;0),"",IF(OR(IF(Setup!$M$31&gt;0,Setup!$G$31+(Setup!$O$31+E$1)*Setup!$M$31,EDATE(Setup!$G$31,(Setup!$O$31+E$1)*Setup!$N$31))&gt;Setup!$P$31,IF(Setup!$M$31&gt;0,Setup!$G$31+(Setup!$O$31+E$1)*Setup!$M$31,EDATE(Setup!$G$31,(Setup!$O$31+E$1)*Setup!$N$31))&lt;Setup!$D$5),"",IF(Setup!$M$31&gt;0,Setup!$G$31+(Setup!$O$31+E$1)*Setup!$M$31,EDATE(Setup!$G$31,(Setup!$O$31+E$1)*Setup!$N$31))+$A8/1000)))</f>
        <v/>
      </c>
      <c r="F8">
        <f>IF(OR(Setup!$E$31="",Setup!$G$31="",Setup!$F$31=""),"",IF(AND(Setup!$F$31="Once",F$1&gt;0),"",IF(OR(IF(Setup!$M$31&gt;0,Setup!$G$31+(Setup!$O$31+F$1)*Setup!$M$31,EDATE(Setup!$G$31,(Setup!$O$31+F$1)*Setup!$N$31))&gt;Setup!$P$31,IF(Setup!$M$31&gt;0,Setup!$G$31+(Setup!$O$31+F$1)*Setup!$M$31,EDATE(Setup!$G$31,(Setup!$O$31+F$1)*Setup!$N$31))&lt;Setup!$D$5),"",IF(Setup!$M$31&gt;0,Setup!$G$31+(Setup!$O$31+F$1)*Setup!$M$31,EDATE(Setup!$G$31,(Setup!$O$31+F$1)*Setup!$N$31))+$A8/1000)))</f>
        <v/>
      </c>
      <c r="G8">
        <f>IF(OR(Setup!$E$31="",Setup!$G$31="",Setup!$F$31=""),"",IF(AND(Setup!$F$31="Once",G$1&gt;0),"",IF(OR(IF(Setup!$M$31&gt;0,Setup!$G$31+(Setup!$O$31+G$1)*Setup!$M$31,EDATE(Setup!$G$31,(Setup!$O$31+G$1)*Setup!$N$31))&gt;Setup!$P$31,IF(Setup!$M$31&gt;0,Setup!$G$31+(Setup!$O$31+G$1)*Setup!$M$31,EDATE(Setup!$G$31,(Setup!$O$31+G$1)*Setup!$N$31))&lt;Setup!$D$5),"",IF(Setup!$M$31&gt;0,Setup!$G$31+(Setup!$O$31+G$1)*Setup!$M$31,EDATE(Setup!$G$31,(Setup!$O$31+G$1)*Setup!$N$31))+$A8/1000)))</f>
        <v/>
      </c>
      <c r="H8">
        <f>IF(OR(Setup!$E$31="",Setup!$G$31="",Setup!$F$31=""),"",IF(AND(Setup!$F$31="Once",H$1&gt;0),"",IF(OR(IF(Setup!$M$31&gt;0,Setup!$G$31+(Setup!$O$31+H$1)*Setup!$M$31,EDATE(Setup!$G$31,(Setup!$O$31+H$1)*Setup!$N$31))&gt;Setup!$P$31,IF(Setup!$M$31&gt;0,Setup!$G$31+(Setup!$O$31+H$1)*Setup!$M$31,EDATE(Setup!$G$31,(Setup!$O$31+H$1)*Setup!$N$31))&lt;Setup!$D$5),"",IF(Setup!$M$31&gt;0,Setup!$G$31+(Setup!$O$31+H$1)*Setup!$M$31,EDATE(Setup!$G$31,(Setup!$O$31+H$1)*Setup!$N$31))+$A8/1000)))</f>
        <v/>
      </c>
      <c r="I8">
        <f>IF(OR(Setup!$E$31="",Setup!$G$31="",Setup!$F$31=""),"",IF(AND(Setup!$F$31="Once",I$1&gt;0),"",IF(OR(IF(Setup!$M$31&gt;0,Setup!$G$31+(Setup!$O$31+I$1)*Setup!$M$31,EDATE(Setup!$G$31,(Setup!$O$31+I$1)*Setup!$N$31))&gt;Setup!$P$31,IF(Setup!$M$31&gt;0,Setup!$G$31+(Setup!$O$31+I$1)*Setup!$M$31,EDATE(Setup!$G$31,(Setup!$O$31+I$1)*Setup!$N$31))&lt;Setup!$D$5),"",IF(Setup!$M$31&gt;0,Setup!$G$31+(Setup!$O$31+I$1)*Setup!$M$31,EDATE(Setup!$G$31,(Setup!$O$31+I$1)*Setup!$N$31))+$A8/1000)))</f>
        <v/>
      </c>
      <c r="J8">
        <f>IF(OR(Setup!$E$31="",Setup!$G$31="",Setup!$F$31=""),"",IF(AND(Setup!$F$31="Once",J$1&gt;0),"",IF(OR(IF(Setup!$M$31&gt;0,Setup!$G$31+(Setup!$O$31+J$1)*Setup!$M$31,EDATE(Setup!$G$31,(Setup!$O$31+J$1)*Setup!$N$31))&gt;Setup!$P$31,IF(Setup!$M$31&gt;0,Setup!$G$31+(Setup!$O$31+J$1)*Setup!$M$31,EDATE(Setup!$G$31,(Setup!$O$31+J$1)*Setup!$N$31))&lt;Setup!$D$5),"",IF(Setup!$M$31&gt;0,Setup!$G$31+(Setup!$O$31+J$1)*Setup!$M$31,EDATE(Setup!$G$31,(Setup!$O$31+J$1)*Setup!$N$31))+$A8/1000)))</f>
        <v/>
      </c>
      <c r="K8">
        <f>IF(OR(Setup!$E$31="",Setup!$G$31="",Setup!$F$31=""),"",IF(AND(Setup!$F$31="Once",K$1&gt;0),"",IF(OR(IF(Setup!$M$31&gt;0,Setup!$G$31+(Setup!$O$31+K$1)*Setup!$M$31,EDATE(Setup!$G$31,(Setup!$O$31+K$1)*Setup!$N$31))&gt;Setup!$P$31,IF(Setup!$M$31&gt;0,Setup!$G$31+(Setup!$O$31+K$1)*Setup!$M$31,EDATE(Setup!$G$31,(Setup!$O$31+K$1)*Setup!$N$31))&lt;Setup!$D$5),"",IF(Setup!$M$31&gt;0,Setup!$G$31+(Setup!$O$31+K$1)*Setup!$M$31,EDATE(Setup!$G$31,(Setup!$O$31+K$1)*Setup!$N$31))+$A8/1000)))</f>
        <v/>
      </c>
      <c r="L8">
        <f>IF(OR(Setup!$E$31="",Setup!$G$31="",Setup!$F$31=""),"",IF(AND(Setup!$F$31="Once",L$1&gt;0),"",IF(OR(IF(Setup!$M$31&gt;0,Setup!$G$31+(Setup!$O$31+L$1)*Setup!$M$31,EDATE(Setup!$G$31,(Setup!$O$31+L$1)*Setup!$N$31))&gt;Setup!$P$31,IF(Setup!$M$31&gt;0,Setup!$G$31+(Setup!$O$31+L$1)*Setup!$M$31,EDATE(Setup!$G$31,(Setup!$O$31+L$1)*Setup!$N$31))&lt;Setup!$D$5),"",IF(Setup!$M$31&gt;0,Setup!$G$31+(Setup!$O$31+L$1)*Setup!$M$31,EDATE(Setup!$G$31,(Setup!$O$31+L$1)*Setup!$N$31))+$A8/1000)))</f>
        <v/>
      </c>
      <c r="M8">
        <f>IF(OR(Setup!$E$31="",Setup!$G$31="",Setup!$F$31=""),"",IF(AND(Setup!$F$31="Once",M$1&gt;0),"",IF(OR(IF(Setup!$M$31&gt;0,Setup!$G$31+(Setup!$O$31+M$1)*Setup!$M$31,EDATE(Setup!$G$31,(Setup!$O$31+M$1)*Setup!$N$31))&gt;Setup!$P$31,IF(Setup!$M$31&gt;0,Setup!$G$31+(Setup!$O$31+M$1)*Setup!$M$31,EDATE(Setup!$G$31,(Setup!$O$31+M$1)*Setup!$N$31))&lt;Setup!$D$5),"",IF(Setup!$M$31&gt;0,Setup!$G$31+(Setup!$O$31+M$1)*Setup!$M$31,EDATE(Setup!$G$31,(Setup!$O$31+M$1)*Setup!$N$31))+$A8/1000)))</f>
        <v/>
      </c>
      <c r="N8">
        <f>IF(OR(Setup!$E$31="",Setup!$G$31="",Setup!$F$31=""),"",IF(AND(Setup!$F$31="Once",N$1&gt;0),"",IF(OR(IF(Setup!$M$31&gt;0,Setup!$G$31+(Setup!$O$31+N$1)*Setup!$M$31,EDATE(Setup!$G$31,(Setup!$O$31+N$1)*Setup!$N$31))&gt;Setup!$P$31,IF(Setup!$M$31&gt;0,Setup!$G$31+(Setup!$O$31+N$1)*Setup!$M$31,EDATE(Setup!$G$31,(Setup!$O$31+N$1)*Setup!$N$31))&lt;Setup!$D$5),"",IF(Setup!$M$31&gt;0,Setup!$G$31+(Setup!$O$31+N$1)*Setup!$M$31,EDATE(Setup!$G$31,(Setup!$O$31+N$1)*Setup!$N$31))+$A8/1000)))</f>
        <v/>
      </c>
      <c r="O8">
        <f>IF(OR(Setup!$E$31="",Setup!$G$31="",Setup!$F$31=""),"",IF(AND(Setup!$F$31="Once",O$1&gt;0),"",IF(OR(IF(Setup!$M$31&gt;0,Setup!$G$31+(Setup!$O$31+O$1)*Setup!$M$31,EDATE(Setup!$G$31,(Setup!$O$31+O$1)*Setup!$N$31))&gt;Setup!$P$31,IF(Setup!$M$31&gt;0,Setup!$G$31+(Setup!$O$31+O$1)*Setup!$M$31,EDATE(Setup!$G$31,(Setup!$O$31+O$1)*Setup!$N$31))&lt;Setup!$D$5),"",IF(Setup!$M$31&gt;0,Setup!$G$31+(Setup!$O$31+O$1)*Setup!$M$31,EDATE(Setup!$G$31,(Setup!$O$31+O$1)*Setup!$N$31))+$A8/1000)))</f>
        <v/>
      </c>
      <c r="P8">
        <f>IF(OR(Setup!$E$31="",Setup!$G$31="",Setup!$F$31=""),"",IF(AND(Setup!$F$31="Once",P$1&gt;0),"",IF(OR(IF(Setup!$M$31&gt;0,Setup!$G$31+(Setup!$O$31+P$1)*Setup!$M$31,EDATE(Setup!$G$31,(Setup!$O$31+P$1)*Setup!$N$31))&gt;Setup!$P$31,IF(Setup!$M$31&gt;0,Setup!$G$31+(Setup!$O$31+P$1)*Setup!$M$31,EDATE(Setup!$G$31,(Setup!$O$31+P$1)*Setup!$N$31))&lt;Setup!$D$5),"",IF(Setup!$M$31&gt;0,Setup!$G$31+(Setup!$O$31+P$1)*Setup!$M$31,EDATE(Setup!$G$31,(Setup!$O$31+P$1)*Setup!$N$31))+$A8/1000)))</f>
        <v/>
      </c>
      <c r="Q8">
        <f>IF(OR(Setup!$E$31="",Setup!$G$31="",Setup!$F$31=""),"",IF(AND(Setup!$F$31="Once",Q$1&gt;0),"",IF(OR(IF(Setup!$M$31&gt;0,Setup!$G$31+(Setup!$O$31+Q$1)*Setup!$M$31,EDATE(Setup!$G$31,(Setup!$O$31+Q$1)*Setup!$N$31))&gt;Setup!$P$31,IF(Setup!$M$31&gt;0,Setup!$G$31+(Setup!$O$31+Q$1)*Setup!$M$31,EDATE(Setup!$G$31,(Setup!$O$31+Q$1)*Setup!$N$31))&lt;Setup!$D$5),"",IF(Setup!$M$31&gt;0,Setup!$G$31+(Setup!$O$31+Q$1)*Setup!$M$31,EDATE(Setup!$G$31,(Setup!$O$31+Q$1)*Setup!$N$31))+$A8/1000)))</f>
        <v/>
      </c>
      <c r="R8">
        <f>IF(OR(Setup!$E$31="",Setup!$G$31="",Setup!$F$31=""),"",IF(AND(Setup!$F$31="Once",R$1&gt;0),"",IF(OR(IF(Setup!$M$31&gt;0,Setup!$G$31+(Setup!$O$31+R$1)*Setup!$M$31,EDATE(Setup!$G$31,(Setup!$O$31+R$1)*Setup!$N$31))&gt;Setup!$P$31,IF(Setup!$M$31&gt;0,Setup!$G$31+(Setup!$O$31+R$1)*Setup!$M$31,EDATE(Setup!$G$31,(Setup!$O$31+R$1)*Setup!$N$31))&lt;Setup!$D$5),"",IF(Setup!$M$31&gt;0,Setup!$G$31+(Setup!$O$31+R$1)*Setup!$M$31,EDATE(Setup!$G$31,(Setup!$O$31+R$1)*Setup!$N$31))+$A8/1000)))</f>
        <v/>
      </c>
      <c r="S8">
        <f>IF(OR(Setup!$E$31="",Setup!$G$31="",Setup!$F$31=""),"",IF(AND(Setup!$F$31="Once",S$1&gt;0),"",IF(OR(IF(Setup!$M$31&gt;0,Setup!$G$31+(Setup!$O$31+S$1)*Setup!$M$31,EDATE(Setup!$G$31,(Setup!$O$31+S$1)*Setup!$N$31))&gt;Setup!$P$31,IF(Setup!$M$31&gt;0,Setup!$G$31+(Setup!$O$31+S$1)*Setup!$M$31,EDATE(Setup!$G$31,(Setup!$O$31+S$1)*Setup!$N$31))&lt;Setup!$D$5),"",IF(Setup!$M$31&gt;0,Setup!$G$31+(Setup!$O$31+S$1)*Setup!$M$31,EDATE(Setup!$G$31,(Setup!$O$31+S$1)*Setup!$N$31))+$A8/1000)))</f>
        <v/>
      </c>
      <c r="T8">
        <f>IF(OR(Setup!$E$31="",Setup!$G$31="",Setup!$F$31=""),"",IF(AND(Setup!$F$31="Once",T$1&gt;0),"",IF(OR(IF(Setup!$M$31&gt;0,Setup!$G$31+(Setup!$O$31+T$1)*Setup!$M$31,EDATE(Setup!$G$31,(Setup!$O$31+T$1)*Setup!$N$31))&gt;Setup!$P$31,IF(Setup!$M$31&gt;0,Setup!$G$31+(Setup!$O$31+T$1)*Setup!$M$31,EDATE(Setup!$G$31,(Setup!$O$31+T$1)*Setup!$N$31))&lt;Setup!$D$5),"",IF(Setup!$M$31&gt;0,Setup!$G$31+(Setup!$O$31+T$1)*Setup!$M$31,EDATE(Setup!$G$31,(Setup!$O$31+T$1)*Setup!$N$31))+$A8/1000)))</f>
        <v/>
      </c>
      <c r="U8">
        <f>IF(OR(Setup!$E$31="",Setup!$G$31="",Setup!$F$31=""),"",IF(AND(Setup!$F$31="Once",U$1&gt;0),"",IF(OR(IF(Setup!$M$31&gt;0,Setup!$G$31+(Setup!$O$31+U$1)*Setup!$M$31,EDATE(Setup!$G$31,(Setup!$O$31+U$1)*Setup!$N$31))&gt;Setup!$P$31,IF(Setup!$M$31&gt;0,Setup!$G$31+(Setup!$O$31+U$1)*Setup!$M$31,EDATE(Setup!$G$31,(Setup!$O$31+U$1)*Setup!$N$31))&lt;Setup!$D$5),"",IF(Setup!$M$31&gt;0,Setup!$G$31+(Setup!$O$31+U$1)*Setup!$M$31,EDATE(Setup!$G$31,(Setup!$O$31+U$1)*Setup!$N$31))+$A8/1000)))</f>
        <v/>
      </c>
      <c r="V8">
        <f>IF(OR(Setup!$E$31="",Setup!$G$31="",Setup!$F$31=""),"",IF(AND(Setup!$F$31="Once",V$1&gt;0),"",IF(OR(IF(Setup!$M$31&gt;0,Setup!$G$31+(Setup!$O$31+V$1)*Setup!$M$31,EDATE(Setup!$G$31,(Setup!$O$31+V$1)*Setup!$N$31))&gt;Setup!$P$31,IF(Setup!$M$31&gt;0,Setup!$G$31+(Setup!$O$31+V$1)*Setup!$M$31,EDATE(Setup!$G$31,(Setup!$O$31+V$1)*Setup!$N$31))&lt;Setup!$D$5),"",IF(Setup!$M$31&gt;0,Setup!$G$31+(Setup!$O$31+V$1)*Setup!$M$31,EDATE(Setup!$G$31,(Setup!$O$31+V$1)*Setup!$N$31))+$A8/1000)))</f>
        <v/>
      </c>
      <c r="W8">
        <f>IF(OR(Setup!$E$31="",Setup!$G$31="",Setup!$F$31=""),"",IF(AND(Setup!$F$31="Once",W$1&gt;0),"",IF(OR(IF(Setup!$M$31&gt;0,Setup!$G$31+(Setup!$O$31+W$1)*Setup!$M$31,EDATE(Setup!$G$31,(Setup!$O$31+W$1)*Setup!$N$31))&gt;Setup!$P$31,IF(Setup!$M$31&gt;0,Setup!$G$31+(Setup!$O$31+W$1)*Setup!$M$31,EDATE(Setup!$G$31,(Setup!$O$31+W$1)*Setup!$N$31))&lt;Setup!$D$5),"",IF(Setup!$M$31&gt;0,Setup!$G$31+(Setup!$O$31+W$1)*Setup!$M$31,EDATE(Setup!$G$31,(Setup!$O$31+W$1)*Setup!$N$31))+$A8/1000)))</f>
        <v/>
      </c>
      <c r="X8">
        <f>IF(OR(Setup!$E$31="",Setup!$G$31="",Setup!$F$31=""),"",IF(AND(Setup!$F$31="Once",X$1&gt;0),"",IF(OR(IF(Setup!$M$31&gt;0,Setup!$G$31+(Setup!$O$31+X$1)*Setup!$M$31,EDATE(Setup!$G$31,(Setup!$O$31+X$1)*Setup!$N$31))&gt;Setup!$P$31,IF(Setup!$M$31&gt;0,Setup!$G$31+(Setup!$O$31+X$1)*Setup!$M$31,EDATE(Setup!$G$31,(Setup!$O$31+X$1)*Setup!$N$31))&lt;Setup!$D$5),"",IF(Setup!$M$31&gt;0,Setup!$G$31+(Setup!$O$31+X$1)*Setup!$M$31,EDATE(Setup!$G$31,(Setup!$O$31+X$1)*Setup!$N$31))+$A8/1000)))</f>
        <v/>
      </c>
      <c r="Y8">
        <f>IF(OR(Setup!$E$31="",Setup!$G$31="",Setup!$F$31=""),"",IF(AND(Setup!$F$31="Once",Y$1&gt;0),"",IF(OR(IF(Setup!$M$31&gt;0,Setup!$G$31+(Setup!$O$31+Y$1)*Setup!$M$31,EDATE(Setup!$G$31,(Setup!$O$31+Y$1)*Setup!$N$31))&gt;Setup!$P$31,IF(Setup!$M$31&gt;0,Setup!$G$31+(Setup!$O$31+Y$1)*Setup!$M$31,EDATE(Setup!$G$31,(Setup!$O$31+Y$1)*Setup!$N$31))&lt;Setup!$D$5),"",IF(Setup!$M$31&gt;0,Setup!$G$31+(Setup!$O$31+Y$1)*Setup!$M$31,EDATE(Setup!$G$31,(Setup!$O$31+Y$1)*Setup!$N$31))+$A8/1000)))</f>
        <v/>
      </c>
      <c r="Z8">
        <f>IF(OR(Setup!$E$31="",Setup!$G$31="",Setup!$F$31=""),"",IF(AND(Setup!$F$31="Once",Z$1&gt;0),"",IF(OR(IF(Setup!$M$31&gt;0,Setup!$G$31+(Setup!$O$31+Z$1)*Setup!$M$31,EDATE(Setup!$G$31,(Setup!$O$31+Z$1)*Setup!$N$31))&gt;Setup!$P$31,IF(Setup!$M$31&gt;0,Setup!$G$31+(Setup!$O$31+Z$1)*Setup!$M$31,EDATE(Setup!$G$31,(Setup!$O$31+Z$1)*Setup!$N$31))&lt;Setup!$D$5),"",IF(Setup!$M$31&gt;0,Setup!$G$31+(Setup!$O$31+Z$1)*Setup!$M$31,EDATE(Setup!$G$31,(Setup!$O$31+Z$1)*Setup!$N$31))+$A8/1000)))</f>
        <v/>
      </c>
      <c r="AA8">
        <f>IF(OR(Setup!$E$31="",Setup!$G$31="",Setup!$F$31=""),"",IF(AND(Setup!$F$31="Once",AA$1&gt;0),"",IF(OR(IF(Setup!$M$31&gt;0,Setup!$G$31+(Setup!$O$31+AA$1)*Setup!$M$31,EDATE(Setup!$G$31,(Setup!$O$31+AA$1)*Setup!$N$31))&gt;Setup!$P$31,IF(Setup!$M$31&gt;0,Setup!$G$31+(Setup!$O$31+AA$1)*Setup!$M$31,EDATE(Setup!$G$31,(Setup!$O$31+AA$1)*Setup!$N$31))&lt;Setup!$D$5),"",IF(Setup!$M$31&gt;0,Setup!$G$31+(Setup!$O$31+AA$1)*Setup!$M$31,EDATE(Setup!$G$31,(Setup!$O$31+AA$1)*Setup!$N$31))+$A8/1000)))</f>
        <v/>
      </c>
      <c r="AB8">
        <f>IF(OR(Setup!$E$31="",Setup!$G$31="",Setup!$F$31=""),"",IF(AND(Setup!$F$31="Once",AB$1&gt;0),"",IF(OR(IF(Setup!$M$31&gt;0,Setup!$G$31+(Setup!$O$31+AB$1)*Setup!$M$31,EDATE(Setup!$G$31,(Setup!$O$31+AB$1)*Setup!$N$31))&gt;Setup!$P$31,IF(Setup!$M$31&gt;0,Setup!$G$31+(Setup!$O$31+AB$1)*Setup!$M$31,EDATE(Setup!$G$31,(Setup!$O$31+AB$1)*Setup!$N$31))&lt;Setup!$D$5),"",IF(Setup!$M$31&gt;0,Setup!$G$31+(Setup!$O$31+AB$1)*Setup!$M$31,EDATE(Setup!$G$31,(Setup!$O$31+AB$1)*Setup!$N$31))+$A8/1000)))</f>
        <v/>
      </c>
      <c r="AC8">
        <f>IF(OR(Setup!$E$31="",Setup!$G$31="",Setup!$F$31=""),"",IF(AND(Setup!$F$31="Once",AC$1&gt;0),"",IF(OR(IF(Setup!$M$31&gt;0,Setup!$G$31+(Setup!$O$31+AC$1)*Setup!$M$31,EDATE(Setup!$G$31,(Setup!$O$31+AC$1)*Setup!$N$31))&gt;Setup!$P$31,IF(Setup!$M$31&gt;0,Setup!$G$31+(Setup!$O$31+AC$1)*Setup!$M$31,EDATE(Setup!$G$31,(Setup!$O$31+AC$1)*Setup!$N$31))&lt;Setup!$D$5),"",IF(Setup!$M$31&gt;0,Setup!$G$31+(Setup!$O$31+AC$1)*Setup!$M$31,EDATE(Setup!$G$31,(Setup!$O$31+AC$1)*Setup!$N$31))+$A8/1000)))</f>
        <v/>
      </c>
      <c r="AD8">
        <f>IF(OR(Setup!$E$31="",Setup!$G$31="",Setup!$F$31=""),"",IF(AND(Setup!$F$31="Once",AD$1&gt;0),"",IF(OR(IF(Setup!$M$31&gt;0,Setup!$G$31+(Setup!$O$31+AD$1)*Setup!$M$31,EDATE(Setup!$G$31,(Setup!$O$31+AD$1)*Setup!$N$31))&gt;Setup!$P$31,IF(Setup!$M$31&gt;0,Setup!$G$31+(Setup!$O$31+AD$1)*Setup!$M$31,EDATE(Setup!$G$31,(Setup!$O$31+AD$1)*Setup!$N$31))&lt;Setup!$D$5),"",IF(Setup!$M$31&gt;0,Setup!$G$31+(Setup!$O$31+AD$1)*Setup!$M$31,EDATE(Setup!$G$31,(Setup!$O$31+AD$1)*Setup!$N$31))+$A8/1000)))</f>
        <v/>
      </c>
      <c r="AE8">
        <f>IF(OR(Setup!$E$31="",Setup!$G$31="",Setup!$F$31=""),"",IF(AND(Setup!$F$31="Once",AE$1&gt;0),"",IF(OR(IF(Setup!$M$31&gt;0,Setup!$G$31+(Setup!$O$31+AE$1)*Setup!$M$31,EDATE(Setup!$G$31,(Setup!$O$31+AE$1)*Setup!$N$31))&gt;Setup!$P$31,IF(Setup!$M$31&gt;0,Setup!$G$31+(Setup!$O$31+AE$1)*Setup!$M$31,EDATE(Setup!$G$31,(Setup!$O$31+AE$1)*Setup!$N$31))&lt;Setup!$D$5),"",IF(Setup!$M$31&gt;0,Setup!$G$31+(Setup!$O$31+AE$1)*Setup!$M$31,EDATE(Setup!$G$31,(Setup!$O$31+AE$1)*Setup!$N$31))+$A8/1000)))</f>
        <v/>
      </c>
      <c r="AF8">
        <f>IF(OR(Setup!$E$31="",Setup!$G$31="",Setup!$F$31=""),"",IF(AND(Setup!$F$31="Once",AF$1&gt;0),"",IF(OR(IF(Setup!$M$31&gt;0,Setup!$G$31+(Setup!$O$31+AF$1)*Setup!$M$31,EDATE(Setup!$G$31,(Setup!$O$31+AF$1)*Setup!$N$31))&gt;Setup!$P$31,IF(Setup!$M$31&gt;0,Setup!$G$31+(Setup!$O$31+AF$1)*Setup!$M$31,EDATE(Setup!$G$31,(Setup!$O$31+AF$1)*Setup!$N$31))&lt;Setup!$D$5),"",IF(Setup!$M$31&gt;0,Setup!$G$31+(Setup!$O$31+AF$1)*Setup!$M$31,EDATE(Setup!$G$31,(Setup!$O$31+AF$1)*Setup!$N$31))+$A8/1000)))</f>
        <v/>
      </c>
      <c r="AG8">
        <f>IF(OR(Setup!$E$31="",Setup!$G$31="",Setup!$F$31=""),"",IF(AND(Setup!$F$31="Once",AG$1&gt;0),"",IF(OR(IF(Setup!$M$31&gt;0,Setup!$G$31+(Setup!$O$31+AG$1)*Setup!$M$31,EDATE(Setup!$G$31,(Setup!$O$31+AG$1)*Setup!$N$31))&gt;Setup!$P$31,IF(Setup!$M$31&gt;0,Setup!$G$31+(Setup!$O$31+AG$1)*Setup!$M$31,EDATE(Setup!$G$31,(Setup!$O$31+AG$1)*Setup!$N$31))&lt;Setup!$D$5),"",IF(Setup!$M$31&gt;0,Setup!$G$31+(Setup!$O$31+AG$1)*Setup!$M$31,EDATE(Setup!$G$31,(Setup!$O$31+AG$1)*Setup!$N$31))+$A8/1000)))</f>
        <v/>
      </c>
      <c r="AH8">
        <f>IF(OR(Setup!$E$31="",Setup!$G$31="",Setup!$F$31=""),"",IF(AND(Setup!$F$31="Once",AH$1&gt;0),"",IF(OR(IF(Setup!$M$31&gt;0,Setup!$G$31+(Setup!$O$31+AH$1)*Setup!$M$31,EDATE(Setup!$G$31,(Setup!$O$31+AH$1)*Setup!$N$31))&gt;Setup!$P$31,IF(Setup!$M$31&gt;0,Setup!$G$31+(Setup!$O$31+AH$1)*Setup!$M$31,EDATE(Setup!$G$31,(Setup!$O$31+AH$1)*Setup!$N$31))&lt;Setup!$D$5),"",IF(Setup!$M$31&gt;0,Setup!$G$31+(Setup!$O$31+AH$1)*Setup!$M$31,EDATE(Setup!$G$31,(Setup!$O$31+AH$1)*Setup!$N$31))+$A8/1000)))</f>
        <v/>
      </c>
      <c r="AI8">
        <f>IF(OR(Setup!$E$31="",Setup!$G$31="",Setup!$F$31=""),"",IF(AND(Setup!$F$31="Once",AI$1&gt;0),"",IF(OR(IF(Setup!$M$31&gt;0,Setup!$G$31+(Setup!$O$31+AI$1)*Setup!$M$31,EDATE(Setup!$G$31,(Setup!$O$31+AI$1)*Setup!$N$31))&gt;Setup!$P$31,IF(Setup!$M$31&gt;0,Setup!$G$31+(Setup!$O$31+AI$1)*Setup!$M$31,EDATE(Setup!$G$31,(Setup!$O$31+AI$1)*Setup!$N$31))&lt;Setup!$D$5),"",IF(Setup!$M$31&gt;0,Setup!$G$31+(Setup!$O$31+AI$1)*Setup!$M$31,EDATE(Setup!$G$31,(Setup!$O$31+AI$1)*Setup!$N$31))+$A8/1000)))</f>
        <v/>
      </c>
      <c r="AJ8">
        <f>IF(OR(Setup!$E$31="",Setup!$G$31="",Setup!$F$31=""),"",IF(AND(Setup!$F$31="Once",AJ$1&gt;0),"",IF(OR(IF(Setup!$M$31&gt;0,Setup!$G$31+(Setup!$O$31+AJ$1)*Setup!$M$31,EDATE(Setup!$G$31,(Setup!$O$31+AJ$1)*Setup!$N$31))&gt;Setup!$P$31,IF(Setup!$M$31&gt;0,Setup!$G$31+(Setup!$O$31+AJ$1)*Setup!$M$31,EDATE(Setup!$G$31,(Setup!$O$31+AJ$1)*Setup!$N$31))&lt;Setup!$D$5),"",IF(Setup!$M$31&gt;0,Setup!$G$31+(Setup!$O$31+AJ$1)*Setup!$M$31,EDATE(Setup!$G$31,(Setup!$O$31+AJ$1)*Setup!$N$31))+$A8/1000)))</f>
        <v/>
      </c>
      <c r="AK8">
        <f>IF(OR(Setup!$E$31="",Setup!$G$31="",Setup!$F$31=""),"",IF(AND(Setup!$F$31="Once",AK$1&gt;0),"",IF(OR(IF(Setup!$M$31&gt;0,Setup!$G$31+(Setup!$O$31+AK$1)*Setup!$M$31,EDATE(Setup!$G$31,(Setup!$O$31+AK$1)*Setup!$N$31))&gt;Setup!$P$31,IF(Setup!$M$31&gt;0,Setup!$G$31+(Setup!$O$31+AK$1)*Setup!$M$31,EDATE(Setup!$G$31,(Setup!$O$31+AK$1)*Setup!$N$31))&lt;Setup!$D$5),"",IF(Setup!$M$31&gt;0,Setup!$G$31+(Setup!$O$31+AK$1)*Setup!$M$31,EDATE(Setup!$G$31,(Setup!$O$31+AK$1)*Setup!$N$31))+$A8/1000)))</f>
        <v/>
      </c>
      <c r="AL8">
        <f>IF(OR(Setup!$E$31="",Setup!$G$31="",Setup!$F$31=""),"",IF(AND(Setup!$F$31="Once",AL$1&gt;0),"",IF(OR(IF(Setup!$M$31&gt;0,Setup!$G$31+(Setup!$O$31+AL$1)*Setup!$M$31,EDATE(Setup!$G$31,(Setup!$O$31+AL$1)*Setup!$N$31))&gt;Setup!$P$31,IF(Setup!$M$31&gt;0,Setup!$G$31+(Setup!$O$31+AL$1)*Setup!$M$31,EDATE(Setup!$G$31,(Setup!$O$31+AL$1)*Setup!$N$31))&lt;Setup!$D$5),"",IF(Setup!$M$31&gt;0,Setup!$G$31+(Setup!$O$31+AL$1)*Setup!$M$31,EDATE(Setup!$G$31,(Setup!$O$31+AL$1)*Setup!$N$31))+$A8/1000)))</f>
        <v/>
      </c>
      <c r="AM8">
        <f>IF(OR(Setup!$E$31="",Setup!$G$31="",Setup!$F$31=""),"",IF(AND(Setup!$F$31="Once",AM$1&gt;0),"",IF(OR(IF(Setup!$M$31&gt;0,Setup!$G$31+(Setup!$O$31+AM$1)*Setup!$M$31,EDATE(Setup!$G$31,(Setup!$O$31+AM$1)*Setup!$N$31))&gt;Setup!$P$31,IF(Setup!$M$31&gt;0,Setup!$G$31+(Setup!$O$31+AM$1)*Setup!$M$31,EDATE(Setup!$G$31,(Setup!$O$31+AM$1)*Setup!$N$31))&lt;Setup!$D$5),"",IF(Setup!$M$31&gt;0,Setup!$G$31+(Setup!$O$31+AM$1)*Setup!$M$31,EDATE(Setup!$G$31,(Setup!$O$31+AM$1)*Setup!$N$31))+$A8/1000)))</f>
        <v/>
      </c>
      <c r="AN8">
        <f>IF(OR(Setup!$E$31="",Setup!$G$31="",Setup!$F$31=""),"",IF(AND(Setup!$F$31="Once",AN$1&gt;0),"",IF(OR(IF(Setup!$M$31&gt;0,Setup!$G$31+(Setup!$O$31+AN$1)*Setup!$M$31,EDATE(Setup!$G$31,(Setup!$O$31+AN$1)*Setup!$N$31))&gt;Setup!$P$31,IF(Setup!$M$31&gt;0,Setup!$G$31+(Setup!$O$31+AN$1)*Setup!$M$31,EDATE(Setup!$G$31,(Setup!$O$31+AN$1)*Setup!$N$31))&lt;Setup!$D$5),"",IF(Setup!$M$31&gt;0,Setup!$G$31+(Setup!$O$31+AN$1)*Setup!$M$31,EDATE(Setup!$G$31,(Setup!$O$31+AN$1)*Setup!$N$31))+$A8/1000)))</f>
        <v/>
      </c>
      <c r="AO8">
        <f>IF(OR(Setup!$E$31="",Setup!$G$31="",Setup!$F$31=""),"",IF(AND(Setup!$F$31="Once",AO$1&gt;0),"",IF(OR(IF(Setup!$M$31&gt;0,Setup!$G$31+(Setup!$O$31+AO$1)*Setup!$M$31,EDATE(Setup!$G$31,(Setup!$O$31+AO$1)*Setup!$N$31))&gt;Setup!$P$31,IF(Setup!$M$31&gt;0,Setup!$G$31+(Setup!$O$31+AO$1)*Setup!$M$31,EDATE(Setup!$G$31,(Setup!$O$31+AO$1)*Setup!$N$31))&lt;Setup!$D$5),"",IF(Setup!$M$31&gt;0,Setup!$G$31+(Setup!$O$31+AO$1)*Setup!$M$31,EDATE(Setup!$G$31,(Setup!$O$31+AO$1)*Setup!$N$31))+$A8/1000)))</f>
        <v/>
      </c>
      <c r="AP8">
        <f>IF(OR(Setup!$E$31="",Setup!$G$31="",Setup!$F$31=""),"",IF(AND(Setup!$F$31="Once",AP$1&gt;0),"",IF(OR(IF(Setup!$M$31&gt;0,Setup!$G$31+(Setup!$O$31+AP$1)*Setup!$M$31,EDATE(Setup!$G$31,(Setup!$O$31+AP$1)*Setup!$N$31))&gt;Setup!$P$31,IF(Setup!$M$31&gt;0,Setup!$G$31+(Setup!$O$31+AP$1)*Setup!$M$31,EDATE(Setup!$G$31,(Setup!$O$31+AP$1)*Setup!$N$31))&lt;Setup!$D$5),"",IF(Setup!$M$31&gt;0,Setup!$G$31+(Setup!$O$31+AP$1)*Setup!$M$31,EDATE(Setup!$G$31,(Setup!$O$31+AP$1)*Setup!$N$31))+$A8/1000)))</f>
        <v/>
      </c>
      <c r="AQ8">
        <f>IF(OR(Setup!$E$31="",Setup!$G$31="",Setup!$F$31=""),"",IF(AND(Setup!$F$31="Once",AQ$1&gt;0),"",IF(OR(IF(Setup!$M$31&gt;0,Setup!$G$31+(Setup!$O$31+AQ$1)*Setup!$M$31,EDATE(Setup!$G$31,(Setup!$O$31+AQ$1)*Setup!$N$31))&gt;Setup!$P$31,IF(Setup!$M$31&gt;0,Setup!$G$31+(Setup!$O$31+AQ$1)*Setup!$M$31,EDATE(Setup!$G$31,(Setup!$O$31+AQ$1)*Setup!$N$31))&lt;Setup!$D$5),"",IF(Setup!$M$31&gt;0,Setup!$G$31+(Setup!$O$31+AQ$1)*Setup!$M$31,EDATE(Setup!$G$31,(Setup!$O$31+AQ$1)*Setup!$N$31))+$A8/1000)))</f>
        <v/>
      </c>
      <c r="AR8">
        <f>IF(OR(Setup!$E$31="",Setup!$G$31="",Setup!$F$31=""),"",IF(AND(Setup!$F$31="Once",AR$1&gt;0),"",IF(OR(IF(Setup!$M$31&gt;0,Setup!$G$31+(Setup!$O$31+AR$1)*Setup!$M$31,EDATE(Setup!$G$31,(Setup!$O$31+AR$1)*Setup!$N$31))&gt;Setup!$P$31,IF(Setup!$M$31&gt;0,Setup!$G$31+(Setup!$O$31+AR$1)*Setup!$M$31,EDATE(Setup!$G$31,(Setup!$O$31+AR$1)*Setup!$N$31))&lt;Setup!$D$5),"",IF(Setup!$M$31&gt;0,Setup!$G$31+(Setup!$O$31+AR$1)*Setup!$M$31,EDATE(Setup!$G$31,(Setup!$O$31+AR$1)*Setup!$N$31))+$A8/1000)))</f>
        <v/>
      </c>
      <c r="AS8">
        <f>IF(OR(Setup!$E$31="",Setup!$G$31="",Setup!$F$31=""),"",IF(AND(Setup!$F$31="Once",AS$1&gt;0),"",IF(OR(IF(Setup!$M$31&gt;0,Setup!$G$31+(Setup!$O$31+AS$1)*Setup!$M$31,EDATE(Setup!$G$31,(Setup!$O$31+AS$1)*Setup!$N$31))&gt;Setup!$P$31,IF(Setup!$M$31&gt;0,Setup!$G$31+(Setup!$O$31+AS$1)*Setup!$M$31,EDATE(Setup!$G$31,(Setup!$O$31+AS$1)*Setup!$N$31))&lt;Setup!$D$5),"",IF(Setup!$M$31&gt;0,Setup!$G$31+(Setup!$O$31+AS$1)*Setup!$M$31,EDATE(Setup!$G$31,(Setup!$O$31+AS$1)*Setup!$N$31))+$A8/1000)))</f>
        <v/>
      </c>
      <c r="AT8">
        <f>IF(OR(Setup!$E$31="",Setup!$G$31="",Setup!$F$31=""),"",IF(AND(Setup!$F$31="Once",AT$1&gt;0),"",IF(OR(IF(Setup!$M$31&gt;0,Setup!$G$31+(Setup!$O$31+AT$1)*Setup!$M$31,EDATE(Setup!$G$31,(Setup!$O$31+AT$1)*Setup!$N$31))&gt;Setup!$P$31,IF(Setup!$M$31&gt;0,Setup!$G$31+(Setup!$O$31+AT$1)*Setup!$M$31,EDATE(Setup!$G$31,(Setup!$O$31+AT$1)*Setup!$N$31))&lt;Setup!$D$5),"",IF(Setup!$M$31&gt;0,Setup!$G$31+(Setup!$O$31+AT$1)*Setup!$M$31,EDATE(Setup!$G$31,(Setup!$O$31+AT$1)*Setup!$N$31))+$A8/1000)))</f>
        <v/>
      </c>
      <c r="AU8">
        <f>IF(OR(Setup!$E$31="",Setup!$G$31="",Setup!$F$31=""),"",IF(AND(Setup!$F$31="Once",AU$1&gt;0),"",IF(OR(IF(Setup!$M$31&gt;0,Setup!$G$31+(Setup!$O$31+AU$1)*Setup!$M$31,EDATE(Setup!$G$31,(Setup!$O$31+AU$1)*Setup!$N$31))&gt;Setup!$P$31,IF(Setup!$M$31&gt;0,Setup!$G$31+(Setup!$O$31+AU$1)*Setup!$M$31,EDATE(Setup!$G$31,(Setup!$O$31+AU$1)*Setup!$N$31))&lt;Setup!$D$5),"",IF(Setup!$M$31&gt;0,Setup!$G$31+(Setup!$O$31+AU$1)*Setup!$M$31,EDATE(Setup!$G$31,(Setup!$O$31+AU$1)*Setup!$N$31))+$A8/1000)))</f>
        <v/>
      </c>
      <c r="AV8">
        <f>IF(OR(Setup!$E$31="",Setup!$G$31="",Setup!$F$31=""),"",IF(AND(Setup!$F$31="Once",AV$1&gt;0),"",IF(OR(IF(Setup!$M$31&gt;0,Setup!$G$31+(Setup!$O$31+AV$1)*Setup!$M$31,EDATE(Setup!$G$31,(Setup!$O$31+AV$1)*Setup!$N$31))&gt;Setup!$P$31,IF(Setup!$M$31&gt;0,Setup!$G$31+(Setup!$O$31+AV$1)*Setup!$M$31,EDATE(Setup!$G$31,(Setup!$O$31+AV$1)*Setup!$N$31))&lt;Setup!$D$5),"",IF(Setup!$M$31&gt;0,Setup!$G$31+(Setup!$O$31+AV$1)*Setup!$M$31,EDATE(Setup!$G$31,(Setup!$O$31+AV$1)*Setup!$N$31))+$A8/1000)))</f>
        <v/>
      </c>
      <c r="AW8">
        <f>IF(OR(Setup!$E$31="",Setup!$G$31="",Setup!$F$31=""),"",IF(AND(Setup!$F$31="Once",AW$1&gt;0),"",IF(OR(IF(Setup!$M$31&gt;0,Setup!$G$31+(Setup!$O$31+AW$1)*Setup!$M$31,EDATE(Setup!$G$31,(Setup!$O$31+AW$1)*Setup!$N$31))&gt;Setup!$P$31,IF(Setup!$M$31&gt;0,Setup!$G$31+(Setup!$O$31+AW$1)*Setup!$M$31,EDATE(Setup!$G$31,(Setup!$O$31+AW$1)*Setup!$N$31))&lt;Setup!$D$5),"",IF(Setup!$M$31&gt;0,Setup!$G$31+(Setup!$O$31+AW$1)*Setup!$M$31,EDATE(Setup!$G$31,(Setup!$O$31+AW$1)*Setup!$N$31))+$A8/1000)))</f>
        <v/>
      </c>
      <c r="AX8">
        <f>IF(OR(Setup!$E$31="",Setup!$G$31="",Setup!$F$31=""),"",IF(AND(Setup!$F$31="Once",AX$1&gt;0),"",IF(OR(IF(Setup!$M$31&gt;0,Setup!$G$31+(Setup!$O$31+AX$1)*Setup!$M$31,EDATE(Setup!$G$31,(Setup!$O$31+AX$1)*Setup!$N$31))&gt;Setup!$P$31,IF(Setup!$M$31&gt;0,Setup!$G$31+(Setup!$O$31+AX$1)*Setup!$M$31,EDATE(Setup!$G$31,(Setup!$O$31+AX$1)*Setup!$N$31))&lt;Setup!$D$5),"",IF(Setup!$M$31&gt;0,Setup!$G$31+(Setup!$O$31+AX$1)*Setup!$M$31,EDATE(Setup!$G$31,(Setup!$O$31+AX$1)*Setup!$N$31))+$A8/1000)))</f>
        <v/>
      </c>
      <c r="AY8">
        <f>IF(OR(Setup!$E$31="",Setup!$G$31="",Setup!$F$31=""),"",IF(AND(Setup!$F$31="Once",AY$1&gt;0),"",IF(OR(IF(Setup!$M$31&gt;0,Setup!$G$31+(Setup!$O$31+AY$1)*Setup!$M$31,EDATE(Setup!$G$31,(Setup!$O$31+AY$1)*Setup!$N$31))&gt;Setup!$P$31,IF(Setup!$M$31&gt;0,Setup!$G$31+(Setup!$O$31+AY$1)*Setup!$M$31,EDATE(Setup!$G$31,(Setup!$O$31+AY$1)*Setup!$N$31))&lt;Setup!$D$5),"",IF(Setup!$M$31&gt;0,Setup!$G$31+(Setup!$O$31+AY$1)*Setup!$M$31,EDATE(Setup!$G$31,(Setup!$O$31+AY$1)*Setup!$N$31))+$A8/1000)))</f>
        <v/>
      </c>
      <c r="AZ8">
        <f>IF(OR(Setup!$E$31="",Setup!$G$31="",Setup!$F$31=""),"",IF(AND(Setup!$F$31="Once",AZ$1&gt;0),"",IF(OR(IF(Setup!$M$31&gt;0,Setup!$G$31+(Setup!$O$31+AZ$1)*Setup!$M$31,EDATE(Setup!$G$31,(Setup!$O$31+AZ$1)*Setup!$N$31))&gt;Setup!$P$31,IF(Setup!$M$31&gt;0,Setup!$G$31+(Setup!$O$31+AZ$1)*Setup!$M$31,EDATE(Setup!$G$31,(Setup!$O$31+AZ$1)*Setup!$N$31))&lt;Setup!$D$5),"",IF(Setup!$M$31&gt;0,Setup!$G$31+(Setup!$O$31+AZ$1)*Setup!$M$31,EDATE(Setup!$G$31,(Setup!$O$31+AZ$1)*Setup!$N$31))+$A8/1000)))</f>
        <v/>
      </c>
      <c r="BA8">
        <f>IF(OR(Setup!$E$31="",Setup!$G$31="",Setup!$F$31=""),"",IF(AND(Setup!$F$31="Once",BA$1&gt;0),"",IF(OR(IF(Setup!$M$31&gt;0,Setup!$G$31+(Setup!$O$31+BA$1)*Setup!$M$31,EDATE(Setup!$G$31,(Setup!$O$31+BA$1)*Setup!$N$31))&gt;Setup!$P$31,IF(Setup!$M$31&gt;0,Setup!$G$31+(Setup!$O$31+BA$1)*Setup!$M$31,EDATE(Setup!$G$31,(Setup!$O$31+BA$1)*Setup!$N$31))&lt;Setup!$D$5),"",IF(Setup!$M$31&gt;0,Setup!$G$31+(Setup!$O$31+BA$1)*Setup!$M$31,EDATE(Setup!$G$31,(Setup!$O$31+BA$1)*Setup!$N$31))+$A8/1000)))</f>
        <v/>
      </c>
      <c r="BB8">
        <f>IF(OR(Setup!$E$31="",Setup!$G$31="",Setup!$F$31=""),"",IF(AND(Setup!$F$31="Once",BB$1&gt;0),"",IF(OR(IF(Setup!$M$31&gt;0,Setup!$G$31+(Setup!$O$31+BB$1)*Setup!$M$31,EDATE(Setup!$G$31,(Setup!$O$31+BB$1)*Setup!$N$31))&gt;Setup!$P$31,IF(Setup!$M$31&gt;0,Setup!$G$31+(Setup!$O$31+BB$1)*Setup!$M$31,EDATE(Setup!$G$31,(Setup!$O$31+BB$1)*Setup!$N$31))&lt;Setup!$D$5),"",IF(Setup!$M$31&gt;0,Setup!$G$31+(Setup!$O$31+BB$1)*Setup!$M$31,EDATE(Setup!$G$31,(Setup!$O$31+BB$1)*Setup!$N$31))+$A8/1000)))</f>
        <v/>
      </c>
    </row>
    <row r="9">
      <c r="A9" t="n">
        <v>8</v>
      </c>
      <c r="B9">
        <f>IF(OR(Setup!$E$32="",Setup!$G$32="",Setup!$F$32=""),"",IF(AND(Setup!$F$32="Once",B$1&gt;0),"",IF(OR(IF(Setup!$M$32&gt;0,Setup!$G$32+(Setup!$O$32+B$1)*Setup!$M$32,EDATE(Setup!$G$32,(Setup!$O$32+B$1)*Setup!$N$32))&gt;Setup!$P$32,IF(Setup!$M$32&gt;0,Setup!$G$32+(Setup!$O$32+B$1)*Setup!$M$32,EDATE(Setup!$G$32,(Setup!$O$32+B$1)*Setup!$N$32))&lt;Setup!$D$5),"",IF(Setup!$M$32&gt;0,Setup!$G$32+(Setup!$O$32+B$1)*Setup!$M$32,EDATE(Setup!$G$32,(Setup!$O$32+B$1)*Setup!$N$32))+$A9/1000)))</f>
        <v/>
      </c>
      <c r="C9">
        <f>IF(OR(Setup!$E$32="",Setup!$G$32="",Setup!$F$32=""),"",IF(AND(Setup!$F$32="Once",C$1&gt;0),"",IF(OR(IF(Setup!$M$32&gt;0,Setup!$G$32+(Setup!$O$32+C$1)*Setup!$M$32,EDATE(Setup!$G$32,(Setup!$O$32+C$1)*Setup!$N$32))&gt;Setup!$P$32,IF(Setup!$M$32&gt;0,Setup!$G$32+(Setup!$O$32+C$1)*Setup!$M$32,EDATE(Setup!$G$32,(Setup!$O$32+C$1)*Setup!$N$32))&lt;Setup!$D$5),"",IF(Setup!$M$32&gt;0,Setup!$G$32+(Setup!$O$32+C$1)*Setup!$M$32,EDATE(Setup!$G$32,(Setup!$O$32+C$1)*Setup!$N$32))+$A9/1000)))</f>
        <v/>
      </c>
      <c r="D9">
        <f>IF(OR(Setup!$E$32="",Setup!$G$32="",Setup!$F$32=""),"",IF(AND(Setup!$F$32="Once",D$1&gt;0),"",IF(OR(IF(Setup!$M$32&gt;0,Setup!$G$32+(Setup!$O$32+D$1)*Setup!$M$32,EDATE(Setup!$G$32,(Setup!$O$32+D$1)*Setup!$N$32))&gt;Setup!$P$32,IF(Setup!$M$32&gt;0,Setup!$G$32+(Setup!$O$32+D$1)*Setup!$M$32,EDATE(Setup!$G$32,(Setup!$O$32+D$1)*Setup!$N$32))&lt;Setup!$D$5),"",IF(Setup!$M$32&gt;0,Setup!$G$32+(Setup!$O$32+D$1)*Setup!$M$32,EDATE(Setup!$G$32,(Setup!$O$32+D$1)*Setup!$N$32))+$A9/1000)))</f>
        <v/>
      </c>
      <c r="E9">
        <f>IF(OR(Setup!$E$32="",Setup!$G$32="",Setup!$F$32=""),"",IF(AND(Setup!$F$32="Once",E$1&gt;0),"",IF(OR(IF(Setup!$M$32&gt;0,Setup!$G$32+(Setup!$O$32+E$1)*Setup!$M$32,EDATE(Setup!$G$32,(Setup!$O$32+E$1)*Setup!$N$32))&gt;Setup!$P$32,IF(Setup!$M$32&gt;0,Setup!$G$32+(Setup!$O$32+E$1)*Setup!$M$32,EDATE(Setup!$G$32,(Setup!$O$32+E$1)*Setup!$N$32))&lt;Setup!$D$5),"",IF(Setup!$M$32&gt;0,Setup!$G$32+(Setup!$O$32+E$1)*Setup!$M$32,EDATE(Setup!$G$32,(Setup!$O$32+E$1)*Setup!$N$32))+$A9/1000)))</f>
        <v/>
      </c>
      <c r="F9">
        <f>IF(OR(Setup!$E$32="",Setup!$G$32="",Setup!$F$32=""),"",IF(AND(Setup!$F$32="Once",F$1&gt;0),"",IF(OR(IF(Setup!$M$32&gt;0,Setup!$G$32+(Setup!$O$32+F$1)*Setup!$M$32,EDATE(Setup!$G$32,(Setup!$O$32+F$1)*Setup!$N$32))&gt;Setup!$P$32,IF(Setup!$M$32&gt;0,Setup!$G$32+(Setup!$O$32+F$1)*Setup!$M$32,EDATE(Setup!$G$32,(Setup!$O$32+F$1)*Setup!$N$32))&lt;Setup!$D$5),"",IF(Setup!$M$32&gt;0,Setup!$G$32+(Setup!$O$32+F$1)*Setup!$M$32,EDATE(Setup!$G$32,(Setup!$O$32+F$1)*Setup!$N$32))+$A9/1000)))</f>
        <v/>
      </c>
      <c r="G9">
        <f>IF(OR(Setup!$E$32="",Setup!$G$32="",Setup!$F$32=""),"",IF(AND(Setup!$F$32="Once",G$1&gt;0),"",IF(OR(IF(Setup!$M$32&gt;0,Setup!$G$32+(Setup!$O$32+G$1)*Setup!$M$32,EDATE(Setup!$G$32,(Setup!$O$32+G$1)*Setup!$N$32))&gt;Setup!$P$32,IF(Setup!$M$32&gt;0,Setup!$G$32+(Setup!$O$32+G$1)*Setup!$M$32,EDATE(Setup!$G$32,(Setup!$O$32+G$1)*Setup!$N$32))&lt;Setup!$D$5),"",IF(Setup!$M$32&gt;0,Setup!$G$32+(Setup!$O$32+G$1)*Setup!$M$32,EDATE(Setup!$G$32,(Setup!$O$32+G$1)*Setup!$N$32))+$A9/1000)))</f>
        <v/>
      </c>
      <c r="H9">
        <f>IF(OR(Setup!$E$32="",Setup!$G$32="",Setup!$F$32=""),"",IF(AND(Setup!$F$32="Once",H$1&gt;0),"",IF(OR(IF(Setup!$M$32&gt;0,Setup!$G$32+(Setup!$O$32+H$1)*Setup!$M$32,EDATE(Setup!$G$32,(Setup!$O$32+H$1)*Setup!$N$32))&gt;Setup!$P$32,IF(Setup!$M$32&gt;0,Setup!$G$32+(Setup!$O$32+H$1)*Setup!$M$32,EDATE(Setup!$G$32,(Setup!$O$32+H$1)*Setup!$N$32))&lt;Setup!$D$5),"",IF(Setup!$M$32&gt;0,Setup!$G$32+(Setup!$O$32+H$1)*Setup!$M$32,EDATE(Setup!$G$32,(Setup!$O$32+H$1)*Setup!$N$32))+$A9/1000)))</f>
        <v/>
      </c>
      <c r="I9">
        <f>IF(OR(Setup!$E$32="",Setup!$G$32="",Setup!$F$32=""),"",IF(AND(Setup!$F$32="Once",I$1&gt;0),"",IF(OR(IF(Setup!$M$32&gt;0,Setup!$G$32+(Setup!$O$32+I$1)*Setup!$M$32,EDATE(Setup!$G$32,(Setup!$O$32+I$1)*Setup!$N$32))&gt;Setup!$P$32,IF(Setup!$M$32&gt;0,Setup!$G$32+(Setup!$O$32+I$1)*Setup!$M$32,EDATE(Setup!$G$32,(Setup!$O$32+I$1)*Setup!$N$32))&lt;Setup!$D$5),"",IF(Setup!$M$32&gt;0,Setup!$G$32+(Setup!$O$32+I$1)*Setup!$M$32,EDATE(Setup!$G$32,(Setup!$O$32+I$1)*Setup!$N$32))+$A9/1000)))</f>
        <v/>
      </c>
      <c r="J9">
        <f>IF(OR(Setup!$E$32="",Setup!$G$32="",Setup!$F$32=""),"",IF(AND(Setup!$F$32="Once",J$1&gt;0),"",IF(OR(IF(Setup!$M$32&gt;0,Setup!$G$32+(Setup!$O$32+J$1)*Setup!$M$32,EDATE(Setup!$G$32,(Setup!$O$32+J$1)*Setup!$N$32))&gt;Setup!$P$32,IF(Setup!$M$32&gt;0,Setup!$G$32+(Setup!$O$32+J$1)*Setup!$M$32,EDATE(Setup!$G$32,(Setup!$O$32+J$1)*Setup!$N$32))&lt;Setup!$D$5),"",IF(Setup!$M$32&gt;0,Setup!$G$32+(Setup!$O$32+J$1)*Setup!$M$32,EDATE(Setup!$G$32,(Setup!$O$32+J$1)*Setup!$N$32))+$A9/1000)))</f>
        <v/>
      </c>
      <c r="K9">
        <f>IF(OR(Setup!$E$32="",Setup!$G$32="",Setup!$F$32=""),"",IF(AND(Setup!$F$32="Once",K$1&gt;0),"",IF(OR(IF(Setup!$M$32&gt;0,Setup!$G$32+(Setup!$O$32+K$1)*Setup!$M$32,EDATE(Setup!$G$32,(Setup!$O$32+K$1)*Setup!$N$32))&gt;Setup!$P$32,IF(Setup!$M$32&gt;0,Setup!$G$32+(Setup!$O$32+K$1)*Setup!$M$32,EDATE(Setup!$G$32,(Setup!$O$32+K$1)*Setup!$N$32))&lt;Setup!$D$5),"",IF(Setup!$M$32&gt;0,Setup!$G$32+(Setup!$O$32+K$1)*Setup!$M$32,EDATE(Setup!$G$32,(Setup!$O$32+K$1)*Setup!$N$32))+$A9/1000)))</f>
        <v/>
      </c>
      <c r="L9">
        <f>IF(OR(Setup!$E$32="",Setup!$G$32="",Setup!$F$32=""),"",IF(AND(Setup!$F$32="Once",L$1&gt;0),"",IF(OR(IF(Setup!$M$32&gt;0,Setup!$G$32+(Setup!$O$32+L$1)*Setup!$M$32,EDATE(Setup!$G$32,(Setup!$O$32+L$1)*Setup!$N$32))&gt;Setup!$P$32,IF(Setup!$M$32&gt;0,Setup!$G$32+(Setup!$O$32+L$1)*Setup!$M$32,EDATE(Setup!$G$32,(Setup!$O$32+L$1)*Setup!$N$32))&lt;Setup!$D$5),"",IF(Setup!$M$32&gt;0,Setup!$G$32+(Setup!$O$32+L$1)*Setup!$M$32,EDATE(Setup!$G$32,(Setup!$O$32+L$1)*Setup!$N$32))+$A9/1000)))</f>
        <v/>
      </c>
      <c r="M9">
        <f>IF(OR(Setup!$E$32="",Setup!$G$32="",Setup!$F$32=""),"",IF(AND(Setup!$F$32="Once",M$1&gt;0),"",IF(OR(IF(Setup!$M$32&gt;0,Setup!$G$32+(Setup!$O$32+M$1)*Setup!$M$32,EDATE(Setup!$G$32,(Setup!$O$32+M$1)*Setup!$N$32))&gt;Setup!$P$32,IF(Setup!$M$32&gt;0,Setup!$G$32+(Setup!$O$32+M$1)*Setup!$M$32,EDATE(Setup!$G$32,(Setup!$O$32+M$1)*Setup!$N$32))&lt;Setup!$D$5),"",IF(Setup!$M$32&gt;0,Setup!$G$32+(Setup!$O$32+M$1)*Setup!$M$32,EDATE(Setup!$G$32,(Setup!$O$32+M$1)*Setup!$N$32))+$A9/1000)))</f>
        <v/>
      </c>
      <c r="N9">
        <f>IF(OR(Setup!$E$32="",Setup!$G$32="",Setup!$F$32=""),"",IF(AND(Setup!$F$32="Once",N$1&gt;0),"",IF(OR(IF(Setup!$M$32&gt;0,Setup!$G$32+(Setup!$O$32+N$1)*Setup!$M$32,EDATE(Setup!$G$32,(Setup!$O$32+N$1)*Setup!$N$32))&gt;Setup!$P$32,IF(Setup!$M$32&gt;0,Setup!$G$32+(Setup!$O$32+N$1)*Setup!$M$32,EDATE(Setup!$G$32,(Setup!$O$32+N$1)*Setup!$N$32))&lt;Setup!$D$5),"",IF(Setup!$M$32&gt;0,Setup!$G$32+(Setup!$O$32+N$1)*Setup!$M$32,EDATE(Setup!$G$32,(Setup!$O$32+N$1)*Setup!$N$32))+$A9/1000)))</f>
        <v/>
      </c>
      <c r="O9">
        <f>IF(OR(Setup!$E$32="",Setup!$G$32="",Setup!$F$32=""),"",IF(AND(Setup!$F$32="Once",O$1&gt;0),"",IF(OR(IF(Setup!$M$32&gt;0,Setup!$G$32+(Setup!$O$32+O$1)*Setup!$M$32,EDATE(Setup!$G$32,(Setup!$O$32+O$1)*Setup!$N$32))&gt;Setup!$P$32,IF(Setup!$M$32&gt;0,Setup!$G$32+(Setup!$O$32+O$1)*Setup!$M$32,EDATE(Setup!$G$32,(Setup!$O$32+O$1)*Setup!$N$32))&lt;Setup!$D$5),"",IF(Setup!$M$32&gt;0,Setup!$G$32+(Setup!$O$32+O$1)*Setup!$M$32,EDATE(Setup!$G$32,(Setup!$O$32+O$1)*Setup!$N$32))+$A9/1000)))</f>
        <v/>
      </c>
      <c r="P9">
        <f>IF(OR(Setup!$E$32="",Setup!$G$32="",Setup!$F$32=""),"",IF(AND(Setup!$F$32="Once",P$1&gt;0),"",IF(OR(IF(Setup!$M$32&gt;0,Setup!$G$32+(Setup!$O$32+P$1)*Setup!$M$32,EDATE(Setup!$G$32,(Setup!$O$32+P$1)*Setup!$N$32))&gt;Setup!$P$32,IF(Setup!$M$32&gt;0,Setup!$G$32+(Setup!$O$32+P$1)*Setup!$M$32,EDATE(Setup!$G$32,(Setup!$O$32+P$1)*Setup!$N$32))&lt;Setup!$D$5),"",IF(Setup!$M$32&gt;0,Setup!$G$32+(Setup!$O$32+P$1)*Setup!$M$32,EDATE(Setup!$G$32,(Setup!$O$32+P$1)*Setup!$N$32))+$A9/1000)))</f>
        <v/>
      </c>
      <c r="Q9">
        <f>IF(OR(Setup!$E$32="",Setup!$G$32="",Setup!$F$32=""),"",IF(AND(Setup!$F$32="Once",Q$1&gt;0),"",IF(OR(IF(Setup!$M$32&gt;0,Setup!$G$32+(Setup!$O$32+Q$1)*Setup!$M$32,EDATE(Setup!$G$32,(Setup!$O$32+Q$1)*Setup!$N$32))&gt;Setup!$P$32,IF(Setup!$M$32&gt;0,Setup!$G$32+(Setup!$O$32+Q$1)*Setup!$M$32,EDATE(Setup!$G$32,(Setup!$O$32+Q$1)*Setup!$N$32))&lt;Setup!$D$5),"",IF(Setup!$M$32&gt;0,Setup!$G$32+(Setup!$O$32+Q$1)*Setup!$M$32,EDATE(Setup!$G$32,(Setup!$O$32+Q$1)*Setup!$N$32))+$A9/1000)))</f>
        <v/>
      </c>
      <c r="R9">
        <f>IF(OR(Setup!$E$32="",Setup!$G$32="",Setup!$F$32=""),"",IF(AND(Setup!$F$32="Once",R$1&gt;0),"",IF(OR(IF(Setup!$M$32&gt;0,Setup!$G$32+(Setup!$O$32+R$1)*Setup!$M$32,EDATE(Setup!$G$32,(Setup!$O$32+R$1)*Setup!$N$32))&gt;Setup!$P$32,IF(Setup!$M$32&gt;0,Setup!$G$32+(Setup!$O$32+R$1)*Setup!$M$32,EDATE(Setup!$G$32,(Setup!$O$32+R$1)*Setup!$N$32))&lt;Setup!$D$5),"",IF(Setup!$M$32&gt;0,Setup!$G$32+(Setup!$O$32+R$1)*Setup!$M$32,EDATE(Setup!$G$32,(Setup!$O$32+R$1)*Setup!$N$32))+$A9/1000)))</f>
        <v/>
      </c>
      <c r="S9">
        <f>IF(OR(Setup!$E$32="",Setup!$G$32="",Setup!$F$32=""),"",IF(AND(Setup!$F$32="Once",S$1&gt;0),"",IF(OR(IF(Setup!$M$32&gt;0,Setup!$G$32+(Setup!$O$32+S$1)*Setup!$M$32,EDATE(Setup!$G$32,(Setup!$O$32+S$1)*Setup!$N$32))&gt;Setup!$P$32,IF(Setup!$M$32&gt;0,Setup!$G$32+(Setup!$O$32+S$1)*Setup!$M$32,EDATE(Setup!$G$32,(Setup!$O$32+S$1)*Setup!$N$32))&lt;Setup!$D$5),"",IF(Setup!$M$32&gt;0,Setup!$G$32+(Setup!$O$32+S$1)*Setup!$M$32,EDATE(Setup!$G$32,(Setup!$O$32+S$1)*Setup!$N$32))+$A9/1000)))</f>
        <v/>
      </c>
      <c r="T9">
        <f>IF(OR(Setup!$E$32="",Setup!$G$32="",Setup!$F$32=""),"",IF(AND(Setup!$F$32="Once",T$1&gt;0),"",IF(OR(IF(Setup!$M$32&gt;0,Setup!$G$32+(Setup!$O$32+T$1)*Setup!$M$32,EDATE(Setup!$G$32,(Setup!$O$32+T$1)*Setup!$N$32))&gt;Setup!$P$32,IF(Setup!$M$32&gt;0,Setup!$G$32+(Setup!$O$32+T$1)*Setup!$M$32,EDATE(Setup!$G$32,(Setup!$O$32+T$1)*Setup!$N$32))&lt;Setup!$D$5),"",IF(Setup!$M$32&gt;0,Setup!$G$32+(Setup!$O$32+T$1)*Setup!$M$32,EDATE(Setup!$G$32,(Setup!$O$32+T$1)*Setup!$N$32))+$A9/1000)))</f>
        <v/>
      </c>
      <c r="U9">
        <f>IF(OR(Setup!$E$32="",Setup!$G$32="",Setup!$F$32=""),"",IF(AND(Setup!$F$32="Once",U$1&gt;0),"",IF(OR(IF(Setup!$M$32&gt;0,Setup!$G$32+(Setup!$O$32+U$1)*Setup!$M$32,EDATE(Setup!$G$32,(Setup!$O$32+U$1)*Setup!$N$32))&gt;Setup!$P$32,IF(Setup!$M$32&gt;0,Setup!$G$32+(Setup!$O$32+U$1)*Setup!$M$32,EDATE(Setup!$G$32,(Setup!$O$32+U$1)*Setup!$N$32))&lt;Setup!$D$5),"",IF(Setup!$M$32&gt;0,Setup!$G$32+(Setup!$O$32+U$1)*Setup!$M$32,EDATE(Setup!$G$32,(Setup!$O$32+U$1)*Setup!$N$32))+$A9/1000)))</f>
        <v/>
      </c>
      <c r="V9">
        <f>IF(OR(Setup!$E$32="",Setup!$G$32="",Setup!$F$32=""),"",IF(AND(Setup!$F$32="Once",V$1&gt;0),"",IF(OR(IF(Setup!$M$32&gt;0,Setup!$G$32+(Setup!$O$32+V$1)*Setup!$M$32,EDATE(Setup!$G$32,(Setup!$O$32+V$1)*Setup!$N$32))&gt;Setup!$P$32,IF(Setup!$M$32&gt;0,Setup!$G$32+(Setup!$O$32+V$1)*Setup!$M$32,EDATE(Setup!$G$32,(Setup!$O$32+V$1)*Setup!$N$32))&lt;Setup!$D$5),"",IF(Setup!$M$32&gt;0,Setup!$G$32+(Setup!$O$32+V$1)*Setup!$M$32,EDATE(Setup!$G$32,(Setup!$O$32+V$1)*Setup!$N$32))+$A9/1000)))</f>
        <v/>
      </c>
      <c r="W9">
        <f>IF(OR(Setup!$E$32="",Setup!$G$32="",Setup!$F$32=""),"",IF(AND(Setup!$F$32="Once",W$1&gt;0),"",IF(OR(IF(Setup!$M$32&gt;0,Setup!$G$32+(Setup!$O$32+W$1)*Setup!$M$32,EDATE(Setup!$G$32,(Setup!$O$32+W$1)*Setup!$N$32))&gt;Setup!$P$32,IF(Setup!$M$32&gt;0,Setup!$G$32+(Setup!$O$32+W$1)*Setup!$M$32,EDATE(Setup!$G$32,(Setup!$O$32+W$1)*Setup!$N$32))&lt;Setup!$D$5),"",IF(Setup!$M$32&gt;0,Setup!$G$32+(Setup!$O$32+W$1)*Setup!$M$32,EDATE(Setup!$G$32,(Setup!$O$32+W$1)*Setup!$N$32))+$A9/1000)))</f>
        <v/>
      </c>
      <c r="X9">
        <f>IF(OR(Setup!$E$32="",Setup!$G$32="",Setup!$F$32=""),"",IF(AND(Setup!$F$32="Once",X$1&gt;0),"",IF(OR(IF(Setup!$M$32&gt;0,Setup!$G$32+(Setup!$O$32+X$1)*Setup!$M$32,EDATE(Setup!$G$32,(Setup!$O$32+X$1)*Setup!$N$32))&gt;Setup!$P$32,IF(Setup!$M$32&gt;0,Setup!$G$32+(Setup!$O$32+X$1)*Setup!$M$32,EDATE(Setup!$G$32,(Setup!$O$32+X$1)*Setup!$N$32))&lt;Setup!$D$5),"",IF(Setup!$M$32&gt;0,Setup!$G$32+(Setup!$O$32+X$1)*Setup!$M$32,EDATE(Setup!$G$32,(Setup!$O$32+X$1)*Setup!$N$32))+$A9/1000)))</f>
        <v/>
      </c>
      <c r="Y9">
        <f>IF(OR(Setup!$E$32="",Setup!$G$32="",Setup!$F$32=""),"",IF(AND(Setup!$F$32="Once",Y$1&gt;0),"",IF(OR(IF(Setup!$M$32&gt;0,Setup!$G$32+(Setup!$O$32+Y$1)*Setup!$M$32,EDATE(Setup!$G$32,(Setup!$O$32+Y$1)*Setup!$N$32))&gt;Setup!$P$32,IF(Setup!$M$32&gt;0,Setup!$G$32+(Setup!$O$32+Y$1)*Setup!$M$32,EDATE(Setup!$G$32,(Setup!$O$32+Y$1)*Setup!$N$32))&lt;Setup!$D$5),"",IF(Setup!$M$32&gt;0,Setup!$G$32+(Setup!$O$32+Y$1)*Setup!$M$32,EDATE(Setup!$G$32,(Setup!$O$32+Y$1)*Setup!$N$32))+$A9/1000)))</f>
        <v/>
      </c>
      <c r="Z9">
        <f>IF(OR(Setup!$E$32="",Setup!$G$32="",Setup!$F$32=""),"",IF(AND(Setup!$F$32="Once",Z$1&gt;0),"",IF(OR(IF(Setup!$M$32&gt;0,Setup!$G$32+(Setup!$O$32+Z$1)*Setup!$M$32,EDATE(Setup!$G$32,(Setup!$O$32+Z$1)*Setup!$N$32))&gt;Setup!$P$32,IF(Setup!$M$32&gt;0,Setup!$G$32+(Setup!$O$32+Z$1)*Setup!$M$32,EDATE(Setup!$G$32,(Setup!$O$32+Z$1)*Setup!$N$32))&lt;Setup!$D$5),"",IF(Setup!$M$32&gt;0,Setup!$G$32+(Setup!$O$32+Z$1)*Setup!$M$32,EDATE(Setup!$G$32,(Setup!$O$32+Z$1)*Setup!$N$32))+$A9/1000)))</f>
        <v/>
      </c>
      <c r="AA9">
        <f>IF(OR(Setup!$E$32="",Setup!$G$32="",Setup!$F$32=""),"",IF(AND(Setup!$F$32="Once",AA$1&gt;0),"",IF(OR(IF(Setup!$M$32&gt;0,Setup!$G$32+(Setup!$O$32+AA$1)*Setup!$M$32,EDATE(Setup!$G$32,(Setup!$O$32+AA$1)*Setup!$N$32))&gt;Setup!$P$32,IF(Setup!$M$32&gt;0,Setup!$G$32+(Setup!$O$32+AA$1)*Setup!$M$32,EDATE(Setup!$G$32,(Setup!$O$32+AA$1)*Setup!$N$32))&lt;Setup!$D$5),"",IF(Setup!$M$32&gt;0,Setup!$G$32+(Setup!$O$32+AA$1)*Setup!$M$32,EDATE(Setup!$G$32,(Setup!$O$32+AA$1)*Setup!$N$32))+$A9/1000)))</f>
        <v/>
      </c>
      <c r="AB9">
        <f>IF(OR(Setup!$E$32="",Setup!$G$32="",Setup!$F$32=""),"",IF(AND(Setup!$F$32="Once",AB$1&gt;0),"",IF(OR(IF(Setup!$M$32&gt;0,Setup!$G$32+(Setup!$O$32+AB$1)*Setup!$M$32,EDATE(Setup!$G$32,(Setup!$O$32+AB$1)*Setup!$N$32))&gt;Setup!$P$32,IF(Setup!$M$32&gt;0,Setup!$G$32+(Setup!$O$32+AB$1)*Setup!$M$32,EDATE(Setup!$G$32,(Setup!$O$32+AB$1)*Setup!$N$32))&lt;Setup!$D$5),"",IF(Setup!$M$32&gt;0,Setup!$G$32+(Setup!$O$32+AB$1)*Setup!$M$32,EDATE(Setup!$G$32,(Setup!$O$32+AB$1)*Setup!$N$32))+$A9/1000)))</f>
        <v/>
      </c>
      <c r="AC9">
        <f>IF(OR(Setup!$E$32="",Setup!$G$32="",Setup!$F$32=""),"",IF(AND(Setup!$F$32="Once",AC$1&gt;0),"",IF(OR(IF(Setup!$M$32&gt;0,Setup!$G$32+(Setup!$O$32+AC$1)*Setup!$M$32,EDATE(Setup!$G$32,(Setup!$O$32+AC$1)*Setup!$N$32))&gt;Setup!$P$32,IF(Setup!$M$32&gt;0,Setup!$G$32+(Setup!$O$32+AC$1)*Setup!$M$32,EDATE(Setup!$G$32,(Setup!$O$32+AC$1)*Setup!$N$32))&lt;Setup!$D$5),"",IF(Setup!$M$32&gt;0,Setup!$G$32+(Setup!$O$32+AC$1)*Setup!$M$32,EDATE(Setup!$G$32,(Setup!$O$32+AC$1)*Setup!$N$32))+$A9/1000)))</f>
        <v/>
      </c>
      <c r="AD9">
        <f>IF(OR(Setup!$E$32="",Setup!$G$32="",Setup!$F$32=""),"",IF(AND(Setup!$F$32="Once",AD$1&gt;0),"",IF(OR(IF(Setup!$M$32&gt;0,Setup!$G$32+(Setup!$O$32+AD$1)*Setup!$M$32,EDATE(Setup!$G$32,(Setup!$O$32+AD$1)*Setup!$N$32))&gt;Setup!$P$32,IF(Setup!$M$32&gt;0,Setup!$G$32+(Setup!$O$32+AD$1)*Setup!$M$32,EDATE(Setup!$G$32,(Setup!$O$32+AD$1)*Setup!$N$32))&lt;Setup!$D$5),"",IF(Setup!$M$32&gt;0,Setup!$G$32+(Setup!$O$32+AD$1)*Setup!$M$32,EDATE(Setup!$G$32,(Setup!$O$32+AD$1)*Setup!$N$32))+$A9/1000)))</f>
        <v/>
      </c>
      <c r="AE9">
        <f>IF(OR(Setup!$E$32="",Setup!$G$32="",Setup!$F$32=""),"",IF(AND(Setup!$F$32="Once",AE$1&gt;0),"",IF(OR(IF(Setup!$M$32&gt;0,Setup!$G$32+(Setup!$O$32+AE$1)*Setup!$M$32,EDATE(Setup!$G$32,(Setup!$O$32+AE$1)*Setup!$N$32))&gt;Setup!$P$32,IF(Setup!$M$32&gt;0,Setup!$G$32+(Setup!$O$32+AE$1)*Setup!$M$32,EDATE(Setup!$G$32,(Setup!$O$32+AE$1)*Setup!$N$32))&lt;Setup!$D$5),"",IF(Setup!$M$32&gt;0,Setup!$G$32+(Setup!$O$32+AE$1)*Setup!$M$32,EDATE(Setup!$G$32,(Setup!$O$32+AE$1)*Setup!$N$32))+$A9/1000)))</f>
        <v/>
      </c>
      <c r="AF9">
        <f>IF(OR(Setup!$E$32="",Setup!$G$32="",Setup!$F$32=""),"",IF(AND(Setup!$F$32="Once",AF$1&gt;0),"",IF(OR(IF(Setup!$M$32&gt;0,Setup!$G$32+(Setup!$O$32+AF$1)*Setup!$M$32,EDATE(Setup!$G$32,(Setup!$O$32+AF$1)*Setup!$N$32))&gt;Setup!$P$32,IF(Setup!$M$32&gt;0,Setup!$G$32+(Setup!$O$32+AF$1)*Setup!$M$32,EDATE(Setup!$G$32,(Setup!$O$32+AF$1)*Setup!$N$32))&lt;Setup!$D$5),"",IF(Setup!$M$32&gt;0,Setup!$G$32+(Setup!$O$32+AF$1)*Setup!$M$32,EDATE(Setup!$G$32,(Setup!$O$32+AF$1)*Setup!$N$32))+$A9/1000)))</f>
        <v/>
      </c>
      <c r="AG9">
        <f>IF(OR(Setup!$E$32="",Setup!$G$32="",Setup!$F$32=""),"",IF(AND(Setup!$F$32="Once",AG$1&gt;0),"",IF(OR(IF(Setup!$M$32&gt;0,Setup!$G$32+(Setup!$O$32+AG$1)*Setup!$M$32,EDATE(Setup!$G$32,(Setup!$O$32+AG$1)*Setup!$N$32))&gt;Setup!$P$32,IF(Setup!$M$32&gt;0,Setup!$G$32+(Setup!$O$32+AG$1)*Setup!$M$32,EDATE(Setup!$G$32,(Setup!$O$32+AG$1)*Setup!$N$32))&lt;Setup!$D$5),"",IF(Setup!$M$32&gt;0,Setup!$G$32+(Setup!$O$32+AG$1)*Setup!$M$32,EDATE(Setup!$G$32,(Setup!$O$32+AG$1)*Setup!$N$32))+$A9/1000)))</f>
        <v/>
      </c>
      <c r="AH9">
        <f>IF(OR(Setup!$E$32="",Setup!$G$32="",Setup!$F$32=""),"",IF(AND(Setup!$F$32="Once",AH$1&gt;0),"",IF(OR(IF(Setup!$M$32&gt;0,Setup!$G$32+(Setup!$O$32+AH$1)*Setup!$M$32,EDATE(Setup!$G$32,(Setup!$O$32+AH$1)*Setup!$N$32))&gt;Setup!$P$32,IF(Setup!$M$32&gt;0,Setup!$G$32+(Setup!$O$32+AH$1)*Setup!$M$32,EDATE(Setup!$G$32,(Setup!$O$32+AH$1)*Setup!$N$32))&lt;Setup!$D$5),"",IF(Setup!$M$32&gt;0,Setup!$G$32+(Setup!$O$32+AH$1)*Setup!$M$32,EDATE(Setup!$G$32,(Setup!$O$32+AH$1)*Setup!$N$32))+$A9/1000)))</f>
        <v/>
      </c>
      <c r="AI9">
        <f>IF(OR(Setup!$E$32="",Setup!$G$32="",Setup!$F$32=""),"",IF(AND(Setup!$F$32="Once",AI$1&gt;0),"",IF(OR(IF(Setup!$M$32&gt;0,Setup!$G$32+(Setup!$O$32+AI$1)*Setup!$M$32,EDATE(Setup!$G$32,(Setup!$O$32+AI$1)*Setup!$N$32))&gt;Setup!$P$32,IF(Setup!$M$32&gt;0,Setup!$G$32+(Setup!$O$32+AI$1)*Setup!$M$32,EDATE(Setup!$G$32,(Setup!$O$32+AI$1)*Setup!$N$32))&lt;Setup!$D$5),"",IF(Setup!$M$32&gt;0,Setup!$G$32+(Setup!$O$32+AI$1)*Setup!$M$32,EDATE(Setup!$G$32,(Setup!$O$32+AI$1)*Setup!$N$32))+$A9/1000)))</f>
        <v/>
      </c>
      <c r="AJ9">
        <f>IF(OR(Setup!$E$32="",Setup!$G$32="",Setup!$F$32=""),"",IF(AND(Setup!$F$32="Once",AJ$1&gt;0),"",IF(OR(IF(Setup!$M$32&gt;0,Setup!$G$32+(Setup!$O$32+AJ$1)*Setup!$M$32,EDATE(Setup!$G$32,(Setup!$O$32+AJ$1)*Setup!$N$32))&gt;Setup!$P$32,IF(Setup!$M$32&gt;0,Setup!$G$32+(Setup!$O$32+AJ$1)*Setup!$M$32,EDATE(Setup!$G$32,(Setup!$O$32+AJ$1)*Setup!$N$32))&lt;Setup!$D$5),"",IF(Setup!$M$32&gt;0,Setup!$G$32+(Setup!$O$32+AJ$1)*Setup!$M$32,EDATE(Setup!$G$32,(Setup!$O$32+AJ$1)*Setup!$N$32))+$A9/1000)))</f>
        <v/>
      </c>
      <c r="AK9">
        <f>IF(OR(Setup!$E$32="",Setup!$G$32="",Setup!$F$32=""),"",IF(AND(Setup!$F$32="Once",AK$1&gt;0),"",IF(OR(IF(Setup!$M$32&gt;0,Setup!$G$32+(Setup!$O$32+AK$1)*Setup!$M$32,EDATE(Setup!$G$32,(Setup!$O$32+AK$1)*Setup!$N$32))&gt;Setup!$P$32,IF(Setup!$M$32&gt;0,Setup!$G$32+(Setup!$O$32+AK$1)*Setup!$M$32,EDATE(Setup!$G$32,(Setup!$O$32+AK$1)*Setup!$N$32))&lt;Setup!$D$5),"",IF(Setup!$M$32&gt;0,Setup!$G$32+(Setup!$O$32+AK$1)*Setup!$M$32,EDATE(Setup!$G$32,(Setup!$O$32+AK$1)*Setup!$N$32))+$A9/1000)))</f>
        <v/>
      </c>
      <c r="AL9">
        <f>IF(OR(Setup!$E$32="",Setup!$G$32="",Setup!$F$32=""),"",IF(AND(Setup!$F$32="Once",AL$1&gt;0),"",IF(OR(IF(Setup!$M$32&gt;0,Setup!$G$32+(Setup!$O$32+AL$1)*Setup!$M$32,EDATE(Setup!$G$32,(Setup!$O$32+AL$1)*Setup!$N$32))&gt;Setup!$P$32,IF(Setup!$M$32&gt;0,Setup!$G$32+(Setup!$O$32+AL$1)*Setup!$M$32,EDATE(Setup!$G$32,(Setup!$O$32+AL$1)*Setup!$N$32))&lt;Setup!$D$5),"",IF(Setup!$M$32&gt;0,Setup!$G$32+(Setup!$O$32+AL$1)*Setup!$M$32,EDATE(Setup!$G$32,(Setup!$O$32+AL$1)*Setup!$N$32))+$A9/1000)))</f>
        <v/>
      </c>
      <c r="AM9">
        <f>IF(OR(Setup!$E$32="",Setup!$G$32="",Setup!$F$32=""),"",IF(AND(Setup!$F$32="Once",AM$1&gt;0),"",IF(OR(IF(Setup!$M$32&gt;0,Setup!$G$32+(Setup!$O$32+AM$1)*Setup!$M$32,EDATE(Setup!$G$32,(Setup!$O$32+AM$1)*Setup!$N$32))&gt;Setup!$P$32,IF(Setup!$M$32&gt;0,Setup!$G$32+(Setup!$O$32+AM$1)*Setup!$M$32,EDATE(Setup!$G$32,(Setup!$O$32+AM$1)*Setup!$N$32))&lt;Setup!$D$5),"",IF(Setup!$M$32&gt;0,Setup!$G$32+(Setup!$O$32+AM$1)*Setup!$M$32,EDATE(Setup!$G$32,(Setup!$O$32+AM$1)*Setup!$N$32))+$A9/1000)))</f>
        <v/>
      </c>
      <c r="AN9">
        <f>IF(OR(Setup!$E$32="",Setup!$G$32="",Setup!$F$32=""),"",IF(AND(Setup!$F$32="Once",AN$1&gt;0),"",IF(OR(IF(Setup!$M$32&gt;0,Setup!$G$32+(Setup!$O$32+AN$1)*Setup!$M$32,EDATE(Setup!$G$32,(Setup!$O$32+AN$1)*Setup!$N$32))&gt;Setup!$P$32,IF(Setup!$M$32&gt;0,Setup!$G$32+(Setup!$O$32+AN$1)*Setup!$M$32,EDATE(Setup!$G$32,(Setup!$O$32+AN$1)*Setup!$N$32))&lt;Setup!$D$5),"",IF(Setup!$M$32&gt;0,Setup!$G$32+(Setup!$O$32+AN$1)*Setup!$M$32,EDATE(Setup!$G$32,(Setup!$O$32+AN$1)*Setup!$N$32))+$A9/1000)))</f>
        <v/>
      </c>
      <c r="AO9">
        <f>IF(OR(Setup!$E$32="",Setup!$G$32="",Setup!$F$32=""),"",IF(AND(Setup!$F$32="Once",AO$1&gt;0),"",IF(OR(IF(Setup!$M$32&gt;0,Setup!$G$32+(Setup!$O$32+AO$1)*Setup!$M$32,EDATE(Setup!$G$32,(Setup!$O$32+AO$1)*Setup!$N$32))&gt;Setup!$P$32,IF(Setup!$M$32&gt;0,Setup!$G$32+(Setup!$O$32+AO$1)*Setup!$M$32,EDATE(Setup!$G$32,(Setup!$O$32+AO$1)*Setup!$N$32))&lt;Setup!$D$5),"",IF(Setup!$M$32&gt;0,Setup!$G$32+(Setup!$O$32+AO$1)*Setup!$M$32,EDATE(Setup!$G$32,(Setup!$O$32+AO$1)*Setup!$N$32))+$A9/1000)))</f>
        <v/>
      </c>
      <c r="AP9">
        <f>IF(OR(Setup!$E$32="",Setup!$G$32="",Setup!$F$32=""),"",IF(AND(Setup!$F$32="Once",AP$1&gt;0),"",IF(OR(IF(Setup!$M$32&gt;0,Setup!$G$32+(Setup!$O$32+AP$1)*Setup!$M$32,EDATE(Setup!$G$32,(Setup!$O$32+AP$1)*Setup!$N$32))&gt;Setup!$P$32,IF(Setup!$M$32&gt;0,Setup!$G$32+(Setup!$O$32+AP$1)*Setup!$M$32,EDATE(Setup!$G$32,(Setup!$O$32+AP$1)*Setup!$N$32))&lt;Setup!$D$5),"",IF(Setup!$M$32&gt;0,Setup!$G$32+(Setup!$O$32+AP$1)*Setup!$M$32,EDATE(Setup!$G$32,(Setup!$O$32+AP$1)*Setup!$N$32))+$A9/1000)))</f>
        <v/>
      </c>
      <c r="AQ9">
        <f>IF(OR(Setup!$E$32="",Setup!$G$32="",Setup!$F$32=""),"",IF(AND(Setup!$F$32="Once",AQ$1&gt;0),"",IF(OR(IF(Setup!$M$32&gt;0,Setup!$G$32+(Setup!$O$32+AQ$1)*Setup!$M$32,EDATE(Setup!$G$32,(Setup!$O$32+AQ$1)*Setup!$N$32))&gt;Setup!$P$32,IF(Setup!$M$32&gt;0,Setup!$G$32+(Setup!$O$32+AQ$1)*Setup!$M$32,EDATE(Setup!$G$32,(Setup!$O$32+AQ$1)*Setup!$N$32))&lt;Setup!$D$5),"",IF(Setup!$M$32&gt;0,Setup!$G$32+(Setup!$O$32+AQ$1)*Setup!$M$32,EDATE(Setup!$G$32,(Setup!$O$32+AQ$1)*Setup!$N$32))+$A9/1000)))</f>
        <v/>
      </c>
      <c r="AR9">
        <f>IF(OR(Setup!$E$32="",Setup!$G$32="",Setup!$F$32=""),"",IF(AND(Setup!$F$32="Once",AR$1&gt;0),"",IF(OR(IF(Setup!$M$32&gt;0,Setup!$G$32+(Setup!$O$32+AR$1)*Setup!$M$32,EDATE(Setup!$G$32,(Setup!$O$32+AR$1)*Setup!$N$32))&gt;Setup!$P$32,IF(Setup!$M$32&gt;0,Setup!$G$32+(Setup!$O$32+AR$1)*Setup!$M$32,EDATE(Setup!$G$32,(Setup!$O$32+AR$1)*Setup!$N$32))&lt;Setup!$D$5),"",IF(Setup!$M$32&gt;0,Setup!$G$32+(Setup!$O$32+AR$1)*Setup!$M$32,EDATE(Setup!$G$32,(Setup!$O$32+AR$1)*Setup!$N$32))+$A9/1000)))</f>
        <v/>
      </c>
      <c r="AS9">
        <f>IF(OR(Setup!$E$32="",Setup!$G$32="",Setup!$F$32=""),"",IF(AND(Setup!$F$32="Once",AS$1&gt;0),"",IF(OR(IF(Setup!$M$32&gt;0,Setup!$G$32+(Setup!$O$32+AS$1)*Setup!$M$32,EDATE(Setup!$G$32,(Setup!$O$32+AS$1)*Setup!$N$32))&gt;Setup!$P$32,IF(Setup!$M$32&gt;0,Setup!$G$32+(Setup!$O$32+AS$1)*Setup!$M$32,EDATE(Setup!$G$32,(Setup!$O$32+AS$1)*Setup!$N$32))&lt;Setup!$D$5),"",IF(Setup!$M$32&gt;0,Setup!$G$32+(Setup!$O$32+AS$1)*Setup!$M$32,EDATE(Setup!$G$32,(Setup!$O$32+AS$1)*Setup!$N$32))+$A9/1000)))</f>
        <v/>
      </c>
      <c r="AT9">
        <f>IF(OR(Setup!$E$32="",Setup!$G$32="",Setup!$F$32=""),"",IF(AND(Setup!$F$32="Once",AT$1&gt;0),"",IF(OR(IF(Setup!$M$32&gt;0,Setup!$G$32+(Setup!$O$32+AT$1)*Setup!$M$32,EDATE(Setup!$G$32,(Setup!$O$32+AT$1)*Setup!$N$32))&gt;Setup!$P$32,IF(Setup!$M$32&gt;0,Setup!$G$32+(Setup!$O$32+AT$1)*Setup!$M$32,EDATE(Setup!$G$32,(Setup!$O$32+AT$1)*Setup!$N$32))&lt;Setup!$D$5),"",IF(Setup!$M$32&gt;0,Setup!$G$32+(Setup!$O$32+AT$1)*Setup!$M$32,EDATE(Setup!$G$32,(Setup!$O$32+AT$1)*Setup!$N$32))+$A9/1000)))</f>
        <v/>
      </c>
      <c r="AU9">
        <f>IF(OR(Setup!$E$32="",Setup!$G$32="",Setup!$F$32=""),"",IF(AND(Setup!$F$32="Once",AU$1&gt;0),"",IF(OR(IF(Setup!$M$32&gt;0,Setup!$G$32+(Setup!$O$32+AU$1)*Setup!$M$32,EDATE(Setup!$G$32,(Setup!$O$32+AU$1)*Setup!$N$32))&gt;Setup!$P$32,IF(Setup!$M$32&gt;0,Setup!$G$32+(Setup!$O$32+AU$1)*Setup!$M$32,EDATE(Setup!$G$32,(Setup!$O$32+AU$1)*Setup!$N$32))&lt;Setup!$D$5),"",IF(Setup!$M$32&gt;0,Setup!$G$32+(Setup!$O$32+AU$1)*Setup!$M$32,EDATE(Setup!$G$32,(Setup!$O$32+AU$1)*Setup!$N$32))+$A9/1000)))</f>
        <v/>
      </c>
      <c r="AV9">
        <f>IF(OR(Setup!$E$32="",Setup!$G$32="",Setup!$F$32=""),"",IF(AND(Setup!$F$32="Once",AV$1&gt;0),"",IF(OR(IF(Setup!$M$32&gt;0,Setup!$G$32+(Setup!$O$32+AV$1)*Setup!$M$32,EDATE(Setup!$G$32,(Setup!$O$32+AV$1)*Setup!$N$32))&gt;Setup!$P$32,IF(Setup!$M$32&gt;0,Setup!$G$32+(Setup!$O$32+AV$1)*Setup!$M$32,EDATE(Setup!$G$32,(Setup!$O$32+AV$1)*Setup!$N$32))&lt;Setup!$D$5),"",IF(Setup!$M$32&gt;0,Setup!$G$32+(Setup!$O$32+AV$1)*Setup!$M$32,EDATE(Setup!$G$32,(Setup!$O$32+AV$1)*Setup!$N$32))+$A9/1000)))</f>
        <v/>
      </c>
      <c r="AW9">
        <f>IF(OR(Setup!$E$32="",Setup!$G$32="",Setup!$F$32=""),"",IF(AND(Setup!$F$32="Once",AW$1&gt;0),"",IF(OR(IF(Setup!$M$32&gt;0,Setup!$G$32+(Setup!$O$32+AW$1)*Setup!$M$32,EDATE(Setup!$G$32,(Setup!$O$32+AW$1)*Setup!$N$32))&gt;Setup!$P$32,IF(Setup!$M$32&gt;0,Setup!$G$32+(Setup!$O$32+AW$1)*Setup!$M$32,EDATE(Setup!$G$32,(Setup!$O$32+AW$1)*Setup!$N$32))&lt;Setup!$D$5),"",IF(Setup!$M$32&gt;0,Setup!$G$32+(Setup!$O$32+AW$1)*Setup!$M$32,EDATE(Setup!$G$32,(Setup!$O$32+AW$1)*Setup!$N$32))+$A9/1000)))</f>
        <v/>
      </c>
      <c r="AX9">
        <f>IF(OR(Setup!$E$32="",Setup!$G$32="",Setup!$F$32=""),"",IF(AND(Setup!$F$32="Once",AX$1&gt;0),"",IF(OR(IF(Setup!$M$32&gt;0,Setup!$G$32+(Setup!$O$32+AX$1)*Setup!$M$32,EDATE(Setup!$G$32,(Setup!$O$32+AX$1)*Setup!$N$32))&gt;Setup!$P$32,IF(Setup!$M$32&gt;0,Setup!$G$32+(Setup!$O$32+AX$1)*Setup!$M$32,EDATE(Setup!$G$32,(Setup!$O$32+AX$1)*Setup!$N$32))&lt;Setup!$D$5),"",IF(Setup!$M$32&gt;0,Setup!$G$32+(Setup!$O$32+AX$1)*Setup!$M$32,EDATE(Setup!$G$32,(Setup!$O$32+AX$1)*Setup!$N$32))+$A9/1000)))</f>
        <v/>
      </c>
      <c r="AY9">
        <f>IF(OR(Setup!$E$32="",Setup!$G$32="",Setup!$F$32=""),"",IF(AND(Setup!$F$32="Once",AY$1&gt;0),"",IF(OR(IF(Setup!$M$32&gt;0,Setup!$G$32+(Setup!$O$32+AY$1)*Setup!$M$32,EDATE(Setup!$G$32,(Setup!$O$32+AY$1)*Setup!$N$32))&gt;Setup!$P$32,IF(Setup!$M$32&gt;0,Setup!$G$32+(Setup!$O$32+AY$1)*Setup!$M$32,EDATE(Setup!$G$32,(Setup!$O$32+AY$1)*Setup!$N$32))&lt;Setup!$D$5),"",IF(Setup!$M$32&gt;0,Setup!$G$32+(Setup!$O$32+AY$1)*Setup!$M$32,EDATE(Setup!$G$32,(Setup!$O$32+AY$1)*Setup!$N$32))+$A9/1000)))</f>
        <v/>
      </c>
      <c r="AZ9">
        <f>IF(OR(Setup!$E$32="",Setup!$G$32="",Setup!$F$32=""),"",IF(AND(Setup!$F$32="Once",AZ$1&gt;0),"",IF(OR(IF(Setup!$M$32&gt;0,Setup!$G$32+(Setup!$O$32+AZ$1)*Setup!$M$32,EDATE(Setup!$G$32,(Setup!$O$32+AZ$1)*Setup!$N$32))&gt;Setup!$P$32,IF(Setup!$M$32&gt;0,Setup!$G$32+(Setup!$O$32+AZ$1)*Setup!$M$32,EDATE(Setup!$G$32,(Setup!$O$32+AZ$1)*Setup!$N$32))&lt;Setup!$D$5),"",IF(Setup!$M$32&gt;0,Setup!$G$32+(Setup!$O$32+AZ$1)*Setup!$M$32,EDATE(Setup!$G$32,(Setup!$O$32+AZ$1)*Setup!$N$32))+$A9/1000)))</f>
        <v/>
      </c>
      <c r="BA9">
        <f>IF(OR(Setup!$E$32="",Setup!$G$32="",Setup!$F$32=""),"",IF(AND(Setup!$F$32="Once",BA$1&gt;0),"",IF(OR(IF(Setup!$M$32&gt;0,Setup!$G$32+(Setup!$O$32+BA$1)*Setup!$M$32,EDATE(Setup!$G$32,(Setup!$O$32+BA$1)*Setup!$N$32))&gt;Setup!$P$32,IF(Setup!$M$32&gt;0,Setup!$G$32+(Setup!$O$32+BA$1)*Setup!$M$32,EDATE(Setup!$G$32,(Setup!$O$32+BA$1)*Setup!$N$32))&lt;Setup!$D$5),"",IF(Setup!$M$32&gt;0,Setup!$G$32+(Setup!$O$32+BA$1)*Setup!$M$32,EDATE(Setup!$G$32,(Setup!$O$32+BA$1)*Setup!$N$32))+$A9/1000)))</f>
        <v/>
      </c>
      <c r="BB9">
        <f>IF(OR(Setup!$E$32="",Setup!$G$32="",Setup!$F$32=""),"",IF(AND(Setup!$F$32="Once",BB$1&gt;0),"",IF(OR(IF(Setup!$M$32&gt;0,Setup!$G$32+(Setup!$O$32+BB$1)*Setup!$M$32,EDATE(Setup!$G$32,(Setup!$O$32+BB$1)*Setup!$N$32))&gt;Setup!$P$32,IF(Setup!$M$32&gt;0,Setup!$G$32+(Setup!$O$32+BB$1)*Setup!$M$32,EDATE(Setup!$G$32,(Setup!$O$32+BB$1)*Setup!$N$32))&lt;Setup!$D$5),"",IF(Setup!$M$32&gt;0,Setup!$G$32+(Setup!$O$32+BB$1)*Setup!$M$32,EDATE(Setup!$G$32,(Setup!$O$32+BB$1)*Setup!$N$32))+$A9/1000)))</f>
        <v/>
      </c>
    </row>
    <row r="10">
      <c r="A10" t="n">
        <v>9</v>
      </c>
      <c r="B10">
        <f>IF(OR(Setup!$E$33="",Setup!$G$33="",Setup!$F$33=""),"",IF(AND(Setup!$F$33="Once",B$1&gt;0),"",IF(OR(IF(Setup!$M$33&gt;0,Setup!$G$33+(Setup!$O$33+B$1)*Setup!$M$33,EDATE(Setup!$G$33,(Setup!$O$33+B$1)*Setup!$N$33))&gt;Setup!$P$33,IF(Setup!$M$33&gt;0,Setup!$G$33+(Setup!$O$33+B$1)*Setup!$M$33,EDATE(Setup!$G$33,(Setup!$O$33+B$1)*Setup!$N$33))&lt;Setup!$D$5),"",IF(Setup!$M$33&gt;0,Setup!$G$33+(Setup!$O$33+B$1)*Setup!$M$33,EDATE(Setup!$G$33,(Setup!$O$33+B$1)*Setup!$N$33))+$A10/1000)))</f>
        <v/>
      </c>
      <c r="C10">
        <f>IF(OR(Setup!$E$33="",Setup!$G$33="",Setup!$F$33=""),"",IF(AND(Setup!$F$33="Once",C$1&gt;0),"",IF(OR(IF(Setup!$M$33&gt;0,Setup!$G$33+(Setup!$O$33+C$1)*Setup!$M$33,EDATE(Setup!$G$33,(Setup!$O$33+C$1)*Setup!$N$33))&gt;Setup!$P$33,IF(Setup!$M$33&gt;0,Setup!$G$33+(Setup!$O$33+C$1)*Setup!$M$33,EDATE(Setup!$G$33,(Setup!$O$33+C$1)*Setup!$N$33))&lt;Setup!$D$5),"",IF(Setup!$M$33&gt;0,Setup!$G$33+(Setup!$O$33+C$1)*Setup!$M$33,EDATE(Setup!$G$33,(Setup!$O$33+C$1)*Setup!$N$33))+$A10/1000)))</f>
        <v/>
      </c>
      <c r="D10">
        <f>IF(OR(Setup!$E$33="",Setup!$G$33="",Setup!$F$33=""),"",IF(AND(Setup!$F$33="Once",D$1&gt;0),"",IF(OR(IF(Setup!$M$33&gt;0,Setup!$G$33+(Setup!$O$33+D$1)*Setup!$M$33,EDATE(Setup!$G$33,(Setup!$O$33+D$1)*Setup!$N$33))&gt;Setup!$P$33,IF(Setup!$M$33&gt;0,Setup!$G$33+(Setup!$O$33+D$1)*Setup!$M$33,EDATE(Setup!$G$33,(Setup!$O$33+D$1)*Setup!$N$33))&lt;Setup!$D$5),"",IF(Setup!$M$33&gt;0,Setup!$G$33+(Setup!$O$33+D$1)*Setup!$M$33,EDATE(Setup!$G$33,(Setup!$O$33+D$1)*Setup!$N$33))+$A10/1000)))</f>
        <v/>
      </c>
      <c r="E10">
        <f>IF(OR(Setup!$E$33="",Setup!$G$33="",Setup!$F$33=""),"",IF(AND(Setup!$F$33="Once",E$1&gt;0),"",IF(OR(IF(Setup!$M$33&gt;0,Setup!$G$33+(Setup!$O$33+E$1)*Setup!$M$33,EDATE(Setup!$G$33,(Setup!$O$33+E$1)*Setup!$N$33))&gt;Setup!$P$33,IF(Setup!$M$33&gt;0,Setup!$G$33+(Setup!$O$33+E$1)*Setup!$M$33,EDATE(Setup!$G$33,(Setup!$O$33+E$1)*Setup!$N$33))&lt;Setup!$D$5),"",IF(Setup!$M$33&gt;0,Setup!$G$33+(Setup!$O$33+E$1)*Setup!$M$33,EDATE(Setup!$G$33,(Setup!$O$33+E$1)*Setup!$N$33))+$A10/1000)))</f>
        <v/>
      </c>
      <c r="F10">
        <f>IF(OR(Setup!$E$33="",Setup!$G$33="",Setup!$F$33=""),"",IF(AND(Setup!$F$33="Once",F$1&gt;0),"",IF(OR(IF(Setup!$M$33&gt;0,Setup!$G$33+(Setup!$O$33+F$1)*Setup!$M$33,EDATE(Setup!$G$33,(Setup!$O$33+F$1)*Setup!$N$33))&gt;Setup!$P$33,IF(Setup!$M$33&gt;0,Setup!$G$33+(Setup!$O$33+F$1)*Setup!$M$33,EDATE(Setup!$G$33,(Setup!$O$33+F$1)*Setup!$N$33))&lt;Setup!$D$5),"",IF(Setup!$M$33&gt;0,Setup!$G$33+(Setup!$O$33+F$1)*Setup!$M$33,EDATE(Setup!$G$33,(Setup!$O$33+F$1)*Setup!$N$33))+$A10/1000)))</f>
        <v/>
      </c>
      <c r="G10">
        <f>IF(OR(Setup!$E$33="",Setup!$G$33="",Setup!$F$33=""),"",IF(AND(Setup!$F$33="Once",G$1&gt;0),"",IF(OR(IF(Setup!$M$33&gt;0,Setup!$G$33+(Setup!$O$33+G$1)*Setup!$M$33,EDATE(Setup!$G$33,(Setup!$O$33+G$1)*Setup!$N$33))&gt;Setup!$P$33,IF(Setup!$M$33&gt;0,Setup!$G$33+(Setup!$O$33+G$1)*Setup!$M$33,EDATE(Setup!$G$33,(Setup!$O$33+G$1)*Setup!$N$33))&lt;Setup!$D$5),"",IF(Setup!$M$33&gt;0,Setup!$G$33+(Setup!$O$33+G$1)*Setup!$M$33,EDATE(Setup!$G$33,(Setup!$O$33+G$1)*Setup!$N$33))+$A10/1000)))</f>
        <v/>
      </c>
      <c r="H10">
        <f>IF(OR(Setup!$E$33="",Setup!$G$33="",Setup!$F$33=""),"",IF(AND(Setup!$F$33="Once",H$1&gt;0),"",IF(OR(IF(Setup!$M$33&gt;0,Setup!$G$33+(Setup!$O$33+H$1)*Setup!$M$33,EDATE(Setup!$G$33,(Setup!$O$33+H$1)*Setup!$N$33))&gt;Setup!$P$33,IF(Setup!$M$33&gt;0,Setup!$G$33+(Setup!$O$33+H$1)*Setup!$M$33,EDATE(Setup!$G$33,(Setup!$O$33+H$1)*Setup!$N$33))&lt;Setup!$D$5),"",IF(Setup!$M$33&gt;0,Setup!$G$33+(Setup!$O$33+H$1)*Setup!$M$33,EDATE(Setup!$G$33,(Setup!$O$33+H$1)*Setup!$N$33))+$A10/1000)))</f>
        <v/>
      </c>
      <c r="I10">
        <f>IF(OR(Setup!$E$33="",Setup!$G$33="",Setup!$F$33=""),"",IF(AND(Setup!$F$33="Once",I$1&gt;0),"",IF(OR(IF(Setup!$M$33&gt;0,Setup!$G$33+(Setup!$O$33+I$1)*Setup!$M$33,EDATE(Setup!$G$33,(Setup!$O$33+I$1)*Setup!$N$33))&gt;Setup!$P$33,IF(Setup!$M$33&gt;0,Setup!$G$33+(Setup!$O$33+I$1)*Setup!$M$33,EDATE(Setup!$G$33,(Setup!$O$33+I$1)*Setup!$N$33))&lt;Setup!$D$5),"",IF(Setup!$M$33&gt;0,Setup!$G$33+(Setup!$O$33+I$1)*Setup!$M$33,EDATE(Setup!$G$33,(Setup!$O$33+I$1)*Setup!$N$33))+$A10/1000)))</f>
        <v/>
      </c>
      <c r="J10">
        <f>IF(OR(Setup!$E$33="",Setup!$G$33="",Setup!$F$33=""),"",IF(AND(Setup!$F$33="Once",J$1&gt;0),"",IF(OR(IF(Setup!$M$33&gt;0,Setup!$G$33+(Setup!$O$33+J$1)*Setup!$M$33,EDATE(Setup!$G$33,(Setup!$O$33+J$1)*Setup!$N$33))&gt;Setup!$P$33,IF(Setup!$M$33&gt;0,Setup!$G$33+(Setup!$O$33+J$1)*Setup!$M$33,EDATE(Setup!$G$33,(Setup!$O$33+J$1)*Setup!$N$33))&lt;Setup!$D$5),"",IF(Setup!$M$33&gt;0,Setup!$G$33+(Setup!$O$33+J$1)*Setup!$M$33,EDATE(Setup!$G$33,(Setup!$O$33+J$1)*Setup!$N$33))+$A10/1000)))</f>
        <v/>
      </c>
      <c r="K10">
        <f>IF(OR(Setup!$E$33="",Setup!$G$33="",Setup!$F$33=""),"",IF(AND(Setup!$F$33="Once",K$1&gt;0),"",IF(OR(IF(Setup!$M$33&gt;0,Setup!$G$33+(Setup!$O$33+K$1)*Setup!$M$33,EDATE(Setup!$G$33,(Setup!$O$33+K$1)*Setup!$N$33))&gt;Setup!$P$33,IF(Setup!$M$33&gt;0,Setup!$G$33+(Setup!$O$33+K$1)*Setup!$M$33,EDATE(Setup!$G$33,(Setup!$O$33+K$1)*Setup!$N$33))&lt;Setup!$D$5),"",IF(Setup!$M$33&gt;0,Setup!$G$33+(Setup!$O$33+K$1)*Setup!$M$33,EDATE(Setup!$G$33,(Setup!$O$33+K$1)*Setup!$N$33))+$A10/1000)))</f>
        <v/>
      </c>
      <c r="L10">
        <f>IF(OR(Setup!$E$33="",Setup!$G$33="",Setup!$F$33=""),"",IF(AND(Setup!$F$33="Once",L$1&gt;0),"",IF(OR(IF(Setup!$M$33&gt;0,Setup!$G$33+(Setup!$O$33+L$1)*Setup!$M$33,EDATE(Setup!$G$33,(Setup!$O$33+L$1)*Setup!$N$33))&gt;Setup!$P$33,IF(Setup!$M$33&gt;0,Setup!$G$33+(Setup!$O$33+L$1)*Setup!$M$33,EDATE(Setup!$G$33,(Setup!$O$33+L$1)*Setup!$N$33))&lt;Setup!$D$5),"",IF(Setup!$M$33&gt;0,Setup!$G$33+(Setup!$O$33+L$1)*Setup!$M$33,EDATE(Setup!$G$33,(Setup!$O$33+L$1)*Setup!$N$33))+$A10/1000)))</f>
        <v/>
      </c>
      <c r="M10">
        <f>IF(OR(Setup!$E$33="",Setup!$G$33="",Setup!$F$33=""),"",IF(AND(Setup!$F$33="Once",M$1&gt;0),"",IF(OR(IF(Setup!$M$33&gt;0,Setup!$G$33+(Setup!$O$33+M$1)*Setup!$M$33,EDATE(Setup!$G$33,(Setup!$O$33+M$1)*Setup!$N$33))&gt;Setup!$P$33,IF(Setup!$M$33&gt;0,Setup!$G$33+(Setup!$O$33+M$1)*Setup!$M$33,EDATE(Setup!$G$33,(Setup!$O$33+M$1)*Setup!$N$33))&lt;Setup!$D$5),"",IF(Setup!$M$33&gt;0,Setup!$G$33+(Setup!$O$33+M$1)*Setup!$M$33,EDATE(Setup!$G$33,(Setup!$O$33+M$1)*Setup!$N$33))+$A10/1000)))</f>
        <v/>
      </c>
      <c r="N10">
        <f>IF(OR(Setup!$E$33="",Setup!$G$33="",Setup!$F$33=""),"",IF(AND(Setup!$F$33="Once",N$1&gt;0),"",IF(OR(IF(Setup!$M$33&gt;0,Setup!$G$33+(Setup!$O$33+N$1)*Setup!$M$33,EDATE(Setup!$G$33,(Setup!$O$33+N$1)*Setup!$N$33))&gt;Setup!$P$33,IF(Setup!$M$33&gt;0,Setup!$G$33+(Setup!$O$33+N$1)*Setup!$M$33,EDATE(Setup!$G$33,(Setup!$O$33+N$1)*Setup!$N$33))&lt;Setup!$D$5),"",IF(Setup!$M$33&gt;0,Setup!$G$33+(Setup!$O$33+N$1)*Setup!$M$33,EDATE(Setup!$G$33,(Setup!$O$33+N$1)*Setup!$N$33))+$A10/1000)))</f>
        <v/>
      </c>
      <c r="O10">
        <f>IF(OR(Setup!$E$33="",Setup!$G$33="",Setup!$F$33=""),"",IF(AND(Setup!$F$33="Once",O$1&gt;0),"",IF(OR(IF(Setup!$M$33&gt;0,Setup!$G$33+(Setup!$O$33+O$1)*Setup!$M$33,EDATE(Setup!$G$33,(Setup!$O$33+O$1)*Setup!$N$33))&gt;Setup!$P$33,IF(Setup!$M$33&gt;0,Setup!$G$33+(Setup!$O$33+O$1)*Setup!$M$33,EDATE(Setup!$G$33,(Setup!$O$33+O$1)*Setup!$N$33))&lt;Setup!$D$5),"",IF(Setup!$M$33&gt;0,Setup!$G$33+(Setup!$O$33+O$1)*Setup!$M$33,EDATE(Setup!$G$33,(Setup!$O$33+O$1)*Setup!$N$33))+$A10/1000)))</f>
        <v/>
      </c>
      <c r="P10">
        <f>IF(OR(Setup!$E$33="",Setup!$G$33="",Setup!$F$33=""),"",IF(AND(Setup!$F$33="Once",P$1&gt;0),"",IF(OR(IF(Setup!$M$33&gt;0,Setup!$G$33+(Setup!$O$33+P$1)*Setup!$M$33,EDATE(Setup!$G$33,(Setup!$O$33+P$1)*Setup!$N$33))&gt;Setup!$P$33,IF(Setup!$M$33&gt;0,Setup!$G$33+(Setup!$O$33+P$1)*Setup!$M$33,EDATE(Setup!$G$33,(Setup!$O$33+P$1)*Setup!$N$33))&lt;Setup!$D$5),"",IF(Setup!$M$33&gt;0,Setup!$G$33+(Setup!$O$33+P$1)*Setup!$M$33,EDATE(Setup!$G$33,(Setup!$O$33+P$1)*Setup!$N$33))+$A10/1000)))</f>
        <v/>
      </c>
      <c r="Q10">
        <f>IF(OR(Setup!$E$33="",Setup!$G$33="",Setup!$F$33=""),"",IF(AND(Setup!$F$33="Once",Q$1&gt;0),"",IF(OR(IF(Setup!$M$33&gt;0,Setup!$G$33+(Setup!$O$33+Q$1)*Setup!$M$33,EDATE(Setup!$G$33,(Setup!$O$33+Q$1)*Setup!$N$33))&gt;Setup!$P$33,IF(Setup!$M$33&gt;0,Setup!$G$33+(Setup!$O$33+Q$1)*Setup!$M$33,EDATE(Setup!$G$33,(Setup!$O$33+Q$1)*Setup!$N$33))&lt;Setup!$D$5),"",IF(Setup!$M$33&gt;0,Setup!$G$33+(Setup!$O$33+Q$1)*Setup!$M$33,EDATE(Setup!$G$33,(Setup!$O$33+Q$1)*Setup!$N$33))+$A10/1000)))</f>
        <v/>
      </c>
      <c r="R10">
        <f>IF(OR(Setup!$E$33="",Setup!$G$33="",Setup!$F$33=""),"",IF(AND(Setup!$F$33="Once",R$1&gt;0),"",IF(OR(IF(Setup!$M$33&gt;0,Setup!$G$33+(Setup!$O$33+R$1)*Setup!$M$33,EDATE(Setup!$G$33,(Setup!$O$33+R$1)*Setup!$N$33))&gt;Setup!$P$33,IF(Setup!$M$33&gt;0,Setup!$G$33+(Setup!$O$33+R$1)*Setup!$M$33,EDATE(Setup!$G$33,(Setup!$O$33+R$1)*Setup!$N$33))&lt;Setup!$D$5),"",IF(Setup!$M$33&gt;0,Setup!$G$33+(Setup!$O$33+R$1)*Setup!$M$33,EDATE(Setup!$G$33,(Setup!$O$33+R$1)*Setup!$N$33))+$A10/1000)))</f>
        <v/>
      </c>
      <c r="S10">
        <f>IF(OR(Setup!$E$33="",Setup!$G$33="",Setup!$F$33=""),"",IF(AND(Setup!$F$33="Once",S$1&gt;0),"",IF(OR(IF(Setup!$M$33&gt;0,Setup!$G$33+(Setup!$O$33+S$1)*Setup!$M$33,EDATE(Setup!$G$33,(Setup!$O$33+S$1)*Setup!$N$33))&gt;Setup!$P$33,IF(Setup!$M$33&gt;0,Setup!$G$33+(Setup!$O$33+S$1)*Setup!$M$33,EDATE(Setup!$G$33,(Setup!$O$33+S$1)*Setup!$N$33))&lt;Setup!$D$5),"",IF(Setup!$M$33&gt;0,Setup!$G$33+(Setup!$O$33+S$1)*Setup!$M$33,EDATE(Setup!$G$33,(Setup!$O$33+S$1)*Setup!$N$33))+$A10/1000)))</f>
        <v/>
      </c>
      <c r="T10">
        <f>IF(OR(Setup!$E$33="",Setup!$G$33="",Setup!$F$33=""),"",IF(AND(Setup!$F$33="Once",T$1&gt;0),"",IF(OR(IF(Setup!$M$33&gt;0,Setup!$G$33+(Setup!$O$33+T$1)*Setup!$M$33,EDATE(Setup!$G$33,(Setup!$O$33+T$1)*Setup!$N$33))&gt;Setup!$P$33,IF(Setup!$M$33&gt;0,Setup!$G$33+(Setup!$O$33+T$1)*Setup!$M$33,EDATE(Setup!$G$33,(Setup!$O$33+T$1)*Setup!$N$33))&lt;Setup!$D$5),"",IF(Setup!$M$33&gt;0,Setup!$G$33+(Setup!$O$33+T$1)*Setup!$M$33,EDATE(Setup!$G$33,(Setup!$O$33+T$1)*Setup!$N$33))+$A10/1000)))</f>
        <v/>
      </c>
      <c r="U10">
        <f>IF(OR(Setup!$E$33="",Setup!$G$33="",Setup!$F$33=""),"",IF(AND(Setup!$F$33="Once",U$1&gt;0),"",IF(OR(IF(Setup!$M$33&gt;0,Setup!$G$33+(Setup!$O$33+U$1)*Setup!$M$33,EDATE(Setup!$G$33,(Setup!$O$33+U$1)*Setup!$N$33))&gt;Setup!$P$33,IF(Setup!$M$33&gt;0,Setup!$G$33+(Setup!$O$33+U$1)*Setup!$M$33,EDATE(Setup!$G$33,(Setup!$O$33+U$1)*Setup!$N$33))&lt;Setup!$D$5),"",IF(Setup!$M$33&gt;0,Setup!$G$33+(Setup!$O$33+U$1)*Setup!$M$33,EDATE(Setup!$G$33,(Setup!$O$33+U$1)*Setup!$N$33))+$A10/1000)))</f>
        <v/>
      </c>
      <c r="V10">
        <f>IF(OR(Setup!$E$33="",Setup!$G$33="",Setup!$F$33=""),"",IF(AND(Setup!$F$33="Once",V$1&gt;0),"",IF(OR(IF(Setup!$M$33&gt;0,Setup!$G$33+(Setup!$O$33+V$1)*Setup!$M$33,EDATE(Setup!$G$33,(Setup!$O$33+V$1)*Setup!$N$33))&gt;Setup!$P$33,IF(Setup!$M$33&gt;0,Setup!$G$33+(Setup!$O$33+V$1)*Setup!$M$33,EDATE(Setup!$G$33,(Setup!$O$33+V$1)*Setup!$N$33))&lt;Setup!$D$5),"",IF(Setup!$M$33&gt;0,Setup!$G$33+(Setup!$O$33+V$1)*Setup!$M$33,EDATE(Setup!$G$33,(Setup!$O$33+V$1)*Setup!$N$33))+$A10/1000)))</f>
        <v/>
      </c>
      <c r="W10">
        <f>IF(OR(Setup!$E$33="",Setup!$G$33="",Setup!$F$33=""),"",IF(AND(Setup!$F$33="Once",W$1&gt;0),"",IF(OR(IF(Setup!$M$33&gt;0,Setup!$G$33+(Setup!$O$33+W$1)*Setup!$M$33,EDATE(Setup!$G$33,(Setup!$O$33+W$1)*Setup!$N$33))&gt;Setup!$P$33,IF(Setup!$M$33&gt;0,Setup!$G$33+(Setup!$O$33+W$1)*Setup!$M$33,EDATE(Setup!$G$33,(Setup!$O$33+W$1)*Setup!$N$33))&lt;Setup!$D$5),"",IF(Setup!$M$33&gt;0,Setup!$G$33+(Setup!$O$33+W$1)*Setup!$M$33,EDATE(Setup!$G$33,(Setup!$O$33+W$1)*Setup!$N$33))+$A10/1000)))</f>
        <v/>
      </c>
      <c r="X10">
        <f>IF(OR(Setup!$E$33="",Setup!$G$33="",Setup!$F$33=""),"",IF(AND(Setup!$F$33="Once",X$1&gt;0),"",IF(OR(IF(Setup!$M$33&gt;0,Setup!$G$33+(Setup!$O$33+X$1)*Setup!$M$33,EDATE(Setup!$G$33,(Setup!$O$33+X$1)*Setup!$N$33))&gt;Setup!$P$33,IF(Setup!$M$33&gt;0,Setup!$G$33+(Setup!$O$33+X$1)*Setup!$M$33,EDATE(Setup!$G$33,(Setup!$O$33+X$1)*Setup!$N$33))&lt;Setup!$D$5),"",IF(Setup!$M$33&gt;0,Setup!$G$33+(Setup!$O$33+X$1)*Setup!$M$33,EDATE(Setup!$G$33,(Setup!$O$33+X$1)*Setup!$N$33))+$A10/1000)))</f>
        <v/>
      </c>
      <c r="Y10">
        <f>IF(OR(Setup!$E$33="",Setup!$G$33="",Setup!$F$33=""),"",IF(AND(Setup!$F$33="Once",Y$1&gt;0),"",IF(OR(IF(Setup!$M$33&gt;0,Setup!$G$33+(Setup!$O$33+Y$1)*Setup!$M$33,EDATE(Setup!$G$33,(Setup!$O$33+Y$1)*Setup!$N$33))&gt;Setup!$P$33,IF(Setup!$M$33&gt;0,Setup!$G$33+(Setup!$O$33+Y$1)*Setup!$M$33,EDATE(Setup!$G$33,(Setup!$O$33+Y$1)*Setup!$N$33))&lt;Setup!$D$5),"",IF(Setup!$M$33&gt;0,Setup!$G$33+(Setup!$O$33+Y$1)*Setup!$M$33,EDATE(Setup!$G$33,(Setup!$O$33+Y$1)*Setup!$N$33))+$A10/1000)))</f>
        <v/>
      </c>
      <c r="Z10">
        <f>IF(OR(Setup!$E$33="",Setup!$G$33="",Setup!$F$33=""),"",IF(AND(Setup!$F$33="Once",Z$1&gt;0),"",IF(OR(IF(Setup!$M$33&gt;0,Setup!$G$33+(Setup!$O$33+Z$1)*Setup!$M$33,EDATE(Setup!$G$33,(Setup!$O$33+Z$1)*Setup!$N$33))&gt;Setup!$P$33,IF(Setup!$M$33&gt;0,Setup!$G$33+(Setup!$O$33+Z$1)*Setup!$M$33,EDATE(Setup!$G$33,(Setup!$O$33+Z$1)*Setup!$N$33))&lt;Setup!$D$5),"",IF(Setup!$M$33&gt;0,Setup!$G$33+(Setup!$O$33+Z$1)*Setup!$M$33,EDATE(Setup!$G$33,(Setup!$O$33+Z$1)*Setup!$N$33))+$A10/1000)))</f>
        <v/>
      </c>
      <c r="AA10">
        <f>IF(OR(Setup!$E$33="",Setup!$G$33="",Setup!$F$33=""),"",IF(AND(Setup!$F$33="Once",AA$1&gt;0),"",IF(OR(IF(Setup!$M$33&gt;0,Setup!$G$33+(Setup!$O$33+AA$1)*Setup!$M$33,EDATE(Setup!$G$33,(Setup!$O$33+AA$1)*Setup!$N$33))&gt;Setup!$P$33,IF(Setup!$M$33&gt;0,Setup!$G$33+(Setup!$O$33+AA$1)*Setup!$M$33,EDATE(Setup!$G$33,(Setup!$O$33+AA$1)*Setup!$N$33))&lt;Setup!$D$5),"",IF(Setup!$M$33&gt;0,Setup!$G$33+(Setup!$O$33+AA$1)*Setup!$M$33,EDATE(Setup!$G$33,(Setup!$O$33+AA$1)*Setup!$N$33))+$A10/1000)))</f>
        <v/>
      </c>
      <c r="AB10">
        <f>IF(OR(Setup!$E$33="",Setup!$G$33="",Setup!$F$33=""),"",IF(AND(Setup!$F$33="Once",AB$1&gt;0),"",IF(OR(IF(Setup!$M$33&gt;0,Setup!$G$33+(Setup!$O$33+AB$1)*Setup!$M$33,EDATE(Setup!$G$33,(Setup!$O$33+AB$1)*Setup!$N$33))&gt;Setup!$P$33,IF(Setup!$M$33&gt;0,Setup!$G$33+(Setup!$O$33+AB$1)*Setup!$M$33,EDATE(Setup!$G$33,(Setup!$O$33+AB$1)*Setup!$N$33))&lt;Setup!$D$5),"",IF(Setup!$M$33&gt;0,Setup!$G$33+(Setup!$O$33+AB$1)*Setup!$M$33,EDATE(Setup!$G$33,(Setup!$O$33+AB$1)*Setup!$N$33))+$A10/1000)))</f>
        <v/>
      </c>
      <c r="AC10">
        <f>IF(OR(Setup!$E$33="",Setup!$G$33="",Setup!$F$33=""),"",IF(AND(Setup!$F$33="Once",AC$1&gt;0),"",IF(OR(IF(Setup!$M$33&gt;0,Setup!$G$33+(Setup!$O$33+AC$1)*Setup!$M$33,EDATE(Setup!$G$33,(Setup!$O$33+AC$1)*Setup!$N$33))&gt;Setup!$P$33,IF(Setup!$M$33&gt;0,Setup!$G$33+(Setup!$O$33+AC$1)*Setup!$M$33,EDATE(Setup!$G$33,(Setup!$O$33+AC$1)*Setup!$N$33))&lt;Setup!$D$5),"",IF(Setup!$M$33&gt;0,Setup!$G$33+(Setup!$O$33+AC$1)*Setup!$M$33,EDATE(Setup!$G$33,(Setup!$O$33+AC$1)*Setup!$N$33))+$A10/1000)))</f>
        <v/>
      </c>
      <c r="AD10">
        <f>IF(OR(Setup!$E$33="",Setup!$G$33="",Setup!$F$33=""),"",IF(AND(Setup!$F$33="Once",AD$1&gt;0),"",IF(OR(IF(Setup!$M$33&gt;0,Setup!$G$33+(Setup!$O$33+AD$1)*Setup!$M$33,EDATE(Setup!$G$33,(Setup!$O$33+AD$1)*Setup!$N$33))&gt;Setup!$P$33,IF(Setup!$M$33&gt;0,Setup!$G$33+(Setup!$O$33+AD$1)*Setup!$M$33,EDATE(Setup!$G$33,(Setup!$O$33+AD$1)*Setup!$N$33))&lt;Setup!$D$5),"",IF(Setup!$M$33&gt;0,Setup!$G$33+(Setup!$O$33+AD$1)*Setup!$M$33,EDATE(Setup!$G$33,(Setup!$O$33+AD$1)*Setup!$N$33))+$A10/1000)))</f>
        <v/>
      </c>
      <c r="AE10">
        <f>IF(OR(Setup!$E$33="",Setup!$G$33="",Setup!$F$33=""),"",IF(AND(Setup!$F$33="Once",AE$1&gt;0),"",IF(OR(IF(Setup!$M$33&gt;0,Setup!$G$33+(Setup!$O$33+AE$1)*Setup!$M$33,EDATE(Setup!$G$33,(Setup!$O$33+AE$1)*Setup!$N$33))&gt;Setup!$P$33,IF(Setup!$M$33&gt;0,Setup!$G$33+(Setup!$O$33+AE$1)*Setup!$M$33,EDATE(Setup!$G$33,(Setup!$O$33+AE$1)*Setup!$N$33))&lt;Setup!$D$5),"",IF(Setup!$M$33&gt;0,Setup!$G$33+(Setup!$O$33+AE$1)*Setup!$M$33,EDATE(Setup!$G$33,(Setup!$O$33+AE$1)*Setup!$N$33))+$A10/1000)))</f>
        <v/>
      </c>
      <c r="AF10">
        <f>IF(OR(Setup!$E$33="",Setup!$G$33="",Setup!$F$33=""),"",IF(AND(Setup!$F$33="Once",AF$1&gt;0),"",IF(OR(IF(Setup!$M$33&gt;0,Setup!$G$33+(Setup!$O$33+AF$1)*Setup!$M$33,EDATE(Setup!$G$33,(Setup!$O$33+AF$1)*Setup!$N$33))&gt;Setup!$P$33,IF(Setup!$M$33&gt;0,Setup!$G$33+(Setup!$O$33+AF$1)*Setup!$M$33,EDATE(Setup!$G$33,(Setup!$O$33+AF$1)*Setup!$N$33))&lt;Setup!$D$5),"",IF(Setup!$M$33&gt;0,Setup!$G$33+(Setup!$O$33+AF$1)*Setup!$M$33,EDATE(Setup!$G$33,(Setup!$O$33+AF$1)*Setup!$N$33))+$A10/1000)))</f>
        <v/>
      </c>
      <c r="AG10">
        <f>IF(OR(Setup!$E$33="",Setup!$G$33="",Setup!$F$33=""),"",IF(AND(Setup!$F$33="Once",AG$1&gt;0),"",IF(OR(IF(Setup!$M$33&gt;0,Setup!$G$33+(Setup!$O$33+AG$1)*Setup!$M$33,EDATE(Setup!$G$33,(Setup!$O$33+AG$1)*Setup!$N$33))&gt;Setup!$P$33,IF(Setup!$M$33&gt;0,Setup!$G$33+(Setup!$O$33+AG$1)*Setup!$M$33,EDATE(Setup!$G$33,(Setup!$O$33+AG$1)*Setup!$N$33))&lt;Setup!$D$5),"",IF(Setup!$M$33&gt;0,Setup!$G$33+(Setup!$O$33+AG$1)*Setup!$M$33,EDATE(Setup!$G$33,(Setup!$O$33+AG$1)*Setup!$N$33))+$A10/1000)))</f>
        <v/>
      </c>
      <c r="AH10">
        <f>IF(OR(Setup!$E$33="",Setup!$G$33="",Setup!$F$33=""),"",IF(AND(Setup!$F$33="Once",AH$1&gt;0),"",IF(OR(IF(Setup!$M$33&gt;0,Setup!$G$33+(Setup!$O$33+AH$1)*Setup!$M$33,EDATE(Setup!$G$33,(Setup!$O$33+AH$1)*Setup!$N$33))&gt;Setup!$P$33,IF(Setup!$M$33&gt;0,Setup!$G$33+(Setup!$O$33+AH$1)*Setup!$M$33,EDATE(Setup!$G$33,(Setup!$O$33+AH$1)*Setup!$N$33))&lt;Setup!$D$5),"",IF(Setup!$M$33&gt;0,Setup!$G$33+(Setup!$O$33+AH$1)*Setup!$M$33,EDATE(Setup!$G$33,(Setup!$O$33+AH$1)*Setup!$N$33))+$A10/1000)))</f>
        <v/>
      </c>
      <c r="AI10">
        <f>IF(OR(Setup!$E$33="",Setup!$G$33="",Setup!$F$33=""),"",IF(AND(Setup!$F$33="Once",AI$1&gt;0),"",IF(OR(IF(Setup!$M$33&gt;0,Setup!$G$33+(Setup!$O$33+AI$1)*Setup!$M$33,EDATE(Setup!$G$33,(Setup!$O$33+AI$1)*Setup!$N$33))&gt;Setup!$P$33,IF(Setup!$M$33&gt;0,Setup!$G$33+(Setup!$O$33+AI$1)*Setup!$M$33,EDATE(Setup!$G$33,(Setup!$O$33+AI$1)*Setup!$N$33))&lt;Setup!$D$5),"",IF(Setup!$M$33&gt;0,Setup!$G$33+(Setup!$O$33+AI$1)*Setup!$M$33,EDATE(Setup!$G$33,(Setup!$O$33+AI$1)*Setup!$N$33))+$A10/1000)))</f>
        <v/>
      </c>
      <c r="AJ10">
        <f>IF(OR(Setup!$E$33="",Setup!$G$33="",Setup!$F$33=""),"",IF(AND(Setup!$F$33="Once",AJ$1&gt;0),"",IF(OR(IF(Setup!$M$33&gt;0,Setup!$G$33+(Setup!$O$33+AJ$1)*Setup!$M$33,EDATE(Setup!$G$33,(Setup!$O$33+AJ$1)*Setup!$N$33))&gt;Setup!$P$33,IF(Setup!$M$33&gt;0,Setup!$G$33+(Setup!$O$33+AJ$1)*Setup!$M$33,EDATE(Setup!$G$33,(Setup!$O$33+AJ$1)*Setup!$N$33))&lt;Setup!$D$5),"",IF(Setup!$M$33&gt;0,Setup!$G$33+(Setup!$O$33+AJ$1)*Setup!$M$33,EDATE(Setup!$G$33,(Setup!$O$33+AJ$1)*Setup!$N$33))+$A10/1000)))</f>
        <v/>
      </c>
      <c r="AK10">
        <f>IF(OR(Setup!$E$33="",Setup!$G$33="",Setup!$F$33=""),"",IF(AND(Setup!$F$33="Once",AK$1&gt;0),"",IF(OR(IF(Setup!$M$33&gt;0,Setup!$G$33+(Setup!$O$33+AK$1)*Setup!$M$33,EDATE(Setup!$G$33,(Setup!$O$33+AK$1)*Setup!$N$33))&gt;Setup!$P$33,IF(Setup!$M$33&gt;0,Setup!$G$33+(Setup!$O$33+AK$1)*Setup!$M$33,EDATE(Setup!$G$33,(Setup!$O$33+AK$1)*Setup!$N$33))&lt;Setup!$D$5),"",IF(Setup!$M$33&gt;0,Setup!$G$33+(Setup!$O$33+AK$1)*Setup!$M$33,EDATE(Setup!$G$33,(Setup!$O$33+AK$1)*Setup!$N$33))+$A10/1000)))</f>
        <v/>
      </c>
      <c r="AL10">
        <f>IF(OR(Setup!$E$33="",Setup!$G$33="",Setup!$F$33=""),"",IF(AND(Setup!$F$33="Once",AL$1&gt;0),"",IF(OR(IF(Setup!$M$33&gt;0,Setup!$G$33+(Setup!$O$33+AL$1)*Setup!$M$33,EDATE(Setup!$G$33,(Setup!$O$33+AL$1)*Setup!$N$33))&gt;Setup!$P$33,IF(Setup!$M$33&gt;0,Setup!$G$33+(Setup!$O$33+AL$1)*Setup!$M$33,EDATE(Setup!$G$33,(Setup!$O$33+AL$1)*Setup!$N$33))&lt;Setup!$D$5),"",IF(Setup!$M$33&gt;0,Setup!$G$33+(Setup!$O$33+AL$1)*Setup!$M$33,EDATE(Setup!$G$33,(Setup!$O$33+AL$1)*Setup!$N$33))+$A10/1000)))</f>
        <v/>
      </c>
      <c r="AM10">
        <f>IF(OR(Setup!$E$33="",Setup!$G$33="",Setup!$F$33=""),"",IF(AND(Setup!$F$33="Once",AM$1&gt;0),"",IF(OR(IF(Setup!$M$33&gt;0,Setup!$G$33+(Setup!$O$33+AM$1)*Setup!$M$33,EDATE(Setup!$G$33,(Setup!$O$33+AM$1)*Setup!$N$33))&gt;Setup!$P$33,IF(Setup!$M$33&gt;0,Setup!$G$33+(Setup!$O$33+AM$1)*Setup!$M$33,EDATE(Setup!$G$33,(Setup!$O$33+AM$1)*Setup!$N$33))&lt;Setup!$D$5),"",IF(Setup!$M$33&gt;0,Setup!$G$33+(Setup!$O$33+AM$1)*Setup!$M$33,EDATE(Setup!$G$33,(Setup!$O$33+AM$1)*Setup!$N$33))+$A10/1000)))</f>
        <v/>
      </c>
      <c r="AN10">
        <f>IF(OR(Setup!$E$33="",Setup!$G$33="",Setup!$F$33=""),"",IF(AND(Setup!$F$33="Once",AN$1&gt;0),"",IF(OR(IF(Setup!$M$33&gt;0,Setup!$G$33+(Setup!$O$33+AN$1)*Setup!$M$33,EDATE(Setup!$G$33,(Setup!$O$33+AN$1)*Setup!$N$33))&gt;Setup!$P$33,IF(Setup!$M$33&gt;0,Setup!$G$33+(Setup!$O$33+AN$1)*Setup!$M$33,EDATE(Setup!$G$33,(Setup!$O$33+AN$1)*Setup!$N$33))&lt;Setup!$D$5),"",IF(Setup!$M$33&gt;0,Setup!$G$33+(Setup!$O$33+AN$1)*Setup!$M$33,EDATE(Setup!$G$33,(Setup!$O$33+AN$1)*Setup!$N$33))+$A10/1000)))</f>
        <v/>
      </c>
      <c r="AO10">
        <f>IF(OR(Setup!$E$33="",Setup!$G$33="",Setup!$F$33=""),"",IF(AND(Setup!$F$33="Once",AO$1&gt;0),"",IF(OR(IF(Setup!$M$33&gt;0,Setup!$G$33+(Setup!$O$33+AO$1)*Setup!$M$33,EDATE(Setup!$G$33,(Setup!$O$33+AO$1)*Setup!$N$33))&gt;Setup!$P$33,IF(Setup!$M$33&gt;0,Setup!$G$33+(Setup!$O$33+AO$1)*Setup!$M$33,EDATE(Setup!$G$33,(Setup!$O$33+AO$1)*Setup!$N$33))&lt;Setup!$D$5),"",IF(Setup!$M$33&gt;0,Setup!$G$33+(Setup!$O$33+AO$1)*Setup!$M$33,EDATE(Setup!$G$33,(Setup!$O$33+AO$1)*Setup!$N$33))+$A10/1000)))</f>
        <v/>
      </c>
      <c r="AP10">
        <f>IF(OR(Setup!$E$33="",Setup!$G$33="",Setup!$F$33=""),"",IF(AND(Setup!$F$33="Once",AP$1&gt;0),"",IF(OR(IF(Setup!$M$33&gt;0,Setup!$G$33+(Setup!$O$33+AP$1)*Setup!$M$33,EDATE(Setup!$G$33,(Setup!$O$33+AP$1)*Setup!$N$33))&gt;Setup!$P$33,IF(Setup!$M$33&gt;0,Setup!$G$33+(Setup!$O$33+AP$1)*Setup!$M$33,EDATE(Setup!$G$33,(Setup!$O$33+AP$1)*Setup!$N$33))&lt;Setup!$D$5),"",IF(Setup!$M$33&gt;0,Setup!$G$33+(Setup!$O$33+AP$1)*Setup!$M$33,EDATE(Setup!$G$33,(Setup!$O$33+AP$1)*Setup!$N$33))+$A10/1000)))</f>
        <v/>
      </c>
      <c r="AQ10">
        <f>IF(OR(Setup!$E$33="",Setup!$G$33="",Setup!$F$33=""),"",IF(AND(Setup!$F$33="Once",AQ$1&gt;0),"",IF(OR(IF(Setup!$M$33&gt;0,Setup!$G$33+(Setup!$O$33+AQ$1)*Setup!$M$33,EDATE(Setup!$G$33,(Setup!$O$33+AQ$1)*Setup!$N$33))&gt;Setup!$P$33,IF(Setup!$M$33&gt;0,Setup!$G$33+(Setup!$O$33+AQ$1)*Setup!$M$33,EDATE(Setup!$G$33,(Setup!$O$33+AQ$1)*Setup!$N$33))&lt;Setup!$D$5),"",IF(Setup!$M$33&gt;0,Setup!$G$33+(Setup!$O$33+AQ$1)*Setup!$M$33,EDATE(Setup!$G$33,(Setup!$O$33+AQ$1)*Setup!$N$33))+$A10/1000)))</f>
        <v/>
      </c>
      <c r="AR10">
        <f>IF(OR(Setup!$E$33="",Setup!$G$33="",Setup!$F$33=""),"",IF(AND(Setup!$F$33="Once",AR$1&gt;0),"",IF(OR(IF(Setup!$M$33&gt;0,Setup!$G$33+(Setup!$O$33+AR$1)*Setup!$M$33,EDATE(Setup!$G$33,(Setup!$O$33+AR$1)*Setup!$N$33))&gt;Setup!$P$33,IF(Setup!$M$33&gt;0,Setup!$G$33+(Setup!$O$33+AR$1)*Setup!$M$33,EDATE(Setup!$G$33,(Setup!$O$33+AR$1)*Setup!$N$33))&lt;Setup!$D$5),"",IF(Setup!$M$33&gt;0,Setup!$G$33+(Setup!$O$33+AR$1)*Setup!$M$33,EDATE(Setup!$G$33,(Setup!$O$33+AR$1)*Setup!$N$33))+$A10/1000)))</f>
        <v/>
      </c>
      <c r="AS10">
        <f>IF(OR(Setup!$E$33="",Setup!$G$33="",Setup!$F$33=""),"",IF(AND(Setup!$F$33="Once",AS$1&gt;0),"",IF(OR(IF(Setup!$M$33&gt;0,Setup!$G$33+(Setup!$O$33+AS$1)*Setup!$M$33,EDATE(Setup!$G$33,(Setup!$O$33+AS$1)*Setup!$N$33))&gt;Setup!$P$33,IF(Setup!$M$33&gt;0,Setup!$G$33+(Setup!$O$33+AS$1)*Setup!$M$33,EDATE(Setup!$G$33,(Setup!$O$33+AS$1)*Setup!$N$33))&lt;Setup!$D$5),"",IF(Setup!$M$33&gt;0,Setup!$G$33+(Setup!$O$33+AS$1)*Setup!$M$33,EDATE(Setup!$G$33,(Setup!$O$33+AS$1)*Setup!$N$33))+$A10/1000)))</f>
        <v/>
      </c>
      <c r="AT10">
        <f>IF(OR(Setup!$E$33="",Setup!$G$33="",Setup!$F$33=""),"",IF(AND(Setup!$F$33="Once",AT$1&gt;0),"",IF(OR(IF(Setup!$M$33&gt;0,Setup!$G$33+(Setup!$O$33+AT$1)*Setup!$M$33,EDATE(Setup!$G$33,(Setup!$O$33+AT$1)*Setup!$N$33))&gt;Setup!$P$33,IF(Setup!$M$33&gt;0,Setup!$G$33+(Setup!$O$33+AT$1)*Setup!$M$33,EDATE(Setup!$G$33,(Setup!$O$33+AT$1)*Setup!$N$33))&lt;Setup!$D$5),"",IF(Setup!$M$33&gt;0,Setup!$G$33+(Setup!$O$33+AT$1)*Setup!$M$33,EDATE(Setup!$G$33,(Setup!$O$33+AT$1)*Setup!$N$33))+$A10/1000)))</f>
        <v/>
      </c>
      <c r="AU10">
        <f>IF(OR(Setup!$E$33="",Setup!$G$33="",Setup!$F$33=""),"",IF(AND(Setup!$F$33="Once",AU$1&gt;0),"",IF(OR(IF(Setup!$M$33&gt;0,Setup!$G$33+(Setup!$O$33+AU$1)*Setup!$M$33,EDATE(Setup!$G$33,(Setup!$O$33+AU$1)*Setup!$N$33))&gt;Setup!$P$33,IF(Setup!$M$33&gt;0,Setup!$G$33+(Setup!$O$33+AU$1)*Setup!$M$33,EDATE(Setup!$G$33,(Setup!$O$33+AU$1)*Setup!$N$33))&lt;Setup!$D$5),"",IF(Setup!$M$33&gt;0,Setup!$G$33+(Setup!$O$33+AU$1)*Setup!$M$33,EDATE(Setup!$G$33,(Setup!$O$33+AU$1)*Setup!$N$33))+$A10/1000)))</f>
        <v/>
      </c>
      <c r="AV10">
        <f>IF(OR(Setup!$E$33="",Setup!$G$33="",Setup!$F$33=""),"",IF(AND(Setup!$F$33="Once",AV$1&gt;0),"",IF(OR(IF(Setup!$M$33&gt;0,Setup!$G$33+(Setup!$O$33+AV$1)*Setup!$M$33,EDATE(Setup!$G$33,(Setup!$O$33+AV$1)*Setup!$N$33))&gt;Setup!$P$33,IF(Setup!$M$33&gt;0,Setup!$G$33+(Setup!$O$33+AV$1)*Setup!$M$33,EDATE(Setup!$G$33,(Setup!$O$33+AV$1)*Setup!$N$33))&lt;Setup!$D$5),"",IF(Setup!$M$33&gt;0,Setup!$G$33+(Setup!$O$33+AV$1)*Setup!$M$33,EDATE(Setup!$G$33,(Setup!$O$33+AV$1)*Setup!$N$33))+$A10/1000)))</f>
        <v/>
      </c>
      <c r="AW10">
        <f>IF(OR(Setup!$E$33="",Setup!$G$33="",Setup!$F$33=""),"",IF(AND(Setup!$F$33="Once",AW$1&gt;0),"",IF(OR(IF(Setup!$M$33&gt;0,Setup!$G$33+(Setup!$O$33+AW$1)*Setup!$M$33,EDATE(Setup!$G$33,(Setup!$O$33+AW$1)*Setup!$N$33))&gt;Setup!$P$33,IF(Setup!$M$33&gt;0,Setup!$G$33+(Setup!$O$33+AW$1)*Setup!$M$33,EDATE(Setup!$G$33,(Setup!$O$33+AW$1)*Setup!$N$33))&lt;Setup!$D$5),"",IF(Setup!$M$33&gt;0,Setup!$G$33+(Setup!$O$33+AW$1)*Setup!$M$33,EDATE(Setup!$G$33,(Setup!$O$33+AW$1)*Setup!$N$33))+$A10/1000)))</f>
        <v/>
      </c>
      <c r="AX10">
        <f>IF(OR(Setup!$E$33="",Setup!$G$33="",Setup!$F$33=""),"",IF(AND(Setup!$F$33="Once",AX$1&gt;0),"",IF(OR(IF(Setup!$M$33&gt;0,Setup!$G$33+(Setup!$O$33+AX$1)*Setup!$M$33,EDATE(Setup!$G$33,(Setup!$O$33+AX$1)*Setup!$N$33))&gt;Setup!$P$33,IF(Setup!$M$33&gt;0,Setup!$G$33+(Setup!$O$33+AX$1)*Setup!$M$33,EDATE(Setup!$G$33,(Setup!$O$33+AX$1)*Setup!$N$33))&lt;Setup!$D$5),"",IF(Setup!$M$33&gt;0,Setup!$G$33+(Setup!$O$33+AX$1)*Setup!$M$33,EDATE(Setup!$G$33,(Setup!$O$33+AX$1)*Setup!$N$33))+$A10/1000)))</f>
        <v/>
      </c>
      <c r="AY10">
        <f>IF(OR(Setup!$E$33="",Setup!$G$33="",Setup!$F$33=""),"",IF(AND(Setup!$F$33="Once",AY$1&gt;0),"",IF(OR(IF(Setup!$M$33&gt;0,Setup!$G$33+(Setup!$O$33+AY$1)*Setup!$M$33,EDATE(Setup!$G$33,(Setup!$O$33+AY$1)*Setup!$N$33))&gt;Setup!$P$33,IF(Setup!$M$33&gt;0,Setup!$G$33+(Setup!$O$33+AY$1)*Setup!$M$33,EDATE(Setup!$G$33,(Setup!$O$33+AY$1)*Setup!$N$33))&lt;Setup!$D$5),"",IF(Setup!$M$33&gt;0,Setup!$G$33+(Setup!$O$33+AY$1)*Setup!$M$33,EDATE(Setup!$G$33,(Setup!$O$33+AY$1)*Setup!$N$33))+$A10/1000)))</f>
        <v/>
      </c>
      <c r="AZ10">
        <f>IF(OR(Setup!$E$33="",Setup!$G$33="",Setup!$F$33=""),"",IF(AND(Setup!$F$33="Once",AZ$1&gt;0),"",IF(OR(IF(Setup!$M$33&gt;0,Setup!$G$33+(Setup!$O$33+AZ$1)*Setup!$M$33,EDATE(Setup!$G$33,(Setup!$O$33+AZ$1)*Setup!$N$33))&gt;Setup!$P$33,IF(Setup!$M$33&gt;0,Setup!$G$33+(Setup!$O$33+AZ$1)*Setup!$M$33,EDATE(Setup!$G$33,(Setup!$O$33+AZ$1)*Setup!$N$33))&lt;Setup!$D$5),"",IF(Setup!$M$33&gt;0,Setup!$G$33+(Setup!$O$33+AZ$1)*Setup!$M$33,EDATE(Setup!$G$33,(Setup!$O$33+AZ$1)*Setup!$N$33))+$A10/1000)))</f>
        <v/>
      </c>
      <c r="BA10">
        <f>IF(OR(Setup!$E$33="",Setup!$G$33="",Setup!$F$33=""),"",IF(AND(Setup!$F$33="Once",BA$1&gt;0),"",IF(OR(IF(Setup!$M$33&gt;0,Setup!$G$33+(Setup!$O$33+BA$1)*Setup!$M$33,EDATE(Setup!$G$33,(Setup!$O$33+BA$1)*Setup!$N$33))&gt;Setup!$P$33,IF(Setup!$M$33&gt;0,Setup!$G$33+(Setup!$O$33+BA$1)*Setup!$M$33,EDATE(Setup!$G$33,(Setup!$O$33+BA$1)*Setup!$N$33))&lt;Setup!$D$5),"",IF(Setup!$M$33&gt;0,Setup!$G$33+(Setup!$O$33+BA$1)*Setup!$M$33,EDATE(Setup!$G$33,(Setup!$O$33+BA$1)*Setup!$N$33))+$A10/1000)))</f>
        <v/>
      </c>
      <c r="BB10">
        <f>IF(OR(Setup!$E$33="",Setup!$G$33="",Setup!$F$33=""),"",IF(AND(Setup!$F$33="Once",BB$1&gt;0),"",IF(OR(IF(Setup!$M$33&gt;0,Setup!$G$33+(Setup!$O$33+BB$1)*Setup!$M$33,EDATE(Setup!$G$33,(Setup!$O$33+BB$1)*Setup!$N$33))&gt;Setup!$P$33,IF(Setup!$M$33&gt;0,Setup!$G$33+(Setup!$O$33+BB$1)*Setup!$M$33,EDATE(Setup!$G$33,(Setup!$O$33+BB$1)*Setup!$N$33))&lt;Setup!$D$5),"",IF(Setup!$M$33&gt;0,Setup!$G$33+(Setup!$O$33+BB$1)*Setup!$M$33,EDATE(Setup!$G$33,(Setup!$O$33+BB$1)*Setup!$N$33))+$A10/1000)))</f>
        <v/>
      </c>
    </row>
    <row r="11">
      <c r="A11" t="n">
        <v>10</v>
      </c>
      <c r="B11">
        <f>IF(OR(Setup!$E$34="",Setup!$G$34="",Setup!$F$34=""),"",IF(AND(Setup!$F$34="Once",B$1&gt;0),"",IF(OR(IF(Setup!$M$34&gt;0,Setup!$G$34+(Setup!$O$34+B$1)*Setup!$M$34,EDATE(Setup!$G$34,(Setup!$O$34+B$1)*Setup!$N$34))&gt;Setup!$P$34,IF(Setup!$M$34&gt;0,Setup!$G$34+(Setup!$O$34+B$1)*Setup!$M$34,EDATE(Setup!$G$34,(Setup!$O$34+B$1)*Setup!$N$34))&lt;Setup!$D$5),"",IF(Setup!$M$34&gt;0,Setup!$G$34+(Setup!$O$34+B$1)*Setup!$M$34,EDATE(Setup!$G$34,(Setup!$O$34+B$1)*Setup!$N$34))+$A11/1000)))</f>
        <v/>
      </c>
      <c r="C11">
        <f>IF(OR(Setup!$E$34="",Setup!$G$34="",Setup!$F$34=""),"",IF(AND(Setup!$F$34="Once",C$1&gt;0),"",IF(OR(IF(Setup!$M$34&gt;0,Setup!$G$34+(Setup!$O$34+C$1)*Setup!$M$34,EDATE(Setup!$G$34,(Setup!$O$34+C$1)*Setup!$N$34))&gt;Setup!$P$34,IF(Setup!$M$34&gt;0,Setup!$G$34+(Setup!$O$34+C$1)*Setup!$M$34,EDATE(Setup!$G$34,(Setup!$O$34+C$1)*Setup!$N$34))&lt;Setup!$D$5),"",IF(Setup!$M$34&gt;0,Setup!$G$34+(Setup!$O$34+C$1)*Setup!$M$34,EDATE(Setup!$G$34,(Setup!$O$34+C$1)*Setup!$N$34))+$A11/1000)))</f>
        <v/>
      </c>
      <c r="D11">
        <f>IF(OR(Setup!$E$34="",Setup!$G$34="",Setup!$F$34=""),"",IF(AND(Setup!$F$34="Once",D$1&gt;0),"",IF(OR(IF(Setup!$M$34&gt;0,Setup!$G$34+(Setup!$O$34+D$1)*Setup!$M$34,EDATE(Setup!$G$34,(Setup!$O$34+D$1)*Setup!$N$34))&gt;Setup!$P$34,IF(Setup!$M$34&gt;0,Setup!$G$34+(Setup!$O$34+D$1)*Setup!$M$34,EDATE(Setup!$G$34,(Setup!$O$34+D$1)*Setup!$N$34))&lt;Setup!$D$5),"",IF(Setup!$M$34&gt;0,Setup!$G$34+(Setup!$O$34+D$1)*Setup!$M$34,EDATE(Setup!$G$34,(Setup!$O$34+D$1)*Setup!$N$34))+$A11/1000)))</f>
        <v/>
      </c>
      <c r="E11">
        <f>IF(OR(Setup!$E$34="",Setup!$G$34="",Setup!$F$34=""),"",IF(AND(Setup!$F$34="Once",E$1&gt;0),"",IF(OR(IF(Setup!$M$34&gt;0,Setup!$G$34+(Setup!$O$34+E$1)*Setup!$M$34,EDATE(Setup!$G$34,(Setup!$O$34+E$1)*Setup!$N$34))&gt;Setup!$P$34,IF(Setup!$M$34&gt;0,Setup!$G$34+(Setup!$O$34+E$1)*Setup!$M$34,EDATE(Setup!$G$34,(Setup!$O$34+E$1)*Setup!$N$34))&lt;Setup!$D$5),"",IF(Setup!$M$34&gt;0,Setup!$G$34+(Setup!$O$34+E$1)*Setup!$M$34,EDATE(Setup!$G$34,(Setup!$O$34+E$1)*Setup!$N$34))+$A11/1000)))</f>
        <v/>
      </c>
      <c r="F11">
        <f>IF(OR(Setup!$E$34="",Setup!$G$34="",Setup!$F$34=""),"",IF(AND(Setup!$F$34="Once",F$1&gt;0),"",IF(OR(IF(Setup!$M$34&gt;0,Setup!$G$34+(Setup!$O$34+F$1)*Setup!$M$34,EDATE(Setup!$G$34,(Setup!$O$34+F$1)*Setup!$N$34))&gt;Setup!$P$34,IF(Setup!$M$34&gt;0,Setup!$G$34+(Setup!$O$34+F$1)*Setup!$M$34,EDATE(Setup!$G$34,(Setup!$O$34+F$1)*Setup!$N$34))&lt;Setup!$D$5),"",IF(Setup!$M$34&gt;0,Setup!$G$34+(Setup!$O$34+F$1)*Setup!$M$34,EDATE(Setup!$G$34,(Setup!$O$34+F$1)*Setup!$N$34))+$A11/1000)))</f>
        <v/>
      </c>
      <c r="G11">
        <f>IF(OR(Setup!$E$34="",Setup!$G$34="",Setup!$F$34=""),"",IF(AND(Setup!$F$34="Once",G$1&gt;0),"",IF(OR(IF(Setup!$M$34&gt;0,Setup!$G$34+(Setup!$O$34+G$1)*Setup!$M$34,EDATE(Setup!$G$34,(Setup!$O$34+G$1)*Setup!$N$34))&gt;Setup!$P$34,IF(Setup!$M$34&gt;0,Setup!$G$34+(Setup!$O$34+G$1)*Setup!$M$34,EDATE(Setup!$G$34,(Setup!$O$34+G$1)*Setup!$N$34))&lt;Setup!$D$5),"",IF(Setup!$M$34&gt;0,Setup!$G$34+(Setup!$O$34+G$1)*Setup!$M$34,EDATE(Setup!$G$34,(Setup!$O$34+G$1)*Setup!$N$34))+$A11/1000)))</f>
        <v/>
      </c>
      <c r="H11">
        <f>IF(OR(Setup!$E$34="",Setup!$G$34="",Setup!$F$34=""),"",IF(AND(Setup!$F$34="Once",H$1&gt;0),"",IF(OR(IF(Setup!$M$34&gt;0,Setup!$G$34+(Setup!$O$34+H$1)*Setup!$M$34,EDATE(Setup!$G$34,(Setup!$O$34+H$1)*Setup!$N$34))&gt;Setup!$P$34,IF(Setup!$M$34&gt;0,Setup!$G$34+(Setup!$O$34+H$1)*Setup!$M$34,EDATE(Setup!$G$34,(Setup!$O$34+H$1)*Setup!$N$34))&lt;Setup!$D$5),"",IF(Setup!$M$34&gt;0,Setup!$G$34+(Setup!$O$34+H$1)*Setup!$M$34,EDATE(Setup!$G$34,(Setup!$O$34+H$1)*Setup!$N$34))+$A11/1000)))</f>
        <v/>
      </c>
      <c r="I11">
        <f>IF(OR(Setup!$E$34="",Setup!$G$34="",Setup!$F$34=""),"",IF(AND(Setup!$F$34="Once",I$1&gt;0),"",IF(OR(IF(Setup!$M$34&gt;0,Setup!$G$34+(Setup!$O$34+I$1)*Setup!$M$34,EDATE(Setup!$G$34,(Setup!$O$34+I$1)*Setup!$N$34))&gt;Setup!$P$34,IF(Setup!$M$34&gt;0,Setup!$G$34+(Setup!$O$34+I$1)*Setup!$M$34,EDATE(Setup!$G$34,(Setup!$O$34+I$1)*Setup!$N$34))&lt;Setup!$D$5),"",IF(Setup!$M$34&gt;0,Setup!$G$34+(Setup!$O$34+I$1)*Setup!$M$34,EDATE(Setup!$G$34,(Setup!$O$34+I$1)*Setup!$N$34))+$A11/1000)))</f>
        <v/>
      </c>
      <c r="J11">
        <f>IF(OR(Setup!$E$34="",Setup!$G$34="",Setup!$F$34=""),"",IF(AND(Setup!$F$34="Once",J$1&gt;0),"",IF(OR(IF(Setup!$M$34&gt;0,Setup!$G$34+(Setup!$O$34+J$1)*Setup!$M$34,EDATE(Setup!$G$34,(Setup!$O$34+J$1)*Setup!$N$34))&gt;Setup!$P$34,IF(Setup!$M$34&gt;0,Setup!$G$34+(Setup!$O$34+J$1)*Setup!$M$34,EDATE(Setup!$G$34,(Setup!$O$34+J$1)*Setup!$N$34))&lt;Setup!$D$5),"",IF(Setup!$M$34&gt;0,Setup!$G$34+(Setup!$O$34+J$1)*Setup!$M$34,EDATE(Setup!$G$34,(Setup!$O$34+J$1)*Setup!$N$34))+$A11/1000)))</f>
        <v/>
      </c>
      <c r="K11">
        <f>IF(OR(Setup!$E$34="",Setup!$G$34="",Setup!$F$34=""),"",IF(AND(Setup!$F$34="Once",K$1&gt;0),"",IF(OR(IF(Setup!$M$34&gt;0,Setup!$G$34+(Setup!$O$34+K$1)*Setup!$M$34,EDATE(Setup!$G$34,(Setup!$O$34+K$1)*Setup!$N$34))&gt;Setup!$P$34,IF(Setup!$M$34&gt;0,Setup!$G$34+(Setup!$O$34+K$1)*Setup!$M$34,EDATE(Setup!$G$34,(Setup!$O$34+K$1)*Setup!$N$34))&lt;Setup!$D$5),"",IF(Setup!$M$34&gt;0,Setup!$G$34+(Setup!$O$34+K$1)*Setup!$M$34,EDATE(Setup!$G$34,(Setup!$O$34+K$1)*Setup!$N$34))+$A11/1000)))</f>
        <v/>
      </c>
      <c r="L11">
        <f>IF(OR(Setup!$E$34="",Setup!$G$34="",Setup!$F$34=""),"",IF(AND(Setup!$F$34="Once",L$1&gt;0),"",IF(OR(IF(Setup!$M$34&gt;0,Setup!$G$34+(Setup!$O$34+L$1)*Setup!$M$34,EDATE(Setup!$G$34,(Setup!$O$34+L$1)*Setup!$N$34))&gt;Setup!$P$34,IF(Setup!$M$34&gt;0,Setup!$G$34+(Setup!$O$34+L$1)*Setup!$M$34,EDATE(Setup!$G$34,(Setup!$O$34+L$1)*Setup!$N$34))&lt;Setup!$D$5),"",IF(Setup!$M$34&gt;0,Setup!$G$34+(Setup!$O$34+L$1)*Setup!$M$34,EDATE(Setup!$G$34,(Setup!$O$34+L$1)*Setup!$N$34))+$A11/1000)))</f>
        <v/>
      </c>
      <c r="M11">
        <f>IF(OR(Setup!$E$34="",Setup!$G$34="",Setup!$F$34=""),"",IF(AND(Setup!$F$34="Once",M$1&gt;0),"",IF(OR(IF(Setup!$M$34&gt;0,Setup!$G$34+(Setup!$O$34+M$1)*Setup!$M$34,EDATE(Setup!$G$34,(Setup!$O$34+M$1)*Setup!$N$34))&gt;Setup!$P$34,IF(Setup!$M$34&gt;0,Setup!$G$34+(Setup!$O$34+M$1)*Setup!$M$34,EDATE(Setup!$G$34,(Setup!$O$34+M$1)*Setup!$N$34))&lt;Setup!$D$5),"",IF(Setup!$M$34&gt;0,Setup!$G$34+(Setup!$O$34+M$1)*Setup!$M$34,EDATE(Setup!$G$34,(Setup!$O$34+M$1)*Setup!$N$34))+$A11/1000)))</f>
        <v/>
      </c>
      <c r="N11">
        <f>IF(OR(Setup!$E$34="",Setup!$G$34="",Setup!$F$34=""),"",IF(AND(Setup!$F$34="Once",N$1&gt;0),"",IF(OR(IF(Setup!$M$34&gt;0,Setup!$G$34+(Setup!$O$34+N$1)*Setup!$M$34,EDATE(Setup!$G$34,(Setup!$O$34+N$1)*Setup!$N$34))&gt;Setup!$P$34,IF(Setup!$M$34&gt;0,Setup!$G$34+(Setup!$O$34+N$1)*Setup!$M$34,EDATE(Setup!$G$34,(Setup!$O$34+N$1)*Setup!$N$34))&lt;Setup!$D$5),"",IF(Setup!$M$34&gt;0,Setup!$G$34+(Setup!$O$34+N$1)*Setup!$M$34,EDATE(Setup!$G$34,(Setup!$O$34+N$1)*Setup!$N$34))+$A11/1000)))</f>
        <v/>
      </c>
      <c r="O11">
        <f>IF(OR(Setup!$E$34="",Setup!$G$34="",Setup!$F$34=""),"",IF(AND(Setup!$F$34="Once",O$1&gt;0),"",IF(OR(IF(Setup!$M$34&gt;0,Setup!$G$34+(Setup!$O$34+O$1)*Setup!$M$34,EDATE(Setup!$G$34,(Setup!$O$34+O$1)*Setup!$N$34))&gt;Setup!$P$34,IF(Setup!$M$34&gt;0,Setup!$G$34+(Setup!$O$34+O$1)*Setup!$M$34,EDATE(Setup!$G$34,(Setup!$O$34+O$1)*Setup!$N$34))&lt;Setup!$D$5),"",IF(Setup!$M$34&gt;0,Setup!$G$34+(Setup!$O$34+O$1)*Setup!$M$34,EDATE(Setup!$G$34,(Setup!$O$34+O$1)*Setup!$N$34))+$A11/1000)))</f>
        <v/>
      </c>
      <c r="P11">
        <f>IF(OR(Setup!$E$34="",Setup!$G$34="",Setup!$F$34=""),"",IF(AND(Setup!$F$34="Once",P$1&gt;0),"",IF(OR(IF(Setup!$M$34&gt;0,Setup!$G$34+(Setup!$O$34+P$1)*Setup!$M$34,EDATE(Setup!$G$34,(Setup!$O$34+P$1)*Setup!$N$34))&gt;Setup!$P$34,IF(Setup!$M$34&gt;0,Setup!$G$34+(Setup!$O$34+P$1)*Setup!$M$34,EDATE(Setup!$G$34,(Setup!$O$34+P$1)*Setup!$N$34))&lt;Setup!$D$5),"",IF(Setup!$M$34&gt;0,Setup!$G$34+(Setup!$O$34+P$1)*Setup!$M$34,EDATE(Setup!$G$34,(Setup!$O$34+P$1)*Setup!$N$34))+$A11/1000)))</f>
        <v/>
      </c>
      <c r="Q11">
        <f>IF(OR(Setup!$E$34="",Setup!$G$34="",Setup!$F$34=""),"",IF(AND(Setup!$F$34="Once",Q$1&gt;0),"",IF(OR(IF(Setup!$M$34&gt;0,Setup!$G$34+(Setup!$O$34+Q$1)*Setup!$M$34,EDATE(Setup!$G$34,(Setup!$O$34+Q$1)*Setup!$N$34))&gt;Setup!$P$34,IF(Setup!$M$34&gt;0,Setup!$G$34+(Setup!$O$34+Q$1)*Setup!$M$34,EDATE(Setup!$G$34,(Setup!$O$34+Q$1)*Setup!$N$34))&lt;Setup!$D$5),"",IF(Setup!$M$34&gt;0,Setup!$G$34+(Setup!$O$34+Q$1)*Setup!$M$34,EDATE(Setup!$G$34,(Setup!$O$34+Q$1)*Setup!$N$34))+$A11/1000)))</f>
        <v/>
      </c>
      <c r="R11">
        <f>IF(OR(Setup!$E$34="",Setup!$G$34="",Setup!$F$34=""),"",IF(AND(Setup!$F$34="Once",R$1&gt;0),"",IF(OR(IF(Setup!$M$34&gt;0,Setup!$G$34+(Setup!$O$34+R$1)*Setup!$M$34,EDATE(Setup!$G$34,(Setup!$O$34+R$1)*Setup!$N$34))&gt;Setup!$P$34,IF(Setup!$M$34&gt;0,Setup!$G$34+(Setup!$O$34+R$1)*Setup!$M$34,EDATE(Setup!$G$34,(Setup!$O$34+R$1)*Setup!$N$34))&lt;Setup!$D$5),"",IF(Setup!$M$34&gt;0,Setup!$G$34+(Setup!$O$34+R$1)*Setup!$M$34,EDATE(Setup!$G$34,(Setup!$O$34+R$1)*Setup!$N$34))+$A11/1000)))</f>
        <v/>
      </c>
      <c r="S11">
        <f>IF(OR(Setup!$E$34="",Setup!$G$34="",Setup!$F$34=""),"",IF(AND(Setup!$F$34="Once",S$1&gt;0),"",IF(OR(IF(Setup!$M$34&gt;0,Setup!$G$34+(Setup!$O$34+S$1)*Setup!$M$34,EDATE(Setup!$G$34,(Setup!$O$34+S$1)*Setup!$N$34))&gt;Setup!$P$34,IF(Setup!$M$34&gt;0,Setup!$G$34+(Setup!$O$34+S$1)*Setup!$M$34,EDATE(Setup!$G$34,(Setup!$O$34+S$1)*Setup!$N$34))&lt;Setup!$D$5),"",IF(Setup!$M$34&gt;0,Setup!$G$34+(Setup!$O$34+S$1)*Setup!$M$34,EDATE(Setup!$G$34,(Setup!$O$34+S$1)*Setup!$N$34))+$A11/1000)))</f>
        <v/>
      </c>
      <c r="T11">
        <f>IF(OR(Setup!$E$34="",Setup!$G$34="",Setup!$F$34=""),"",IF(AND(Setup!$F$34="Once",T$1&gt;0),"",IF(OR(IF(Setup!$M$34&gt;0,Setup!$G$34+(Setup!$O$34+T$1)*Setup!$M$34,EDATE(Setup!$G$34,(Setup!$O$34+T$1)*Setup!$N$34))&gt;Setup!$P$34,IF(Setup!$M$34&gt;0,Setup!$G$34+(Setup!$O$34+T$1)*Setup!$M$34,EDATE(Setup!$G$34,(Setup!$O$34+T$1)*Setup!$N$34))&lt;Setup!$D$5),"",IF(Setup!$M$34&gt;0,Setup!$G$34+(Setup!$O$34+T$1)*Setup!$M$34,EDATE(Setup!$G$34,(Setup!$O$34+T$1)*Setup!$N$34))+$A11/1000)))</f>
        <v/>
      </c>
      <c r="U11">
        <f>IF(OR(Setup!$E$34="",Setup!$G$34="",Setup!$F$34=""),"",IF(AND(Setup!$F$34="Once",U$1&gt;0),"",IF(OR(IF(Setup!$M$34&gt;0,Setup!$G$34+(Setup!$O$34+U$1)*Setup!$M$34,EDATE(Setup!$G$34,(Setup!$O$34+U$1)*Setup!$N$34))&gt;Setup!$P$34,IF(Setup!$M$34&gt;0,Setup!$G$34+(Setup!$O$34+U$1)*Setup!$M$34,EDATE(Setup!$G$34,(Setup!$O$34+U$1)*Setup!$N$34))&lt;Setup!$D$5),"",IF(Setup!$M$34&gt;0,Setup!$G$34+(Setup!$O$34+U$1)*Setup!$M$34,EDATE(Setup!$G$34,(Setup!$O$34+U$1)*Setup!$N$34))+$A11/1000)))</f>
        <v/>
      </c>
      <c r="V11">
        <f>IF(OR(Setup!$E$34="",Setup!$G$34="",Setup!$F$34=""),"",IF(AND(Setup!$F$34="Once",V$1&gt;0),"",IF(OR(IF(Setup!$M$34&gt;0,Setup!$G$34+(Setup!$O$34+V$1)*Setup!$M$34,EDATE(Setup!$G$34,(Setup!$O$34+V$1)*Setup!$N$34))&gt;Setup!$P$34,IF(Setup!$M$34&gt;0,Setup!$G$34+(Setup!$O$34+V$1)*Setup!$M$34,EDATE(Setup!$G$34,(Setup!$O$34+V$1)*Setup!$N$34))&lt;Setup!$D$5),"",IF(Setup!$M$34&gt;0,Setup!$G$34+(Setup!$O$34+V$1)*Setup!$M$34,EDATE(Setup!$G$34,(Setup!$O$34+V$1)*Setup!$N$34))+$A11/1000)))</f>
        <v/>
      </c>
      <c r="W11">
        <f>IF(OR(Setup!$E$34="",Setup!$G$34="",Setup!$F$34=""),"",IF(AND(Setup!$F$34="Once",W$1&gt;0),"",IF(OR(IF(Setup!$M$34&gt;0,Setup!$G$34+(Setup!$O$34+W$1)*Setup!$M$34,EDATE(Setup!$G$34,(Setup!$O$34+W$1)*Setup!$N$34))&gt;Setup!$P$34,IF(Setup!$M$34&gt;0,Setup!$G$34+(Setup!$O$34+W$1)*Setup!$M$34,EDATE(Setup!$G$34,(Setup!$O$34+W$1)*Setup!$N$34))&lt;Setup!$D$5),"",IF(Setup!$M$34&gt;0,Setup!$G$34+(Setup!$O$34+W$1)*Setup!$M$34,EDATE(Setup!$G$34,(Setup!$O$34+W$1)*Setup!$N$34))+$A11/1000)))</f>
        <v/>
      </c>
      <c r="X11">
        <f>IF(OR(Setup!$E$34="",Setup!$G$34="",Setup!$F$34=""),"",IF(AND(Setup!$F$34="Once",X$1&gt;0),"",IF(OR(IF(Setup!$M$34&gt;0,Setup!$G$34+(Setup!$O$34+X$1)*Setup!$M$34,EDATE(Setup!$G$34,(Setup!$O$34+X$1)*Setup!$N$34))&gt;Setup!$P$34,IF(Setup!$M$34&gt;0,Setup!$G$34+(Setup!$O$34+X$1)*Setup!$M$34,EDATE(Setup!$G$34,(Setup!$O$34+X$1)*Setup!$N$34))&lt;Setup!$D$5),"",IF(Setup!$M$34&gt;0,Setup!$G$34+(Setup!$O$34+X$1)*Setup!$M$34,EDATE(Setup!$G$34,(Setup!$O$34+X$1)*Setup!$N$34))+$A11/1000)))</f>
        <v/>
      </c>
      <c r="Y11">
        <f>IF(OR(Setup!$E$34="",Setup!$G$34="",Setup!$F$34=""),"",IF(AND(Setup!$F$34="Once",Y$1&gt;0),"",IF(OR(IF(Setup!$M$34&gt;0,Setup!$G$34+(Setup!$O$34+Y$1)*Setup!$M$34,EDATE(Setup!$G$34,(Setup!$O$34+Y$1)*Setup!$N$34))&gt;Setup!$P$34,IF(Setup!$M$34&gt;0,Setup!$G$34+(Setup!$O$34+Y$1)*Setup!$M$34,EDATE(Setup!$G$34,(Setup!$O$34+Y$1)*Setup!$N$34))&lt;Setup!$D$5),"",IF(Setup!$M$34&gt;0,Setup!$G$34+(Setup!$O$34+Y$1)*Setup!$M$34,EDATE(Setup!$G$34,(Setup!$O$34+Y$1)*Setup!$N$34))+$A11/1000)))</f>
        <v/>
      </c>
      <c r="Z11">
        <f>IF(OR(Setup!$E$34="",Setup!$G$34="",Setup!$F$34=""),"",IF(AND(Setup!$F$34="Once",Z$1&gt;0),"",IF(OR(IF(Setup!$M$34&gt;0,Setup!$G$34+(Setup!$O$34+Z$1)*Setup!$M$34,EDATE(Setup!$G$34,(Setup!$O$34+Z$1)*Setup!$N$34))&gt;Setup!$P$34,IF(Setup!$M$34&gt;0,Setup!$G$34+(Setup!$O$34+Z$1)*Setup!$M$34,EDATE(Setup!$G$34,(Setup!$O$34+Z$1)*Setup!$N$34))&lt;Setup!$D$5),"",IF(Setup!$M$34&gt;0,Setup!$G$34+(Setup!$O$34+Z$1)*Setup!$M$34,EDATE(Setup!$G$34,(Setup!$O$34+Z$1)*Setup!$N$34))+$A11/1000)))</f>
        <v/>
      </c>
      <c r="AA11">
        <f>IF(OR(Setup!$E$34="",Setup!$G$34="",Setup!$F$34=""),"",IF(AND(Setup!$F$34="Once",AA$1&gt;0),"",IF(OR(IF(Setup!$M$34&gt;0,Setup!$G$34+(Setup!$O$34+AA$1)*Setup!$M$34,EDATE(Setup!$G$34,(Setup!$O$34+AA$1)*Setup!$N$34))&gt;Setup!$P$34,IF(Setup!$M$34&gt;0,Setup!$G$34+(Setup!$O$34+AA$1)*Setup!$M$34,EDATE(Setup!$G$34,(Setup!$O$34+AA$1)*Setup!$N$34))&lt;Setup!$D$5),"",IF(Setup!$M$34&gt;0,Setup!$G$34+(Setup!$O$34+AA$1)*Setup!$M$34,EDATE(Setup!$G$34,(Setup!$O$34+AA$1)*Setup!$N$34))+$A11/1000)))</f>
        <v/>
      </c>
      <c r="AB11">
        <f>IF(OR(Setup!$E$34="",Setup!$G$34="",Setup!$F$34=""),"",IF(AND(Setup!$F$34="Once",AB$1&gt;0),"",IF(OR(IF(Setup!$M$34&gt;0,Setup!$G$34+(Setup!$O$34+AB$1)*Setup!$M$34,EDATE(Setup!$G$34,(Setup!$O$34+AB$1)*Setup!$N$34))&gt;Setup!$P$34,IF(Setup!$M$34&gt;0,Setup!$G$34+(Setup!$O$34+AB$1)*Setup!$M$34,EDATE(Setup!$G$34,(Setup!$O$34+AB$1)*Setup!$N$34))&lt;Setup!$D$5),"",IF(Setup!$M$34&gt;0,Setup!$G$34+(Setup!$O$34+AB$1)*Setup!$M$34,EDATE(Setup!$G$34,(Setup!$O$34+AB$1)*Setup!$N$34))+$A11/1000)))</f>
        <v/>
      </c>
      <c r="AC11">
        <f>IF(OR(Setup!$E$34="",Setup!$G$34="",Setup!$F$34=""),"",IF(AND(Setup!$F$34="Once",AC$1&gt;0),"",IF(OR(IF(Setup!$M$34&gt;0,Setup!$G$34+(Setup!$O$34+AC$1)*Setup!$M$34,EDATE(Setup!$G$34,(Setup!$O$34+AC$1)*Setup!$N$34))&gt;Setup!$P$34,IF(Setup!$M$34&gt;0,Setup!$G$34+(Setup!$O$34+AC$1)*Setup!$M$34,EDATE(Setup!$G$34,(Setup!$O$34+AC$1)*Setup!$N$34))&lt;Setup!$D$5),"",IF(Setup!$M$34&gt;0,Setup!$G$34+(Setup!$O$34+AC$1)*Setup!$M$34,EDATE(Setup!$G$34,(Setup!$O$34+AC$1)*Setup!$N$34))+$A11/1000)))</f>
        <v/>
      </c>
      <c r="AD11">
        <f>IF(OR(Setup!$E$34="",Setup!$G$34="",Setup!$F$34=""),"",IF(AND(Setup!$F$34="Once",AD$1&gt;0),"",IF(OR(IF(Setup!$M$34&gt;0,Setup!$G$34+(Setup!$O$34+AD$1)*Setup!$M$34,EDATE(Setup!$G$34,(Setup!$O$34+AD$1)*Setup!$N$34))&gt;Setup!$P$34,IF(Setup!$M$34&gt;0,Setup!$G$34+(Setup!$O$34+AD$1)*Setup!$M$34,EDATE(Setup!$G$34,(Setup!$O$34+AD$1)*Setup!$N$34))&lt;Setup!$D$5),"",IF(Setup!$M$34&gt;0,Setup!$G$34+(Setup!$O$34+AD$1)*Setup!$M$34,EDATE(Setup!$G$34,(Setup!$O$34+AD$1)*Setup!$N$34))+$A11/1000)))</f>
        <v/>
      </c>
      <c r="AE11">
        <f>IF(OR(Setup!$E$34="",Setup!$G$34="",Setup!$F$34=""),"",IF(AND(Setup!$F$34="Once",AE$1&gt;0),"",IF(OR(IF(Setup!$M$34&gt;0,Setup!$G$34+(Setup!$O$34+AE$1)*Setup!$M$34,EDATE(Setup!$G$34,(Setup!$O$34+AE$1)*Setup!$N$34))&gt;Setup!$P$34,IF(Setup!$M$34&gt;0,Setup!$G$34+(Setup!$O$34+AE$1)*Setup!$M$34,EDATE(Setup!$G$34,(Setup!$O$34+AE$1)*Setup!$N$34))&lt;Setup!$D$5),"",IF(Setup!$M$34&gt;0,Setup!$G$34+(Setup!$O$34+AE$1)*Setup!$M$34,EDATE(Setup!$G$34,(Setup!$O$34+AE$1)*Setup!$N$34))+$A11/1000)))</f>
        <v/>
      </c>
      <c r="AF11">
        <f>IF(OR(Setup!$E$34="",Setup!$G$34="",Setup!$F$34=""),"",IF(AND(Setup!$F$34="Once",AF$1&gt;0),"",IF(OR(IF(Setup!$M$34&gt;0,Setup!$G$34+(Setup!$O$34+AF$1)*Setup!$M$34,EDATE(Setup!$G$34,(Setup!$O$34+AF$1)*Setup!$N$34))&gt;Setup!$P$34,IF(Setup!$M$34&gt;0,Setup!$G$34+(Setup!$O$34+AF$1)*Setup!$M$34,EDATE(Setup!$G$34,(Setup!$O$34+AF$1)*Setup!$N$34))&lt;Setup!$D$5),"",IF(Setup!$M$34&gt;0,Setup!$G$34+(Setup!$O$34+AF$1)*Setup!$M$34,EDATE(Setup!$G$34,(Setup!$O$34+AF$1)*Setup!$N$34))+$A11/1000)))</f>
        <v/>
      </c>
      <c r="AG11">
        <f>IF(OR(Setup!$E$34="",Setup!$G$34="",Setup!$F$34=""),"",IF(AND(Setup!$F$34="Once",AG$1&gt;0),"",IF(OR(IF(Setup!$M$34&gt;0,Setup!$G$34+(Setup!$O$34+AG$1)*Setup!$M$34,EDATE(Setup!$G$34,(Setup!$O$34+AG$1)*Setup!$N$34))&gt;Setup!$P$34,IF(Setup!$M$34&gt;0,Setup!$G$34+(Setup!$O$34+AG$1)*Setup!$M$34,EDATE(Setup!$G$34,(Setup!$O$34+AG$1)*Setup!$N$34))&lt;Setup!$D$5),"",IF(Setup!$M$34&gt;0,Setup!$G$34+(Setup!$O$34+AG$1)*Setup!$M$34,EDATE(Setup!$G$34,(Setup!$O$34+AG$1)*Setup!$N$34))+$A11/1000)))</f>
        <v/>
      </c>
      <c r="AH11">
        <f>IF(OR(Setup!$E$34="",Setup!$G$34="",Setup!$F$34=""),"",IF(AND(Setup!$F$34="Once",AH$1&gt;0),"",IF(OR(IF(Setup!$M$34&gt;0,Setup!$G$34+(Setup!$O$34+AH$1)*Setup!$M$34,EDATE(Setup!$G$34,(Setup!$O$34+AH$1)*Setup!$N$34))&gt;Setup!$P$34,IF(Setup!$M$34&gt;0,Setup!$G$34+(Setup!$O$34+AH$1)*Setup!$M$34,EDATE(Setup!$G$34,(Setup!$O$34+AH$1)*Setup!$N$34))&lt;Setup!$D$5),"",IF(Setup!$M$34&gt;0,Setup!$G$34+(Setup!$O$34+AH$1)*Setup!$M$34,EDATE(Setup!$G$34,(Setup!$O$34+AH$1)*Setup!$N$34))+$A11/1000)))</f>
        <v/>
      </c>
      <c r="AI11">
        <f>IF(OR(Setup!$E$34="",Setup!$G$34="",Setup!$F$34=""),"",IF(AND(Setup!$F$34="Once",AI$1&gt;0),"",IF(OR(IF(Setup!$M$34&gt;0,Setup!$G$34+(Setup!$O$34+AI$1)*Setup!$M$34,EDATE(Setup!$G$34,(Setup!$O$34+AI$1)*Setup!$N$34))&gt;Setup!$P$34,IF(Setup!$M$34&gt;0,Setup!$G$34+(Setup!$O$34+AI$1)*Setup!$M$34,EDATE(Setup!$G$34,(Setup!$O$34+AI$1)*Setup!$N$34))&lt;Setup!$D$5),"",IF(Setup!$M$34&gt;0,Setup!$G$34+(Setup!$O$34+AI$1)*Setup!$M$34,EDATE(Setup!$G$34,(Setup!$O$34+AI$1)*Setup!$N$34))+$A11/1000)))</f>
        <v/>
      </c>
      <c r="AJ11">
        <f>IF(OR(Setup!$E$34="",Setup!$G$34="",Setup!$F$34=""),"",IF(AND(Setup!$F$34="Once",AJ$1&gt;0),"",IF(OR(IF(Setup!$M$34&gt;0,Setup!$G$34+(Setup!$O$34+AJ$1)*Setup!$M$34,EDATE(Setup!$G$34,(Setup!$O$34+AJ$1)*Setup!$N$34))&gt;Setup!$P$34,IF(Setup!$M$34&gt;0,Setup!$G$34+(Setup!$O$34+AJ$1)*Setup!$M$34,EDATE(Setup!$G$34,(Setup!$O$34+AJ$1)*Setup!$N$34))&lt;Setup!$D$5),"",IF(Setup!$M$34&gt;0,Setup!$G$34+(Setup!$O$34+AJ$1)*Setup!$M$34,EDATE(Setup!$G$34,(Setup!$O$34+AJ$1)*Setup!$N$34))+$A11/1000)))</f>
        <v/>
      </c>
      <c r="AK11">
        <f>IF(OR(Setup!$E$34="",Setup!$G$34="",Setup!$F$34=""),"",IF(AND(Setup!$F$34="Once",AK$1&gt;0),"",IF(OR(IF(Setup!$M$34&gt;0,Setup!$G$34+(Setup!$O$34+AK$1)*Setup!$M$34,EDATE(Setup!$G$34,(Setup!$O$34+AK$1)*Setup!$N$34))&gt;Setup!$P$34,IF(Setup!$M$34&gt;0,Setup!$G$34+(Setup!$O$34+AK$1)*Setup!$M$34,EDATE(Setup!$G$34,(Setup!$O$34+AK$1)*Setup!$N$34))&lt;Setup!$D$5),"",IF(Setup!$M$34&gt;0,Setup!$G$34+(Setup!$O$34+AK$1)*Setup!$M$34,EDATE(Setup!$G$34,(Setup!$O$34+AK$1)*Setup!$N$34))+$A11/1000)))</f>
        <v/>
      </c>
      <c r="AL11">
        <f>IF(OR(Setup!$E$34="",Setup!$G$34="",Setup!$F$34=""),"",IF(AND(Setup!$F$34="Once",AL$1&gt;0),"",IF(OR(IF(Setup!$M$34&gt;0,Setup!$G$34+(Setup!$O$34+AL$1)*Setup!$M$34,EDATE(Setup!$G$34,(Setup!$O$34+AL$1)*Setup!$N$34))&gt;Setup!$P$34,IF(Setup!$M$34&gt;0,Setup!$G$34+(Setup!$O$34+AL$1)*Setup!$M$34,EDATE(Setup!$G$34,(Setup!$O$34+AL$1)*Setup!$N$34))&lt;Setup!$D$5),"",IF(Setup!$M$34&gt;0,Setup!$G$34+(Setup!$O$34+AL$1)*Setup!$M$34,EDATE(Setup!$G$34,(Setup!$O$34+AL$1)*Setup!$N$34))+$A11/1000)))</f>
        <v/>
      </c>
      <c r="AM11">
        <f>IF(OR(Setup!$E$34="",Setup!$G$34="",Setup!$F$34=""),"",IF(AND(Setup!$F$34="Once",AM$1&gt;0),"",IF(OR(IF(Setup!$M$34&gt;0,Setup!$G$34+(Setup!$O$34+AM$1)*Setup!$M$34,EDATE(Setup!$G$34,(Setup!$O$34+AM$1)*Setup!$N$34))&gt;Setup!$P$34,IF(Setup!$M$34&gt;0,Setup!$G$34+(Setup!$O$34+AM$1)*Setup!$M$34,EDATE(Setup!$G$34,(Setup!$O$34+AM$1)*Setup!$N$34))&lt;Setup!$D$5),"",IF(Setup!$M$34&gt;0,Setup!$G$34+(Setup!$O$34+AM$1)*Setup!$M$34,EDATE(Setup!$G$34,(Setup!$O$34+AM$1)*Setup!$N$34))+$A11/1000)))</f>
        <v/>
      </c>
      <c r="AN11">
        <f>IF(OR(Setup!$E$34="",Setup!$G$34="",Setup!$F$34=""),"",IF(AND(Setup!$F$34="Once",AN$1&gt;0),"",IF(OR(IF(Setup!$M$34&gt;0,Setup!$G$34+(Setup!$O$34+AN$1)*Setup!$M$34,EDATE(Setup!$G$34,(Setup!$O$34+AN$1)*Setup!$N$34))&gt;Setup!$P$34,IF(Setup!$M$34&gt;0,Setup!$G$34+(Setup!$O$34+AN$1)*Setup!$M$34,EDATE(Setup!$G$34,(Setup!$O$34+AN$1)*Setup!$N$34))&lt;Setup!$D$5),"",IF(Setup!$M$34&gt;0,Setup!$G$34+(Setup!$O$34+AN$1)*Setup!$M$34,EDATE(Setup!$G$34,(Setup!$O$34+AN$1)*Setup!$N$34))+$A11/1000)))</f>
        <v/>
      </c>
      <c r="AO11">
        <f>IF(OR(Setup!$E$34="",Setup!$G$34="",Setup!$F$34=""),"",IF(AND(Setup!$F$34="Once",AO$1&gt;0),"",IF(OR(IF(Setup!$M$34&gt;0,Setup!$G$34+(Setup!$O$34+AO$1)*Setup!$M$34,EDATE(Setup!$G$34,(Setup!$O$34+AO$1)*Setup!$N$34))&gt;Setup!$P$34,IF(Setup!$M$34&gt;0,Setup!$G$34+(Setup!$O$34+AO$1)*Setup!$M$34,EDATE(Setup!$G$34,(Setup!$O$34+AO$1)*Setup!$N$34))&lt;Setup!$D$5),"",IF(Setup!$M$34&gt;0,Setup!$G$34+(Setup!$O$34+AO$1)*Setup!$M$34,EDATE(Setup!$G$34,(Setup!$O$34+AO$1)*Setup!$N$34))+$A11/1000)))</f>
        <v/>
      </c>
      <c r="AP11">
        <f>IF(OR(Setup!$E$34="",Setup!$G$34="",Setup!$F$34=""),"",IF(AND(Setup!$F$34="Once",AP$1&gt;0),"",IF(OR(IF(Setup!$M$34&gt;0,Setup!$G$34+(Setup!$O$34+AP$1)*Setup!$M$34,EDATE(Setup!$G$34,(Setup!$O$34+AP$1)*Setup!$N$34))&gt;Setup!$P$34,IF(Setup!$M$34&gt;0,Setup!$G$34+(Setup!$O$34+AP$1)*Setup!$M$34,EDATE(Setup!$G$34,(Setup!$O$34+AP$1)*Setup!$N$34))&lt;Setup!$D$5),"",IF(Setup!$M$34&gt;0,Setup!$G$34+(Setup!$O$34+AP$1)*Setup!$M$34,EDATE(Setup!$G$34,(Setup!$O$34+AP$1)*Setup!$N$34))+$A11/1000)))</f>
        <v/>
      </c>
      <c r="AQ11">
        <f>IF(OR(Setup!$E$34="",Setup!$G$34="",Setup!$F$34=""),"",IF(AND(Setup!$F$34="Once",AQ$1&gt;0),"",IF(OR(IF(Setup!$M$34&gt;0,Setup!$G$34+(Setup!$O$34+AQ$1)*Setup!$M$34,EDATE(Setup!$G$34,(Setup!$O$34+AQ$1)*Setup!$N$34))&gt;Setup!$P$34,IF(Setup!$M$34&gt;0,Setup!$G$34+(Setup!$O$34+AQ$1)*Setup!$M$34,EDATE(Setup!$G$34,(Setup!$O$34+AQ$1)*Setup!$N$34))&lt;Setup!$D$5),"",IF(Setup!$M$34&gt;0,Setup!$G$34+(Setup!$O$34+AQ$1)*Setup!$M$34,EDATE(Setup!$G$34,(Setup!$O$34+AQ$1)*Setup!$N$34))+$A11/1000)))</f>
        <v/>
      </c>
      <c r="AR11">
        <f>IF(OR(Setup!$E$34="",Setup!$G$34="",Setup!$F$34=""),"",IF(AND(Setup!$F$34="Once",AR$1&gt;0),"",IF(OR(IF(Setup!$M$34&gt;0,Setup!$G$34+(Setup!$O$34+AR$1)*Setup!$M$34,EDATE(Setup!$G$34,(Setup!$O$34+AR$1)*Setup!$N$34))&gt;Setup!$P$34,IF(Setup!$M$34&gt;0,Setup!$G$34+(Setup!$O$34+AR$1)*Setup!$M$34,EDATE(Setup!$G$34,(Setup!$O$34+AR$1)*Setup!$N$34))&lt;Setup!$D$5),"",IF(Setup!$M$34&gt;0,Setup!$G$34+(Setup!$O$34+AR$1)*Setup!$M$34,EDATE(Setup!$G$34,(Setup!$O$34+AR$1)*Setup!$N$34))+$A11/1000)))</f>
        <v/>
      </c>
      <c r="AS11">
        <f>IF(OR(Setup!$E$34="",Setup!$G$34="",Setup!$F$34=""),"",IF(AND(Setup!$F$34="Once",AS$1&gt;0),"",IF(OR(IF(Setup!$M$34&gt;0,Setup!$G$34+(Setup!$O$34+AS$1)*Setup!$M$34,EDATE(Setup!$G$34,(Setup!$O$34+AS$1)*Setup!$N$34))&gt;Setup!$P$34,IF(Setup!$M$34&gt;0,Setup!$G$34+(Setup!$O$34+AS$1)*Setup!$M$34,EDATE(Setup!$G$34,(Setup!$O$34+AS$1)*Setup!$N$34))&lt;Setup!$D$5),"",IF(Setup!$M$34&gt;0,Setup!$G$34+(Setup!$O$34+AS$1)*Setup!$M$34,EDATE(Setup!$G$34,(Setup!$O$34+AS$1)*Setup!$N$34))+$A11/1000)))</f>
        <v/>
      </c>
      <c r="AT11">
        <f>IF(OR(Setup!$E$34="",Setup!$G$34="",Setup!$F$34=""),"",IF(AND(Setup!$F$34="Once",AT$1&gt;0),"",IF(OR(IF(Setup!$M$34&gt;0,Setup!$G$34+(Setup!$O$34+AT$1)*Setup!$M$34,EDATE(Setup!$G$34,(Setup!$O$34+AT$1)*Setup!$N$34))&gt;Setup!$P$34,IF(Setup!$M$34&gt;0,Setup!$G$34+(Setup!$O$34+AT$1)*Setup!$M$34,EDATE(Setup!$G$34,(Setup!$O$34+AT$1)*Setup!$N$34))&lt;Setup!$D$5),"",IF(Setup!$M$34&gt;0,Setup!$G$34+(Setup!$O$34+AT$1)*Setup!$M$34,EDATE(Setup!$G$34,(Setup!$O$34+AT$1)*Setup!$N$34))+$A11/1000)))</f>
        <v/>
      </c>
      <c r="AU11">
        <f>IF(OR(Setup!$E$34="",Setup!$G$34="",Setup!$F$34=""),"",IF(AND(Setup!$F$34="Once",AU$1&gt;0),"",IF(OR(IF(Setup!$M$34&gt;0,Setup!$G$34+(Setup!$O$34+AU$1)*Setup!$M$34,EDATE(Setup!$G$34,(Setup!$O$34+AU$1)*Setup!$N$34))&gt;Setup!$P$34,IF(Setup!$M$34&gt;0,Setup!$G$34+(Setup!$O$34+AU$1)*Setup!$M$34,EDATE(Setup!$G$34,(Setup!$O$34+AU$1)*Setup!$N$34))&lt;Setup!$D$5),"",IF(Setup!$M$34&gt;0,Setup!$G$34+(Setup!$O$34+AU$1)*Setup!$M$34,EDATE(Setup!$G$34,(Setup!$O$34+AU$1)*Setup!$N$34))+$A11/1000)))</f>
        <v/>
      </c>
      <c r="AV11">
        <f>IF(OR(Setup!$E$34="",Setup!$G$34="",Setup!$F$34=""),"",IF(AND(Setup!$F$34="Once",AV$1&gt;0),"",IF(OR(IF(Setup!$M$34&gt;0,Setup!$G$34+(Setup!$O$34+AV$1)*Setup!$M$34,EDATE(Setup!$G$34,(Setup!$O$34+AV$1)*Setup!$N$34))&gt;Setup!$P$34,IF(Setup!$M$34&gt;0,Setup!$G$34+(Setup!$O$34+AV$1)*Setup!$M$34,EDATE(Setup!$G$34,(Setup!$O$34+AV$1)*Setup!$N$34))&lt;Setup!$D$5),"",IF(Setup!$M$34&gt;0,Setup!$G$34+(Setup!$O$34+AV$1)*Setup!$M$34,EDATE(Setup!$G$34,(Setup!$O$34+AV$1)*Setup!$N$34))+$A11/1000)))</f>
        <v/>
      </c>
      <c r="AW11">
        <f>IF(OR(Setup!$E$34="",Setup!$G$34="",Setup!$F$34=""),"",IF(AND(Setup!$F$34="Once",AW$1&gt;0),"",IF(OR(IF(Setup!$M$34&gt;0,Setup!$G$34+(Setup!$O$34+AW$1)*Setup!$M$34,EDATE(Setup!$G$34,(Setup!$O$34+AW$1)*Setup!$N$34))&gt;Setup!$P$34,IF(Setup!$M$34&gt;0,Setup!$G$34+(Setup!$O$34+AW$1)*Setup!$M$34,EDATE(Setup!$G$34,(Setup!$O$34+AW$1)*Setup!$N$34))&lt;Setup!$D$5),"",IF(Setup!$M$34&gt;0,Setup!$G$34+(Setup!$O$34+AW$1)*Setup!$M$34,EDATE(Setup!$G$34,(Setup!$O$34+AW$1)*Setup!$N$34))+$A11/1000)))</f>
        <v/>
      </c>
      <c r="AX11">
        <f>IF(OR(Setup!$E$34="",Setup!$G$34="",Setup!$F$34=""),"",IF(AND(Setup!$F$34="Once",AX$1&gt;0),"",IF(OR(IF(Setup!$M$34&gt;0,Setup!$G$34+(Setup!$O$34+AX$1)*Setup!$M$34,EDATE(Setup!$G$34,(Setup!$O$34+AX$1)*Setup!$N$34))&gt;Setup!$P$34,IF(Setup!$M$34&gt;0,Setup!$G$34+(Setup!$O$34+AX$1)*Setup!$M$34,EDATE(Setup!$G$34,(Setup!$O$34+AX$1)*Setup!$N$34))&lt;Setup!$D$5),"",IF(Setup!$M$34&gt;0,Setup!$G$34+(Setup!$O$34+AX$1)*Setup!$M$34,EDATE(Setup!$G$34,(Setup!$O$34+AX$1)*Setup!$N$34))+$A11/1000)))</f>
        <v/>
      </c>
      <c r="AY11">
        <f>IF(OR(Setup!$E$34="",Setup!$G$34="",Setup!$F$34=""),"",IF(AND(Setup!$F$34="Once",AY$1&gt;0),"",IF(OR(IF(Setup!$M$34&gt;0,Setup!$G$34+(Setup!$O$34+AY$1)*Setup!$M$34,EDATE(Setup!$G$34,(Setup!$O$34+AY$1)*Setup!$N$34))&gt;Setup!$P$34,IF(Setup!$M$34&gt;0,Setup!$G$34+(Setup!$O$34+AY$1)*Setup!$M$34,EDATE(Setup!$G$34,(Setup!$O$34+AY$1)*Setup!$N$34))&lt;Setup!$D$5),"",IF(Setup!$M$34&gt;0,Setup!$G$34+(Setup!$O$34+AY$1)*Setup!$M$34,EDATE(Setup!$G$34,(Setup!$O$34+AY$1)*Setup!$N$34))+$A11/1000)))</f>
        <v/>
      </c>
      <c r="AZ11">
        <f>IF(OR(Setup!$E$34="",Setup!$G$34="",Setup!$F$34=""),"",IF(AND(Setup!$F$34="Once",AZ$1&gt;0),"",IF(OR(IF(Setup!$M$34&gt;0,Setup!$G$34+(Setup!$O$34+AZ$1)*Setup!$M$34,EDATE(Setup!$G$34,(Setup!$O$34+AZ$1)*Setup!$N$34))&gt;Setup!$P$34,IF(Setup!$M$34&gt;0,Setup!$G$34+(Setup!$O$34+AZ$1)*Setup!$M$34,EDATE(Setup!$G$34,(Setup!$O$34+AZ$1)*Setup!$N$34))&lt;Setup!$D$5),"",IF(Setup!$M$34&gt;0,Setup!$G$34+(Setup!$O$34+AZ$1)*Setup!$M$34,EDATE(Setup!$G$34,(Setup!$O$34+AZ$1)*Setup!$N$34))+$A11/1000)))</f>
        <v/>
      </c>
      <c r="BA11">
        <f>IF(OR(Setup!$E$34="",Setup!$G$34="",Setup!$F$34=""),"",IF(AND(Setup!$F$34="Once",BA$1&gt;0),"",IF(OR(IF(Setup!$M$34&gt;0,Setup!$G$34+(Setup!$O$34+BA$1)*Setup!$M$34,EDATE(Setup!$G$34,(Setup!$O$34+BA$1)*Setup!$N$34))&gt;Setup!$P$34,IF(Setup!$M$34&gt;0,Setup!$G$34+(Setup!$O$34+BA$1)*Setup!$M$34,EDATE(Setup!$G$34,(Setup!$O$34+BA$1)*Setup!$N$34))&lt;Setup!$D$5),"",IF(Setup!$M$34&gt;0,Setup!$G$34+(Setup!$O$34+BA$1)*Setup!$M$34,EDATE(Setup!$G$34,(Setup!$O$34+BA$1)*Setup!$N$34))+$A11/1000)))</f>
        <v/>
      </c>
      <c r="BB11">
        <f>IF(OR(Setup!$E$34="",Setup!$G$34="",Setup!$F$34=""),"",IF(AND(Setup!$F$34="Once",BB$1&gt;0),"",IF(OR(IF(Setup!$M$34&gt;0,Setup!$G$34+(Setup!$O$34+BB$1)*Setup!$M$34,EDATE(Setup!$G$34,(Setup!$O$34+BB$1)*Setup!$N$34))&gt;Setup!$P$34,IF(Setup!$M$34&gt;0,Setup!$G$34+(Setup!$O$34+BB$1)*Setup!$M$34,EDATE(Setup!$G$34,(Setup!$O$34+BB$1)*Setup!$N$34))&lt;Setup!$D$5),"",IF(Setup!$M$34&gt;0,Setup!$G$34+(Setup!$O$34+BB$1)*Setup!$M$34,EDATE(Setup!$G$34,(Setup!$O$34+BB$1)*Setup!$N$34))+$A11/1000)))</f>
        <v/>
      </c>
    </row>
    <row r="12">
      <c r="A12" t="n">
        <v>11</v>
      </c>
      <c r="B12">
        <f>IF(OR(Setup!$E$35="",Setup!$G$35="",Setup!$F$35=""),"",IF(AND(Setup!$F$35="Once",B$1&gt;0),"",IF(OR(IF(Setup!$M$35&gt;0,Setup!$G$35+(Setup!$O$35+B$1)*Setup!$M$35,EDATE(Setup!$G$35,(Setup!$O$35+B$1)*Setup!$N$35))&gt;Setup!$P$35,IF(Setup!$M$35&gt;0,Setup!$G$35+(Setup!$O$35+B$1)*Setup!$M$35,EDATE(Setup!$G$35,(Setup!$O$35+B$1)*Setup!$N$35))&lt;Setup!$D$5),"",IF(Setup!$M$35&gt;0,Setup!$G$35+(Setup!$O$35+B$1)*Setup!$M$35,EDATE(Setup!$G$35,(Setup!$O$35+B$1)*Setup!$N$35))+$A12/1000)))</f>
        <v/>
      </c>
      <c r="C12">
        <f>IF(OR(Setup!$E$35="",Setup!$G$35="",Setup!$F$35=""),"",IF(AND(Setup!$F$35="Once",C$1&gt;0),"",IF(OR(IF(Setup!$M$35&gt;0,Setup!$G$35+(Setup!$O$35+C$1)*Setup!$M$35,EDATE(Setup!$G$35,(Setup!$O$35+C$1)*Setup!$N$35))&gt;Setup!$P$35,IF(Setup!$M$35&gt;0,Setup!$G$35+(Setup!$O$35+C$1)*Setup!$M$35,EDATE(Setup!$G$35,(Setup!$O$35+C$1)*Setup!$N$35))&lt;Setup!$D$5),"",IF(Setup!$M$35&gt;0,Setup!$G$35+(Setup!$O$35+C$1)*Setup!$M$35,EDATE(Setup!$G$35,(Setup!$O$35+C$1)*Setup!$N$35))+$A12/1000)))</f>
        <v/>
      </c>
      <c r="D12">
        <f>IF(OR(Setup!$E$35="",Setup!$G$35="",Setup!$F$35=""),"",IF(AND(Setup!$F$35="Once",D$1&gt;0),"",IF(OR(IF(Setup!$M$35&gt;0,Setup!$G$35+(Setup!$O$35+D$1)*Setup!$M$35,EDATE(Setup!$G$35,(Setup!$O$35+D$1)*Setup!$N$35))&gt;Setup!$P$35,IF(Setup!$M$35&gt;0,Setup!$G$35+(Setup!$O$35+D$1)*Setup!$M$35,EDATE(Setup!$G$35,(Setup!$O$35+D$1)*Setup!$N$35))&lt;Setup!$D$5),"",IF(Setup!$M$35&gt;0,Setup!$G$35+(Setup!$O$35+D$1)*Setup!$M$35,EDATE(Setup!$G$35,(Setup!$O$35+D$1)*Setup!$N$35))+$A12/1000)))</f>
        <v/>
      </c>
      <c r="E12">
        <f>IF(OR(Setup!$E$35="",Setup!$G$35="",Setup!$F$35=""),"",IF(AND(Setup!$F$35="Once",E$1&gt;0),"",IF(OR(IF(Setup!$M$35&gt;0,Setup!$G$35+(Setup!$O$35+E$1)*Setup!$M$35,EDATE(Setup!$G$35,(Setup!$O$35+E$1)*Setup!$N$35))&gt;Setup!$P$35,IF(Setup!$M$35&gt;0,Setup!$G$35+(Setup!$O$35+E$1)*Setup!$M$35,EDATE(Setup!$G$35,(Setup!$O$35+E$1)*Setup!$N$35))&lt;Setup!$D$5),"",IF(Setup!$M$35&gt;0,Setup!$G$35+(Setup!$O$35+E$1)*Setup!$M$35,EDATE(Setup!$G$35,(Setup!$O$35+E$1)*Setup!$N$35))+$A12/1000)))</f>
        <v/>
      </c>
      <c r="F12">
        <f>IF(OR(Setup!$E$35="",Setup!$G$35="",Setup!$F$35=""),"",IF(AND(Setup!$F$35="Once",F$1&gt;0),"",IF(OR(IF(Setup!$M$35&gt;0,Setup!$G$35+(Setup!$O$35+F$1)*Setup!$M$35,EDATE(Setup!$G$35,(Setup!$O$35+F$1)*Setup!$N$35))&gt;Setup!$P$35,IF(Setup!$M$35&gt;0,Setup!$G$35+(Setup!$O$35+F$1)*Setup!$M$35,EDATE(Setup!$G$35,(Setup!$O$35+F$1)*Setup!$N$35))&lt;Setup!$D$5),"",IF(Setup!$M$35&gt;0,Setup!$G$35+(Setup!$O$35+F$1)*Setup!$M$35,EDATE(Setup!$G$35,(Setup!$O$35+F$1)*Setup!$N$35))+$A12/1000)))</f>
        <v/>
      </c>
      <c r="G12">
        <f>IF(OR(Setup!$E$35="",Setup!$G$35="",Setup!$F$35=""),"",IF(AND(Setup!$F$35="Once",G$1&gt;0),"",IF(OR(IF(Setup!$M$35&gt;0,Setup!$G$35+(Setup!$O$35+G$1)*Setup!$M$35,EDATE(Setup!$G$35,(Setup!$O$35+G$1)*Setup!$N$35))&gt;Setup!$P$35,IF(Setup!$M$35&gt;0,Setup!$G$35+(Setup!$O$35+G$1)*Setup!$M$35,EDATE(Setup!$G$35,(Setup!$O$35+G$1)*Setup!$N$35))&lt;Setup!$D$5),"",IF(Setup!$M$35&gt;0,Setup!$G$35+(Setup!$O$35+G$1)*Setup!$M$35,EDATE(Setup!$G$35,(Setup!$O$35+G$1)*Setup!$N$35))+$A12/1000)))</f>
        <v/>
      </c>
      <c r="H12">
        <f>IF(OR(Setup!$E$35="",Setup!$G$35="",Setup!$F$35=""),"",IF(AND(Setup!$F$35="Once",H$1&gt;0),"",IF(OR(IF(Setup!$M$35&gt;0,Setup!$G$35+(Setup!$O$35+H$1)*Setup!$M$35,EDATE(Setup!$G$35,(Setup!$O$35+H$1)*Setup!$N$35))&gt;Setup!$P$35,IF(Setup!$M$35&gt;0,Setup!$G$35+(Setup!$O$35+H$1)*Setup!$M$35,EDATE(Setup!$G$35,(Setup!$O$35+H$1)*Setup!$N$35))&lt;Setup!$D$5),"",IF(Setup!$M$35&gt;0,Setup!$G$35+(Setup!$O$35+H$1)*Setup!$M$35,EDATE(Setup!$G$35,(Setup!$O$35+H$1)*Setup!$N$35))+$A12/1000)))</f>
        <v/>
      </c>
      <c r="I12">
        <f>IF(OR(Setup!$E$35="",Setup!$G$35="",Setup!$F$35=""),"",IF(AND(Setup!$F$35="Once",I$1&gt;0),"",IF(OR(IF(Setup!$M$35&gt;0,Setup!$G$35+(Setup!$O$35+I$1)*Setup!$M$35,EDATE(Setup!$G$35,(Setup!$O$35+I$1)*Setup!$N$35))&gt;Setup!$P$35,IF(Setup!$M$35&gt;0,Setup!$G$35+(Setup!$O$35+I$1)*Setup!$M$35,EDATE(Setup!$G$35,(Setup!$O$35+I$1)*Setup!$N$35))&lt;Setup!$D$5),"",IF(Setup!$M$35&gt;0,Setup!$G$35+(Setup!$O$35+I$1)*Setup!$M$35,EDATE(Setup!$G$35,(Setup!$O$35+I$1)*Setup!$N$35))+$A12/1000)))</f>
        <v/>
      </c>
      <c r="J12">
        <f>IF(OR(Setup!$E$35="",Setup!$G$35="",Setup!$F$35=""),"",IF(AND(Setup!$F$35="Once",J$1&gt;0),"",IF(OR(IF(Setup!$M$35&gt;0,Setup!$G$35+(Setup!$O$35+J$1)*Setup!$M$35,EDATE(Setup!$G$35,(Setup!$O$35+J$1)*Setup!$N$35))&gt;Setup!$P$35,IF(Setup!$M$35&gt;0,Setup!$G$35+(Setup!$O$35+J$1)*Setup!$M$35,EDATE(Setup!$G$35,(Setup!$O$35+J$1)*Setup!$N$35))&lt;Setup!$D$5),"",IF(Setup!$M$35&gt;0,Setup!$G$35+(Setup!$O$35+J$1)*Setup!$M$35,EDATE(Setup!$G$35,(Setup!$O$35+J$1)*Setup!$N$35))+$A12/1000)))</f>
        <v/>
      </c>
      <c r="K12">
        <f>IF(OR(Setup!$E$35="",Setup!$G$35="",Setup!$F$35=""),"",IF(AND(Setup!$F$35="Once",K$1&gt;0),"",IF(OR(IF(Setup!$M$35&gt;0,Setup!$G$35+(Setup!$O$35+K$1)*Setup!$M$35,EDATE(Setup!$G$35,(Setup!$O$35+K$1)*Setup!$N$35))&gt;Setup!$P$35,IF(Setup!$M$35&gt;0,Setup!$G$35+(Setup!$O$35+K$1)*Setup!$M$35,EDATE(Setup!$G$35,(Setup!$O$35+K$1)*Setup!$N$35))&lt;Setup!$D$5),"",IF(Setup!$M$35&gt;0,Setup!$G$35+(Setup!$O$35+K$1)*Setup!$M$35,EDATE(Setup!$G$35,(Setup!$O$35+K$1)*Setup!$N$35))+$A12/1000)))</f>
        <v/>
      </c>
      <c r="L12">
        <f>IF(OR(Setup!$E$35="",Setup!$G$35="",Setup!$F$35=""),"",IF(AND(Setup!$F$35="Once",L$1&gt;0),"",IF(OR(IF(Setup!$M$35&gt;0,Setup!$G$35+(Setup!$O$35+L$1)*Setup!$M$35,EDATE(Setup!$G$35,(Setup!$O$35+L$1)*Setup!$N$35))&gt;Setup!$P$35,IF(Setup!$M$35&gt;0,Setup!$G$35+(Setup!$O$35+L$1)*Setup!$M$35,EDATE(Setup!$G$35,(Setup!$O$35+L$1)*Setup!$N$35))&lt;Setup!$D$5),"",IF(Setup!$M$35&gt;0,Setup!$G$35+(Setup!$O$35+L$1)*Setup!$M$35,EDATE(Setup!$G$35,(Setup!$O$35+L$1)*Setup!$N$35))+$A12/1000)))</f>
        <v/>
      </c>
      <c r="M12">
        <f>IF(OR(Setup!$E$35="",Setup!$G$35="",Setup!$F$35=""),"",IF(AND(Setup!$F$35="Once",M$1&gt;0),"",IF(OR(IF(Setup!$M$35&gt;0,Setup!$G$35+(Setup!$O$35+M$1)*Setup!$M$35,EDATE(Setup!$G$35,(Setup!$O$35+M$1)*Setup!$N$35))&gt;Setup!$P$35,IF(Setup!$M$35&gt;0,Setup!$G$35+(Setup!$O$35+M$1)*Setup!$M$35,EDATE(Setup!$G$35,(Setup!$O$35+M$1)*Setup!$N$35))&lt;Setup!$D$5),"",IF(Setup!$M$35&gt;0,Setup!$G$35+(Setup!$O$35+M$1)*Setup!$M$35,EDATE(Setup!$G$35,(Setup!$O$35+M$1)*Setup!$N$35))+$A12/1000)))</f>
        <v/>
      </c>
      <c r="N12">
        <f>IF(OR(Setup!$E$35="",Setup!$G$35="",Setup!$F$35=""),"",IF(AND(Setup!$F$35="Once",N$1&gt;0),"",IF(OR(IF(Setup!$M$35&gt;0,Setup!$G$35+(Setup!$O$35+N$1)*Setup!$M$35,EDATE(Setup!$G$35,(Setup!$O$35+N$1)*Setup!$N$35))&gt;Setup!$P$35,IF(Setup!$M$35&gt;0,Setup!$G$35+(Setup!$O$35+N$1)*Setup!$M$35,EDATE(Setup!$G$35,(Setup!$O$35+N$1)*Setup!$N$35))&lt;Setup!$D$5),"",IF(Setup!$M$35&gt;0,Setup!$G$35+(Setup!$O$35+N$1)*Setup!$M$35,EDATE(Setup!$G$35,(Setup!$O$35+N$1)*Setup!$N$35))+$A12/1000)))</f>
        <v/>
      </c>
      <c r="O12">
        <f>IF(OR(Setup!$E$35="",Setup!$G$35="",Setup!$F$35=""),"",IF(AND(Setup!$F$35="Once",O$1&gt;0),"",IF(OR(IF(Setup!$M$35&gt;0,Setup!$G$35+(Setup!$O$35+O$1)*Setup!$M$35,EDATE(Setup!$G$35,(Setup!$O$35+O$1)*Setup!$N$35))&gt;Setup!$P$35,IF(Setup!$M$35&gt;0,Setup!$G$35+(Setup!$O$35+O$1)*Setup!$M$35,EDATE(Setup!$G$35,(Setup!$O$35+O$1)*Setup!$N$35))&lt;Setup!$D$5),"",IF(Setup!$M$35&gt;0,Setup!$G$35+(Setup!$O$35+O$1)*Setup!$M$35,EDATE(Setup!$G$35,(Setup!$O$35+O$1)*Setup!$N$35))+$A12/1000)))</f>
        <v/>
      </c>
      <c r="P12">
        <f>IF(OR(Setup!$E$35="",Setup!$G$35="",Setup!$F$35=""),"",IF(AND(Setup!$F$35="Once",P$1&gt;0),"",IF(OR(IF(Setup!$M$35&gt;0,Setup!$G$35+(Setup!$O$35+P$1)*Setup!$M$35,EDATE(Setup!$G$35,(Setup!$O$35+P$1)*Setup!$N$35))&gt;Setup!$P$35,IF(Setup!$M$35&gt;0,Setup!$G$35+(Setup!$O$35+P$1)*Setup!$M$35,EDATE(Setup!$G$35,(Setup!$O$35+P$1)*Setup!$N$35))&lt;Setup!$D$5),"",IF(Setup!$M$35&gt;0,Setup!$G$35+(Setup!$O$35+P$1)*Setup!$M$35,EDATE(Setup!$G$35,(Setup!$O$35+P$1)*Setup!$N$35))+$A12/1000)))</f>
        <v/>
      </c>
      <c r="Q12">
        <f>IF(OR(Setup!$E$35="",Setup!$G$35="",Setup!$F$35=""),"",IF(AND(Setup!$F$35="Once",Q$1&gt;0),"",IF(OR(IF(Setup!$M$35&gt;0,Setup!$G$35+(Setup!$O$35+Q$1)*Setup!$M$35,EDATE(Setup!$G$35,(Setup!$O$35+Q$1)*Setup!$N$35))&gt;Setup!$P$35,IF(Setup!$M$35&gt;0,Setup!$G$35+(Setup!$O$35+Q$1)*Setup!$M$35,EDATE(Setup!$G$35,(Setup!$O$35+Q$1)*Setup!$N$35))&lt;Setup!$D$5),"",IF(Setup!$M$35&gt;0,Setup!$G$35+(Setup!$O$35+Q$1)*Setup!$M$35,EDATE(Setup!$G$35,(Setup!$O$35+Q$1)*Setup!$N$35))+$A12/1000)))</f>
        <v/>
      </c>
      <c r="R12">
        <f>IF(OR(Setup!$E$35="",Setup!$G$35="",Setup!$F$35=""),"",IF(AND(Setup!$F$35="Once",R$1&gt;0),"",IF(OR(IF(Setup!$M$35&gt;0,Setup!$G$35+(Setup!$O$35+R$1)*Setup!$M$35,EDATE(Setup!$G$35,(Setup!$O$35+R$1)*Setup!$N$35))&gt;Setup!$P$35,IF(Setup!$M$35&gt;0,Setup!$G$35+(Setup!$O$35+R$1)*Setup!$M$35,EDATE(Setup!$G$35,(Setup!$O$35+R$1)*Setup!$N$35))&lt;Setup!$D$5),"",IF(Setup!$M$35&gt;0,Setup!$G$35+(Setup!$O$35+R$1)*Setup!$M$35,EDATE(Setup!$G$35,(Setup!$O$35+R$1)*Setup!$N$35))+$A12/1000)))</f>
        <v/>
      </c>
      <c r="S12">
        <f>IF(OR(Setup!$E$35="",Setup!$G$35="",Setup!$F$35=""),"",IF(AND(Setup!$F$35="Once",S$1&gt;0),"",IF(OR(IF(Setup!$M$35&gt;0,Setup!$G$35+(Setup!$O$35+S$1)*Setup!$M$35,EDATE(Setup!$G$35,(Setup!$O$35+S$1)*Setup!$N$35))&gt;Setup!$P$35,IF(Setup!$M$35&gt;0,Setup!$G$35+(Setup!$O$35+S$1)*Setup!$M$35,EDATE(Setup!$G$35,(Setup!$O$35+S$1)*Setup!$N$35))&lt;Setup!$D$5),"",IF(Setup!$M$35&gt;0,Setup!$G$35+(Setup!$O$35+S$1)*Setup!$M$35,EDATE(Setup!$G$35,(Setup!$O$35+S$1)*Setup!$N$35))+$A12/1000)))</f>
        <v/>
      </c>
      <c r="T12">
        <f>IF(OR(Setup!$E$35="",Setup!$G$35="",Setup!$F$35=""),"",IF(AND(Setup!$F$35="Once",T$1&gt;0),"",IF(OR(IF(Setup!$M$35&gt;0,Setup!$G$35+(Setup!$O$35+T$1)*Setup!$M$35,EDATE(Setup!$G$35,(Setup!$O$35+T$1)*Setup!$N$35))&gt;Setup!$P$35,IF(Setup!$M$35&gt;0,Setup!$G$35+(Setup!$O$35+T$1)*Setup!$M$35,EDATE(Setup!$G$35,(Setup!$O$35+T$1)*Setup!$N$35))&lt;Setup!$D$5),"",IF(Setup!$M$35&gt;0,Setup!$G$35+(Setup!$O$35+T$1)*Setup!$M$35,EDATE(Setup!$G$35,(Setup!$O$35+T$1)*Setup!$N$35))+$A12/1000)))</f>
        <v/>
      </c>
      <c r="U12">
        <f>IF(OR(Setup!$E$35="",Setup!$G$35="",Setup!$F$35=""),"",IF(AND(Setup!$F$35="Once",U$1&gt;0),"",IF(OR(IF(Setup!$M$35&gt;0,Setup!$G$35+(Setup!$O$35+U$1)*Setup!$M$35,EDATE(Setup!$G$35,(Setup!$O$35+U$1)*Setup!$N$35))&gt;Setup!$P$35,IF(Setup!$M$35&gt;0,Setup!$G$35+(Setup!$O$35+U$1)*Setup!$M$35,EDATE(Setup!$G$35,(Setup!$O$35+U$1)*Setup!$N$35))&lt;Setup!$D$5),"",IF(Setup!$M$35&gt;0,Setup!$G$35+(Setup!$O$35+U$1)*Setup!$M$35,EDATE(Setup!$G$35,(Setup!$O$35+U$1)*Setup!$N$35))+$A12/1000)))</f>
        <v/>
      </c>
      <c r="V12">
        <f>IF(OR(Setup!$E$35="",Setup!$G$35="",Setup!$F$35=""),"",IF(AND(Setup!$F$35="Once",V$1&gt;0),"",IF(OR(IF(Setup!$M$35&gt;0,Setup!$G$35+(Setup!$O$35+V$1)*Setup!$M$35,EDATE(Setup!$G$35,(Setup!$O$35+V$1)*Setup!$N$35))&gt;Setup!$P$35,IF(Setup!$M$35&gt;0,Setup!$G$35+(Setup!$O$35+V$1)*Setup!$M$35,EDATE(Setup!$G$35,(Setup!$O$35+V$1)*Setup!$N$35))&lt;Setup!$D$5),"",IF(Setup!$M$35&gt;0,Setup!$G$35+(Setup!$O$35+V$1)*Setup!$M$35,EDATE(Setup!$G$35,(Setup!$O$35+V$1)*Setup!$N$35))+$A12/1000)))</f>
        <v/>
      </c>
      <c r="W12">
        <f>IF(OR(Setup!$E$35="",Setup!$G$35="",Setup!$F$35=""),"",IF(AND(Setup!$F$35="Once",W$1&gt;0),"",IF(OR(IF(Setup!$M$35&gt;0,Setup!$G$35+(Setup!$O$35+W$1)*Setup!$M$35,EDATE(Setup!$G$35,(Setup!$O$35+W$1)*Setup!$N$35))&gt;Setup!$P$35,IF(Setup!$M$35&gt;0,Setup!$G$35+(Setup!$O$35+W$1)*Setup!$M$35,EDATE(Setup!$G$35,(Setup!$O$35+W$1)*Setup!$N$35))&lt;Setup!$D$5),"",IF(Setup!$M$35&gt;0,Setup!$G$35+(Setup!$O$35+W$1)*Setup!$M$35,EDATE(Setup!$G$35,(Setup!$O$35+W$1)*Setup!$N$35))+$A12/1000)))</f>
        <v/>
      </c>
      <c r="X12">
        <f>IF(OR(Setup!$E$35="",Setup!$G$35="",Setup!$F$35=""),"",IF(AND(Setup!$F$35="Once",X$1&gt;0),"",IF(OR(IF(Setup!$M$35&gt;0,Setup!$G$35+(Setup!$O$35+X$1)*Setup!$M$35,EDATE(Setup!$G$35,(Setup!$O$35+X$1)*Setup!$N$35))&gt;Setup!$P$35,IF(Setup!$M$35&gt;0,Setup!$G$35+(Setup!$O$35+X$1)*Setup!$M$35,EDATE(Setup!$G$35,(Setup!$O$35+X$1)*Setup!$N$35))&lt;Setup!$D$5),"",IF(Setup!$M$35&gt;0,Setup!$G$35+(Setup!$O$35+X$1)*Setup!$M$35,EDATE(Setup!$G$35,(Setup!$O$35+X$1)*Setup!$N$35))+$A12/1000)))</f>
        <v/>
      </c>
      <c r="Y12">
        <f>IF(OR(Setup!$E$35="",Setup!$G$35="",Setup!$F$35=""),"",IF(AND(Setup!$F$35="Once",Y$1&gt;0),"",IF(OR(IF(Setup!$M$35&gt;0,Setup!$G$35+(Setup!$O$35+Y$1)*Setup!$M$35,EDATE(Setup!$G$35,(Setup!$O$35+Y$1)*Setup!$N$35))&gt;Setup!$P$35,IF(Setup!$M$35&gt;0,Setup!$G$35+(Setup!$O$35+Y$1)*Setup!$M$35,EDATE(Setup!$G$35,(Setup!$O$35+Y$1)*Setup!$N$35))&lt;Setup!$D$5),"",IF(Setup!$M$35&gt;0,Setup!$G$35+(Setup!$O$35+Y$1)*Setup!$M$35,EDATE(Setup!$G$35,(Setup!$O$35+Y$1)*Setup!$N$35))+$A12/1000)))</f>
        <v/>
      </c>
      <c r="Z12">
        <f>IF(OR(Setup!$E$35="",Setup!$G$35="",Setup!$F$35=""),"",IF(AND(Setup!$F$35="Once",Z$1&gt;0),"",IF(OR(IF(Setup!$M$35&gt;0,Setup!$G$35+(Setup!$O$35+Z$1)*Setup!$M$35,EDATE(Setup!$G$35,(Setup!$O$35+Z$1)*Setup!$N$35))&gt;Setup!$P$35,IF(Setup!$M$35&gt;0,Setup!$G$35+(Setup!$O$35+Z$1)*Setup!$M$35,EDATE(Setup!$G$35,(Setup!$O$35+Z$1)*Setup!$N$35))&lt;Setup!$D$5),"",IF(Setup!$M$35&gt;0,Setup!$G$35+(Setup!$O$35+Z$1)*Setup!$M$35,EDATE(Setup!$G$35,(Setup!$O$35+Z$1)*Setup!$N$35))+$A12/1000)))</f>
        <v/>
      </c>
      <c r="AA12">
        <f>IF(OR(Setup!$E$35="",Setup!$G$35="",Setup!$F$35=""),"",IF(AND(Setup!$F$35="Once",AA$1&gt;0),"",IF(OR(IF(Setup!$M$35&gt;0,Setup!$G$35+(Setup!$O$35+AA$1)*Setup!$M$35,EDATE(Setup!$G$35,(Setup!$O$35+AA$1)*Setup!$N$35))&gt;Setup!$P$35,IF(Setup!$M$35&gt;0,Setup!$G$35+(Setup!$O$35+AA$1)*Setup!$M$35,EDATE(Setup!$G$35,(Setup!$O$35+AA$1)*Setup!$N$35))&lt;Setup!$D$5),"",IF(Setup!$M$35&gt;0,Setup!$G$35+(Setup!$O$35+AA$1)*Setup!$M$35,EDATE(Setup!$G$35,(Setup!$O$35+AA$1)*Setup!$N$35))+$A12/1000)))</f>
        <v/>
      </c>
      <c r="AB12">
        <f>IF(OR(Setup!$E$35="",Setup!$G$35="",Setup!$F$35=""),"",IF(AND(Setup!$F$35="Once",AB$1&gt;0),"",IF(OR(IF(Setup!$M$35&gt;0,Setup!$G$35+(Setup!$O$35+AB$1)*Setup!$M$35,EDATE(Setup!$G$35,(Setup!$O$35+AB$1)*Setup!$N$35))&gt;Setup!$P$35,IF(Setup!$M$35&gt;0,Setup!$G$35+(Setup!$O$35+AB$1)*Setup!$M$35,EDATE(Setup!$G$35,(Setup!$O$35+AB$1)*Setup!$N$35))&lt;Setup!$D$5),"",IF(Setup!$M$35&gt;0,Setup!$G$35+(Setup!$O$35+AB$1)*Setup!$M$35,EDATE(Setup!$G$35,(Setup!$O$35+AB$1)*Setup!$N$35))+$A12/1000)))</f>
        <v/>
      </c>
      <c r="AC12">
        <f>IF(OR(Setup!$E$35="",Setup!$G$35="",Setup!$F$35=""),"",IF(AND(Setup!$F$35="Once",AC$1&gt;0),"",IF(OR(IF(Setup!$M$35&gt;0,Setup!$G$35+(Setup!$O$35+AC$1)*Setup!$M$35,EDATE(Setup!$G$35,(Setup!$O$35+AC$1)*Setup!$N$35))&gt;Setup!$P$35,IF(Setup!$M$35&gt;0,Setup!$G$35+(Setup!$O$35+AC$1)*Setup!$M$35,EDATE(Setup!$G$35,(Setup!$O$35+AC$1)*Setup!$N$35))&lt;Setup!$D$5),"",IF(Setup!$M$35&gt;0,Setup!$G$35+(Setup!$O$35+AC$1)*Setup!$M$35,EDATE(Setup!$G$35,(Setup!$O$35+AC$1)*Setup!$N$35))+$A12/1000)))</f>
        <v/>
      </c>
      <c r="AD12">
        <f>IF(OR(Setup!$E$35="",Setup!$G$35="",Setup!$F$35=""),"",IF(AND(Setup!$F$35="Once",AD$1&gt;0),"",IF(OR(IF(Setup!$M$35&gt;0,Setup!$G$35+(Setup!$O$35+AD$1)*Setup!$M$35,EDATE(Setup!$G$35,(Setup!$O$35+AD$1)*Setup!$N$35))&gt;Setup!$P$35,IF(Setup!$M$35&gt;0,Setup!$G$35+(Setup!$O$35+AD$1)*Setup!$M$35,EDATE(Setup!$G$35,(Setup!$O$35+AD$1)*Setup!$N$35))&lt;Setup!$D$5),"",IF(Setup!$M$35&gt;0,Setup!$G$35+(Setup!$O$35+AD$1)*Setup!$M$35,EDATE(Setup!$G$35,(Setup!$O$35+AD$1)*Setup!$N$35))+$A12/1000)))</f>
        <v/>
      </c>
      <c r="AE12">
        <f>IF(OR(Setup!$E$35="",Setup!$G$35="",Setup!$F$35=""),"",IF(AND(Setup!$F$35="Once",AE$1&gt;0),"",IF(OR(IF(Setup!$M$35&gt;0,Setup!$G$35+(Setup!$O$35+AE$1)*Setup!$M$35,EDATE(Setup!$G$35,(Setup!$O$35+AE$1)*Setup!$N$35))&gt;Setup!$P$35,IF(Setup!$M$35&gt;0,Setup!$G$35+(Setup!$O$35+AE$1)*Setup!$M$35,EDATE(Setup!$G$35,(Setup!$O$35+AE$1)*Setup!$N$35))&lt;Setup!$D$5),"",IF(Setup!$M$35&gt;0,Setup!$G$35+(Setup!$O$35+AE$1)*Setup!$M$35,EDATE(Setup!$G$35,(Setup!$O$35+AE$1)*Setup!$N$35))+$A12/1000)))</f>
        <v/>
      </c>
      <c r="AF12">
        <f>IF(OR(Setup!$E$35="",Setup!$G$35="",Setup!$F$35=""),"",IF(AND(Setup!$F$35="Once",AF$1&gt;0),"",IF(OR(IF(Setup!$M$35&gt;0,Setup!$G$35+(Setup!$O$35+AF$1)*Setup!$M$35,EDATE(Setup!$G$35,(Setup!$O$35+AF$1)*Setup!$N$35))&gt;Setup!$P$35,IF(Setup!$M$35&gt;0,Setup!$G$35+(Setup!$O$35+AF$1)*Setup!$M$35,EDATE(Setup!$G$35,(Setup!$O$35+AF$1)*Setup!$N$35))&lt;Setup!$D$5),"",IF(Setup!$M$35&gt;0,Setup!$G$35+(Setup!$O$35+AF$1)*Setup!$M$35,EDATE(Setup!$G$35,(Setup!$O$35+AF$1)*Setup!$N$35))+$A12/1000)))</f>
        <v/>
      </c>
      <c r="AG12">
        <f>IF(OR(Setup!$E$35="",Setup!$G$35="",Setup!$F$35=""),"",IF(AND(Setup!$F$35="Once",AG$1&gt;0),"",IF(OR(IF(Setup!$M$35&gt;0,Setup!$G$35+(Setup!$O$35+AG$1)*Setup!$M$35,EDATE(Setup!$G$35,(Setup!$O$35+AG$1)*Setup!$N$35))&gt;Setup!$P$35,IF(Setup!$M$35&gt;0,Setup!$G$35+(Setup!$O$35+AG$1)*Setup!$M$35,EDATE(Setup!$G$35,(Setup!$O$35+AG$1)*Setup!$N$35))&lt;Setup!$D$5),"",IF(Setup!$M$35&gt;0,Setup!$G$35+(Setup!$O$35+AG$1)*Setup!$M$35,EDATE(Setup!$G$35,(Setup!$O$35+AG$1)*Setup!$N$35))+$A12/1000)))</f>
        <v/>
      </c>
      <c r="AH12">
        <f>IF(OR(Setup!$E$35="",Setup!$G$35="",Setup!$F$35=""),"",IF(AND(Setup!$F$35="Once",AH$1&gt;0),"",IF(OR(IF(Setup!$M$35&gt;0,Setup!$G$35+(Setup!$O$35+AH$1)*Setup!$M$35,EDATE(Setup!$G$35,(Setup!$O$35+AH$1)*Setup!$N$35))&gt;Setup!$P$35,IF(Setup!$M$35&gt;0,Setup!$G$35+(Setup!$O$35+AH$1)*Setup!$M$35,EDATE(Setup!$G$35,(Setup!$O$35+AH$1)*Setup!$N$35))&lt;Setup!$D$5),"",IF(Setup!$M$35&gt;0,Setup!$G$35+(Setup!$O$35+AH$1)*Setup!$M$35,EDATE(Setup!$G$35,(Setup!$O$35+AH$1)*Setup!$N$35))+$A12/1000)))</f>
        <v/>
      </c>
      <c r="AI12">
        <f>IF(OR(Setup!$E$35="",Setup!$G$35="",Setup!$F$35=""),"",IF(AND(Setup!$F$35="Once",AI$1&gt;0),"",IF(OR(IF(Setup!$M$35&gt;0,Setup!$G$35+(Setup!$O$35+AI$1)*Setup!$M$35,EDATE(Setup!$G$35,(Setup!$O$35+AI$1)*Setup!$N$35))&gt;Setup!$P$35,IF(Setup!$M$35&gt;0,Setup!$G$35+(Setup!$O$35+AI$1)*Setup!$M$35,EDATE(Setup!$G$35,(Setup!$O$35+AI$1)*Setup!$N$35))&lt;Setup!$D$5),"",IF(Setup!$M$35&gt;0,Setup!$G$35+(Setup!$O$35+AI$1)*Setup!$M$35,EDATE(Setup!$G$35,(Setup!$O$35+AI$1)*Setup!$N$35))+$A12/1000)))</f>
        <v/>
      </c>
      <c r="AJ12">
        <f>IF(OR(Setup!$E$35="",Setup!$G$35="",Setup!$F$35=""),"",IF(AND(Setup!$F$35="Once",AJ$1&gt;0),"",IF(OR(IF(Setup!$M$35&gt;0,Setup!$G$35+(Setup!$O$35+AJ$1)*Setup!$M$35,EDATE(Setup!$G$35,(Setup!$O$35+AJ$1)*Setup!$N$35))&gt;Setup!$P$35,IF(Setup!$M$35&gt;0,Setup!$G$35+(Setup!$O$35+AJ$1)*Setup!$M$35,EDATE(Setup!$G$35,(Setup!$O$35+AJ$1)*Setup!$N$35))&lt;Setup!$D$5),"",IF(Setup!$M$35&gt;0,Setup!$G$35+(Setup!$O$35+AJ$1)*Setup!$M$35,EDATE(Setup!$G$35,(Setup!$O$35+AJ$1)*Setup!$N$35))+$A12/1000)))</f>
        <v/>
      </c>
      <c r="AK12">
        <f>IF(OR(Setup!$E$35="",Setup!$G$35="",Setup!$F$35=""),"",IF(AND(Setup!$F$35="Once",AK$1&gt;0),"",IF(OR(IF(Setup!$M$35&gt;0,Setup!$G$35+(Setup!$O$35+AK$1)*Setup!$M$35,EDATE(Setup!$G$35,(Setup!$O$35+AK$1)*Setup!$N$35))&gt;Setup!$P$35,IF(Setup!$M$35&gt;0,Setup!$G$35+(Setup!$O$35+AK$1)*Setup!$M$35,EDATE(Setup!$G$35,(Setup!$O$35+AK$1)*Setup!$N$35))&lt;Setup!$D$5),"",IF(Setup!$M$35&gt;0,Setup!$G$35+(Setup!$O$35+AK$1)*Setup!$M$35,EDATE(Setup!$G$35,(Setup!$O$35+AK$1)*Setup!$N$35))+$A12/1000)))</f>
        <v/>
      </c>
      <c r="AL12">
        <f>IF(OR(Setup!$E$35="",Setup!$G$35="",Setup!$F$35=""),"",IF(AND(Setup!$F$35="Once",AL$1&gt;0),"",IF(OR(IF(Setup!$M$35&gt;0,Setup!$G$35+(Setup!$O$35+AL$1)*Setup!$M$35,EDATE(Setup!$G$35,(Setup!$O$35+AL$1)*Setup!$N$35))&gt;Setup!$P$35,IF(Setup!$M$35&gt;0,Setup!$G$35+(Setup!$O$35+AL$1)*Setup!$M$35,EDATE(Setup!$G$35,(Setup!$O$35+AL$1)*Setup!$N$35))&lt;Setup!$D$5),"",IF(Setup!$M$35&gt;0,Setup!$G$35+(Setup!$O$35+AL$1)*Setup!$M$35,EDATE(Setup!$G$35,(Setup!$O$35+AL$1)*Setup!$N$35))+$A12/1000)))</f>
        <v/>
      </c>
      <c r="AM12">
        <f>IF(OR(Setup!$E$35="",Setup!$G$35="",Setup!$F$35=""),"",IF(AND(Setup!$F$35="Once",AM$1&gt;0),"",IF(OR(IF(Setup!$M$35&gt;0,Setup!$G$35+(Setup!$O$35+AM$1)*Setup!$M$35,EDATE(Setup!$G$35,(Setup!$O$35+AM$1)*Setup!$N$35))&gt;Setup!$P$35,IF(Setup!$M$35&gt;0,Setup!$G$35+(Setup!$O$35+AM$1)*Setup!$M$35,EDATE(Setup!$G$35,(Setup!$O$35+AM$1)*Setup!$N$35))&lt;Setup!$D$5),"",IF(Setup!$M$35&gt;0,Setup!$G$35+(Setup!$O$35+AM$1)*Setup!$M$35,EDATE(Setup!$G$35,(Setup!$O$35+AM$1)*Setup!$N$35))+$A12/1000)))</f>
        <v/>
      </c>
      <c r="AN12">
        <f>IF(OR(Setup!$E$35="",Setup!$G$35="",Setup!$F$35=""),"",IF(AND(Setup!$F$35="Once",AN$1&gt;0),"",IF(OR(IF(Setup!$M$35&gt;0,Setup!$G$35+(Setup!$O$35+AN$1)*Setup!$M$35,EDATE(Setup!$G$35,(Setup!$O$35+AN$1)*Setup!$N$35))&gt;Setup!$P$35,IF(Setup!$M$35&gt;0,Setup!$G$35+(Setup!$O$35+AN$1)*Setup!$M$35,EDATE(Setup!$G$35,(Setup!$O$35+AN$1)*Setup!$N$35))&lt;Setup!$D$5),"",IF(Setup!$M$35&gt;0,Setup!$G$35+(Setup!$O$35+AN$1)*Setup!$M$35,EDATE(Setup!$G$35,(Setup!$O$35+AN$1)*Setup!$N$35))+$A12/1000)))</f>
        <v/>
      </c>
      <c r="AO12">
        <f>IF(OR(Setup!$E$35="",Setup!$G$35="",Setup!$F$35=""),"",IF(AND(Setup!$F$35="Once",AO$1&gt;0),"",IF(OR(IF(Setup!$M$35&gt;0,Setup!$G$35+(Setup!$O$35+AO$1)*Setup!$M$35,EDATE(Setup!$G$35,(Setup!$O$35+AO$1)*Setup!$N$35))&gt;Setup!$P$35,IF(Setup!$M$35&gt;0,Setup!$G$35+(Setup!$O$35+AO$1)*Setup!$M$35,EDATE(Setup!$G$35,(Setup!$O$35+AO$1)*Setup!$N$35))&lt;Setup!$D$5),"",IF(Setup!$M$35&gt;0,Setup!$G$35+(Setup!$O$35+AO$1)*Setup!$M$35,EDATE(Setup!$G$35,(Setup!$O$35+AO$1)*Setup!$N$35))+$A12/1000)))</f>
        <v/>
      </c>
      <c r="AP12">
        <f>IF(OR(Setup!$E$35="",Setup!$G$35="",Setup!$F$35=""),"",IF(AND(Setup!$F$35="Once",AP$1&gt;0),"",IF(OR(IF(Setup!$M$35&gt;0,Setup!$G$35+(Setup!$O$35+AP$1)*Setup!$M$35,EDATE(Setup!$G$35,(Setup!$O$35+AP$1)*Setup!$N$35))&gt;Setup!$P$35,IF(Setup!$M$35&gt;0,Setup!$G$35+(Setup!$O$35+AP$1)*Setup!$M$35,EDATE(Setup!$G$35,(Setup!$O$35+AP$1)*Setup!$N$35))&lt;Setup!$D$5),"",IF(Setup!$M$35&gt;0,Setup!$G$35+(Setup!$O$35+AP$1)*Setup!$M$35,EDATE(Setup!$G$35,(Setup!$O$35+AP$1)*Setup!$N$35))+$A12/1000)))</f>
        <v/>
      </c>
      <c r="AQ12">
        <f>IF(OR(Setup!$E$35="",Setup!$G$35="",Setup!$F$35=""),"",IF(AND(Setup!$F$35="Once",AQ$1&gt;0),"",IF(OR(IF(Setup!$M$35&gt;0,Setup!$G$35+(Setup!$O$35+AQ$1)*Setup!$M$35,EDATE(Setup!$G$35,(Setup!$O$35+AQ$1)*Setup!$N$35))&gt;Setup!$P$35,IF(Setup!$M$35&gt;0,Setup!$G$35+(Setup!$O$35+AQ$1)*Setup!$M$35,EDATE(Setup!$G$35,(Setup!$O$35+AQ$1)*Setup!$N$35))&lt;Setup!$D$5),"",IF(Setup!$M$35&gt;0,Setup!$G$35+(Setup!$O$35+AQ$1)*Setup!$M$35,EDATE(Setup!$G$35,(Setup!$O$35+AQ$1)*Setup!$N$35))+$A12/1000)))</f>
        <v/>
      </c>
      <c r="AR12">
        <f>IF(OR(Setup!$E$35="",Setup!$G$35="",Setup!$F$35=""),"",IF(AND(Setup!$F$35="Once",AR$1&gt;0),"",IF(OR(IF(Setup!$M$35&gt;0,Setup!$G$35+(Setup!$O$35+AR$1)*Setup!$M$35,EDATE(Setup!$G$35,(Setup!$O$35+AR$1)*Setup!$N$35))&gt;Setup!$P$35,IF(Setup!$M$35&gt;0,Setup!$G$35+(Setup!$O$35+AR$1)*Setup!$M$35,EDATE(Setup!$G$35,(Setup!$O$35+AR$1)*Setup!$N$35))&lt;Setup!$D$5),"",IF(Setup!$M$35&gt;0,Setup!$G$35+(Setup!$O$35+AR$1)*Setup!$M$35,EDATE(Setup!$G$35,(Setup!$O$35+AR$1)*Setup!$N$35))+$A12/1000)))</f>
        <v/>
      </c>
      <c r="AS12">
        <f>IF(OR(Setup!$E$35="",Setup!$G$35="",Setup!$F$35=""),"",IF(AND(Setup!$F$35="Once",AS$1&gt;0),"",IF(OR(IF(Setup!$M$35&gt;0,Setup!$G$35+(Setup!$O$35+AS$1)*Setup!$M$35,EDATE(Setup!$G$35,(Setup!$O$35+AS$1)*Setup!$N$35))&gt;Setup!$P$35,IF(Setup!$M$35&gt;0,Setup!$G$35+(Setup!$O$35+AS$1)*Setup!$M$35,EDATE(Setup!$G$35,(Setup!$O$35+AS$1)*Setup!$N$35))&lt;Setup!$D$5),"",IF(Setup!$M$35&gt;0,Setup!$G$35+(Setup!$O$35+AS$1)*Setup!$M$35,EDATE(Setup!$G$35,(Setup!$O$35+AS$1)*Setup!$N$35))+$A12/1000)))</f>
        <v/>
      </c>
      <c r="AT12">
        <f>IF(OR(Setup!$E$35="",Setup!$G$35="",Setup!$F$35=""),"",IF(AND(Setup!$F$35="Once",AT$1&gt;0),"",IF(OR(IF(Setup!$M$35&gt;0,Setup!$G$35+(Setup!$O$35+AT$1)*Setup!$M$35,EDATE(Setup!$G$35,(Setup!$O$35+AT$1)*Setup!$N$35))&gt;Setup!$P$35,IF(Setup!$M$35&gt;0,Setup!$G$35+(Setup!$O$35+AT$1)*Setup!$M$35,EDATE(Setup!$G$35,(Setup!$O$35+AT$1)*Setup!$N$35))&lt;Setup!$D$5),"",IF(Setup!$M$35&gt;0,Setup!$G$35+(Setup!$O$35+AT$1)*Setup!$M$35,EDATE(Setup!$G$35,(Setup!$O$35+AT$1)*Setup!$N$35))+$A12/1000)))</f>
        <v/>
      </c>
      <c r="AU12">
        <f>IF(OR(Setup!$E$35="",Setup!$G$35="",Setup!$F$35=""),"",IF(AND(Setup!$F$35="Once",AU$1&gt;0),"",IF(OR(IF(Setup!$M$35&gt;0,Setup!$G$35+(Setup!$O$35+AU$1)*Setup!$M$35,EDATE(Setup!$G$35,(Setup!$O$35+AU$1)*Setup!$N$35))&gt;Setup!$P$35,IF(Setup!$M$35&gt;0,Setup!$G$35+(Setup!$O$35+AU$1)*Setup!$M$35,EDATE(Setup!$G$35,(Setup!$O$35+AU$1)*Setup!$N$35))&lt;Setup!$D$5),"",IF(Setup!$M$35&gt;0,Setup!$G$35+(Setup!$O$35+AU$1)*Setup!$M$35,EDATE(Setup!$G$35,(Setup!$O$35+AU$1)*Setup!$N$35))+$A12/1000)))</f>
        <v/>
      </c>
      <c r="AV12">
        <f>IF(OR(Setup!$E$35="",Setup!$G$35="",Setup!$F$35=""),"",IF(AND(Setup!$F$35="Once",AV$1&gt;0),"",IF(OR(IF(Setup!$M$35&gt;0,Setup!$G$35+(Setup!$O$35+AV$1)*Setup!$M$35,EDATE(Setup!$G$35,(Setup!$O$35+AV$1)*Setup!$N$35))&gt;Setup!$P$35,IF(Setup!$M$35&gt;0,Setup!$G$35+(Setup!$O$35+AV$1)*Setup!$M$35,EDATE(Setup!$G$35,(Setup!$O$35+AV$1)*Setup!$N$35))&lt;Setup!$D$5),"",IF(Setup!$M$35&gt;0,Setup!$G$35+(Setup!$O$35+AV$1)*Setup!$M$35,EDATE(Setup!$G$35,(Setup!$O$35+AV$1)*Setup!$N$35))+$A12/1000)))</f>
        <v/>
      </c>
      <c r="AW12">
        <f>IF(OR(Setup!$E$35="",Setup!$G$35="",Setup!$F$35=""),"",IF(AND(Setup!$F$35="Once",AW$1&gt;0),"",IF(OR(IF(Setup!$M$35&gt;0,Setup!$G$35+(Setup!$O$35+AW$1)*Setup!$M$35,EDATE(Setup!$G$35,(Setup!$O$35+AW$1)*Setup!$N$35))&gt;Setup!$P$35,IF(Setup!$M$35&gt;0,Setup!$G$35+(Setup!$O$35+AW$1)*Setup!$M$35,EDATE(Setup!$G$35,(Setup!$O$35+AW$1)*Setup!$N$35))&lt;Setup!$D$5),"",IF(Setup!$M$35&gt;0,Setup!$G$35+(Setup!$O$35+AW$1)*Setup!$M$35,EDATE(Setup!$G$35,(Setup!$O$35+AW$1)*Setup!$N$35))+$A12/1000)))</f>
        <v/>
      </c>
      <c r="AX12">
        <f>IF(OR(Setup!$E$35="",Setup!$G$35="",Setup!$F$35=""),"",IF(AND(Setup!$F$35="Once",AX$1&gt;0),"",IF(OR(IF(Setup!$M$35&gt;0,Setup!$G$35+(Setup!$O$35+AX$1)*Setup!$M$35,EDATE(Setup!$G$35,(Setup!$O$35+AX$1)*Setup!$N$35))&gt;Setup!$P$35,IF(Setup!$M$35&gt;0,Setup!$G$35+(Setup!$O$35+AX$1)*Setup!$M$35,EDATE(Setup!$G$35,(Setup!$O$35+AX$1)*Setup!$N$35))&lt;Setup!$D$5),"",IF(Setup!$M$35&gt;0,Setup!$G$35+(Setup!$O$35+AX$1)*Setup!$M$35,EDATE(Setup!$G$35,(Setup!$O$35+AX$1)*Setup!$N$35))+$A12/1000)))</f>
        <v/>
      </c>
      <c r="AY12">
        <f>IF(OR(Setup!$E$35="",Setup!$G$35="",Setup!$F$35=""),"",IF(AND(Setup!$F$35="Once",AY$1&gt;0),"",IF(OR(IF(Setup!$M$35&gt;0,Setup!$G$35+(Setup!$O$35+AY$1)*Setup!$M$35,EDATE(Setup!$G$35,(Setup!$O$35+AY$1)*Setup!$N$35))&gt;Setup!$P$35,IF(Setup!$M$35&gt;0,Setup!$G$35+(Setup!$O$35+AY$1)*Setup!$M$35,EDATE(Setup!$G$35,(Setup!$O$35+AY$1)*Setup!$N$35))&lt;Setup!$D$5),"",IF(Setup!$M$35&gt;0,Setup!$G$35+(Setup!$O$35+AY$1)*Setup!$M$35,EDATE(Setup!$G$35,(Setup!$O$35+AY$1)*Setup!$N$35))+$A12/1000)))</f>
        <v/>
      </c>
      <c r="AZ12">
        <f>IF(OR(Setup!$E$35="",Setup!$G$35="",Setup!$F$35=""),"",IF(AND(Setup!$F$35="Once",AZ$1&gt;0),"",IF(OR(IF(Setup!$M$35&gt;0,Setup!$G$35+(Setup!$O$35+AZ$1)*Setup!$M$35,EDATE(Setup!$G$35,(Setup!$O$35+AZ$1)*Setup!$N$35))&gt;Setup!$P$35,IF(Setup!$M$35&gt;0,Setup!$G$35+(Setup!$O$35+AZ$1)*Setup!$M$35,EDATE(Setup!$G$35,(Setup!$O$35+AZ$1)*Setup!$N$35))&lt;Setup!$D$5),"",IF(Setup!$M$35&gt;0,Setup!$G$35+(Setup!$O$35+AZ$1)*Setup!$M$35,EDATE(Setup!$G$35,(Setup!$O$35+AZ$1)*Setup!$N$35))+$A12/1000)))</f>
        <v/>
      </c>
      <c r="BA12">
        <f>IF(OR(Setup!$E$35="",Setup!$G$35="",Setup!$F$35=""),"",IF(AND(Setup!$F$35="Once",BA$1&gt;0),"",IF(OR(IF(Setup!$M$35&gt;0,Setup!$G$35+(Setup!$O$35+BA$1)*Setup!$M$35,EDATE(Setup!$G$35,(Setup!$O$35+BA$1)*Setup!$N$35))&gt;Setup!$P$35,IF(Setup!$M$35&gt;0,Setup!$G$35+(Setup!$O$35+BA$1)*Setup!$M$35,EDATE(Setup!$G$35,(Setup!$O$35+BA$1)*Setup!$N$35))&lt;Setup!$D$5),"",IF(Setup!$M$35&gt;0,Setup!$G$35+(Setup!$O$35+BA$1)*Setup!$M$35,EDATE(Setup!$G$35,(Setup!$O$35+BA$1)*Setup!$N$35))+$A12/1000)))</f>
        <v/>
      </c>
      <c r="BB12">
        <f>IF(OR(Setup!$E$35="",Setup!$G$35="",Setup!$F$35=""),"",IF(AND(Setup!$F$35="Once",BB$1&gt;0),"",IF(OR(IF(Setup!$M$35&gt;0,Setup!$G$35+(Setup!$O$35+BB$1)*Setup!$M$35,EDATE(Setup!$G$35,(Setup!$O$35+BB$1)*Setup!$N$35))&gt;Setup!$P$35,IF(Setup!$M$35&gt;0,Setup!$G$35+(Setup!$O$35+BB$1)*Setup!$M$35,EDATE(Setup!$G$35,(Setup!$O$35+BB$1)*Setup!$N$35))&lt;Setup!$D$5),"",IF(Setup!$M$35&gt;0,Setup!$G$35+(Setup!$O$35+BB$1)*Setup!$M$35,EDATE(Setup!$G$35,(Setup!$O$35+BB$1)*Setup!$N$35))+$A12/1000)))</f>
        <v/>
      </c>
    </row>
    <row r="13">
      <c r="A13" t="n">
        <v>12</v>
      </c>
      <c r="B13">
        <f>IF(OR(Setup!$E$36="",Setup!$G$36="",Setup!$F$36=""),"",IF(AND(Setup!$F$36="Once",B$1&gt;0),"",IF(OR(IF(Setup!$M$36&gt;0,Setup!$G$36+(Setup!$O$36+B$1)*Setup!$M$36,EDATE(Setup!$G$36,(Setup!$O$36+B$1)*Setup!$N$36))&gt;Setup!$P$36,IF(Setup!$M$36&gt;0,Setup!$G$36+(Setup!$O$36+B$1)*Setup!$M$36,EDATE(Setup!$G$36,(Setup!$O$36+B$1)*Setup!$N$36))&lt;Setup!$D$5),"",IF(Setup!$M$36&gt;0,Setup!$G$36+(Setup!$O$36+B$1)*Setup!$M$36,EDATE(Setup!$G$36,(Setup!$O$36+B$1)*Setup!$N$36))+$A13/1000)))</f>
        <v/>
      </c>
      <c r="C13">
        <f>IF(OR(Setup!$E$36="",Setup!$G$36="",Setup!$F$36=""),"",IF(AND(Setup!$F$36="Once",C$1&gt;0),"",IF(OR(IF(Setup!$M$36&gt;0,Setup!$G$36+(Setup!$O$36+C$1)*Setup!$M$36,EDATE(Setup!$G$36,(Setup!$O$36+C$1)*Setup!$N$36))&gt;Setup!$P$36,IF(Setup!$M$36&gt;0,Setup!$G$36+(Setup!$O$36+C$1)*Setup!$M$36,EDATE(Setup!$G$36,(Setup!$O$36+C$1)*Setup!$N$36))&lt;Setup!$D$5),"",IF(Setup!$M$36&gt;0,Setup!$G$36+(Setup!$O$36+C$1)*Setup!$M$36,EDATE(Setup!$G$36,(Setup!$O$36+C$1)*Setup!$N$36))+$A13/1000)))</f>
        <v/>
      </c>
      <c r="D13">
        <f>IF(OR(Setup!$E$36="",Setup!$G$36="",Setup!$F$36=""),"",IF(AND(Setup!$F$36="Once",D$1&gt;0),"",IF(OR(IF(Setup!$M$36&gt;0,Setup!$G$36+(Setup!$O$36+D$1)*Setup!$M$36,EDATE(Setup!$G$36,(Setup!$O$36+D$1)*Setup!$N$36))&gt;Setup!$P$36,IF(Setup!$M$36&gt;0,Setup!$G$36+(Setup!$O$36+D$1)*Setup!$M$36,EDATE(Setup!$G$36,(Setup!$O$36+D$1)*Setup!$N$36))&lt;Setup!$D$5),"",IF(Setup!$M$36&gt;0,Setup!$G$36+(Setup!$O$36+D$1)*Setup!$M$36,EDATE(Setup!$G$36,(Setup!$O$36+D$1)*Setup!$N$36))+$A13/1000)))</f>
        <v/>
      </c>
      <c r="E13">
        <f>IF(OR(Setup!$E$36="",Setup!$G$36="",Setup!$F$36=""),"",IF(AND(Setup!$F$36="Once",E$1&gt;0),"",IF(OR(IF(Setup!$M$36&gt;0,Setup!$G$36+(Setup!$O$36+E$1)*Setup!$M$36,EDATE(Setup!$G$36,(Setup!$O$36+E$1)*Setup!$N$36))&gt;Setup!$P$36,IF(Setup!$M$36&gt;0,Setup!$G$36+(Setup!$O$36+E$1)*Setup!$M$36,EDATE(Setup!$G$36,(Setup!$O$36+E$1)*Setup!$N$36))&lt;Setup!$D$5),"",IF(Setup!$M$36&gt;0,Setup!$G$36+(Setup!$O$36+E$1)*Setup!$M$36,EDATE(Setup!$G$36,(Setup!$O$36+E$1)*Setup!$N$36))+$A13/1000)))</f>
        <v/>
      </c>
      <c r="F13">
        <f>IF(OR(Setup!$E$36="",Setup!$G$36="",Setup!$F$36=""),"",IF(AND(Setup!$F$36="Once",F$1&gt;0),"",IF(OR(IF(Setup!$M$36&gt;0,Setup!$G$36+(Setup!$O$36+F$1)*Setup!$M$36,EDATE(Setup!$G$36,(Setup!$O$36+F$1)*Setup!$N$36))&gt;Setup!$P$36,IF(Setup!$M$36&gt;0,Setup!$G$36+(Setup!$O$36+F$1)*Setup!$M$36,EDATE(Setup!$G$36,(Setup!$O$36+F$1)*Setup!$N$36))&lt;Setup!$D$5),"",IF(Setup!$M$36&gt;0,Setup!$G$36+(Setup!$O$36+F$1)*Setup!$M$36,EDATE(Setup!$G$36,(Setup!$O$36+F$1)*Setup!$N$36))+$A13/1000)))</f>
        <v/>
      </c>
      <c r="G13">
        <f>IF(OR(Setup!$E$36="",Setup!$G$36="",Setup!$F$36=""),"",IF(AND(Setup!$F$36="Once",G$1&gt;0),"",IF(OR(IF(Setup!$M$36&gt;0,Setup!$G$36+(Setup!$O$36+G$1)*Setup!$M$36,EDATE(Setup!$G$36,(Setup!$O$36+G$1)*Setup!$N$36))&gt;Setup!$P$36,IF(Setup!$M$36&gt;0,Setup!$G$36+(Setup!$O$36+G$1)*Setup!$M$36,EDATE(Setup!$G$36,(Setup!$O$36+G$1)*Setup!$N$36))&lt;Setup!$D$5),"",IF(Setup!$M$36&gt;0,Setup!$G$36+(Setup!$O$36+G$1)*Setup!$M$36,EDATE(Setup!$G$36,(Setup!$O$36+G$1)*Setup!$N$36))+$A13/1000)))</f>
        <v/>
      </c>
      <c r="H13">
        <f>IF(OR(Setup!$E$36="",Setup!$G$36="",Setup!$F$36=""),"",IF(AND(Setup!$F$36="Once",H$1&gt;0),"",IF(OR(IF(Setup!$M$36&gt;0,Setup!$G$36+(Setup!$O$36+H$1)*Setup!$M$36,EDATE(Setup!$G$36,(Setup!$O$36+H$1)*Setup!$N$36))&gt;Setup!$P$36,IF(Setup!$M$36&gt;0,Setup!$G$36+(Setup!$O$36+H$1)*Setup!$M$36,EDATE(Setup!$G$36,(Setup!$O$36+H$1)*Setup!$N$36))&lt;Setup!$D$5),"",IF(Setup!$M$36&gt;0,Setup!$G$36+(Setup!$O$36+H$1)*Setup!$M$36,EDATE(Setup!$G$36,(Setup!$O$36+H$1)*Setup!$N$36))+$A13/1000)))</f>
        <v/>
      </c>
      <c r="I13">
        <f>IF(OR(Setup!$E$36="",Setup!$G$36="",Setup!$F$36=""),"",IF(AND(Setup!$F$36="Once",I$1&gt;0),"",IF(OR(IF(Setup!$M$36&gt;0,Setup!$G$36+(Setup!$O$36+I$1)*Setup!$M$36,EDATE(Setup!$G$36,(Setup!$O$36+I$1)*Setup!$N$36))&gt;Setup!$P$36,IF(Setup!$M$36&gt;0,Setup!$G$36+(Setup!$O$36+I$1)*Setup!$M$36,EDATE(Setup!$G$36,(Setup!$O$36+I$1)*Setup!$N$36))&lt;Setup!$D$5),"",IF(Setup!$M$36&gt;0,Setup!$G$36+(Setup!$O$36+I$1)*Setup!$M$36,EDATE(Setup!$G$36,(Setup!$O$36+I$1)*Setup!$N$36))+$A13/1000)))</f>
        <v/>
      </c>
      <c r="J13">
        <f>IF(OR(Setup!$E$36="",Setup!$G$36="",Setup!$F$36=""),"",IF(AND(Setup!$F$36="Once",J$1&gt;0),"",IF(OR(IF(Setup!$M$36&gt;0,Setup!$G$36+(Setup!$O$36+J$1)*Setup!$M$36,EDATE(Setup!$G$36,(Setup!$O$36+J$1)*Setup!$N$36))&gt;Setup!$P$36,IF(Setup!$M$36&gt;0,Setup!$G$36+(Setup!$O$36+J$1)*Setup!$M$36,EDATE(Setup!$G$36,(Setup!$O$36+J$1)*Setup!$N$36))&lt;Setup!$D$5),"",IF(Setup!$M$36&gt;0,Setup!$G$36+(Setup!$O$36+J$1)*Setup!$M$36,EDATE(Setup!$G$36,(Setup!$O$36+J$1)*Setup!$N$36))+$A13/1000)))</f>
        <v/>
      </c>
      <c r="K13">
        <f>IF(OR(Setup!$E$36="",Setup!$G$36="",Setup!$F$36=""),"",IF(AND(Setup!$F$36="Once",K$1&gt;0),"",IF(OR(IF(Setup!$M$36&gt;0,Setup!$G$36+(Setup!$O$36+K$1)*Setup!$M$36,EDATE(Setup!$G$36,(Setup!$O$36+K$1)*Setup!$N$36))&gt;Setup!$P$36,IF(Setup!$M$36&gt;0,Setup!$G$36+(Setup!$O$36+K$1)*Setup!$M$36,EDATE(Setup!$G$36,(Setup!$O$36+K$1)*Setup!$N$36))&lt;Setup!$D$5),"",IF(Setup!$M$36&gt;0,Setup!$G$36+(Setup!$O$36+K$1)*Setup!$M$36,EDATE(Setup!$G$36,(Setup!$O$36+K$1)*Setup!$N$36))+$A13/1000)))</f>
        <v/>
      </c>
      <c r="L13">
        <f>IF(OR(Setup!$E$36="",Setup!$G$36="",Setup!$F$36=""),"",IF(AND(Setup!$F$36="Once",L$1&gt;0),"",IF(OR(IF(Setup!$M$36&gt;0,Setup!$G$36+(Setup!$O$36+L$1)*Setup!$M$36,EDATE(Setup!$G$36,(Setup!$O$36+L$1)*Setup!$N$36))&gt;Setup!$P$36,IF(Setup!$M$36&gt;0,Setup!$G$36+(Setup!$O$36+L$1)*Setup!$M$36,EDATE(Setup!$G$36,(Setup!$O$36+L$1)*Setup!$N$36))&lt;Setup!$D$5),"",IF(Setup!$M$36&gt;0,Setup!$G$36+(Setup!$O$36+L$1)*Setup!$M$36,EDATE(Setup!$G$36,(Setup!$O$36+L$1)*Setup!$N$36))+$A13/1000)))</f>
        <v/>
      </c>
      <c r="M13">
        <f>IF(OR(Setup!$E$36="",Setup!$G$36="",Setup!$F$36=""),"",IF(AND(Setup!$F$36="Once",M$1&gt;0),"",IF(OR(IF(Setup!$M$36&gt;0,Setup!$G$36+(Setup!$O$36+M$1)*Setup!$M$36,EDATE(Setup!$G$36,(Setup!$O$36+M$1)*Setup!$N$36))&gt;Setup!$P$36,IF(Setup!$M$36&gt;0,Setup!$G$36+(Setup!$O$36+M$1)*Setup!$M$36,EDATE(Setup!$G$36,(Setup!$O$36+M$1)*Setup!$N$36))&lt;Setup!$D$5),"",IF(Setup!$M$36&gt;0,Setup!$G$36+(Setup!$O$36+M$1)*Setup!$M$36,EDATE(Setup!$G$36,(Setup!$O$36+M$1)*Setup!$N$36))+$A13/1000)))</f>
        <v/>
      </c>
      <c r="N13">
        <f>IF(OR(Setup!$E$36="",Setup!$G$36="",Setup!$F$36=""),"",IF(AND(Setup!$F$36="Once",N$1&gt;0),"",IF(OR(IF(Setup!$M$36&gt;0,Setup!$G$36+(Setup!$O$36+N$1)*Setup!$M$36,EDATE(Setup!$G$36,(Setup!$O$36+N$1)*Setup!$N$36))&gt;Setup!$P$36,IF(Setup!$M$36&gt;0,Setup!$G$36+(Setup!$O$36+N$1)*Setup!$M$36,EDATE(Setup!$G$36,(Setup!$O$36+N$1)*Setup!$N$36))&lt;Setup!$D$5),"",IF(Setup!$M$36&gt;0,Setup!$G$36+(Setup!$O$36+N$1)*Setup!$M$36,EDATE(Setup!$G$36,(Setup!$O$36+N$1)*Setup!$N$36))+$A13/1000)))</f>
        <v/>
      </c>
      <c r="O13">
        <f>IF(OR(Setup!$E$36="",Setup!$G$36="",Setup!$F$36=""),"",IF(AND(Setup!$F$36="Once",O$1&gt;0),"",IF(OR(IF(Setup!$M$36&gt;0,Setup!$G$36+(Setup!$O$36+O$1)*Setup!$M$36,EDATE(Setup!$G$36,(Setup!$O$36+O$1)*Setup!$N$36))&gt;Setup!$P$36,IF(Setup!$M$36&gt;0,Setup!$G$36+(Setup!$O$36+O$1)*Setup!$M$36,EDATE(Setup!$G$36,(Setup!$O$36+O$1)*Setup!$N$36))&lt;Setup!$D$5),"",IF(Setup!$M$36&gt;0,Setup!$G$36+(Setup!$O$36+O$1)*Setup!$M$36,EDATE(Setup!$G$36,(Setup!$O$36+O$1)*Setup!$N$36))+$A13/1000)))</f>
        <v/>
      </c>
      <c r="P13">
        <f>IF(OR(Setup!$E$36="",Setup!$G$36="",Setup!$F$36=""),"",IF(AND(Setup!$F$36="Once",P$1&gt;0),"",IF(OR(IF(Setup!$M$36&gt;0,Setup!$G$36+(Setup!$O$36+P$1)*Setup!$M$36,EDATE(Setup!$G$36,(Setup!$O$36+P$1)*Setup!$N$36))&gt;Setup!$P$36,IF(Setup!$M$36&gt;0,Setup!$G$36+(Setup!$O$36+P$1)*Setup!$M$36,EDATE(Setup!$G$36,(Setup!$O$36+P$1)*Setup!$N$36))&lt;Setup!$D$5),"",IF(Setup!$M$36&gt;0,Setup!$G$36+(Setup!$O$36+P$1)*Setup!$M$36,EDATE(Setup!$G$36,(Setup!$O$36+P$1)*Setup!$N$36))+$A13/1000)))</f>
        <v/>
      </c>
      <c r="Q13">
        <f>IF(OR(Setup!$E$36="",Setup!$G$36="",Setup!$F$36=""),"",IF(AND(Setup!$F$36="Once",Q$1&gt;0),"",IF(OR(IF(Setup!$M$36&gt;0,Setup!$G$36+(Setup!$O$36+Q$1)*Setup!$M$36,EDATE(Setup!$G$36,(Setup!$O$36+Q$1)*Setup!$N$36))&gt;Setup!$P$36,IF(Setup!$M$36&gt;0,Setup!$G$36+(Setup!$O$36+Q$1)*Setup!$M$36,EDATE(Setup!$G$36,(Setup!$O$36+Q$1)*Setup!$N$36))&lt;Setup!$D$5),"",IF(Setup!$M$36&gt;0,Setup!$G$36+(Setup!$O$36+Q$1)*Setup!$M$36,EDATE(Setup!$G$36,(Setup!$O$36+Q$1)*Setup!$N$36))+$A13/1000)))</f>
        <v/>
      </c>
      <c r="R13">
        <f>IF(OR(Setup!$E$36="",Setup!$G$36="",Setup!$F$36=""),"",IF(AND(Setup!$F$36="Once",R$1&gt;0),"",IF(OR(IF(Setup!$M$36&gt;0,Setup!$G$36+(Setup!$O$36+R$1)*Setup!$M$36,EDATE(Setup!$G$36,(Setup!$O$36+R$1)*Setup!$N$36))&gt;Setup!$P$36,IF(Setup!$M$36&gt;0,Setup!$G$36+(Setup!$O$36+R$1)*Setup!$M$36,EDATE(Setup!$G$36,(Setup!$O$36+R$1)*Setup!$N$36))&lt;Setup!$D$5),"",IF(Setup!$M$36&gt;0,Setup!$G$36+(Setup!$O$36+R$1)*Setup!$M$36,EDATE(Setup!$G$36,(Setup!$O$36+R$1)*Setup!$N$36))+$A13/1000)))</f>
        <v/>
      </c>
      <c r="S13">
        <f>IF(OR(Setup!$E$36="",Setup!$G$36="",Setup!$F$36=""),"",IF(AND(Setup!$F$36="Once",S$1&gt;0),"",IF(OR(IF(Setup!$M$36&gt;0,Setup!$G$36+(Setup!$O$36+S$1)*Setup!$M$36,EDATE(Setup!$G$36,(Setup!$O$36+S$1)*Setup!$N$36))&gt;Setup!$P$36,IF(Setup!$M$36&gt;0,Setup!$G$36+(Setup!$O$36+S$1)*Setup!$M$36,EDATE(Setup!$G$36,(Setup!$O$36+S$1)*Setup!$N$36))&lt;Setup!$D$5),"",IF(Setup!$M$36&gt;0,Setup!$G$36+(Setup!$O$36+S$1)*Setup!$M$36,EDATE(Setup!$G$36,(Setup!$O$36+S$1)*Setup!$N$36))+$A13/1000)))</f>
        <v/>
      </c>
      <c r="T13">
        <f>IF(OR(Setup!$E$36="",Setup!$G$36="",Setup!$F$36=""),"",IF(AND(Setup!$F$36="Once",T$1&gt;0),"",IF(OR(IF(Setup!$M$36&gt;0,Setup!$G$36+(Setup!$O$36+T$1)*Setup!$M$36,EDATE(Setup!$G$36,(Setup!$O$36+T$1)*Setup!$N$36))&gt;Setup!$P$36,IF(Setup!$M$36&gt;0,Setup!$G$36+(Setup!$O$36+T$1)*Setup!$M$36,EDATE(Setup!$G$36,(Setup!$O$36+T$1)*Setup!$N$36))&lt;Setup!$D$5),"",IF(Setup!$M$36&gt;0,Setup!$G$36+(Setup!$O$36+T$1)*Setup!$M$36,EDATE(Setup!$G$36,(Setup!$O$36+T$1)*Setup!$N$36))+$A13/1000)))</f>
        <v/>
      </c>
      <c r="U13">
        <f>IF(OR(Setup!$E$36="",Setup!$G$36="",Setup!$F$36=""),"",IF(AND(Setup!$F$36="Once",U$1&gt;0),"",IF(OR(IF(Setup!$M$36&gt;0,Setup!$G$36+(Setup!$O$36+U$1)*Setup!$M$36,EDATE(Setup!$G$36,(Setup!$O$36+U$1)*Setup!$N$36))&gt;Setup!$P$36,IF(Setup!$M$36&gt;0,Setup!$G$36+(Setup!$O$36+U$1)*Setup!$M$36,EDATE(Setup!$G$36,(Setup!$O$36+U$1)*Setup!$N$36))&lt;Setup!$D$5),"",IF(Setup!$M$36&gt;0,Setup!$G$36+(Setup!$O$36+U$1)*Setup!$M$36,EDATE(Setup!$G$36,(Setup!$O$36+U$1)*Setup!$N$36))+$A13/1000)))</f>
        <v/>
      </c>
      <c r="V13">
        <f>IF(OR(Setup!$E$36="",Setup!$G$36="",Setup!$F$36=""),"",IF(AND(Setup!$F$36="Once",V$1&gt;0),"",IF(OR(IF(Setup!$M$36&gt;0,Setup!$G$36+(Setup!$O$36+V$1)*Setup!$M$36,EDATE(Setup!$G$36,(Setup!$O$36+V$1)*Setup!$N$36))&gt;Setup!$P$36,IF(Setup!$M$36&gt;0,Setup!$G$36+(Setup!$O$36+V$1)*Setup!$M$36,EDATE(Setup!$G$36,(Setup!$O$36+V$1)*Setup!$N$36))&lt;Setup!$D$5),"",IF(Setup!$M$36&gt;0,Setup!$G$36+(Setup!$O$36+V$1)*Setup!$M$36,EDATE(Setup!$G$36,(Setup!$O$36+V$1)*Setup!$N$36))+$A13/1000)))</f>
        <v/>
      </c>
      <c r="W13">
        <f>IF(OR(Setup!$E$36="",Setup!$G$36="",Setup!$F$36=""),"",IF(AND(Setup!$F$36="Once",W$1&gt;0),"",IF(OR(IF(Setup!$M$36&gt;0,Setup!$G$36+(Setup!$O$36+W$1)*Setup!$M$36,EDATE(Setup!$G$36,(Setup!$O$36+W$1)*Setup!$N$36))&gt;Setup!$P$36,IF(Setup!$M$36&gt;0,Setup!$G$36+(Setup!$O$36+W$1)*Setup!$M$36,EDATE(Setup!$G$36,(Setup!$O$36+W$1)*Setup!$N$36))&lt;Setup!$D$5),"",IF(Setup!$M$36&gt;0,Setup!$G$36+(Setup!$O$36+W$1)*Setup!$M$36,EDATE(Setup!$G$36,(Setup!$O$36+W$1)*Setup!$N$36))+$A13/1000)))</f>
        <v/>
      </c>
      <c r="X13">
        <f>IF(OR(Setup!$E$36="",Setup!$G$36="",Setup!$F$36=""),"",IF(AND(Setup!$F$36="Once",X$1&gt;0),"",IF(OR(IF(Setup!$M$36&gt;0,Setup!$G$36+(Setup!$O$36+X$1)*Setup!$M$36,EDATE(Setup!$G$36,(Setup!$O$36+X$1)*Setup!$N$36))&gt;Setup!$P$36,IF(Setup!$M$36&gt;0,Setup!$G$36+(Setup!$O$36+X$1)*Setup!$M$36,EDATE(Setup!$G$36,(Setup!$O$36+X$1)*Setup!$N$36))&lt;Setup!$D$5),"",IF(Setup!$M$36&gt;0,Setup!$G$36+(Setup!$O$36+X$1)*Setup!$M$36,EDATE(Setup!$G$36,(Setup!$O$36+X$1)*Setup!$N$36))+$A13/1000)))</f>
        <v/>
      </c>
      <c r="Y13">
        <f>IF(OR(Setup!$E$36="",Setup!$G$36="",Setup!$F$36=""),"",IF(AND(Setup!$F$36="Once",Y$1&gt;0),"",IF(OR(IF(Setup!$M$36&gt;0,Setup!$G$36+(Setup!$O$36+Y$1)*Setup!$M$36,EDATE(Setup!$G$36,(Setup!$O$36+Y$1)*Setup!$N$36))&gt;Setup!$P$36,IF(Setup!$M$36&gt;0,Setup!$G$36+(Setup!$O$36+Y$1)*Setup!$M$36,EDATE(Setup!$G$36,(Setup!$O$36+Y$1)*Setup!$N$36))&lt;Setup!$D$5),"",IF(Setup!$M$36&gt;0,Setup!$G$36+(Setup!$O$36+Y$1)*Setup!$M$36,EDATE(Setup!$G$36,(Setup!$O$36+Y$1)*Setup!$N$36))+$A13/1000)))</f>
        <v/>
      </c>
      <c r="Z13">
        <f>IF(OR(Setup!$E$36="",Setup!$G$36="",Setup!$F$36=""),"",IF(AND(Setup!$F$36="Once",Z$1&gt;0),"",IF(OR(IF(Setup!$M$36&gt;0,Setup!$G$36+(Setup!$O$36+Z$1)*Setup!$M$36,EDATE(Setup!$G$36,(Setup!$O$36+Z$1)*Setup!$N$36))&gt;Setup!$P$36,IF(Setup!$M$36&gt;0,Setup!$G$36+(Setup!$O$36+Z$1)*Setup!$M$36,EDATE(Setup!$G$36,(Setup!$O$36+Z$1)*Setup!$N$36))&lt;Setup!$D$5),"",IF(Setup!$M$36&gt;0,Setup!$G$36+(Setup!$O$36+Z$1)*Setup!$M$36,EDATE(Setup!$G$36,(Setup!$O$36+Z$1)*Setup!$N$36))+$A13/1000)))</f>
        <v/>
      </c>
      <c r="AA13">
        <f>IF(OR(Setup!$E$36="",Setup!$G$36="",Setup!$F$36=""),"",IF(AND(Setup!$F$36="Once",AA$1&gt;0),"",IF(OR(IF(Setup!$M$36&gt;0,Setup!$G$36+(Setup!$O$36+AA$1)*Setup!$M$36,EDATE(Setup!$G$36,(Setup!$O$36+AA$1)*Setup!$N$36))&gt;Setup!$P$36,IF(Setup!$M$36&gt;0,Setup!$G$36+(Setup!$O$36+AA$1)*Setup!$M$36,EDATE(Setup!$G$36,(Setup!$O$36+AA$1)*Setup!$N$36))&lt;Setup!$D$5),"",IF(Setup!$M$36&gt;0,Setup!$G$36+(Setup!$O$36+AA$1)*Setup!$M$36,EDATE(Setup!$G$36,(Setup!$O$36+AA$1)*Setup!$N$36))+$A13/1000)))</f>
        <v/>
      </c>
      <c r="AB13">
        <f>IF(OR(Setup!$E$36="",Setup!$G$36="",Setup!$F$36=""),"",IF(AND(Setup!$F$36="Once",AB$1&gt;0),"",IF(OR(IF(Setup!$M$36&gt;0,Setup!$G$36+(Setup!$O$36+AB$1)*Setup!$M$36,EDATE(Setup!$G$36,(Setup!$O$36+AB$1)*Setup!$N$36))&gt;Setup!$P$36,IF(Setup!$M$36&gt;0,Setup!$G$36+(Setup!$O$36+AB$1)*Setup!$M$36,EDATE(Setup!$G$36,(Setup!$O$36+AB$1)*Setup!$N$36))&lt;Setup!$D$5),"",IF(Setup!$M$36&gt;0,Setup!$G$36+(Setup!$O$36+AB$1)*Setup!$M$36,EDATE(Setup!$G$36,(Setup!$O$36+AB$1)*Setup!$N$36))+$A13/1000)))</f>
        <v/>
      </c>
      <c r="AC13">
        <f>IF(OR(Setup!$E$36="",Setup!$G$36="",Setup!$F$36=""),"",IF(AND(Setup!$F$36="Once",AC$1&gt;0),"",IF(OR(IF(Setup!$M$36&gt;0,Setup!$G$36+(Setup!$O$36+AC$1)*Setup!$M$36,EDATE(Setup!$G$36,(Setup!$O$36+AC$1)*Setup!$N$36))&gt;Setup!$P$36,IF(Setup!$M$36&gt;0,Setup!$G$36+(Setup!$O$36+AC$1)*Setup!$M$36,EDATE(Setup!$G$36,(Setup!$O$36+AC$1)*Setup!$N$36))&lt;Setup!$D$5),"",IF(Setup!$M$36&gt;0,Setup!$G$36+(Setup!$O$36+AC$1)*Setup!$M$36,EDATE(Setup!$G$36,(Setup!$O$36+AC$1)*Setup!$N$36))+$A13/1000)))</f>
        <v/>
      </c>
      <c r="AD13">
        <f>IF(OR(Setup!$E$36="",Setup!$G$36="",Setup!$F$36=""),"",IF(AND(Setup!$F$36="Once",AD$1&gt;0),"",IF(OR(IF(Setup!$M$36&gt;0,Setup!$G$36+(Setup!$O$36+AD$1)*Setup!$M$36,EDATE(Setup!$G$36,(Setup!$O$36+AD$1)*Setup!$N$36))&gt;Setup!$P$36,IF(Setup!$M$36&gt;0,Setup!$G$36+(Setup!$O$36+AD$1)*Setup!$M$36,EDATE(Setup!$G$36,(Setup!$O$36+AD$1)*Setup!$N$36))&lt;Setup!$D$5),"",IF(Setup!$M$36&gt;0,Setup!$G$36+(Setup!$O$36+AD$1)*Setup!$M$36,EDATE(Setup!$G$36,(Setup!$O$36+AD$1)*Setup!$N$36))+$A13/1000)))</f>
        <v/>
      </c>
      <c r="AE13">
        <f>IF(OR(Setup!$E$36="",Setup!$G$36="",Setup!$F$36=""),"",IF(AND(Setup!$F$36="Once",AE$1&gt;0),"",IF(OR(IF(Setup!$M$36&gt;0,Setup!$G$36+(Setup!$O$36+AE$1)*Setup!$M$36,EDATE(Setup!$G$36,(Setup!$O$36+AE$1)*Setup!$N$36))&gt;Setup!$P$36,IF(Setup!$M$36&gt;0,Setup!$G$36+(Setup!$O$36+AE$1)*Setup!$M$36,EDATE(Setup!$G$36,(Setup!$O$36+AE$1)*Setup!$N$36))&lt;Setup!$D$5),"",IF(Setup!$M$36&gt;0,Setup!$G$36+(Setup!$O$36+AE$1)*Setup!$M$36,EDATE(Setup!$G$36,(Setup!$O$36+AE$1)*Setup!$N$36))+$A13/1000)))</f>
        <v/>
      </c>
      <c r="AF13">
        <f>IF(OR(Setup!$E$36="",Setup!$G$36="",Setup!$F$36=""),"",IF(AND(Setup!$F$36="Once",AF$1&gt;0),"",IF(OR(IF(Setup!$M$36&gt;0,Setup!$G$36+(Setup!$O$36+AF$1)*Setup!$M$36,EDATE(Setup!$G$36,(Setup!$O$36+AF$1)*Setup!$N$36))&gt;Setup!$P$36,IF(Setup!$M$36&gt;0,Setup!$G$36+(Setup!$O$36+AF$1)*Setup!$M$36,EDATE(Setup!$G$36,(Setup!$O$36+AF$1)*Setup!$N$36))&lt;Setup!$D$5),"",IF(Setup!$M$36&gt;0,Setup!$G$36+(Setup!$O$36+AF$1)*Setup!$M$36,EDATE(Setup!$G$36,(Setup!$O$36+AF$1)*Setup!$N$36))+$A13/1000)))</f>
        <v/>
      </c>
      <c r="AG13">
        <f>IF(OR(Setup!$E$36="",Setup!$G$36="",Setup!$F$36=""),"",IF(AND(Setup!$F$36="Once",AG$1&gt;0),"",IF(OR(IF(Setup!$M$36&gt;0,Setup!$G$36+(Setup!$O$36+AG$1)*Setup!$M$36,EDATE(Setup!$G$36,(Setup!$O$36+AG$1)*Setup!$N$36))&gt;Setup!$P$36,IF(Setup!$M$36&gt;0,Setup!$G$36+(Setup!$O$36+AG$1)*Setup!$M$36,EDATE(Setup!$G$36,(Setup!$O$36+AG$1)*Setup!$N$36))&lt;Setup!$D$5),"",IF(Setup!$M$36&gt;0,Setup!$G$36+(Setup!$O$36+AG$1)*Setup!$M$36,EDATE(Setup!$G$36,(Setup!$O$36+AG$1)*Setup!$N$36))+$A13/1000)))</f>
        <v/>
      </c>
      <c r="AH13">
        <f>IF(OR(Setup!$E$36="",Setup!$G$36="",Setup!$F$36=""),"",IF(AND(Setup!$F$36="Once",AH$1&gt;0),"",IF(OR(IF(Setup!$M$36&gt;0,Setup!$G$36+(Setup!$O$36+AH$1)*Setup!$M$36,EDATE(Setup!$G$36,(Setup!$O$36+AH$1)*Setup!$N$36))&gt;Setup!$P$36,IF(Setup!$M$36&gt;0,Setup!$G$36+(Setup!$O$36+AH$1)*Setup!$M$36,EDATE(Setup!$G$36,(Setup!$O$36+AH$1)*Setup!$N$36))&lt;Setup!$D$5),"",IF(Setup!$M$36&gt;0,Setup!$G$36+(Setup!$O$36+AH$1)*Setup!$M$36,EDATE(Setup!$G$36,(Setup!$O$36+AH$1)*Setup!$N$36))+$A13/1000)))</f>
        <v/>
      </c>
      <c r="AI13">
        <f>IF(OR(Setup!$E$36="",Setup!$G$36="",Setup!$F$36=""),"",IF(AND(Setup!$F$36="Once",AI$1&gt;0),"",IF(OR(IF(Setup!$M$36&gt;0,Setup!$G$36+(Setup!$O$36+AI$1)*Setup!$M$36,EDATE(Setup!$G$36,(Setup!$O$36+AI$1)*Setup!$N$36))&gt;Setup!$P$36,IF(Setup!$M$36&gt;0,Setup!$G$36+(Setup!$O$36+AI$1)*Setup!$M$36,EDATE(Setup!$G$36,(Setup!$O$36+AI$1)*Setup!$N$36))&lt;Setup!$D$5),"",IF(Setup!$M$36&gt;0,Setup!$G$36+(Setup!$O$36+AI$1)*Setup!$M$36,EDATE(Setup!$G$36,(Setup!$O$36+AI$1)*Setup!$N$36))+$A13/1000)))</f>
        <v/>
      </c>
      <c r="AJ13">
        <f>IF(OR(Setup!$E$36="",Setup!$G$36="",Setup!$F$36=""),"",IF(AND(Setup!$F$36="Once",AJ$1&gt;0),"",IF(OR(IF(Setup!$M$36&gt;0,Setup!$G$36+(Setup!$O$36+AJ$1)*Setup!$M$36,EDATE(Setup!$G$36,(Setup!$O$36+AJ$1)*Setup!$N$36))&gt;Setup!$P$36,IF(Setup!$M$36&gt;0,Setup!$G$36+(Setup!$O$36+AJ$1)*Setup!$M$36,EDATE(Setup!$G$36,(Setup!$O$36+AJ$1)*Setup!$N$36))&lt;Setup!$D$5),"",IF(Setup!$M$36&gt;0,Setup!$G$36+(Setup!$O$36+AJ$1)*Setup!$M$36,EDATE(Setup!$G$36,(Setup!$O$36+AJ$1)*Setup!$N$36))+$A13/1000)))</f>
        <v/>
      </c>
      <c r="AK13">
        <f>IF(OR(Setup!$E$36="",Setup!$G$36="",Setup!$F$36=""),"",IF(AND(Setup!$F$36="Once",AK$1&gt;0),"",IF(OR(IF(Setup!$M$36&gt;0,Setup!$G$36+(Setup!$O$36+AK$1)*Setup!$M$36,EDATE(Setup!$G$36,(Setup!$O$36+AK$1)*Setup!$N$36))&gt;Setup!$P$36,IF(Setup!$M$36&gt;0,Setup!$G$36+(Setup!$O$36+AK$1)*Setup!$M$36,EDATE(Setup!$G$36,(Setup!$O$36+AK$1)*Setup!$N$36))&lt;Setup!$D$5),"",IF(Setup!$M$36&gt;0,Setup!$G$36+(Setup!$O$36+AK$1)*Setup!$M$36,EDATE(Setup!$G$36,(Setup!$O$36+AK$1)*Setup!$N$36))+$A13/1000)))</f>
        <v/>
      </c>
      <c r="AL13">
        <f>IF(OR(Setup!$E$36="",Setup!$G$36="",Setup!$F$36=""),"",IF(AND(Setup!$F$36="Once",AL$1&gt;0),"",IF(OR(IF(Setup!$M$36&gt;0,Setup!$G$36+(Setup!$O$36+AL$1)*Setup!$M$36,EDATE(Setup!$G$36,(Setup!$O$36+AL$1)*Setup!$N$36))&gt;Setup!$P$36,IF(Setup!$M$36&gt;0,Setup!$G$36+(Setup!$O$36+AL$1)*Setup!$M$36,EDATE(Setup!$G$36,(Setup!$O$36+AL$1)*Setup!$N$36))&lt;Setup!$D$5),"",IF(Setup!$M$36&gt;0,Setup!$G$36+(Setup!$O$36+AL$1)*Setup!$M$36,EDATE(Setup!$G$36,(Setup!$O$36+AL$1)*Setup!$N$36))+$A13/1000)))</f>
        <v/>
      </c>
      <c r="AM13">
        <f>IF(OR(Setup!$E$36="",Setup!$G$36="",Setup!$F$36=""),"",IF(AND(Setup!$F$36="Once",AM$1&gt;0),"",IF(OR(IF(Setup!$M$36&gt;0,Setup!$G$36+(Setup!$O$36+AM$1)*Setup!$M$36,EDATE(Setup!$G$36,(Setup!$O$36+AM$1)*Setup!$N$36))&gt;Setup!$P$36,IF(Setup!$M$36&gt;0,Setup!$G$36+(Setup!$O$36+AM$1)*Setup!$M$36,EDATE(Setup!$G$36,(Setup!$O$36+AM$1)*Setup!$N$36))&lt;Setup!$D$5),"",IF(Setup!$M$36&gt;0,Setup!$G$36+(Setup!$O$36+AM$1)*Setup!$M$36,EDATE(Setup!$G$36,(Setup!$O$36+AM$1)*Setup!$N$36))+$A13/1000)))</f>
        <v/>
      </c>
      <c r="AN13">
        <f>IF(OR(Setup!$E$36="",Setup!$G$36="",Setup!$F$36=""),"",IF(AND(Setup!$F$36="Once",AN$1&gt;0),"",IF(OR(IF(Setup!$M$36&gt;0,Setup!$G$36+(Setup!$O$36+AN$1)*Setup!$M$36,EDATE(Setup!$G$36,(Setup!$O$36+AN$1)*Setup!$N$36))&gt;Setup!$P$36,IF(Setup!$M$36&gt;0,Setup!$G$36+(Setup!$O$36+AN$1)*Setup!$M$36,EDATE(Setup!$G$36,(Setup!$O$36+AN$1)*Setup!$N$36))&lt;Setup!$D$5),"",IF(Setup!$M$36&gt;0,Setup!$G$36+(Setup!$O$36+AN$1)*Setup!$M$36,EDATE(Setup!$G$36,(Setup!$O$36+AN$1)*Setup!$N$36))+$A13/1000)))</f>
        <v/>
      </c>
      <c r="AO13">
        <f>IF(OR(Setup!$E$36="",Setup!$G$36="",Setup!$F$36=""),"",IF(AND(Setup!$F$36="Once",AO$1&gt;0),"",IF(OR(IF(Setup!$M$36&gt;0,Setup!$G$36+(Setup!$O$36+AO$1)*Setup!$M$36,EDATE(Setup!$G$36,(Setup!$O$36+AO$1)*Setup!$N$36))&gt;Setup!$P$36,IF(Setup!$M$36&gt;0,Setup!$G$36+(Setup!$O$36+AO$1)*Setup!$M$36,EDATE(Setup!$G$36,(Setup!$O$36+AO$1)*Setup!$N$36))&lt;Setup!$D$5),"",IF(Setup!$M$36&gt;0,Setup!$G$36+(Setup!$O$36+AO$1)*Setup!$M$36,EDATE(Setup!$G$36,(Setup!$O$36+AO$1)*Setup!$N$36))+$A13/1000)))</f>
        <v/>
      </c>
      <c r="AP13">
        <f>IF(OR(Setup!$E$36="",Setup!$G$36="",Setup!$F$36=""),"",IF(AND(Setup!$F$36="Once",AP$1&gt;0),"",IF(OR(IF(Setup!$M$36&gt;0,Setup!$G$36+(Setup!$O$36+AP$1)*Setup!$M$36,EDATE(Setup!$G$36,(Setup!$O$36+AP$1)*Setup!$N$36))&gt;Setup!$P$36,IF(Setup!$M$36&gt;0,Setup!$G$36+(Setup!$O$36+AP$1)*Setup!$M$36,EDATE(Setup!$G$36,(Setup!$O$36+AP$1)*Setup!$N$36))&lt;Setup!$D$5),"",IF(Setup!$M$36&gt;0,Setup!$G$36+(Setup!$O$36+AP$1)*Setup!$M$36,EDATE(Setup!$G$36,(Setup!$O$36+AP$1)*Setup!$N$36))+$A13/1000)))</f>
        <v/>
      </c>
      <c r="AQ13">
        <f>IF(OR(Setup!$E$36="",Setup!$G$36="",Setup!$F$36=""),"",IF(AND(Setup!$F$36="Once",AQ$1&gt;0),"",IF(OR(IF(Setup!$M$36&gt;0,Setup!$G$36+(Setup!$O$36+AQ$1)*Setup!$M$36,EDATE(Setup!$G$36,(Setup!$O$36+AQ$1)*Setup!$N$36))&gt;Setup!$P$36,IF(Setup!$M$36&gt;0,Setup!$G$36+(Setup!$O$36+AQ$1)*Setup!$M$36,EDATE(Setup!$G$36,(Setup!$O$36+AQ$1)*Setup!$N$36))&lt;Setup!$D$5),"",IF(Setup!$M$36&gt;0,Setup!$G$36+(Setup!$O$36+AQ$1)*Setup!$M$36,EDATE(Setup!$G$36,(Setup!$O$36+AQ$1)*Setup!$N$36))+$A13/1000)))</f>
        <v/>
      </c>
      <c r="AR13">
        <f>IF(OR(Setup!$E$36="",Setup!$G$36="",Setup!$F$36=""),"",IF(AND(Setup!$F$36="Once",AR$1&gt;0),"",IF(OR(IF(Setup!$M$36&gt;0,Setup!$G$36+(Setup!$O$36+AR$1)*Setup!$M$36,EDATE(Setup!$G$36,(Setup!$O$36+AR$1)*Setup!$N$36))&gt;Setup!$P$36,IF(Setup!$M$36&gt;0,Setup!$G$36+(Setup!$O$36+AR$1)*Setup!$M$36,EDATE(Setup!$G$36,(Setup!$O$36+AR$1)*Setup!$N$36))&lt;Setup!$D$5),"",IF(Setup!$M$36&gt;0,Setup!$G$36+(Setup!$O$36+AR$1)*Setup!$M$36,EDATE(Setup!$G$36,(Setup!$O$36+AR$1)*Setup!$N$36))+$A13/1000)))</f>
        <v/>
      </c>
      <c r="AS13">
        <f>IF(OR(Setup!$E$36="",Setup!$G$36="",Setup!$F$36=""),"",IF(AND(Setup!$F$36="Once",AS$1&gt;0),"",IF(OR(IF(Setup!$M$36&gt;0,Setup!$G$36+(Setup!$O$36+AS$1)*Setup!$M$36,EDATE(Setup!$G$36,(Setup!$O$36+AS$1)*Setup!$N$36))&gt;Setup!$P$36,IF(Setup!$M$36&gt;0,Setup!$G$36+(Setup!$O$36+AS$1)*Setup!$M$36,EDATE(Setup!$G$36,(Setup!$O$36+AS$1)*Setup!$N$36))&lt;Setup!$D$5),"",IF(Setup!$M$36&gt;0,Setup!$G$36+(Setup!$O$36+AS$1)*Setup!$M$36,EDATE(Setup!$G$36,(Setup!$O$36+AS$1)*Setup!$N$36))+$A13/1000)))</f>
        <v/>
      </c>
      <c r="AT13">
        <f>IF(OR(Setup!$E$36="",Setup!$G$36="",Setup!$F$36=""),"",IF(AND(Setup!$F$36="Once",AT$1&gt;0),"",IF(OR(IF(Setup!$M$36&gt;0,Setup!$G$36+(Setup!$O$36+AT$1)*Setup!$M$36,EDATE(Setup!$G$36,(Setup!$O$36+AT$1)*Setup!$N$36))&gt;Setup!$P$36,IF(Setup!$M$36&gt;0,Setup!$G$36+(Setup!$O$36+AT$1)*Setup!$M$36,EDATE(Setup!$G$36,(Setup!$O$36+AT$1)*Setup!$N$36))&lt;Setup!$D$5),"",IF(Setup!$M$36&gt;0,Setup!$G$36+(Setup!$O$36+AT$1)*Setup!$M$36,EDATE(Setup!$G$36,(Setup!$O$36+AT$1)*Setup!$N$36))+$A13/1000)))</f>
        <v/>
      </c>
      <c r="AU13">
        <f>IF(OR(Setup!$E$36="",Setup!$G$36="",Setup!$F$36=""),"",IF(AND(Setup!$F$36="Once",AU$1&gt;0),"",IF(OR(IF(Setup!$M$36&gt;0,Setup!$G$36+(Setup!$O$36+AU$1)*Setup!$M$36,EDATE(Setup!$G$36,(Setup!$O$36+AU$1)*Setup!$N$36))&gt;Setup!$P$36,IF(Setup!$M$36&gt;0,Setup!$G$36+(Setup!$O$36+AU$1)*Setup!$M$36,EDATE(Setup!$G$36,(Setup!$O$36+AU$1)*Setup!$N$36))&lt;Setup!$D$5),"",IF(Setup!$M$36&gt;0,Setup!$G$36+(Setup!$O$36+AU$1)*Setup!$M$36,EDATE(Setup!$G$36,(Setup!$O$36+AU$1)*Setup!$N$36))+$A13/1000)))</f>
        <v/>
      </c>
      <c r="AV13">
        <f>IF(OR(Setup!$E$36="",Setup!$G$36="",Setup!$F$36=""),"",IF(AND(Setup!$F$36="Once",AV$1&gt;0),"",IF(OR(IF(Setup!$M$36&gt;0,Setup!$G$36+(Setup!$O$36+AV$1)*Setup!$M$36,EDATE(Setup!$G$36,(Setup!$O$36+AV$1)*Setup!$N$36))&gt;Setup!$P$36,IF(Setup!$M$36&gt;0,Setup!$G$36+(Setup!$O$36+AV$1)*Setup!$M$36,EDATE(Setup!$G$36,(Setup!$O$36+AV$1)*Setup!$N$36))&lt;Setup!$D$5),"",IF(Setup!$M$36&gt;0,Setup!$G$36+(Setup!$O$36+AV$1)*Setup!$M$36,EDATE(Setup!$G$36,(Setup!$O$36+AV$1)*Setup!$N$36))+$A13/1000)))</f>
        <v/>
      </c>
      <c r="AW13">
        <f>IF(OR(Setup!$E$36="",Setup!$G$36="",Setup!$F$36=""),"",IF(AND(Setup!$F$36="Once",AW$1&gt;0),"",IF(OR(IF(Setup!$M$36&gt;0,Setup!$G$36+(Setup!$O$36+AW$1)*Setup!$M$36,EDATE(Setup!$G$36,(Setup!$O$36+AW$1)*Setup!$N$36))&gt;Setup!$P$36,IF(Setup!$M$36&gt;0,Setup!$G$36+(Setup!$O$36+AW$1)*Setup!$M$36,EDATE(Setup!$G$36,(Setup!$O$36+AW$1)*Setup!$N$36))&lt;Setup!$D$5),"",IF(Setup!$M$36&gt;0,Setup!$G$36+(Setup!$O$36+AW$1)*Setup!$M$36,EDATE(Setup!$G$36,(Setup!$O$36+AW$1)*Setup!$N$36))+$A13/1000)))</f>
        <v/>
      </c>
      <c r="AX13">
        <f>IF(OR(Setup!$E$36="",Setup!$G$36="",Setup!$F$36=""),"",IF(AND(Setup!$F$36="Once",AX$1&gt;0),"",IF(OR(IF(Setup!$M$36&gt;0,Setup!$G$36+(Setup!$O$36+AX$1)*Setup!$M$36,EDATE(Setup!$G$36,(Setup!$O$36+AX$1)*Setup!$N$36))&gt;Setup!$P$36,IF(Setup!$M$36&gt;0,Setup!$G$36+(Setup!$O$36+AX$1)*Setup!$M$36,EDATE(Setup!$G$36,(Setup!$O$36+AX$1)*Setup!$N$36))&lt;Setup!$D$5),"",IF(Setup!$M$36&gt;0,Setup!$G$36+(Setup!$O$36+AX$1)*Setup!$M$36,EDATE(Setup!$G$36,(Setup!$O$36+AX$1)*Setup!$N$36))+$A13/1000)))</f>
        <v/>
      </c>
      <c r="AY13">
        <f>IF(OR(Setup!$E$36="",Setup!$G$36="",Setup!$F$36=""),"",IF(AND(Setup!$F$36="Once",AY$1&gt;0),"",IF(OR(IF(Setup!$M$36&gt;0,Setup!$G$36+(Setup!$O$36+AY$1)*Setup!$M$36,EDATE(Setup!$G$36,(Setup!$O$36+AY$1)*Setup!$N$36))&gt;Setup!$P$36,IF(Setup!$M$36&gt;0,Setup!$G$36+(Setup!$O$36+AY$1)*Setup!$M$36,EDATE(Setup!$G$36,(Setup!$O$36+AY$1)*Setup!$N$36))&lt;Setup!$D$5),"",IF(Setup!$M$36&gt;0,Setup!$G$36+(Setup!$O$36+AY$1)*Setup!$M$36,EDATE(Setup!$G$36,(Setup!$O$36+AY$1)*Setup!$N$36))+$A13/1000)))</f>
        <v/>
      </c>
      <c r="AZ13">
        <f>IF(OR(Setup!$E$36="",Setup!$G$36="",Setup!$F$36=""),"",IF(AND(Setup!$F$36="Once",AZ$1&gt;0),"",IF(OR(IF(Setup!$M$36&gt;0,Setup!$G$36+(Setup!$O$36+AZ$1)*Setup!$M$36,EDATE(Setup!$G$36,(Setup!$O$36+AZ$1)*Setup!$N$36))&gt;Setup!$P$36,IF(Setup!$M$36&gt;0,Setup!$G$36+(Setup!$O$36+AZ$1)*Setup!$M$36,EDATE(Setup!$G$36,(Setup!$O$36+AZ$1)*Setup!$N$36))&lt;Setup!$D$5),"",IF(Setup!$M$36&gt;0,Setup!$G$36+(Setup!$O$36+AZ$1)*Setup!$M$36,EDATE(Setup!$G$36,(Setup!$O$36+AZ$1)*Setup!$N$36))+$A13/1000)))</f>
        <v/>
      </c>
      <c r="BA13">
        <f>IF(OR(Setup!$E$36="",Setup!$G$36="",Setup!$F$36=""),"",IF(AND(Setup!$F$36="Once",BA$1&gt;0),"",IF(OR(IF(Setup!$M$36&gt;0,Setup!$G$36+(Setup!$O$36+BA$1)*Setup!$M$36,EDATE(Setup!$G$36,(Setup!$O$36+BA$1)*Setup!$N$36))&gt;Setup!$P$36,IF(Setup!$M$36&gt;0,Setup!$G$36+(Setup!$O$36+BA$1)*Setup!$M$36,EDATE(Setup!$G$36,(Setup!$O$36+BA$1)*Setup!$N$36))&lt;Setup!$D$5),"",IF(Setup!$M$36&gt;0,Setup!$G$36+(Setup!$O$36+BA$1)*Setup!$M$36,EDATE(Setup!$G$36,(Setup!$O$36+BA$1)*Setup!$N$36))+$A13/1000)))</f>
        <v/>
      </c>
      <c r="BB13">
        <f>IF(OR(Setup!$E$36="",Setup!$G$36="",Setup!$F$36=""),"",IF(AND(Setup!$F$36="Once",BB$1&gt;0),"",IF(OR(IF(Setup!$M$36&gt;0,Setup!$G$36+(Setup!$O$36+BB$1)*Setup!$M$36,EDATE(Setup!$G$36,(Setup!$O$36+BB$1)*Setup!$N$36))&gt;Setup!$P$36,IF(Setup!$M$36&gt;0,Setup!$G$36+(Setup!$O$36+BB$1)*Setup!$M$36,EDATE(Setup!$G$36,(Setup!$O$36+BB$1)*Setup!$N$36))&lt;Setup!$D$5),"",IF(Setup!$M$36&gt;0,Setup!$G$36+(Setup!$O$36+BB$1)*Setup!$M$36,EDATE(Setup!$G$36,(Setup!$O$36+BB$1)*Setup!$N$36))+$A13/1000)))</f>
        <v/>
      </c>
    </row>
    <row r="14">
      <c r="A14" t="n">
        <v>13</v>
      </c>
      <c r="B14">
        <f>IF(OR(Setup!$E$37="",Setup!$G$37="",Setup!$F$37=""),"",IF(AND(Setup!$F$37="Once",B$1&gt;0),"",IF(OR(IF(Setup!$M$37&gt;0,Setup!$G$37+(Setup!$O$37+B$1)*Setup!$M$37,EDATE(Setup!$G$37,(Setup!$O$37+B$1)*Setup!$N$37))&gt;Setup!$P$37,IF(Setup!$M$37&gt;0,Setup!$G$37+(Setup!$O$37+B$1)*Setup!$M$37,EDATE(Setup!$G$37,(Setup!$O$37+B$1)*Setup!$N$37))&lt;Setup!$D$5),"",IF(Setup!$M$37&gt;0,Setup!$G$37+(Setup!$O$37+B$1)*Setup!$M$37,EDATE(Setup!$G$37,(Setup!$O$37+B$1)*Setup!$N$37))+$A14/1000)))</f>
        <v/>
      </c>
      <c r="C14">
        <f>IF(OR(Setup!$E$37="",Setup!$G$37="",Setup!$F$37=""),"",IF(AND(Setup!$F$37="Once",C$1&gt;0),"",IF(OR(IF(Setup!$M$37&gt;0,Setup!$G$37+(Setup!$O$37+C$1)*Setup!$M$37,EDATE(Setup!$G$37,(Setup!$O$37+C$1)*Setup!$N$37))&gt;Setup!$P$37,IF(Setup!$M$37&gt;0,Setup!$G$37+(Setup!$O$37+C$1)*Setup!$M$37,EDATE(Setup!$G$37,(Setup!$O$37+C$1)*Setup!$N$37))&lt;Setup!$D$5),"",IF(Setup!$M$37&gt;0,Setup!$G$37+(Setup!$O$37+C$1)*Setup!$M$37,EDATE(Setup!$G$37,(Setup!$O$37+C$1)*Setup!$N$37))+$A14/1000)))</f>
        <v/>
      </c>
      <c r="D14">
        <f>IF(OR(Setup!$E$37="",Setup!$G$37="",Setup!$F$37=""),"",IF(AND(Setup!$F$37="Once",D$1&gt;0),"",IF(OR(IF(Setup!$M$37&gt;0,Setup!$G$37+(Setup!$O$37+D$1)*Setup!$M$37,EDATE(Setup!$G$37,(Setup!$O$37+D$1)*Setup!$N$37))&gt;Setup!$P$37,IF(Setup!$M$37&gt;0,Setup!$G$37+(Setup!$O$37+D$1)*Setup!$M$37,EDATE(Setup!$G$37,(Setup!$O$37+D$1)*Setup!$N$37))&lt;Setup!$D$5),"",IF(Setup!$M$37&gt;0,Setup!$G$37+(Setup!$O$37+D$1)*Setup!$M$37,EDATE(Setup!$G$37,(Setup!$O$37+D$1)*Setup!$N$37))+$A14/1000)))</f>
        <v/>
      </c>
      <c r="E14">
        <f>IF(OR(Setup!$E$37="",Setup!$G$37="",Setup!$F$37=""),"",IF(AND(Setup!$F$37="Once",E$1&gt;0),"",IF(OR(IF(Setup!$M$37&gt;0,Setup!$G$37+(Setup!$O$37+E$1)*Setup!$M$37,EDATE(Setup!$G$37,(Setup!$O$37+E$1)*Setup!$N$37))&gt;Setup!$P$37,IF(Setup!$M$37&gt;0,Setup!$G$37+(Setup!$O$37+E$1)*Setup!$M$37,EDATE(Setup!$G$37,(Setup!$O$37+E$1)*Setup!$N$37))&lt;Setup!$D$5),"",IF(Setup!$M$37&gt;0,Setup!$G$37+(Setup!$O$37+E$1)*Setup!$M$37,EDATE(Setup!$G$37,(Setup!$O$37+E$1)*Setup!$N$37))+$A14/1000)))</f>
        <v/>
      </c>
      <c r="F14">
        <f>IF(OR(Setup!$E$37="",Setup!$G$37="",Setup!$F$37=""),"",IF(AND(Setup!$F$37="Once",F$1&gt;0),"",IF(OR(IF(Setup!$M$37&gt;0,Setup!$G$37+(Setup!$O$37+F$1)*Setup!$M$37,EDATE(Setup!$G$37,(Setup!$O$37+F$1)*Setup!$N$37))&gt;Setup!$P$37,IF(Setup!$M$37&gt;0,Setup!$G$37+(Setup!$O$37+F$1)*Setup!$M$37,EDATE(Setup!$G$37,(Setup!$O$37+F$1)*Setup!$N$37))&lt;Setup!$D$5),"",IF(Setup!$M$37&gt;0,Setup!$G$37+(Setup!$O$37+F$1)*Setup!$M$37,EDATE(Setup!$G$37,(Setup!$O$37+F$1)*Setup!$N$37))+$A14/1000)))</f>
        <v/>
      </c>
      <c r="G14">
        <f>IF(OR(Setup!$E$37="",Setup!$G$37="",Setup!$F$37=""),"",IF(AND(Setup!$F$37="Once",G$1&gt;0),"",IF(OR(IF(Setup!$M$37&gt;0,Setup!$G$37+(Setup!$O$37+G$1)*Setup!$M$37,EDATE(Setup!$G$37,(Setup!$O$37+G$1)*Setup!$N$37))&gt;Setup!$P$37,IF(Setup!$M$37&gt;0,Setup!$G$37+(Setup!$O$37+G$1)*Setup!$M$37,EDATE(Setup!$G$37,(Setup!$O$37+G$1)*Setup!$N$37))&lt;Setup!$D$5),"",IF(Setup!$M$37&gt;0,Setup!$G$37+(Setup!$O$37+G$1)*Setup!$M$37,EDATE(Setup!$G$37,(Setup!$O$37+G$1)*Setup!$N$37))+$A14/1000)))</f>
        <v/>
      </c>
      <c r="H14">
        <f>IF(OR(Setup!$E$37="",Setup!$G$37="",Setup!$F$37=""),"",IF(AND(Setup!$F$37="Once",H$1&gt;0),"",IF(OR(IF(Setup!$M$37&gt;0,Setup!$G$37+(Setup!$O$37+H$1)*Setup!$M$37,EDATE(Setup!$G$37,(Setup!$O$37+H$1)*Setup!$N$37))&gt;Setup!$P$37,IF(Setup!$M$37&gt;0,Setup!$G$37+(Setup!$O$37+H$1)*Setup!$M$37,EDATE(Setup!$G$37,(Setup!$O$37+H$1)*Setup!$N$37))&lt;Setup!$D$5),"",IF(Setup!$M$37&gt;0,Setup!$G$37+(Setup!$O$37+H$1)*Setup!$M$37,EDATE(Setup!$G$37,(Setup!$O$37+H$1)*Setup!$N$37))+$A14/1000)))</f>
        <v/>
      </c>
      <c r="I14">
        <f>IF(OR(Setup!$E$37="",Setup!$G$37="",Setup!$F$37=""),"",IF(AND(Setup!$F$37="Once",I$1&gt;0),"",IF(OR(IF(Setup!$M$37&gt;0,Setup!$G$37+(Setup!$O$37+I$1)*Setup!$M$37,EDATE(Setup!$G$37,(Setup!$O$37+I$1)*Setup!$N$37))&gt;Setup!$P$37,IF(Setup!$M$37&gt;0,Setup!$G$37+(Setup!$O$37+I$1)*Setup!$M$37,EDATE(Setup!$G$37,(Setup!$O$37+I$1)*Setup!$N$37))&lt;Setup!$D$5),"",IF(Setup!$M$37&gt;0,Setup!$G$37+(Setup!$O$37+I$1)*Setup!$M$37,EDATE(Setup!$G$37,(Setup!$O$37+I$1)*Setup!$N$37))+$A14/1000)))</f>
        <v/>
      </c>
      <c r="J14">
        <f>IF(OR(Setup!$E$37="",Setup!$G$37="",Setup!$F$37=""),"",IF(AND(Setup!$F$37="Once",J$1&gt;0),"",IF(OR(IF(Setup!$M$37&gt;0,Setup!$G$37+(Setup!$O$37+J$1)*Setup!$M$37,EDATE(Setup!$G$37,(Setup!$O$37+J$1)*Setup!$N$37))&gt;Setup!$P$37,IF(Setup!$M$37&gt;0,Setup!$G$37+(Setup!$O$37+J$1)*Setup!$M$37,EDATE(Setup!$G$37,(Setup!$O$37+J$1)*Setup!$N$37))&lt;Setup!$D$5),"",IF(Setup!$M$37&gt;0,Setup!$G$37+(Setup!$O$37+J$1)*Setup!$M$37,EDATE(Setup!$G$37,(Setup!$O$37+J$1)*Setup!$N$37))+$A14/1000)))</f>
        <v/>
      </c>
      <c r="K14">
        <f>IF(OR(Setup!$E$37="",Setup!$G$37="",Setup!$F$37=""),"",IF(AND(Setup!$F$37="Once",K$1&gt;0),"",IF(OR(IF(Setup!$M$37&gt;0,Setup!$G$37+(Setup!$O$37+K$1)*Setup!$M$37,EDATE(Setup!$G$37,(Setup!$O$37+K$1)*Setup!$N$37))&gt;Setup!$P$37,IF(Setup!$M$37&gt;0,Setup!$G$37+(Setup!$O$37+K$1)*Setup!$M$37,EDATE(Setup!$G$37,(Setup!$O$37+K$1)*Setup!$N$37))&lt;Setup!$D$5),"",IF(Setup!$M$37&gt;0,Setup!$G$37+(Setup!$O$37+K$1)*Setup!$M$37,EDATE(Setup!$G$37,(Setup!$O$37+K$1)*Setup!$N$37))+$A14/1000)))</f>
        <v/>
      </c>
      <c r="L14">
        <f>IF(OR(Setup!$E$37="",Setup!$G$37="",Setup!$F$37=""),"",IF(AND(Setup!$F$37="Once",L$1&gt;0),"",IF(OR(IF(Setup!$M$37&gt;0,Setup!$G$37+(Setup!$O$37+L$1)*Setup!$M$37,EDATE(Setup!$G$37,(Setup!$O$37+L$1)*Setup!$N$37))&gt;Setup!$P$37,IF(Setup!$M$37&gt;0,Setup!$G$37+(Setup!$O$37+L$1)*Setup!$M$37,EDATE(Setup!$G$37,(Setup!$O$37+L$1)*Setup!$N$37))&lt;Setup!$D$5),"",IF(Setup!$M$37&gt;0,Setup!$G$37+(Setup!$O$37+L$1)*Setup!$M$37,EDATE(Setup!$G$37,(Setup!$O$37+L$1)*Setup!$N$37))+$A14/1000)))</f>
        <v/>
      </c>
      <c r="M14">
        <f>IF(OR(Setup!$E$37="",Setup!$G$37="",Setup!$F$37=""),"",IF(AND(Setup!$F$37="Once",M$1&gt;0),"",IF(OR(IF(Setup!$M$37&gt;0,Setup!$G$37+(Setup!$O$37+M$1)*Setup!$M$37,EDATE(Setup!$G$37,(Setup!$O$37+M$1)*Setup!$N$37))&gt;Setup!$P$37,IF(Setup!$M$37&gt;0,Setup!$G$37+(Setup!$O$37+M$1)*Setup!$M$37,EDATE(Setup!$G$37,(Setup!$O$37+M$1)*Setup!$N$37))&lt;Setup!$D$5),"",IF(Setup!$M$37&gt;0,Setup!$G$37+(Setup!$O$37+M$1)*Setup!$M$37,EDATE(Setup!$G$37,(Setup!$O$37+M$1)*Setup!$N$37))+$A14/1000)))</f>
        <v/>
      </c>
      <c r="N14">
        <f>IF(OR(Setup!$E$37="",Setup!$G$37="",Setup!$F$37=""),"",IF(AND(Setup!$F$37="Once",N$1&gt;0),"",IF(OR(IF(Setup!$M$37&gt;0,Setup!$G$37+(Setup!$O$37+N$1)*Setup!$M$37,EDATE(Setup!$G$37,(Setup!$O$37+N$1)*Setup!$N$37))&gt;Setup!$P$37,IF(Setup!$M$37&gt;0,Setup!$G$37+(Setup!$O$37+N$1)*Setup!$M$37,EDATE(Setup!$G$37,(Setup!$O$37+N$1)*Setup!$N$37))&lt;Setup!$D$5),"",IF(Setup!$M$37&gt;0,Setup!$G$37+(Setup!$O$37+N$1)*Setup!$M$37,EDATE(Setup!$G$37,(Setup!$O$37+N$1)*Setup!$N$37))+$A14/1000)))</f>
        <v/>
      </c>
      <c r="O14">
        <f>IF(OR(Setup!$E$37="",Setup!$G$37="",Setup!$F$37=""),"",IF(AND(Setup!$F$37="Once",O$1&gt;0),"",IF(OR(IF(Setup!$M$37&gt;0,Setup!$G$37+(Setup!$O$37+O$1)*Setup!$M$37,EDATE(Setup!$G$37,(Setup!$O$37+O$1)*Setup!$N$37))&gt;Setup!$P$37,IF(Setup!$M$37&gt;0,Setup!$G$37+(Setup!$O$37+O$1)*Setup!$M$37,EDATE(Setup!$G$37,(Setup!$O$37+O$1)*Setup!$N$37))&lt;Setup!$D$5),"",IF(Setup!$M$37&gt;0,Setup!$G$37+(Setup!$O$37+O$1)*Setup!$M$37,EDATE(Setup!$G$37,(Setup!$O$37+O$1)*Setup!$N$37))+$A14/1000)))</f>
        <v/>
      </c>
      <c r="P14">
        <f>IF(OR(Setup!$E$37="",Setup!$G$37="",Setup!$F$37=""),"",IF(AND(Setup!$F$37="Once",P$1&gt;0),"",IF(OR(IF(Setup!$M$37&gt;0,Setup!$G$37+(Setup!$O$37+P$1)*Setup!$M$37,EDATE(Setup!$G$37,(Setup!$O$37+P$1)*Setup!$N$37))&gt;Setup!$P$37,IF(Setup!$M$37&gt;0,Setup!$G$37+(Setup!$O$37+P$1)*Setup!$M$37,EDATE(Setup!$G$37,(Setup!$O$37+P$1)*Setup!$N$37))&lt;Setup!$D$5),"",IF(Setup!$M$37&gt;0,Setup!$G$37+(Setup!$O$37+P$1)*Setup!$M$37,EDATE(Setup!$G$37,(Setup!$O$37+P$1)*Setup!$N$37))+$A14/1000)))</f>
        <v/>
      </c>
      <c r="Q14">
        <f>IF(OR(Setup!$E$37="",Setup!$G$37="",Setup!$F$37=""),"",IF(AND(Setup!$F$37="Once",Q$1&gt;0),"",IF(OR(IF(Setup!$M$37&gt;0,Setup!$G$37+(Setup!$O$37+Q$1)*Setup!$M$37,EDATE(Setup!$G$37,(Setup!$O$37+Q$1)*Setup!$N$37))&gt;Setup!$P$37,IF(Setup!$M$37&gt;0,Setup!$G$37+(Setup!$O$37+Q$1)*Setup!$M$37,EDATE(Setup!$G$37,(Setup!$O$37+Q$1)*Setup!$N$37))&lt;Setup!$D$5),"",IF(Setup!$M$37&gt;0,Setup!$G$37+(Setup!$O$37+Q$1)*Setup!$M$37,EDATE(Setup!$G$37,(Setup!$O$37+Q$1)*Setup!$N$37))+$A14/1000)))</f>
        <v/>
      </c>
      <c r="R14">
        <f>IF(OR(Setup!$E$37="",Setup!$G$37="",Setup!$F$37=""),"",IF(AND(Setup!$F$37="Once",R$1&gt;0),"",IF(OR(IF(Setup!$M$37&gt;0,Setup!$G$37+(Setup!$O$37+R$1)*Setup!$M$37,EDATE(Setup!$G$37,(Setup!$O$37+R$1)*Setup!$N$37))&gt;Setup!$P$37,IF(Setup!$M$37&gt;0,Setup!$G$37+(Setup!$O$37+R$1)*Setup!$M$37,EDATE(Setup!$G$37,(Setup!$O$37+R$1)*Setup!$N$37))&lt;Setup!$D$5),"",IF(Setup!$M$37&gt;0,Setup!$G$37+(Setup!$O$37+R$1)*Setup!$M$37,EDATE(Setup!$G$37,(Setup!$O$37+R$1)*Setup!$N$37))+$A14/1000)))</f>
        <v/>
      </c>
      <c r="S14">
        <f>IF(OR(Setup!$E$37="",Setup!$G$37="",Setup!$F$37=""),"",IF(AND(Setup!$F$37="Once",S$1&gt;0),"",IF(OR(IF(Setup!$M$37&gt;0,Setup!$G$37+(Setup!$O$37+S$1)*Setup!$M$37,EDATE(Setup!$G$37,(Setup!$O$37+S$1)*Setup!$N$37))&gt;Setup!$P$37,IF(Setup!$M$37&gt;0,Setup!$G$37+(Setup!$O$37+S$1)*Setup!$M$37,EDATE(Setup!$G$37,(Setup!$O$37+S$1)*Setup!$N$37))&lt;Setup!$D$5),"",IF(Setup!$M$37&gt;0,Setup!$G$37+(Setup!$O$37+S$1)*Setup!$M$37,EDATE(Setup!$G$37,(Setup!$O$37+S$1)*Setup!$N$37))+$A14/1000)))</f>
        <v/>
      </c>
      <c r="T14">
        <f>IF(OR(Setup!$E$37="",Setup!$G$37="",Setup!$F$37=""),"",IF(AND(Setup!$F$37="Once",T$1&gt;0),"",IF(OR(IF(Setup!$M$37&gt;0,Setup!$G$37+(Setup!$O$37+T$1)*Setup!$M$37,EDATE(Setup!$G$37,(Setup!$O$37+T$1)*Setup!$N$37))&gt;Setup!$P$37,IF(Setup!$M$37&gt;0,Setup!$G$37+(Setup!$O$37+T$1)*Setup!$M$37,EDATE(Setup!$G$37,(Setup!$O$37+T$1)*Setup!$N$37))&lt;Setup!$D$5),"",IF(Setup!$M$37&gt;0,Setup!$G$37+(Setup!$O$37+T$1)*Setup!$M$37,EDATE(Setup!$G$37,(Setup!$O$37+T$1)*Setup!$N$37))+$A14/1000)))</f>
        <v/>
      </c>
      <c r="U14">
        <f>IF(OR(Setup!$E$37="",Setup!$G$37="",Setup!$F$37=""),"",IF(AND(Setup!$F$37="Once",U$1&gt;0),"",IF(OR(IF(Setup!$M$37&gt;0,Setup!$G$37+(Setup!$O$37+U$1)*Setup!$M$37,EDATE(Setup!$G$37,(Setup!$O$37+U$1)*Setup!$N$37))&gt;Setup!$P$37,IF(Setup!$M$37&gt;0,Setup!$G$37+(Setup!$O$37+U$1)*Setup!$M$37,EDATE(Setup!$G$37,(Setup!$O$37+U$1)*Setup!$N$37))&lt;Setup!$D$5),"",IF(Setup!$M$37&gt;0,Setup!$G$37+(Setup!$O$37+U$1)*Setup!$M$37,EDATE(Setup!$G$37,(Setup!$O$37+U$1)*Setup!$N$37))+$A14/1000)))</f>
        <v/>
      </c>
      <c r="V14">
        <f>IF(OR(Setup!$E$37="",Setup!$G$37="",Setup!$F$37=""),"",IF(AND(Setup!$F$37="Once",V$1&gt;0),"",IF(OR(IF(Setup!$M$37&gt;0,Setup!$G$37+(Setup!$O$37+V$1)*Setup!$M$37,EDATE(Setup!$G$37,(Setup!$O$37+V$1)*Setup!$N$37))&gt;Setup!$P$37,IF(Setup!$M$37&gt;0,Setup!$G$37+(Setup!$O$37+V$1)*Setup!$M$37,EDATE(Setup!$G$37,(Setup!$O$37+V$1)*Setup!$N$37))&lt;Setup!$D$5),"",IF(Setup!$M$37&gt;0,Setup!$G$37+(Setup!$O$37+V$1)*Setup!$M$37,EDATE(Setup!$G$37,(Setup!$O$37+V$1)*Setup!$N$37))+$A14/1000)))</f>
        <v/>
      </c>
      <c r="W14">
        <f>IF(OR(Setup!$E$37="",Setup!$G$37="",Setup!$F$37=""),"",IF(AND(Setup!$F$37="Once",W$1&gt;0),"",IF(OR(IF(Setup!$M$37&gt;0,Setup!$G$37+(Setup!$O$37+W$1)*Setup!$M$37,EDATE(Setup!$G$37,(Setup!$O$37+W$1)*Setup!$N$37))&gt;Setup!$P$37,IF(Setup!$M$37&gt;0,Setup!$G$37+(Setup!$O$37+W$1)*Setup!$M$37,EDATE(Setup!$G$37,(Setup!$O$37+W$1)*Setup!$N$37))&lt;Setup!$D$5),"",IF(Setup!$M$37&gt;0,Setup!$G$37+(Setup!$O$37+W$1)*Setup!$M$37,EDATE(Setup!$G$37,(Setup!$O$37+W$1)*Setup!$N$37))+$A14/1000)))</f>
        <v/>
      </c>
      <c r="X14">
        <f>IF(OR(Setup!$E$37="",Setup!$G$37="",Setup!$F$37=""),"",IF(AND(Setup!$F$37="Once",X$1&gt;0),"",IF(OR(IF(Setup!$M$37&gt;0,Setup!$G$37+(Setup!$O$37+X$1)*Setup!$M$37,EDATE(Setup!$G$37,(Setup!$O$37+X$1)*Setup!$N$37))&gt;Setup!$P$37,IF(Setup!$M$37&gt;0,Setup!$G$37+(Setup!$O$37+X$1)*Setup!$M$37,EDATE(Setup!$G$37,(Setup!$O$37+X$1)*Setup!$N$37))&lt;Setup!$D$5),"",IF(Setup!$M$37&gt;0,Setup!$G$37+(Setup!$O$37+X$1)*Setup!$M$37,EDATE(Setup!$G$37,(Setup!$O$37+X$1)*Setup!$N$37))+$A14/1000)))</f>
        <v/>
      </c>
      <c r="Y14">
        <f>IF(OR(Setup!$E$37="",Setup!$G$37="",Setup!$F$37=""),"",IF(AND(Setup!$F$37="Once",Y$1&gt;0),"",IF(OR(IF(Setup!$M$37&gt;0,Setup!$G$37+(Setup!$O$37+Y$1)*Setup!$M$37,EDATE(Setup!$G$37,(Setup!$O$37+Y$1)*Setup!$N$37))&gt;Setup!$P$37,IF(Setup!$M$37&gt;0,Setup!$G$37+(Setup!$O$37+Y$1)*Setup!$M$37,EDATE(Setup!$G$37,(Setup!$O$37+Y$1)*Setup!$N$37))&lt;Setup!$D$5),"",IF(Setup!$M$37&gt;0,Setup!$G$37+(Setup!$O$37+Y$1)*Setup!$M$37,EDATE(Setup!$G$37,(Setup!$O$37+Y$1)*Setup!$N$37))+$A14/1000)))</f>
        <v/>
      </c>
      <c r="Z14">
        <f>IF(OR(Setup!$E$37="",Setup!$G$37="",Setup!$F$37=""),"",IF(AND(Setup!$F$37="Once",Z$1&gt;0),"",IF(OR(IF(Setup!$M$37&gt;0,Setup!$G$37+(Setup!$O$37+Z$1)*Setup!$M$37,EDATE(Setup!$G$37,(Setup!$O$37+Z$1)*Setup!$N$37))&gt;Setup!$P$37,IF(Setup!$M$37&gt;0,Setup!$G$37+(Setup!$O$37+Z$1)*Setup!$M$37,EDATE(Setup!$G$37,(Setup!$O$37+Z$1)*Setup!$N$37))&lt;Setup!$D$5),"",IF(Setup!$M$37&gt;0,Setup!$G$37+(Setup!$O$37+Z$1)*Setup!$M$37,EDATE(Setup!$G$37,(Setup!$O$37+Z$1)*Setup!$N$37))+$A14/1000)))</f>
        <v/>
      </c>
      <c r="AA14">
        <f>IF(OR(Setup!$E$37="",Setup!$G$37="",Setup!$F$37=""),"",IF(AND(Setup!$F$37="Once",AA$1&gt;0),"",IF(OR(IF(Setup!$M$37&gt;0,Setup!$G$37+(Setup!$O$37+AA$1)*Setup!$M$37,EDATE(Setup!$G$37,(Setup!$O$37+AA$1)*Setup!$N$37))&gt;Setup!$P$37,IF(Setup!$M$37&gt;0,Setup!$G$37+(Setup!$O$37+AA$1)*Setup!$M$37,EDATE(Setup!$G$37,(Setup!$O$37+AA$1)*Setup!$N$37))&lt;Setup!$D$5),"",IF(Setup!$M$37&gt;0,Setup!$G$37+(Setup!$O$37+AA$1)*Setup!$M$37,EDATE(Setup!$G$37,(Setup!$O$37+AA$1)*Setup!$N$37))+$A14/1000)))</f>
        <v/>
      </c>
      <c r="AB14">
        <f>IF(OR(Setup!$E$37="",Setup!$G$37="",Setup!$F$37=""),"",IF(AND(Setup!$F$37="Once",AB$1&gt;0),"",IF(OR(IF(Setup!$M$37&gt;0,Setup!$G$37+(Setup!$O$37+AB$1)*Setup!$M$37,EDATE(Setup!$G$37,(Setup!$O$37+AB$1)*Setup!$N$37))&gt;Setup!$P$37,IF(Setup!$M$37&gt;0,Setup!$G$37+(Setup!$O$37+AB$1)*Setup!$M$37,EDATE(Setup!$G$37,(Setup!$O$37+AB$1)*Setup!$N$37))&lt;Setup!$D$5),"",IF(Setup!$M$37&gt;0,Setup!$G$37+(Setup!$O$37+AB$1)*Setup!$M$37,EDATE(Setup!$G$37,(Setup!$O$37+AB$1)*Setup!$N$37))+$A14/1000)))</f>
        <v/>
      </c>
      <c r="AC14">
        <f>IF(OR(Setup!$E$37="",Setup!$G$37="",Setup!$F$37=""),"",IF(AND(Setup!$F$37="Once",AC$1&gt;0),"",IF(OR(IF(Setup!$M$37&gt;0,Setup!$G$37+(Setup!$O$37+AC$1)*Setup!$M$37,EDATE(Setup!$G$37,(Setup!$O$37+AC$1)*Setup!$N$37))&gt;Setup!$P$37,IF(Setup!$M$37&gt;0,Setup!$G$37+(Setup!$O$37+AC$1)*Setup!$M$37,EDATE(Setup!$G$37,(Setup!$O$37+AC$1)*Setup!$N$37))&lt;Setup!$D$5),"",IF(Setup!$M$37&gt;0,Setup!$G$37+(Setup!$O$37+AC$1)*Setup!$M$37,EDATE(Setup!$G$37,(Setup!$O$37+AC$1)*Setup!$N$37))+$A14/1000)))</f>
        <v/>
      </c>
      <c r="AD14">
        <f>IF(OR(Setup!$E$37="",Setup!$G$37="",Setup!$F$37=""),"",IF(AND(Setup!$F$37="Once",AD$1&gt;0),"",IF(OR(IF(Setup!$M$37&gt;0,Setup!$G$37+(Setup!$O$37+AD$1)*Setup!$M$37,EDATE(Setup!$G$37,(Setup!$O$37+AD$1)*Setup!$N$37))&gt;Setup!$P$37,IF(Setup!$M$37&gt;0,Setup!$G$37+(Setup!$O$37+AD$1)*Setup!$M$37,EDATE(Setup!$G$37,(Setup!$O$37+AD$1)*Setup!$N$37))&lt;Setup!$D$5),"",IF(Setup!$M$37&gt;0,Setup!$G$37+(Setup!$O$37+AD$1)*Setup!$M$37,EDATE(Setup!$G$37,(Setup!$O$37+AD$1)*Setup!$N$37))+$A14/1000)))</f>
        <v/>
      </c>
      <c r="AE14">
        <f>IF(OR(Setup!$E$37="",Setup!$G$37="",Setup!$F$37=""),"",IF(AND(Setup!$F$37="Once",AE$1&gt;0),"",IF(OR(IF(Setup!$M$37&gt;0,Setup!$G$37+(Setup!$O$37+AE$1)*Setup!$M$37,EDATE(Setup!$G$37,(Setup!$O$37+AE$1)*Setup!$N$37))&gt;Setup!$P$37,IF(Setup!$M$37&gt;0,Setup!$G$37+(Setup!$O$37+AE$1)*Setup!$M$37,EDATE(Setup!$G$37,(Setup!$O$37+AE$1)*Setup!$N$37))&lt;Setup!$D$5),"",IF(Setup!$M$37&gt;0,Setup!$G$37+(Setup!$O$37+AE$1)*Setup!$M$37,EDATE(Setup!$G$37,(Setup!$O$37+AE$1)*Setup!$N$37))+$A14/1000)))</f>
        <v/>
      </c>
      <c r="AF14">
        <f>IF(OR(Setup!$E$37="",Setup!$G$37="",Setup!$F$37=""),"",IF(AND(Setup!$F$37="Once",AF$1&gt;0),"",IF(OR(IF(Setup!$M$37&gt;0,Setup!$G$37+(Setup!$O$37+AF$1)*Setup!$M$37,EDATE(Setup!$G$37,(Setup!$O$37+AF$1)*Setup!$N$37))&gt;Setup!$P$37,IF(Setup!$M$37&gt;0,Setup!$G$37+(Setup!$O$37+AF$1)*Setup!$M$37,EDATE(Setup!$G$37,(Setup!$O$37+AF$1)*Setup!$N$37))&lt;Setup!$D$5),"",IF(Setup!$M$37&gt;0,Setup!$G$37+(Setup!$O$37+AF$1)*Setup!$M$37,EDATE(Setup!$G$37,(Setup!$O$37+AF$1)*Setup!$N$37))+$A14/1000)))</f>
        <v/>
      </c>
      <c r="AG14">
        <f>IF(OR(Setup!$E$37="",Setup!$G$37="",Setup!$F$37=""),"",IF(AND(Setup!$F$37="Once",AG$1&gt;0),"",IF(OR(IF(Setup!$M$37&gt;0,Setup!$G$37+(Setup!$O$37+AG$1)*Setup!$M$37,EDATE(Setup!$G$37,(Setup!$O$37+AG$1)*Setup!$N$37))&gt;Setup!$P$37,IF(Setup!$M$37&gt;0,Setup!$G$37+(Setup!$O$37+AG$1)*Setup!$M$37,EDATE(Setup!$G$37,(Setup!$O$37+AG$1)*Setup!$N$37))&lt;Setup!$D$5),"",IF(Setup!$M$37&gt;0,Setup!$G$37+(Setup!$O$37+AG$1)*Setup!$M$37,EDATE(Setup!$G$37,(Setup!$O$37+AG$1)*Setup!$N$37))+$A14/1000)))</f>
        <v/>
      </c>
      <c r="AH14">
        <f>IF(OR(Setup!$E$37="",Setup!$G$37="",Setup!$F$37=""),"",IF(AND(Setup!$F$37="Once",AH$1&gt;0),"",IF(OR(IF(Setup!$M$37&gt;0,Setup!$G$37+(Setup!$O$37+AH$1)*Setup!$M$37,EDATE(Setup!$G$37,(Setup!$O$37+AH$1)*Setup!$N$37))&gt;Setup!$P$37,IF(Setup!$M$37&gt;0,Setup!$G$37+(Setup!$O$37+AH$1)*Setup!$M$37,EDATE(Setup!$G$37,(Setup!$O$37+AH$1)*Setup!$N$37))&lt;Setup!$D$5),"",IF(Setup!$M$37&gt;0,Setup!$G$37+(Setup!$O$37+AH$1)*Setup!$M$37,EDATE(Setup!$G$37,(Setup!$O$37+AH$1)*Setup!$N$37))+$A14/1000)))</f>
        <v/>
      </c>
      <c r="AI14">
        <f>IF(OR(Setup!$E$37="",Setup!$G$37="",Setup!$F$37=""),"",IF(AND(Setup!$F$37="Once",AI$1&gt;0),"",IF(OR(IF(Setup!$M$37&gt;0,Setup!$G$37+(Setup!$O$37+AI$1)*Setup!$M$37,EDATE(Setup!$G$37,(Setup!$O$37+AI$1)*Setup!$N$37))&gt;Setup!$P$37,IF(Setup!$M$37&gt;0,Setup!$G$37+(Setup!$O$37+AI$1)*Setup!$M$37,EDATE(Setup!$G$37,(Setup!$O$37+AI$1)*Setup!$N$37))&lt;Setup!$D$5),"",IF(Setup!$M$37&gt;0,Setup!$G$37+(Setup!$O$37+AI$1)*Setup!$M$37,EDATE(Setup!$G$37,(Setup!$O$37+AI$1)*Setup!$N$37))+$A14/1000)))</f>
        <v/>
      </c>
      <c r="AJ14">
        <f>IF(OR(Setup!$E$37="",Setup!$G$37="",Setup!$F$37=""),"",IF(AND(Setup!$F$37="Once",AJ$1&gt;0),"",IF(OR(IF(Setup!$M$37&gt;0,Setup!$G$37+(Setup!$O$37+AJ$1)*Setup!$M$37,EDATE(Setup!$G$37,(Setup!$O$37+AJ$1)*Setup!$N$37))&gt;Setup!$P$37,IF(Setup!$M$37&gt;0,Setup!$G$37+(Setup!$O$37+AJ$1)*Setup!$M$37,EDATE(Setup!$G$37,(Setup!$O$37+AJ$1)*Setup!$N$37))&lt;Setup!$D$5),"",IF(Setup!$M$37&gt;0,Setup!$G$37+(Setup!$O$37+AJ$1)*Setup!$M$37,EDATE(Setup!$G$37,(Setup!$O$37+AJ$1)*Setup!$N$37))+$A14/1000)))</f>
        <v/>
      </c>
      <c r="AK14">
        <f>IF(OR(Setup!$E$37="",Setup!$G$37="",Setup!$F$37=""),"",IF(AND(Setup!$F$37="Once",AK$1&gt;0),"",IF(OR(IF(Setup!$M$37&gt;0,Setup!$G$37+(Setup!$O$37+AK$1)*Setup!$M$37,EDATE(Setup!$G$37,(Setup!$O$37+AK$1)*Setup!$N$37))&gt;Setup!$P$37,IF(Setup!$M$37&gt;0,Setup!$G$37+(Setup!$O$37+AK$1)*Setup!$M$37,EDATE(Setup!$G$37,(Setup!$O$37+AK$1)*Setup!$N$37))&lt;Setup!$D$5),"",IF(Setup!$M$37&gt;0,Setup!$G$37+(Setup!$O$37+AK$1)*Setup!$M$37,EDATE(Setup!$G$37,(Setup!$O$37+AK$1)*Setup!$N$37))+$A14/1000)))</f>
        <v/>
      </c>
      <c r="AL14">
        <f>IF(OR(Setup!$E$37="",Setup!$G$37="",Setup!$F$37=""),"",IF(AND(Setup!$F$37="Once",AL$1&gt;0),"",IF(OR(IF(Setup!$M$37&gt;0,Setup!$G$37+(Setup!$O$37+AL$1)*Setup!$M$37,EDATE(Setup!$G$37,(Setup!$O$37+AL$1)*Setup!$N$37))&gt;Setup!$P$37,IF(Setup!$M$37&gt;0,Setup!$G$37+(Setup!$O$37+AL$1)*Setup!$M$37,EDATE(Setup!$G$37,(Setup!$O$37+AL$1)*Setup!$N$37))&lt;Setup!$D$5),"",IF(Setup!$M$37&gt;0,Setup!$G$37+(Setup!$O$37+AL$1)*Setup!$M$37,EDATE(Setup!$G$37,(Setup!$O$37+AL$1)*Setup!$N$37))+$A14/1000)))</f>
        <v/>
      </c>
      <c r="AM14">
        <f>IF(OR(Setup!$E$37="",Setup!$G$37="",Setup!$F$37=""),"",IF(AND(Setup!$F$37="Once",AM$1&gt;0),"",IF(OR(IF(Setup!$M$37&gt;0,Setup!$G$37+(Setup!$O$37+AM$1)*Setup!$M$37,EDATE(Setup!$G$37,(Setup!$O$37+AM$1)*Setup!$N$37))&gt;Setup!$P$37,IF(Setup!$M$37&gt;0,Setup!$G$37+(Setup!$O$37+AM$1)*Setup!$M$37,EDATE(Setup!$G$37,(Setup!$O$37+AM$1)*Setup!$N$37))&lt;Setup!$D$5),"",IF(Setup!$M$37&gt;0,Setup!$G$37+(Setup!$O$37+AM$1)*Setup!$M$37,EDATE(Setup!$G$37,(Setup!$O$37+AM$1)*Setup!$N$37))+$A14/1000)))</f>
        <v/>
      </c>
      <c r="AN14">
        <f>IF(OR(Setup!$E$37="",Setup!$G$37="",Setup!$F$37=""),"",IF(AND(Setup!$F$37="Once",AN$1&gt;0),"",IF(OR(IF(Setup!$M$37&gt;0,Setup!$G$37+(Setup!$O$37+AN$1)*Setup!$M$37,EDATE(Setup!$G$37,(Setup!$O$37+AN$1)*Setup!$N$37))&gt;Setup!$P$37,IF(Setup!$M$37&gt;0,Setup!$G$37+(Setup!$O$37+AN$1)*Setup!$M$37,EDATE(Setup!$G$37,(Setup!$O$37+AN$1)*Setup!$N$37))&lt;Setup!$D$5),"",IF(Setup!$M$37&gt;0,Setup!$G$37+(Setup!$O$37+AN$1)*Setup!$M$37,EDATE(Setup!$G$37,(Setup!$O$37+AN$1)*Setup!$N$37))+$A14/1000)))</f>
        <v/>
      </c>
      <c r="AO14">
        <f>IF(OR(Setup!$E$37="",Setup!$G$37="",Setup!$F$37=""),"",IF(AND(Setup!$F$37="Once",AO$1&gt;0),"",IF(OR(IF(Setup!$M$37&gt;0,Setup!$G$37+(Setup!$O$37+AO$1)*Setup!$M$37,EDATE(Setup!$G$37,(Setup!$O$37+AO$1)*Setup!$N$37))&gt;Setup!$P$37,IF(Setup!$M$37&gt;0,Setup!$G$37+(Setup!$O$37+AO$1)*Setup!$M$37,EDATE(Setup!$G$37,(Setup!$O$37+AO$1)*Setup!$N$37))&lt;Setup!$D$5),"",IF(Setup!$M$37&gt;0,Setup!$G$37+(Setup!$O$37+AO$1)*Setup!$M$37,EDATE(Setup!$G$37,(Setup!$O$37+AO$1)*Setup!$N$37))+$A14/1000)))</f>
        <v/>
      </c>
      <c r="AP14">
        <f>IF(OR(Setup!$E$37="",Setup!$G$37="",Setup!$F$37=""),"",IF(AND(Setup!$F$37="Once",AP$1&gt;0),"",IF(OR(IF(Setup!$M$37&gt;0,Setup!$G$37+(Setup!$O$37+AP$1)*Setup!$M$37,EDATE(Setup!$G$37,(Setup!$O$37+AP$1)*Setup!$N$37))&gt;Setup!$P$37,IF(Setup!$M$37&gt;0,Setup!$G$37+(Setup!$O$37+AP$1)*Setup!$M$37,EDATE(Setup!$G$37,(Setup!$O$37+AP$1)*Setup!$N$37))&lt;Setup!$D$5),"",IF(Setup!$M$37&gt;0,Setup!$G$37+(Setup!$O$37+AP$1)*Setup!$M$37,EDATE(Setup!$G$37,(Setup!$O$37+AP$1)*Setup!$N$37))+$A14/1000)))</f>
        <v/>
      </c>
      <c r="AQ14">
        <f>IF(OR(Setup!$E$37="",Setup!$G$37="",Setup!$F$37=""),"",IF(AND(Setup!$F$37="Once",AQ$1&gt;0),"",IF(OR(IF(Setup!$M$37&gt;0,Setup!$G$37+(Setup!$O$37+AQ$1)*Setup!$M$37,EDATE(Setup!$G$37,(Setup!$O$37+AQ$1)*Setup!$N$37))&gt;Setup!$P$37,IF(Setup!$M$37&gt;0,Setup!$G$37+(Setup!$O$37+AQ$1)*Setup!$M$37,EDATE(Setup!$G$37,(Setup!$O$37+AQ$1)*Setup!$N$37))&lt;Setup!$D$5),"",IF(Setup!$M$37&gt;0,Setup!$G$37+(Setup!$O$37+AQ$1)*Setup!$M$37,EDATE(Setup!$G$37,(Setup!$O$37+AQ$1)*Setup!$N$37))+$A14/1000)))</f>
        <v/>
      </c>
      <c r="AR14">
        <f>IF(OR(Setup!$E$37="",Setup!$G$37="",Setup!$F$37=""),"",IF(AND(Setup!$F$37="Once",AR$1&gt;0),"",IF(OR(IF(Setup!$M$37&gt;0,Setup!$G$37+(Setup!$O$37+AR$1)*Setup!$M$37,EDATE(Setup!$G$37,(Setup!$O$37+AR$1)*Setup!$N$37))&gt;Setup!$P$37,IF(Setup!$M$37&gt;0,Setup!$G$37+(Setup!$O$37+AR$1)*Setup!$M$37,EDATE(Setup!$G$37,(Setup!$O$37+AR$1)*Setup!$N$37))&lt;Setup!$D$5),"",IF(Setup!$M$37&gt;0,Setup!$G$37+(Setup!$O$37+AR$1)*Setup!$M$37,EDATE(Setup!$G$37,(Setup!$O$37+AR$1)*Setup!$N$37))+$A14/1000)))</f>
        <v/>
      </c>
      <c r="AS14">
        <f>IF(OR(Setup!$E$37="",Setup!$G$37="",Setup!$F$37=""),"",IF(AND(Setup!$F$37="Once",AS$1&gt;0),"",IF(OR(IF(Setup!$M$37&gt;0,Setup!$G$37+(Setup!$O$37+AS$1)*Setup!$M$37,EDATE(Setup!$G$37,(Setup!$O$37+AS$1)*Setup!$N$37))&gt;Setup!$P$37,IF(Setup!$M$37&gt;0,Setup!$G$37+(Setup!$O$37+AS$1)*Setup!$M$37,EDATE(Setup!$G$37,(Setup!$O$37+AS$1)*Setup!$N$37))&lt;Setup!$D$5),"",IF(Setup!$M$37&gt;0,Setup!$G$37+(Setup!$O$37+AS$1)*Setup!$M$37,EDATE(Setup!$G$37,(Setup!$O$37+AS$1)*Setup!$N$37))+$A14/1000)))</f>
        <v/>
      </c>
      <c r="AT14">
        <f>IF(OR(Setup!$E$37="",Setup!$G$37="",Setup!$F$37=""),"",IF(AND(Setup!$F$37="Once",AT$1&gt;0),"",IF(OR(IF(Setup!$M$37&gt;0,Setup!$G$37+(Setup!$O$37+AT$1)*Setup!$M$37,EDATE(Setup!$G$37,(Setup!$O$37+AT$1)*Setup!$N$37))&gt;Setup!$P$37,IF(Setup!$M$37&gt;0,Setup!$G$37+(Setup!$O$37+AT$1)*Setup!$M$37,EDATE(Setup!$G$37,(Setup!$O$37+AT$1)*Setup!$N$37))&lt;Setup!$D$5),"",IF(Setup!$M$37&gt;0,Setup!$G$37+(Setup!$O$37+AT$1)*Setup!$M$37,EDATE(Setup!$G$37,(Setup!$O$37+AT$1)*Setup!$N$37))+$A14/1000)))</f>
        <v/>
      </c>
      <c r="AU14">
        <f>IF(OR(Setup!$E$37="",Setup!$G$37="",Setup!$F$37=""),"",IF(AND(Setup!$F$37="Once",AU$1&gt;0),"",IF(OR(IF(Setup!$M$37&gt;0,Setup!$G$37+(Setup!$O$37+AU$1)*Setup!$M$37,EDATE(Setup!$G$37,(Setup!$O$37+AU$1)*Setup!$N$37))&gt;Setup!$P$37,IF(Setup!$M$37&gt;0,Setup!$G$37+(Setup!$O$37+AU$1)*Setup!$M$37,EDATE(Setup!$G$37,(Setup!$O$37+AU$1)*Setup!$N$37))&lt;Setup!$D$5),"",IF(Setup!$M$37&gt;0,Setup!$G$37+(Setup!$O$37+AU$1)*Setup!$M$37,EDATE(Setup!$G$37,(Setup!$O$37+AU$1)*Setup!$N$37))+$A14/1000)))</f>
        <v/>
      </c>
      <c r="AV14">
        <f>IF(OR(Setup!$E$37="",Setup!$G$37="",Setup!$F$37=""),"",IF(AND(Setup!$F$37="Once",AV$1&gt;0),"",IF(OR(IF(Setup!$M$37&gt;0,Setup!$G$37+(Setup!$O$37+AV$1)*Setup!$M$37,EDATE(Setup!$G$37,(Setup!$O$37+AV$1)*Setup!$N$37))&gt;Setup!$P$37,IF(Setup!$M$37&gt;0,Setup!$G$37+(Setup!$O$37+AV$1)*Setup!$M$37,EDATE(Setup!$G$37,(Setup!$O$37+AV$1)*Setup!$N$37))&lt;Setup!$D$5),"",IF(Setup!$M$37&gt;0,Setup!$G$37+(Setup!$O$37+AV$1)*Setup!$M$37,EDATE(Setup!$G$37,(Setup!$O$37+AV$1)*Setup!$N$37))+$A14/1000)))</f>
        <v/>
      </c>
      <c r="AW14">
        <f>IF(OR(Setup!$E$37="",Setup!$G$37="",Setup!$F$37=""),"",IF(AND(Setup!$F$37="Once",AW$1&gt;0),"",IF(OR(IF(Setup!$M$37&gt;0,Setup!$G$37+(Setup!$O$37+AW$1)*Setup!$M$37,EDATE(Setup!$G$37,(Setup!$O$37+AW$1)*Setup!$N$37))&gt;Setup!$P$37,IF(Setup!$M$37&gt;0,Setup!$G$37+(Setup!$O$37+AW$1)*Setup!$M$37,EDATE(Setup!$G$37,(Setup!$O$37+AW$1)*Setup!$N$37))&lt;Setup!$D$5),"",IF(Setup!$M$37&gt;0,Setup!$G$37+(Setup!$O$37+AW$1)*Setup!$M$37,EDATE(Setup!$G$37,(Setup!$O$37+AW$1)*Setup!$N$37))+$A14/1000)))</f>
        <v/>
      </c>
      <c r="AX14">
        <f>IF(OR(Setup!$E$37="",Setup!$G$37="",Setup!$F$37=""),"",IF(AND(Setup!$F$37="Once",AX$1&gt;0),"",IF(OR(IF(Setup!$M$37&gt;0,Setup!$G$37+(Setup!$O$37+AX$1)*Setup!$M$37,EDATE(Setup!$G$37,(Setup!$O$37+AX$1)*Setup!$N$37))&gt;Setup!$P$37,IF(Setup!$M$37&gt;0,Setup!$G$37+(Setup!$O$37+AX$1)*Setup!$M$37,EDATE(Setup!$G$37,(Setup!$O$37+AX$1)*Setup!$N$37))&lt;Setup!$D$5),"",IF(Setup!$M$37&gt;0,Setup!$G$37+(Setup!$O$37+AX$1)*Setup!$M$37,EDATE(Setup!$G$37,(Setup!$O$37+AX$1)*Setup!$N$37))+$A14/1000)))</f>
        <v/>
      </c>
      <c r="AY14">
        <f>IF(OR(Setup!$E$37="",Setup!$G$37="",Setup!$F$37=""),"",IF(AND(Setup!$F$37="Once",AY$1&gt;0),"",IF(OR(IF(Setup!$M$37&gt;0,Setup!$G$37+(Setup!$O$37+AY$1)*Setup!$M$37,EDATE(Setup!$G$37,(Setup!$O$37+AY$1)*Setup!$N$37))&gt;Setup!$P$37,IF(Setup!$M$37&gt;0,Setup!$G$37+(Setup!$O$37+AY$1)*Setup!$M$37,EDATE(Setup!$G$37,(Setup!$O$37+AY$1)*Setup!$N$37))&lt;Setup!$D$5),"",IF(Setup!$M$37&gt;0,Setup!$G$37+(Setup!$O$37+AY$1)*Setup!$M$37,EDATE(Setup!$G$37,(Setup!$O$37+AY$1)*Setup!$N$37))+$A14/1000)))</f>
        <v/>
      </c>
      <c r="AZ14">
        <f>IF(OR(Setup!$E$37="",Setup!$G$37="",Setup!$F$37=""),"",IF(AND(Setup!$F$37="Once",AZ$1&gt;0),"",IF(OR(IF(Setup!$M$37&gt;0,Setup!$G$37+(Setup!$O$37+AZ$1)*Setup!$M$37,EDATE(Setup!$G$37,(Setup!$O$37+AZ$1)*Setup!$N$37))&gt;Setup!$P$37,IF(Setup!$M$37&gt;0,Setup!$G$37+(Setup!$O$37+AZ$1)*Setup!$M$37,EDATE(Setup!$G$37,(Setup!$O$37+AZ$1)*Setup!$N$37))&lt;Setup!$D$5),"",IF(Setup!$M$37&gt;0,Setup!$G$37+(Setup!$O$37+AZ$1)*Setup!$M$37,EDATE(Setup!$G$37,(Setup!$O$37+AZ$1)*Setup!$N$37))+$A14/1000)))</f>
        <v/>
      </c>
      <c r="BA14">
        <f>IF(OR(Setup!$E$37="",Setup!$G$37="",Setup!$F$37=""),"",IF(AND(Setup!$F$37="Once",BA$1&gt;0),"",IF(OR(IF(Setup!$M$37&gt;0,Setup!$G$37+(Setup!$O$37+BA$1)*Setup!$M$37,EDATE(Setup!$G$37,(Setup!$O$37+BA$1)*Setup!$N$37))&gt;Setup!$P$37,IF(Setup!$M$37&gt;0,Setup!$G$37+(Setup!$O$37+BA$1)*Setup!$M$37,EDATE(Setup!$G$37,(Setup!$O$37+BA$1)*Setup!$N$37))&lt;Setup!$D$5),"",IF(Setup!$M$37&gt;0,Setup!$G$37+(Setup!$O$37+BA$1)*Setup!$M$37,EDATE(Setup!$G$37,(Setup!$O$37+BA$1)*Setup!$N$37))+$A14/1000)))</f>
        <v/>
      </c>
      <c r="BB14">
        <f>IF(OR(Setup!$E$37="",Setup!$G$37="",Setup!$F$37=""),"",IF(AND(Setup!$F$37="Once",BB$1&gt;0),"",IF(OR(IF(Setup!$M$37&gt;0,Setup!$G$37+(Setup!$O$37+BB$1)*Setup!$M$37,EDATE(Setup!$G$37,(Setup!$O$37+BB$1)*Setup!$N$37))&gt;Setup!$P$37,IF(Setup!$M$37&gt;0,Setup!$G$37+(Setup!$O$37+BB$1)*Setup!$M$37,EDATE(Setup!$G$37,(Setup!$O$37+BB$1)*Setup!$N$37))&lt;Setup!$D$5),"",IF(Setup!$M$37&gt;0,Setup!$G$37+(Setup!$O$37+BB$1)*Setup!$M$37,EDATE(Setup!$G$37,(Setup!$O$37+BB$1)*Setup!$N$37))+$A14/1000)))</f>
        <v/>
      </c>
    </row>
    <row r="15">
      <c r="A15" t="n">
        <v>14</v>
      </c>
      <c r="B15">
        <f>IF(OR(Setup!$E$38="",Setup!$G$38="",Setup!$F$38=""),"",IF(AND(Setup!$F$38="Once",B$1&gt;0),"",IF(OR(IF(Setup!$M$38&gt;0,Setup!$G$38+(Setup!$O$38+B$1)*Setup!$M$38,EDATE(Setup!$G$38,(Setup!$O$38+B$1)*Setup!$N$38))&gt;Setup!$P$38,IF(Setup!$M$38&gt;0,Setup!$G$38+(Setup!$O$38+B$1)*Setup!$M$38,EDATE(Setup!$G$38,(Setup!$O$38+B$1)*Setup!$N$38))&lt;Setup!$D$5),"",IF(Setup!$M$38&gt;0,Setup!$G$38+(Setup!$O$38+B$1)*Setup!$M$38,EDATE(Setup!$G$38,(Setup!$O$38+B$1)*Setup!$N$38))+$A15/1000)))</f>
        <v/>
      </c>
      <c r="C15">
        <f>IF(OR(Setup!$E$38="",Setup!$G$38="",Setup!$F$38=""),"",IF(AND(Setup!$F$38="Once",C$1&gt;0),"",IF(OR(IF(Setup!$M$38&gt;0,Setup!$G$38+(Setup!$O$38+C$1)*Setup!$M$38,EDATE(Setup!$G$38,(Setup!$O$38+C$1)*Setup!$N$38))&gt;Setup!$P$38,IF(Setup!$M$38&gt;0,Setup!$G$38+(Setup!$O$38+C$1)*Setup!$M$38,EDATE(Setup!$G$38,(Setup!$O$38+C$1)*Setup!$N$38))&lt;Setup!$D$5),"",IF(Setup!$M$38&gt;0,Setup!$G$38+(Setup!$O$38+C$1)*Setup!$M$38,EDATE(Setup!$G$38,(Setup!$O$38+C$1)*Setup!$N$38))+$A15/1000)))</f>
        <v/>
      </c>
      <c r="D15">
        <f>IF(OR(Setup!$E$38="",Setup!$G$38="",Setup!$F$38=""),"",IF(AND(Setup!$F$38="Once",D$1&gt;0),"",IF(OR(IF(Setup!$M$38&gt;0,Setup!$G$38+(Setup!$O$38+D$1)*Setup!$M$38,EDATE(Setup!$G$38,(Setup!$O$38+D$1)*Setup!$N$38))&gt;Setup!$P$38,IF(Setup!$M$38&gt;0,Setup!$G$38+(Setup!$O$38+D$1)*Setup!$M$38,EDATE(Setup!$G$38,(Setup!$O$38+D$1)*Setup!$N$38))&lt;Setup!$D$5),"",IF(Setup!$M$38&gt;0,Setup!$G$38+(Setup!$O$38+D$1)*Setup!$M$38,EDATE(Setup!$G$38,(Setup!$O$38+D$1)*Setup!$N$38))+$A15/1000)))</f>
        <v/>
      </c>
      <c r="E15">
        <f>IF(OR(Setup!$E$38="",Setup!$G$38="",Setup!$F$38=""),"",IF(AND(Setup!$F$38="Once",E$1&gt;0),"",IF(OR(IF(Setup!$M$38&gt;0,Setup!$G$38+(Setup!$O$38+E$1)*Setup!$M$38,EDATE(Setup!$G$38,(Setup!$O$38+E$1)*Setup!$N$38))&gt;Setup!$P$38,IF(Setup!$M$38&gt;0,Setup!$G$38+(Setup!$O$38+E$1)*Setup!$M$38,EDATE(Setup!$G$38,(Setup!$O$38+E$1)*Setup!$N$38))&lt;Setup!$D$5),"",IF(Setup!$M$38&gt;0,Setup!$G$38+(Setup!$O$38+E$1)*Setup!$M$38,EDATE(Setup!$G$38,(Setup!$O$38+E$1)*Setup!$N$38))+$A15/1000)))</f>
        <v/>
      </c>
      <c r="F15">
        <f>IF(OR(Setup!$E$38="",Setup!$G$38="",Setup!$F$38=""),"",IF(AND(Setup!$F$38="Once",F$1&gt;0),"",IF(OR(IF(Setup!$M$38&gt;0,Setup!$G$38+(Setup!$O$38+F$1)*Setup!$M$38,EDATE(Setup!$G$38,(Setup!$O$38+F$1)*Setup!$N$38))&gt;Setup!$P$38,IF(Setup!$M$38&gt;0,Setup!$G$38+(Setup!$O$38+F$1)*Setup!$M$38,EDATE(Setup!$G$38,(Setup!$O$38+F$1)*Setup!$N$38))&lt;Setup!$D$5),"",IF(Setup!$M$38&gt;0,Setup!$G$38+(Setup!$O$38+F$1)*Setup!$M$38,EDATE(Setup!$G$38,(Setup!$O$38+F$1)*Setup!$N$38))+$A15/1000)))</f>
        <v/>
      </c>
      <c r="G15">
        <f>IF(OR(Setup!$E$38="",Setup!$G$38="",Setup!$F$38=""),"",IF(AND(Setup!$F$38="Once",G$1&gt;0),"",IF(OR(IF(Setup!$M$38&gt;0,Setup!$G$38+(Setup!$O$38+G$1)*Setup!$M$38,EDATE(Setup!$G$38,(Setup!$O$38+G$1)*Setup!$N$38))&gt;Setup!$P$38,IF(Setup!$M$38&gt;0,Setup!$G$38+(Setup!$O$38+G$1)*Setup!$M$38,EDATE(Setup!$G$38,(Setup!$O$38+G$1)*Setup!$N$38))&lt;Setup!$D$5),"",IF(Setup!$M$38&gt;0,Setup!$G$38+(Setup!$O$38+G$1)*Setup!$M$38,EDATE(Setup!$G$38,(Setup!$O$38+G$1)*Setup!$N$38))+$A15/1000)))</f>
        <v/>
      </c>
      <c r="H15">
        <f>IF(OR(Setup!$E$38="",Setup!$G$38="",Setup!$F$38=""),"",IF(AND(Setup!$F$38="Once",H$1&gt;0),"",IF(OR(IF(Setup!$M$38&gt;0,Setup!$G$38+(Setup!$O$38+H$1)*Setup!$M$38,EDATE(Setup!$G$38,(Setup!$O$38+H$1)*Setup!$N$38))&gt;Setup!$P$38,IF(Setup!$M$38&gt;0,Setup!$G$38+(Setup!$O$38+H$1)*Setup!$M$38,EDATE(Setup!$G$38,(Setup!$O$38+H$1)*Setup!$N$38))&lt;Setup!$D$5),"",IF(Setup!$M$38&gt;0,Setup!$G$38+(Setup!$O$38+H$1)*Setup!$M$38,EDATE(Setup!$G$38,(Setup!$O$38+H$1)*Setup!$N$38))+$A15/1000)))</f>
        <v/>
      </c>
      <c r="I15">
        <f>IF(OR(Setup!$E$38="",Setup!$G$38="",Setup!$F$38=""),"",IF(AND(Setup!$F$38="Once",I$1&gt;0),"",IF(OR(IF(Setup!$M$38&gt;0,Setup!$G$38+(Setup!$O$38+I$1)*Setup!$M$38,EDATE(Setup!$G$38,(Setup!$O$38+I$1)*Setup!$N$38))&gt;Setup!$P$38,IF(Setup!$M$38&gt;0,Setup!$G$38+(Setup!$O$38+I$1)*Setup!$M$38,EDATE(Setup!$G$38,(Setup!$O$38+I$1)*Setup!$N$38))&lt;Setup!$D$5),"",IF(Setup!$M$38&gt;0,Setup!$G$38+(Setup!$O$38+I$1)*Setup!$M$38,EDATE(Setup!$G$38,(Setup!$O$38+I$1)*Setup!$N$38))+$A15/1000)))</f>
        <v/>
      </c>
      <c r="J15">
        <f>IF(OR(Setup!$E$38="",Setup!$G$38="",Setup!$F$38=""),"",IF(AND(Setup!$F$38="Once",J$1&gt;0),"",IF(OR(IF(Setup!$M$38&gt;0,Setup!$G$38+(Setup!$O$38+J$1)*Setup!$M$38,EDATE(Setup!$G$38,(Setup!$O$38+J$1)*Setup!$N$38))&gt;Setup!$P$38,IF(Setup!$M$38&gt;0,Setup!$G$38+(Setup!$O$38+J$1)*Setup!$M$38,EDATE(Setup!$G$38,(Setup!$O$38+J$1)*Setup!$N$38))&lt;Setup!$D$5),"",IF(Setup!$M$38&gt;0,Setup!$G$38+(Setup!$O$38+J$1)*Setup!$M$38,EDATE(Setup!$G$38,(Setup!$O$38+J$1)*Setup!$N$38))+$A15/1000)))</f>
        <v/>
      </c>
      <c r="K15">
        <f>IF(OR(Setup!$E$38="",Setup!$G$38="",Setup!$F$38=""),"",IF(AND(Setup!$F$38="Once",K$1&gt;0),"",IF(OR(IF(Setup!$M$38&gt;0,Setup!$G$38+(Setup!$O$38+K$1)*Setup!$M$38,EDATE(Setup!$G$38,(Setup!$O$38+K$1)*Setup!$N$38))&gt;Setup!$P$38,IF(Setup!$M$38&gt;0,Setup!$G$38+(Setup!$O$38+K$1)*Setup!$M$38,EDATE(Setup!$G$38,(Setup!$O$38+K$1)*Setup!$N$38))&lt;Setup!$D$5),"",IF(Setup!$M$38&gt;0,Setup!$G$38+(Setup!$O$38+K$1)*Setup!$M$38,EDATE(Setup!$G$38,(Setup!$O$38+K$1)*Setup!$N$38))+$A15/1000)))</f>
        <v/>
      </c>
      <c r="L15">
        <f>IF(OR(Setup!$E$38="",Setup!$G$38="",Setup!$F$38=""),"",IF(AND(Setup!$F$38="Once",L$1&gt;0),"",IF(OR(IF(Setup!$M$38&gt;0,Setup!$G$38+(Setup!$O$38+L$1)*Setup!$M$38,EDATE(Setup!$G$38,(Setup!$O$38+L$1)*Setup!$N$38))&gt;Setup!$P$38,IF(Setup!$M$38&gt;0,Setup!$G$38+(Setup!$O$38+L$1)*Setup!$M$38,EDATE(Setup!$G$38,(Setup!$O$38+L$1)*Setup!$N$38))&lt;Setup!$D$5),"",IF(Setup!$M$38&gt;0,Setup!$G$38+(Setup!$O$38+L$1)*Setup!$M$38,EDATE(Setup!$G$38,(Setup!$O$38+L$1)*Setup!$N$38))+$A15/1000)))</f>
        <v/>
      </c>
      <c r="M15">
        <f>IF(OR(Setup!$E$38="",Setup!$G$38="",Setup!$F$38=""),"",IF(AND(Setup!$F$38="Once",M$1&gt;0),"",IF(OR(IF(Setup!$M$38&gt;0,Setup!$G$38+(Setup!$O$38+M$1)*Setup!$M$38,EDATE(Setup!$G$38,(Setup!$O$38+M$1)*Setup!$N$38))&gt;Setup!$P$38,IF(Setup!$M$38&gt;0,Setup!$G$38+(Setup!$O$38+M$1)*Setup!$M$38,EDATE(Setup!$G$38,(Setup!$O$38+M$1)*Setup!$N$38))&lt;Setup!$D$5),"",IF(Setup!$M$38&gt;0,Setup!$G$38+(Setup!$O$38+M$1)*Setup!$M$38,EDATE(Setup!$G$38,(Setup!$O$38+M$1)*Setup!$N$38))+$A15/1000)))</f>
        <v/>
      </c>
      <c r="N15">
        <f>IF(OR(Setup!$E$38="",Setup!$G$38="",Setup!$F$38=""),"",IF(AND(Setup!$F$38="Once",N$1&gt;0),"",IF(OR(IF(Setup!$M$38&gt;0,Setup!$G$38+(Setup!$O$38+N$1)*Setup!$M$38,EDATE(Setup!$G$38,(Setup!$O$38+N$1)*Setup!$N$38))&gt;Setup!$P$38,IF(Setup!$M$38&gt;0,Setup!$G$38+(Setup!$O$38+N$1)*Setup!$M$38,EDATE(Setup!$G$38,(Setup!$O$38+N$1)*Setup!$N$38))&lt;Setup!$D$5),"",IF(Setup!$M$38&gt;0,Setup!$G$38+(Setup!$O$38+N$1)*Setup!$M$38,EDATE(Setup!$G$38,(Setup!$O$38+N$1)*Setup!$N$38))+$A15/1000)))</f>
        <v/>
      </c>
      <c r="O15">
        <f>IF(OR(Setup!$E$38="",Setup!$G$38="",Setup!$F$38=""),"",IF(AND(Setup!$F$38="Once",O$1&gt;0),"",IF(OR(IF(Setup!$M$38&gt;0,Setup!$G$38+(Setup!$O$38+O$1)*Setup!$M$38,EDATE(Setup!$G$38,(Setup!$O$38+O$1)*Setup!$N$38))&gt;Setup!$P$38,IF(Setup!$M$38&gt;0,Setup!$G$38+(Setup!$O$38+O$1)*Setup!$M$38,EDATE(Setup!$G$38,(Setup!$O$38+O$1)*Setup!$N$38))&lt;Setup!$D$5),"",IF(Setup!$M$38&gt;0,Setup!$G$38+(Setup!$O$38+O$1)*Setup!$M$38,EDATE(Setup!$G$38,(Setup!$O$38+O$1)*Setup!$N$38))+$A15/1000)))</f>
        <v/>
      </c>
      <c r="P15">
        <f>IF(OR(Setup!$E$38="",Setup!$G$38="",Setup!$F$38=""),"",IF(AND(Setup!$F$38="Once",P$1&gt;0),"",IF(OR(IF(Setup!$M$38&gt;0,Setup!$G$38+(Setup!$O$38+P$1)*Setup!$M$38,EDATE(Setup!$G$38,(Setup!$O$38+P$1)*Setup!$N$38))&gt;Setup!$P$38,IF(Setup!$M$38&gt;0,Setup!$G$38+(Setup!$O$38+P$1)*Setup!$M$38,EDATE(Setup!$G$38,(Setup!$O$38+P$1)*Setup!$N$38))&lt;Setup!$D$5),"",IF(Setup!$M$38&gt;0,Setup!$G$38+(Setup!$O$38+P$1)*Setup!$M$38,EDATE(Setup!$G$38,(Setup!$O$38+P$1)*Setup!$N$38))+$A15/1000)))</f>
        <v/>
      </c>
      <c r="Q15">
        <f>IF(OR(Setup!$E$38="",Setup!$G$38="",Setup!$F$38=""),"",IF(AND(Setup!$F$38="Once",Q$1&gt;0),"",IF(OR(IF(Setup!$M$38&gt;0,Setup!$G$38+(Setup!$O$38+Q$1)*Setup!$M$38,EDATE(Setup!$G$38,(Setup!$O$38+Q$1)*Setup!$N$38))&gt;Setup!$P$38,IF(Setup!$M$38&gt;0,Setup!$G$38+(Setup!$O$38+Q$1)*Setup!$M$38,EDATE(Setup!$G$38,(Setup!$O$38+Q$1)*Setup!$N$38))&lt;Setup!$D$5),"",IF(Setup!$M$38&gt;0,Setup!$G$38+(Setup!$O$38+Q$1)*Setup!$M$38,EDATE(Setup!$G$38,(Setup!$O$38+Q$1)*Setup!$N$38))+$A15/1000)))</f>
        <v/>
      </c>
      <c r="R15">
        <f>IF(OR(Setup!$E$38="",Setup!$G$38="",Setup!$F$38=""),"",IF(AND(Setup!$F$38="Once",R$1&gt;0),"",IF(OR(IF(Setup!$M$38&gt;0,Setup!$G$38+(Setup!$O$38+R$1)*Setup!$M$38,EDATE(Setup!$G$38,(Setup!$O$38+R$1)*Setup!$N$38))&gt;Setup!$P$38,IF(Setup!$M$38&gt;0,Setup!$G$38+(Setup!$O$38+R$1)*Setup!$M$38,EDATE(Setup!$G$38,(Setup!$O$38+R$1)*Setup!$N$38))&lt;Setup!$D$5),"",IF(Setup!$M$38&gt;0,Setup!$G$38+(Setup!$O$38+R$1)*Setup!$M$38,EDATE(Setup!$G$38,(Setup!$O$38+R$1)*Setup!$N$38))+$A15/1000)))</f>
        <v/>
      </c>
      <c r="S15">
        <f>IF(OR(Setup!$E$38="",Setup!$G$38="",Setup!$F$38=""),"",IF(AND(Setup!$F$38="Once",S$1&gt;0),"",IF(OR(IF(Setup!$M$38&gt;0,Setup!$G$38+(Setup!$O$38+S$1)*Setup!$M$38,EDATE(Setup!$G$38,(Setup!$O$38+S$1)*Setup!$N$38))&gt;Setup!$P$38,IF(Setup!$M$38&gt;0,Setup!$G$38+(Setup!$O$38+S$1)*Setup!$M$38,EDATE(Setup!$G$38,(Setup!$O$38+S$1)*Setup!$N$38))&lt;Setup!$D$5),"",IF(Setup!$M$38&gt;0,Setup!$G$38+(Setup!$O$38+S$1)*Setup!$M$38,EDATE(Setup!$G$38,(Setup!$O$38+S$1)*Setup!$N$38))+$A15/1000)))</f>
        <v/>
      </c>
      <c r="T15">
        <f>IF(OR(Setup!$E$38="",Setup!$G$38="",Setup!$F$38=""),"",IF(AND(Setup!$F$38="Once",T$1&gt;0),"",IF(OR(IF(Setup!$M$38&gt;0,Setup!$G$38+(Setup!$O$38+T$1)*Setup!$M$38,EDATE(Setup!$G$38,(Setup!$O$38+T$1)*Setup!$N$38))&gt;Setup!$P$38,IF(Setup!$M$38&gt;0,Setup!$G$38+(Setup!$O$38+T$1)*Setup!$M$38,EDATE(Setup!$G$38,(Setup!$O$38+T$1)*Setup!$N$38))&lt;Setup!$D$5),"",IF(Setup!$M$38&gt;0,Setup!$G$38+(Setup!$O$38+T$1)*Setup!$M$38,EDATE(Setup!$G$38,(Setup!$O$38+T$1)*Setup!$N$38))+$A15/1000)))</f>
        <v/>
      </c>
      <c r="U15">
        <f>IF(OR(Setup!$E$38="",Setup!$G$38="",Setup!$F$38=""),"",IF(AND(Setup!$F$38="Once",U$1&gt;0),"",IF(OR(IF(Setup!$M$38&gt;0,Setup!$G$38+(Setup!$O$38+U$1)*Setup!$M$38,EDATE(Setup!$G$38,(Setup!$O$38+U$1)*Setup!$N$38))&gt;Setup!$P$38,IF(Setup!$M$38&gt;0,Setup!$G$38+(Setup!$O$38+U$1)*Setup!$M$38,EDATE(Setup!$G$38,(Setup!$O$38+U$1)*Setup!$N$38))&lt;Setup!$D$5),"",IF(Setup!$M$38&gt;0,Setup!$G$38+(Setup!$O$38+U$1)*Setup!$M$38,EDATE(Setup!$G$38,(Setup!$O$38+U$1)*Setup!$N$38))+$A15/1000)))</f>
        <v/>
      </c>
      <c r="V15">
        <f>IF(OR(Setup!$E$38="",Setup!$G$38="",Setup!$F$38=""),"",IF(AND(Setup!$F$38="Once",V$1&gt;0),"",IF(OR(IF(Setup!$M$38&gt;0,Setup!$G$38+(Setup!$O$38+V$1)*Setup!$M$38,EDATE(Setup!$G$38,(Setup!$O$38+V$1)*Setup!$N$38))&gt;Setup!$P$38,IF(Setup!$M$38&gt;0,Setup!$G$38+(Setup!$O$38+V$1)*Setup!$M$38,EDATE(Setup!$G$38,(Setup!$O$38+V$1)*Setup!$N$38))&lt;Setup!$D$5),"",IF(Setup!$M$38&gt;0,Setup!$G$38+(Setup!$O$38+V$1)*Setup!$M$38,EDATE(Setup!$G$38,(Setup!$O$38+V$1)*Setup!$N$38))+$A15/1000)))</f>
        <v/>
      </c>
      <c r="W15">
        <f>IF(OR(Setup!$E$38="",Setup!$G$38="",Setup!$F$38=""),"",IF(AND(Setup!$F$38="Once",W$1&gt;0),"",IF(OR(IF(Setup!$M$38&gt;0,Setup!$G$38+(Setup!$O$38+W$1)*Setup!$M$38,EDATE(Setup!$G$38,(Setup!$O$38+W$1)*Setup!$N$38))&gt;Setup!$P$38,IF(Setup!$M$38&gt;0,Setup!$G$38+(Setup!$O$38+W$1)*Setup!$M$38,EDATE(Setup!$G$38,(Setup!$O$38+W$1)*Setup!$N$38))&lt;Setup!$D$5),"",IF(Setup!$M$38&gt;0,Setup!$G$38+(Setup!$O$38+W$1)*Setup!$M$38,EDATE(Setup!$G$38,(Setup!$O$38+W$1)*Setup!$N$38))+$A15/1000)))</f>
        <v/>
      </c>
      <c r="X15">
        <f>IF(OR(Setup!$E$38="",Setup!$G$38="",Setup!$F$38=""),"",IF(AND(Setup!$F$38="Once",X$1&gt;0),"",IF(OR(IF(Setup!$M$38&gt;0,Setup!$G$38+(Setup!$O$38+X$1)*Setup!$M$38,EDATE(Setup!$G$38,(Setup!$O$38+X$1)*Setup!$N$38))&gt;Setup!$P$38,IF(Setup!$M$38&gt;0,Setup!$G$38+(Setup!$O$38+X$1)*Setup!$M$38,EDATE(Setup!$G$38,(Setup!$O$38+X$1)*Setup!$N$38))&lt;Setup!$D$5),"",IF(Setup!$M$38&gt;0,Setup!$G$38+(Setup!$O$38+X$1)*Setup!$M$38,EDATE(Setup!$G$38,(Setup!$O$38+X$1)*Setup!$N$38))+$A15/1000)))</f>
        <v/>
      </c>
      <c r="Y15">
        <f>IF(OR(Setup!$E$38="",Setup!$G$38="",Setup!$F$38=""),"",IF(AND(Setup!$F$38="Once",Y$1&gt;0),"",IF(OR(IF(Setup!$M$38&gt;0,Setup!$G$38+(Setup!$O$38+Y$1)*Setup!$M$38,EDATE(Setup!$G$38,(Setup!$O$38+Y$1)*Setup!$N$38))&gt;Setup!$P$38,IF(Setup!$M$38&gt;0,Setup!$G$38+(Setup!$O$38+Y$1)*Setup!$M$38,EDATE(Setup!$G$38,(Setup!$O$38+Y$1)*Setup!$N$38))&lt;Setup!$D$5),"",IF(Setup!$M$38&gt;0,Setup!$G$38+(Setup!$O$38+Y$1)*Setup!$M$38,EDATE(Setup!$G$38,(Setup!$O$38+Y$1)*Setup!$N$38))+$A15/1000)))</f>
        <v/>
      </c>
      <c r="Z15">
        <f>IF(OR(Setup!$E$38="",Setup!$G$38="",Setup!$F$38=""),"",IF(AND(Setup!$F$38="Once",Z$1&gt;0),"",IF(OR(IF(Setup!$M$38&gt;0,Setup!$G$38+(Setup!$O$38+Z$1)*Setup!$M$38,EDATE(Setup!$G$38,(Setup!$O$38+Z$1)*Setup!$N$38))&gt;Setup!$P$38,IF(Setup!$M$38&gt;0,Setup!$G$38+(Setup!$O$38+Z$1)*Setup!$M$38,EDATE(Setup!$G$38,(Setup!$O$38+Z$1)*Setup!$N$38))&lt;Setup!$D$5),"",IF(Setup!$M$38&gt;0,Setup!$G$38+(Setup!$O$38+Z$1)*Setup!$M$38,EDATE(Setup!$G$38,(Setup!$O$38+Z$1)*Setup!$N$38))+$A15/1000)))</f>
        <v/>
      </c>
      <c r="AA15">
        <f>IF(OR(Setup!$E$38="",Setup!$G$38="",Setup!$F$38=""),"",IF(AND(Setup!$F$38="Once",AA$1&gt;0),"",IF(OR(IF(Setup!$M$38&gt;0,Setup!$G$38+(Setup!$O$38+AA$1)*Setup!$M$38,EDATE(Setup!$G$38,(Setup!$O$38+AA$1)*Setup!$N$38))&gt;Setup!$P$38,IF(Setup!$M$38&gt;0,Setup!$G$38+(Setup!$O$38+AA$1)*Setup!$M$38,EDATE(Setup!$G$38,(Setup!$O$38+AA$1)*Setup!$N$38))&lt;Setup!$D$5),"",IF(Setup!$M$38&gt;0,Setup!$G$38+(Setup!$O$38+AA$1)*Setup!$M$38,EDATE(Setup!$G$38,(Setup!$O$38+AA$1)*Setup!$N$38))+$A15/1000)))</f>
        <v/>
      </c>
      <c r="AB15">
        <f>IF(OR(Setup!$E$38="",Setup!$G$38="",Setup!$F$38=""),"",IF(AND(Setup!$F$38="Once",AB$1&gt;0),"",IF(OR(IF(Setup!$M$38&gt;0,Setup!$G$38+(Setup!$O$38+AB$1)*Setup!$M$38,EDATE(Setup!$G$38,(Setup!$O$38+AB$1)*Setup!$N$38))&gt;Setup!$P$38,IF(Setup!$M$38&gt;0,Setup!$G$38+(Setup!$O$38+AB$1)*Setup!$M$38,EDATE(Setup!$G$38,(Setup!$O$38+AB$1)*Setup!$N$38))&lt;Setup!$D$5),"",IF(Setup!$M$38&gt;0,Setup!$G$38+(Setup!$O$38+AB$1)*Setup!$M$38,EDATE(Setup!$G$38,(Setup!$O$38+AB$1)*Setup!$N$38))+$A15/1000)))</f>
        <v/>
      </c>
      <c r="AC15">
        <f>IF(OR(Setup!$E$38="",Setup!$G$38="",Setup!$F$38=""),"",IF(AND(Setup!$F$38="Once",AC$1&gt;0),"",IF(OR(IF(Setup!$M$38&gt;0,Setup!$G$38+(Setup!$O$38+AC$1)*Setup!$M$38,EDATE(Setup!$G$38,(Setup!$O$38+AC$1)*Setup!$N$38))&gt;Setup!$P$38,IF(Setup!$M$38&gt;0,Setup!$G$38+(Setup!$O$38+AC$1)*Setup!$M$38,EDATE(Setup!$G$38,(Setup!$O$38+AC$1)*Setup!$N$38))&lt;Setup!$D$5),"",IF(Setup!$M$38&gt;0,Setup!$G$38+(Setup!$O$38+AC$1)*Setup!$M$38,EDATE(Setup!$G$38,(Setup!$O$38+AC$1)*Setup!$N$38))+$A15/1000)))</f>
        <v/>
      </c>
      <c r="AD15">
        <f>IF(OR(Setup!$E$38="",Setup!$G$38="",Setup!$F$38=""),"",IF(AND(Setup!$F$38="Once",AD$1&gt;0),"",IF(OR(IF(Setup!$M$38&gt;0,Setup!$G$38+(Setup!$O$38+AD$1)*Setup!$M$38,EDATE(Setup!$G$38,(Setup!$O$38+AD$1)*Setup!$N$38))&gt;Setup!$P$38,IF(Setup!$M$38&gt;0,Setup!$G$38+(Setup!$O$38+AD$1)*Setup!$M$38,EDATE(Setup!$G$38,(Setup!$O$38+AD$1)*Setup!$N$38))&lt;Setup!$D$5),"",IF(Setup!$M$38&gt;0,Setup!$G$38+(Setup!$O$38+AD$1)*Setup!$M$38,EDATE(Setup!$G$38,(Setup!$O$38+AD$1)*Setup!$N$38))+$A15/1000)))</f>
        <v/>
      </c>
      <c r="AE15">
        <f>IF(OR(Setup!$E$38="",Setup!$G$38="",Setup!$F$38=""),"",IF(AND(Setup!$F$38="Once",AE$1&gt;0),"",IF(OR(IF(Setup!$M$38&gt;0,Setup!$G$38+(Setup!$O$38+AE$1)*Setup!$M$38,EDATE(Setup!$G$38,(Setup!$O$38+AE$1)*Setup!$N$38))&gt;Setup!$P$38,IF(Setup!$M$38&gt;0,Setup!$G$38+(Setup!$O$38+AE$1)*Setup!$M$38,EDATE(Setup!$G$38,(Setup!$O$38+AE$1)*Setup!$N$38))&lt;Setup!$D$5),"",IF(Setup!$M$38&gt;0,Setup!$G$38+(Setup!$O$38+AE$1)*Setup!$M$38,EDATE(Setup!$G$38,(Setup!$O$38+AE$1)*Setup!$N$38))+$A15/1000)))</f>
        <v/>
      </c>
      <c r="AF15">
        <f>IF(OR(Setup!$E$38="",Setup!$G$38="",Setup!$F$38=""),"",IF(AND(Setup!$F$38="Once",AF$1&gt;0),"",IF(OR(IF(Setup!$M$38&gt;0,Setup!$G$38+(Setup!$O$38+AF$1)*Setup!$M$38,EDATE(Setup!$G$38,(Setup!$O$38+AF$1)*Setup!$N$38))&gt;Setup!$P$38,IF(Setup!$M$38&gt;0,Setup!$G$38+(Setup!$O$38+AF$1)*Setup!$M$38,EDATE(Setup!$G$38,(Setup!$O$38+AF$1)*Setup!$N$38))&lt;Setup!$D$5),"",IF(Setup!$M$38&gt;0,Setup!$G$38+(Setup!$O$38+AF$1)*Setup!$M$38,EDATE(Setup!$G$38,(Setup!$O$38+AF$1)*Setup!$N$38))+$A15/1000)))</f>
        <v/>
      </c>
      <c r="AG15">
        <f>IF(OR(Setup!$E$38="",Setup!$G$38="",Setup!$F$38=""),"",IF(AND(Setup!$F$38="Once",AG$1&gt;0),"",IF(OR(IF(Setup!$M$38&gt;0,Setup!$G$38+(Setup!$O$38+AG$1)*Setup!$M$38,EDATE(Setup!$G$38,(Setup!$O$38+AG$1)*Setup!$N$38))&gt;Setup!$P$38,IF(Setup!$M$38&gt;0,Setup!$G$38+(Setup!$O$38+AG$1)*Setup!$M$38,EDATE(Setup!$G$38,(Setup!$O$38+AG$1)*Setup!$N$38))&lt;Setup!$D$5),"",IF(Setup!$M$38&gt;0,Setup!$G$38+(Setup!$O$38+AG$1)*Setup!$M$38,EDATE(Setup!$G$38,(Setup!$O$38+AG$1)*Setup!$N$38))+$A15/1000)))</f>
        <v/>
      </c>
      <c r="AH15">
        <f>IF(OR(Setup!$E$38="",Setup!$G$38="",Setup!$F$38=""),"",IF(AND(Setup!$F$38="Once",AH$1&gt;0),"",IF(OR(IF(Setup!$M$38&gt;0,Setup!$G$38+(Setup!$O$38+AH$1)*Setup!$M$38,EDATE(Setup!$G$38,(Setup!$O$38+AH$1)*Setup!$N$38))&gt;Setup!$P$38,IF(Setup!$M$38&gt;0,Setup!$G$38+(Setup!$O$38+AH$1)*Setup!$M$38,EDATE(Setup!$G$38,(Setup!$O$38+AH$1)*Setup!$N$38))&lt;Setup!$D$5),"",IF(Setup!$M$38&gt;0,Setup!$G$38+(Setup!$O$38+AH$1)*Setup!$M$38,EDATE(Setup!$G$38,(Setup!$O$38+AH$1)*Setup!$N$38))+$A15/1000)))</f>
        <v/>
      </c>
      <c r="AI15">
        <f>IF(OR(Setup!$E$38="",Setup!$G$38="",Setup!$F$38=""),"",IF(AND(Setup!$F$38="Once",AI$1&gt;0),"",IF(OR(IF(Setup!$M$38&gt;0,Setup!$G$38+(Setup!$O$38+AI$1)*Setup!$M$38,EDATE(Setup!$G$38,(Setup!$O$38+AI$1)*Setup!$N$38))&gt;Setup!$P$38,IF(Setup!$M$38&gt;0,Setup!$G$38+(Setup!$O$38+AI$1)*Setup!$M$38,EDATE(Setup!$G$38,(Setup!$O$38+AI$1)*Setup!$N$38))&lt;Setup!$D$5),"",IF(Setup!$M$38&gt;0,Setup!$G$38+(Setup!$O$38+AI$1)*Setup!$M$38,EDATE(Setup!$G$38,(Setup!$O$38+AI$1)*Setup!$N$38))+$A15/1000)))</f>
        <v/>
      </c>
      <c r="AJ15">
        <f>IF(OR(Setup!$E$38="",Setup!$G$38="",Setup!$F$38=""),"",IF(AND(Setup!$F$38="Once",AJ$1&gt;0),"",IF(OR(IF(Setup!$M$38&gt;0,Setup!$G$38+(Setup!$O$38+AJ$1)*Setup!$M$38,EDATE(Setup!$G$38,(Setup!$O$38+AJ$1)*Setup!$N$38))&gt;Setup!$P$38,IF(Setup!$M$38&gt;0,Setup!$G$38+(Setup!$O$38+AJ$1)*Setup!$M$38,EDATE(Setup!$G$38,(Setup!$O$38+AJ$1)*Setup!$N$38))&lt;Setup!$D$5),"",IF(Setup!$M$38&gt;0,Setup!$G$38+(Setup!$O$38+AJ$1)*Setup!$M$38,EDATE(Setup!$G$38,(Setup!$O$38+AJ$1)*Setup!$N$38))+$A15/1000)))</f>
        <v/>
      </c>
      <c r="AK15">
        <f>IF(OR(Setup!$E$38="",Setup!$G$38="",Setup!$F$38=""),"",IF(AND(Setup!$F$38="Once",AK$1&gt;0),"",IF(OR(IF(Setup!$M$38&gt;0,Setup!$G$38+(Setup!$O$38+AK$1)*Setup!$M$38,EDATE(Setup!$G$38,(Setup!$O$38+AK$1)*Setup!$N$38))&gt;Setup!$P$38,IF(Setup!$M$38&gt;0,Setup!$G$38+(Setup!$O$38+AK$1)*Setup!$M$38,EDATE(Setup!$G$38,(Setup!$O$38+AK$1)*Setup!$N$38))&lt;Setup!$D$5),"",IF(Setup!$M$38&gt;0,Setup!$G$38+(Setup!$O$38+AK$1)*Setup!$M$38,EDATE(Setup!$G$38,(Setup!$O$38+AK$1)*Setup!$N$38))+$A15/1000)))</f>
        <v/>
      </c>
      <c r="AL15">
        <f>IF(OR(Setup!$E$38="",Setup!$G$38="",Setup!$F$38=""),"",IF(AND(Setup!$F$38="Once",AL$1&gt;0),"",IF(OR(IF(Setup!$M$38&gt;0,Setup!$G$38+(Setup!$O$38+AL$1)*Setup!$M$38,EDATE(Setup!$G$38,(Setup!$O$38+AL$1)*Setup!$N$38))&gt;Setup!$P$38,IF(Setup!$M$38&gt;0,Setup!$G$38+(Setup!$O$38+AL$1)*Setup!$M$38,EDATE(Setup!$G$38,(Setup!$O$38+AL$1)*Setup!$N$38))&lt;Setup!$D$5),"",IF(Setup!$M$38&gt;0,Setup!$G$38+(Setup!$O$38+AL$1)*Setup!$M$38,EDATE(Setup!$G$38,(Setup!$O$38+AL$1)*Setup!$N$38))+$A15/1000)))</f>
        <v/>
      </c>
      <c r="AM15">
        <f>IF(OR(Setup!$E$38="",Setup!$G$38="",Setup!$F$38=""),"",IF(AND(Setup!$F$38="Once",AM$1&gt;0),"",IF(OR(IF(Setup!$M$38&gt;0,Setup!$G$38+(Setup!$O$38+AM$1)*Setup!$M$38,EDATE(Setup!$G$38,(Setup!$O$38+AM$1)*Setup!$N$38))&gt;Setup!$P$38,IF(Setup!$M$38&gt;0,Setup!$G$38+(Setup!$O$38+AM$1)*Setup!$M$38,EDATE(Setup!$G$38,(Setup!$O$38+AM$1)*Setup!$N$38))&lt;Setup!$D$5),"",IF(Setup!$M$38&gt;0,Setup!$G$38+(Setup!$O$38+AM$1)*Setup!$M$38,EDATE(Setup!$G$38,(Setup!$O$38+AM$1)*Setup!$N$38))+$A15/1000)))</f>
        <v/>
      </c>
      <c r="AN15">
        <f>IF(OR(Setup!$E$38="",Setup!$G$38="",Setup!$F$38=""),"",IF(AND(Setup!$F$38="Once",AN$1&gt;0),"",IF(OR(IF(Setup!$M$38&gt;0,Setup!$G$38+(Setup!$O$38+AN$1)*Setup!$M$38,EDATE(Setup!$G$38,(Setup!$O$38+AN$1)*Setup!$N$38))&gt;Setup!$P$38,IF(Setup!$M$38&gt;0,Setup!$G$38+(Setup!$O$38+AN$1)*Setup!$M$38,EDATE(Setup!$G$38,(Setup!$O$38+AN$1)*Setup!$N$38))&lt;Setup!$D$5),"",IF(Setup!$M$38&gt;0,Setup!$G$38+(Setup!$O$38+AN$1)*Setup!$M$38,EDATE(Setup!$G$38,(Setup!$O$38+AN$1)*Setup!$N$38))+$A15/1000)))</f>
        <v/>
      </c>
      <c r="AO15">
        <f>IF(OR(Setup!$E$38="",Setup!$G$38="",Setup!$F$38=""),"",IF(AND(Setup!$F$38="Once",AO$1&gt;0),"",IF(OR(IF(Setup!$M$38&gt;0,Setup!$G$38+(Setup!$O$38+AO$1)*Setup!$M$38,EDATE(Setup!$G$38,(Setup!$O$38+AO$1)*Setup!$N$38))&gt;Setup!$P$38,IF(Setup!$M$38&gt;0,Setup!$G$38+(Setup!$O$38+AO$1)*Setup!$M$38,EDATE(Setup!$G$38,(Setup!$O$38+AO$1)*Setup!$N$38))&lt;Setup!$D$5),"",IF(Setup!$M$38&gt;0,Setup!$G$38+(Setup!$O$38+AO$1)*Setup!$M$38,EDATE(Setup!$G$38,(Setup!$O$38+AO$1)*Setup!$N$38))+$A15/1000)))</f>
        <v/>
      </c>
      <c r="AP15">
        <f>IF(OR(Setup!$E$38="",Setup!$G$38="",Setup!$F$38=""),"",IF(AND(Setup!$F$38="Once",AP$1&gt;0),"",IF(OR(IF(Setup!$M$38&gt;0,Setup!$G$38+(Setup!$O$38+AP$1)*Setup!$M$38,EDATE(Setup!$G$38,(Setup!$O$38+AP$1)*Setup!$N$38))&gt;Setup!$P$38,IF(Setup!$M$38&gt;0,Setup!$G$38+(Setup!$O$38+AP$1)*Setup!$M$38,EDATE(Setup!$G$38,(Setup!$O$38+AP$1)*Setup!$N$38))&lt;Setup!$D$5),"",IF(Setup!$M$38&gt;0,Setup!$G$38+(Setup!$O$38+AP$1)*Setup!$M$38,EDATE(Setup!$G$38,(Setup!$O$38+AP$1)*Setup!$N$38))+$A15/1000)))</f>
        <v/>
      </c>
      <c r="AQ15">
        <f>IF(OR(Setup!$E$38="",Setup!$G$38="",Setup!$F$38=""),"",IF(AND(Setup!$F$38="Once",AQ$1&gt;0),"",IF(OR(IF(Setup!$M$38&gt;0,Setup!$G$38+(Setup!$O$38+AQ$1)*Setup!$M$38,EDATE(Setup!$G$38,(Setup!$O$38+AQ$1)*Setup!$N$38))&gt;Setup!$P$38,IF(Setup!$M$38&gt;0,Setup!$G$38+(Setup!$O$38+AQ$1)*Setup!$M$38,EDATE(Setup!$G$38,(Setup!$O$38+AQ$1)*Setup!$N$38))&lt;Setup!$D$5),"",IF(Setup!$M$38&gt;0,Setup!$G$38+(Setup!$O$38+AQ$1)*Setup!$M$38,EDATE(Setup!$G$38,(Setup!$O$38+AQ$1)*Setup!$N$38))+$A15/1000)))</f>
        <v/>
      </c>
      <c r="AR15">
        <f>IF(OR(Setup!$E$38="",Setup!$G$38="",Setup!$F$38=""),"",IF(AND(Setup!$F$38="Once",AR$1&gt;0),"",IF(OR(IF(Setup!$M$38&gt;0,Setup!$G$38+(Setup!$O$38+AR$1)*Setup!$M$38,EDATE(Setup!$G$38,(Setup!$O$38+AR$1)*Setup!$N$38))&gt;Setup!$P$38,IF(Setup!$M$38&gt;0,Setup!$G$38+(Setup!$O$38+AR$1)*Setup!$M$38,EDATE(Setup!$G$38,(Setup!$O$38+AR$1)*Setup!$N$38))&lt;Setup!$D$5),"",IF(Setup!$M$38&gt;0,Setup!$G$38+(Setup!$O$38+AR$1)*Setup!$M$38,EDATE(Setup!$G$38,(Setup!$O$38+AR$1)*Setup!$N$38))+$A15/1000)))</f>
        <v/>
      </c>
      <c r="AS15">
        <f>IF(OR(Setup!$E$38="",Setup!$G$38="",Setup!$F$38=""),"",IF(AND(Setup!$F$38="Once",AS$1&gt;0),"",IF(OR(IF(Setup!$M$38&gt;0,Setup!$G$38+(Setup!$O$38+AS$1)*Setup!$M$38,EDATE(Setup!$G$38,(Setup!$O$38+AS$1)*Setup!$N$38))&gt;Setup!$P$38,IF(Setup!$M$38&gt;0,Setup!$G$38+(Setup!$O$38+AS$1)*Setup!$M$38,EDATE(Setup!$G$38,(Setup!$O$38+AS$1)*Setup!$N$38))&lt;Setup!$D$5),"",IF(Setup!$M$38&gt;0,Setup!$G$38+(Setup!$O$38+AS$1)*Setup!$M$38,EDATE(Setup!$G$38,(Setup!$O$38+AS$1)*Setup!$N$38))+$A15/1000)))</f>
        <v/>
      </c>
      <c r="AT15">
        <f>IF(OR(Setup!$E$38="",Setup!$G$38="",Setup!$F$38=""),"",IF(AND(Setup!$F$38="Once",AT$1&gt;0),"",IF(OR(IF(Setup!$M$38&gt;0,Setup!$G$38+(Setup!$O$38+AT$1)*Setup!$M$38,EDATE(Setup!$G$38,(Setup!$O$38+AT$1)*Setup!$N$38))&gt;Setup!$P$38,IF(Setup!$M$38&gt;0,Setup!$G$38+(Setup!$O$38+AT$1)*Setup!$M$38,EDATE(Setup!$G$38,(Setup!$O$38+AT$1)*Setup!$N$38))&lt;Setup!$D$5),"",IF(Setup!$M$38&gt;0,Setup!$G$38+(Setup!$O$38+AT$1)*Setup!$M$38,EDATE(Setup!$G$38,(Setup!$O$38+AT$1)*Setup!$N$38))+$A15/1000)))</f>
        <v/>
      </c>
      <c r="AU15">
        <f>IF(OR(Setup!$E$38="",Setup!$G$38="",Setup!$F$38=""),"",IF(AND(Setup!$F$38="Once",AU$1&gt;0),"",IF(OR(IF(Setup!$M$38&gt;0,Setup!$G$38+(Setup!$O$38+AU$1)*Setup!$M$38,EDATE(Setup!$G$38,(Setup!$O$38+AU$1)*Setup!$N$38))&gt;Setup!$P$38,IF(Setup!$M$38&gt;0,Setup!$G$38+(Setup!$O$38+AU$1)*Setup!$M$38,EDATE(Setup!$G$38,(Setup!$O$38+AU$1)*Setup!$N$38))&lt;Setup!$D$5),"",IF(Setup!$M$38&gt;0,Setup!$G$38+(Setup!$O$38+AU$1)*Setup!$M$38,EDATE(Setup!$G$38,(Setup!$O$38+AU$1)*Setup!$N$38))+$A15/1000)))</f>
        <v/>
      </c>
      <c r="AV15">
        <f>IF(OR(Setup!$E$38="",Setup!$G$38="",Setup!$F$38=""),"",IF(AND(Setup!$F$38="Once",AV$1&gt;0),"",IF(OR(IF(Setup!$M$38&gt;0,Setup!$G$38+(Setup!$O$38+AV$1)*Setup!$M$38,EDATE(Setup!$G$38,(Setup!$O$38+AV$1)*Setup!$N$38))&gt;Setup!$P$38,IF(Setup!$M$38&gt;0,Setup!$G$38+(Setup!$O$38+AV$1)*Setup!$M$38,EDATE(Setup!$G$38,(Setup!$O$38+AV$1)*Setup!$N$38))&lt;Setup!$D$5),"",IF(Setup!$M$38&gt;0,Setup!$G$38+(Setup!$O$38+AV$1)*Setup!$M$38,EDATE(Setup!$G$38,(Setup!$O$38+AV$1)*Setup!$N$38))+$A15/1000)))</f>
        <v/>
      </c>
      <c r="AW15">
        <f>IF(OR(Setup!$E$38="",Setup!$G$38="",Setup!$F$38=""),"",IF(AND(Setup!$F$38="Once",AW$1&gt;0),"",IF(OR(IF(Setup!$M$38&gt;0,Setup!$G$38+(Setup!$O$38+AW$1)*Setup!$M$38,EDATE(Setup!$G$38,(Setup!$O$38+AW$1)*Setup!$N$38))&gt;Setup!$P$38,IF(Setup!$M$38&gt;0,Setup!$G$38+(Setup!$O$38+AW$1)*Setup!$M$38,EDATE(Setup!$G$38,(Setup!$O$38+AW$1)*Setup!$N$38))&lt;Setup!$D$5),"",IF(Setup!$M$38&gt;0,Setup!$G$38+(Setup!$O$38+AW$1)*Setup!$M$38,EDATE(Setup!$G$38,(Setup!$O$38+AW$1)*Setup!$N$38))+$A15/1000)))</f>
        <v/>
      </c>
      <c r="AX15">
        <f>IF(OR(Setup!$E$38="",Setup!$G$38="",Setup!$F$38=""),"",IF(AND(Setup!$F$38="Once",AX$1&gt;0),"",IF(OR(IF(Setup!$M$38&gt;0,Setup!$G$38+(Setup!$O$38+AX$1)*Setup!$M$38,EDATE(Setup!$G$38,(Setup!$O$38+AX$1)*Setup!$N$38))&gt;Setup!$P$38,IF(Setup!$M$38&gt;0,Setup!$G$38+(Setup!$O$38+AX$1)*Setup!$M$38,EDATE(Setup!$G$38,(Setup!$O$38+AX$1)*Setup!$N$38))&lt;Setup!$D$5),"",IF(Setup!$M$38&gt;0,Setup!$G$38+(Setup!$O$38+AX$1)*Setup!$M$38,EDATE(Setup!$G$38,(Setup!$O$38+AX$1)*Setup!$N$38))+$A15/1000)))</f>
        <v/>
      </c>
      <c r="AY15">
        <f>IF(OR(Setup!$E$38="",Setup!$G$38="",Setup!$F$38=""),"",IF(AND(Setup!$F$38="Once",AY$1&gt;0),"",IF(OR(IF(Setup!$M$38&gt;0,Setup!$G$38+(Setup!$O$38+AY$1)*Setup!$M$38,EDATE(Setup!$G$38,(Setup!$O$38+AY$1)*Setup!$N$38))&gt;Setup!$P$38,IF(Setup!$M$38&gt;0,Setup!$G$38+(Setup!$O$38+AY$1)*Setup!$M$38,EDATE(Setup!$G$38,(Setup!$O$38+AY$1)*Setup!$N$38))&lt;Setup!$D$5),"",IF(Setup!$M$38&gt;0,Setup!$G$38+(Setup!$O$38+AY$1)*Setup!$M$38,EDATE(Setup!$G$38,(Setup!$O$38+AY$1)*Setup!$N$38))+$A15/1000)))</f>
        <v/>
      </c>
      <c r="AZ15">
        <f>IF(OR(Setup!$E$38="",Setup!$G$38="",Setup!$F$38=""),"",IF(AND(Setup!$F$38="Once",AZ$1&gt;0),"",IF(OR(IF(Setup!$M$38&gt;0,Setup!$G$38+(Setup!$O$38+AZ$1)*Setup!$M$38,EDATE(Setup!$G$38,(Setup!$O$38+AZ$1)*Setup!$N$38))&gt;Setup!$P$38,IF(Setup!$M$38&gt;0,Setup!$G$38+(Setup!$O$38+AZ$1)*Setup!$M$38,EDATE(Setup!$G$38,(Setup!$O$38+AZ$1)*Setup!$N$38))&lt;Setup!$D$5),"",IF(Setup!$M$38&gt;0,Setup!$G$38+(Setup!$O$38+AZ$1)*Setup!$M$38,EDATE(Setup!$G$38,(Setup!$O$38+AZ$1)*Setup!$N$38))+$A15/1000)))</f>
        <v/>
      </c>
      <c r="BA15">
        <f>IF(OR(Setup!$E$38="",Setup!$G$38="",Setup!$F$38=""),"",IF(AND(Setup!$F$38="Once",BA$1&gt;0),"",IF(OR(IF(Setup!$M$38&gt;0,Setup!$G$38+(Setup!$O$38+BA$1)*Setup!$M$38,EDATE(Setup!$G$38,(Setup!$O$38+BA$1)*Setup!$N$38))&gt;Setup!$P$38,IF(Setup!$M$38&gt;0,Setup!$G$38+(Setup!$O$38+BA$1)*Setup!$M$38,EDATE(Setup!$G$38,(Setup!$O$38+BA$1)*Setup!$N$38))&lt;Setup!$D$5),"",IF(Setup!$M$38&gt;0,Setup!$G$38+(Setup!$O$38+BA$1)*Setup!$M$38,EDATE(Setup!$G$38,(Setup!$O$38+BA$1)*Setup!$N$38))+$A15/1000)))</f>
        <v/>
      </c>
      <c r="BB15">
        <f>IF(OR(Setup!$E$38="",Setup!$G$38="",Setup!$F$38=""),"",IF(AND(Setup!$F$38="Once",BB$1&gt;0),"",IF(OR(IF(Setup!$M$38&gt;0,Setup!$G$38+(Setup!$O$38+BB$1)*Setup!$M$38,EDATE(Setup!$G$38,(Setup!$O$38+BB$1)*Setup!$N$38))&gt;Setup!$P$38,IF(Setup!$M$38&gt;0,Setup!$G$38+(Setup!$O$38+BB$1)*Setup!$M$38,EDATE(Setup!$G$38,(Setup!$O$38+BB$1)*Setup!$N$38))&lt;Setup!$D$5),"",IF(Setup!$M$38&gt;0,Setup!$G$38+(Setup!$O$38+BB$1)*Setup!$M$38,EDATE(Setup!$G$38,(Setup!$O$38+BB$1)*Setup!$N$38))+$A15/1000)))</f>
        <v/>
      </c>
    </row>
    <row r="16">
      <c r="A16" t="n">
        <v>15</v>
      </c>
      <c r="B16">
        <f>IF(OR(Setup!$E$39="",Setup!$G$39="",Setup!$F$39=""),"",IF(AND(Setup!$F$39="Once",B$1&gt;0),"",IF(OR(IF(Setup!$M$39&gt;0,Setup!$G$39+(Setup!$O$39+B$1)*Setup!$M$39,EDATE(Setup!$G$39,(Setup!$O$39+B$1)*Setup!$N$39))&gt;Setup!$P$39,IF(Setup!$M$39&gt;0,Setup!$G$39+(Setup!$O$39+B$1)*Setup!$M$39,EDATE(Setup!$G$39,(Setup!$O$39+B$1)*Setup!$N$39))&lt;Setup!$D$5),"",IF(Setup!$M$39&gt;0,Setup!$G$39+(Setup!$O$39+B$1)*Setup!$M$39,EDATE(Setup!$G$39,(Setup!$O$39+B$1)*Setup!$N$39))+$A16/1000)))</f>
        <v/>
      </c>
      <c r="C16">
        <f>IF(OR(Setup!$E$39="",Setup!$G$39="",Setup!$F$39=""),"",IF(AND(Setup!$F$39="Once",C$1&gt;0),"",IF(OR(IF(Setup!$M$39&gt;0,Setup!$G$39+(Setup!$O$39+C$1)*Setup!$M$39,EDATE(Setup!$G$39,(Setup!$O$39+C$1)*Setup!$N$39))&gt;Setup!$P$39,IF(Setup!$M$39&gt;0,Setup!$G$39+(Setup!$O$39+C$1)*Setup!$M$39,EDATE(Setup!$G$39,(Setup!$O$39+C$1)*Setup!$N$39))&lt;Setup!$D$5),"",IF(Setup!$M$39&gt;0,Setup!$G$39+(Setup!$O$39+C$1)*Setup!$M$39,EDATE(Setup!$G$39,(Setup!$O$39+C$1)*Setup!$N$39))+$A16/1000)))</f>
        <v/>
      </c>
      <c r="D16">
        <f>IF(OR(Setup!$E$39="",Setup!$G$39="",Setup!$F$39=""),"",IF(AND(Setup!$F$39="Once",D$1&gt;0),"",IF(OR(IF(Setup!$M$39&gt;0,Setup!$G$39+(Setup!$O$39+D$1)*Setup!$M$39,EDATE(Setup!$G$39,(Setup!$O$39+D$1)*Setup!$N$39))&gt;Setup!$P$39,IF(Setup!$M$39&gt;0,Setup!$G$39+(Setup!$O$39+D$1)*Setup!$M$39,EDATE(Setup!$G$39,(Setup!$O$39+D$1)*Setup!$N$39))&lt;Setup!$D$5),"",IF(Setup!$M$39&gt;0,Setup!$G$39+(Setup!$O$39+D$1)*Setup!$M$39,EDATE(Setup!$G$39,(Setup!$O$39+D$1)*Setup!$N$39))+$A16/1000)))</f>
        <v/>
      </c>
      <c r="E16">
        <f>IF(OR(Setup!$E$39="",Setup!$G$39="",Setup!$F$39=""),"",IF(AND(Setup!$F$39="Once",E$1&gt;0),"",IF(OR(IF(Setup!$M$39&gt;0,Setup!$G$39+(Setup!$O$39+E$1)*Setup!$M$39,EDATE(Setup!$G$39,(Setup!$O$39+E$1)*Setup!$N$39))&gt;Setup!$P$39,IF(Setup!$M$39&gt;0,Setup!$G$39+(Setup!$O$39+E$1)*Setup!$M$39,EDATE(Setup!$G$39,(Setup!$O$39+E$1)*Setup!$N$39))&lt;Setup!$D$5),"",IF(Setup!$M$39&gt;0,Setup!$G$39+(Setup!$O$39+E$1)*Setup!$M$39,EDATE(Setup!$G$39,(Setup!$O$39+E$1)*Setup!$N$39))+$A16/1000)))</f>
        <v/>
      </c>
      <c r="F16">
        <f>IF(OR(Setup!$E$39="",Setup!$G$39="",Setup!$F$39=""),"",IF(AND(Setup!$F$39="Once",F$1&gt;0),"",IF(OR(IF(Setup!$M$39&gt;0,Setup!$G$39+(Setup!$O$39+F$1)*Setup!$M$39,EDATE(Setup!$G$39,(Setup!$O$39+F$1)*Setup!$N$39))&gt;Setup!$P$39,IF(Setup!$M$39&gt;0,Setup!$G$39+(Setup!$O$39+F$1)*Setup!$M$39,EDATE(Setup!$G$39,(Setup!$O$39+F$1)*Setup!$N$39))&lt;Setup!$D$5),"",IF(Setup!$M$39&gt;0,Setup!$G$39+(Setup!$O$39+F$1)*Setup!$M$39,EDATE(Setup!$G$39,(Setup!$O$39+F$1)*Setup!$N$39))+$A16/1000)))</f>
        <v/>
      </c>
      <c r="G16">
        <f>IF(OR(Setup!$E$39="",Setup!$G$39="",Setup!$F$39=""),"",IF(AND(Setup!$F$39="Once",G$1&gt;0),"",IF(OR(IF(Setup!$M$39&gt;0,Setup!$G$39+(Setup!$O$39+G$1)*Setup!$M$39,EDATE(Setup!$G$39,(Setup!$O$39+G$1)*Setup!$N$39))&gt;Setup!$P$39,IF(Setup!$M$39&gt;0,Setup!$G$39+(Setup!$O$39+G$1)*Setup!$M$39,EDATE(Setup!$G$39,(Setup!$O$39+G$1)*Setup!$N$39))&lt;Setup!$D$5),"",IF(Setup!$M$39&gt;0,Setup!$G$39+(Setup!$O$39+G$1)*Setup!$M$39,EDATE(Setup!$G$39,(Setup!$O$39+G$1)*Setup!$N$39))+$A16/1000)))</f>
        <v/>
      </c>
      <c r="H16">
        <f>IF(OR(Setup!$E$39="",Setup!$G$39="",Setup!$F$39=""),"",IF(AND(Setup!$F$39="Once",H$1&gt;0),"",IF(OR(IF(Setup!$M$39&gt;0,Setup!$G$39+(Setup!$O$39+H$1)*Setup!$M$39,EDATE(Setup!$G$39,(Setup!$O$39+H$1)*Setup!$N$39))&gt;Setup!$P$39,IF(Setup!$M$39&gt;0,Setup!$G$39+(Setup!$O$39+H$1)*Setup!$M$39,EDATE(Setup!$G$39,(Setup!$O$39+H$1)*Setup!$N$39))&lt;Setup!$D$5),"",IF(Setup!$M$39&gt;0,Setup!$G$39+(Setup!$O$39+H$1)*Setup!$M$39,EDATE(Setup!$G$39,(Setup!$O$39+H$1)*Setup!$N$39))+$A16/1000)))</f>
        <v/>
      </c>
      <c r="I16">
        <f>IF(OR(Setup!$E$39="",Setup!$G$39="",Setup!$F$39=""),"",IF(AND(Setup!$F$39="Once",I$1&gt;0),"",IF(OR(IF(Setup!$M$39&gt;0,Setup!$G$39+(Setup!$O$39+I$1)*Setup!$M$39,EDATE(Setup!$G$39,(Setup!$O$39+I$1)*Setup!$N$39))&gt;Setup!$P$39,IF(Setup!$M$39&gt;0,Setup!$G$39+(Setup!$O$39+I$1)*Setup!$M$39,EDATE(Setup!$G$39,(Setup!$O$39+I$1)*Setup!$N$39))&lt;Setup!$D$5),"",IF(Setup!$M$39&gt;0,Setup!$G$39+(Setup!$O$39+I$1)*Setup!$M$39,EDATE(Setup!$G$39,(Setup!$O$39+I$1)*Setup!$N$39))+$A16/1000)))</f>
        <v/>
      </c>
      <c r="J16">
        <f>IF(OR(Setup!$E$39="",Setup!$G$39="",Setup!$F$39=""),"",IF(AND(Setup!$F$39="Once",J$1&gt;0),"",IF(OR(IF(Setup!$M$39&gt;0,Setup!$G$39+(Setup!$O$39+J$1)*Setup!$M$39,EDATE(Setup!$G$39,(Setup!$O$39+J$1)*Setup!$N$39))&gt;Setup!$P$39,IF(Setup!$M$39&gt;0,Setup!$G$39+(Setup!$O$39+J$1)*Setup!$M$39,EDATE(Setup!$G$39,(Setup!$O$39+J$1)*Setup!$N$39))&lt;Setup!$D$5),"",IF(Setup!$M$39&gt;0,Setup!$G$39+(Setup!$O$39+J$1)*Setup!$M$39,EDATE(Setup!$G$39,(Setup!$O$39+J$1)*Setup!$N$39))+$A16/1000)))</f>
        <v/>
      </c>
      <c r="K16">
        <f>IF(OR(Setup!$E$39="",Setup!$G$39="",Setup!$F$39=""),"",IF(AND(Setup!$F$39="Once",K$1&gt;0),"",IF(OR(IF(Setup!$M$39&gt;0,Setup!$G$39+(Setup!$O$39+K$1)*Setup!$M$39,EDATE(Setup!$G$39,(Setup!$O$39+K$1)*Setup!$N$39))&gt;Setup!$P$39,IF(Setup!$M$39&gt;0,Setup!$G$39+(Setup!$O$39+K$1)*Setup!$M$39,EDATE(Setup!$G$39,(Setup!$O$39+K$1)*Setup!$N$39))&lt;Setup!$D$5),"",IF(Setup!$M$39&gt;0,Setup!$G$39+(Setup!$O$39+K$1)*Setup!$M$39,EDATE(Setup!$G$39,(Setup!$O$39+K$1)*Setup!$N$39))+$A16/1000)))</f>
        <v/>
      </c>
      <c r="L16">
        <f>IF(OR(Setup!$E$39="",Setup!$G$39="",Setup!$F$39=""),"",IF(AND(Setup!$F$39="Once",L$1&gt;0),"",IF(OR(IF(Setup!$M$39&gt;0,Setup!$G$39+(Setup!$O$39+L$1)*Setup!$M$39,EDATE(Setup!$G$39,(Setup!$O$39+L$1)*Setup!$N$39))&gt;Setup!$P$39,IF(Setup!$M$39&gt;0,Setup!$G$39+(Setup!$O$39+L$1)*Setup!$M$39,EDATE(Setup!$G$39,(Setup!$O$39+L$1)*Setup!$N$39))&lt;Setup!$D$5),"",IF(Setup!$M$39&gt;0,Setup!$G$39+(Setup!$O$39+L$1)*Setup!$M$39,EDATE(Setup!$G$39,(Setup!$O$39+L$1)*Setup!$N$39))+$A16/1000)))</f>
        <v/>
      </c>
      <c r="M16">
        <f>IF(OR(Setup!$E$39="",Setup!$G$39="",Setup!$F$39=""),"",IF(AND(Setup!$F$39="Once",M$1&gt;0),"",IF(OR(IF(Setup!$M$39&gt;0,Setup!$G$39+(Setup!$O$39+M$1)*Setup!$M$39,EDATE(Setup!$G$39,(Setup!$O$39+M$1)*Setup!$N$39))&gt;Setup!$P$39,IF(Setup!$M$39&gt;0,Setup!$G$39+(Setup!$O$39+M$1)*Setup!$M$39,EDATE(Setup!$G$39,(Setup!$O$39+M$1)*Setup!$N$39))&lt;Setup!$D$5),"",IF(Setup!$M$39&gt;0,Setup!$G$39+(Setup!$O$39+M$1)*Setup!$M$39,EDATE(Setup!$G$39,(Setup!$O$39+M$1)*Setup!$N$39))+$A16/1000)))</f>
        <v/>
      </c>
      <c r="N16">
        <f>IF(OR(Setup!$E$39="",Setup!$G$39="",Setup!$F$39=""),"",IF(AND(Setup!$F$39="Once",N$1&gt;0),"",IF(OR(IF(Setup!$M$39&gt;0,Setup!$G$39+(Setup!$O$39+N$1)*Setup!$M$39,EDATE(Setup!$G$39,(Setup!$O$39+N$1)*Setup!$N$39))&gt;Setup!$P$39,IF(Setup!$M$39&gt;0,Setup!$G$39+(Setup!$O$39+N$1)*Setup!$M$39,EDATE(Setup!$G$39,(Setup!$O$39+N$1)*Setup!$N$39))&lt;Setup!$D$5),"",IF(Setup!$M$39&gt;0,Setup!$G$39+(Setup!$O$39+N$1)*Setup!$M$39,EDATE(Setup!$G$39,(Setup!$O$39+N$1)*Setup!$N$39))+$A16/1000)))</f>
        <v/>
      </c>
      <c r="O16">
        <f>IF(OR(Setup!$E$39="",Setup!$G$39="",Setup!$F$39=""),"",IF(AND(Setup!$F$39="Once",O$1&gt;0),"",IF(OR(IF(Setup!$M$39&gt;0,Setup!$G$39+(Setup!$O$39+O$1)*Setup!$M$39,EDATE(Setup!$G$39,(Setup!$O$39+O$1)*Setup!$N$39))&gt;Setup!$P$39,IF(Setup!$M$39&gt;0,Setup!$G$39+(Setup!$O$39+O$1)*Setup!$M$39,EDATE(Setup!$G$39,(Setup!$O$39+O$1)*Setup!$N$39))&lt;Setup!$D$5),"",IF(Setup!$M$39&gt;0,Setup!$G$39+(Setup!$O$39+O$1)*Setup!$M$39,EDATE(Setup!$G$39,(Setup!$O$39+O$1)*Setup!$N$39))+$A16/1000)))</f>
        <v/>
      </c>
      <c r="P16">
        <f>IF(OR(Setup!$E$39="",Setup!$G$39="",Setup!$F$39=""),"",IF(AND(Setup!$F$39="Once",P$1&gt;0),"",IF(OR(IF(Setup!$M$39&gt;0,Setup!$G$39+(Setup!$O$39+P$1)*Setup!$M$39,EDATE(Setup!$G$39,(Setup!$O$39+P$1)*Setup!$N$39))&gt;Setup!$P$39,IF(Setup!$M$39&gt;0,Setup!$G$39+(Setup!$O$39+P$1)*Setup!$M$39,EDATE(Setup!$G$39,(Setup!$O$39+P$1)*Setup!$N$39))&lt;Setup!$D$5),"",IF(Setup!$M$39&gt;0,Setup!$G$39+(Setup!$O$39+P$1)*Setup!$M$39,EDATE(Setup!$G$39,(Setup!$O$39+P$1)*Setup!$N$39))+$A16/1000)))</f>
        <v/>
      </c>
      <c r="Q16">
        <f>IF(OR(Setup!$E$39="",Setup!$G$39="",Setup!$F$39=""),"",IF(AND(Setup!$F$39="Once",Q$1&gt;0),"",IF(OR(IF(Setup!$M$39&gt;0,Setup!$G$39+(Setup!$O$39+Q$1)*Setup!$M$39,EDATE(Setup!$G$39,(Setup!$O$39+Q$1)*Setup!$N$39))&gt;Setup!$P$39,IF(Setup!$M$39&gt;0,Setup!$G$39+(Setup!$O$39+Q$1)*Setup!$M$39,EDATE(Setup!$G$39,(Setup!$O$39+Q$1)*Setup!$N$39))&lt;Setup!$D$5),"",IF(Setup!$M$39&gt;0,Setup!$G$39+(Setup!$O$39+Q$1)*Setup!$M$39,EDATE(Setup!$G$39,(Setup!$O$39+Q$1)*Setup!$N$39))+$A16/1000)))</f>
        <v/>
      </c>
      <c r="R16">
        <f>IF(OR(Setup!$E$39="",Setup!$G$39="",Setup!$F$39=""),"",IF(AND(Setup!$F$39="Once",R$1&gt;0),"",IF(OR(IF(Setup!$M$39&gt;0,Setup!$G$39+(Setup!$O$39+R$1)*Setup!$M$39,EDATE(Setup!$G$39,(Setup!$O$39+R$1)*Setup!$N$39))&gt;Setup!$P$39,IF(Setup!$M$39&gt;0,Setup!$G$39+(Setup!$O$39+R$1)*Setup!$M$39,EDATE(Setup!$G$39,(Setup!$O$39+R$1)*Setup!$N$39))&lt;Setup!$D$5),"",IF(Setup!$M$39&gt;0,Setup!$G$39+(Setup!$O$39+R$1)*Setup!$M$39,EDATE(Setup!$G$39,(Setup!$O$39+R$1)*Setup!$N$39))+$A16/1000)))</f>
        <v/>
      </c>
      <c r="S16">
        <f>IF(OR(Setup!$E$39="",Setup!$G$39="",Setup!$F$39=""),"",IF(AND(Setup!$F$39="Once",S$1&gt;0),"",IF(OR(IF(Setup!$M$39&gt;0,Setup!$G$39+(Setup!$O$39+S$1)*Setup!$M$39,EDATE(Setup!$G$39,(Setup!$O$39+S$1)*Setup!$N$39))&gt;Setup!$P$39,IF(Setup!$M$39&gt;0,Setup!$G$39+(Setup!$O$39+S$1)*Setup!$M$39,EDATE(Setup!$G$39,(Setup!$O$39+S$1)*Setup!$N$39))&lt;Setup!$D$5),"",IF(Setup!$M$39&gt;0,Setup!$G$39+(Setup!$O$39+S$1)*Setup!$M$39,EDATE(Setup!$G$39,(Setup!$O$39+S$1)*Setup!$N$39))+$A16/1000)))</f>
        <v/>
      </c>
      <c r="T16">
        <f>IF(OR(Setup!$E$39="",Setup!$G$39="",Setup!$F$39=""),"",IF(AND(Setup!$F$39="Once",T$1&gt;0),"",IF(OR(IF(Setup!$M$39&gt;0,Setup!$G$39+(Setup!$O$39+T$1)*Setup!$M$39,EDATE(Setup!$G$39,(Setup!$O$39+T$1)*Setup!$N$39))&gt;Setup!$P$39,IF(Setup!$M$39&gt;0,Setup!$G$39+(Setup!$O$39+T$1)*Setup!$M$39,EDATE(Setup!$G$39,(Setup!$O$39+T$1)*Setup!$N$39))&lt;Setup!$D$5),"",IF(Setup!$M$39&gt;0,Setup!$G$39+(Setup!$O$39+T$1)*Setup!$M$39,EDATE(Setup!$G$39,(Setup!$O$39+T$1)*Setup!$N$39))+$A16/1000)))</f>
        <v/>
      </c>
      <c r="U16">
        <f>IF(OR(Setup!$E$39="",Setup!$G$39="",Setup!$F$39=""),"",IF(AND(Setup!$F$39="Once",U$1&gt;0),"",IF(OR(IF(Setup!$M$39&gt;0,Setup!$G$39+(Setup!$O$39+U$1)*Setup!$M$39,EDATE(Setup!$G$39,(Setup!$O$39+U$1)*Setup!$N$39))&gt;Setup!$P$39,IF(Setup!$M$39&gt;0,Setup!$G$39+(Setup!$O$39+U$1)*Setup!$M$39,EDATE(Setup!$G$39,(Setup!$O$39+U$1)*Setup!$N$39))&lt;Setup!$D$5),"",IF(Setup!$M$39&gt;0,Setup!$G$39+(Setup!$O$39+U$1)*Setup!$M$39,EDATE(Setup!$G$39,(Setup!$O$39+U$1)*Setup!$N$39))+$A16/1000)))</f>
        <v/>
      </c>
      <c r="V16">
        <f>IF(OR(Setup!$E$39="",Setup!$G$39="",Setup!$F$39=""),"",IF(AND(Setup!$F$39="Once",V$1&gt;0),"",IF(OR(IF(Setup!$M$39&gt;0,Setup!$G$39+(Setup!$O$39+V$1)*Setup!$M$39,EDATE(Setup!$G$39,(Setup!$O$39+V$1)*Setup!$N$39))&gt;Setup!$P$39,IF(Setup!$M$39&gt;0,Setup!$G$39+(Setup!$O$39+V$1)*Setup!$M$39,EDATE(Setup!$G$39,(Setup!$O$39+V$1)*Setup!$N$39))&lt;Setup!$D$5),"",IF(Setup!$M$39&gt;0,Setup!$G$39+(Setup!$O$39+V$1)*Setup!$M$39,EDATE(Setup!$G$39,(Setup!$O$39+V$1)*Setup!$N$39))+$A16/1000)))</f>
        <v/>
      </c>
      <c r="W16">
        <f>IF(OR(Setup!$E$39="",Setup!$G$39="",Setup!$F$39=""),"",IF(AND(Setup!$F$39="Once",W$1&gt;0),"",IF(OR(IF(Setup!$M$39&gt;0,Setup!$G$39+(Setup!$O$39+W$1)*Setup!$M$39,EDATE(Setup!$G$39,(Setup!$O$39+W$1)*Setup!$N$39))&gt;Setup!$P$39,IF(Setup!$M$39&gt;0,Setup!$G$39+(Setup!$O$39+W$1)*Setup!$M$39,EDATE(Setup!$G$39,(Setup!$O$39+W$1)*Setup!$N$39))&lt;Setup!$D$5),"",IF(Setup!$M$39&gt;0,Setup!$G$39+(Setup!$O$39+W$1)*Setup!$M$39,EDATE(Setup!$G$39,(Setup!$O$39+W$1)*Setup!$N$39))+$A16/1000)))</f>
        <v/>
      </c>
      <c r="X16">
        <f>IF(OR(Setup!$E$39="",Setup!$G$39="",Setup!$F$39=""),"",IF(AND(Setup!$F$39="Once",X$1&gt;0),"",IF(OR(IF(Setup!$M$39&gt;0,Setup!$G$39+(Setup!$O$39+X$1)*Setup!$M$39,EDATE(Setup!$G$39,(Setup!$O$39+X$1)*Setup!$N$39))&gt;Setup!$P$39,IF(Setup!$M$39&gt;0,Setup!$G$39+(Setup!$O$39+X$1)*Setup!$M$39,EDATE(Setup!$G$39,(Setup!$O$39+X$1)*Setup!$N$39))&lt;Setup!$D$5),"",IF(Setup!$M$39&gt;0,Setup!$G$39+(Setup!$O$39+X$1)*Setup!$M$39,EDATE(Setup!$G$39,(Setup!$O$39+X$1)*Setup!$N$39))+$A16/1000)))</f>
        <v/>
      </c>
      <c r="Y16">
        <f>IF(OR(Setup!$E$39="",Setup!$G$39="",Setup!$F$39=""),"",IF(AND(Setup!$F$39="Once",Y$1&gt;0),"",IF(OR(IF(Setup!$M$39&gt;0,Setup!$G$39+(Setup!$O$39+Y$1)*Setup!$M$39,EDATE(Setup!$G$39,(Setup!$O$39+Y$1)*Setup!$N$39))&gt;Setup!$P$39,IF(Setup!$M$39&gt;0,Setup!$G$39+(Setup!$O$39+Y$1)*Setup!$M$39,EDATE(Setup!$G$39,(Setup!$O$39+Y$1)*Setup!$N$39))&lt;Setup!$D$5),"",IF(Setup!$M$39&gt;0,Setup!$G$39+(Setup!$O$39+Y$1)*Setup!$M$39,EDATE(Setup!$G$39,(Setup!$O$39+Y$1)*Setup!$N$39))+$A16/1000)))</f>
        <v/>
      </c>
      <c r="Z16">
        <f>IF(OR(Setup!$E$39="",Setup!$G$39="",Setup!$F$39=""),"",IF(AND(Setup!$F$39="Once",Z$1&gt;0),"",IF(OR(IF(Setup!$M$39&gt;0,Setup!$G$39+(Setup!$O$39+Z$1)*Setup!$M$39,EDATE(Setup!$G$39,(Setup!$O$39+Z$1)*Setup!$N$39))&gt;Setup!$P$39,IF(Setup!$M$39&gt;0,Setup!$G$39+(Setup!$O$39+Z$1)*Setup!$M$39,EDATE(Setup!$G$39,(Setup!$O$39+Z$1)*Setup!$N$39))&lt;Setup!$D$5),"",IF(Setup!$M$39&gt;0,Setup!$G$39+(Setup!$O$39+Z$1)*Setup!$M$39,EDATE(Setup!$G$39,(Setup!$O$39+Z$1)*Setup!$N$39))+$A16/1000)))</f>
        <v/>
      </c>
      <c r="AA16">
        <f>IF(OR(Setup!$E$39="",Setup!$G$39="",Setup!$F$39=""),"",IF(AND(Setup!$F$39="Once",AA$1&gt;0),"",IF(OR(IF(Setup!$M$39&gt;0,Setup!$G$39+(Setup!$O$39+AA$1)*Setup!$M$39,EDATE(Setup!$G$39,(Setup!$O$39+AA$1)*Setup!$N$39))&gt;Setup!$P$39,IF(Setup!$M$39&gt;0,Setup!$G$39+(Setup!$O$39+AA$1)*Setup!$M$39,EDATE(Setup!$G$39,(Setup!$O$39+AA$1)*Setup!$N$39))&lt;Setup!$D$5),"",IF(Setup!$M$39&gt;0,Setup!$G$39+(Setup!$O$39+AA$1)*Setup!$M$39,EDATE(Setup!$G$39,(Setup!$O$39+AA$1)*Setup!$N$39))+$A16/1000)))</f>
        <v/>
      </c>
      <c r="AB16">
        <f>IF(OR(Setup!$E$39="",Setup!$G$39="",Setup!$F$39=""),"",IF(AND(Setup!$F$39="Once",AB$1&gt;0),"",IF(OR(IF(Setup!$M$39&gt;0,Setup!$G$39+(Setup!$O$39+AB$1)*Setup!$M$39,EDATE(Setup!$G$39,(Setup!$O$39+AB$1)*Setup!$N$39))&gt;Setup!$P$39,IF(Setup!$M$39&gt;0,Setup!$G$39+(Setup!$O$39+AB$1)*Setup!$M$39,EDATE(Setup!$G$39,(Setup!$O$39+AB$1)*Setup!$N$39))&lt;Setup!$D$5),"",IF(Setup!$M$39&gt;0,Setup!$G$39+(Setup!$O$39+AB$1)*Setup!$M$39,EDATE(Setup!$G$39,(Setup!$O$39+AB$1)*Setup!$N$39))+$A16/1000)))</f>
        <v/>
      </c>
      <c r="AC16">
        <f>IF(OR(Setup!$E$39="",Setup!$G$39="",Setup!$F$39=""),"",IF(AND(Setup!$F$39="Once",AC$1&gt;0),"",IF(OR(IF(Setup!$M$39&gt;0,Setup!$G$39+(Setup!$O$39+AC$1)*Setup!$M$39,EDATE(Setup!$G$39,(Setup!$O$39+AC$1)*Setup!$N$39))&gt;Setup!$P$39,IF(Setup!$M$39&gt;0,Setup!$G$39+(Setup!$O$39+AC$1)*Setup!$M$39,EDATE(Setup!$G$39,(Setup!$O$39+AC$1)*Setup!$N$39))&lt;Setup!$D$5),"",IF(Setup!$M$39&gt;0,Setup!$G$39+(Setup!$O$39+AC$1)*Setup!$M$39,EDATE(Setup!$G$39,(Setup!$O$39+AC$1)*Setup!$N$39))+$A16/1000)))</f>
        <v/>
      </c>
      <c r="AD16">
        <f>IF(OR(Setup!$E$39="",Setup!$G$39="",Setup!$F$39=""),"",IF(AND(Setup!$F$39="Once",AD$1&gt;0),"",IF(OR(IF(Setup!$M$39&gt;0,Setup!$G$39+(Setup!$O$39+AD$1)*Setup!$M$39,EDATE(Setup!$G$39,(Setup!$O$39+AD$1)*Setup!$N$39))&gt;Setup!$P$39,IF(Setup!$M$39&gt;0,Setup!$G$39+(Setup!$O$39+AD$1)*Setup!$M$39,EDATE(Setup!$G$39,(Setup!$O$39+AD$1)*Setup!$N$39))&lt;Setup!$D$5),"",IF(Setup!$M$39&gt;0,Setup!$G$39+(Setup!$O$39+AD$1)*Setup!$M$39,EDATE(Setup!$G$39,(Setup!$O$39+AD$1)*Setup!$N$39))+$A16/1000)))</f>
        <v/>
      </c>
      <c r="AE16">
        <f>IF(OR(Setup!$E$39="",Setup!$G$39="",Setup!$F$39=""),"",IF(AND(Setup!$F$39="Once",AE$1&gt;0),"",IF(OR(IF(Setup!$M$39&gt;0,Setup!$G$39+(Setup!$O$39+AE$1)*Setup!$M$39,EDATE(Setup!$G$39,(Setup!$O$39+AE$1)*Setup!$N$39))&gt;Setup!$P$39,IF(Setup!$M$39&gt;0,Setup!$G$39+(Setup!$O$39+AE$1)*Setup!$M$39,EDATE(Setup!$G$39,(Setup!$O$39+AE$1)*Setup!$N$39))&lt;Setup!$D$5),"",IF(Setup!$M$39&gt;0,Setup!$G$39+(Setup!$O$39+AE$1)*Setup!$M$39,EDATE(Setup!$G$39,(Setup!$O$39+AE$1)*Setup!$N$39))+$A16/1000)))</f>
        <v/>
      </c>
      <c r="AF16">
        <f>IF(OR(Setup!$E$39="",Setup!$G$39="",Setup!$F$39=""),"",IF(AND(Setup!$F$39="Once",AF$1&gt;0),"",IF(OR(IF(Setup!$M$39&gt;0,Setup!$G$39+(Setup!$O$39+AF$1)*Setup!$M$39,EDATE(Setup!$G$39,(Setup!$O$39+AF$1)*Setup!$N$39))&gt;Setup!$P$39,IF(Setup!$M$39&gt;0,Setup!$G$39+(Setup!$O$39+AF$1)*Setup!$M$39,EDATE(Setup!$G$39,(Setup!$O$39+AF$1)*Setup!$N$39))&lt;Setup!$D$5),"",IF(Setup!$M$39&gt;0,Setup!$G$39+(Setup!$O$39+AF$1)*Setup!$M$39,EDATE(Setup!$G$39,(Setup!$O$39+AF$1)*Setup!$N$39))+$A16/1000)))</f>
        <v/>
      </c>
      <c r="AG16">
        <f>IF(OR(Setup!$E$39="",Setup!$G$39="",Setup!$F$39=""),"",IF(AND(Setup!$F$39="Once",AG$1&gt;0),"",IF(OR(IF(Setup!$M$39&gt;0,Setup!$G$39+(Setup!$O$39+AG$1)*Setup!$M$39,EDATE(Setup!$G$39,(Setup!$O$39+AG$1)*Setup!$N$39))&gt;Setup!$P$39,IF(Setup!$M$39&gt;0,Setup!$G$39+(Setup!$O$39+AG$1)*Setup!$M$39,EDATE(Setup!$G$39,(Setup!$O$39+AG$1)*Setup!$N$39))&lt;Setup!$D$5),"",IF(Setup!$M$39&gt;0,Setup!$G$39+(Setup!$O$39+AG$1)*Setup!$M$39,EDATE(Setup!$G$39,(Setup!$O$39+AG$1)*Setup!$N$39))+$A16/1000)))</f>
        <v/>
      </c>
      <c r="AH16">
        <f>IF(OR(Setup!$E$39="",Setup!$G$39="",Setup!$F$39=""),"",IF(AND(Setup!$F$39="Once",AH$1&gt;0),"",IF(OR(IF(Setup!$M$39&gt;0,Setup!$G$39+(Setup!$O$39+AH$1)*Setup!$M$39,EDATE(Setup!$G$39,(Setup!$O$39+AH$1)*Setup!$N$39))&gt;Setup!$P$39,IF(Setup!$M$39&gt;0,Setup!$G$39+(Setup!$O$39+AH$1)*Setup!$M$39,EDATE(Setup!$G$39,(Setup!$O$39+AH$1)*Setup!$N$39))&lt;Setup!$D$5),"",IF(Setup!$M$39&gt;0,Setup!$G$39+(Setup!$O$39+AH$1)*Setup!$M$39,EDATE(Setup!$G$39,(Setup!$O$39+AH$1)*Setup!$N$39))+$A16/1000)))</f>
        <v/>
      </c>
      <c r="AI16">
        <f>IF(OR(Setup!$E$39="",Setup!$G$39="",Setup!$F$39=""),"",IF(AND(Setup!$F$39="Once",AI$1&gt;0),"",IF(OR(IF(Setup!$M$39&gt;0,Setup!$G$39+(Setup!$O$39+AI$1)*Setup!$M$39,EDATE(Setup!$G$39,(Setup!$O$39+AI$1)*Setup!$N$39))&gt;Setup!$P$39,IF(Setup!$M$39&gt;0,Setup!$G$39+(Setup!$O$39+AI$1)*Setup!$M$39,EDATE(Setup!$G$39,(Setup!$O$39+AI$1)*Setup!$N$39))&lt;Setup!$D$5),"",IF(Setup!$M$39&gt;0,Setup!$G$39+(Setup!$O$39+AI$1)*Setup!$M$39,EDATE(Setup!$G$39,(Setup!$O$39+AI$1)*Setup!$N$39))+$A16/1000)))</f>
        <v/>
      </c>
      <c r="AJ16">
        <f>IF(OR(Setup!$E$39="",Setup!$G$39="",Setup!$F$39=""),"",IF(AND(Setup!$F$39="Once",AJ$1&gt;0),"",IF(OR(IF(Setup!$M$39&gt;0,Setup!$G$39+(Setup!$O$39+AJ$1)*Setup!$M$39,EDATE(Setup!$G$39,(Setup!$O$39+AJ$1)*Setup!$N$39))&gt;Setup!$P$39,IF(Setup!$M$39&gt;0,Setup!$G$39+(Setup!$O$39+AJ$1)*Setup!$M$39,EDATE(Setup!$G$39,(Setup!$O$39+AJ$1)*Setup!$N$39))&lt;Setup!$D$5),"",IF(Setup!$M$39&gt;0,Setup!$G$39+(Setup!$O$39+AJ$1)*Setup!$M$39,EDATE(Setup!$G$39,(Setup!$O$39+AJ$1)*Setup!$N$39))+$A16/1000)))</f>
        <v/>
      </c>
      <c r="AK16">
        <f>IF(OR(Setup!$E$39="",Setup!$G$39="",Setup!$F$39=""),"",IF(AND(Setup!$F$39="Once",AK$1&gt;0),"",IF(OR(IF(Setup!$M$39&gt;0,Setup!$G$39+(Setup!$O$39+AK$1)*Setup!$M$39,EDATE(Setup!$G$39,(Setup!$O$39+AK$1)*Setup!$N$39))&gt;Setup!$P$39,IF(Setup!$M$39&gt;0,Setup!$G$39+(Setup!$O$39+AK$1)*Setup!$M$39,EDATE(Setup!$G$39,(Setup!$O$39+AK$1)*Setup!$N$39))&lt;Setup!$D$5),"",IF(Setup!$M$39&gt;0,Setup!$G$39+(Setup!$O$39+AK$1)*Setup!$M$39,EDATE(Setup!$G$39,(Setup!$O$39+AK$1)*Setup!$N$39))+$A16/1000)))</f>
        <v/>
      </c>
      <c r="AL16">
        <f>IF(OR(Setup!$E$39="",Setup!$G$39="",Setup!$F$39=""),"",IF(AND(Setup!$F$39="Once",AL$1&gt;0),"",IF(OR(IF(Setup!$M$39&gt;0,Setup!$G$39+(Setup!$O$39+AL$1)*Setup!$M$39,EDATE(Setup!$G$39,(Setup!$O$39+AL$1)*Setup!$N$39))&gt;Setup!$P$39,IF(Setup!$M$39&gt;0,Setup!$G$39+(Setup!$O$39+AL$1)*Setup!$M$39,EDATE(Setup!$G$39,(Setup!$O$39+AL$1)*Setup!$N$39))&lt;Setup!$D$5),"",IF(Setup!$M$39&gt;0,Setup!$G$39+(Setup!$O$39+AL$1)*Setup!$M$39,EDATE(Setup!$G$39,(Setup!$O$39+AL$1)*Setup!$N$39))+$A16/1000)))</f>
        <v/>
      </c>
      <c r="AM16">
        <f>IF(OR(Setup!$E$39="",Setup!$G$39="",Setup!$F$39=""),"",IF(AND(Setup!$F$39="Once",AM$1&gt;0),"",IF(OR(IF(Setup!$M$39&gt;0,Setup!$G$39+(Setup!$O$39+AM$1)*Setup!$M$39,EDATE(Setup!$G$39,(Setup!$O$39+AM$1)*Setup!$N$39))&gt;Setup!$P$39,IF(Setup!$M$39&gt;0,Setup!$G$39+(Setup!$O$39+AM$1)*Setup!$M$39,EDATE(Setup!$G$39,(Setup!$O$39+AM$1)*Setup!$N$39))&lt;Setup!$D$5),"",IF(Setup!$M$39&gt;0,Setup!$G$39+(Setup!$O$39+AM$1)*Setup!$M$39,EDATE(Setup!$G$39,(Setup!$O$39+AM$1)*Setup!$N$39))+$A16/1000)))</f>
        <v/>
      </c>
      <c r="AN16">
        <f>IF(OR(Setup!$E$39="",Setup!$G$39="",Setup!$F$39=""),"",IF(AND(Setup!$F$39="Once",AN$1&gt;0),"",IF(OR(IF(Setup!$M$39&gt;0,Setup!$G$39+(Setup!$O$39+AN$1)*Setup!$M$39,EDATE(Setup!$G$39,(Setup!$O$39+AN$1)*Setup!$N$39))&gt;Setup!$P$39,IF(Setup!$M$39&gt;0,Setup!$G$39+(Setup!$O$39+AN$1)*Setup!$M$39,EDATE(Setup!$G$39,(Setup!$O$39+AN$1)*Setup!$N$39))&lt;Setup!$D$5),"",IF(Setup!$M$39&gt;0,Setup!$G$39+(Setup!$O$39+AN$1)*Setup!$M$39,EDATE(Setup!$G$39,(Setup!$O$39+AN$1)*Setup!$N$39))+$A16/1000)))</f>
        <v/>
      </c>
      <c r="AO16">
        <f>IF(OR(Setup!$E$39="",Setup!$G$39="",Setup!$F$39=""),"",IF(AND(Setup!$F$39="Once",AO$1&gt;0),"",IF(OR(IF(Setup!$M$39&gt;0,Setup!$G$39+(Setup!$O$39+AO$1)*Setup!$M$39,EDATE(Setup!$G$39,(Setup!$O$39+AO$1)*Setup!$N$39))&gt;Setup!$P$39,IF(Setup!$M$39&gt;0,Setup!$G$39+(Setup!$O$39+AO$1)*Setup!$M$39,EDATE(Setup!$G$39,(Setup!$O$39+AO$1)*Setup!$N$39))&lt;Setup!$D$5),"",IF(Setup!$M$39&gt;0,Setup!$G$39+(Setup!$O$39+AO$1)*Setup!$M$39,EDATE(Setup!$G$39,(Setup!$O$39+AO$1)*Setup!$N$39))+$A16/1000)))</f>
        <v/>
      </c>
      <c r="AP16">
        <f>IF(OR(Setup!$E$39="",Setup!$G$39="",Setup!$F$39=""),"",IF(AND(Setup!$F$39="Once",AP$1&gt;0),"",IF(OR(IF(Setup!$M$39&gt;0,Setup!$G$39+(Setup!$O$39+AP$1)*Setup!$M$39,EDATE(Setup!$G$39,(Setup!$O$39+AP$1)*Setup!$N$39))&gt;Setup!$P$39,IF(Setup!$M$39&gt;0,Setup!$G$39+(Setup!$O$39+AP$1)*Setup!$M$39,EDATE(Setup!$G$39,(Setup!$O$39+AP$1)*Setup!$N$39))&lt;Setup!$D$5),"",IF(Setup!$M$39&gt;0,Setup!$G$39+(Setup!$O$39+AP$1)*Setup!$M$39,EDATE(Setup!$G$39,(Setup!$O$39+AP$1)*Setup!$N$39))+$A16/1000)))</f>
        <v/>
      </c>
      <c r="AQ16">
        <f>IF(OR(Setup!$E$39="",Setup!$G$39="",Setup!$F$39=""),"",IF(AND(Setup!$F$39="Once",AQ$1&gt;0),"",IF(OR(IF(Setup!$M$39&gt;0,Setup!$G$39+(Setup!$O$39+AQ$1)*Setup!$M$39,EDATE(Setup!$G$39,(Setup!$O$39+AQ$1)*Setup!$N$39))&gt;Setup!$P$39,IF(Setup!$M$39&gt;0,Setup!$G$39+(Setup!$O$39+AQ$1)*Setup!$M$39,EDATE(Setup!$G$39,(Setup!$O$39+AQ$1)*Setup!$N$39))&lt;Setup!$D$5),"",IF(Setup!$M$39&gt;0,Setup!$G$39+(Setup!$O$39+AQ$1)*Setup!$M$39,EDATE(Setup!$G$39,(Setup!$O$39+AQ$1)*Setup!$N$39))+$A16/1000)))</f>
        <v/>
      </c>
      <c r="AR16">
        <f>IF(OR(Setup!$E$39="",Setup!$G$39="",Setup!$F$39=""),"",IF(AND(Setup!$F$39="Once",AR$1&gt;0),"",IF(OR(IF(Setup!$M$39&gt;0,Setup!$G$39+(Setup!$O$39+AR$1)*Setup!$M$39,EDATE(Setup!$G$39,(Setup!$O$39+AR$1)*Setup!$N$39))&gt;Setup!$P$39,IF(Setup!$M$39&gt;0,Setup!$G$39+(Setup!$O$39+AR$1)*Setup!$M$39,EDATE(Setup!$G$39,(Setup!$O$39+AR$1)*Setup!$N$39))&lt;Setup!$D$5),"",IF(Setup!$M$39&gt;0,Setup!$G$39+(Setup!$O$39+AR$1)*Setup!$M$39,EDATE(Setup!$G$39,(Setup!$O$39+AR$1)*Setup!$N$39))+$A16/1000)))</f>
        <v/>
      </c>
      <c r="AS16">
        <f>IF(OR(Setup!$E$39="",Setup!$G$39="",Setup!$F$39=""),"",IF(AND(Setup!$F$39="Once",AS$1&gt;0),"",IF(OR(IF(Setup!$M$39&gt;0,Setup!$G$39+(Setup!$O$39+AS$1)*Setup!$M$39,EDATE(Setup!$G$39,(Setup!$O$39+AS$1)*Setup!$N$39))&gt;Setup!$P$39,IF(Setup!$M$39&gt;0,Setup!$G$39+(Setup!$O$39+AS$1)*Setup!$M$39,EDATE(Setup!$G$39,(Setup!$O$39+AS$1)*Setup!$N$39))&lt;Setup!$D$5),"",IF(Setup!$M$39&gt;0,Setup!$G$39+(Setup!$O$39+AS$1)*Setup!$M$39,EDATE(Setup!$G$39,(Setup!$O$39+AS$1)*Setup!$N$39))+$A16/1000)))</f>
        <v/>
      </c>
      <c r="AT16">
        <f>IF(OR(Setup!$E$39="",Setup!$G$39="",Setup!$F$39=""),"",IF(AND(Setup!$F$39="Once",AT$1&gt;0),"",IF(OR(IF(Setup!$M$39&gt;0,Setup!$G$39+(Setup!$O$39+AT$1)*Setup!$M$39,EDATE(Setup!$G$39,(Setup!$O$39+AT$1)*Setup!$N$39))&gt;Setup!$P$39,IF(Setup!$M$39&gt;0,Setup!$G$39+(Setup!$O$39+AT$1)*Setup!$M$39,EDATE(Setup!$G$39,(Setup!$O$39+AT$1)*Setup!$N$39))&lt;Setup!$D$5),"",IF(Setup!$M$39&gt;0,Setup!$G$39+(Setup!$O$39+AT$1)*Setup!$M$39,EDATE(Setup!$G$39,(Setup!$O$39+AT$1)*Setup!$N$39))+$A16/1000)))</f>
        <v/>
      </c>
      <c r="AU16">
        <f>IF(OR(Setup!$E$39="",Setup!$G$39="",Setup!$F$39=""),"",IF(AND(Setup!$F$39="Once",AU$1&gt;0),"",IF(OR(IF(Setup!$M$39&gt;0,Setup!$G$39+(Setup!$O$39+AU$1)*Setup!$M$39,EDATE(Setup!$G$39,(Setup!$O$39+AU$1)*Setup!$N$39))&gt;Setup!$P$39,IF(Setup!$M$39&gt;0,Setup!$G$39+(Setup!$O$39+AU$1)*Setup!$M$39,EDATE(Setup!$G$39,(Setup!$O$39+AU$1)*Setup!$N$39))&lt;Setup!$D$5),"",IF(Setup!$M$39&gt;0,Setup!$G$39+(Setup!$O$39+AU$1)*Setup!$M$39,EDATE(Setup!$G$39,(Setup!$O$39+AU$1)*Setup!$N$39))+$A16/1000)))</f>
        <v/>
      </c>
      <c r="AV16">
        <f>IF(OR(Setup!$E$39="",Setup!$G$39="",Setup!$F$39=""),"",IF(AND(Setup!$F$39="Once",AV$1&gt;0),"",IF(OR(IF(Setup!$M$39&gt;0,Setup!$G$39+(Setup!$O$39+AV$1)*Setup!$M$39,EDATE(Setup!$G$39,(Setup!$O$39+AV$1)*Setup!$N$39))&gt;Setup!$P$39,IF(Setup!$M$39&gt;0,Setup!$G$39+(Setup!$O$39+AV$1)*Setup!$M$39,EDATE(Setup!$G$39,(Setup!$O$39+AV$1)*Setup!$N$39))&lt;Setup!$D$5),"",IF(Setup!$M$39&gt;0,Setup!$G$39+(Setup!$O$39+AV$1)*Setup!$M$39,EDATE(Setup!$G$39,(Setup!$O$39+AV$1)*Setup!$N$39))+$A16/1000)))</f>
        <v/>
      </c>
      <c r="AW16">
        <f>IF(OR(Setup!$E$39="",Setup!$G$39="",Setup!$F$39=""),"",IF(AND(Setup!$F$39="Once",AW$1&gt;0),"",IF(OR(IF(Setup!$M$39&gt;0,Setup!$G$39+(Setup!$O$39+AW$1)*Setup!$M$39,EDATE(Setup!$G$39,(Setup!$O$39+AW$1)*Setup!$N$39))&gt;Setup!$P$39,IF(Setup!$M$39&gt;0,Setup!$G$39+(Setup!$O$39+AW$1)*Setup!$M$39,EDATE(Setup!$G$39,(Setup!$O$39+AW$1)*Setup!$N$39))&lt;Setup!$D$5),"",IF(Setup!$M$39&gt;0,Setup!$G$39+(Setup!$O$39+AW$1)*Setup!$M$39,EDATE(Setup!$G$39,(Setup!$O$39+AW$1)*Setup!$N$39))+$A16/1000)))</f>
        <v/>
      </c>
      <c r="AX16">
        <f>IF(OR(Setup!$E$39="",Setup!$G$39="",Setup!$F$39=""),"",IF(AND(Setup!$F$39="Once",AX$1&gt;0),"",IF(OR(IF(Setup!$M$39&gt;0,Setup!$G$39+(Setup!$O$39+AX$1)*Setup!$M$39,EDATE(Setup!$G$39,(Setup!$O$39+AX$1)*Setup!$N$39))&gt;Setup!$P$39,IF(Setup!$M$39&gt;0,Setup!$G$39+(Setup!$O$39+AX$1)*Setup!$M$39,EDATE(Setup!$G$39,(Setup!$O$39+AX$1)*Setup!$N$39))&lt;Setup!$D$5),"",IF(Setup!$M$39&gt;0,Setup!$G$39+(Setup!$O$39+AX$1)*Setup!$M$39,EDATE(Setup!$G$39,(Setup!$O$39+AX$1)*Setup!$N$39))+$A16/1000)))</f>
        <v/>
      </c>
      <c r="AY16">
        <f>IF(OR(Setup!$E$39="",Setup!$G$39="",Setup!$F$39=""),"",IF(AND(Setup!$F$39="Once",AY$1&gt;0),"",IF(OR(IF(Setup!$M$39&gt;0,Setup!$G$39+(Setup!$O$39+AY$1)*Setup!$M$39,EDATE(Setup!$G$39,(Setup!$O$39+AY$1)*Setup!$N$39))&gt;Setup!$P$39,IF(Setup!$M$39&gt;0,Setup!$G$39+(Setup!$O$39+AY$1)*Setup!$M$39,EDATE(Setup!$G$39,(Setup!$O$39+AY$1)*Setup!$N$39))&lt;Setup!$D$5),"",IF(Setup!$M$39&gt;0,Setup!$G$39+(Setup!$O$39+AY$1)*Setup!$M$39,EDATE(Setup!$G$39,(Setup!$O$39+AY$1)*Setup!$N$39))+$A16/1000)))</f>
        <v/>
      </c>
      <c r="AZ16">
        <f>IF(OR(Setup!$E$39="",Setup!$G$39="",Setup!$F$39=""),"",IF(AND(Setup!$F$39="Once",AZ$1&gt;0),"",IF(OR(IF(Setup!$M$39&gt;0,Setup!$G$39+(Setup!$O$39+AZ$1)*Setup!$M$39,EDATE(Setup!$G$39,(Setup!$O$39+AZ$1)*Setup!$N$39))&gt;Setup!$P$39,IF(Setup!$M$39&gt;0,Setup!$G$39+(Setup!$O$39+AZ$1)*Setup!$M$39,EDATE(Setup!$G$39,(Setup!$O$39+AZ$1)*Setup!$N$39))&lt;Setup!$D$5),"",IF(Setup!$M$39&gt;0,Setup!$G$39+(Setup!$O$39+AZ$1)*Setup!$M$39,EDATE(Setup!$G$39,(Setup!$O$39+AZ$1)*Setup!$N$39))+$A16/1000)))</f>
        <v/>
      </c>
      <c r="BA16">
        <f>IF(OR(Setup!$E$39="",Setup!$G$39="",Setup!$F$39=""),"",IF(AND(Setup!$F$39="Once",BA$1&gt;0),"",IF(OR(IF(Setup!$M$39&gt;0,Setup!$G$39+(Setup!$O$39+BA$1)*Setup!$M$39,EDATE(Setup!$G$39,(Setup!$O$39+BA$1)*Setup!$N$39))&gt;Setup!$P$39,IF(Setup!$M$39&gt;0,Setup!$G$39+(Setup!$O$39+BA$1)*Setup!$M$39,EDATE(Setup!$G$39,(Setup!$O$39+BA$1)*Setup!$N$39))&lt;Setup!$D$5),"",IF(Setup!$M$39&gt;0,Setup!$G$39+(Setup!$O$39+BA$1)*Setup!$M$39,EDATE(Setup!$G$39,(Setup!$O$39+BA$1)*Setup!$N$39))+$A16/1000)))</f>
        <v/>
      </c>
      <c r="BB16">
        <f>IF(OR(Setup!$E$39="",Setup!$G$39="",Setup!$F$39=""),"",IF(AND(Setup!$F$39="Once",BB$1&gt;0),"",IF(OR(IF(Setup!$M$39&gt;0,Setup!$G$39+(Setup!$O$39+BB$1)*Setup!$M$39,EDATE(Setup!$G$39,(Setup!$O$39+BB$1)*Setup!$N$39))&gt;Setup!$P$39,IF(Setup!$M$39&gt;0,Setup!$G$39+(Setup!$O$39+BB$1)*Setup!$M$39,EDATE(Setup!$G$39,(Setup!$O$39+BB$1)*Setup!$N$39))&lt;Setup!$D$5),"",IF(Setup!$M$39&gt;0,Setup!$G$39+(Setup!$O$39+BB$1)*Setup!$M$39,EDATE(Setup!$G$39,(Setup!$O$39+BB$1)*Setup!$N$39))+$A16/1000)))</f>
        <v/>
      </c>
    </row>
    <row r="17">
      <c r="A17" t="n">
        <v>16</v>
      </c>
      <c r="B17">
        <f>IF(OR(Setup!$E$40="",Setup!$G$40="",Setup!$F$40=""),"",IF(AND(Setup!$F$40="Once",B$1&gt;0),"",IF(OR(IF(Setup!$M$40&gt;0,Setup!$G$40+(Setup!$O$40+B$1)*Setup!$M$40,EDATE(Setup!$G$40,(Setup!$O$40+B$1)*Setup!$N$40))&gt;Setup!$P$40,IF(Setup!$M$40&gt;0,Setup!$G$40+(Setup!$O$40+B$1)*Setup!$M$40,EDATE(Setup!$G$40,(Setup!$O$40+B$1)*Setup!$N$40))&lt;Setup!$D$5),"",IF(Setup!$M$40&gt;0,Setup!$G$40+(Setup!$O$40+B$1)*Setup!$M$40,EDATE(Setup!$G$40,(Setup!$O$40+B$1)*Setup!$N$40))+$A17/1000)))</f>
        <v/>
      </c>
      <c r="C17">
        <f>IF(OR(Setup!$E$40="",Setup!$G$40="",Setup!$F$40=""),"",IF(AND(Setup!$F$40="Once",C$1&gt;0),"",IF(OR(IF(Setup!$M$40&gt;0,Setup!$G$40+(Setup!$O$40+C$1)*Setup!$M$40,EDATE(Setup!$G$40,(Setup!$O$40+C$1)*Setup!$N$40))&gt;Setup!$P$40,IF(Setup!$M$40&gt;0,Setup!$G$40+(Setup!$O$40+C$1)*Setup!$M$40,EDATE(Setup!$G$40,(Setup!$O$40+C$1)*Setup!$N$40))&lt;Setup!$D$5),"",IF(Setup!$M$40&gt;0,Setup!$G$40+(Setup!$O$40+C$1)*Setup!$M$40,EDATE(Setup!$G$40,(Setup!$O$40+C$1)*Setup!$N$40))+$A17/1000)))</f>
        <v/>
      </c>
      <c r="D17">
        <f>IF(OR(Setup!$E$40="",Setup!$G$40="",Setup!$F$40=""),"",IF(AND(Setup!$F$40="Once",D$1&gt;0),"",IF(OR(IF(Setup!$M$40&gt;0,Setup!$G$40+(Setup!$O$40+D$1)*Setup!$M$40,EDATE(Setup!$G$40,(Setup!$O$40+D$1)*Setup!$N$40))&gt;Setup!$P$40,IF(Setup!$M$40&gt;0,Setup!$G$40+(Setup!$O$40+D$1)*Setup!$M$40,EDATE(Setup!$G$40,(Setup!$O$40+D$1)*Setup!$N$40))&lt;Setup!$D$5),"",IF(Setup!$M$40&gt;0,Setup!$G$40+(Setup!$O$40+D$1)*Setup!$M$40,EDATE(Setup!$G$40,(Setup!$O$40+D$1)*Setup!$N$40))+$A17/1000)))</f>
        <v/>
      </c>
      <c r="E17">
        <f>IF(OR(Setup!$E$40="",Setup!$G$40="",Setup!$F$40=""),"",IF(AND(Setup!$F$40="Once",E$1&gt;0),"",IF(OR(IF(Setup!$M$40&gt;0,Setup!$G$40+(Setup!$O$40+E$1)*Setup!$M$40,EDATE(Setup!$G$40,(Setup!$O$40+E$1)*Setup!$N$40))&gt;Setup!$P$40,IF(Setup!$M$40&gt;0,Setup!$G$40+(Setup!$O$40+E$1)*Setup!$M$40,EDATE(Setup!$G$40,(Setup!$O$40+E$1)*Setup!$N$40))&lt;Setup!$D$5),"",IF(Setup!$M$40&gt;0,Setup!$G$40+(Setup!$O$40+E$1)*Setup!$M$40,EDATE(Setup!$G$40,(Setup!$O$40+E$1)*Setup!$N$40))+$A17/1000)))</f>
        <v/>
      </c>
      <c r="F17">
        <f>IF(OR(Setup!$E$40="",Setup!$G$40="",Setup!$F$40=""),"",IF(AND(Setup!$F$40="Once",F$1&gt;0),"",IF(OR(IF(Setup!$M$40&gt;0,Setup!$G$40+(Setup!$O$40+F$1)*Setup!$M$40,EDATE(Setup!$G$40,(Setup!$O$40+F$1)*Setup!$N$40))&gt;Setup!$P$40,IF(Setup!$M$40&gt;0,Setup!$G$40+(Setup!$O$40+F$1)*Setup!$M$40,EDATE(Setup!$G$40,(Setup!$O$40+F$1)*Setup!$N$40))&lt;Setup!$D$5),"",IF(Setup!$M$40&gt;0,Setup!$G$40+(Setup!$O$40+F$1)*Setup!$M$40,EDATE(Setup!$G$40,(Setup!$O$40+F$1)*Setup!$N$40))+$A17/1000)))</f>
        <v/>
      </c>
      <c r="G17">
        <f>IF(OR(Setup!$E$40="",Setup!$G$40="",Setup!$F$40=""),"",IF(AND(Setup!$F$40="Once",G$1&gt;0),"",IF(OR(IF(Setup!$M$40&gt;0,Setup!$G$40+(Setup!$O$40+G$1)*Setup!$M$40,EDATE(Setup!$G$40,(Setup!$O$40+G$1)*Setup!$N$40))&gt;Setup!$P$40,IF(Setup!$M$40&gt;0,Setup!$G$40+(Setup!$O$40+G$1)*Setup!$M$40,EDATE(Setup!$G$40,(Setup!$O$40+G$1)*Setup!$N$40))&lt;Setup!$D$5),"",IF(Setup!$M$40&gt;0,Setup!$G$40+(Setup!$O$40+G$1)*Setup!$M$40,EDATE(Setup!$G$40,(Setup!$O$40+G$1)*Setup!$N$40))+$A17/1000)))</f>
        <v/>
      </c>
      <c r="H17">
        <f>IF(OR(Setup!$E$40="",Setup!$G$40="",Setup!$F$40=""),"",IF(AND(Setup!$F$40="Once",H$1&gt;0),"",IF(OR(IF(Setup!$M$40&gt;0,Setup!$G$40+(Setup!$O$40+H$1)*Setup!$M$40,EDATE(Setup!$G$40,(Setup!$O$40+H$1)*Setup!$N$40))&gt;Setup!$P$40,IF(Setup!$M$40&gt;0,Setup!$G$40+(Setup!$O$40+H$1)*Setup!$M$40,EDATE(Setup!$G$40,(Setup!$O$40+H$1)*Setup!$N$40))&lt;Setup!$D$5),"",IF(Setup!$M$40&gt;0,Setup!$G$40+(Setup!$O$40+H$1)*Setup!$M$40,EDATE(Setup!$G$40,(Setup!$O$40+H$1)*Setup!$N$40))+$A17/1000)))</f>
        <v/>
      </c>
      <c r="I17">
        <f>IF(OR(Setup!$E$40="",Setup!$G$40="",Setup!$F$40=""),"",IF(AND(Setup!$F$40="Once",I$1&gt;0),"",IF(OR(IF(Setup!$M$40&gt;0,Setup!$G$40+(Setup!$O$40+I$1)*Setup!$M$40,EDATE(Setup!$G$40,(Setup!$O$40+I$1)*Setup!$N$40))&gt;Setup!$P$40,IF(Setup!$M$40&gt;0,Setup!$G$40+(Setup!$O$40+I$1)*Setup!$M$40,EDATE(Setup!$G$40,(Setup!$O$40+I$1)*Setup!$N$40))&lt;Setup!$D$5),"",IF(Setup!$M$40&gt;0,Setup!$G$40+(Setup!$O$40+I$1)*Setup!$M$40,EDATE(Setup!$G$40,(Setup!$O$40+I$1)*Setup!$N$40))+$A17/1000)))</f>
        <v/>
      </c>
      <c r="J17">
        <f>IF(OR(Setup!$E$40="",Setup!$G$40="",Setup!$F$40=""),"",IF(AND(Setup!$F$40="Once",J$1&gt;0),"",IF(OR(IF(Setup!$M$40&gt;0,Setup!$G$40+(Setup!$O$40+J$1)*Setup!$M$40,EDATE(Setup!$G$40,(Setup!$O$40+J$1)*Setup!$N$40))&gt;Setup!$P$40,IF(Setup!$M$40&gt;0,Setup!$G$40+(Setup!$O$40+J$1)*Setup!$M$40,EDATE(Setup!$G$40,(Setup!$O$40+J$1)*Setup!$N$40))&lt;Setup!$D$5),"",IF(Setup!$M$40&gt;0,Setup!$G$40+(Setup!$O$40+J$1)*Setup!$M$40,EDATE(Setup!$G$40,(Setup!$O$40+J$1)*Setup!$N$40))+$A17/1000)))</f>
        <v/>
      </c>
      <c r="K17">
        <f>IF(OR(Setup!$E$40="",Setup!$G$40="",Setup!$F$40=""),"",IF(AND(Setup!$F$40="Once",K$1&gt;0),"",IF(OR(IF(Setup!$M$40&gt;0,Setup!$G$40+(Setup!$O$40+K$1)*Setup!$M$40,EDATE(Setup!$G$40,(Setup!$O$40+K$1)*Setup!$N$40))&gt;Setup!$P$40,IF(Setup!$M$40&gt;0,Setup!$G$40+(Setup!$O$40+K$1)*Setup!$M$40,EDATE(Setup!$G$40,(Setup!$O$40+K$1)*Setup!$N$40))&lt;Setup!$D$5),"",IF(Setup!$M$40&gt;0,Setup!$G$40+(Setup!$O$40+K$1)*Setup!$M$40,EDATE(Setup!$G$40,(Setup!$O$40+K$1)*Setup!$N$40))+$A17/1000)))</f>
        <v/>
      </c>
      <c r="L17">
        <f>IF(OR(Setup!$E$40="",Setup!$G$40="",Setup!$F$40=""),"",IF(AND(Setup!$F$40="Once",L$1&gt;0),"",IF(OR(IF(Setup!$M$40&gt;0,Setup!$G$40+(Setup!$O$40+L$1)*Setup!$M$40,EDATE(Setup!$G$40,(Setup!$O$40+L$1)*Setup!$N$40))&gt;Setup!$P$40,IF(Setup!$M$40&gt;0,Setup!$G$40+(Setup!$O$40+L$1)*Setup!$M$40,EDATE(Setup!$G$40,(Setup!$O$40+L$1)*Setup!$N$40))&lt;Setup!$D$5),"",IF(Setup!$M$40&gt;0,Setup!$G$40+(Setup!$O$40+L$1)*Setup!$M$40,EDATE(Setup!$G$40,(Setup!$O$40+L$1)*Setup!$N$40))+$A17/1000)))</f>
        <v/>
      </c>
      <c r="M17">
        <f>IF(OR(Setup!$E$40="",Setup!$G$40="",Setup!$F$40=""),"",IF(AND(Setup!$F$40="Once",M$1&gt;0),"",IF(OR(IF(Setup!$M$40&gt;0,Setup!$G$40+(Setup!$O$40+M$1)*Setup!$M$40,EDATE(Setup!$G$40,(Setup!$O$40+M$1)*Setup!$N$40))&gt;Setup!$P$40,IF(Setup!$M$40&gt;0,Setup!$G$40+(Setup!$O$40+M$1)*Setup!$M$40,EDATE(Setup!$G$40,(Setup!$O$40+M$1)*Setup!$N$40))&lt;Setup!$D$5),"",IF(Setup!$M$40&gt;0,Setup!$G$40+(Setup!$O$40+M$1)*Setup!$M$40,EDATE(Setup!$G$40,(Setup!$O$40+M$1)*Setup!$N$40))+$A17/1000)))</f>
        <v/>
      </c>
      <c r="N17">
        <f>IF(OR(Setup!$E$40="",Setup!$G$40="",Setup!$F$40=""),"",IF(AND(Setup!$F$40="Once",N$1&gt;0),"",IF(OR(IF(Setup!$M$40&gt;0,Setup!$G$40+(Setup!$O$40+N$1)*Setup!$M$40,EDATE(Setup!$G$40,(Setup!$O$40+N$1)*Setup!$N$40))&gt;Setup!$P$40,IF(Setup!$M$40&gt;0,Setup!$G$40+(Setup!$O$40+N$1)*Setup!$M$40,EDATE(Setup!$G$40,(Setup!$O$40+N$1)*Setup!$N$40))&lt;Setup!$D$5),"",IF(Setup!$M$40&gt;0,Setup!$G$40+(Setup!$O$40+N$1)*Setup!$M$40,EDATE(Setup!$G$40,(Setup!$O$40+N$1)*Setup!$N$40))+$A17/1000)))</f>
        <v/>
      </c>
      <c r="O17">
        <f>IF(OR(Setup!$E$40="",Setup!$G$40="",Setup!$F$40=""),"",IF(AND(Setup!$F$40="Once",O$1&gt;0),"",IF(OR(IF(Setup!$M$40&gt;0,Setup!$G$40+(Setup!$O$40+O$1)*Setup!$M$40,EDATE(Setup!$G$40,(Setup!$O$40+O$1)*Setup!$N$40))&gt;Setup!$P$40,IF(Setup!$M$40&gt;0,Setup!$G$40+(Setup!$O$40+O$1)*Setup!$M$40,EDATE(Setup!$G$40,(Setup!$O$40+O$1)*Setup!$N$40))&lt;Setup!$D$5),"",IF(Setup!$M$40&gt;0,Setup!$G$40+(Setup!$O$40+O$1)*Setup!$M$40,EDATE(Setup!$G$40,(Setup!$O$40+O$1)*Setup!$N$40))+$A17/1000)))</f>
        <v/>
      </c>
      <c r="P17">
        <f>IF(OR(Setup!$E$40="",Setup!$G$40="",Setup!$F$40=""),"",IF(AND(Setup!$F$40="Once",P$1&gt;0),"",IF(OR(IF(Setup!$M$40&gt;0,Setup!$G$40+(Setup!$O$40+P$1)*Setup!$M$40,EDATE(Setup!$G$40,(Setup!$O$40+P$1)*Setup!$N$40))&gt;Setup!$P$40,IF(Setup!$M$40&gt;0,Setup!$G$40+(Setup!$O$40+P$1)*Setup!$M$40,EDATE(Setup!$G$40,(Setup!$O$40+P$1)*Setup!$N$40))&lt;Setup!$D$5),"",IF(Setup!$M$40&gt;0,Setup!$G$40+(Setup!$O$40+P$1)*Setup!$M$40,EDATE(Setup!$G$40,(Setup!$O$40+P$1)*Setup!$N$40))+$A17/1000)))</f>
        <v/>
      </c>
      <c r="Q17">
        <f>IF(OR(Setup!$E$40="",Setup!$G$40="",Setup!$F$40=""),"",IF(AND(Setup!$F$40="Once",Q$1&gt;0),"",IF(OR(IF(Setup!$M$40&gt;0,Setup!$G$40+(Setup!$O$40+Q$1)*Setup!$M$40,EDATE(Setup!$G$40,(Setup!$O$40+Q$1)*Setup!$N$40))&gt;Setup!$P$40,IF(Setup!$M$40&gt;0,Setup!$G$40+(Setup!$O$40+Q$1)*Setup!$M$40,EDATE(Setup!$G$40,(Setup!$O$40+Q$1)*Setup!$N$40))&lt;Setup!$D$5),"",IF(Setup!$M$40&gt;0,Setup!$G$40+(Setup!$O$40+Q$1)*Setup!$M$40,EDATE(Setup!$G$40,(Setup!$O$40+Q$1)*Setup!$N$40))+$A17/1000)))</f>
        <v/>
      </c>
      <c r="R17">
        <f>IF(OR(Setup!$E$40="",Setup!$G$40="",Setup!$F$40=""),"",IF(AND(Setup!$F$40="Once",R$1&gt;0),"",IF(OR(IF(Setup!$M$40&gt;0,Setup!$G$40+(Setup!$O$40+R$1)*Setup!$M$40,EDATE(Setup!$G$40,(Setup!$O$40+R$1)*Setup!$N$40))&gt;Setup!$P$40,IF(Setup!$M$40&gt;0,Setup!$G$40+(Setup!$O$40+R$1)*Setup!$M$40,EDATE(Setup!$G$40,(Setup!$O$40+R$1)*Setup!$N$40))&lt;Setup!$D$5),"",IF(Setup!$M$40&gt;0,Setup!$G$40+(Setup!$O$40+R$1)*Setup!$M$40,EDATE(Setup!$G$40,(Setup!$O$40+R$1)*Setup!$N$40))+$A17/1000)))</f>
        <v/>
      </c>
      <c r="S17">
        <f>IF(OR(Setup!$E$40="",Setup!$G$40="",Setup!$F$40=""),"",IF(AND(Setup!$F$40="Once",S$1&gt;0),"",IF(OR(IF(Setup!$M$40&gt;0,Setup!$G$40+(Setup!$O$40+S$1)*Setup!$M$40,EDATE(Setup!$G$40,(Setup!$O$40+S$1)*Setup!$N$40))&gt;Setup!$P$40,IF(Setup!$M$40&gt;0,Setup!$G$40+(Setup!$O$40+S$1)*Setup!$M$40,EDATE(Setup!$G$40,(Setup!$O$40+S$1)*Setup!$N$40))&lt;Setup!$D$5),"",IF(Setup!$M$40&gt;0,Setup!$G$40+(Setup!$O$40+S$1)*Setup!$M$40,EDATE(Setup!$G$40,(Setup!$O$40+S$1)*Setup!$N$40))+$A17/1000)))</f>
        <v/>
      </c>
      <c r="T17">
        <f>IF(OR(Setup!$E$40="",Setup!$G$40="",Setup!$F$40=""),"",IF(AND(Setup!$F$40="Once",T$1&gt;0),"",IF(OR(IF(Setup!$M$40&gt;0,Setup!$G$40+(Setup!$O$40+T$1)*Setup!$M$40,EDATE(Setup!$G$40,(Setup!$O$40+T$1)*Setup!$N$40))&gt;Setup!$P$40,IF(Setup!$M$40&gt;0,Setup!$G$40+(Setup!$O$40+T$1)*Setup!$M$40,EDATE(Setup!$G$40,(Setup!$O$40+T$1)*Setup!$N$40))&lt;Setup!$D$5),"",IF(Setup!$M$40&gt;0,Setup!$G$40+(Setup!$O$40+T$1)*Setup!$M$40,EDATE(Setup!$G$40,(Setup!$O$40+T$1)*Setup!$N$40))+$A17/1000)))</f>
        <v/>
      </c>
      <c r="U17">
        <f>IF(OR(Setup!$E$40="",Setup!$G$40="",Setup!$F$40=""),"",IF(AND(Setup!$F$40="Once",U$1&gt;0),"",IF(OR(IF(Setup!$M$40&gt;0,Setup!$G$40+(Setup!$O$40+U$1)*Setup!$M$40,EDATE(Setup!$G$40,(Setup!$O$40+U$1)*Setup!$N$40))&gt;Setup!$P$40,IF(Setup!$M$40&gt;0,Setup!$G$40+(Setup!$O$40+U$1)*Setup!$M$40,EDATE(Setup!$G$40,(Setup!$O$40+U$1)*Setup!$N$40))&lt;Setup!$D$5),"",IF(Setup!$M$40&gt;0,Setup!$G$40+(Setup!$O$40+U$1)*Setup!$M$40,EDATE(Setup!$G$40,(Setup!$O$40+U$1)*Setup!$N$40))+$A17/1000)))</f>
        <v/>
      </c>
      <c r="V17">
        <f>IF(OR(Setup!$E$40="",Setup!$G$40="",Setup!$F$40=""),"",IF(AND(Setup!$F$40="Once",V$1&gt;0),"",IF(OR(IF(Setup!$M$40&gt;0,Setup!$G$40+(Setup!$O$40+V$1)*Setup!$M$40,EDATE(Setup!$G$40,(Setup!$O$40+V$1)*Setup!$N$40))&gt;Setup!$P$40,IF(Setup!$M$40&gt;0,Setup!$G$40+(Setup!$O$40+V$1)*Setup!$M$40,EDATE(Setup!$G$40,(Setup!$O$40+V$1)*Setup!$N$40))&lt;Setup!$D$5),"",IF(Setup!$M$40&gt;0,Setup!$G$40+(Setup!$O$40+V$1)*Setup!$M$40,EDATE(Setup!$G$40,(Setup!$O$40+V$1)*Setup!$N$40))+$A17/1000)))</f>
        <v/>
      </c>
      <c r="W17">
        <f>IF(OR(Setup!$E$40="",Setup!$G$40="",Setup!$F$40=""),"",IF(AND(Setup!$F$40="Once",W$1&gt;0),"",IF(OR(IF(Setup!$M$40&gt;0,Setup!$G$40+(Setup!$O$40+W$1)*Setup!$M$40,EDATE(Setup!$G$40,(Setup!$O$40+W$1)*Setup!$N$40))&gt;Setup!$P$40,IF(Setup!$M$40&gt;0,Setup!$G$40+(Setup!$O$40+W$1)*Setup!$M$40,EDATE(Setup!$G$40,(Setup!$O$40+W$1)*Setup!$N$40))&lt;Setup!$D$5),"",IF(Setup!$M$40&gt;0,Setup!$G$40+(Setup!$O$40+W$1)*Setup!$M$40,EDATE(Setup!$G$40,(Setup!$O$40+W$1)*Setup!$N$40))+$A17/1000)))</f>
        <v/>
      </c>
      <c r="X17">
        <f>IF(OR(Setup!$E$40="",Setup!$G$40="",Setup!$F$40=""),"",IF(AND(Setup!$F$40="Once",X$1&gt;0),"",IF(OR(IF(Setup!$M$40&gt;0,Setup!$G$40+(Setup!$O$40+X$1)*Setup!$M$40,EDATE(Setup!$G$40,(Setup!$O$40+X$1)*Setup!$N$40))&gt;Setup!$P$40,IF(Setup!$M$40&gt;0,Setup!$G$40+(Setup!$O$40+X$1)*Setup!$M$40,EDATE(Setup!$G$40,(Setup!$O$40+X$1)*Setup!$N$40))&lt;Setup!$D$5),"",IF(Setup!$M$40&gt;0,Setup!$G$40+(Setup!$O$40+X$1)*Setup!$M$40,EDATE(Setup!$G$40,(Setup!$O$40+X$1)*Setup!$N$40))+$A17/1000)))</f>
        <v/>
      </c>
      <c r="Y17">
        <f>IF(OR(Setup!$E$40="",Setup!$G$40="",Setup!$F$40=""),"",IF(AND(Setup!$F$40="Once",Y$1&gt;0),"",IF(OR(IF(Setup!$M$40&gt;0,Setup!$G$40+(Setup!$O$40+Y$1)*Setup!$M$40,EDATE(Setup!$G$40,(Setup!$O$40+Y$1)*Setup!$N$40))&gt;Setup!$P$40,IF(Setup!$M$40&gt;0,Setup!$G$40+(Setup!$O$40+Y$1)*Setup!$M$40,EDATE(Setup!$G$40,(Setup!$O$40+Y$1)*Setup!$N$40))&lt;Setup!$D$5),"",IF(Setup!$M$40&gt;0,Setup!$G$40+(Setup!$O$40+Y$1)*Setup!$M$40,EDATE(Setup!$G$40,(Setup!$O$40+Y$1)*Setup!$N$40))+$A17/1000)))</f>
        <v/>
      </c>
      <c r="Z17">
        <f>IF(OR(Setup!$E$40="",Setup!$G$40="",Setup!$F$40=""),"",IF(AND(Setup!$F$40="Once",Z$1&gt;0),"",IF(OR(IF(Setup!$M$40&gt;0,Setup!$G$40+(Setup!$O$40+Z$1)*Setup!$M$40,EDATE(Setup!$G$40,(Setup!$O$40+Z$1)*Setup!$N$40))&gt;Setup!$P$40,IF(Setup!$M$40&gt;0,Setup!$G$40+(Setup!$O$40+Z$1)*Setup!$M$40,EDATE(Setup!$G$40,(Setup!$O$40+Z$1)*Setup!$N$40))&lt;Setup!$D$5),"",IF(Setup!$M$40&gt;0,Setup!$G$40+(Setup!$O$40+Z$1)*Setup!$M$40,EDATE(Setup!$G$40,(Setup!$O$40+Z$1)*Setup!$N$40))+$A17/1000)))</f>
        <v/>
      </c>
      <c r="AA17">
        <f>IF(OR(Setup!$E$40="",Setup!$G$40="",Setup!$F$40=""),"",IF(AND(Setup!$F$40="Once",AA$1&gt;0),"",IF(OR(IF(Setup!$M$40&gt;0,Setup!$G$40+(Setup!$O$40+AA$1)*Setup!$M$40,EDATE(Setup!$G$40,(Setup!$O$40+AA$1)*Setup!$N$40))&gt;Setup!$P$40,IF(Setup!$M$40&gt;0,Setup!$G$40+(Setup!$O$40+AA$1)*Setup!$M$40,EDATE(Setup!$G$40,(Setup!$O$40+AA$1)*Setup!$N$40))&lt;Setup!$D$5),"",IF(Setup!$M$40&gt;0,Setup!$G$40+(Setup!$O$40+AA$1)*Setup!$M$40,EDATE(Setup!$G$40,(Setup!$O$40+AA$1)*Setup!$N$40))+$A17/1000)))</f>
        <v/>
      </c>
      <c r="AB17">
        <f>IF(OR(Setup!$E$40="",Setup!$G$40="",Setup!$F$40=""),"",IF(AND(Setup!$F$40="Once",AB$1&gt;0),"",IF(OR(IF(Setup!$M$40&gt;0,Setup!$G$40+(Setup!$O$40+AB$1)*Setup!$M$40,EDATE(Setup!$G$40,(Setup!$O$40+AB$1)*Setup!$N$40))&gt;Setup!$P$40,IF(Setup!$M$40&gt;0,Setup!$G$40+(Setup!$O$40+AB$1)*Setup!$M$40,EDATE(Setup!$G$40,(Setup!$O$40+AB$1)*Setup!$N$40))&lt;Setup!$D$5),"",IF(Setup!$M$40&gt;0,Setup!$G$40+(Setup!$O$40+AB$1)*Setup!$M$40,EDATE(Setup!$G$40,(Setup!$O$40+AB$1)*Setup!$N$40))+$A17/1000)))</f>
        <v/>
      </c>
      <c r="AC17">
        <f>IF(OR(Setup!$E$40="",Setup!$G$40="",Setup!$F$40=""),"",IF(AND(Setup!$F$40="Once",AC$1&gt;0),"",IF(OR(IF(Setup!$M$40&gt;0,Setup!$G$40+(Setup!$O$40+AC$1)*Setup!$M$40,EDATE(Setup!$G$40,(Setup!$O$40+AC$1)*Setup!$N$40))&gt;Setup!$P$40,IF(Setup!$M$40&gt;0,Setup!$G$40+(Setup!$O$40+AC$1)*Setup!$M$40,EDATE(Setup!$G$40,(Setup!$O$40+AC$1)*Setup!$N$40))&lt;Setup!$D$5),"",IF(Setup!$M$40&gt;0,Setup!$G$40+(Setup!$O$40+AC$1)*Setup!$M$40,EDATE(Setup!$G$40,(Setup!$O$40+AC$1)*Setup!$N$40))+$A17/1000)))</f>
        <v/>
      </c>
      <c r="AD17">
        <f>IF(OR(Setup!$E$40="",Setup!$G$40="",Setup!$F$40=""),"",IF(AND(Setup!$F$40="Once",AD$1&gt;0),"",IF(OR(IF(Setup!$M$40&gt;0,Setup!$G$40+(Setup!$O$40+AD$1)*Setup!$M$40,EDATE(Setup!$G$40,(Setup!$O$40+AD$1)*Setup!$N$40))&gt;Setup!$P$40,IF(Setup!$M$40&gt;0,Setup!$G$40+(Setup!$O$40+AD$1)*Setup!$M$40,EDATE(Setup!$G$40,(Setup!$O$40+AD$1)*Setup!$N$40))&lt;Setup!$D$5),"",IF(Setup!$M$40&gt;0,Setup!$G$40+(Setup!$O$40+AD$1)*Setup!$M$40,EDATE(Setup!$G$40,(Setup!$O$40+AD$1)*Setup!$N$40))+$A17/1000)))</f>
        <v/>
      </c>
      <c r="AE17">
        <f>IF(OR(Setup!$E$40="",Setup!$G$40="",Setup!$F$40=""),"",IF(AND(Setup!$F$40="Once",AE$1&gt;0),"",IF(OR(IF(Setup!$M$40&gt;0,Setup!$G$40+(Setup!$O$40+AE$1)*Setup!$M$40,EDATE(Setup!$G$40,(Setup!$O$40+AE$1)*Setup!$N$40))&gt;Setup!$P$40,IF(Setup!$M$40&gt;0,Setup!$G$40+(Setup!$O$40+AE$1)*Setup!$M$40,EDATE(Setup!$G$40,(Setup!$O$40+AE$1)*Setup!$N$40))&lt;Setup!$D$5),"",IF(Setup!$M$40&gt;0,Setup!$G$40+(Setup!$O$40+AE$1)*Setup!$M$40,EDATE(Setup!$G$40,(Setup!$O$40+AE$1)*Setup!$N$40))+$A17/1000)))</f>
        <v/>
      </c>
      <c r="AF17">
        <f>IF(OR(Setup!$E$40="",Setup!$G$40="",Setup!$F$40=""),"",IF(AND(Setup!$F$40="Once",AF$1&gt;0),"",IF(OR(IF(Setup!$M$40&gt;0,Setup!$G$40+(Setup!$O$40+AF$1)*Setup!$M$40,EDATE(Setup!$G$40,(Setup!$O$40+AF$1)*Setup!$N$40))&gt;Setup!$P$40,IF(Setup!$M$40&gt;0,Setup!$G$40+(Setup!$O$40+AF$1)*Setup!$M$40,EDATE(Setup!$G$40,(Setup!$O$40+AF$1)*Setup!$N$40))&lt;Setup!$D$5),"",IF(Setup!$M$40&gt;0,Setup!$G$40+(Setup!$O$40+AF$1)*Setup!$M$40,EDATE(Setup!$G$40,(Setup!$O$40+AF$1)*Setup!$N$40))+$A17/1000)))</f>
        <v/>
      </c>
      <c r="AG17">
        <f>IF(OR(Setup!$E$40="",Setup!$G$40="",Setup!$F$40=""),"",IF(AND(Setup!$F$40="Once",AG$1&gt;0),"",IF(OR(IF(Setup!$M$40&gt;0,Setup!$G$40+(Setup!$O$40+AG$1)*Setup!$M$40,EDATE(Setup!$G$40,(Setup!$O$40+AG$1)*Setup!$N$40))&gt;Setup!$P$40,IF(Setup!$M$40&gt;0,Setup!$G$40+(Setup!$O$40+AG$1)*Setup!$M$40,EDATE(Setup!$G$40,(Setup!$O$40+AG$1)*Setup!$N$40))&lt;Setup!$D$5),"",IF(Setup!$M$40&gt;0,Setup!$G$40+(Setup!$O$40+AG$1)*Setup!$M$40,EDATE(Setup!$G$40,(Setup!$O$40+AG$1)*Setup!$N$40))+$A17/1000)))</f>
        <v/>
      </c>
      <c r="AH17">
        <f>IF(OR(Setup!$E$40="",Setup!$G$40="",Setup!$F$40=""),"",IF(AND(Setup!$F$40="Once",AH$1&gt;0),"",IF(OR(IF(Setup!$M$40&gt;0,Setup!$G$40+(Setup!$O$40+AH$1)*Setup!$M$40,EDATE(Setup!$G$40,(Setup!$O$40+AH$1)*Setup!$N$40))&gt;Setup!$P$40,IF(Setup!$M$40&gt;0,Setup!$G$40+(Setup!$O$40+AH$1)*Setup!$M$40,EDATE(Setup!$G$40,(Setup!$O$40+AH$1)*Setup!$N$40))&lt;Setup!$D$5),"",IF(Setup!$M$40&gt;0,Setup!$G$40+(Setup!$O$40+AH$1)*Setup!$M$40,EDATE(Setup!$G$40,(Setup!$O$40+AH$1)*Setup!$N$40))+$A17/1000)))</f>
        <v/>
      </c>
      <c r="AI17">
        <f>IF(OR(Setup!$E$40="",Setup!$G$40="",Setup!$F$40=""),"",IF(AND(Setup!$F$40="Once",AI$1&gt;0),"",IF(OR(IF(Setup!$M$40&gt;0,Setup!$G$40+(Setup!$O$40+AI$1)*Setup!$M$40,EDATE(Setup!$G$40,(Setup!$O$40+AI$1)*Setup!$N$40))&gt;Setup!$P$40,IF(Setup!$M$40&gt;0,Setup!$G$40+(Setup!$O$40+AI$1)*Setup!$M$40,EDATE(Setup!$G$40,(Setup!$O$40+AI$1)*Setup!$N$40))&lt;Setup!$D$5),"",IF(Setup!$M$40&gt;0,Setup!$G$40+(Setup!$O$40+AI$1)*Setup!$M$40,EDATE(Setup!$G$40,(Setup!$O$40+AI$1)*Setup!$N$40))+$A17/1000)))</f>
        <v/>
      </c>
      <c r="AJ17">
        <f>IF(OR(Setup!$E$40="",Setup!$G$40="",Setup!$F$40=""),"",IF(AND(Setup!$F$40="Once",AJ$1&gt;0),"",IF(OR(IF(Setup!$M$40&gt;0,Setup!$G$40+(Setup!$O$40+AJ$1)*Setup!$M$40,EDATE(Setup!$G$40,(Setup!$O$40+AJ$1)*Setup!$N$40))&gt;Setup!$P$40,IF(Setup!$M$40&gt;0,Setup!$G$40+(Setup!$O$40+AJ$1)*Setup!$M$40,EDATE(Setup!$G$40,(Setup!$O$40+AJ$1)*Setup!$N$40))&lt;Setup!$D$5),"",IF(Setup!$M$40&gt;0,Setup!$G$40+(Setup!$O$40+AJ$1)*Setup!$M$40,EDATE(Setup!$G$40,(Setup!$O$40+AJ$1)*Setup!$N$40))+$A17/1000)))</f>
        <v/>
      </c>
      <c r="AK17">
        <f>IF(OR(Setup!$E$40="",Setup!$G$40="",Setup!$F$40=""),"",IF(AND(Setup!$F$40="Once",AK$1&gt;0),"",IF(OR(IF(Setup!$M$40&gt;0,Setup!$G$40+(Setup!$O$40+AK$1)*Setup!$M$40,EDATE(Setup!$G$40,(Setup!$O$40+AK$1)*Setup!$N$40))&gt;Setup!$P$40,IF(Setup!$M$40&gt;0,Setup!$G$40+(Setup!$O$40+AK$1)*Setup!$M$40,EDATE(Setup!$G$40,(Setup!$O$40+AK$1)*Setup!$N$40))&lt;Setup!$D$5),"",IF(Setup!$M$40&gt;0,Setup!$G$40+(Setup!$O$40+AK$1)*Setup!$M$40,EDATE(Setup!$G$40,(Setup!$O$40+AK$1)*Setup!$N$40))+$A17/1000)))</f>
        <v/>
      </c>
      <c r="AL17">
        <f>IF(OR(Setup!$E$40="",Setup!$G$40="",Setup!$F$40=""),"",IF(AND(Setup!$F$40="Once",AL$1&gt;0),"",IF(OR(IF(Setup!$M$40&gt;0,Setup!$G$40+(Setup!$O$40+AL$1)*Setup!$M$40,EDATE(Setup!$G$40,(Setup!$O$40+AL$1)*Setup!$N$40))&gt;Setup!$P$40,IF(Setup!$M$40&gt;0,Setup!$G$40+(Setup!$O$40+AL$1)*Setup!$M$40,EDATE(Setup!$G$40,(Setup!$O$40+AL$1)*Setup!$N$40))&lt;Setup!$D$5),"",IF(Setup!$M$40&gt;0,Setup!$G$40+(Setup!$O$40+AL$1)*Setup!$M$40,EDATE(Setup!$G$40,(Setup!$O$40+AL$1)*Setup!$N$40))+$A17/1000)))</f>
        <v/>
      </c>
      <c r="AM17">
        <f>IF(OR(Setup!$E$40="",Setup!$G$40="",Setup!$F$40=""),"",IF(AND(Setup!$F$40="Once",AM$1&gt;0),"",IF(OR(IF(Setup!$M$40&gt;0,Setup!$G$40+(Setup!$O$40+AM$1)*Setup!$M$40,EDATE(Setup!$G$40,(Setup!$O$40+AM$1)*Setup!$N$40))&gt;Setup!$P$40,IF(Setup!$M$40&gt;0,Setup!$G$40+(Setup!$O$40+AM$1)*Setup!$M$40,EDATE(Setup!$G$40,(Setup!$O$40+AM$1)*Setup!$N$40))&lt;Setup!$D$5),"",IF(Setup!$M$40&gt;0,Setup!$G$40+(Setup!$O$40+AM$1)*Setup!$M$40,EDATE(Setup!$G$40,(Setup!$O$40+AM$1)*Setup!$N$40))+$A17/1000)))</f>
        <v/>
      </c>
      <c r="AN17">
        <f>IF(OR(Setup!$E$40="",Setup!$G$40="",Setup!$F$40=""),"",IF(AND(Setup!$F$40="Once",AN$1&gt;0),"",IF(OR(IF(Setup!$M$40&gt;0,Setup!$G$40+(Setup!$O$40+AN$1)*Setup!$M$40,EDATE(Setup!$G$40,(Setup!$O$40+AN$1)*Setup!$N$40))&gt;Setup!$P$40,IF(Setup!$M$40&gt;0,Setup!$G$40+(Setup!$O$40+AN$1)*Setup!$M$40,EDATE(Setup!$G$40,(Setup!$O$40+AN$1)*Setup!$N$40))&lt;Setup!$D$5),"",IF(Setup!$M$40&gt;0,Setup!$G$40+(Setup!$O$40+AN$1)*Setup!$M$40,EDATE(Setup!$G$40,(Setup!$O$40+AN$1)*Setup!$N$40))+$A17/1000)))</f>
        <v/>
      </c>
      <c r="AO17">
        <f>IF(OR(Setup!$E$40="",Setup!$G$40="",Setup!$F$40=""),"",IF(AND(Setup!$F$40="Once",AO$1&gt;0),"",IF(OR(IF(Setup!$M$40&gt;0,Setup!$G$40+(Setup!$O$40+AO$1)*Setup!$M$40,EDATE(Setup!$G$40,(Setup!$O$40+AO$1)*Setup!$N$40))&gt;Setup!$P$40,IF(Setup!$M$40&gt;0,Setup!$G$40+(Setup!$O$40+AO$1)*Setup!$M$40,EDATE(Setup!$G$40,(Setup!$O$40+AO$1)*Setup!$N$40))&lt;Setup!$D$5),"",IF(Setup!$M$40&gt;0,Setup!$G$40+(Setup!$O$40+AO$1)*Setup!$M$40,EDATE(Setup!$G$40,(Setup!$O$40+AO$1)*Setup!$N$40))+$A17/1000)))</f>
        <v/>
      </c>
      <c r="AP17">
        <f>IF(OR(Setup!$E$40="",Setup!$G$40="",Setup!$F$40=""),"",IF(AND(Setup!$F$40="Once",AP$1&gt;0),"",IF(OR(IF(Setup!$M$40&gt;0,Setup!$G$40+(Setup!$O$40+AP$1)*Setup!$M$40,EDATE(Setup!$G$40,(Setup!$O$40+AP$1)*Setup!$N$40))&gt;Setup!$P$40,IF(Setup!$M$40&gt;0,Setup!$G$40+(Setup!$O$40+AP$1)*Setup!$M$40,EDATE(Setup!$G$40,(Setup!$O$40+AP$1)*Setup!$N$40))&lt;Setup!$D$5),"",IF(Setup!$M$40&gt;0,Setup!$G$40+(Setup!$O$40+AP$1)*Setup!$M$40,EDATE(Setup!$G$40,(Setup!$O$40+AP$1)*Setup!$N$40))+$A17/1000)))</f>
        <v/>
      </c>
      <c r="AQ17">
        <f>IF(OR(Setup!$E$40="",Setup!$G$40="",Setup!$F$40=""),"",IF(AND(Setup!$F$40="Once",AQ$1&gt;0),"",IF(OR(IF(Setup!$M$40&gt;0,Setup!$G$40+(Setup!$O$40+AQ$1)*Setup!$M$40,EDATE(Setup!$G$40,(Setup!$O$40+AQ$1)*Setup!$N$40))&gt;Setup!$P$40,IF(Setup!$M$40&gt;0,Setup!$G$40+(Setup!$O$40+AQ$1)*Setup!$M$40,EDATE(Setup!$G$40,(Setup!$O$40+AQ$1)*Setup!$N$40))&lt;Setup!$D$5),"",IF(Setup!$M$40&gt;0,Setup!$G$40+(Setup!$O$40+AQ$1)*Setup!$M$40,EDATE(Setup!$G$40,(Setup!$O$40+AQ$1)*Setup!$N$40))+$A17/1000)))</f>
        <v/>
      </c>
      <c r="AR17">
        <f>IF(OR(Setup!$E$40="",Setup!$G$40="",Setup!$F$40=""),"",IF(AND(Setup!$F$40="Once",AR$1&gt;0),"",IF(OR(IF(Setup!$M$40&gt;0,Setup!$G$40+(Setup!$O$40+AR$1)*Setup!$M$40,EDATE(Setup!$G$40,(Setup!$O$40+AR$1)*Setup!$N$40))&gt;Setup!$P$40,IF(Setup!$M$40&gt;0,Setup!$G$40+(Setup!$O$40+AR$1)*Setup!$M$40,EDATE(Setup!$G$40,(Setup!$O$40+AR$1)*Setup!$N$40))&lt;Setup!$D$5),"",IF(Setup!$M$40&gt;0,Setup!$G$40+(Setup!$O$40+AR$1)*Setup!$M$40,EDATE(Setup!$G$40,(Setup!$O$40+AR$1)*Setup!$N$40))+$A17/1000)))</f>
        <v/>
      </c>
      <c r="AS17">
        <f>IF(OR(Setup!$E$40="",Setup!$G$40="",Setup!$F$40=""),"",IF(AND(Setup!$F$40="Once",AS$1&gt;0),"",IF(OR(IF(Setup!$M$40&gt;0,Setup!$G$40+(Setup!$O$40+AS$1)*Setup!$M$40,EDATE(Setup!$G$40,(Setup!$O$40+AS$1)*Setup!$N$40))&gt;Setup!$P$40,IF(Setup!$M$40&gt;0,Setup!$G$40+(Setup!$O$40+AS$1)*Setup!$M$40,EDATE(Setup!$G$40,(Setup!$O$40+AS$1)*Setup!$N$40))&lt;Setup!$D$5),"",IF(Setup!$M$40&gt;0,Setup!$G$40+(Setup!$O$40+AS$1)*Setup!$M$40,EDATE(Setup!$G$40,(Setup!$O$40+AS$1)*Setup!$N$40))+$A17/1000)))</f>
        <v/>
      </c>
      <c r="AT17">
        <f>IF(OR(Setup!$E$40="",Setup!$G$40="",Setup!$F$40=""),"",IF(AND(Setup!$F$40="Once",AT$1&gt;0),"",IF(OR(IF(Setup!$M$40&gt;0,Setup!$G$40+(Setup!$O$40+AT$1)*Setup!$M$40,EDATE(Setup!$G$40,(Setup!$O$40+AT$1)*Setup!$N$40))&gt;Setup!$P$40,IF(Setup!$M$40&gt;0,Setup!$G$40+(Setup!$O$40+AT$1)*Setup!$M$40,EDATE(Setup!$G$40,(Setup!$O$40+AT$1)*Setup!$N$40))&lt;Setup!$D$5),"",IF(Setup!$M$40&gt;0,Setup!$G$40+(Setup!$O$40+AT$1)*Setup!$M$40,EDATE(Setup!$G$40,(Setup!$O$40+AT$1)*Setup!$N$40))+$A17/1000)))</f>
        <v/>
      </c>
      <c r="AU17">
        <f>IF(OR(Setup!$E$40="",Setup!$G$40="",Setup!$F$40=""),"",IF(AND(Setup!$F$40="Once",AU$1&gt;0),"",IF(OR(IF(Setup!$M$40&gt;0,Setup!$G$40+(Setup!$O$40+AU$1)*Setup!$M$40,EDATE(Setup!$G$40,(Setup!$O$40+AU$1)*Setup!$N$40))&gt;Setup!$P$40,IF(Setup!$M$40&gt;0,Setup!$G$40+(Setup!$O$40+AU$1)*Setup!$M$40,EDATE(Setup!$G$40,(Setup!$O$40+AU$1)*Setup!$N$40))&lt;Setup!$D$5),"",IF(Setup!$M$40&gt;0,Setup!$G$40+(Setup!$O$40+AU$1)*Setup!$M$40,EDATE(Setup!$G$40,(Setup!$O$40+AU$1)*Setup!$N$40))+$A17/1000)))</f>
        <v/>
      </c>
      <c r="AV17">
        <f>IF(OR(Setup!$E$40="",Setup!$G$40="",Setup!$F$40=""),"",IF(AND(Setup!$F$40="Once",AV$1&gt;0),"",IF(OR(IF(Setup!$M$40&gt;0,Setup!$G$40+(Setup!$O$40+AV$1)*Setup!$M$40,EDATE(Setup!$G$40,(Setup!$O$40+AV$1)*Setup!$N$40))&gt;Setup!$P$40,IF(Setup!$M$40&gt;0,Setup!$G$40+(Setup!$O$40+AV$1)*Setup!$M$40,EDATE(Setup!$G$40,(Setup!$O$40+AV$1)*Setup!$N$40))&lt;Setup!$D$5),"",IF(Setup!$M$40&gt;0,Setup!$G$40+(Setup!$O$40+AV$1)*Setup!$M$40,EDATE(Setup!$G$40,(Setup!$O$40+AV$1)*Setup!$N$40))+$A17/1000)))</f>
        <v/>
      </c>
      <c r="AW17">
        <f>IF(OR(Setup!$E$40="",Setup!$G$40="",Setup!$F$40=""),"",IF(AND(Setup!$F$40="Once",AW$1&gt;0),"",IF(OR(IF(Setup!$M$40&gt;0,Setup!$G$40+(Setup!$O$40+AW$1)*Setup!$M$40,EDATE(Setup!$G$40,(Setup!$O$40+AW$1)*Setup!$N$40))&gt;Setup!$P$40,IF(Setup!$M$40&gt;0,Setup!$G$40+(Setup!$O$40+AW$1)*Setup!$M$40,EDATE(Setup!$G$40,(Setup!$O$40+AW$1)*Setup!$N$40))&lt;Setup!$D$5),"",IF(Setup!$M$40&gt;0,Setup!$G$40+(Setup!$O$40+AW$1)*Setup!$M$40,EDATE(Setup!$G$40,(Setup!$O$40+AW$1)*Setup!$N$40))+$A17/1000)))</f>
        <v/>
      </c>
      <c r="AX17">
        <f>IF(OR(Setup!$E$40="",Setup!$G$40="",Setup!$F$40=""),"",IF(AND(Setup!$F$40="Once",AX$1&gt;0),"",IF(OR(IF(Setup!$M$40&gt;0,Setup!$G$40+(Setup!$O$40+AX$1)*Setup!$M$40,EDATE(Setup!$G$40,(Setup!$O$40+AX$1)*Setup!$N$40))&gt;Setup!$P$40,IF(Setup!$M$40&gt;0,Setup!$G$40+(Setup!$O$40+AX$1)*Setup!$M$40,EDATE(Setup!$G$40,(Setup!$O$40+AX$1)*Setup!$N$40))&lt;Setup!$D$5),"",IF(Setup!$M$40&gt;0,Setup!$G$40+(Setup!$O$40+AX$1)*Setup!$M$40,EDATE(Setup!$G$40,(Setup!$O$40+AX$1)*Setup!$N$40))+$A17/1000)))</f>
        <v/>
      </c>
      <c r="AY17">
        <f>IF(OR(Setup!$E$40="",Setup!$G$40="",Setup!$F$40=""),"",IF(AND(Setup!$F$40="Once",AY$1&gt;0),"",IF(OR(IF(Setup!$M$40&gt;0,Setup!$G$40+(Setup!$O$40+AY$1)*Setup!$M$40,EDATE(Setup!$G$40,(Setup!$O$40+AY$1)*Setup!$N$40))&gt;Setup!$P$40,IF(Setup!$M$40&gt;0,Setup!$G$40+(Setup!$O$40+AY$1)*Setup!$M$40,EDATE(Setup!$G$40,(Setup!$O$40+AY$1)*Setup!$N$40))&lt;Setup!$D$5),"",IF(Setup!$M$40&gt;0,Setup!$G$40+(Setup!$O$40+AY$1)*Setup!$M$40,EDATE(Setup!$G$40,(Setup!$O$40+AY$1)*Setup!$N$40))+$A17/1000)))</f>
        <v/>
      </c>
      <c r="AZ17">
        <f>IF(OR(Setup!$E$40="",Setup!$G$40="",Setup!$F$40=""),"",IF(AND(Setup!$F$40="Once",AZ$1&gt;0),"",IF(OR(IF(Setup!$M$40&gt;0,Setup!$G$40+(Setup!$O$40+AZ$1)*Setup!$M$40,EDATE(Setup!$G$40,(Setup!$O$40+AZ$1)*Setup!$N$40))&gt;Setup!$P$40,IF(Setup!$M$40&gt;0,Setup!$G$40+(Setup!$O$40+AZ$1)*Setup!$M$40,EDATE(Setup!$G$40,(Setup!$O$40+AZ$1)*Setup!$N$40))&lt;Setup!$D$5),"",IF(Setup!$M$40&gt;0,Setup!$G$40+(Setup!$O$40+AZ$1)*Setup!$M$40,EDATE(Setup!$G$40,(Setup!$O$40+AZ$1)*Setup!$N$40))+$A17/1000)))</f>
        <v/>
      </c>
      <c r="BA17">
        <f>IF(OR(Setup!$E$40="",Setup!$G$40="",Setup!$F$40=""),"",IF(AND(Setup!$F$40="Once",BA$1&gt;0),"",IF(OR(IF(Setup!$M$40&gt;0,Setup!$G$40+(Setup!$O$40+BA$1)*Setup!$M$40,EDATE(Setup!$G$40,(Setup!$O$40+BA$1)*Setup!$N$40))&gt;Setup!$P$40,IF(Setup!$M$40&gt;0,Setup!$G$40+(Setup!$O$40+BA$1)*Setup!$M$40,EDATE(Setup!$G$40,(Setup!$O$40+BA$1)*Setup!$N$40))&lt;Setup!$D$5),"",IF(Setup!$M$40&gt;0,Setup!$G$40+(Setup!$O$40+BA$1)*Setup!$M$40,EDATE(Setup!$G$40,(Setup!$O$40+BA$1)*Setup!$N$40))+$A17/1000)))</f>
        <v/>
      </c>
      <c r="BB17">
        <f>IF(OR(Setup!$E$40="",Setup!$G$40="",Setup!$F$40=""),"",IF(AND(Setup!$F$40="Once",BB$1&gt;0),"",IF(OR(IF(Setup!$M$40&gt;0,Setup!$G$40+(Setup!$O$40+BB$1)*Setup!$M$40,EDATE(Setup!$G$40,(Setup!$O$40+BB$1)*Setup!$N$40))&gt;Setup!$P$40,IF(Setup!$M$40&gt;0,Setup!$G$40+(Setup!$O$40+BB$1)*Setup!$M$40,EDATE(Setup!$G$40,(Setup!$O$40+BB$1)*Setup!$N$40))&lt;Setup!$D$5),"",IF(Setup!$M$40&gt;0,Setup!$G$40+(Setup!$O$40+BB$1)*Setup!$M$40,EDATE(Setup!$G$40,(Setup!$O$40+BB$1)*Setup!$N$40))+$A17/1000)))</f>
        <v/>
      </c>
    </row>
    <row r="18">
      <c r="A18" t="n">
        <v>17</v>
      </c>
      <c r="B18">
        <f>IF(OR(Setup!$E$41="",Setup!$G$41="",Setup!$F$41=""),"",IF(AND(Setup!$F$41="Once",B$1&gt;0),"",IF(OR(IF(Setup!$M$41&gt;0,Setup!$G$41+(Setup!$O$41+B$1)*Setup!$M$41,EDATE(Setup!$G$41,(Setup!$O$41+B$1)*Setup!$N$41))&gt;Setup!$P$41,IF(Setup!$M$41&gt;0,Setup!$G$41+(Setup!$O$41+B$1)*Setup!$M$41,EDATE(Setup!$G$41,(Setup!$O$41+B$1)*Setup!$N$41))&lt;Setup!$D$5),"",IF(Setup!$M$41&gt;0,Setup!$G$41+(Setup!$O$41+B$1)*Setup!$M$41,EDATE(Setup!$G$41,(Setup!$O$41+B$1)*Setup!$N$41))+$A18/1000)))</f>
        <v/>
      </c>
      <c r="C18">
        <f>IF(OR(Setup!$E$41="",Setup!$G$41="",Setup!$F$41=""),"",IF(AND(Setup!$F$41="Once",C$1&gt;0),"",IF(OR(IF(Setup!$M$41&gt;0,Setup!$G$41+(Setup!$O$41+C$1)*Setup!$M$41,EDATE(Setup!$G$41,(Setup!$O$41+C$1)*Setup!$N$41))&gt;Setup!$P$41,IF(Setup!$M$41&gt;0,Setup!$G$41+(Setup!$O$41+C$1)*Setup!$M$41,EDATE(Setup!$G$41,(Setup!$O$41+C$1)*Setup!$N$41))&lt;Setup!$D$5),"",IF(Setup!$M$41&gt;0,Setup!$G$41+(Setup!$O$41+C$1)*Setup!$M$41,EDATE(Setup!$G$41,(Setup!$O$41+C$1)*Setup!$N$41))+$A18/1000)))</f>
        <v/>
      </c>
      <c r="D18">
        <f>IF(OR(Setup!$E$41="",Setup!$G$41="",Setup!$F$41=""),"",IF(AND(Setup!$F$41="Once",D$1&gt;0),"",IF(OR(IF(Setup!$M$41&gt;0,Setup!$G$41+(Setup!$O$41+D$1)*Setup!$M$41,EDATE(Setup!$G$41,(Setup!$O$41+D$1)*Setup!$N$41))&gt;Setup!$P$41,IF(Setup!$M$41&gt;0,Setup!$G$41+(Setup!$O$41+D$1)*Setup!$M$41,EDATE(Setup!$G$41,(Setup!$O$41+D$1)*Setup!$N$41))&lt;Setup!$D$5),"",IF(Setup!$M$41&gt;0,Setup!$G$41+(Setup!$O$41+D$1)*Setup!$M$41,EDATE(Setup!$G$41,(Setup!$O$41+D$1)*Setup!$N$41))+$A18/1000)))</f>
        <v/>
      </c>
      <c r="E18">
        <f>IF(OR(Setup!$E$41="",Setup!$G$41="",Setup!$F$41=""),"",IF(AND(Setup!$F$41="Once",E$1&gt;0),"",IF(OR(IF(Setup!$M$41&gt;0,Setup!$G$41+(Setup!$O$41+E$1)*Setup!$M$41,EDATE(Setup!$G$41,(Setup!$O$41+E$1)*Setup!$N$41))&gt;Setup!$P$41,IF(Setup!$M$41&gt;0,Setup!$G$41+(Setup!$O$41+E$1)*Setup!$M$41,EDATE(Setup!$G$41,(Setup!$O$41+E$1)*Setup!$N$41))&lt;Setup!$D$5),"",IF(Setup!$M$41&gt;0,Setup!$G$41+(Setup!$O$41+E$1)*Setup!$M$41,EDATE(Setup!$G$41,(Setup!$O$41+E$1)*Setup!$N$41))+$A18/1000)))</f>
        <v/>
      </c>
      <c r="F18">
        <f>IF(OR(Setup!$E$41="",Setup!$G$41="",Setup!$F$41=""),"",IF(AND(Setup!$F$41="Once",F$1&gt;0),"",IF(OR(IF(Setup!$M$41&gt;0,Setup!$G$41+(Setup!$O$41+F$1)*Setup!$M$41,EDATE(Setup!$G$41,(Setup!$O$41+F$1)*Setup!$N$41))&gt;Setup!$P$41,IF(Setup!$M$41&gt;0,Setup!$G$41+(Setup!$O$41+F$1)*Setup!$M$41,EDATE(Setup!$G$41,(Setup!$O$41+F$1)*Setup!$N$41))&lt;Setup!$D$5),"",IF(Setup!$M$41&gt;0,Setup!$G$41+(Setup!$O$41+F$1)*Setup!$M$41,EDATE(Setup!$G$41,(Setup!$O$41+F$1)*Setup!$N$41))+$A18/1000)))</f>
        <v/>
      </c>
      <c r="G18">
        <f>IF(OR(Setup!$E$41="",Setup!$G$41="",Setup!$F$41=""),"",IF(AND(Setup!$F$41="Once",G$1&gt;0),"",IF(OR(IF(Setup!$M$41&gt;0,Setup!$G$41+(Setup!$O$41+G$1)*Setup!$M$41,EDATE(Setup!$G$41,(Setup!$O$41+G$1)*Setup!$N$41))&gt;Setup!$P$41,IF(Setup!$M$41&gt;0,Setup!$G$41+(Setup!$O$41+G$1)*Setup!$M$41,EDATE(Setup!$G$41,(Setup!$O$41+G$1)*Setup!$N$41))&lt;Setup!$D$5),"",IF(Setup!$M$41&gt;0,Setup!$G$41+(Setup!$O$41+G$1)*Setup!$M$41,EDATE(Setup!$G$41,(Setup!$O$41+G$1)*Setup!$N$41))+$A18/1000)))</f>
        <v/>
      </c>
      <c r="H18">
        <f>IF(OR(Setup!$E$41="",Setup!$G$41="",Setup!$F$41=""),"",IF(AND(Setup!$F$41="Once",H$1&gt;0),"",IF(OR(IF(Setup!$M$41&gt;0,Setup!$G$41+(Setup!$O$41+H$1)*Setup!$M$41,EDATE(Setup!$G$41,(Setup!$O$41+H$1)*Setup!$N$41))&gt;Setup!$P$41,IF(Setup!$M$41&gt;0,Setup!$G$41+(Setup!$O$41+H$1)*Setup!$M$41,EDATE(Setup!$G$41,(Setup!$O$41+H$1)*Setup!$N$41))&lt;Setup!$D$5),"",IF(Setup!$M$41&gt;0,Setup!$G$41+(Setup!$O$41+H$1)*Setup!$M$41,EDATE(Setup!$G$41,(Setup!$O$41+H$1)*Setup!$N$41))+$A18/1000)))</f>
        <v/>
      </c>
      <c r="I18">
        <f>IF(OR(Setup!$E$41="",Setup!$G$41="",Setup!$F$41=""),"",IF(AND(Setup!$F$41="Once",I$1&gt;0),"",IF(OR(IF(Setup!$M$41&gt;0,Setup!$G$41+(Setup!$O$41+I$1)*Setup!$M$41,EDATE(Setup!$G$41,(Setup!$O$41+I$1)*Setup!$N$41))&gt;Setup!$P$41,IF(Setup!$M$41&gt;0,Setup!$G$41+(Setup!$O$41+I$1)*Setup!$M$41,EDATE(Setup!$G$41,(Setup!$O$41+I$1)*Setup!$N$41))&lt;Setup!$D$5),"",IF(Setup!$M$41&gt;0,Setup!$G$41+(Setup!$O$41+I$1)*Setup!$M$41,EDATE(Setup!$G$41,(Setup!$O$41+I$1)*Setup!$N$41))+$A18/1000)))</f>
        <v/>
      </c>
      <c r="J18">
        <f>IF(OR(Setup!$E$41="",Setup!$G$41="",Setup!$F$41=""),"",IF(AND(Setup!$F$41="Once",J$1&gt;0),"",IF(OR(IF(Setup!$M$41&gt;0,Setup!$G$41+(Setup!$O$41+J$1)*Setup!$M$41,EDATE(Setup!$G$41,(Setup!$O$41+J$1)*Setup!$N$41))&gt;Setup!$P$41,IF(Setup!$M$41&gt;0,Setup!$G$41+(Setup!$O$41+J$1)*Setup!$M$41,EDATE(Setup!$G$41,(Setup!$O$41+J$1)*Setup!$N$41))&lt;Setup!$D$5),"",IF(Setup!$M$41&gt;0,Setup!$G$41+(Setup!$O$41+J$1)*Setup!$M$41,EDATE(Setup!$G$41,(Setup!$O$41+J$1)*Setup!$N$41))+$A18/1000)))</f>
        <v/>
      </c>
      <c r="K18">
        <f>IF(OR(Setup!$E$41="",Setup!$G$41="",Setup!$F$41=""),"",IF(AND(Setup!$F$41="Once",K$1&gt;0),"",IF(OR(IF(Setup!$M$41&gt;0,Setup!$G$41+(Setup!$O$41+K$1)*Setup!$M$41,EDATE(Setup!$G$41,(Setup!$O$41+K$1)*Setup!$N$41))&gt;Setup!$P$41,IF(Setup!$M$41&gt;0,Setup!$G$41+(Setup!$O$41+K$1)*Setup!$M$41,EDATE(Setup!$G$41,(Setup!$O$41+K$1)*Setup!$N$41))&lt;Setup!$D$5),"",IF(Setup!$M$41&gt;0,Setup!$G$41+(Setup!$O$41+K$1)*Setup!$M$41,EDATE(Setup!$G$41,(Setup!$O$41+K$1)*Setup!$N$41))+$A18/1000)))</f>
        <v/>
      </c>
      <c r="L18">
        <f>IF(OR(Setup!$E$41="",Setup!$G$41="",Setup!$F$41=""),"",IF(AND(Setup!$F$41="Once",L$1&gt;0),"",IF(OR(IF(Setup!$M$41&gt;0,Setup!$G$41+(Setup!$O$41+L$1)*Setup!$M$41,EDATE(Setup!$G$41,(Setup!$O$41+L$1)*Setup!$N$41))&gt;Setup!$P$41,IF(Setup!$M$41&gt;0,Setup!$G$41+(Setup!$O$41+L$1)*Setup!$M$41,EDATE(Setup!$G$41,(Setup!$O$41+L$1)*Setup!$N$41))&lt;Setup!$D$5),"",IF(Setup!$M$41&gt;0,Setup!$G$41+(Setup!$O$41+L$1)*Setup!$M$41,EDATE(Setup!$G$41,(Setup!$O$41+L$1)*Setup!$N$41))+$A18/1000)))</f>
        <v/>
      </c>
      <c r="M18">
        <f>IF(OR(Setup!$E$41="",Setup!$G$41="",Setup!$F$41=""),"",IF(AND(Setup!$F$41="Once",M$1&gt;0),"",IF(OR(IF(Setup!$M$41&gt;0,Setup!$G$41+(Setup!$O$41+M$1)*Setup!$M$41,EDATE(Setup!$G$41,(Setup!$O$41+M$1)*Setup!$N$41))&gt;Setup!$P$41,IF(Setup!$M$41&gt;0,Setup!$G$41+(Setup!$O$41+M$1)*Setup!$M$41,EDATE(Setup!$G$41,(Setup!$O$41+M$1)*Setup!$N$41))&lt;Setup!$D$5),"",IF(Setup!$M$41&gt;0,Setup!$G$41+(Setup!$O$41+M$1)*Setup!$M$41,EDATE(Setup!$G$41,(Setup!$O$41+M$1)*Setup!$N$41))+$A18/1000)))</f>
        <v/>
      </c>
      <c r="N18">
        <f>IF(OR(Setup!$E$41="",Setup!$G$41="",Setup!$F$41=""),"",IF(AND(Setup!$F$41="Once",N$1&gt;0),"",IF(OR(IF(Setup!$M$41&gt;0,Setup!$G$41+(Setup!$O$41+N$1)*Setup!$M$41,EDATE(Setup!$G$41,(Setup!$O$41+N$1)*Setup!$N$41))&gt;Setup!$P$41,IF(Setup!$M$41&gt;0,Setup!$G$41+(Setup!$O$41+N$1)*Setup!$M$41,EDATE(Setup!$G$41,(Setup!$O$41+N$1)*Setup!$N$41))&lt;Setup!$D$5),"",IF(Setup!$M$41&gt;0,Setup!$G$41+(Setup!$O$41+N$1)*Setup!$M$41,EDATE(Setup!$G$41,(Setup!$O$41+N$1)*Setup!$N$41))+$A18/1000)))</f>
        <v/>
      </c>
      <c r="O18">
        <f>IF(OR(Setup!$E$41="",Setup!$G$41="",Setup!$F$41=""),"",IF(AND(Setup!$F$41="Once",O$1&gt;0),"",IF(OR(IF(Setup!$M$41&gt;0,Setup!$G$41+(Setup!$O$41+O$1)*Setup!$M$41,EDATE(Setup!$G$41,(Setup!$O$41+O$1)*Setup!$N$41))&gt;Setup!$P$41,IF(Setup!$M$41&gt;0,Setup!$G$41+(Setup!$O$41+O$1)*Setup!$M$41,EDATE(Setup!$G$41,(Setup!$O$41+O$1)*Setup!$N$41))&lt;Setup!$D$5),"",IF(Setup!$M$41&gt;0,Setup!$G$41+(Setup!$O$41+O$1)*Setup!$M$41,EDATE(Setup!$G$41,(Setup!$O$41+O$1)*Setup!$N$41))+$A18/1000)))</f>
        <v/>
      </c>
      <c r="P18">
        <f>IF(OR(Setup!$E$41="",Setup!$G$41="",Setup!$F$41=""),"",IF(AND(Setup!$F$41="Once",P$1&gt;0),"",IF(OR(IF(Setup!$M$41&gt;0,Setup!$G$41+(Setup!$O$41+P$1)*Setup!$M$41,EDATE(Setup!$G$41,(Setup!$O$41+P$1)*Setup!$N$41))&gt;Setup!$P$41,IF(Setup!$M$41&gt;0,Setup!$G$41+(Setup!$O$41+P$1)*Setup!$M$41,EDATE(Setup!$G$41,(Setup!$O$41+P$1)*Setup!$N$41))&lt;Setup!$D$5),"",IF(Setup!$M$41&gt;0,Setup!$G$41+(Setup!$O$41+P$1)*Setup!$M$41,EDATE(Setup!$G$41,(Setup!$O$41+P$1)*Setup!$N$41))+$A18/1000)))</f>
        <v/>
      </c>
      <c r="Q18">
        <f>IF(OR(Setup!$E$41="",Setup!$G$41="",Setup!$F$41=""),"",IF(AND(Setup!$F$41="Once",Q$1&gt;0),"",IF(OR(IF(Setup!$M$41&gt;0,Setup!$G$41+(Setup!$O$41+Q$1)*Setup!$M$41,EDATE(Setup!$G$41,(Setup!$O$41+Q$1)*Setup!$N$41))&gt;Setup!$P$41,IF(Setup!$M$41&gt;0,Setup!$G$41+(Setup!$O$41+Q$1)*Setup!$M$41,EDATE(Setup!$G$41,(Setup!$O$41+Q$1)*Setup!$N$41))&lt;Setup!$D$5),"",IF(Setup!$M$41&gt;0,Setup!$G$41+(Setup!$O$41+Q$1)*Setup!$M$41,EDATE(Setup!$G$41,(Setup!$O$41+Q$1)*Setup!$N$41))+$A18/1000)))</f>
        <v/>
      </c>
      <c r="R18">
        <f>IF(OR(Setup!$E$41="",Setup!$G$41="",Setup!$F$41=""),"",IF(AND(Setup!$F$41="Once",R$1&gt;0),"",IF(OR(IF(Setup!$M$41&gt;0,Setup!$G$41+(Setup!$O$41+R$1)*Setup!$M$41,EDATE(Setup!$G$41,(Setup!$O$41+R$1)*Setup!$N$41))&gt;Setup!$P$41,IF(Setup!$M$41&gt;0,Setup!$G$41+(Setup!$O$41+R$1)*Setup!$M$41,EDATE(Setup!$G$41,(Setup!$O$41+R$1)*Setup!$N$41))&lt;Setup!$D$5),"",IF(Setup!$M$41&gt;0,Setup!$G$41+(Setup!$O$41+R$1)*Setup!$M$41,EDATE(Setup!$G$41,(Setup!$O$41+R$1)*Setup!$N$41))+$A18/1000)))</f>
        <v/>
      </c>
      <c r="S18">
        <f>IF(OR(Setup!$E$41="",Setup!$G$41="",Setup!$F$41=""),"",IF(AND(Setup!$F$41="Once",S$1&gt;0),"",IF(OR(IF(Setup!$M$41&gt;0,Setup!$G$41+(Setup!$O$41+S$1)*Setup!$M$41,EDATE(Setup!$G$41,(Setup!$O$41+S$1)*Setup!$N$41))&gt;Setup!$P$41,IF(Setup!$M$41&gt;0,Setup!$G$41+(Setup!$O$41+S$1)*Setup!$M$41,EDATE(Setup!$G$41,(Setup!$O$41+S$1)*Setup!$N$41))&lt;Setup!$D$5),"",IF(Setup!$M$41&gt;0,Setup!$G$41+(Setup!$O$41+S$1)*Setup!$M$41,EDATE(Setup!$G$41,(Setup!$O$41+S$1)*Setup!$N$41))+$A18/1000)))</f>
        <v/>
      </c>
      <c r="T18">
        <f>IF(OR(Setup!$E$41="",Setup!$G$41="",Setup!$F$41=""),"",IF(AND(Setup!$F$41="Once",T$1&gt;0),"",IF(OR(IF(Setup!$M$41&gt;0,Setup!$G$41+(Setup!$O$41+T$1)*Setup!$M$41,EDATE(Setup!$G$41,(Setup!$O$41+T$1)*Setup!$N$41))&gt;Setup!$P$41,IF(Setup!$M$41&gt;0,Setup!$G$41+(Setup!$O$41+T$1)*Setup!$M$41,EDATE(Setup!$G$41,(Setup!$O$41+T$1)*Setup!$N$41))&lt;Setup!$D$5),"",IF(Setup!$M$41&gt;0,Setup!$G$41+(Setup!$O$41+T$1)*Setup!$M$41,EDATE(Setup!$G$41,(Setup!$O$41+T$1)*Setup!$N$41))+$A18/1000)))</f>
        <v/>
      </c>
      <c r="U18">
        <f>IF(OR(Setup!$E$41="",Setup!$G$41="",Setup!$F$41=""),"",IF(AND(Setup!$F$41="Once",U$1&gt;0),"",IF(OR(IF(Setup!$M$41&gt;0,Setup!$G$41+(Setup!$O$41+U$1)*Setup!$M$41,EDATE(Setup!$G$41,(Setup!$O$41+U$1)*Setup!$N$41))&gt;Setup!$P$41,IF(Setup!$M$41&gt;0,Setup!$G$41+(Setup!$O$41+U$1)*Setup!$M$41,EDATE(Setup!$G$41,(Setup!$O$41+U$1)*Setup!$N$41))&lt;Setup!$D$5),"",IF(Setup!$M$41&gt;0,Setup!$G$41+(Setup!$O$41+U$1)*Setup!$M$41,EDATE(Setup!$G$41,(Setup!$O$41+U$1)*Setup!$N$41))+$A18/1000)))</f>
        <v/>
      </c>
      <c r="V18">
        <f>IF(OR(Setup!$E$41="",Setup!$G$41="",Setup!$F$41=""),"",IF(AND(Setup!$F$41="Once",V$1&gt;0),"",IF(OR(IF(Setup!$M$41&gt;0,Setup!$G$41+(Setup!$O$41+V$1)*Setup!$M$41,EDATE(Setup!$G$41,(Setup!$O$41+V$1)*Setup!$N$41))&gt;Setup!$P$41,IF(Setup!$M$41&gt;0,Setup!$G$41+(Setup!$O$41+V$1)*Setup!$M$41,EDATE(Setup!$G$41,(Setup!$O$41+V$1)*Setup!$N$41))&lt;Setup!$D$5),"",IF(Setup!$M$41&gt;0,Setup!$G$41+(Setup!$O$41+V$1)*Setup!$M$41,EDATE(Setup!$G$41,(Setup!$O$41+V$1)*Setup!$N$41))+$A18/1000)))</f>
        <v/>
      </c>
      <c r="W18">
        <f>IF(OR(Setup!$E$41="",Setup!$G$41="",Setup!$F$41=""),"",IF(AND(Setup!$F$41="Once",W$1&gt;0),"",IF(OR(IF(Setup!$M$41&gt;0,Setup!$G$41+(Setup!$O$41+W$1)*Setup!$M$41,EDATE(Setup!$G$41,(Setup!$O$41+W$1)*Setup!$N$41))&gt;Setup!$P$41,IF(Setup!$M$41&gt;0,Setup!$G$41+(Setup!$O$41+W$1)*Setup!$M$41,EDATE(Setup!$G$41,(Setup!$O$41+W$1)*Setup!$N$41))&lt;Setup!$D$5),"",IF(Setup!$M$41&gt;0,Setup!$G$41+(Setup!$O$41+W$1)*Setup!$M$41,EDATE(Setup!$G$41,(Setup!$O$41+W$1)*Setup!$N$41))+$A18/1000)))</f>
        <v/>
      </c>
      <c r="X18">
        <f>IF(OR(Setup!$E$41="",Setup!$G$41="",Setup!$F$41=""),"",IF(AND(Setup!$F$41="Once",X$1&gt;0),"",IF(OR(IF(Setup!$M$41&gt;0,Setup!$G$41+(Setup!$O$41+X$1)*Setup!$M$41,EDATE(Setup!$G$41,(Setup!$O$41+X$1)*Setup!$N$41))&gt;Setup!$P$41,IF(Setup!$M$41&gt;0,Setup!$G$41+(Setup!$O$41+X$1)*Setup!$M$41,EDATE(Setup!$G$41,(Setup!$O$41+X$1)*Setup!$N$41))&lt;Setup!$D$5),"",IF(Setup!$M$41&gt;0,Setup!$G$41+(Setup!$O$41+X$1)*Setup!$M$41,EDATE(Setup!$G$41,(Setup!$O$41+X$1)*Setup!$N$41))+$A18/1000)))</f>
        <v/>
      </c>
      <c r="Y18">
        <f>IF(OR(Setup!$E$41="",Setup!$G$41="",Setup!$F$41=""),"",IF(AND(Setup!$F$41="Once",Y$1&gt;0),"",IF(OR(IF(Setup!$M$41&gt;0,Setup!$G$41+(Setup!$O$41+Y$1)*Setup!$M$41,EDATE(Setup!$G$41,(Setup!$O$41+Y$1)*Setup!$N$41))&gt;Setup!$P$41,IF(Setup!$M$41&gt;0,Setup!$G$41+(Setup!$O$41+Y$1)*Setup!$M$41,EDATE(Setup!$G$41,(Setup!$O$41+Y$1)*Setup!$N$41))&lt;Setup!$D$5),"",IF(Setup!$M$41&gt;0,Setup!$G$41+(Setup!$O$41+Y$1)*Setup!$M$41,EDATE(Setup!$G$41,(Setup!$O$41+Y$1)*Setup!$N$41))+$A18/1000)))</f>
        <v/>
      </c>
      <c r="Z18">
        <f>IF(OR(Setup!$E$41="",Setup!$G$41="",Setup!$F$41=""),"",IF(AND(Setup!$F$41="Once",Z$1&gt;0),"",IF(OR(IF(Setup!$M$41&gt;0,Setup!$G$41+(Setup!$O$41+Z$1)*Setup!$M$41,EDATE(Setup!$G$41,(Setup!$O$41+Z$1)*Setup!$N$41))&gt;Setup!$P$41,IF(Setup!$M$41&gt;0,Setup!$G$41+(Setup!$O$41+Z$1)*Setup!$M$41,EDATE(Setup!$G$41,(Setup!$O$41+Z$1)*Setup!$N$41))&lt;Setup!$D$5),"",IF(Setup!$M$41&gt;0,Setup!$G$41+(Setup!$O$41+Z$1)*Setup!$M$41,EDATE(Setup!$G$41,(Setup!$O$41+Z$1)*Setup!$N$41))+$A18/1000)))</f>
        <v/>
      </c>
      <c r="AA18">
        <f>IF(OR(Setup!$E$41="",Setup!$G$41="",Setup!$F$41=""),"",IF(AND(Setup!$F$41="Once",AA$1&gt;0),"",IF(OR(IF(Setup!$M$41&gt;0,Setup!$G$41+(Setup!$O$41+AA$1)*Setup!$M$41,EDATE(Setup!$G$41,(Setup!$O$41+AA$1)*Setup!$N$41))&gt;Setup!$P$41,IF(Setup!$M$41&gt;0,Setup!$G$41+(Setup!$O$41+AA$1)*Setup!$M$41,EDATE(Setup!$G$41,(Setup!$O$41+AA$1)*Setup!$N$41))&lt;Setup!$D$5),"",IF(Setup!$M$41&gt;0,Setup!$G$41+(Setup!$O$41+AA$1)*Setup!$M$41,EDATE(Setup!$G$41,(Setup!$O$41+AA$1)*Setup!$N$41))+$A18/1000)))</f>
        <v/>
      </c>
      <c r="AB18">
        <f>IF(OR(Setup!$E$41="",Setup!$G$41="",Setup!$F$41=""),"",IF(AND(Setup!$F$41="Once",AB$1&gt;0),"",IF(OR(IF(Setup!$M$41&gt;0,Setup!$G$41+(Setup!$O$41+AB$1)*Setup!$M$41,EDATE(Setup!$G$41,(Setup!$O$41+AB$1)*Setup!$N$41))&gt;Setup!$P$41,IF(Setup!$M$41&gt;0,Setup!$G$41+(Setup!$O$41+AB$1)*Setup!$M$41,EDATE(Setup!$G$41,(Setup!$O$41+AB$1)*Setup!$N$41))&lt;Setup!$D$5),"",IF(Setup!$M$41&gt;0,Setup!$G$41+(Setup!$O$41+AB$1)*Setup!$M$41,EDATE(Setup!$G$41,(Setup!$O$41+AB$1)*Setup!$N$41))+$A18/1000)))</f>
        <v/>
      </c>
      <c r="AC18">
        <f>IF(OR(Setup!$E$41="",Setup!$G$41="",Setup!$F$41=""),"",IF(AND(Setup!$F$41="Once",AC$1&gt;0),"",IF(OR(IF(Setup!$M$41&gt;0,Setup!$G$41+(Setup!$O$41+AC$1)*Setup!$M$41,EDATE(Setup!$G$41,(Setup!$O$41+AC$1)*Setup!$N$41))&gt;Setup!$P$41,IF(Setup!$M$41&gt;0,Setup!$G$41+(Setup!$O$41+AC$1)*Setup!$M$41,EDATE(Setup!$G$41,(Setup!$O$41+AC$1)*Setup!$N$41))&lt;Setup!$D$5),"",IF(Setup!$M$41&gt;0,Setup!$G$41+(Setup!$O$41+AC$1)*Setup!$M$41,EDATE(Setup!$G$41,(Setup!$O$41+AC$1)*Setup!$N$41))+$A18/1000)))</f>
        <v/>
      </c>
      <c r="AD18">
        <f>IF(OR(Setup!$E$41="",Setup!$G$41="",Setup!$F$41=""),"",IF(AND(Setup!$F$41="Once",AD$1&gt;0),"",IF(OR(IF(Setup!$M$41&gt;0,Setup!$G$41+(Setup!$O$41+AD$1)*Setup!$M$41,EDATE(Setup!$G$41,(Setup!$O$41+AD$1)*Setup!$N$41))&gt;Setup!$P$41,IF(Setup!$M$41&gt;0,Setup!$G$41+(Setup!$O$41+AD$1)*Setup!$M$41,EDATE(Setup!$G$41,(Setup!$O$41+AD$1)*Setup!$N$41))&lt;Setup!$D$5),"",IF(Setup!$M$41&gt;0,Setup!$G$41+(Setup!$O$41+AD$1)*Setup!$M$41,EDATE(Setup!$G$41,(Setup!$O$41+AD$1)*Setup!$N$41))+$A18/1000)))</f>
        <v/>
      </c>
      <c r="AE18">
        <f>IF(OR(Setup!$E$41="",Setup!$G$41="",Setup!$F$41=""),"",IF(AND(Setup!$F$41="Once",AE$1&gt;0),"",IF(OR(IF(Setup!$M$41&gt;0,Setup!$G$41+(Setup!$O$41+AE$1)*Setup!$M$41,EDATE(Setup!$G$41,(Setup!$O$41+AE$1)*Setup!$N$41))&gt;Setup!$P$41,IF(Setup!$M$41&gt;0,Setup!$G$41+(Setup!$O$41+AE$1)*Setup!$M$41,EDATE(Setup!$G$41,(Setup!$O$41+AE$1)*Setup!$N$41))&lt;Setup!$D$5),"",IF(Setup!$M$41&gt;0,Setup!$G$41+(Setup!$O$41+AE$1)*Setup!$M$41,EDATE(Setup!$G$41,(Setup!$O$41+AE$1)*Setup!$N$41))+$A18/1000)))</f>
        <v/>
      </c>
      <c r="AF18">
        <f>IF(OR(Setup!$E$41="",Setup!$G$41="",Setup!$F$41=""),"",IF(AND(Setup!$F$41="Once",AF$1&gt;0),"",IF(OR(IF(Setup!$M$41&gt;0,Setup!$G$41+(Setup!$O$41+AF$1)*Setup!$M$41,EDATE(Setup!$G$41,(Setup!$O$41+AF$1)*Setup!$N$41))&gt;Setup!$P$41,IF(Setup!$M$41&gt;0,Setup!$G$41+(Setup!$O$41+AF$1)*Setup!$M$41,EDATE(Setup!$G$41,(Setup!$O$41+AF$1)*Setup!$N$41))&lt;Setup!$D$5),"",IF(Setup!$M$41&gt;0,Setup!$G$41+(Setup!$O$41+AF$1)*Setup!$M$41,EDATE(Setup!$G$41,(Setup!$O$41+AF$1)*Setup!$N$41))+$A18/1000)))</f>
        <v/>
      </c>
      <c r="AG18">
        <f>IF(OR(Setup!$E$41="",Setup!$G$41="",Setup!$F$41=""),"",IF(AND(Setup!$F$41="Once",AG$1&gt;0),"",IF(OR(IF(Setup!$M$41&gt;0,Setup!$G$41+(Setup!$O$41+AG$1)*Setup!$M$41,EDATE(Setup!$G$41,(Setup!$O$41+AG$1)*Setup!$N$41))&gt;Setup!$P$41,IF(Setup!$M$41&gt;0,Setup!$G$41+(Setup!$O$41+AG$1)*Setup!$M$41,EDATE(Setup!$G$41,(Setup!$O$41+AG$1)*Setup!$N$41))&lt;Setup!$D$5),"",IF(Setup!$M$41&gt;0,Setup!$G$41+(Setup!$O$41+AG$1)*Setup!$M$41,EDATE(Setup!$G$41,(Setup!$O$41+AG$1)*Setup!$N$41))+$A18/1000)))</f>
        <v/>
      </c>
      <c r="AH18">
        <f>IF(OR(Setup!$E$41="",Setup!$G$41="",Setup!$F$41=""),"",IF(AND(Setup!$F$41="Once",AH$1&gt;0),"",IF(OR(IF(Setup!$M$41&gt;0,Setup!$G$41+(Setup!$O$41+AH$1)*Setup!$M$41,EDATE(Setup!$G$41,(Setup!$O$41+AH$1)*Setup!$N$41))&gt;Setup!$P$41,IF(Setup!$M$41&gt;0,Setup!$G$41+(Setup!$O$41+AH$1)*Setup!$M$41,EDATE(Setup!$G$41,(Setup!$O$41+AH$1)*Setup!$N$41))&lt;Setup!$D$5),"",IF(Setup!$M$41&gt;0,Setup!$G$41+(Setup!$O$41+AH$1)*Setup!$M$41,EDATE(Setup!$G$41,(Setup!$O$41+AH$1)*Setup!$N$41))+$A18/1000)))</f>
        <v/>
      </c>
      <c r="AI18">
        <f>IF(OR(Setup!$E$41="",Setup!$G$41="",Setup!$F$41=""),"",IF(AND(Setup!$F$41="Once",AI$1&gt;0),"",IF(OR(IF(Setup!$M$41&gt;0,Setup!$G$41+(Setup!$O$41+AI$1)*Setup!$M$41,EDATE(Setup!$G$41,(Setup!$O$41+AI$1)*Setup!$N$41))&gt;Setup!$P$41,IF(Setup!$M$41&gt;0,Setup!$G$41+(Setup!$O$41+AI$1)*Setup!$M$41,EDATE(Setup!$G$41,(Setup!$O$41+AI$1)*Setup!$N$41))&lt;Setup!$D$5),"",IF(Setup!$M$41&gt;0,Setup!$G$41+(Setup!$O$41+AI$1)*Setup!$M$41,EDATE(Setup!$G$41,(Setup!$O$41+AI$1)*Setup!$N$41))+$A18/1000)))</f>
        <v/>
      </c>
      <c r="AJ18">
        <f>IF(OR(Setup!$E$41="",Setup!$G$41="",Setup!$F$41=""),"",IF(AND(Setup!$F$41="Once",AJ$1&gt;0),"",IF(OR(IF(Setup!$M$41&gt;0,Setup!$G$41+(Setup!$O$41+AJ$1)*Setup!$M$41,EDATE(Setup!$G$41,(Setup!$O$41+AJ$1)*Setup!$N$41))&gt;Setup!$P$41,IF(Setup!$M$41&gt;0,Setup!$G$41+(Setup!$O$41+AJ$1)*Setup!$M$41,EDATE(Setup!$G$41,(Setup!$O$41+AJ$1)*Setup!$N$41))&lt;Setup!$D$5),"",IF(Setup!$M$41&gt;0,Setup!$G$41+(Setup!$O$41+AJ$1)*Setup!$M$41,EDATE(Setup!$G$41,(Setup!$O$41+AJ$1)*Setup!$N$41))+$A18/1000)))</f>
        <v/>
      </c>
      <c r="AK18">
        <f>IF(OR(Setup!$E$41="",Setup!$G$41="",Setup!$F$41=""),"",IF(AND(Setup!$F$41="Once",AK$1&gt;0),"",IF(OR(IF(Setup!$M$41&gt;0,Setup!$G$41+(Setup!$O$41+AK$1)*Setup!$M$41,EDATE(Setup!$G$41,(Setup!$O$41+AK$1)*Setup!$N$41))&gt;Setup!$P$41,IF(Setup!$M$41&gt;0,Setup!$G$41+(Setup!$O$41+AK$1)*Setup!$M$41,EDATE(Setup!$G$41,(Setup!$O$41+AK$1)*Setup!$N$41))&lt;Setup!$D$5),"",IF(Setup!$M$41&gt;0,Setup!$G$41+(Setup!$O$41+AK$1)*Setup!$M$41,EDATE(Setup!$G$41,(Setup!$O$41+AK$1)*Setup!$N$41))+$A18/1000)))</f>
        <v/>
      </c>
      <c r="AL18">
        <f>IF(OR(Setup!$E$41="",Setup!$G$41="",Setup!$F$41=""),"",IF(AND(Setup!$F$41="Once",AL$1&gt;0),"",IF(OR(IF(Setup!$M$41&gt;0,Setup!$G$41+(Setup!$O$41+AL$1)*Setup!$M$41,EDATE(Setup!$G$41,(Setup!$O$41+AL$1)*Setup!$N$41))&gt;Setup!$P$41,IF(Setup!$M$41&gt;0,Setup!$G$41+(Setup!$O$41+AL$1)*Setup!$M$41,EDATE(Setup!$G$41,(Setup!$O$41+AL$1)*Setup!$N$41))&lt;Setup!$D$5),"",IF(Setup!$M$41&gt;0,Setup!$G$41+(Setup!$O$41+AL$1)*Setup!$M$41,EDATE(Setup!$G$41,(Setup!$O$41+AL$1)*Setup!$N$41))+$A18/1000)))</f>
        <v/>
      </c>
      <c r="AM18">
        <f>IF(OR(Setup!$E$41="",Setup!$G$41="",Setup!$F$41=""),"",IF(AND(Setup!$F$41="Once",AM$1&gt;0),"",IF(OR(IF(Setup!$M$41&gt;0,Setup!$G$41+(Setup!$O$41+AM$1)*Setup!$M$41,EDATE(Setup!$G$41,(Setup!$O$41+AM$1)*Setup!$N$41))&gt;Setup!$P$41,IF(Setup!$M$41&gt;0,Setup!$G$41+(Setup!$O$41+AM$1)*Setup!$M$41,EDATE(Setup!$G$41,(Setup!$O$41+AM$1)*Setup!$N$41))&lt;Setup!$D$5),"",IF(Setup!$M$41&gt;0,Setup!$G$41+(Setup!$O$41+AM$1)*Setup!$M$41,EDATE(Setup!$G$41,(Setup!$O$41+AM$1)*Setup!$N$41))+$A18/1000)))</f>
        <v/>
      </c>
      <c r="AN18">
        <f>IF(OR(Setup!$E$41="",Setup!$G$41="",Setup!$F$41=""),"",IF(AND(Setup!$F$41="Once",AN$1&gt;0),"",IF(OR(IF(Setup!$M$41&gt;0,Setup!$G$41+(Setup!$O$41+AN$1)*Setup!$M$41,EDATE(Setup!$G$41,(Setup!$O$41+AN$1)*Setup!$N$41))&gt;Setup!$P$41,IF(Setup!$M$41&gt;0,Setup!$G$41+(Setup!$O$41+AN$1)*Setup!$M$41,EDATE(Setup!$G$41,(Setup!$O$41+AN$1)*Setup!$N$41))&lt;Setup!$D$5),"",IF(Setup!$M$41&gt;0,Setup!$G$41+(Setup!$O$41+AN$1)*Setup!$M$41,EDATE(Setup!$G$41,(Setup!$O$41+AN$1)*Setup!$N$41))+$A18/1000)))</f>
        <v/>
      </c>
      <c r="AO18">
        <f>IF(OR(Setup!$E$41="",Setup!$G$41="",Setup!$F$41=""),"",IF(AND(Setup!$F$41="Once",AO$1&gt;0),"",IF(OR(IF(Setup!$M$41&gt;0,Setup!$G$41+(Setup!$O$41+AO$1)*Setup!$M$41,EDATE(Setup!$G$41,(Setup!$O$41+AO$1)*Setup!$N$41))&gt;Setup!$P$41,IF(Setup!$M$41&gt;0,Setup!$G$41+(Setup!$O$41+AO$1)*Setup!$M$41,EDATE(Setup!$G$41,(Setup!$O$41+AO$1)*Setup!$N$41))&lt;Setup!$D$5),"",IF(Setup!$M$41&gt;0,Setup!$G$41+(Setup!$O$41+AO$1)*Setup!$M$41,EDATE(Setup!$G$41,(Setup!$O$41+AO$1)*Setup!$N$41))+$A18/1000)))</f>
        <v/>
      </c>
      <c r="AP18">
        <f>IF(OR(Setup!$E$41="",Setup!$G$41="",Setup!$F$41=""),"",IF(AND(Setup!$F$41="Once",AP$1&gt;0),"",IF(OR(IF(Setup!$M$41&gt;0,Setup!$G$41+(Setup!$O$41+AP$1)*Setup!$M$41,EDATE(Setup!$G$41,(Setup!$O$41+AP$1)*Setup!$N$41))&gt;Setup!$P$41,IF(Setup!$M$41&gt;0,Setup!$G$41+(Setup!$O$41+AP$1)*Setup!$M$41,EDATE(Setup!$G$41,(Setup!$O$41+AP$1)*Setup!$N$41))&lt;Setup!$D$5),"",IF(Setup!$M$41&gt;0,Setup!$G$41+(Setup!$O$41+AP$1)*Setup!$M$41,EDATE(Setup!$G$41,(Setup!$O$41+AP$1)*Setup!$N$41))+$A18/1000)))</f>
        <v/>
      </c>
      <c r="AQ18">
        <f>IF(OR(Setup!$E$41="",Setup!$G$41="",Setup!$F$41=""),"",IF(AND(Setup!$F$41="Once",AQ$1&gt;0),"",IF(OR(IF(Setup!$M$41&gt;0,Setup!$G$41+(Setup!$O$41+AQ$1)*Setup!$M$41,EDATE(Setup!$G$41,(Setup!$O$41+AQ$1)*Setup!$N$41))&gt;Setup!$P$41,IF(Setup!$M$41&gt;0,Setup!$G$41+(Setup!$O$41+AQ$1)*Setup!$M$41,EDATE(Setup!$G$41,(Setup!$O$41+AQ$1)*Setup!$N$41))&lt;Setup!$D$5),"",IF(Setup!$M$41&gt;0,Setup!$G$41+(Setup!$O$41+AQ$1)*Setup!$M$41,EDATE(Setup!$G$41,(Setup!$O$41+AQ$1)*Setup!$N$41))+$A18/1000)))</f>
        <v/>
      </c>
      <c r="AR18">
        <f>IF(OR(Setup!$E$41="",Setup!$G$41="",Setup!$F$41=""),"",IF(AND(Setup!$F$41="Once",AR$1&gt;0),"",IF(OR(IF(Setup!$M$41&gt;0,Setup!$G$41+(Setup!$O$41+AR$1)*Setup!$M$41,EDATE(Setup!$G$41,(Setup!$O$41+AR$1)*Setup!$N$41))&gt;Setup!$P$41,IF(Setup!$M$41&gt;0,Setup!$G$41+(Setup!$O$41+AR$1)*Setup!$M$41,EDATE(Setup!$G$41,(Setup!$O$41+AR$1)*Setup!$N$41))&lt;Setup!$D$5),"",IF(Setup!$M$41&gt;0,Setup!$G$41+(Setup!$O$41+AR$1)*Setup!$M$41,EDATE(Setup!$G$41,(Setup!$O$41+AR$1)*Setup!$N$41))+$A18/1000)))</f>
        <v/>
      </c>
      <c r="AS18">
        <f>IF(OR(Setup!$E$41="",Setup!$G$41="",Setup!$F$41=""),"",IF(AND(Setup!$F$41="Once",AS$1&gt;0),"",IF(OR(IF(Setup!$M$41&gt;0,Setup!$G$41+(Setup!$O$41+AS$1)*Setup!$M$41,EDATE(Setup!$G$41,(Setup!$O$41+AS$1)*Setup!$N$41))&gt;Setup!$P$41,IF(Setup!$M$41&gt;0,Setup!$G$41+(Setup!$O$41+AS$1)*Setup!$M$41,EDATE(Setup!$G$41,(Setup!$O$41+AS$1)*Setup!$N$41))&lt;Setup!$D$5),"",IF(Setup!$M$41&gt;0,Setup!$G$41+(Setup!$O$41+AS$1)*Setup!$M$41,EDATE(Setup!$G$41,(Setup!$O$41+AS$1)*Setup!$N$41))+$A18/1000)))</f>
        <v/>
      </c>
      <c r="AT18">
        <f>IF(OR(Setup!$E$41="",Setup!$G$41="",Setup!$F$41=""),"",IF(AND(Setup!$F$41="Once",AT$1&gt;0),"",IF(OR(IF(Setup!$M$41&gt;0,Setup!$G$41+(Setup!$O$41+AT$1)*Setup!$M$41,EDATE(Setup!$G$41,(Setup!$O$41+AT$1)*Setup!$N$41))&gt;Setup!$P$41,IF(Setup!$M$41&gt;0,Setup!$G$41+(Setup!$O$41+AT$1)*Setup!$M$41,EDATE(Setup!$G$41,(Setup!$O$41+AT$1)*Setup!$N$41))&lt;Setup!$D$5),"",IF(Setup!$M$41&gt;0,Setup!$G$41+(Setup!$O$41+AT$1)*Setup!$M$41,EDATE(Setup!$G$41,(Setup!$O$41+AT$1)*Setup!$N$41))+$A18/1000)))</f>
        <v/>
      </c>
      <c r="AU18">
        <f>IF(OR(Setup!$E$41="",Setup!$G$41="",Setup!$F$41=""),"",IF(AND(Setup!$F$41="Once",AU$1&gt;0),"",IF(OR(IF(Setup!$M$41&gt;0,Setup!$G$41+(Setup!$O$41+AU$1)*Setup!$M$41,EDATE(Setup!$G$41,(Setup!$O$41+AU$1)*Setup!$N$41))&gt;Setup!$P$41,IF(Setup!$M$41&gt;0,Setup!$G$41+(Setup!$O$41+AU$1)*Setup!$M$41,EDATE(Setup!$G$41,(Setup!$O$41+AU$1)*Setup!$N$41))&lt;Setup!$D$5),"",IF(Setup!$M$41&gt;0,Setup!$G$41+(Setup!$O$41+AU$1)*Setup!$M$41,EDATE(Setup!$G$41,(Setup!$O$41+AU$1)*Setup!$N$41))+$A18/1000)))</f>
        <v/>
      </c>
      <c r="AV18">
        <f>IF(OR(Setup!$E$41="",Setup!$G$41="",Setup!$F$41=""),"",IF(AND(Setup!$F$41="Once",AV$1&gt;0),"",IF(OR(IF(Setup!$M$41&gt;0,Setup!$G$41+(Setup!$O$41+AV$1)*Setup!$M$41,EDATE(Setup!$G$41,(Setup!$O$41+AV$1)*Setup!$N$41))&gt;Setup!$P$41,IF(Setup!$M$41&gt;0,Setup!$G$41+(Setup!$O$41+AV$1)*Setup!$M$41,EDATE(Setup!$G$41,(Setup!$O$41+AV$1)*Setup!$N$41))&lt;Setup!$D$5),"",IF(Setup!$M$41&gt;0,Setup!$G$41+(Setup!$O$41+AV$1)*Setup!$M$41,EDATE(Setup!$G$41,(Setup!$O$41+AV$1)*Setup!$N$41))+$A18/1000)))</f>
        <v/>
      </c>
      <c r="AW18">
        <f>IF(OR(Setup!$E$41="",Setup!$G$41="",Setup!$F$41=""),"",IF(AND(Setup!$F$41="Once",AW$1&gt;0),"",IF(OR(IF(Setup!$M$41&gt;0,Setup!$G$41+(Setup!$O$41+AW$1)*Setup!$M$41,EDATE(Setup!$G$41,(Setup!$O$41+AW$1)*Setup!$N$41))&gt;Setup!$P$41,IF(Setup!$M$41&gt;0,Setup!$G$41+(Setup!$O$41+AW$1)*Setup!$M$41,EDATE(Setup!$G$41,(Setup!$O$41+AW$1)*Setup!$N$41))&lt;Setup!$D$5),"",IF(Setup!$M$41&gt;0,Setup!$G$41+(Setup!$O$41+AW$1)*Setup!$M$41,EDATE(Setup!$G$41,(Setup!$O$41+AW$1)*Setup!$N$41))+$A18/1000)))</f>
        <v/>
      </c>
      <c r="AX18">
        <f>IF(OR(Setup!$E$41="",Setup!$G$41="",Setup!$F$41=""),"",IF(AND(Setup!$F$41="Once",AX$1&gt;0),"",IF(OR(IF(Setup!$M$41&gt;0,Setup!$G$41+(Setup!$O$41+AX$1)*Setup!$M$41,EDATE(Setup!$G$41,(Setup!$O$41+AX$1)*Setup!$N$41))&gt;Setup!$P$41,IF(Setup!$M$41&gt;0,Setup!$G$41+(Setup!$O$41+AX$1)*Setup!$M$41,EDATE(Setup!$G$41,(Setup!$O$41+AX$1)*Setup!$N$41))&lt;Setup!$D$5),"",IF(Setup!$M$41&gt;0,Setup!$G$41+(Setup!$O$41+AX$1)*Setup!$M$41,EDATE(Setup!$G$41,(Setup!$O$41+AX$1)*Setup!$N$41))+$A18/1000)))</f>
        <v/>
      </c>
      <c r="AY18">
        <f>IF(OR(Setup!$E$41="",Setup!$G$41="",Setup!$F$41=""),"",IF(AND(Setup!$F$41="Once",AY$1&gt;0),"",IF(OR(IF(Setup!$M$41&gt;0,Setup!$G$41+(Setup!$O$41+AY$1)*Setup!$M$41,EDATE(Setup!$G$41,(Setup!$O$41+AY$1)*Setup!$N$41))&gt;Setup!$P$41,IF(Setup!$M$41&gt;0,Setup!$G$41+(Setup!$O$41+AY$1)*Setup!$M$41,EDATE(Setup!$G$41,(Setup!$O$41+AY$1)*Setup!$N$41))&lt;Setup!$D$5),"",IF(Setup!$M$41&gt;0,Setup!$G$41+(Setup!$O$41+AY$1)*Setup!$M$41,EDATE(Setup!$G$41,(Setup!$O$41+AY$1)*Setup!$N$41))+$A18/1000)))</f>
        <v/>
      </c>
      <c r="AZ18">
        <f>IF(OR(Setup!$E$41="",Setup!$G$41="",Setup!$F$41=""),"",IF(AND(Setup!$F$41="Once",AZ$1&gt;0),"",IF(OR(IF(Setup!$M$41&gt;0,Setup!$G$41+(Setup!$O$41+AZ$1)*Setup!$M$41,EDATE(Setup!$G$41,(Setup!$O$41+AZ$1)*Setup!$N$41))&gt;Setup!$P$41,IF(Setup!$M$41&gt;0,Setup!$G$41+(Setup!$O$41+AZ$1)*Setup!$M$41,EDATE(Setup!$G$41,(Setup!$O$41+AZ$1)*Setup!$N$41))&lt;Setup!$D$5),"",IF(Setup!$M$41&gt;0,Setup!$G$41+(Setup!$O$41+AZ$1)*Setup!$M$41,EDATE(Setup!$G$41,(Setup!$O$41+AZ$1)*Setup!$N$41))+$A18/1000)))</f>
        <v/>
      </c>
      <c r="BA18">
        <f>IF(OR(Setup!$E$41="",Setup!$G$41="",Setup!$F$41=""),"",IF(AND(Setup!$F$41="Once",BA$1&gt;0),"",IF(OR(IF(Setup!$M$41&gt;0,Setup!$G$41+(Setup!$O$41+BA$1)*Setup!$M$41,EDATE(Setup!$G$41,(Setup!$O$41+BA$1)*Setup!$N$41))&gt;Setup!$P$41,IF(Setup!$M$41&gt;0,Setup!$G$41+(Setup!$O$41+BA$1)*Setup!$M$41,EDATE(Setup!$G$41,(Setup!$O$41+BA$1)*Setup!$N$41))&lt;Setup!$D$5),"",IF(Setup!$M$41&gt;0,Setup!$G$41+(Setup!$O$41+BA$1)*Setup!$M$41,EDATE(Setup!$G$41,(Setup!$O$41+BA$1)*Setup!$N$41))+$A18/1000)))</f>
        <v/>
      </c>
      <c r="BB18">
        <f>IF(OR(Setup!$E$41="",Setup!$G$41="",Setup!$F$41=""),"",IF(AND(Setup!$F$41="Once",BB$1&gt;0),"",IF(OR(IF(Setup!$M$41&gt;0,Setup!$G$41+(Setup!$O$41+BB$1)*Setup!$M$41,EDATE(Setup!$G$41,(Setup!$O$41+BB$1)*Setup!$N$41))&gt;Setup!$P$41,IF(Setup!$M$41&gt;0,Setup!$G$41+(Setup!$O$41+BB$1)*Setup!$M$41,EDATE(Setup!$G$41,(Setup!$O$41+BB$1)*Setup!$N$41))&lt;Setup!$D$5),"",IF(Setup!$M$41&gt;0,Setup!$G$41+(Setup!$O$41+BB$1)*Setup!$M$41,EDATE(Setup!$G$41,(Setup!$O$41+BB$1)*Setup!$N$41))+$A18/1000)))</f>
        <v/>
      </c>
    </row>
    <row r="19">
      <c r="A19" t="n">
        <v>18</v>
      </c>
      <c r="B19">
        <f>IF(OR(Setup!$E$42="",Setup!$G$42="",Setup!$F$42=""),"",IF(AND(Setup!$F$42="Once",B$1&gt;0),"",IF(OR(IF(Setup!$M$42&gt;0,Setup!$G$42+(Setup!$O$42+B$1)*Setup!$M$42,EDATE(Setup!$G$42,(Setup!$O$42+B$1)*Setup!$N$42))&gt;Setup!$P$42,IF(Setup!$M$42&gt;0,Setup!$G$42+(Setup!$O$42+B$1)*Setup!$M$42,EDATE(Setup!$G$42,(Setup!$O$42+B$1)*Setup!$N$42))&lt;Setup!$D$5),"",IF(Setup!$M$42&gt;0,Setup!$G$42+(Setup!$O$42+B$1)*Setup!$M$42,EDATE(Setup!$G$42,(Setup!$O$42+B$1)*Setup!$N$42))+$A19/1000)))</f>
        <v/>
      </c>
      <c r="C19">
        <f>IF(OR(Setup!$E$42="",Setup!$G$42="",Setup!$F$42=""),"",IF(AND(Setup!$F$42="Once",C$1&gt;0),"",IF(OR(IF(Setup!$M$42&gt;0,Setup!$G$42+(Setup!$O$42+C$1)*Setup!$M$42,EDATE(Setup!$G$42,(Setup!$O$42+C$1)*Setup!$N$42))&gt;Setup!$P$42,IF(Setup!$M$42&gt;0,Setup!$G$42+(Setup!$O$42+C$1)*Setup!$M$42,EDATE(Setup!$G$42,(Setup!$O$42+C$1)*Setup!$N$42))&lt;Setup!$D$5),"",IF(Setup!$M$42&gt;0,Setup!$G$42+(Setup!$O$42+C$1)*Setup!$M$42,EDATE(Setup!$G$42,(Setup!$O$42+C$1)*Setup!$N$42))+$A19/1000)))</f>
        <v/>
      </c>
      <c r="D19">
        <f>IF(OR(Setup!$E$42="",Setup!$G$42="",Setup!$F$42=""),"",IF(AND(Setup!$F$42="Once",D$1&gt;0),"",IF(OR(IF(Setup!$M$42&gt;0,Setup!$G$42+(Setup!$O$42+D$1)*Setup!$M$42,EDATE(Setup!$G$42,(Setup!$O$42+D$1)*Setup!$N$42))&gt;Setup!$P$42,IF(Setup!$M$42&gt;0,Setup!$G$42+(Setup!$O$42+D$1)*Setup!$M$42,EDATE(Setup!$G$42,(Setup!$O$42+D$1)*Setup!$N$42))&lt;Setup!$D$5),"",IF(Setup!$M$42&gt;0,Setup!$G$42+(Setup!$O$42+D$1)*Setup!$M$42,EDATE(Setup!$G$42,(Setup!$O$42+D$1)*Setup!$N$42))+$A19/1000)))</f>
        <v/>
      </c>
      <c r="E19">
        <f>IF(OR(Setup!$E$42="",Setup!$G$42="",Setup!$F$42=""),"",IF(AND(Setup!$F$42="Once",E$1&gt;0),"",IF(OR(IF(Setup!$M$42&gt;0,Setup!$G$42+(Setup!$O$42+E$1)*Setup!$M$42,EDATE(Setup!$G$42,(Setup!$O$42+E$1)*Setup!$N$42))&gt;Setup!$P$42,IF(Setup!$M$42&gt;0,Setup!$G$42+(Setup!$O$42+E$1)*Setup!$M$42,EDATE(Setup!$G$42,(Setup!$O$42+E$1)*Setup!$N$42))&lt;Setup!$D$5),"",IF(Setup!$M$42&gt;0,Setup!$G$42+(Setup!$O$42+E$1)*Setup!$M$42,EDATE(Setup!$G$42,(Setup!$O$42+E$1)*Setup!$N$42))+$A19/1000)))</f>
        <v/>
      </c>
      <c r="F19">
        <f>IF(OR(Setup!$E$42="",Setup!$G$42="",Setup!$F$42=""),"",IF(AND(Setup!$F$42="Once",F$1&gt;0),"",IF(OR(IF(Setup!$M$42&gt;0,Setup!$G$42+(Setup!$O$42+F$1)*Setup!$M$42,EDATE(Setup!$G$42,(Setup!$O$42+F$1)*Setup!$N$42))&gt;Setup!$P$42,IF(Setup!$M$42&gt;0,Setup!$G$42+(Setup!$O$42+F$1)*Setup!$M$42,EDATE(Setup!$G$42,(Setup!$O$42+F$1)*Setup!$N$42))&lt;Setup!$D$5),"",IF(Setup!$M$42&gt;0,Setup!$G$42+(Setup!$O$42+F$1)*Setup!$M$42,EDATE(Setup!$G$42,(Setup!$O$42+F$1)*Setup!$N$42))+$A19/1000)))</f>
        <v/>
      </c>
      <c r="G19">
        <f>IF(OR(Setup!$E$42="",Setup!$G$42="",Setup!$F$42=""),"",IF(AND(Setup!$F$42="Once",G$1&gt;0),"",IF(OR(IF(Setup!$M$42&gt;0,Setup!$G$42+(Setup!$O$42+G$1)*Setup!$M$42,EDATE(Setup!$G$42,(Setup!$O$42+G$1)*Setup!$N$42))&gt;Setup!$P$42,IF(Setup!$M$42&gt;0,Setup!$G$42+(Setup!$O$42+G$1)*Setup!$M$42,EDATE(Setup!$G$42,(Setup!$O$42+G$1)*Setup!$N$42))&lt;Setup!$D$5),"",IF(Setup!$M$42&gt;0,Setup!$G$42+(Setup!$O$42+G$1)*Setup!$M$42,EDATE(Setup!$G$42,(Setup!$O$42+G$1)*Setup!$N$42))+$A19/1000)))</f>
        <v/>
      </c>
      <c r="H19">
        <f>IF(OR(Setup!$E$42="",Setup!$G$42="",Setup!$F$42=""),"",IF(AND(Setup!$F$42="Once",H$1&gt;0),"",IF(OR(IF(Setup!$M$42&gt;0,Setup!$G$42+(Setup!$O$42+H$1)*Setup!$M$42,EDATE(Setup!$G$42,(Setup!$O$42+H$1)*Setup!$N$42))&gt;Setup!$P$42,IF(Setup!$M$42&gt;0,Setup!$G$42+(Setup!$O$42+H$1)*Setup!$M$42,EDATE(Setup!$G$42,(Setup!$O$42+H$1)*Setup!$N$42))&lt;Setup!$D$5),"",IF(Setup!$M$42&gt;0,Setup!$G$42+(Setup!$O$42+H$1)*Setup!$M$42,EDATE(Setup!$G$42,(Setup!$O$42+H$1)*Setup!$N$42))+$A19/1000)))</f>
        <v/>
      </c>
      <c r="I19">
        <f>IF(OR(Setup!$E$42="",Setup!$G$42="",Setup!$F$42=""),"",IF(AND(Setup!$F$42="Once",I$1&gt;0),"",IF(OR(IF(Setup!$M$42&gt;0,Setup!$G$42+(Setup!$O$42+I$1)*Setup!$M$42,EDATE(Setup!$G$42,(Setup!$O$42+I$1)*Setup!$N$42))&gt;Setup!$P$42,IF(Setup!$M$42&gt;0,Setup!$G$42+(Setup!$O$42+I$1)*Setup!$M$42,EDATE(Setup!$G$42,(Setup!$O$42+I$1)*Setup!$N$42))&lt;Setup!$D$5),"",IF(Setup!$M$42&gt;0,Setup!$G$42+(Setup!$O$42+I$1)*Setup!$M$42,EDATE(Setup!$G$42,(Setup!$O$42+I$1)*Setup!$N$42))+$A19/1000)))</f>
        <v/>
      </c>
      <c r="J19">
        <f>IF(OR(Setup!$E$42="",Setup!$G$42="",Setup!$F$42=""),"",IF(AND(Setup!$F$42="Once",J$1&gt;0),"",IF(OR(IF(Setup!$M$42&gt;0,Setup!$G$42+(Setup!$O$42+J$1)*Setup!$M$42,EDATE(Setup!$G$42,(Setup!$O$42+J$1)*Setup!$N$42))&gt;Setup!$P$42,IF(Setup!$M$42&gt;0,Setup!$G$42+(Setup!$O$42+J$1)*Setup!$M$42,EDATE(Setup!$G$42,(Setup!$O$42+J$1)*Setup!$N$42))&lt;Setup!$D$5),"",IF(Setup!$M$42&gt;0,Setup!$G$42+(Setup!$O$42+J$1)*Setup!$M$42,EDATE(Setup!$G$42,(Setup!$O$42+J$1)*Setup!$N$42))+$A19/1000)))</f>
        <v/>
      </c>
      <c r="K19">
        <f>IF(OR(Setup!$E$42="",Setup!$G$42="",Setup!$F$42=""),"",IF(AND(Setup!$F$42="Once",K$1&gt;0),"",IF(OR(IF(Setup!$M$42&gt;0,Setup!$G$42+(Setup!$O$42+K$1)*Setup!$M$42,EDATE(Setup!$G$42,(Setup!$O$42+K$1)*Setup!$N$42))&gt;Setup!$P$42,IF(Setup!$M$42&gt;0,Setup!$G$42+(Setup!$O$42+K$1)*Setup!$M$42,EDATE(Setup!$G$42,(Setup!$O$42+K$1)*Setup!$N$42))&lt;Setup!$D$5),"",IF(Setup!$M$42&gt;0,Setup!$G$42+(Setup!$O$42+K$1)*Setup!$M$42,EDATE(Setup!$G$42,(Setup!$O$42+K$1)*Setup!$N$42))+$A19/1000)))</f>
        <v/>
      </c>
      <c r="L19">
        <f>IF(OR(Setup!$E$42="",Setup!$G$42="",Setup!$F$42=""),"",IF(AND(Setup!$F$42="Once",L$1&gt;0),"",IF(OR(IF(Setup!$M$42&gt;0,Setup!$G$42+(Setup!$O$42+L$1)*Setup!$M$42,EDATE(Setup!$G$42,(Setup!$O$42+L$1)*Setup!$N$42))&gt;Setup!$P$42,IF(Setup!$M$42&gt;0,Setup!$G$42+(Setup!$O$42+L$1)*Setup!$M$42,EDATE(Setup!$G$42,(Setup!$O$42+L$1)*Setup!$N$42))&lt;Setup!$D$5),"",IF(Setup!$M$42&gt;0,Setup!$G$42+(Setup!$O$42+L$1)*Setup!$M$42,EDATE(Setup!$G$42,(Setup!$O$42+L$1)*Setup!$N$42))+$A19/1000)))</f>
        <v/>
      </c>
      <c r="M19">
        <f>IF(OR(Setup!$E$42="",Setup!$G$42="",Setup!$F$42=""),"",IF(AND(Setup!$F$42="Once",M$1&gt;0),"",IF(OR(IF(Setup!$M$42&gt;0,Setup!$G$42+(Setup!$O$42+M$1)*Setup!$M$42,EDATE(Setup!$G$42,(Setup!$O$42+M$1)*Setup!$N$42))&gt;Setup!$P$42,IF(Setup!$M$42&gt;0,Setup!$G$42+(Setup!$O$42+M$1)*Setup!$M$42,EDATE(Setup!$G$42,(Setup!$O$42+M$1)*Setup!$N$42))&lt;Setup!$D$5),"",IF(Setup!$M$42&gt;0,Setup!$G$42+(Setup!$O$42+M$1)*Setup!$M$42,EDATE(Setup!$G$42,(Setup!$O$42+M$1)*Setup!$N$42))+$A19/1000)))</f>
        <v/>
      </c>
      <c r="N19">
        <f>IF(OR(Setup!$E$42="",Setup!$G$42="",Setup!$F$42=""),"",IF(AND(Setup!$F$42="Once",N$1&gt;0),"",IF(OR(IF(Setup!$M$42&gt;0,Setup!$G$42+(Setup!$O$42+N$1)*Setup!$M$42,EDATE(Setup!$G$42,(Setup!$O$42+N$1)*Setup!$N$42))&gt;Setup!$P$42,IF(Setup!$M$42&gt;0,Setup!$G$42+(Setup!$O$42+N$1)*Setup!$M$42,EDATE(Setup!$G$42,(Setup!$O$42+N$1)*Setup!$N$42))&lt;Setup!$D$5),"",IF(Setup!$M$42&gt;0,Setup!$G$42+(Setup!$O$42+N$1)*Setup!$M$42,EDATE(Setup!$G$42,(Setup!$O$42+N$1)*Setup!$N$42))+$A19/1000)))</f>
        <v/>
      </c>
      <c r="O19">
        <f>IF(OR(Setup!$E$42="",Setup!$G$42="",Setup!$F$42=""),"",IF(AND(Setup!$F$42="Once",O$1&gt;0),"",IF(OR(IF(Setup!$M$42&gt;0,Setup!$G$42+(Setup!$O$42+O$1)*Setup!$M$42,EDATE(Setup!$G$42,(Setup!$O$42+O$1)*Setup!$N$42))&gt;Setup!$P$42,IF(Setup!$M$42&gt;0,Setup!$G$42+(Setup!$O$42+O$1)*Setup!$M$42,EDATE(Setup!$G$42,(Setup!$O$42+O$1)*Setup!$N$42))&lt;Setup!$D$5),"",IF(Setup!$M$42&gt;0,Setup!$G$42+(Setup!$O$42+O$1)*Setup!$M$42,EDATE(Setup!$G$42,(Setup!$O$42+O$1)*Setup!$N$42))+$A19/1000)))</f>
        <v/>
      </c>
      <c r="P19">
        <f>IF(OR(Setup!$E$42="",Setup!$G$42="",Setup!$F$42=""),"",IF(AND(Setup!$F$42="Once",P$1&gt;0),"",IF(OR(IF(Setup!$M$42&gt;0,Setup!$G$42+(Setup!$O$42+P$1)*Setup!$M$42,EDATE(Setup!$G$42,(Setup!$O$42+P$1)*Setup!$N$42))&gt;Setup!$P$42,IF(Setup!$M$42&gt;0,Setup!$G$42+(Setup!$O$42+P$1)*Setup!$M$42,EDATE(Setup!$G$42,(Setup!$O$42+P$1)*Setup!$N$42))&lt;Setup!$D$5),"",IF(Setup!$M$42&gt;0,Setup!$G$42+(Setup!$O$42+P$1)*Setup!$M$42,EDATE(Setup!$G$42,(Setup!$O$42+P$1)*Setup!$N$42))+$A19/1000)))</f>
        <v/>
      </c>
      <c r="Q19">
        <f>IF(OR(Setup!$E$42="",Setup!$G$42="",Setup!$F$42=""),"",IF(AND(Setup!$F$42="Once",Q$1&gt;0),"",IF(OR(IF(Setup!$M$42&gt;0,Setup!$G$42+(Setup!$O$42+Q$1)*Setup!$M$42,EDATE(Setup!$G$42,(Setup!$O$42+Q$1)*Setup!$N$42))&gt;Setup!$P$42,IF(Setup!$M$42&gt;0,Setup!$G$42+(Setup!$O$42+Q$1)*Setup!$M$42,EDATE(Setup!$G$42,(Setup!$O$42+Q$1)*Setup!$N$42))&lt;Setup!$D$5),"",IF(Setup!$M$42&gt;0,Setup!$G$42+(Setup!$O$42+Q$1)*Setup!$M$42,EDATE(Setup!$G$42,(Setup!$O$42+Q$1)*Setup!$N$42))+$A19/1000)))</f>
        <v/>
      </c>
      <c r="R19">
        <f>IF(OR(Setup!$E$42="",Setup!$G$42="",Setup!$F$42=""),"",IF(AND(Setup!$F$42="Once",R$1&gt;0),"",IF(OR(IF(Setup!$M$42&gt;0,Setup!$G$42+(Setup!$O$42+R$1)*Setup!$M$42,EDATE(Setup!$G$42,(Setup!$O$42+R$1)*Setup!$N$42))&gt;Setup!$P$42,IF(Setup!$M$42&gt;0,Setup!$G$42+(Setup!$O$42+R$1)*Setup!$M$42,EDATE(Setup!$G$42,(Setup!$O$42+R$1)*Setup!$N$42))&lt;Setup!$D$5),"",IF(Setup!$M$42&gt;0,Setup!$G$42+(Setup!$O$42+R$1)*Setup!$M$42,EDATE(Setup!$G$42,(Setup!$O$42+R$1)*Setup!$N$42))+$A19/1000)))</f>
        <v/>
      </c>
      <c r="S19">
        <f>IF(OR(Setup!$E$42="",Setup!$G$42="",Setup!$F$42=""),"",IF(AND(Setup!$F$42="Once",S$1&gt;0),"",IF(OR(IF(Setup!$M$42&gt;0,Setup!$G$42+(Setup!$O$42+S$1)*Setup!$M$42,EDATE(Setup!$G$42,(Setup!$O$42+S$1)*Setup!$N$42))&gt;Setup!$P$42,IF(Setup!$M$42&gt;0,Setup!$G$42+(Setup!$O$42+S$1)*Setup!$M$42,EDATE(Setup!$G$42,(Setup!$O$42+S$1)*Setup!$N$42))&lt;Setup!$D$5),"",IF(Setup!$M$42&gt;0,Setup!$G$42+(Setup!$O$42+S$1)*Setup!$M$42,EDATE(Setup!$G$42,(Setup!$O$42+S$1)*Setup!$N$42))+$A19/1000)))</f>
        <v/>
      </c>
      <c r="T19">
        <f>IF(OR(Setup!$E$42="",Setup!$G$42="",Setup!$F$42=""),"",IF(AND(Setup!$F$42="Once",T$1&gt;0),"",IF(OR(IF(Setup!$M$42&gt;0,Setup!$G$42+(Setup!$O$42+T$1)*Setup!$M$42,EDATE(Setup!$G$42,(Setup!$O$42+T$1)*Setup!$N$42))&gt;Setup!$P$42,IF(Setup!$M$42&gt;0,Setup!$G$42+(Setup!$O$42+T$1)*Setup!$M$42,EDATE(Setup!$G$42,(Setup!$O$42+T$1)*Setup!$N$42))&lt;Setup!$D$5),"",IF(Setup!$M$42&gt;0,Setup!$G$42+(Setup!$O$42+T$1)*Setup!$M$42,EDATE(Setup!$G$42,(Setup!$O$42+T$1)*Setup!$N$42))+$A19/1000)))</f>
        <v/>
      </c>
      <c r="U19">
        <f>IF(OR(Setup!$E$42="",Setup!$G$42="",Setup!$F$42=""),"",IF(AND(Setup!$F$42="Once",U$1&gt;0),"",IF(OR(IF(Setup!$M$42&gt;0,Setup!$G$42+(Setup!$O$42+U$1)*Setup!$M$42,EDATE(Setup!$G$42,(Setup!$O$42+U$1)*Setup!$N$42))&gt;Setup!$P$42,IF(Setup!$M$42&gt;0,Setup!$G$42+(Setup!$O$42+U$1)*Setup!$M$42,EDATE(Setup!$G$42,(Setup!$O$42+U$1)*Setup!$N$42))&lt;Setup!$D$5),"",IF(Setup!$M$42&gt;0,Setup!$G$42+(Setup!$O$42+U$1)*Setup!$M$42,EDATE(Setup!$G$42,(Setup!$O$42+U$1)*Setup!$N$42))+$A19/1000)))</f>
        <v/>
      </c>
      <c r="V19">
        <f>IF(OR(Setup!$E$42="",Setup!$G$42="",Setup!$F$42=""),"",IF(AND(Setup!$F$42="Once",V$1&gt;0),"",IF(OR(IF(Setup!$M$42&gt;0,Setup!$G$42+(Setup!$O$42+V$1)*Setup!$M$42,EDATE(Setup!$G$42,(Setup!$O$42+V$1)*Setup!$N$42))&gt;Setup!$P$42,IF(Setup!$M$42&gt;0,Setup!$G$42+(Setup!$O$42+V$1)*Setup!$M$42,EDATE(Setup!$G$42,(Setup!$O$42+V$1)*Setup!$N$42))&lt;Setup!$D$5),"",IF(Setup!$M$42&gt;0,Setup!$G$42+(Setup!$O$42+V$1)*Setup!$M$42,EDATE(Setup!$G$42,(Setup!$O$42+V$1)*Setup!$N$42))+$A19/1000)))</f>
        <v/>
      </c>
      <c r="W19">
        <f>IF(OR(Setup!$E$42="",Setup!$G$42="",Setup!$F$42=""),"",IF(AND(Setup!$F$42="Once",W$1&gt;0),"",IF(OR(IF(Setup!$M$42&gt;0,Setup!$G$42+(Setup!$O$42+W$1)*Setup!$M$42,EDATE(Setup!$G$42,(Setup!$O$42+W$1)*Setup!$N$42))&gt;Setup!$P$42,IF(Setup!$M$42&gt;0,Setup!$G$42+(Setup!$O$42+W$1)*Setup!$M$42,EDATE(Setup!$G$42,(Setup!$O$42+W$1)*Setup!$N$42))&lt;Setup!$D$5),"",IF(Setup!$M$42&gt;0,Setup!$G$42+(Setup!$O$42+W$1)*Setup!$M$42,EDATE(Setup!$G$42,(Setup!$O$42+W$1)*Setup!$N$42))+$A19/1000)))</f>
        <v/>
      </c>
      <c r="X19">
        <f>IF(OR(Setup!$E$42="",Setup!$G$42="",Setup!$F$42=""),"",IF(AND(Setup!$F$42="Once",X$1&gt;0),"",IF(OR(IF(Setup!$M$42&gt;0,Setup!$G$42+(Setup!$O$42+X$1)*Setup!$M$42,EDATE(Setup!$G$42,(Setup!$O$42+X$1)*Setup!$N$42))&gt;Setup!$P$42,IF(Setup!$M$42&gt;0,Setup!$G$42+(Setup!$O$42+X$1)*Setup!$M$42,EDATE(Setup!$G$42,(Setup!$O$42+X$1)*Setup!$N$42))&lt;Setup!$D$5),"",IF(Setup!$M$42&gt;0,Setup!$G$42+(Setup!$O$42+X$1)*Setup!$M$42,EDATE(Setup!$G$42,(Setup!$O$42+X$1)*Setup!$N$42))+$A19/1000)))</f>
        <v/>
      </c>
      <c r="Y19">
        <f>IF(OR(Setup!$E$42="",Setup!$G$42="",Setup!$F$42=""),"",IF(AND(Setup!$F$42="Once",Y$1&gt;0),"",IF(OR(IF(Setup!$M$42&gt;0,Setup!$G$42+(Setup!$O$42+Y$1)*Setup!$M$42,EDATE(Setup!$G$42,(Setup!$O$42+Y$1)*Setup!$N$42))&gt;Setup!$P$42,IF(Setup!$M$42&gt;0,Setup!$G$42+(Setup!$O$42+Y$1)*Setup!$M$42,EDATE(Setup!$G$42,(Setup!$O$42+Y$1)*Setup!$N$42))&lt;Setup!$D$5),"",IF(Setup!$M$42&gt;0,Setup!$G$42+(Setup!$O$42+Y$1)*Setup!$M$42,EDATE(Setup!$G$42,(Setup!$O$42+Y$1)*Setup!$N$42))+$A19/1000)))</f>
        <v/>
      </c>
      <c r="Z19">
        <f>IF(OR(Setup!$E$42="",Setup!$G$42="",Setup!$F$42=""),"",IF(AND(Setup!$F$42="Once",Z$1&gt;0),"",IF(OR(IF(Setup!$M$42&gt;0,Setup!$G$42+(Setup!$O$42+Z$1)*Setup!$M$42,EDATE(Setup!$G$42,(Setup!$O$42+Z$1)*Setup!$N$42))&gt;Setup!$P$42,IF(Setup!$M$42&gt;0,Setup!$G$42+(Setup!$O$42+Z$1)*Setup!$M$42,EDATE(Setup!$G$42,(Setup!$O$42+Z$1)*Setup!$N$42))&lt;Setup!$D$5),"",IF(Setup!$M$42&gt;0,Setup!$G$42+(Setup!$O$42+Z$1)*Setup!$M$42,EDATE(Setup!$G$42,(Setup!$O$42+Z$1)*Setup!$N$42))+$A19/1000)))</f>
        <v/>
      </c>
      <c r="AA19">
        <f>IF(OR(Setup!$E$42="",Setup!$G$42="",Setup!$F$42=""),"",IF(AND(Setup!$F$42="Once",AA$1&gt;0),"",IF(OR(IF(Setup!$M$42&gt;0,Setup!$G$42+(Setup!$O$42+AA$1)*Setup!$M$42,EDATE(Setup!$G$42,(Setup!$O$42+AA$1)*Setup!$N$42))&gt;Setup!$P$42,IF(Setup!$M$42&gt;0,Setup!$G$42+(Setup!$O$42+AA$1)*Setup!$M$42,EDATE(Setup!$G$42,(Setup!$O$42+AA$1)*Setup!$N$42))&lt;Setup!$D$5),"",IF(Setup!$M$42&gt;0,Setup!$G$42+(Setup!$O$42+AA$1)*Setup!$M$42,EDATE(Setup!$G$42,(Setup!$O$42+AA$1)*Setup!$N$42))+$A19/1000)))</f>
        <v/>
      </c>
      <c r="AB19">
        <f>IF(OR(Setup!$E$42="",Setup!$G$42="",Setup!$F$42=""),"",IF(AND(Setup!$F$42="Once",AB$1&gt;0),"",IF(OR(IF(Setup!$M$42&gt;0,Setup!$G$42+(Setup!$O$42+AB$1)*Setup!$M$42,EDATE(Setup!$G$42,(Setup!$O$42+AB$1)*Setup!$N$42))&gt;Setup!$P$42,IF(Setup!$M$42&gt;0,Setup!$G$42+(Setup!$O$42+AB$1)*Setup!$M$42,EDATE(Setup!$G$42,(Setup!$O$42+AB$1)*Setup!$N$42))&lt;Setup!$D$5),"",IF(Setup!$M$42&gt;0,Setup!$G$42+(Setup!$O$42+AB$1)*Setup!$M$42,EDATE(Setup!$G$42,(Setup!$O$42+AB$1)*Setup!$N$42))+$A19/1000)))</f>
        <v/>
      </c>
      <c r="AC19">
        <f>IF(OR(Setup!$E$42="",Setup!$G$42="",Setup!$F$42=""),"",IF(AND(Setup!$F$42="Once",AC$1&gt;0),"",IF(OR(IF(Setup!$M$42&gt;0,Setup!$G$42+(Setup!$O$42+AC$1)*Setup!$M$42,EDATE(Setup!$G$42,(Setup!$O$42+AC$1)*Setup!$N$42))&gt;Setup!$P$42,IF(Setup!$M$42&gt;0,Setup!$G$42+(Setup!$O$42+AC$1)*Setup!$M$42,EDATE(Setup!$G$42,(Setup!$O$42+AC$1)*Setup!$N$42))&lt;Setup!$D$5),"",IF(Setup!$M$42&gt;0,Setup!$G$42+(Setup!$O$42+AC$1)*Setup!$M$42,EDATE(Setup!$G$42,(Setup!$O$42+AC$1)*Setup!$N$42))+$A19/1000)))</f>
        <v/>
      </c>
      <c r="AD19">
        <f>IF(OR(Setup!$E$42="",Setup!$G$42="",Setup!$F$42=""),"",IF(AND(Setup!$F$42="Once",AD$1&gt;0),"",IF(OR(IF(Setup!$M$42&gt;0,Setup!$G$42+(Setup!$O$42+AD$1)*Setup!$M$42,EDATE(Setup!$G$42,(Setup!$O$42+AD$1)*Setup!$N$42))&gt;Setup!$P$42,IF(Setup!$M$42&gt;0,Setup!$G$42+(Setup!$O$42+AD$1)*Setup!$M$42,EDATE(Setup!$G$42,(Setup!$O$42+AD$1)*Setup!$N$42))&lt;Setup!$D$5),"",IF(Setup!$M$42&gt;0,Setup!$G$42+(Setup!$O$42+AD$1)*Setup!$M$42,EDATE(Setup!$G$42,(Setup!$O$42+AD$1)*Setup!$N$42))+$A19/1000)))</f>
        <v/>
      </c>
      <c r="AE19">
        <f>IF(OR(Setup!$E$42="",Setup!$G$42="",Setup!$F$42=""),"",IF(AND(Setup!$F$42="Once",AE$1&gt;0),"",IF(OR(IF(Setup!$M$42&gt;0,Setup!$G$42+(Setup!$O$42+AE$1)*Setup!$M$42,EDATE(Setup!$G$42,(Setup!$O$42+AE$1)*Setup!$N$42))&gt;Setup!$P$42,IF(Setup!$M$42&gt;0,Setup!$G$42+(Setup!$O$42+AE$1)*Setup!$M$42,EDATE(Setup!$G$42,(Setup!$O$42+AE$1)*Setup!$N$42))&lt;Setup!$D$5),"",IF(Setup!$M$42&gt;0,Setup!$G$42+(Setup!$O$42+AE$1)*Setup!$M$42,EDATE(Setup!$G$42,(Setup!$O$42+AE$1)*Setup!$N$42))+$A19/1000)))</f>
        <v/>
      </c>
      <c r="AF19">
        <f>IF(OR(Setup!$E$42="",Setup!$G$42="",Setup!$F$42=""),"",IF(AND(Setup!$F$42="Once",AF$1&gt;0),"",IF(OR(IF(Setup!$M$42&gt;0,Setup!$G$42+(Setup!$O$42+AF$1)*Setup!$M$42,EDATE(Setup!$G$42,(Setup!$O$42+AF$1)*Setup!$N$42))&gt;Setup!$P$42,IF(Setup!$M$42&gt;0,Setup!$G$42+(Setup!$O$42+AF$1)*Setup!$M$42,EDATE(Setup!$G$42,(Setup!$O$42+AF$1)*Setup!$N$42))&lt;Setup!$D$5),"",IF(Setup!$M$42&gt;0,Setup!$G$42+(Setup!$O$42+AF$1)*Setup!$M$42,EDATE(Setup!$G$42,(Setup!$O$42+AF$1)*Setup!$N$42))+$A19/1000)))</f>
        <v/>
      </c>
      <c r="AG19">
        <f>IF(OR(Setup!$E$42="",Setup!$G$42="",Setup!$F$42=""),"",IF(AND(Setup!$F$42="Once",AG$1&gt;0),"",IF(OR(IF(Setup!$M$42&gt;0,Setup!$G$42+(Setup!$O$42+AG$1)*Setup!$M$42,EDATE(Setup!$G$42,(Setup!$O$42+AG$1)*Setup!$N$42))&gt;Setup!$P$42,IF(Setup!$M$42&gt;0,Setup!$G$42+(Setup!$O$42+AG$1)*Setup!$M$42,EDATE(Setup!$G$42,(Setup!$O$42+AG$1)*Setup!$N$42))&lt;Setup!$D$5),"",IF(Setup!$M$42&gt;0,Setup!$G$42+(Setup!$O$42+AG$1)*Setup!$M$42,EDATE(Setup!$G$42,(Setup!$O$42+AG$1)*Setup!$N$42))+$A19/1000)))</f>
        <v/>
      </c>
      <c r="AH19">
        <f>IF(OR(Setup!$E$42="",Setup!$G$42="",Setup!$F$42=""),"",IF(AND(Setup!$F$42="Once",AH$1&gt;0),"",IF(OR(IF(Setup!$M$42&gt;0,Setup!$G$42+(Setup!$O$42+AH$1)*Setup!$M$42,EDATE(Setup!$G$42,(Setup!$O$42+AH$1)*Setup!$N$42))&gt;Setup!$P$42,IF(Setup!$M$42&gt;0,Setup!$G$42+(Setup!$O$42+AH$1)*Setup!$M$42,EDATE(Setup!$G$42,(Setup!$O$42+AH$1)*Setup!$N$42))&lt;Setup!$D$5),"",IF(Setup!$M$42&gt;0,Setup!$G$42+(Setup!$O$42+AH$1)*Setup!$M$42,EDATE(Setup!$G$42,(Setup!$O$42+AH$1)*Setup!$N$42))+$A19/1000)))</f>
        <v/>
      </c>
      <c r="AI19">
        <f>IF(OR(Setup!$E$42="",Setup!$G$42="",Setup!$F$42=""),"",IF(AND(Setup!$F$42="Once",AI$1&gt;0),"",IF(OR(IF(Setup!$M$42&gt;0,Setup!$G$42+(Setup!$O$42+AI$1)*Setup!$M$42,EDATE(Setup!$G$42,(Setup!$O$42+AI$1)*Setup!$N$42))&gt;Setup!$P$42,IF(Setup!$M$42&gt;0,Setup!$G$42+(Setup!$O$42+AI$1)*Setup!$M$42,EDATE(Setup!$G$42,(Setup!$O$42+AI$1)*Setup!$N$42))&lt;Setup!$D$5),"",IF(Setup!$M$42&gt;0,Setup!$G$42+(Setup!$O$42+AI$1)*Setup!$M$42,EDATE(Setup!$G$42,(Setup!$O$42+AI$1)*Setup!$N$42))+$A19/1000)))</f>
        <v/>
      </c>
      <c r="AJ19">
        <f>IF(OR(Setup!$E$42="",Setup!$G$42="",Setup!$F$42=""),"",IF(AND(Setup!$F$42="Once",AJ$1&gt;0),"",IF(OR(IF(Setup!$M$42&gt;0,Setup!$G$42+(Setup!$O$42+AJ$1)*Setup!$M$42,EDATE(Setup!$G$42,(Setup!$O$42+AJ$1)*Setup!$N$42))&gt;Setup!$P$42,IF(Setup!$M$42&gt;0,Setup!$G$42+(Setup!$O$42+AJ$1)*Setup!$M$42,EDATE(Setup!$G$42,(Setup!$O$42+AJ$1)*Setup!$N$42))&lt;Setup!$D$5),"",IF(Setup!$M$42&gt;0,Setup!$G$42+(Setup!$O$42+AJ$1)*Setup!$M$42,EDATE(Setup!$G$42,(Setup!$O$42+AJ$1)*Setup!$N$42))+$A19/1000)))</f>
        <v/>
      </c>
      <c r="AK19">
        <f>IF(OR(Setup!$E$42="",Setup!$G$42="",Setup!$F$42=""),"",IF(AND(Setup!$F$42="Once",AK$1&gt;0),"",IF(OR(IF(Setup!$M$42&gt;0,Setup!$G$42+(Setup!$O$42+AK$1)*Setup!$M$42,EDATE(Setup!$G$42,(Setup!$O$42+AK$1)*Setup!$N$42))&gt;Setup!$P$42,IF(Setup!$M$42&gt;0,Setup!$G$42+(Setup!$O$42+AK$1)*Setup!$M$42,EDATE(Setup!$G$42,(Setup!$O$42+AK$1)*Setup!$N$42))&lt;Setup!$D$5),"",IF(Setup!$M$42&gt;0,Setup!$G$42+(Setup!$O$42+AK$1)*Setup!$M$42,EDATE(Setup!$G$42,(Setup!$O$42+AK$1)*Setup!$N$42))+$A19/1000)))</f>
        <v/>
      </c>
      <c r="AL19">
        <f>IF(OR(Setup!$E$42="",Setup!$G$42="",Setup!$F$42=""),"",IF(AND(Setup!$F$42="Once",AL$1&gt;0),"",IF(OR(IF(Setup!$M$42&gt;0,Setup!$G$42+(Setup!$O$42+AL$1)*Setup!$M$42,EDATE(Setup!$G$42,(Setup!$O$42+AL$1)*Setup!$N$42))&gt;Setup!$P$42,IF(Setup!$M$42&gt;0,Setup!$G$42+(Setup!$O$42+AL$1)*Setup!$M$42,EDATE(Setup!$G$42,(Setup!$O$42+AL$1)*Setup!$N$42))&lt;Setup!$D$5),"",IF(Setup!$M$42&gt;0,Setup!$G$42+(Setup!$O$42+AL$1)*Setup!$M$42,EDATE(Setup!$G$42,(Setup!$O$42+AL$1)*Setup!$N$42))+$A19/1000)))</f>
        <v/>
      </c>
      <c r="AM19">
        <f>IF(OR(Setup!$E$42="",Setup!$G$42="",Setup!$F$42=""),"",IF(AND(Setup!$F$42="Once",AM$1&gt;0),"",IF(OR(IF(Setup!$M$42&gt;0,Setup!$G$42+(Setup!$O$42+AM$1)*Setup!$M$42,EDATE(Setup!$G$42,(Setup!$O$42+AM$1)*Setup!$N$42))&gt;Setup!$P$42,IF(Setup!$M$42&gt;0,Setup!$G$42+(Setup!$O$42+AM$1)*Setup!$M$42,EDATE(Setup!$G$42,(Setup!$O$42+AM$1)*Setup!$N$42))&lt;Setup!$D$5),"",IF(Setup!$M$42&gt;0,Setup!$G$42+(Setup!$O$42+AM$1)*Setup!$M$42,EDATE(Setup!$G$42,(Setup!$O$42+AM$1)*Setup!$N$42))+$A19/1000)))</f>
        <v/>
      </c>
      <c r="AN19">
        <f>IF(OR(Setup!$E$42="",Setup!$G$42="",Setup!$F$42=""),"",IF(AND(Setup!$F$42="Once",AN$1&gt;0),"",IF(OR(IF(Setup!$M$42&gt;0,Setup!$G$42+(Setup!$O$42+AN$1)*Setup!$M$42,EDATE(Setup!$G$42,(Setup!$O$42+AN$1)*Setup!$N$42))&gt;Setup!$P$42,IF(Setup!$M$42&gt;0,Setup!$G$42+(Setup!$O$42+AN$1)*Setup!$M$42,EDATE(Setup!$G$42,(Setup!$O$42+AN$1)*Setup!$N$42))&lt;Setup!$D$5),"",IF(Setup!$M$42&gt;0,Setup!$G$42+(Setup!$O$42+AN$1)*Setup!$M$42,EDATE(Setup!$G$42,(Setup!$O$42+AN$1)*Setup!$N$42))+$A19/1000)))</f>
        <v/>
      </c>
      <c r="AO19">
        <f>IF(OR(Setup!$E$42="",Setup!$G$42="",Setup!$F$42=""),"",IF(AND(Setup!$F$42="Once",AO$1&gt;0),"",IF(OR(IF(Setup!$M$42&gt;0,Setup!$G$42+(Setup!$O$42+AO$1)*Setup!$M$42,EDATE(Setup!$G$42,(Setup!$O$42+AO$1)*Setup!$N$42))&gt;Setup!$P$42,IF(Setup!$M$42&gt;0,Setup!$G$42+(Setup!$O$42+AO$1)*Setup!$M$42,EDATE(Setup!$G$42,(Setup!$O$42+AO$1)*Setup!$N$42))&lt;Setup!$D$5),"",IF(Setup!$M$42&gt;0,Setup!$G$42+(Setup!$O$42+AO$1)*Setup!$M$42,EDATE(Setup!$G$42,(Setup!$O$42+AO$1)*Setup!$N$42))+$A19/1000)))</f>
        <v/>
      </c>
      <c r="AP19">
        <f>IF(OR(Setup!$E$42="",Setup!$G$42="",Setup!$F$42=""),"",IF(AND(Setup!$F$42="Once",AP$1&gt;0),"",IF(OR(IF(Setup!$M$42&gt;0,Setup!$G$42+(Setup!$O$42+AP$1)*Setup!$M$42,EDATE(Setup!$G$42,(Setup!$O$42+AP$1)*Setup!$N$42))&gt;Setup!$P$42,IF(Setup!$M$42&gt;0,Setup!$G$42+(Setup!$O$42+AP$1)*Setup!$M$42,EDATE(Setup!$G$42,(Setup!$O$42+AP$1)*Setup!$N$42))&lt;Setup!$D$5),"",IF(Setup!$M$42&gt;0,Setup!$G$42+(Setup!$O$42+AP$1)*Setup!$M$42,EDATE(Setup!$G$42,(Setup!$O$42+AP$1)*Setup!$N$42))+$A19/1000)))</f>
        <v/>
      </c>
      <c r="AQ19">
        <f>IF(OR(Setup!$E$42="",Setup!$G$42="",Setup!$F$42=""),"",IF(AND(Setup!$F$42="Once",AQ$1&gt;0),"",IF(OR(IF(Setup!$M$42&gt;0,Setup!$G$42+(Setup!$O$42+AQ$1)*Setup!$M$42,EDATE(Setup!$G$42,(Setup!$O$42+AQ$1)*Setup!$N$42))&gt;Setup!$P$42,IF(Setup!$M$42&gt;0,Setup!$G$42+(Setup!$O$42+AQ$1)*Setup!$M$42,EDATE(Setup!$G$42,(Setup!$O$42+AQ$1)*Setup!$N$42))&lt;Setup!$D$5),"",IF(Setup!$M$42&gt;0,Setup!$G$42+(Setup!$O$42+AQ$1)*Setup!$M$42,EDATE(Setup!$G$42,(Setup!$O$42+AQ$1)*Setup!$N$42))+$A19/1000)))</f>
        <v/>
      </c>
      <c r="AR19">
        <f>IF(OR(Setup!$E$42="",Setup!$G$42="",Setup!$F$42=""),"",IF(AND(Setup!$F$42="Once",AR$1&gt;0),"",IF(OR(IF(Setup!$M$42&gt;0,Setup!$G$42+(Setup!$O$42+AR$1)*Setup!$M$42,EDATE(Setup!$G$42,(Setup!$O$42+AR$1)*Setup!$N$42))&gt;Setup!$P$42,IF(Setup!$M$42&gt;0,Setup!$G$42+(Setup!$O$42+AR$1)*Setup!$M$42,EDATE(Setup!$G$42,(Setup!$O$42+AR$1)*Setup!$N$42))&lt;Setup!$D$5),"",IF(Setup!$M$42&gt;0,Setup!$G$42+(Setup!$O$42+AR$1)*Setup!$M$42,EDATE(Setup!$G$42,(Setup!$O$42+AR$1)*Setup!$N$42))+$A19/1000)))</f>
        <v/>
      </c>
      <c r="AS19">
        <f>IF(OR(Setup!$E$42="",Setup!$G$42="",Setup!$F$42=""),"",IF(AND(Setup!$F$42="Once",AS$1&gt;0),"",IF(OR(IF(Setup!$M$42&gt;0,Setup!$G$42+(Setup!$O$42+AS$1)*Setup!$M$42,EDATE(Setup!$G$42,(Setup!$O$42+AS$1)*Setup!$N$42))&gt;Setup!$P$42,IF(Setup!$M$42&gt;0,Setup!$G$42+(Setup!$O$42+AS$1)*Setup!$M$42,EDATE(Setup!$G$42,(Setup!$O$42+AS$1)*Setup!$N$42))&lt;Setup!$D$5),"",IF(Setup!$M$42&gt;0,Setup!$G$42+(Setup!$O$42+AS$1)*Setup!$M$42,EDATE(Setup!$G$42,(Setup!$O$42+AS$1)*Setup!$N$42))+$A19/1000)))</f>
        <v/>
      </c>
      <c r="AT19">
        <f>IF(OR(Setup!$E$42="",Setup!$G$42="",Setup!$F$42=""),"",IF(AND(Setup!$F$42="Once",AT$1&gt;0),"",IF(OR(IF(Setup!$M$42&gt;0,Setup!$G$42+(Setup!$O$42+AT$1)*Setup!$M$42,EDATE(Setup!$G$42,(Setup!$O$42+AT$1)*Setup!$N$42))&gt;Setup!$P$42,IF(Setup!$M$42&gt;0,Setup!$G$42+(Setup!$O$42+AT$1)*Setup!$M$42,EDATE(Setup!$G$42,(Setup!$O$42+AT$1)*Setup!$N$42))&lt;Setup!$D$5),"",IF(Setup!$M$42&gt;0,Setup!$G$42+(Setup!$O$42+AT$1)*Setup!$M$42,EDATE(Setup!$G$42,(Setup!$O$42+AT$1)*Setup!$N$42))+$A19/1000)))</f>
        <v/>
      </c>
      <c r="AU19">
        <f>IF(OR(Setup!$E$42="",Setup!$G$42="",Setup!$F$42=""),"",IF(AND(Setup!$F$42="Once",AU$1&gt;0),"",IF(OR(IF(Setup!$M$42&gt;0,Setup!$G$42+(Setup!$O$42+AU$1)*Setup!$M$42,EDATE(Setup!$G$42,(Setup!$O$42+AU$1)*Setup!$N$42))&gt;Setup!$P$42,IF(Setup!$M$42&gt;0,Setup!$G$42+(Setup!$O$42+AU$1)*Setup!$M$42,EDATE(Setup!$G$42,(Setup!$O$42+AU$1)*Setup!$N$42))&lt;Setup!$D$5),"",IF(Setup!$M$42&gt;0,Setup!$G$42+(Setup!$O$42+AU$1)*Setup!$M$42,EDATE(Setup!$G$42,(Setup!$O$42+AU$1)*Setup!$N$42))+$A19/1000)))</f>
        <v/>
      </c>
      <c r="AV19">
        <f>IF(OR(Setup!$E$42="",Setup!$G$42="",Setup!$F$42=""),"",IF(AND(Setup!$F$42="Once",AV$1&gt;0),"",IF(OR(IF(Setup!$M$42&gt;0,Setup!$G$42+(Setup!$O$42+AV$1)*Setup!$M$42,EDATE(Setup!$G$42,(Setup!$O$42+AV$1)*Setup!$N$42))&gt;Setup!$P$42,IF(Setup!$M$42&gt;0,Setup!$G$42+(Setup!$O$42+AV$1)*Setup!$M$42,EDATE(Setup!$G$42,(Setup!$O$42+AV$1)*Setup!$N$42))&lt;Setup!$D$5),"",IF(Setup!$M$42&gt;0,Setup!$G$42+(Setup!$O$42+AV$1)*Setup!$M$42,EDATE(Setup!$G$42,(Setup!$O$42+AV$1)*Setup!$N$42))+$A19/1000)))</f>
        <v/>
      </c>
      <c r="AW19">
        <f>IF(OR(Setup!$E$42="",Setup!$G$42="",Setup!$F$42=""),"",IF(AND(Setup!$F$42="Once",AW$1&gt;0),"",IF(OR(IF(Setup!$M$42&gt;0,Setup!$G$42+(Setup!$O$42+AW$1)*Setup!$M$42,EDATE(Setup!$G$42,(Setup!$O$42+AW$1)*Setup!$N$42))&gt;Setup!$P$42,IF(Setup!$M$42&gt;0,Setup!$G$42+(Setup!$O$42+AW$1)*Setup!$M$42,EDATE(Setup!$G$42,(Setup!$O$42+AW$1)*Setup!$N$42))&lt;Setup!$D$5),"",IF(Setup!$M$42&gt;0,Setup!$G$42+(Setup!$O$42+AW$1)*Setup!$M$42,EDATE(Setup!$G$42,(Setup!$O$42+AW$1)*Setup!$N$42))+$A19/1000)))</f>
        <v/>
      </c>
      <c r="AX19">
        <f>IF(OR(Setup!$E$42="",Setup!$G$42="",Setup!$F$42=""),"",IF(AND(Setup!$F$42="Once",AX$1&gt;0),"",IF(OR(IF(Setup!$M$42&gt;0,Setup!$G$42+(Setup!$O$42+AX$1)*Setup!$M$42,EDATE(Setup!$G$42,(Setup!$O$42+AX$1)*Setup!$N$42))&gt;Setup!$P$42,IF(Setup!$M$42&gt;0,Setup!$G$42+(Setup!$O$42+AX$1)*Setup!$M$42,EDATE(Setup!$G$42,(Setup!$O$42+AX$1)*Setup!$N$42))&lt;Setup!$D$5),"",IF(Setup!$M$42&gt;0,Setup!$G$42+(Setup!$O$42+AX$1)*Setup!$M$42,EDATE(Setup!$G$42,(Setup!$O$42+AX$1)*Setup!$N$42))+$A19/1000)))</f>
        <v/>
      </c>
      <c r="AY19">
        <f>IF(OR(Setup!$E$42="",Setup!$G$42="",Setup!$F$42=""),"",IF(AND(Setup!$F$42="Once",AY$1&gt;0),"",IF(OR(IF(Setup!$M$42&gt;0,Setup!$G$42+(Setup!$O$42+AY$1)*Setup!$M$42,EDATE(Setup!$G$42,(Setup!$O$42+AY$1)*Setup!$N$42))&gt;Setup!$P$42,IF(Setup!$M$42&gt;0,Setup!$G$42+(Setup!$O$42+AY$1)*Setup!$M$42,EDATE(Setup!$G$42,(Setup!$O$42+AY$1)*Setup!$N$42))&lt;Setup!$D$5),"",IF(Setup!$M$42&gt;0,Setup!$G$42+(Setup!$O$42+AY$1)*Setup!$M$42,EDATE(Setup!$G$42,(Setup!$O$42+AY$1)*Setup!$N$42))+$A19/1000)))</f>
        <v/>
      </c>
      <c r="AZ19">
        <f>IF(OR(Setup!$E$42="",Setup!$G$42="",Setup!$F$42=""),"",IF(AND(Setup!$F$42="Once",AZ$1&gt;0),"",IF(OR(IF(Setup!$M$42&gt;0,Setup!$G$42+(Setup!$O$42+AZ$1)*Setup!$M$42,EDATE(Setup!$G$42,(Setup!$O$42+AZ$1)*Setup!$N$42))&gt;Setup!$P$42,IF(Setup!$M$42&gt;0,Setup!$G$42+(Setup!$O$42+AZ$1)*Setup!$M$42,EDATE(Setup!$G$42,(Setup!$O$42+AZ$1)*Setup!$N$42))&lt;Setup!$D$5),"",IF(Setup!$M$42&gt;0,Setup!$G$42+(Setup!$O$42+AZ$1)*Setup!$M$42,EDATE(Setup!$G$42,(Setup!$O$42+AZ$1)*Setup!$N$42))+$A19/1000)))</f>
        <v/>
      </c>
      <c r="BA19">
        <f>IF(OR(Setup!$E$42="",Setup!$G$42="",Setup!$F$42=""),"",IF(AND(Setup!$F$42="Once",BA$1&gt;0),"",IF(OR(IF(Setup!$M$42&gt;0,Setup!$G$42+(Setup!$O$42+BA$1)*Setup!$M$42,EDATE(Setup!$G$42,(Setup!$O$42+BA$1)*Setup!$N$42))&gt;Setup!$P$42,IF(Setup!$M$42&gt;0,Setup!$G$42+(Setup!$O$42+BA$1)*Setup!$M$42,EDATE(Setup!$G$42,(Setup!$O$42+BA$1)*Setup!$N$42))&lt;Setup!$D$5),"",IF(Setup!$M$42&gt;0,Setup!$G$42+(Setup!$O$42+BA$1)*Setup!$M$42,EDATE(Setup!$G$42,(Setup!$O$42+BA$1)*Setup!$N$42))+$A19/1000)))</f>
        <v/>
      </c>
      <c r="BB19">
        <f>IF(OR(Setup!$E$42="",Setup!$G$42="",Setup!$F$42=""),"",IF(AND(Setup!$F$42="Once",BB$1&gt;0),"",IF(OR(IF(Setup!$M$42&gt;0,Setup!$G$42+(Setup!$O$42+BB$1)*Setup!$M$42,EDATE(Setup!$G$42,(Setup!$O$42+BB$1)*Setup!$N$42))&gt;Setup!$P$42,IF(Setup!$M$42&gt;0,Setup!$G$42+(Setup!$O$42+BB$1)*Setup!$M$42,EDATE(Setup!$G$42,(Setup!$O$42+BB$1)*Setup!$N$42))&lt;Setup!$D$5),"",IF(Setup!$M$42&gt;0,Setup!$G$42+(Setup!$O$42+BB$1)*Setup!$M$42,EDATE(Setup!$G$42,(Setup!$O$42+BB$1)*Setup!$N$42))+$A19/1000)))</f>
        <v/>
      </c>
    </row>
    <row r="20">
      <c r="A20" t="n">
        <v>19</v>
      </c>
      <c r="B20">
        <f>IF(OR(Setup!$E$43="",Setup!$G$43="",Setup!$F$43=""),"",IF(AND(Setup!$F$43="Once",B$1&gt;0),"",IF(OR(IF(Setup!$M$43&gt;0,Setup!$G$43+(Setup!$O$43+B$1)*Setup!$M$43,EDATE(Setup!$G$43,(Setup!$O$43+B$1)*Setup!$N$43))&gt;Setup!$P$43,IF(Setup!$M$43&gt;0,Setup!$G$43+(Setup!$O$43+B$1)*Setup!$M$43,EDATE(Setup!$G$43,(Setup!$O$43+B$1)*Setup!$N$43))&lt;Setup!$D$5),"",IF(Setup!$M$43&gt;0,Setup!$G$43+(Setup!$O$43+B$1)*Setup!$M$43,EDATE(Setup!$G$43,(Setup!$O$43+B$1)*Setup!$N$43))+$A20/1000)))</f>
        <v/>
      </c>
      <c r="C20">
        <f>IF(OR(Setup!$E$43="",Setup!$G$43="",Setup!$F$43=""),"",IF(AND(Setup!$F$43="Once",C$1&gt;0),"",IF(OR(IF(Setup!$M$43&gt;0,Setup!$G$43+(Setup!$O$43+C$1)*Setup!$M$43,EDATE(Setup!$G$43,(Setup!$O$43+C$1)*Setup!$N$43))&gt;Setup!$P$43,IF(Setup!$M$43&gt;0,Setup!$G$43+(Setup!$O$43+C$1)*Setup!$M$43,EDATE(Setup!$G$43,(Setup!$O$43+C$1)*Setup!$N$43))&lt;Setup!$D$5),"",IF(Setup!$M$43&gt;0,Setup!$G$43+(Setup!$O$43+C$1)*Setup!$M$43,EDATE(Setup!$G$43,(Setup!$O$43+C$1)*Setup!$N$43))+$A20/1000)))</f>
        <v/>
      </c>
      <c r="D20">
        <f>IF(OR(Setup!$E$43="",Setup!$G$43="",Setup!$F$43=""),"",IF(AND(Setup!$F$43="Once",D$1&gt;0),"",IF(OR(IF(Setup!$M$43&gt;0,Setup!$G$43+(Setup!$O$43+D$1)*Setup!$M$43,EDATE(Setup!$G$43,(Setup!$O$43+D$1)*Setup!$N$43))&gt;Setup!$P$43,IF(Setup!$M$43&gt;0,Setup!$G$43+(Setup!$O$43+D$1)*Setup!$M$43,EDATE(Setup!$G$43,(Setup!$O$43+D$1)*Setup!$N$43))&lt;Setup!$D$5),"",IF(Setup!$M$43&gt;0,Setup!$G$43+(Setup!$O$43+D$1)*Setup!$M$43,EDATE(Setup!$G$43,(Setup!$O$43+D$1)*Setup!$N$43))+$A20/1000)))</f>
        <v/>
      </c>
      <c r="E20">
        <f>IF(OR(Setup!$E$43="",Setup!$G$43="",Setup!$F$43=""),"",IF(AND(Setup!$F$43="Once",E$1&gt;0),"",IF(OR(IF(Setup!$M$43&gt;0,Setup!$G$43+(Setup!$O$43+E$1)*Setup!$M$43,EDATE(Setup!$G$43,(Setup!$O$43+E$1)*Setup!$N$43))&gt;Setup!$P$43,IF(Setup!$M$43&gt;0,Setup!$G$43+(Setup!$O$43+E$1)*Setup!$M$43,EDATE(Setup!$G$43,(Setup!$O$43+E$1)*Setup!$N$43))&lt;Setup!$D$5),"",IF(Setup!$M$43&gt;0,Setup!$G$43+(Setup!$O$43+E$1)*Setup!$M$43,EDATE(Setup!$G$43,(Setup!$O$43+E$1)*Setup!$N$43))+$A20/1000)))</f>
        <v/>
      </c>
      <c r="F20">
        <f>IF(OR(Setup!$E$43="",Setup!$G$43="",Setup!$F$43=""),"",IF(AND(Setup!$F$43="Once",F$1&gt;0),"",IF(OR(IF(Setup!$M$43&gt;0,Setup!$G$43+(Setup!$O$43+F$1)*Setup!$M$43,EDATE(Setup!$G$43,(Setup!$O$43+F$1)*Setup!$N$43))&gt;Setup!$P$43,IF(Setup!$M$43&gt;0,Setup!$G$43+(Setup!$O$43+F$1)*Setup!$M$43,EDATE(Setup!$G$43,(Setup!$O$43+F$1)*Setup!$N$43))&lt;Setup!$D$5),"",IF(Setup!$M$43&gt;0,Setup!$G$43+(Setup!$O$43+F$1)*Setup!$M$43,EDATE(Setup!$G$43,(Setup!$O$43+F$1)*Setup!$N$43))+$A20/1000)))</f>
        <v/>
      </c>
      <c r="G20">
        <f>IF(OR(Setup!$E$43="",Setup!$G$43="",Setup!$F$43=""),"",IF(AND(Setup!$F$43="Once",G$1&gt;0),"",IF(OR(IF(Setup!$M$43&gt;0,Setup!$G$43+(Setup!$O$43+G$1)*Setup!$M$43,EDATE(Setup!$G$43,(Setup!$O$43+G$1)*Setup!$N$43))&gt;Setup!$P$43,IF(Setup!$M$43&gt;0,Setup!$G$43+(Setup!$O$43+G$1)*Setup!$M$43,EDATE(Setup!$G$43,(Setup!$O$43+G$1)*Setup!$N$43))&lt;Setup!$D$5),"",IF(Setup!$M$43&gt;0,Setup!$G$43+(Setup!$O$43+G$1)*Setup!$M$43,EDATE(Setup!$G$43,(Setup!$O$43+G$1)*Setup!$N$43))+$A20/1000)))</f>
        <v/>
      </c>
      <c r="H20">
        <f>IF(OR(Setup!$E$43="",Setup!$G$43="",Setup!$F$43=""),"",IF(AND(Setup!$F$43="Once",H$1&gt;0),"",IF(OR(IF(Setup!$M$43&gt;0,Setup!$G$43+(Setup!$O$43+H$1)*Setup!$M$43,EDATE(Setup!$G$43,(Setup!$O$43+H$1)*Setup!$N$43))&gt;Setup!$P$43,IF(Setup!$M$43&gt;0,Setup!$G$43+(Setup!$O$43+H$1)*Setup!$M$43,EDATE(Setup!$G$43,(Setup!$O$43+H$1)*Setup!$N$43))&lt;Setup!$D$5),"",IF(Setup!$M$43&gt;0,Setup!$G$43+(Setup!$O$43+H$1)*Setup!$M$43,EDATE(Setup!$G$43,(Setup!$O$43+H$1)*Setup!$N$43))+$A20/1000)))</f>
        <v/>
      </c>
      <c r="I20">
        <f>IF(OR(Setup!$E$43="",Setup!$G$43="",Setup!$F$43=""),"",IF(AND(Setup!$F$43="Once",I$1&gt;0),"",IF(OR(IF(Setup!$M$43&gt;0,Setup!$G$43+(Setup!$O$43+I$1)*Setup!$M$43,EDATE(Setup!$G$43,(Setup!$O$43+I$1)*Setup!$N$43))&gt;Setup!$P$43,IF(Setup!$M$43&gt;0,Setup!$G$43+(Setup!$O$43+I$1)*Setup!$M$43,EDATE(Setup!$G$43,(Setup!$O$43+I$1)*Setup!$N$43))&lt;Setup!$D$5),"",IF(Setup!$M$43&gt;0,Setup!$G$43+(Setup!$O$43+I$1)*Setup!$M$43,EDATE(Setup!$G$43,(Setup!$O$43+I$1)*Setup!$N$43))+$A20/1000)))</f>
        <v/>
      </c>
      <c r="J20">
        <f>IF(OR(Setup!$E$43="",Setup!$G$43="",Setup!$F$43=""),"",IF(AND(Setup!$F$43="Once",J$1&gt;0),"",IF(OR(IF(Setup!$M$43&gt;0,Setup!$G$43+(Setup!$O$43+J$1)*Setup!$M$43,EDATE(Setup!$G$43,(Setup!$O$43+J$1)*Setup!$N$43))&gt;Setup!$P$43,IF(Setup!$M$43&gt;0,Setup!$G$43+(Setup!$O$43+J$1)*Setup!$M$43,EDATE(Setup!$G$43,(Setup!$O$43+J$1)*Setup!$N$43))&lt;Setup!$D$5),"",IF(Setup!$M$43&gt;0,Setup!$G$43+(Setup!$O$43+J$1)*Setup!$M$43,EDATE(Setup!$G$43,(Setup!$O$43+J$1)*Setup!$N$43))+$A20/1000)))</f>
        <v/>
      </c>
      <c r="K20">
        <f>IF(OR(Setup!$E$43="",Setup!$G$43="",Setup!$F$43=""),"",IF(AND(Setup!$F$43="Once",K$1&gt;0),"",IF(OR(IF(Setup!$M$43&gt;0,Setup!$G$43+(Setup!$O$43+K$1)*Setup!$M$43,EDATE(Setup!$G$43,(Setup!$O$43+K$1)*Setup!$N$43))&gt;Setup!$P$43,IF(Setup!$M$43&gt;0,Setup!$G$43+(Setup!$O$43+K$1)*Setup!$M$43,EDATE(Setup!$G$43,(Setup!$O$43+K$1)*Setup!$N$43))&lt;Setup!$D$5),"",IF(Setup!$M$43&gt;0,Setup!$G$43+(Setup!$O$43+K$1)*Setup!$M$43,EDATE(Setup!$G$43,(Setup!$O$43+K$1)*Setup!$N$43))+$A20/1000)))</f>
        <v/>
      </c>
      <c r="L20">
        <f>IF(OR(Setup!$E$43="",Setup!$G$43="",Setup!$F$43=""),"",IF(AND(Setup!$F$43="Once",L$1&gt;0),"",IF(OR(IF(Setup!$M$43&gt;0,Setup!$G$43+(Setup!$O$43+L$1)*Setup!$M$43,EDATE(Setup!$G$43,(Setup!$O$43+L$1)*Setup!$N$43))&gt;Setup!$P$43,IF(Setup!$M$43&gt;0,Setup!$G$43+(Setup!$O$43+L$1)*Setup!$M$43,EDATE(Setup!$G$43,(Setup!$O$43+L$1)*Setup!$N$43))&lt;Setup!$D$5),"",IF(Setup!$M$43&gt;0,Setup!$G$43+(Setup!$O$43+L$1)*Setup!$M$43,EDATE(Setup!$G$43,(Setup!$O$43+L$1)*Setup!$N$43))+$A20/1000)))</f>
        <v/>
      </c>
      <c r="M20">
        <f>IF(OR(Setup!$E$43="",Setup!$G$43="",Setup!$F$43=""),"",IF(AND(Setup!$F$43="Once",M$1&gt;0),"",IF(OR(IF(Setup!$M$43&gt;0,Setup!$G$43+(Setup!$O$43+M$1)*Setup!$M$43,EDATE(Setup!$G$43,(Setup!$O$43+M$1)*Setup!$N$43))&gt;Setup!$P$43,IF(Setup!$M$43&gt;0,Setup!$G$43+(Setup!$O$43+M$1)*Setup!$M$43,EDATE(Setup!$G$43,(Setup!$O$43+M$1)*Setup!$N$43))&lt;Setup!$D$5),"",IF(Setup!$M$43&gt;0,Setup!$G$43+(Setup!$O$43+M$1)*Setup!$M$43,EDATE(Setup!$G$43,(Setup!$O$43+M$1)*Setup!$N$43))+$A20/1000)))</f>
        <v/>
      </c>
      <c r="N20">
        <f>IF(OR(Setup!$E$43="",Setup!$G$43="",Setup!$F$43=""),"",IF(AND(Setup!$F$43="Once",N$1&gt;0),"",IF(OR(IF(Setup!$M$43&gt;0,Setup!$G$43+(Setup!$O$43+N$1)*Setup!$M$43,EDATE(Setup!$G$43,(Setup!$O$43+N$1)*Setup!$N$43))&gt;Setup!$P$43,IF(Setup!$M$43&gt;0,Setup!$G$43+(Setup!$O$43+N$1)*Setup!$M$43,EDATE(Setup!$G$43,(Setup!$O$43+N$1)*Setup!$N$43))&lt;Setup!$D$5),"",IF(Setup!$M$43&gt;0,Setup!$G$43+(Setup!$O$43+N$1)*Setup!$M$43,EDATE(Setup!$G$43,(Setup!$O$43+N$1)*Setup!$N$43))+$A20/1000)))</f>
        <v/>
      </c>
      <c r="O20">
        <f>IF(OR(Setup!$E$43="",Setup!$G$43="",Setup!$F$43=""),"",IF(AND(Setup!$F$43="Once",O$1&gt;0),"",IF(OR(IF(Setup!$M$43&gt;0,Setup!$G$43+(Setup!$O$43+O$1)*Setup!$M$43,EDATE(Setup!$G$43,(Setup!$O$43+O$1)*Setup!$N$43))&gt;Setup!$P$43,IF(Setup!$M$43&gt;0,Setup!$G$43+(Setup!$O$43+O$1)*Setup!$M$43,EDATE(Setup!$G$43,(Setup!$O$43+O$1)*Setup!$N$43))&lt;Setup!$D$5),"",IF(Setup!$M$43&gt;0,Setup!$G$43+(Setup!$O$43+O$1)*Setup!$M$43,EDATE(Setup!$G$43,(Setup!$O$43+O$1)*Setup!$N$43))+$A20/1000)))</f>
        <v/>
      </c>
      <c r="P20">
        <f>IF(OR(Setup!$E$43="",Setup!$G$43="",Setup!$F$43=""),"",IF(AND(Setup!$F$43="Once",P$1&gt;0),"",IF(OR(IF(Setup!$M$43&gt;0,Setup!$G$43+(Setup!$O$43+P$1)*Setup!$M$43,EDATE(Setup!$G$43,(Setup!$O$43+P$1)*Setup!$N$43))&gt;Setup!$P$43,IF(Setup!$M$43&gt;0,Setup!$G$43+(Setup!$O$43+P$1)*Setup!$M$43,EDATE(Setup!$G$43,(Setup!$O$43+P$1)*Setup!$N$43))&lt;Setup!$D$5),"",IF(Setup!$M$43&gt;0,Setup!$G$43+(Setup!$O$43+P$1)*Setup!$M$43,EDATE(Setup!$G$43,(Setup!$O$43+P$1)*Setup!$N$43))+$A20/1000)))</f>
        <v/>
      </c>
      <c r="Q20">
        <f>IF(OR(Setup!$E$43="",Setup!$G$43="",Setup!$F$43=""),"",IF(AND(Setup!$F$43="Once",Q$1&gt;0),"",IF(OR(IF(Setup!$M$43&gt;0,Setup!$G$43+(Setup!$O$43+Q$1)*Setup!$M$43,EDATE(Setup!$G$43,(Setup!$O$43+Q$1)*Setup!$N$43))&gt;Setup!$P$43,IF(Setup!$M$43&gt;0,Setup!$G$43+(Setup!$O$43+Q$1)*Setup!$M$43,EDATE(Setup!$G$43,(Setup!$O$43+Q$1)*Setup!$N$43))&lt;Setup!$D$5),"",IF(Setup!$M$43&gt;0,Setup!$G$43+(Setup!$O$43+Q$1)*Setup!$M$43,EDATE(Setup!$G$43,(Setup!$O$43+Q$1)*Setup!$N$43))+$A20/1000)))</f>
        <v/>
      </c>
      <c r="R20">
        <f>IF(OR(Setup!$E$43="",Setup!$G$43="",Setup!$F$43=""),"",IF(AND(Setup!$F$43="Once",R$1&gt;0),"",IF(OR(IF(Setup!$M$43&gt;0,Setup!$G$43+(Setup!$O$43+R$1)*Setup!$M$43,EDATE(Setup!$G$43,(Setup!$O$43+R$1)*Setup!$N$43))&gt;Setup!$P$43,IF(Setup!$M$43&gt;0,Setup!$G$43+(Setup!$O$43+R$1)*Setup!$M$43,EDATE(Setup!$G$43,(Setup!$O$43+R$1)*Setup!$N$43))&lt;Setup!$D$5),"",IF(Setup!$M$43&gt;0,Setup!$G$43+(Setup!$O$43+R$1)*Setup!$M$43,EDATE(Setup!$G$43,(Setup!$O$43+R$1)*Setup!$N$43))+$A20/1000)))</f>
        <v/>
      </c>
      <c r="S20">
        <f>IF(OR(Setup!$E$43="",Setup!$G$43="",Setup!$F$43=""),"",IF(AND(Setup!$F$43="Once",S$1&gt;0),"",IF(OR(IF(Setup!$M$43&gt;0,Setup!$G$43+(Setup!$O$43+S$1)*Setup!$M$43,EDATE(Setup!$G$43,(Setup!$O$43+S$1)*Setup!$N$43))&gt;Setup!$P$43,IF(Setup!$M$43&gt;0,Setup!$G$43+(Setup!$O$43+S$1)*Setup!$M$43,EDATE(Setup!$G$43,(Setup!$O$43+S$1)*Setup!$N$43))&lt;Setup!$D$5),"",IF(Setup!$M$43&gt;0,Setup!$G$43+(Setup!$O$43+S$1)*Setup!$M$43,EDATE(Setup!$G$43,(Setup!$O$43+S$1)*Setup!$N$43))+$A20/1000)))</f>
        <v/>
      </c>
      <c r="T20">
        <f>IF(OR(Setup!$E$43="",Setup!$G$43="",Setup!$F$43=""),"",IF(AND(Setup!$F$43="Once",T$1&gt;0),"",IF(OR(IF(Setup!$M$43&gt;0,Setup!$G$43+(Setup!$O$43+T$1)*Setup!$M$43,EDATE(Setup!$G$43,(Setup!$O$43+T$1)*Setup!$N$43))&gt;Setup!$P$43,IF(Setup!$M$43&gt;0,Setup!$G$43+(Setup!$O$43+T$1)*Setup!$M$43,EDATE(Setup!$G$43,(Setup!$O$43+T$1)*Setup!$N$43))&lt;Setup!$D$5),"",IF(Setup!$M$43&gt;0,Setup!$G$43+(Setup!$O$43+T$1)*Setup!$M$43,EDATE(Setup!$G$43,(Setup!$O$43+T$1)*Setup!$N$43))+$A20/1000)))</f>
        <v/>
      </c>
      <c r="U20">
        <f>IF(OR(Setup!$E$43="",Setup!$G$43="",Setup!$F$43=""),"",IF(AND(Setup!$F$43="Once",U$1&gt;0),"",IF(OR(IF(Setup!$M$43&gt;0,Setup!$G$43+(Setup!$O$43+U$1)*Setup!$M$43,EDATE(Setup!$G$43,(Setup!$O$43+U$1)*Setup!$N$43))&gt;Setup!$P$43,IF(Setup!$M$43&gt;0,Setup!$G$43+(Setup!$O$43+U$1)*Setup!$M$43,EDATE(Setup!$G$43,(Setup!$O$43+U$1)*Setup!$N$43))&lt;Setup!$D$5),"",IF(Setup!$M$43&gt;0,Setup!$G$43+(Setup!$O$43+U$1)*Setup!$M$43,EDATE(Setup!$G$43,(Setup!$O$43+U$1)*Setup!$N$43))+$A20/1000)))</f>
        <v/>
      </c>
      <c r="V20">
        <f>IF(OR(Setup!$E$43="",Setup!$G$43="",Setup!$F$43=""),"",IF(AND(Setup!$F$43="Once",V$1&gt;0),"",IF(OR(IF(Setup!$M$43&gt;0,Setup!$G$43+(Setup!$O$43+V$1)*Setup!$M$43,EDATE(Setup!$G$43,(Setup!$O$43+V$1)*Setup!$N$43))&gt;Setup!$P$43,IF(Setup!$M$43&gt;0,Setup!$G$43+(Setup!$O$43+V$1)*Setup!$M$43,EDATE(Setup!$G$43,(Setup!$O$43+V$1)*Setup!$N$43))&lt;Setup!$D$5),"",IF(Setup!$M$43&gt;0,Setup!$G$43+(Setup!$O$43+V$1)*Setup!$M$43,EDATE(Setup!$G$43,(Setup!$O$43+V$1)*Setup!$N$43))+$A20/1000)))</f>
        <v/>
      </c>
      <c r="W20">
        <f>IF(OR(Setup!$E$43="",Setup!$G$43="",Setup!$F$43=""),"",IF(AND(Setup!$F$43="Once",W$1&gt;0),"",IF(OR(IF(Setup!$M$43&gt;0,Setup!$G$43+(Setup!$O$43+W$1)*Setup!$M$43,EDATE(Setup!$G$43,(Setup!$O$43+W$1)*Setup!$N$43))&gt;Setup!$P$43,IF(Setup!$M$43&gt;0,Setup!$G$43+(Setup!$O$43+W$1)*Setup!$M$43,EDATE(Setup!$G$43,(Setup!$O$43+W$1)*Setup!$N$43))&lt;Setup!$D$5),"",IF(Setup!$M$43&gt;0,Setup!$G$43+(Setup!$O$43+W$1)*Setup!$M$43,EDATE(Setup!$G$43,(Setup!$O$43+W$1)*Setup!$N$43))+$A20/1000)))</f>
        <v/>
      </c>
      <c r="X20">
        <f>IF(OR(Setup!$E$43="",Setup!$G$43="",Setup!$F$43=""),"",IF(AND(Setup!$F$43="Once",X$1&gt;0),"",IF(OR(IF(Setup!$M$43&gt;0,Setup!$G$43+(Setup!$O$43+X$1)*Setup!$M$43,EDATE(Setup!$G$43,(Setup!$O$43+X$1)*Setup!$N$43))&gt;Setup!$P$43,IF(Setup!$M$43&gt;0,Setup!$G$43+(Setup!$O$43+X$1)*Setup!$M$43,EDATE(Setup!$G$43,(Setup!$O$43+X$1)*Setup!$N$43))&lt;Setup!$D$5),"",IF(Setup!$M$43&gt;0,Setup!$G$43+(Setup!$O$43+X$1)*Setup!$M$43,EDATE(Setup!$G$43,(Setup!$O$43+X$1)*Setup!$N$43))+$A20/1000)))</f>
        <v/>
      </c>
      <c r="Y20">
        <f>IF(OR(Setup!$E$43="",Setup!$G$43="",Setup!$F$43=""),"",IF(AND(Setup!$F$43="Once",Y$1&gt;0),"",IF(OR(IF(Setup!$M$43&gt;0,Setup!$G$43+(Setup!$O$43+Y$1)*Setup!$M$43,EDATE(Setup!$G$43,(Setup!$O$43+Y$1)*Setup!$N$43))&gt;Setup!$P$43,IF(Setup!$M$43&gt;0,Setup!$G$43+(Setup!$O$43+Y$1)*Setup!$M$43,EDATE(Setup!$G$43,(Setup!$O$43+Y$1)*Setup!$N$43))&lt;Setup!$D$5),"",IF(Setup!$M$43&gt;0,Setup!$G$43+(Setup!$O$43+Y$1)*Setup!$M$43,EDATE(Setup!$G$43,(Setup!$O$43+Y$1)*Setup!$N$43))+$A20/1000)))</f>
        <v/>
      </c>
      <c r="Z20">
        <f>IF(OR(Setup!$E$43="",Setup!$G$43="",Setup!$F$43=""),"",IF(AND(Setup!$F$43="Once",Z$1&gt;0),"",IF(OR(IF(Setup!$M$43&gt;0,Setup!$G$43+(Setup!$O$43+Z$1)*Setup!$M$43,EDATE(Setup!$G$43,(Setup!$O$43+Z$1)*Setup!$N$43))&gt;Setup!$P$43,IF(Setup!$M$43&gt;0,Setup!$G$43+(Setup!$O$43+Z$1)*Setup!$M$43,EDATE(Setup!$G$43,(Setup!$O$43+Z$1)*Setup!$N$43))&lt;Setup!$D$5),"",IF(Setup!$M$43&gt;0,Setup!$G$43+(Setup!$O$43+Z$1)*Setup!$M$43,EDATE(Setup!$G$43,(Setup!$O$43+Z$1)*Setup!$N$43))+$A20/1000)))</f>
        <v/>
      </c>
      <c r="AA20">
        <f>IF(OR(Setup!$E$43="",Setup!$G$43="",Setup!$F$43=""),"",IF(AND(Setup!$F$43="Once",AA$1&gt;0),"",IF(OR(IF(Setup!$M$43&gt;0,Setup!$G$43+(Setup!$O$43+AA$1)*Setup!$M$43,EDATE(Setup!$G$43,(Setup!$O$43+AA$1)*Setup!$N$43))&gt;Setup!$P$43,IF(Setup!$M$43&gt;0,Setup!$G$43+(Setup!$O$43+AA$1)*Setup!$M$43,EDATE(Setup!$G$43,(Setup!$O$43+AA$1)*Setup!$N$43))&lt;Setup!$D$5),"",IF(Setup!$M$43&gt;0,Setup!$G$43+(Setup!$O$43+AA$1)*Setup!$M$43,EDATE(Setup!$G$43,(Setup!$O$43+AA$1)*Setup!$N$43))+$A20/1000)))</f>
        <v/>
      </c>
      <c r="AB20">
        <f>IF(OR(Setup!$E$43="",Setup!$G$43="",Setup!$F$43=""),"",IF(AND(Setup!$F$43="Once",AB$1&gt;0),"",IF(OR(IF(Setup!$M$43&gt;0,Setup!$G$43+(Setup!$O$43+AB$1)*Setup!$M$43,EDATE(Setup!$G$43,(Setup!$O$43+AB$1)*Setup!$N$43))&gt;Setup!$P$43,IF(Setup!$M$43&gt;0,Setup!$G$43+(Setup!$O$43+AB$1)*Setup!$M$43,EDATE(Setup!$G$43,(Setup!$O$43+AB$1)*Setup!$N$43))&lt;Setup!$D$5),"",IF(Setup!$M$43&gt;0,Setup!$G$43+(Setup!$O$43+AB$1)*Setup!$M$43,EDATE(Setup!$G$43,(Setup!$O$43+AB$1)*Setup!$N$43))+$A20/1000)))</f>
        <v/>
      </c>
      <c r="AC20">
        <f>IF(OR(Setup!$E$43="",Setup!$G$43="",Setup!$F$43=""),"",IF(AND(Setup!$F$43="Once",AC$1&gt;0),"",IF(OR(IF(Setup!$M$43&gt;0,Setup!$G$43+(Setup!$O$43+AC$1)*Setup!$M$43,EDATE(Setup!$G$43,(Setup!$O$43+AC$1)*Setup!$N$43))&gt;Setup!$P$43,IF(Setup!$M$43&gt;0,Setup!$G$43+(Setup!$O$43+AC$1)*Setup!$M$43,EDATE(Setup!$G$43,(Setup!$O$43+AC$1)*Setup!$N$43))&lt;Setup!$D$5),"",IF(Setup!$M$43&gt;0,Setup!$G$43+(Setup!$O$43+AC$1)*Setup!$M$43,EDATE(Setup!$G$43,(Setup!$O$43+AC$1)*Setup!$N$43))+$A20/1000)))</f>
        <v/>
      </c>
      <c r="AD20">
        <f>IF(OR(Setup!$E$43="",Setup!$G$43="",Setup!$F$43=""),"",IF(AND(Setup!$F$43="Once",AD$1&gt;0),"",IF(OR(IF(Setup!$M$43&gt;0,Setup!$G$43+(Setup!$O$43+AD$1)*Setup!$M$43,EDATE(Setup!$G$43,(Setup!$O$43+AD$1)*Setup!$N$43))&gt;Setup!$P$43,IF(Setup!$M$43&gt;0,Setup!$G$43+(Setup!$O$43+AD$1)*Setup!$M$43,EDATE(Setup!$G$43,(Setup!$O$43+AD$1)*Setup!$N$43))&lt;Setup!$D$5),"",IF(Setup!$M$43&gt;0,Setup!$G$43+(Setup!$O$43+AD$1)*Setup!$M$43,EDATE(Setup!$G$43,(Setup!$O$43+AD$1)*Setup!$N$43))+$A20/1000)))</f>
        <v/>
      </c>
      <c r="AE20">
        <f>IF(OR(Setup!$E$43="",Setup!$G$43="",Setup!$F$43=""),"",IF(AND(Setup!$F$43="Once",AE$1&gt;0),"",IF(OR(IF(Setup!$M$43&gt;0,Setup!$G$43+(Setup!$O$43+AE$1)*Setup!$M$43,EDATE(Setup!$G$43,(Setup!$O$43+AE$1)*Setup!$N$43))&gt;Setup!$P$43,IF(Setup!$M$43&gt;0,Setup!$G$43+(Setup!$O$43+AE$1)*Setup!$M$43,EDATE(Setup!$G$43,(Setup!$O$43+AE$1)*Setup!$N$43))&lt;Setup!$D$5),"",IF(Setup!$M$43&gt;0,Setup!$G$43+(Setup!$O$43+AE$1)*Setup!$M$43,EDATE(Setup!$G$43,(Setup!$O$43+AE$1)*Setup!$N$43))+$A20/1000)))</f>
        <v/>
      </c>
      <c r="AF20">
        <f>IF(OR(Setup!$E$43="",Setup!$G$43="",Setup!$F$43=""),"",IF(AND(Setup!$F$43="Once",AF$1&gt;0),"",IF(OR(IF(Setup!$M$43&gt;0,Setup!$G$43+(Setup!$O$43+AF$1)*Setup!$M$43,EDATE(Setup!$G$43,(Setup!$O$43+AF$1)*Setup!$N$43))&gt;Setup!$P$43,IF(Setup!$M$43&gt;0,Setup!$G$43+(Setup!$O$43+AF$1)*Setup!$M$43,EDATE(Setup!$G$43,(Setup!$O$43+AF$1)*Setup!$N$43))&lt;Setup!$D$5),"",IF(Setup!$M$43&gt;0,Setup!$G$43+(Setup!$O$43+AF$1)*Setup!$M$43,EDATE(Setup!$G$43,(Setup!$O$43+AF$1)*Setup!$N$43))+$A20/1000)))</f>
        <v/>
      </c>
      <c r="AG20">
        <f>IF(OR(Setup!$E$43="",Setup!$G$43="",Setup!$F$43=""),"",IF(AND(Setup!$F$43="Once",AG$1&gt;0),"",IF(OR(IF(Setup!$M$43&gt;0,Setup!$G$43+(Setup!$O$43+AG$1)*Setup!$M$43,EDATE(Setup!$G$43,(Setup!$O$43+AG$1)*Setup!$N$43))&gt;Setup!$P$43,IF(Setup!$M$43&gt;0,Setup!$G$43+(Setup!$O$43+AG$1)*Setup!$M$43,EDATE(Setup!$G$43,(Setup!$O$43+AG$1)*Setup!$N$43))&lt;Setup!$D$5),"",IF(Setup!$M$43&gt;0,Setup!$G$43+(Setup!$O$43+AG$1)*Setup!$M$43,EDATE(Setup!$G$43,(Setup!$O$43+AG$1)*Setup!$N$43))+$A20/1000)))</f>
        <v/>
      </c>
      <c r="AH20">
        <f>IF(OR(Setup!$E$43="",Setup!$G$43="",Setup!$F$43=""),"",IF(AND(Setup!$F$43="Once",AH$1&gt;0),"",IF(OR(IF(Setup!$M$43&gt;0,Setup!$G$43+(Setup!$O$43+AH$1)*Setup!$M$43,EDATE(Setup!$G$43,(Setup!$O$43+AH$1)*Setup!$N$43))&gt;Setup!$P$43,IF(Setup!$M$43&gt;0,Setup!$G$43+(Setup!$O$43+AH$1)*Setup!$M$43,EDATE(Setup!$G$43,(Setup!$O$43+AH$1)*Setup!$N$43))&lt;Setup!$D$5),"",IF(Setup!$M$43&gt;0,Setup!$G$43+(Setup!$O$43+AH$1)*Setup!$M$43,EDATE(Setup!$G$43,(Setup!$O$43+AH$1)*Setup!$N$43))+$A20/1000)))</f>
        <v/>
      </c>
      <c r="AI20">
        <f>IF(OR(Setup!$E$43="",Setup!$G$43="",Setup!$F$43=""),"",IF(AND(Setup!$F$43="Once",AI$1&gt;0),"",IF(OR(IF(Setup!$M$43&gt;0,Setup!$G$43+(Setup!$O$43+AI$1)*Setup!$M$43,EDATE(Setup!$G$43,(Setup!$O$43+AI$1)*Setup!$N$43))&gt;Setup!$P$43,IF(Setup!$M$43&gt;0,Setup!$G$43+(Setup!$O$43+AI$1)*Setup!$M$43,EDATE(Setup!$G$43,(Setup!$O$43+AI$1)*Setup!$N$43))&lt;Setup!$D$5),"",IF(Setup!$M$43&gt;0,Setup!$G$43+(Setup!$O$43+AI$1)*Setup!$M$43,EDATE(Setup!$G$43,(Setup!$O$43+AI$1)*Setup!$N$43))+$A20/1000)))</f>
        <v/>
      </c>
      <c r="AJ20">
        <f>IF(OR(Setup!$E$43="",Setup!$G$43="",Setup!$F$43=""),"",IF(AND(Setup!$F$43="Once",AJ$1&gt;0),"",IF(OR(IF(Setup!$M$43&gt;0,Setup!$G$43+(Setup!$O$43+AJ$1)*Setup!$M$43,EDATE(Setup!$G$43,(Setup!$O$43+AJ$1)*Setup!$N$43))&gt;Setup!$P$43,IF(Setup!$M$43&gt;0,Setup!$G$43+(Setup!$O$43+AJ$1)*Setup!$M$43,EDATE(Setup!$G$43,(Setup!$O$43+AJ$1)*Setup!$N$43))&lt;Setup!$D$5),"",IF(Setup!$M$43&gt;0,Setup!$G$43+(Setup!$O$43+AJ$1)*Setup!$M$43,EDATE(Setup!$G$43,(Setup!$O$43+AJ$1)*Setup!$N$43))+$A20/1000)))</f>
        <v/>
      </c>
      <c r="AK20">
        <f>IF(OR(Setup!$E$43="",Setup!$G$43="",Setup!$F$43=""),"",IF(AND(Setup!$F$43="Once",AK$1&gt;0),"",IF(OR(IF(Setup!$M$43&gt;0,Setup!$G$43+(Setup!$O$43+AK$1)*Setup!$M$43,EDATE(Setup!$G$43,(Setup!$O$43+AK$1)*Setup!$N$43))&gt;Setup!$P$43,IF(Setup!$M$43&gt;0,Setup!$G$43+(Setup!$O$43+AK$1)*Setup!$M$43,EDATE(Setup!$G$43,(Setup!$O$43+AK$1)*Setup!$N$43))&lt;Setup!$D$5),"",IF(Setup!$M$43&gt;0,Setup!$G$43+(Setup!$O$43+AK$1)*Setup!$M$43,EDATE(Setup!$G$43,(Setup!$O$43+AK$1)*Setup!$N$43))+$A20/1000)))</f>
        <v/>
      </c>
      <c r="AL20">
        <f>IF(OR(Setup!$E$43="",Setup!$G$43="",Setup!$F$43=""),"",IF(AND(Setup!$F$43="Once",AL$1&gt;0),"",IF(OR(IF(Setup!$M$43&gt;0,Setup!$G$43+(Setup!$O$43+AL$1)*Setup!$M$43,EDATE(Setup!$G$43,(Setup!$O$43+AL$1)*Setup!$N$43))&gt;Setup!$P$43,IF(Setup!$M$43&gt;0,Setup!$G$43+(Setup!$O$43+AL$1)*Setup!$M$43,EDATE(Setup!$G$43,(Setup!$O$43+AL$1)*Setup!$N$43))&lt;Setup!$D$5),"",IF(Setup!$M$43&gt;0,Setup!$G$43+(Setup!$O$43+AL$1)*Setup!$M$43,EDATE(Setup!$G$43,(Setup!$O$43+AL$1)*Setup!$N$43))+$A20/1000)))</f>
        <v/>
      </c>
      <c r="AM20">
        <f>IF(OR(Setup!$E$43="",Setup!$G$43="",Setup!$F$43=""),"",IF(AND(Setup!$F$43="Once",AM$1&gt;0),"",IF(OR(IF(Setup!$M$43&gt;0,Setup!$G$43+(Setup!$O$43+AM$1)*Setup!$M$43,EDATE(Setup!$G$43,(Setup!$O$43+AM$1)*Setup!$N$43))&gt;Setup!$P$43,IF(Setup!$M$43&gt;0,Setup!$G$43+(Setup!$O$43+AM$1)*Setup!$M$43,EDATE(Setup!$G$43,(Setup!$O$43+AM$1)*Setup!$N$43))&lt;Setup!$D$5),"",IF(Setup!$M$43&gt;0,Setup!$G$43+(Setup!$O$43+AM$1)*Setup!$M$43,EDATE(Setup!$G$43,(Setup!$O$43+AM$1)*Setup!$N$43))+$A20/1000)))</f>
        <v/>
      </c>
      <c r="AN20">
        <f>IF(OR(Setup!$E$43="",Setup!$G$43="",Setup!$F$43=""),"",IF(AND(Setup!$F$43="Once",AN$1&gt;0),"",IF(OR(IF(Setup!$M$43&gt;0,Setup!$G$43+(Setup!$O$43+AN$1)*Setup!$M$43,EDATE(Setup!$G$43,(Setup!$O$43+AN$1)*Setup!$N$43))&gt;Setup!$P$43,IF(Setup!$M$43&gt;0,Setup!$G$43+(Setup!$O$43+AN$1)*Setup!$M$43,EDATE(Setup!$G$43,(Setup!$O$43+AN$1)*Setup!$N$43))&lt;Setup!$D$5),"",IF(Setup!$M$43&gt;0,Setup!$G$43+(Setup!$O$43+AN$1)*Setup!$M$43,EDATE(Setup!$G$43,(Setup!$O$43+AN$1)*Setup!$N$43))+$A20/1000)))</f>
        <v/>
      </c>
      <c r="AO20">
        <f>IF(OR(Setup!$E$43="",Setup!$G$43="",Setup!$F$43=""),"",IF(AND(Setup!$F$43="Once",AO$1&gt;0),"",IF(OR(IF(Setup!$M$43&gt;0,Setup!$G$43+(Setup!$O$43+AO$1)*Setup!$M$43,EDATE(Setup!$G$43,(Setup!$O$43+AO$1)*Setup!$N$43))&gt;Setup!$P$43,IF(Setup!$M$43&gt;0,Setup!$G$43+(Setup!$O$43+AO$1)*Setup!$M$43,EDATE(Setup!$G$43,(Setup!$O$43+AO$1)*Setup!$N$43))&lt;Setup!$D$5),"",IF(Setup!$M$43&gt;0,Setup!$G$43+(Setup!$O$43+AO$1)*Setup!$M$43,EDATE(Setup!$G$43,(Setup!$O$43+AO$1)*Setup!$N$43))+$A20/1000)))</f>
        <v/>
      </c>
      <c r="AP20">
        <f>IF(OR(Setup!$E$43="",Setup!$G$43="",Setup!$F$43=""),"",IF(AND(Setup!$F$43="Once",AP$1&gt;0),"",IF(OR(IF(Setup!$M$43&gt;0,Setup!$G$43+(Setup!$O$43+AP$1)*Setup!$M$43,EDATE(Setup!$G$43,(Setup!$O$43+AP$1)*Setup!$N$43))&gt;Setup!$P$43,IF(Setup!$M$43&gt;0,Setup!$G$43+(Setup!$O$43+AP$1)*Setup!$M$43,EDATE(Setup!$G$43,(Setup!$O$43+AP$1)*Setup!$N$43))&lt;Setup!$D$5),"",IF(Setup!$M$43&gt;0,Setup!$G$43+(Setup!$O$43+AP$1)*Setup!$M$43,EDATE(Setup!$G$43,(Setup!$O$43+AP$1)*Setup!$N$43))+$A20/1000)))</f>
        <v/>
      </c>
      <c r="AQ20">
        <f>IF(OR(Setup!$E$43="",Setup!$G$43="",Setup!$F$43=""),"",IF(AND(Setup!$F$43="Once",AQ$1&gt;0),"",IF(OR(IF(Setup!$M$43&gt;0,Setup!$G$43+(Setup!$O$43+AQ$1)*Setup!$M$43,EDATE(Setup!$G$43,(Setup!$O$43+AQ$1)*Setup!$N$43))&gt;Setup!$P$43,IF(Setup!$M$43&gt;0,Setup!$G$43+(Setup!$O$43+AQ$1)*Setup!$M$43,EDATE(Setup!$G$43,(Setup!$O$43+AQ$1)*Setup!$N$43))&lt;Setup!$D$5),"",IF(Setup!$M$43&gt;0,Setup!$G$43+(Setup!$O$43+AQ$1)*Setup!$M$43,EDATE(Setup!$G$43,(Setup!$O$43+AQ$1)*Setup!$N$43))+$A20/1000)))</f>
        <v/>
      </c>
      <c r="AR20">
        <f>IF(OR(Setup!$E$43="",Setup!$G$43="",Setup!$F$43=""),"",IF(AND(Setup!$F$43="Once",AR$1&gt;0),"",IF(OR(IF(Setup!$M$43&gt;0,Setup!$G$43+(Setup!$O$43+AR$1)*Setup!$M$43,EDATE(Setup!$G$43,(Setup!$O$43+AR$1)*Setup!$N$43))&gt;Setup!$P$43,IF(Setup!$M$43&gt;0,Setup!$G$43+(Setup!$O$43+AR$1)*Setup!$M$43,EDATE(Setup!$G$43,(Setup!$O$43+AR$1)*Setup!$N$43))&lt;Setup!$D$5),"",IF(Setup!$M$43&gt;0,Setup!$G$43+(Setup!$O$43+AR$1)*Setup!$M$43,EDATE(Setup!$G$43,(Setup!$O$43+AR$1)*Setup!$N$43))+$A20/1000)))</f>
        <v/>
      </c>
      <c r="AS20">
        <f>IF(OR(Setup!$E$43="",Setup!$G$43="",Setup!$F$43=""),"",IF(AND(Setup!$F$43="Once",AS$1&gt;0),"",IF(OR(IF(Setup!$M$43&gt;0,Setup!$G$43+(Setup!$O$43+AS$1)*Setup!$M$43,EDATE(Setup!$G$43,(Setup!$O$43+AS$1)*Setup!$N$43))&gt;Setup!$P$43,IF(Setup!$M$43&gt;0,Setup!$G$43+(Setup!$O$43+AS$1)*Setup!$M$43,EDATE(Setup!$G$43,(Setup!$O$43+AS$1)*Setup!$N$43))&lt;Setup!$D$5),"",IF(Setup!$M$43&gt;0,Setup!$G$43+(Setup!$O$43+AS$1)*Setup!$M$43,EDATE(Setup!$G$43,(Setup!$O$43+AS$1)*Setup!$N$43))+$A20/1000)))</f>
        <v/>
      </c>
      <c r="AT20">
        <f>IF(OR(Setup!$E$43="",Setup!$G$43="",Setup!$F$43=""),"",IF(AND(Setup!$F$43="Once",AT$1&gt;0),"",IF(OR(IF(Setup!$M$43&gt;0,Setup!$G$43+(Setup!$O$43+AT$1)*Setup!$M$43,EDATE(Setup!$G$43,(Setup!$O$43+AT$1)*Setup!$N$43))&gt;Setup!$P$43,IF(Setup!$M$43&gt;0,Setup!$G$43+(Setup!$O$43+AT$1)*Setup!$M$43,EDATE(Setup!$G$43,(Setup!$O$43+AT$1)*Setup!$N$43))&lt;Setup!$D$5),"",IF(Setup!$M$43&gt;0,Setup!$G$43+(Setup!$O$43+AT$1)*Setup!$M$43,EDATE(Setup!$G$43,(Setup!$O$43+AT$1)*Setup!$N$43))+$A20/1000)))</f>
        <v/>
      </c>
      <c r="AU20">
        <f>IF(OR(Setup!$E$43="",Setup!$G$43="",Setup!$F$43=""),"",IF(AND(Setup!$F$43="Once",AU$1&gt;0),"",IF(OR(IF(Setup!$M$43&gt;0,Setup!$G$43+(Setup!$O$43+AU$1)*Setup!$M$43,EDATE(Setup!$G$43,(Setup!$O$43+AU$1)*Setup!$N$43))&gt;Setup!$P$43,IF(Setup!$M$43&gt;0,Setup!$G$43+(Setup!$O$43+AU$1)*Setup!$M$43,EDATE(Setup!$G$43,(Setup!$O$43+AU$1)*Setup!$N$43))&lt;Setup!$D$5),"",IF(Setup!$M$43&gt;0,Setup!$G$43+(Setup!$O$43+AU$1)*Setup!$M$43,EDATE(Setup!$G$43,(Setup!$O$43+AU$1)*Setup!$N$43))+$A20/1000)))</f>
        <v/>
      </c>
      <c r="AV20">
        <f>IF(OR(Setup!$E$43="",Setup!$G$43="",Setup!$F$43=""),"",IF(AND(Setup!$F$43="Once",AV$1&gt;0),"",IF(OR(IF(Setup!$M$43&gt;0,Setup!$G$43+(Setup!$O$43+AV$1)*Setup!$M$43,EDATE(Setup!$G$43,(Setup!$O$43+AV$1)*Setup!$N$43))&gt;Setup!$P$43,IF(Setup!$M$43&gt;0,Setup!$G$43+(Setup!$O$43+AV$1)*Setup!$M$43,EDATE(Setup!$G$43,(Setup!$O$43+AV$1)*Setup!$N$43))&lt;Setup!$D$5),"",IF(Setup!$M$43&gt;0,Setup!$G$43+(Setup!$O$43+AV$1)*Setup!$M$43,EDATE(Setup!$G$43,(Setup!$O$43+AV$1)*Setup!$N$43))+$A20/1000)))</f>
        <v/>
      </c>
      <c r="AW20">
        <f>IF(OR(Setup!$E$43="",Setup!$G$43="",Setup!$F$43=""),"",IF(AND(Setup!$F$43="Once",AW$1&gt;0),"",IF(OR(IF(Setup!$M$43&gt;0,Setup!$G$43+(Setup!$O$43+AW$1)*Setup!$M$43,EDATE(Setup!$G$43,(Setup!$O$43+AW$1)*Setup!$N$43))&gt;Setup!$P$43,IF(Setup!$M$43&gt;0,Setup!$G$43+(Setup!$O$43+AW$1)*Setup!$M$43,EDATE(Setup!$G$43,(Setup!$O$43+AW$1)*Setup!$N$43))&lt;Setup!$D$5),"",IF(Setup!$M$43&gt;0,Setup!$G$43+(Setup!$O$43+AW$1)*Setup!$M$43,EDATE(Setup!$G$43,(Setup!$O$43+AW$1)*Setup!$N$43))+$A20/1000)))</f>
        <v/>
      </c>
      <c r="AX20">
        <f>IF(OR(Setup!$E$43="",Setup!$G$43="",Setup!$F$43=""),"",IF(AND(Setup!$F$43="Once",AX$1&gt;0),"",IF(OR(IF(Setup!$M$43&gt;0,Setup!$G$43+(Setup!$O$43+AX$1)*Setup!$M$43,EDATE(Setup!$G$43,(Setup!$O$43+AX$1)*Setup!$N$43))&gt;Setup!$P$43,IF(Setup!$M$43&gt;0,Setup!$G$43+(Setup!$O$43+AX$1)*Setup!$M$43,EDATE(Setup!$G$43,(Setup!$O$43+AX$1)*Setup!$N$43))&lt;Setup!$D$5),"",IF(Setup!$M$43&gt;0,Setup!$G$43+(Setup!$O$43+AX$1)*Setup!$M$43,EDATE(Setup!$G$43,(Setup!$O$43+AX$1)*Setup!$N$43))+$A20/1000)))</f>
        <v/>
      </c>
      <c r="AY20">
        <f>IF(OR(Setup!$E$43="",Setup!$G$43="",Setup!$F$43=""),"",IF(AND(Setup!$F$43="Once",AY$1&gt;0),"",IF(OR(IF(Setup!$M$43&gt;0,Setup!$G$43+(Setup!$O$43+AY$1)*Setup!$M$43,EDATE(Setup!$G$43,(Setup!$O$43+AY$1)*Setup!$N$43))&gt;Setup!$P$43,IF(Setup!$M$43&gt;0,Setup!$G$43+(Setup!$O$43+AY$1)*Setup!$M$43,EDATE(Setup!$G$43,(Setup!$O$43+AY$1)*Setup!$N$43))&lt;Setup!$D$5),"",IF(Setup!$M$43&gt;0,Setup!$G$43+(Setup!$O$43+AY$1)*Setup!$M$43,EDATE(Setup!$G$43,(Setup!$O$43+AY$1)*Setup!$N$43))+$A20/1000)))</f>
        <v/>
      </c>
      <c r="AZ20">
        <f>IF(OR(Setup!$E$43="",Setup!$G$43="",Setup!$F$43=""),"",IF(AND(Setup!$F$43="Once",AZ$1&gt;0),"",IF(OR(IF(Setup!$M$43&gt;0,Setup!$G$43+(Setup!$O$43+AZ$1)*Setup!$M$43,EDATE(Setup!$G$43,(Setup!$O$43+AZ$1)*Setup!$N$43))&gt;Setup!$P$43,IF(Setup!$M$43&gt;0,Setup!$G$43+(Setup!$O$43+AZ$1)*Setup!$M$43,EDATE(Setup!$G$43,(Setup!$O$43+AZ$1)*Setup!$N$43))&lt;Setup!$D$5),"",IF(Setup!$M$43&gt;0,Setup!$G$43+(Setup!$O$43+AZ$1)*Setup!$M$43,EDATE(Setup!$G$43,(Setup!$O$43+AZ$1)*Setup!$N$43))+$A20/1000)))</f>
        <v/>
      </c>
      <c r="BA20">
        <f>IF(OR(Setup!$E$43="",Setup!$G$43="",Setup!$F$43=""),"",IF(AND(Setup!$F$43="Once",BA$1&gt;0),"",IF(OR(IF(Setup!$M$43&gt;0,Setup!$G$43+(Setup!$O$43+BA$1)*Setup!$M$43,EDATE(Setup!$G$43,(Setup!$O$43+BA$1)*Setup!$N$43))&gt;Setup!$P$43,IF(Setup!$M$43&gt;0,Setup!$G$43+(Setup!$O$43+BA$1)*Setup!$M$43,EDATE(Setup!$G$43,(Setup!$O$43+BA$1)*Setup!$N$43))&lt;Setup!$D$5),"",IF(Setup!$M$43&gt;0,Setup!$G$43+(Setup!$O$43+BA$1)*Setup!$M$43,EDATE(Setup!$G$43,(Setup!$O$43+BA$1)*Setup!$N$43))+$A20/1000)))</f>
        <v/>
      </c>
      <c r="BB20">
        <f>IF(OR(Setup!$E$43="",Setup!$G$43="",Setup!$F$43=""),"",IF(AND(Setup!$F$43="Once",BB$1&gt;0),"",IF(OR(IF(Setup!$M$43&gt;0,Setup!$G$43+(Setup!$O$43+BB$1)*Setup!$M$43,EDATE(Setup!$G$43,(Setup!$O$43+BB$1)*Setup!$N$43))&gt;Setup!$P$43,IF(Setup!$M$43&gt;0,Setup!$G$43+(Setup!$O$43+BB$1)*Setup!$M$43,EDATE(Setup!$G$43,(Setup!$O$43+BB$1)*Setup!$N$43))&lt;Setup!$D$5),"",IF(Setup!$M$43&gt;0,Setup!$G$43+(Setup!$O$43+BB$1)*Setup!$M$43,EDATE(Setup!$G$43,(Setup!$O$43+BB$1)*Setup!$N$43))+$A20/1000)))</f>
        <v/>
      </c>
    </row>
    <row r="21">
      <c r="A21" t="n">
        <v>20</v>
      </c>
      <c r="B21">
        <f>IF(OR(Setup!$E$44="",Setup!$G$44="",Setup!$F$44=""),"",IF(AND(Setup!$F$44="Once",B$1&gt;0),"",IF(OR(IF(Setup!$M$44&gt;0,Setup!$G$44+(Setup!$O$44+B$1)*Setup!$M$44,EDATE(Setup!$G$44,(Setup!$O$44+B$1)*Setup!$N$44))&gt;Setup!$P$44,IF(Setup!$M$44&gt;0,Setup!$G$44+(Setup!$O$44+B$1)*Setup!$M$44,EDATE(Setup!$G$44,(Setup!$O$44+B$1)*Setup!$N$44))&lt;Setup!$D$5),"",IF(Setup!$M$44&gt;0,Setup!$G$44+(Setup!$O$44+B$1)*Setup!$M$44,EDATE(Setup!$G$44,(Setup!$O$44+B$1)*Setup!$N$44))+$A21/1000)))</f>
        <v/>
      </c>
      <c r="C21">
        <f>IF(OR(Setup!$E$44="",Setup!$G$44="",Setup!$F$44=""),"",IF(AND(Setup!$F$44="Once",C$1&gt;0),"",IF(OR(IF(Setup!$M$44&gt;0,Setup!$G$44+(Setup!$O$44+C$1)*Setup!$M$44,EDATE(Setup!$G$44,(Setup!$O$44+C$1)*Setup!$N$44))&gt;Setup!$P$44,IF(Setup!$M$44&gt;0,Setup!$G$44+(Setup!$O$44+C$1)*Setup!$M$44,EDATE(Setup!$G$44,(Setup!$O$44+C$1)*Setup!$N$44))&lt;Setup!$D$5),"",IF(Setup!$M$44&gt;0,Setup!$G$44+(Setup!$O$44+C$1)*Setup!$M$44,EDATE(Setup!$G$44,(Setup!$O$44+C$1)*Setup!$N$44))+$A21/1000)))</f>
        <v/>
      </c>
      <c r="D21">
        <f>IF(OR(Setup!$E$44="",Setup!$G$44="",Setup!$F$44=""),"",IF(AND(Setup!$F$44="Once",D$1&gt;0),"",IF(OR(IF(Setup!$M$44&gt;0,Setup!$G$44+(Setup!$O$44+D$1)*Setup!$M$44,EDATE(Setup!$G$44,(Setup!$O$44+D$1)*Setup!$N$44))&gt;Setup!$P$44,IF(Setup!$M$44&gt;0,Setup!$G$44+(Setup!$O$44+D$1)*Setup!$M$44,EDATE(Setup!$G$44,(Setup!$O$44+D$1)*Setup!$N$44))&lt;Setup!$D$5),"",IF(Setup!$M$44&gt;0,Setup!$G$44+(Setup!$O$44+D$1)*Setup!$M$44,EDATE(Setup!$G$44,(Setup!$O$44+D$1)*Setup!$N$44))+$A21/1000)))</f>
        <v/>
      </c>
      <c r="E21">
        <f>IF(OR(Setup!$E$44="",Setup!$G$44="",Setup!$F$44=""),"",IF(AND(Setup!$F$44="Once",E$1&gt;0),"",IF(OR(IF(Setup!$M$44&gt;0,Setup!$G$44+(Setup!$O$44+E$1)*Setup!$M$44,EDATE(Setup!$G$44,(Setup!$O$44+E$1)*Setup!$N$44))&gt;Setup!$P$44,IF(Setup!$M$44&gt;0,Setup!$G$44+(Setup!$O$44+E$1)*Setup!$M$44,EDATE(Setup!$G$44,(Setup!$O$44+E$1)*Setup!$N$44))&lt;Setup!$D$5),"",IF(Setup!$M$44&gt;0,Setup!$G$44+(Setup!$O$44+E$1)*Setup!$M$44,EDATE(Setup!$G$44,(Setup!$O$44+E$1)*Setup!$N$44))+$A21/1000)))</f>
        <v/>
      </c>
      <c r="F21">
        <f>IF(OR(Setup!$E$44="",Setup!$G$44="",Setup!$F$44=""),"",IF(AND(Setup!$F$44="Once",F$1&gt;0),"",IF(OR(IF(Setup!$M$44&gt;0,Setup!$G$44+(Setup!$O$44+F$1)*Setup!$M$44,EDATE(Setup!$G$44,(Setup!$O$44+F$1)*Setup!$N$44))&gt;Setup!$P$44,IF(Setup!$M$44&gt;0,Setup!$G$44+(Setup!$O$44+F$1)*Setup!$M$44,EDATE(Setup!$G$44,(Setup!$O$44+F$1)*Setup!$N$44))&lt;Setup!$D$5),"",IF(Setup!$M$44&gt;0,Setup!$G$44+(Setup!$O$44+F$1)*Setup!$M$44,EDATE(Setup!$G$44,(Setup!$O$44+F$1)*Setup!$N$44))+$A21/1000)))</f>
        <v/>
      </c>
      <c r="G21">
        <f>IF(OR(Setup!$E$44="",Setup!$G$44="",Setup!$F$44=""),"",IF(AND(Setup!$F$44="Once",G$1&gt;0),"",IF(OR(IF(Setup!$M$44&gt;0,Setup!$G$44+(Setup!$O$44+G$1)*Setup!$M$44,EDATE(Setup!$G$44,(Setup!$O$44+G$1)*Setup!$N$44))&gt;Setup!$P$44,IF(Setup!$M$44&gt;0,Setup!$G$44+(Setup!$O$44+G$1)*Setup!$M$44,EDATE(Setup!$G$44,(Setup!$O$44+G$1)*Setup!$N$44))&lt;Setup!$D$5),"",IF(Setup!$M$44&gt;0,Setup!$G$44+(Setup!$O$44+G$1)*Setup!$M$44,EDATE(Setup!$G$44,(Setup!$O$44+G$1)*Setup!$N$44))+$A21/1000)))</f>
        <v/>
      </c>
      <c r="H21">
        <f>IF(OR(Setup!$E$44="",Setup!$G$44="",Setup!$F$44=""),"",IF(AND(Setup!$F$44="Once",H$1&gt;0),"",IF(OR(IF(Setup!$M$44&gt;0,Setup!$G$44+(Setup!$O$44+H$1)*Setup!$M$44,EDATE(Setup!$G$44,(Setup!$O$44+H$1)*Setup!$N$44))&gt;Setup!$P$44,IF(Setup!$M$44&gt;0,Setup!$G$44+(Setup!$O$44+H$1)*Setup!$M$44,EDATE(Setup!$G$44,(Setup!$O$44+H$1)*Setup!$N$44))&lt;Setup!$D$5),"",IF(Setup!$M$44&gt;0,Setup!$G$44+(Setup!$O$44+H$1)*Setup!$M$44,EDATE(Setup!$G$44,(Setup!$O$44+H$1)*Setup!$N$44))+$A21/1000)))</f>
        <v/>
      </c>
      <c r="I21">
        <f>IF(OR(Setup!$E$44="",Setup!$G$44="",Setup!$F$44=""),"",IF(AND(Setup!$F$44="Once",I$1&gt;0),"",IF(OR(IF(Setup!$M$44&gt;0,Setup!$G$44+(Setup!$O$44+I$1)*Setup!$M$44,EDATE(Setup!$G$44,(Setup!$O$44+I$1)*Setup!$N$44))&gt;Setup!$P$44,IF(Setup!$M$44&gt;0,Setup!$G$44+(Setup!$O$44+I$1)*Setup!$M$44,EDATE(Setup!$G$44,(Setup!$O$44+I$1)*Setup!$N$44))&lt;Setup!$D$5),"",IF(Setup!$M$44&gt;0,Setup!$G$44+(Setup!$O$44+I$1)*Setup!$M$44,EDATE(Setup!$G$44,(Setup!$O$44+I$1)*Setup!$N$44))+$A21/1000)))</f>
        <v/>
      </c>
      <c r="J21">
        <f>IF(OR(Setup!$E$44="",Setup!$G$44="",Setup!$F$44=""),"",IF(AND(Setup!$F$44="Once",J$1&gt;0),"",IF(OR(IF(Setup!$M$44&gt;0,Setup!$G$44+(Setup!$O$44+J$1)*Setup!$M$44,EDATE(Setup!$G$44,(Setup!$O$44+J$1)*Setup!$N$44))&gt;Setup!$P$44,IF(Setup!$M$44&gt;0,Setup!$G$44+(Setup!$O$44+J$1)*Setup!$M$44,EDATE(Setup!$G$44,(Setup!$O$44+J$1)*Setup!$N$44))&lt;Setup!$D$5),"",IF(Setup!$M$44&gt;0,Setup!$G$44+(Setup!$O$44+J$1)*Setup!$M$44,EDATE(Setup!$G$44,(Setup!$O$44+J$1)*Setup!$N$44))+$A21/1000)))</f>
        <v/>
      </c>
      <c r="K21">
        <f>IF(OR(Setup!$E$44="",Setup!$G$44="",Setup!$F$44=""),"",IF(AND(Setup!$F$44="Once",K$1&gt;0),"",IF(OR(IF(Setup!$M$44&gt;0,Setup!$G$44+(Setup!$O$44+K$1)*Setup!$M$44,EDATE(Setup!$G$44,(Setup!$O$44+K$1)*Setup!$N$44))&gt;Setup!$P$44,IF(Setup!$M$44&gt;0,Setup!$G$44+(Setup!$O$44+K$1)*Setup!$M$44,EDATE(Setup!$G$44,(Setup!$O$44+K$1)*Setup!$N$44))&lt;Setup!$D$5),"",IF(Setup!$M$44&gt;0,Setup!$G$44+(Setup!$O$44+K$1)*Setup!$M$44,EDATE(Setup!$G$44,(Setup!$O$44+K$1)*Setup!$N$44))+$A21/1000)))</f>
        <v/>
      </c>
      <c r="L21">
        <f>IF(OR(Setup!$E$44="",Setup!$G$44="",Setup!$F$44=""),"",IF(AND(Setup!$F$44="Once",L$1&gt;0),"",IF(OR(IF(Setup!$M$44&gt;0,Setup!$G$44+(Setup!$O$44+L$1)*Setup!$M$44,EDATE(Setup!$G$44,(Setup!$O$44+L$1)*Setup!$N$44))&gt;Setup!$P$44,IF(Setup!$M$44&gt;0,Setup!$G$44+(Setup!$O$44+L$1)*Setup!$M$44,EDATE(Setup!$G$44,(Setup!$O$44+L$1)*Setup!$N$44))&lt;Setup!$D$5),"",IF(Setup!$M$44&gt;0,Setup!$G$44+(Setup!$O$44+L$1)*Setup!$M$44,EDATE(Setup!$G$44,(Setup!$O$44+L$1)*Setup!$N$44))+$A21/1000)))</f>
        <v/>
      </c>
      <c r="M21">
        <f>IF(OR(Setup!$E$44="",Setup!$G$44="",Setup!$F$44=""),"",IF(AND(Setup!$F$44="Once",M$1&gt;0),"",IF(OR(IF(Setup!$M$44&gt;0,Setup!$G$44+(Setup!$O$44+M$1)*Setup!$M$44,EDATE(Setup!$G$44,(Setup!$O$44+M$1)*Setup!$N$44))&gt;Setup!$P$44,IF(Setup!$M$44&gt;0,Setup!$G$44+(Setup!$O$44+M$1)*Setup!$M$44,EDATE(Setup!$G$44,(Setup!$O$44+M$1)*Setup!$N$44))&lt;Setup!$D$5),"",IF(Setup!$M$44&gt;0,Setup!$G$44+(Setup!$O$44+M$1)*Setup!$M$44,EDATE(Setup!$G$44,(Setup!$O$44+M$1)*Setup!$N$44))+$A21/1000)))</f>
        <v/>
      </c>
      <c r="N21">
        <f>IF(OR(Setup!$E$44="",Setup!$G$44="",Setup!$F$44=""),"",IF(AND(Setup!$F$44="Once",N$1&gt;0),"",IF(OR(IF(Setup!$M$44&gt;0,Setup!$G$44+(Setup!$O$44+N$1)*Setup!$M$44,EDATE(Setup!$G$44,(Setup!$O$44+N$1)*Setup!$N$44))&gt;Setup!$P$44,IF(Setup!$M$44&gt;0,Setup!$G$44+(Setup!$O$44+N$1)*Setup!$M$44,EDATE(Setup!$G$44,(Setup!$O$44+N$1)*Setup!$N$44))&lt;Setup!$D$5),"",IF(Setup!$M$44&gt;0,Setup!$G$44+(Setup!$O$44+N$1)*Setup!$M$44,EDATE(Setup!$G$44,(Setup!$O$44+N$1)*Setup!$N$44))+$A21/1000)))</f>
        <v/>
      </c>
      <c r="O21">
        <f>IF(OR(Setup!$E$44="",Setup!$G$44="",Setup!$F$44=""),"",IF(AND(Setup!$F$44="Once",O$1&gt;0),"",IF(OR(IF(Setup!$M$44&gt;0,Setup!$G$44+(Setup!$O$44+O$1)*Setup!$M$44,EDATE(Setup!$G$44,(Setup!$O$44+O$1)*Setup!$N$44))&gt;Setup!$P$44,IF(Setup!$M$44&gt;0,Setup!$G$44+(Setup!$O$44+O$1)*Setup!$M$44,EDATE(Setup!$G$44,(Setup!$O$44+O$1)*Setup!$N$44))&lt;Setup!$D$5),"",IF(Setup!$M$44&gt;0,Setup!$G$44+(Setup!$O$44+O$1)*Setup!$M$44,EDATE(Setup!$G$44,(Setup!$O$44+O$1)*Setup!$N$44))+$A21/1000)))</f>
        <v/>
      </c>
      <c r="P21">
        <f>IF(OR(Setup!$E$44="",Setup!$G$44="",Setup!$F$44=""),"",IF(AND(Setup!$F$44="Once",P$1&gt;0),"",IF(OR(IF(Setup!$M$44&gt;0,Setup!$G$44+(Setup!$O$44+P$1)*Setup!$M$44,EDATE(Setup!$G$44,(Setup!$O$44+P$1)*Setup!$N$44))&gt;Setup!$P$44,IF(Setup!$M$44&gt;0,Setup!$G$44+(Setup!$O$44+P$1)*Setup!$M$44,EDATE(Setup!$G$44,(Setup!$O$44+P$1)*Setup!$N$44))&lt;Setup!$D$5),"",IF(Setup!$M$44&gt;0,Setup!$G$44+(Setup!$O$44+P$1)*Setup!$M$44,EDATE(Setup!$G$44,(Setup!$O$44+P$1)*Setup!$N$44))+$A21/1000)))</f>
        <v/>
      </c>
      <c r="Q21">
        <f>IF(OR(Setup!$E$44="",Setup!$G$44="",Setup!$F$44=""),"",IF(AND(Setup!$F$44="Once",Q$1&gt;0),"",IF(OR(IF(Setup!$M$44&gt;0,Setup!$G$44+(Setup!$O$44+Q$1)*Setup!$M$44,EDATE(Setup!$G$44,(Setup!$O$44+Q$1)*Setup!$N$44))&gt;Setup!$P$44,IF(Setup!$M$44&gt;0,Setup!$G$44+(Setup!$O$44+Q$1)*Setup!$M$44,EDATE(Setup!$G$44,(Setup!$O$44+Q$1)*Setup!$N$44))&lt;Setup!$D$5),"",IF(Setup!$M$44&gt;0,Setup!$G$44+(Setup!$O$44+Q$1)*Setup!$M$44,EDATE(Setup!$G$44,(Setup!$O$44+Q$1)*Setup!$N$44))+$A21/1000)))</f>
        <v/>
      </c>
      <c r="R21">
        <f>IF(OR(Setup!$E$44="",Setup!$G$44="",Setup!$F$44=""),"",IF(AND(Setup!$F$44="Once",R$1&gt;0),"",IF(OR(IF(Setup!$M$44&gt;0,Setup!$G$44+(Setup!$O$44+R$1)*Setup!$M$44,EDATE(Setup!$G$44,(Setup!$O$44+R$1)*Setup!$N$44))&gt;Setup!$P$44,IF(Setup!$M$44&gt;0,Setup!$G$44+(Setup!$O$44+R$1)*Setup!$M$44,EDATE(Setup!$G$44,(Setup!$O$44+R$1)*Setup!$N$44))&lt;Setup!$D$5),"",IF(Setup!$M$44&gt;0,Setup!$G$44+(Setup!$O$44+R$1)*Setup!$M$44,EDATE(Setup!$G$44,(Setup!$O$44+R$1)*Setup!$N$44))+$A21/1000)))</f>
        <v/>
      </c>
      <c r="S21">
        <f>IF(OR(Setup!$E$44="",Setup!$G$44="",Setup!$F$44=""),"",IF(AND(Setup!$F$44="Once",S$1&gt;0),"",IF(OR(IF(Setup!$M$44&gt;0,Setup!$G$44+(Setup!$O$44+S$1)*Setup!$M$44,EDATE(Setup!$G$44,(Setup!$O$44+S$1)*Setup!$N$44))&gt;Setup!$P$44,IF(Setup!$M$44&gt;0,Setup!$G$44+(Setup!$O$44+S$1)*Setup!$M$44,EDATE(Setup!$G$44,(Setup!$O$44+S$1)*Setup!$N$44))&lt;Setup!$D$5),"",IF(Setup!$M$44&gt;0,Setup!$G$44+(Setup!$O$44+S$1)*Setup!$M$44,EDATE(Setup!$G$44,(Setup!$O$44+S$1)*Setup!$N$44))+$A21/1000)))</f>
        <v/>
      </c>
      <c r="T21">
        <f>IF(OR(Setup!$E$44="",Setup!$G$44="",Setup!$F$44=""),"",IF(AND(Setup!$F$44="Once",T$1&gt;0),"",IF(OR(IF(Setup!$M$44&gt;0,Setup!$G$44+(Setup!$O$44+T$1)*Setup!$M$44,EDATE(Setup!$G$44,(Setup!$O$44+T$1)*Setup!$N$44))&gt;Setup!$P$44,IF(Setup!$M$44&gt;0,Setup!$G$44+(Setup!$O$44+T$1)*Setup!$M$44,EDATE(Setup!$G$44,(Setup!$O$44+T$1)*Setup!$N$44))&lt;Setup!$D$5),"",IF(Setup!$M$44&gt;0,Setup!$G$44+(Setup!$O$44+T$1)*Setup!$M$44,EDATE(Setup!$G$44,(Setup!$O$44+T$1)*Setup!$N$44))+$A21/1000)))</f>
        <v/>
      </c>
      <c r="U21">
        <f>IF(OR(Setup!$E$44="",Setup!$G$44="",Setup!$F$44=""),"",IF(AND(Setup!$F$44="Once",U$1&gt;0),"",IF(OR(IF(Setup!$M$44&gt;0,Setup!$G$44+(Setup!$O$44+U$1)*Setup!$M$44,EDATE(Setup!$G$44,(Setup!$O$44+U$1)*Setup!$N$44))&gt;Setup!$P$44,IF(Setup!$M$44&gt;0,Setup!$G$44+(Setup!$O$44+U$1)*Setup!$M$44,EDATE(Setup!$G$44,(Setup!$O$44+U$1)*Setup!$N$44))&lt;Setup!$D$5),"",IF(Setup!$M$44&gt;0,Setup!$G$44+(Setup!$O$44+U$1)*Setup!$M$44,EDATE(Setup!$G$44,(Setup!$O$44+U$1)*Setup!$N$44))+$A21/1000)))</f>
        <v/>
      </c>
      <c r="V21">
        <f>IF(OR(Setup!$E$44="",Setup!$G$44="",Setup!$F$44=""),"",IF(AND(Setup!$F$44="Once",V$1&gt;0),"",IF(OR(IF(Setup!$M$44&gt;0,Setup!$G$44+(Setup!$O$44+V$1)*Setup!$M$44,EDATE(Setup!$G$44,(Setup!$O$44+V$1)*Setup!$N$44))&gt;Setup!$P$44,IF(Setup!$M$44&gt;0,Setup!$G$44+(Setup!$O$44+V$1)*Setup!$M$44,EDATE(Setup!$G$44,(Setup!$O$44+V$1)*Setup!$N$44))&lt;Setup!$D$5),"",IF(Setup!$M$44&gt;0,Setup!$G$44+(Setup!$O$44+V$1)*Setup!$M$44,EDATE(Setup!$G$44,(Setup!$O$44+V$1)*Setup!$N$44))+$A21/1000)))</f>
        <v/>
      </c>
      <c r="W21">
        <f>IF(OR(Setup!$E$44="",Setup!$G$44="",Setup!$F$44=""),"",IF(AND(Setup!$F$44="Once",W$1&gt;0),"",IF(OR(IF(Setup!$M$44&gt;0,Setup!$G$44+(Setup!$O$44+W$1)*Setup!$M$44,EDATE(Setup!$G$44,(Setup!$O$44+W$1)*Setup!$N$44))&gt;Setup!$P$44,IF(Setup!$M$44&gt;0,Setup!$G$44+(Setup!$O$44+W$1)*Setup!$M$44,EDATE(Setup!$G$44,(Setup!$O$44+W$1)*Setup!$N$44))&lt;Setup!$D$5),"",IF(Setup!$M$44&gt;0,Setup!$G$44+(Setup!$O$44+W$1)*Setup!$M$44,EDATE(Setup!$G$44,(Setup!$O$44+W$1)*Setup!$N$44))+$A21/1000)))</f>
        <v/>
      </c>
      <c r="X21">
        <f>IF(OR(Setup!$E$44="",Setup!$G$44="",Setup!$F$44=""),"",IF(AND(Setup!$F$44="Once",X$1&gt;0),"",IF(OR(IF(Setup!$M$44&gt;0,Setup!$G$44+(Setup!$O$44+X$1)*Setup!$M$44,EDATE(Setup!$G$44,(Setup!$O$44+X$1)*Setup!$N$44))&gt;Setup!$P$44,IF(Setup!$M$44&gt;0,Setup!$G$44+(Setup!$O$44+X$1)*Setup!$M$44,EDATE(Setup!$G$44,(Setup!$O$44+X$1)*Setup!$N$44))&lt;Setup!$D$5),"",IF(Setup!$M$44&gt;0,Setup!$G$44+(Setup!$O$44+X$1)*Setup!$M$44,EDATE(Setup!$G$44,(Setup!$O$44+X$1)*Setup!$N$44))+$A21/1000)))</f>
        <v/>
      </c>
      <c r="Y21">
        <f>IF(OR(Setup!$E$44="",Setup!$G$44="",Setup!$F$44=""),"",IF(AND(Setup!$F$44="Once",Y$1&gt;0),"",IF(OR(IF(Setup!$M$44&gt;0,Setup!$G$44+(Setup!$O$44+Y$1)*Setup!$M$44,EDATE(Setup!$G$44,(Setup!$O$44+Y$1)*Setup!$N$44))&gt;Setup!$P$44,IF(Setup!$M$44&gt;0,Setup!$G$44+(Setup!$O$44+Y$1)*Setup!$M$44,EDATE(Setup!$G$44,(Setup!$O$44+Y$1)*Setup!$N$44))&lt;Setup!$D$5),"",IF(Setup!$M$44&gt;0,Setup!$G$44+(Setup!$O$44+Y$1)*Setup!$M$44,EDATE(Setup!$G$44,(Setup!$O$44+Y$1)*Setup!$N$44))+$A21/1000)))</f>
        <v/>
      </c>
      <c r="Z21">
        <f>IF(OR(Setup!$E$44="",Setup!$G$44="",Setup!$F$44=""),"",IF(AND(Setup!$F$44="Once",Z$1&gt;0),"",IF(OR(IF(Setup!$M$44&gt;0,Setup!$G$44+(Setup!$O$44+Z$1)*Setup!$M$44,EDATE(Setup!$G$44,(Setup!$O$44+Z$1)*Setup!$N$44))&gt;Setup!$P$44,IF(Setup!$M$44&gt;0,Setup!$G$44+(Setup!$O$44+Z$1)*Setup!$M$44,EDATE(Setup!$G$44,(Setup!$O$44+Z$1)*Setup!$N$44))&lt;Setup!$D$5),"",IF(Setup!$M$44&gt;0,Setup!$G$44+(Setup!$O$44+Z$1)*Setup!$M$44,EDATE(Setup!$G$44,(Setup!$O$44+Z$1)*Setup!$N$44))+$A21/1000)))</f>
        <v/>
      </c>
      <c r="AA21">
        <f>IF(OR(Setup!$E$44="",Setup!$G$44="",Setup!$F$44=""),"",IF(AND(Setup!$F$44="Once",AA$1&gt;0),"",IF(OR(IF(Setup!$M$44&gt;0,Setup!$G$44+(Setup!$O$44+AA$1)*Setup!$M$44,EDATE(Setup!$G$44,(Setup!$O$44+AA$1)*Setup!$N$44))&gt;Setup!$P$44,IF(Setup!$M$44&gt;0,Setup!$G$44+(Setup!$O$44+AA$1)*Setup!$M$44,EDATE(Setup!$G$44,(Setup!$O$44+AA$1)*Setup!$N$44))&lt;Setup!$D$5),"",IF(Setup!$M$44&gt;0,Setup!$G$44+(Setup!$O$44+AA$1)*Setup!$M$44,EDATE(Setup!$G$44,(Setup!$O$44+AA$1)*Setup!$N$44))+$A21/1000)))</f>
        <v/>
      </c>
      <c r="AB21">
        <f>IF(OR(Setup!$E$44="",Setup!$G$44="",Setup!$F$44=""),"",IF(AND(Setup!$F$44="Once",AB$1&gt;0),"",IF(OR(IF(Setup!$M$44&gt;0,Setup!$G$44+(Setup!$O$44+AB$1)*Setup!$M$44,EDATE(Setup!$G$44,(Setup!$O$44+AB$1)*Setup!$N$44))&gt;Setup!$P$44,IF(Setup!$M$44&gt;0,Setup!$G$44+(Setup!$O$44+AB$1)*Setup!$M$44,EDATE(Setup!$G$44,(Setup!$O$44+AB$1)*Setup!$N$44))&lt;Setup!$D$5),"",IF(Setup!$M$44&gt;0,Setup!$G$44+(Setup!$O$44+AB$1)*Setup!$M$44,EDATE(Setup!$G$44,(Setup!$O$44+AB$1)*Setup!$N$44))+$A21/1000)))</f>
        <v/>
      </c>
      <c r="AC21">
        <f>IF(OR(Setup!$E$44="",Setup!$G$44="",Setup!$F$44=""),"",IF(AND(Setup!$F$44="Once",AC$1&gt;0),"",IF(OR(IF(Setup!$M$44&gt;0,Setup!$G$44+(Setup!$O$44+AC$1)*Setup!$M$44,EDATE(Setup!$G$44,(Setup!$O$44+AC$1)*Setup!$N$44))&gt;Setup!$P$44,IF(Setup!$M$44&gt;0,Setup!$G$44+(Setup!$O$44+AC$1)*Setup!$M$44,EDATE(Setup!$G$44,(Setup!$O$44+AC$1)*Setup!$N$44))&lt;Setup!$D$5),"",IF(Setup!$M$44&gt;0,Setup!$G$44+(Setup!$O$44+AC$1)*Setup!$M$44,EDATE(Setup!$G$44,(Setup!$O$44+AC$1)*Setup!$N$44))+$A21/1000)))</f>
        <v/>
      </c>
      <c r="AD21">
        <f>IF(OR(Setup!$E$44="",Setup!$G$44="",Setup!$F$44=""),"",IF(AND(Setup!$F$44="Once",AD$1&gt;0),"",IF(OR(IF(Setup!$M$44&gt;0,Setup!$G$44+(Setup!$O$44+AD$1)*Setup!$M$44,EDATE(Setup!$G$44,(Setup!$O$44+AD$1)*Setup!$N$44))&gt;Setup!$P$44,IF(Setup!$M$44&gt;0,Setup!$G$44+(Setup!$O$44+AD$1)*Setup!$M$44,EDATE(Setup!$G$44,(Setup!$O$44+AD$1)*Setup!$N$44))&lt;Setup!$D$5),"",IF(Setup!$M$44&gt;0,Setup!$G$44+(Setup!$O$44+AD$1)*Setup!$M$44,EDATE(Setup!$G$44,(Setup!$O$44+AD$1)*Setup!$N$44))+$A21/1000)))</f>
        <v/>
      </c>
      <c r="AE21">
        <f>IF(OR(Setup!$E$44="",Setup!$G$44="",Setup!$F$44=""),"",IF(AND(Setup!$F$44="Once",AE$1&gt;0),"",IF(OR(IF(Setup!$M$44&gt;0,Setup!$G$44+(Setup!$O$44+AE$1)*Setup!$M$44,EDATE(Setup!$G$44,(Setup!$O$44+AE$1)*Setup!$N$44))&gt;Setup!$P$44,IF(Setup!$M$44&gt;0,Setup!$G$44+(Setup!$O$44+AE$1)*Setup!$M$44,EDATE(Setup!$G$44,(Setup!$O$44+AE$1)*Setup!$N$44))&lt;Setup!$D$5),"",IF(Setup!$M$44&gt;0,Setup!$G$44+(Setup!$O$44+AE$1)*Setup!$M$44,EDATE(Setup!$G$44,(Setup!$O$44+AE$1)*Setup!$N$44))+$A21/1000)))</f>
        <v/>
      </c>
      <c r="AF21">
        <f>IF(OR(Setup!$E$44="",Setup!$G$44="",Setup!$F$44=""),"",IF(AND(Setup!$F$44="Once",AF$1&gt;0),"",IF(OR(IF(Setup!$M$44&gt;0,Setup!$G$44+(Setup!$O$44+AF$1)*Setup!$M$44,EDATE(Setup!$G$44,(Setup!$O$44+AF$1)*Setup!$N$44))&gt;Setup!$P$44,IF(Setup!$M$44&gt;0,Setup!$G$44+(Setup!$O$44+AF$1)*Setup!$M$44,EDATE(Setup!$G$44,(Setup!$O$44+AF$1)*Setup!$N$44))&lt;Setup!$D$5),"",IF(Setup!$M$44&gt;0,Setup!$G$44+(Setup!$O$44+AF$1)*Setup!$M$44,EDATE(Setup!$G$44,(Setup!$O$44+AF$1)*Setup!$N$44))+$A21/1000)))</f>
        <v/>
      </c>
      <c r="AG21">
        <f>IF(OR(Setup!$E$44="",Setup!$G$44="",Setup!$F$44=""),"",IF(AND(Setup!$F$44="Once",AG$1&gt;0),"",IF(OR(IF(Setup!$M$44&gt;0,Setup!$G$44+(Setup!$O$44+AG$1)*Setup!$M$44,EDATE(Setup!$G$44,(Setup!$O$44+AG$1)*Setup!$N$44))&gt;Setup!$P$44,IF(Setup!$M$44&gt;0,Setup!$G$44+(Setup!$O$44+AG$1)*Setup!$M$44,EDATE(Setup!$G$44,(Setup!$O$44+AG$1)*Setup!$N$44))&lt;Setup!$D$5),"",IF(Setup!$M$44&gt;0,Setup!$G$44+(Setup!$O$44+AG$1)*Setup!$M$44,EDATE(Setup!$G$44,(Setup!$O$44+AG$1)*Setup!$N$44))+$A21/1000)))</f>
        <v/>
      </c>
      <c r="AH21">
        <f>IF(OR(Setup!$E$44="",Setup!$G$44="",Setup!$F$44=""),"",IF(AND(Setup!$F$44="Once",AH$1&gt;0),"",IF(OR(IF(Setup!$M$44&gt;0,Setup!$G$44+(Setup!$O$44+AH$1)*Setup!$M$44,EDATE(Setup!$G$44,(Setup!$O$44+AH$1)*Setup!$N$44))&gt;Setup!$P$44,IF(Setup!$M$44&gt;0,Setup!$G$44+(Setup!$O$44+AH$1)*Setup!$M$44,EDATE(Setup!$G$44,(Setup!$O$44+AH$1)*Setup!$N$44))&lt;Setup!$D$5),"",IF(Setup!$M$44&gt;0,Setup!$G$44+(Setup!$O$44+AH$1)*Setup!$M$44,EDATE(Setup!$G$44,(Setup!$O$44+AH$1)*Setup!$N$44))+$A21/1000)))</f>
        <v/>
      </c>
      <c r="AI21">
        <f>IF(OR(Setup!$E$44="",Setup!$G$44="",Setup!$F$44=""),"",IF(AND(Setup!$F$44="Once",AI$1&gt;0),"",IF(OR(IF(Setup!$M$44&gt;0,Setup!$G$44+(Setup!$O$44+AI$1)*Setup!$M$44,EDATE(Setup!$G$44,(Setup!$O$44+AI$1)*Setup!$N$44))&gt;Setup!$P$44,IF(Setup!$M$44&gt;0,Setup!$G$44+(Setup!$O$44+AI$1)*Setup!$M$44,EDATE(Setup!$G$44,(Setup!$O$44+AI$1)*Setup!$N$44))&lt;Setup!$D$5),"",IF(Setup!$M$44&gt;0,Setup!$G$44+(Setup!$O$44+AI$1)*Setup!$M$44,EDATE(Setup!$G$44,(Setup!$O$44+AI$1)*Setup!$N$44))+$A21/1000)))</f>
        <v/>
      </c>
      <c r="AJ21">
        <f>IF(OR(Setup!$E$44="",Setup!$G$44="",Setup!$F$44=""),"",IF(AND(Setup!$F$44="Once",AJ$1&gt;0),"",IF(OR(IF(Setup!$M$44&gt;0,Setup!$G$44+(Setup!$O$44+AJ$1)*Setup!$M$44,EDATE(Setup!$G$44,(Setup!$O$44+AJ$1)*Setup!$N$44))&gt;Setup!$P$44,IF(Setup!$M$44&gt;0,Setup!$G$44+(Setup!$O$44+AJ$1)*Setup!$M$44,EDATE(Setup!$G$44,(Setup!$O$44+AJ$1)*Setup!$N$44))&lt;Setup!$D$5),"",IF(Setup!$M$44&gt;0,Setup!$G$44+(Setup!$O$44+AJ$1)*Setup!$M$44,EDATE(Setup!$G$44,(Setup!$O$44+AJ$1)*Setup!$N$44))+$A21/1000)))</f>
        <v/>
      </c>
      <c r="AK21">
        <f>IF(OR(Setup!$E$44="",Setup!$G$44="",Setup!$F$44=""),"",IF(AND(Setup!$F$44="Once",AK$1&gt;0),"",IF(OR(IF(Setup!$M$44&gt;0,Setup!$G$44+(Setup!$O$44+AK$1)*Setup!$M$44,EDATE(Setup!$G$44,(Setup!$O$44+AK$1)*Setup!$N$44))&gt;Setup!$P$44,IF(Setup!$M$44&gt;0,Setup!$G$44+(Setup!$O$44+AK$1)*Setup!$M$44,EDATE(Setup!$G$44,(Setup!$O$44+AK$1)*Setup!$N$44))&lt;Setup!$D$5),"",IF(Setup!$M$44&gt;0,Setup!$G$44+(Setup!$O$44+AK$1)*Setup!$M$44,EDATE(Setup!$G$44,(Setup!$O$44+AK$1)*Setup!$N$44))+$A21/1000)))</f>
        <v/>
      </c>
      <c r="AL21">
        <f>IF(OR(Setup!$E$44="",Setup!$G$44="",Setup!$F$44=""),"",IF(AND(Setup!$F$44="Once",AL$1&gt;0),"",IF(OR(IF(Setup!$M$44&gt;0,Setup!$G$44+(Setup!$O$44+AL$1)*Setup!$M$44,EDATE(Setup!$G$44,(Setup!$O$44+AL$1)*Setup!$N$44))&gt;Setup!$P$44,IF(Setup!$M$44&gt;0,Setup!$G$44+(Setup!$O$44+AL$1)*Setup!$M$44,EDATE(Setup!$G$44,(Setup!$O$44+AL$1)*Setup!$N$44))&lt;Setup!$D$5),"",IF(Setup!$M$44&gt;0,Setup!$G$44+(Setup!$O$44+AL$1)*Setup!$M$44,EDATE(Setup!$G$44,(Setup!$O$44+AL$1)*Setup!$N$44))+$A21/1000)))</f>
        <v/>
      </c>
      <c r="AM21">
        <f>IF(OR(Setup!$E$44="",Setup!$G$44="",Setup!$F$44=""),"",IF(AND(Setup!$F$44="Once",AM$1&gt;0),"",IF(OR(IF(Setup!$M$44&gt;0,Setup!$G$44+(Setup!$O$44+AM$1)*Setup!$M$44,EDATE(Setup!$G$44,(Setup!$O$44+AM$1)*Setup!$N$44))&gt;Setup!$P$44,IF(Setup!$M$44&gt;0,Setup!$G$44+(Setup!$O$44+AM$1)*Setup!$M$44,EDATE(Setup!$G$44,(Setup!$O$44+AM$1)*Setup!$N$44))&lt;Setup!$D$5),"",IF(Setup!$M$44&gt;0,Setup!$G$44+(Setup!$O$44+AM$1)*Setup!$M$44,EDATE(Setup!$G$44,(Setup!$O$44+AM$1)*Setup!$N$44))+$A21/1000)))</f>
        <v/>
      </c>
      <c r="AN21">
        <f>IF(OR(Setup!$E$44="",Setup!$G$44="",Setup!$F$44=""),"",IF(AND(Setup!$F$44="Once",AN$1&gt;0),"",IF(OR(IF(Setup!$M$44&gt;0,Setup!$G$44+(Setup!$O$44+AN$1)*Setup!$M$44,EDATE(Setup!$G$44,(Setup!$O$44+AN$1)*Setup!$N$44))&gt;Setup!$P$44,IF(Setup!$M$44&gt;0,Setup!$G$44+(Setup!$O$44+AN$1)*Setup!$M$44,EDATE(Setup!$G$44,(Setup!$O$44+AN$1)*Setup!$N$44))&lt;Setup!$D$5),"",IF(Setup!$M$44&gt;0,Setup!$G$44+(Setup!$O$44+AN$1)*Setup!$M$44,EDATE(Setup!$G$44,(Setup!$O$44+AN$1)*Setup!$N$44))+$A21/1000)))</f>
        <v/>
      </c>
      <c r="AO21">
        <f>IF(OR(Setup!$E$44="",Setup!$G$44="",Setup!$F$44=""),"",IF(AND(Setup!$F$44="Once",AO$1&gt;0),"",IF(OR(IF(Setup!$M$44&gt;0,Setup!$G$44+(Setup!$O$44+AO$1)*Setup!$M$44,EDATE(Setup!$G$44,(Setup!$O$44+AO$1)*Setup!$N$44))&gt;Setup!$P$44,IF(Setup!$M$44&gt;0,Setup!$G$44+(Setup!$O$44+AO$1)*Setup!$M$44,EDATE(Setup!$G$44,(Setup!$O$44+AO$1)*Setup!$N$44))&lt;Setup!$D$5),"",IF(Setup!$M$44&gt;0,Setup!$G$44+(Setup!$O$44+AO$1)*Setup!$M$44,EDATE(Setup!$G$44,(Setup!$O$44+AO$1)*Setup!$N$44))+$A21/1000)))</f>
        <v/>
      </c>
      <c r="AP21">
        <f>IF(OR(Setup!$E$44="",Setup!$G$44="",Setup!$F$44=""),"",IF(AND(Setup!$F$44="Once",AP$1&gt;0),"",IF(OR(IF(Setup!$M$44&gt;0,Setup!$G$44+(Setup!$O$44+AP$1)*Setup!$M$44,EDATE(Setup!$G$44,(Setup!$O$44+AP$1)*Setup!$N$44))&gt;Setup!$P$44,IF(Setup!$M$44&gt;0,Setup!$G$44+(Setup!$O$44+AP$1)*Setup!$M$44,EDATE(Setup!$G$44,(Setup!$O$44+AP$1)*Setup!$N$44))&lt;Setup!$D$5),"",IF(Setup!$M$44&gt;0,Setup!$G$44+(Setup!$O$44+AP$1)*Setup!$M$44,EDATE(Setup!$G$44,(Setup!$O$44+AP$1)*Setup!$N$44))+$A21/1000)))</f>
        <v/>
      </c>
      <c r="AQ21">
        <f>IF(OR(Setup!$E$44="",Setup!$G$44="",Setup!$F$44=""),"",IF(AND(Setup!$F$44="Once",AQ$1&gt;0),"",IF(OR(IF(Setup!$M$44&gt;0,Setup!$G$44+(Setup!$O$44+AQ$1)*Setup!$M$44,EDATE(Setup!$G$44,(Setup!$O$44+AQ$1)*Setup!$N$44))&gt;Setup!$P$44,IF(Setup!$M$44&gt;0,Setup!$G$44+(Setup!$O$44+AQ$1)*Setup!$M$44,EDATE(Setup!$G$44,(Setup!$O$44+AQ$1)*Setup!$N$44))&lt;Setup!$D$5),"",IF(Setup!$M$44&gt;0,Setup!$G$44+(Setup!$O$44+AQ$1)*Setup!$M$44,EDATE(Setup!$G$44,(Setup!$O$44+AQ$1)*Setup!$N$44))+$A21/1000)))</f>
        <v/>
      </c>
      <c r="AR21">
        <f>IF(OR(Setup!$E$44="",Setup!$G$44="",Setup!$F$44=""),"",IF(AND(Setup!$F$44="Once",AR$1&gt;0),"",IF(OR(IF(Setup!$M$44&gt;0,Setup!$G$44+(Setup!$O$44+AR$1)*Setup!$M$44,EDATE(Setup!$G$44,(Setup!$O$44+AR$1)*Setup!$N$44))&gt;Setup!$P$44,IF(Setup!$M$44&gt;0,Setup!$G$44+(Setup!$O$44+AR$1)*Setup!$M$44,EDATE(Setup!$G$44,(Setup!$O$44+AR$1)*Setup!$N$44))&lt;Setup!$D$5),"",IF(Setup!$M$44&gt;0,Setup!$G$44+(Setup!$O$44+AR$1)*Setup!$M$44,EDATE(Setup!$G$44,(Setup!$O$44+AR$1)*Setup!$N$44))+$A21/1000)))</f>
        <v/>
      </c>
      <c r="AS21">
        <f>IF(OR(Setup!$E$44="",Setup!$G$44="",Setup!$F$44=""),"",IF(AND(Setup!$F$44="Once",AS$1&gt;0),"",IF(OR(IF(Setup!$M$44&gt;0,Setup!$G$44+(Setup!$O$44+AS$1)*Setup!$M$44,EDATE(Setup!$G$44,(Setup!$O$44+AS$1)*Setup!$N$44))&gt;Setup!$P$44,IF(Setup!$M$44&gt;0,Setup!$G$44+(Setup!$O$44+AS$1)*Setup!$M$44,EDATE(Setup!$G$44,(Setup!$O$44+AS$1)*Setup!$N$44))&lt;Setup!$D$5),"",IF(Setup!$M$44&gt;0,Setup!$G$44+(Setup!$O$44+AS$1)*Setup!$M$44,EDATE(Setup!$G$44,(Setup!$O$44+AS$1)*Setup!$N$44))+$A21/1000)))</f>
        <v/>
      </c>
      <c r="AT21">
        <f>IF(OR(Setup!$E$44="",Setup!$G$44="",Setup!$F$44=""),"",IF(AND(Setup!$F$44="Once",AT$1&gt;0),"",IF(OR(IF(Setup!$M$44&gt;0,Setup!$G$44+(Setup!$O$44+AT$1)*Setup!$M$44,EDATE(Setup!$G$44,(Setup!$O$44+AT$1)*Setup!$N$44))&gt;Setup!$P$44,IF(Setup!$M$44&gt;0,Setup!$G$44+(Setup!$O$44+AT$1)*Setup!$M$44,EDATE(Setup!$G$44,(Setup!$O$44+AT$1)*Setup!$N$44))&lt;Setup!$D$5),"",IF(Setup!$M$44&gt;0,Setup!$G$44+(Setup!$O$44+AT$1)*Setup!$M$44,EDATE(Setup!$G$44,(Setup!$O$44+AT$1)*Setup!$N$44))+$A21/1000)))</f>
        <v/>
      </c>
      <c r="AU21">
        <f>IF(OR(Setup!$E$44="",Setup!$G$44="",Setup!$F$44=""),"",IF(AND(Setup!$F$44="Once",AU$1&gt;0),"",IF(OR(IF(Setup!$M$44&gt;0,Setup!$G$44+(Setup!$O$44+AU$1)*Setup!$M$44,EDATE(Setup!$G$44,(Setup!$O$44+AU$1)*Setup!$N$44))&gt;Setup!$P$44,IF(Setup!$M$44&gt;0,Setup!$G$44+(Setup!$O$44+AU$1)*Setup!$M$44,EDATE(Setup!$G$44,(Setup!$O$44+AU$1)*Setup!$N$44))&lt;Setup!$D$5),"",IF(Setup!$M$44&gt;0,Setup!$G$44+(Setup!$O$44+AU$1)*Setup!$M$44,EDATE(Setup!$G$44,(Setup!$O$44+AU$1)*Setup!$N$44))+$A21/1000)))</f>
        <v/>
      </c>
      <c r="AV21">
        <f>IF(OR(Setup!$E$44="",Setup!$G$44="",Setup!$F$44=""),"",IF(AND(Setup!$F$44="Once",AV$1&gt;0),"",IF(OR(IF(Setup!$M$44&gt;0,Setup!$G$44+(Setup!$O$44+AV$1)*Setup!$M$44,EDATE(Setup!$G$44,(Setup!$O$44+AV$1)*Setup!$N$44))&gt;Setup!$P$44,IF(Setup!$M$44&gt;0,Setup!$G$44+(Setup!$O$44+AV$1)*Setup!$M$44,EDATE(Setup!$G$44,(Setup!$O$44+AV$1)*Setup!$N$44))&lt;Setup!$D$5),"",IF(Setup!$M$44&gt;0,Setup!$G$44+(Setup!$O$44+AV$1)*Setup!$M$44,EDATE(Setup!$G$44,(Setup!$O$44+AV$1)*Setup!$N$44))+$A21/1000)))</f>
        <v/>
      </c>
      <c r="AW21">
        <f>IF(OR(Setup!$E$44="",Setup!$G$44="",Setup!$F$44=""),"",IF(AND(Setup!$F$44="Once",AW$1&gt;0),"",IF(OR(IF(Setup!$M$44&gt;0,Setup!$G$44+(Setup!$O$44+AW$1)*Setup!$M$44,EDATE(Setup!$G$44,(Setup!$O$44+AW$1)*Setup!$N$44))&gt;Setup!$P$44,IF(Setup!$M$44&gt;0,Setup!$G$44+(Setup!$O$44+AW$1)*Setup!$M$44,EDATE(Setup!$G$44,(Setup!$O$44+AW$1)*Setup!$N$44))&lt;Setup!$D$5),"",IF(Setup!$M$44&gt;0,Setup!$G$44+(Setup!$O$44+AW$1)*Setup!$M$44,EDATE(Setup!$G$44,(Setup!$O$44+AW$1)*Setup!$N$44))+$A21/1000)))</f>
        <v/>
      </c>
      <c r="AX21">
        <f>IF(OR(Setup!$E$44="",Setup!$G$44="",Setup!$F$44=""),"",IF(AND(Setup!$F$44="Once",AX$1&gt;0),"",IF(OR(IF(Setup!$M$44&gt;0,Setup!$G$44+(Setup!$O$44+AX$1)*Setup!$M$44,EDATE(Setup!$G$44,(Setup!$O$44+AX$1)*Setup!$N$44))&gt;Setup!$P$44,IF(Setup!$M$44&gt;0,Setup!$G$44+(Setup!$O$44+AX$1)*Setup!$M$44,EDATE(Setup!$G$44,(Setup!$O$44+AX$1)*Setup!$N$44))&lt;Setup!$D$5),"",IF(Setup!$M$44&gt;0,Setup!$G$44+(Setup!$O$44+AX$1)*Setup!$M$44,EDATE(Setup!$G$44,(Setup!$O$44+AX$1)*Setup!$N$44))+$A21/1000)))</f>
        <v/>
      </c>
      <c r="AY21">
        <f>IF(OR(Setup!$E$44="",Setup!$G$44="",Setup!$F$44=""),"",IF(AND(Setup!$F$44="Once",AY$1&gt;0),"",IF(OR(IF(Setup!$M$44&gt;0,Setup!$G$44+(Setup!$O$44+AY$1)*Setup!$M$44,EDATE(Setup!$G$44,(Setup!$O$44+AY$1)*Setup!$N$44))&gt;Setup!$P$44,IF(Setup!$M$44&gt;0,Setup!$G$44+(Setup!$O$44+AY$1)*Setup!$M$44,EDATE(Setup!$G$44,(Setup!$O$44+AY$1)*Setup!$N$44))&lt;Setup!$D$5),"",IF(Setup!$M$44&gt;0,Setup!$G$44+(Setup!$O$44+AY$1)*Setup!$M$44,EDATE(Setup!$G$44,(Setup!$O$44+AY$1)*Setup!$N$44))+$A21/1000)))</f>
        <v/>
      </c>
      <c r="AZ21">
        <f>IF(OR(Setup!$E$44="",Setup!$G$44="",Setup!$F$44=""),"",IF(AND(Setup!$F$44="Once",AZ$1&gt;0),"",IF(OR(IF(Setup!$M$44&gt;0,Setup!$G$44+(Setup!$O$44+AZ$1)*Setup!$M$44,EDATE(Setup!$G$44,(Setup!$O$44+AZ$1)*Setup!$N$44))&gt;Setup!$P$44,IF(Setup!$M$44&gt;0,Setup!$G$44+(Setup!$O$44+AZ$1)*Setup!$M$44,EDATE(Setup!$G$44,(Setup!$O$44+AZ$1)*Setup!$N$44))&lt;Setup!$D$5),"",IF(Setup!$M$44&gt;0,Setup!$G$44+(Setup!$O$44+AZ$1)*Setup!$M$44,EDATE(Setup!$G$44,(Setup!$O$44+AZ$1)*Setup!$N$44))+$A21/1000)))</f>
        <v/>
      </c>
      <c r="BA21">
        <f>IF(OR(Setup!$E$44="",Setup!$G$44="",Setup!$F$44=""),"",IF(AND(Setup!$F$44="Once",BA$1&gt;0),"",IF(OR(IF(Setup!$M$44&gt;0,Setup!$G$44+(Setup!$O$44+BA$1)*Setup!$M$44,EDATE(Setup!$G$44,(Setup!$O$44+BA$1)*Setup!$N$44))&gt;Setup!$P$44,IF(Setup!$M$44&gt;0,Setup!$G$44+(Setup!$O$44+BA$1)*Setup!$M$44,EDATE(Setup!$G$44,(Setup!$O$44+BA$1)*Setup!$N$44))&lt;Setup!$D$5),"",IF(Setup!$M$44&gt;0,Setup!$G$44+(Setup!$O$44+BA$1)*Setup!$M$44,EDATE(Setup!$G$44,(Setup!$O$44+BA$1)*Setup!$N$44))+$A21/1000)))</f>
        <v/>
      </c>
      <c r="BB21">
        <f>IF(OR(Setup!$E$44="",Setup!$G$44="",Setup!$F$44=""),"",IF(AND(Setup!$F$44="Once",BB$1&gt;0),"",IF(OR(IF(Setup!$M$44&gt;0,Setup!$G$44+(Setup!$O$44+BB$1)*Setup!$M$44,EDATE(Setup!$G$44,(Setup!$O$44+BB$1)*Setup!$N$44))&gt;Setup!$P$44,IF(Setup!$M$44&gt;0,Setup!$G$44+(Setup!$O$44+BB$1)*Setup!$M$44,EDATE(Setup!$G$44,(Setup!$O$44+BB$1)*Setup!$N$44))&lt;Setup!$D$5),"",IF(Setup!$M$44&gt;0,Setup!$G$44+(Setup!$O$44+BB$1)*Setup!$M$44,EDATE(Setup!$G$44,(Setup!$O$44+BB$1)*Setup!$N$44))+$A21/1000)))</f>
        <v/>
      </c>
    </row>
    <row r="22">
      <c r="A22" t="n">
        <v>21</v>
      </c>
      <c r="B22">
        <f>IF(OR(Setup!$E$45="",Setup!$G$45="",Setup!$F$45=""),"",IF(AND(Setup!$F$45="Once",B$1&gt;0),"",IF(OR(IF(Setup!$M$45&gt;0,Setup!$G$45+(Setup!$O$45+B$1)*Setup!$M$45,EDATE(Setup!$G$45,(Setup!$O$45+B$1)*Setup!$N$45))&gt;Setup!$P$45,IF(Setup!$M$45&gt;0,Setup!$G$45+(Setup!$O$45+B$1)*Setup!$M$45,EDATE(Setup!$G$45,(Setup!$O$45+B$1)*Setup!$N$45))&lt;Setup!$D$5),"",IF(Setup!$M$45&gt;0,Setup!$G$45+(Setup!$O$45+B$1)*Setup!$M$45,EDATE(Setup!$G$45,(Setup!$O$45+B$1)*Setup!$N$45))+$A22/1000)))</f>
        <v/>
      </c>
      <c r="C22">
        <f>IF(OR(Setup!$E$45="",Setup!$G$45="",Setup!$F$45=""),"",IF(AND(Setup!$F$45="Once",C$1&gt;0),"",IF(OR(IF(Setup!$M$45&gt;0,Setup!$G$45+(Setup!$O$45+C$1)*Setup!$M$45,EDATE(Setup!$G$45,(Setup!$O$45+C$1)*Setup!$N$45))&gt;Setup!$P$45,IF(Setup!$M$45&gt;0,Setup!$G$45+(Setup!$O$45+C$1)*Setup!$M$45,EDATE(Setup!$G$45,(Setup!$O$45+C$1)*Setup!$N$45))&lt;Setup!$D$5),"",IF(Setup!$M$45&gt;0,Setup!$G$45+(Setup!$O$45+C$1)*Setup!$M$45,EDATE(Setup!$G$45,(Setup!$O$45+C$1)*Setup!$N$45))+$A22/1000)))</f>
        <v/>
      </c>
      <c r="D22">
        <f>IF(OR(Setup!$E$45="",Setup!$G$45="",Setup!$F$45=""),"",IF(AND(Setup!$F$45="Once",D$1&gt;0),"",IF(OR(IF(Setup!$M$45&gt;0,Setup!$G$45+(Setup!$O$45+D$1)*Setup!$M$45,EDATE(Setup!$G$45,(Setup!$O$45+D$1)*Setup!$N$45))&gt;Setup!$P$45,IF(Setup!$M$45&gt;0,Setup!$G$45+(Setup!$O$45+D$1)*Setup!$M$45,EDATE(Setup!$G$45,(Setup!$O$45+D$1)*Setup!$N$45))&lt;Setup!$D$5),"",IF(Setup!$M$45&gt;0,Setup!$G$45+(Setup!$O$45+D$1)*Setup!$M$45,EDATE(Setup!$G$45,(Setup!$O$45+D$1)*Setup!$N$45))+$A22/1000)))</f>
        <v/>
      </c>
      <c r="E22">
        <f>IF(OR(Setup!$E$45="",Setup!$G$45="",Setup!$F$45=""),"",IF(AND(Setup!$F$45="Once",E$1&gt;0),"",IF(OR(IF(Setup!$M$45&gt;0,Setup!$G$45+(Setup!$O$45+E$1)*Setup!$M$45,EDATE(Setup!$G$45,(Setup!$O$45+E$1)*Setup!$N$45))&gt;Setup!$P$45,IF(Setup!$M$45&gt;0,Setup!$G$45+(Setup!$O$45+E$1)*Setup!$M$45,EDATE(Setup!$G$45,(Setup!$O$45+E$1)*Setup!$N$45))&lt;Setup!$D$5),"",IF(Setup!$M$45&gt;0,Setup!$G$45+(Setup!$O$45+E$1)*Setup!$M$45,EDATE(Setup!$G$45,(Setup!$O$45+E$1)*Setup!$N$45))+$A22/1000)))</f>
        <v/>
      </c>
      <c r="F22">
        <f>IF(OR(Setup!$E$45="",Setup!$G$45="",Setup!$F$45=""),"",IF(AND(Setup!$F$45="Once",F$1&gt;0),"",IF(OR(IF(Setup!$M$45&gt;0,Setup!$G$45+(Setup!$O$45+F$1)*Setup!$M$45,EDATE(Setup!$G$45,(Setup!$O$45+F$1)*Setup!$N$45))&gt;Setup!$P$45,IF(Setup!$M$45&gt;0,Setup!$G$45+(Setup!$O$45+F$1)*Setup!$M$45,EDATE(Setup!$G$45,(Setup!$O$45+F$1)*Setup!$N$45))&lt;Setup!$D$5),"",IF(Setup!$M$45&gt;0,Setup!$G$45+(Setup!$O$45+F$1)*Setup!$M$45,EDATE(Setup!$G$45,(Setup!$O$45+F$1)*Setup!$N$45))+$A22/1000)))</f>
        <v/>
      </c>
      <c r="G22">
        <f>IF(OR(Setup!$E$45="",Setup!$G$45="",Setup!$F$45=""),"",IF(AND(Setup!$F$45="Once",G$1&gt;0),"",IF(OR(IF(Setup!$M$45&gt;0,Setup!$G$45+(Setup!$O$45+G$1)*Setup!$M$45,EDATE(Setup!$G$45,(Setup!$O$45+G$1)*Setup!$N$45))&gt;Setup!$P$45,IF(Setup!$M$45&gt;0,Setup!$G$45+(Setup!$O$45+G$1)*Setup!$M$45,EDATE(Setup!$G$45,(Setup!$O$45+G$1)*Setup!$N$45))&lt;Setup!$D$5),"",IF(Setup!$M$45&gt;0,Setup!$G$45+(Setup!$O$45+G$1)*Setup!$M$45,EDATE(Setup!$G$45,(Setup!$O$45+G$1)*Setup!$N$45))+$A22/1000)))</f>
        <v/>
      </c>
      <c r="H22">
        <f>IF(OR(Setup!$E$45="",Setup!$G$45="",Setup!$F$45=""),"",IF(AND(Setup!$F$45="Once",H$1&gt;0),"",IF(OR(IF(Setup!$M$45&gt;0,Setup!$G$45+(Setup!$O$45+H$1)*Setup!$M$45,EDATE(Setup!$G$45,(Setup!$O$45+H$1)*Setup!$N$45))&gt;Setup!$P$45,IF(Setup!$M$45&gt;0,Setup!$G$45+(Setup!$O$45+H$1)*Setup!$M$45,EDATE(Setup!$G$45,(Setup!$O$45+H$1)*Setup!$N$45))&lt;Setup!$D$5),"",IF(Setup!$M$45&gt;0,Setup!$G$45+(Setup!$O$45+H$1)*Setup!$M$45,EDATE(Setup!$G$45,(Setup!$O$45+H$1)*Setup!$N$45))+$A22/1000)))</f>
        <v/>
      </c>
      <c r="I22">
        <f>IF(OR(Setup!$E$45="",Setup!$G$45="",Setup!$F$45=""),"",IF(AND(Setup!$F$45="Once",I$1&gt;0),"",IF(OR(IF(Setup!$M$45&gt;0,Setup!$G$45+(Setup!$O$45+I$1)*Setup!$M$45,EDATE(Setup!$G$45,(Setup!$O$45+I$1)*Setup!$N$45))&gt;Setup!$P$45,IF(Setup!$M$45&gt;0,Setup!$G$45+(Setup!$O$45+I$1)*Setup!$M$45,EDATE(Setup!$G$45,(Setup!$O$45+I$1)*Setup!$N$45))&lt;Setup!$D$5),"",IF(Setup!$M$45&gt;0,Setup!$G$45+(Setup!$O$45+I$1)*Setup!$M$45,EDATE(Setup!$G$45,(Setup!$O$45+I$1)*Setup!$N$45))+$A22/1000)))</f>
        <v/>
      </c>
      <c r="J22">
        <f>IF(OR(Setup!$E$45="",Setup!$G$45="",Setup!$F$45=""),"",IF(AND(Setup!$F$45="Once",J$1&gt;0),"",IF(OR(IF(Setup!$M$45&gt;0,Setup!$G$45+(Setup!$O$45+J$1)*Setup!$M$45,EDATE(Setup!$G$45,(Setup!$O$45+J$1)*Setup!$N$45))&gt;Setup!$P$45,IF(Setup!$M$45&gt;0,Setup!$G$45+(Setup!$O$45+J$1)*Setup!$M$45,EDATE(Setup!$G$45,(Setup!$O$45+J$1)*Setup!$N$45))&lt;Setup!$D$5),"",IF(Setup!$M$45&gt;0,Setup!$G$45+(Setup!$O$45+J$1)*Setup!$M$45,EDATE(Setup!$G$45,(Setup!$O$45+J$1)*Setup!$N$45))+$A22/1000)))</f>
        <v/>
      </c>
      <c r="K22">
        <f>IF(OR(Setup!$E$45="",Setup!$G$45="",Setup!$F$45=""),"",IF(AND(Setup!$F$45="Once",K$1&gt;0),"",IF(OR(IF(Setup!$M$45&gt;0,Setup!$G$45+(Setup!$O$45+K$1)*Setup!$M$45,EDATE(Setup!$G$45,(Setup!$O$45+K$1)*Setup!$N$45))&gt;Setup!$P$45,IF(Setup!$M$45&gt;0,Setup!$G$45+(Setup!$O$45+K$1)*Setup!$M$45,EDATE(Setup!$G$45,(Setup!$O$45+K$1)*Setup!$N$45))&lt;Setup!$D$5),"",IF(Setup!$M$45&gt;0,Setup!$G$45+(Setup!$O$45+K$1)*Setup!$M$45,EDATE(Setup!$G$45,(Setup!$O$45+K$1)*Setup!$N$45))+$A22/1000)))</f>
        <v/>
      </c>
      <c r="L22">
        <f>IF(OR(Setup!$E$45="",Setup!$G$45="",Setup!$F$45=""),"",IF(AND(Setup!$F$45="Once",L$1&gt;0),"",IF(OR(IF(Setup!$M$45&gt;0,Setup!$G$45+(Setup!$O$45+L$1)*Setup!$M$45,EDATE(Setup!$G$45,(Setup!$O$45+L$1)*Setup!$N$45))&gt;Setup!$P$45,IF(Setup!$M$45&gt;0,Setup!$G$45+(Setup!$O$45+L$1)*Setup!$M$45,EDATE(Setup!$G$45,(Setup!$O$45+L$1)*Setup!$N$45))&lt;Setup!$D$5),"",IF(Setup!$M$45&gt;0,Setup!$G$45+(Setup!$O$45+L$1)*Setup!$M$45,EDATE(Setup!$G$45,(Setup!$O$45+L$1)*Setup!$N$45))+$A22/1000)))</f>
        <v/>
      </c>
      <c r="M22">
        <f>IF(OR(Setup!$E$45="",Setup!$G$45="",Setup!$F$45=""),"",IF(AND(Setup!$F$45="Once",M$1&gt;0),"",IF(OR(IF(Setup!$M$45&gt;0,Setup!$G$45+(Setup!$O$45+M$1)*Setup!$M$45,EDATE(Setup!$G$45,(Setup!$O$45+M$1)*Setup!$N$45))&gt;Setup!$P$45,IF(Setup!$M$45&gt;0,Setup!$G$45+(Setup!$O$45+M$1)*Setup!$M$45,EDATE(Setup!$G$45,(Setup!$O$45+M$1)*Setup!$N$45))&lt;Setup!$D$5),"",IF(Setup!$M$45&gt;0,Setup!$G$45+(Setup!$O$45+M$1)*Setup!$M$45,EDATE(Setup!$G$45,(Setup!$O$45+M$1)*Setup!$N$45))+$A22/1000)))</f>
        <v/>
      </c>
      <c r="N22">
        <f>IF(OR(Setup!$E$45="",Setup!$G$45="",Setup!$F$45=""),"",IF(AND(Setup!$F$45="Once",N$1&gt;0),"",IF(OR(IF(Setup!$M$45&gt;0,Setup!$G$45+(Setup!$O$45+N$1)*Setup!$M$45,EDATE(Setup!$G$45,(Setup!$O$45+N$1)*Setup!$N$45))&gt;Setup!$P$45,IF(Setup!$M$45&gt;0,Setup!$G$45+(Setup!$O$45+N$1)*Setup!$M$45,EDATE(Setup!$G$45,(Setup!$O$45+N$1)*Setup!$N$45))&lt;Setup!$D$5),"",IF(Setup!$M$45&gt;0,Setup!$G$45+(Setup!$O$45+N$1)*Setup!$M$45,EDATE(Setup!$G$45,(Setup!$O$45+N$1)*Setup!$N$45))+$A22/1000)))</f>
        <v/>
      </c>
      <c r="O22">
        <f>IF(OR(Setup!$E$45="",Setup!$G$45="",Setup!$F$45=""),"",IF(AND(Setup!$F$45="Once",O$1&gt;0),"",IF(OR(IF(Setup!$M$45&gt;0,Setup!$G$45+(Setup!$O$45+O$1)*Setup!$M$45,EDATE(Setup!$G$45,(Setup!$O$45+O$1)*Setup!$N$45))&gt;Setup!$P$45,IF(Setup!$M$45&gt;0,Setup!$G$45+(Setup!$O$45+O$1)*Setup!$M$45,EDATE(Setup!$G$45,(Setup!$O$45+O$1)*Setup!$N$45))&lt;Setup!$D$5),"",IF(Setup!$M$45&gt;0,Setup!$G$45+(Setup!$O$45+O$1)*Setup!$M$45,EDATE(Setup!$G$45,(Setup!$O$45+O$1)*Setup!$N$45))+$A22/1000)))</f>
        <v/>
      </c>
      <c r="P22">
        <f>IF(OR(Setup!$E$45="",Setup!$G$45="",Setup!$F$45=""),"",IF(AND(Setup!$F$45="Once",P$1&gt;0),"",IF(OR(IF(Setup!$M$45&gt;0,Setup!$G$45+(Setup!$O$45+P$1)*Setup!$M$45,EDATE(Setup!$G$45,(Setup!$O$45+P$1)*Setup!$N$45))&gt;Setup!$P$45,IF(Setup!$M$45&gt;0,Setup!$G$45+(Setup!$O$45+P$1)*Setup!$M$45,EDATE(Setup!$G$45,(Setup!$O$45+P$1)*Setup!$N$45))&lt;Setup!$D$5),"",IF(Setup!$M$45&gt;0,Setup!$G$45+(Setup!$O$45+P$1)*Setup!$M$45,EDATE(Setup!$G$45,(Setup!$O$45+P$1)*Setup!$N$45))+$A22/1000)))</f>
        <v/>
      </c>
      <c r="Q22">
        <f>IF(OR(Setup!$E$45="",Setup!$G$45="",Setup!$F$45=""),"",IF(AND(Setup!$F$45="Once",Q$1&gt;0),"",IF(OR(IF(Setup!$M$45&gt;0,Setup!$G$45+(Setup!$O$45+Q$1)*Setup!$M$45,EDATE(Setup!$G$45,(Setup!$O$45+Q$1)*Setup!$N$45))&gt;Setup!$P$45,IF(Setup!$M$45&gt;0,Setup!$G$45+(Setup!$O$45+Q$1)*Setup!$M$45,EDATE(Setup!$G$45,(Setup!$O$45+Q$1)*Setup!$N$45))&lt;Setup!$D$5),"",IF(Setup!$M$45&gt;0,Setup!$G$45+(Setup!$O$45+Q$1)*Setup!$M$45,EDATE(Setup!$G$45,(Setup!$O$45+Q$1)*Setup!$N$45))+$A22/1000)))</f>
        <v/>
      </c>
      <c r="R22">
        <f>IF(OR(Setup!$E$45="",Setup!$G$45="",Setup!$F$45=""),"",IF(AND(Setup!$F$45="Once",R$1&gt;0),"",IF(OR(IF(Setup!$M$45&gt;0,Setup!$G$45+(Setup!$O$45+R$1)*Setup!$M$45,EDATE(Setup!$G$45,(Setup!$O$45+R$1)*Setup!$N$45))&gt;Setup!$P$45,IF(Setup!$M$45&gt;0,Setup!$G$45+(Setup!$O$45+R$1)*Setup!$M$45,EDATE(Setup!$G$45,(Setup!$O$45+R$1)*Setup!$N$45))&lt;Setup!$D$5),"",IF(Setup!$M$45&gt;0,Setup!$G$45+(Setup!$O$45+R$1)*Setup!$M$45,EDATE(Setup!$G$45,(Setup!$O$45+R$1)*Setup!$N$45))+$A22/1000)))</f>
        <v/>
      </c>
      <c r="S22">
        <f>IF(OR(Setup!$E$45="",Setup!$G$45="",Setup!$F$45=""),"",IF(AND(Setup!$F$45="Once",S$1&gt;0),"",IF(OR(IF(Setup!$M$45&gt;0,Setup!$G$45+(Setup!$O$45+S$1)*Setup!$M$45,EDATE(Setup!$G$45,(Setup!$O$45+S$1)*Setup!$N$45))&gt;Setup!$P$45,IF(Setup!$M$45&gt;0,Setup!$G$45+(Setup!$O$45+S$1)*Setup!$M$45,EDATE(Setup!$G$45,(Setup!$O$45+S$1)*Setup!$N$45))&lt;Setup!$D$5),"",IF(Setup!$M$45&gt;0,Setup!$G$45+(Setup!$O$45+S$1)*Setup!$M$45,EDATE(Setup!$G$45,(Setup!$O$45+S$1)*Setup!$N$45))+$A22/1000)))</f>
        <v/>
      </c>
      <c r="T22">
        <f>IF(OR(Setup!$E$45="",Setup!$G$45="",Setup!$F$45=""),"",IF(AND(Setup!$F$45="Once",T$1&gt;0),"",IF(OR(IF(Setup!$M$45&gt;0,Setup!$G$45+(Setup!$O$45+T$1)*Setup!$M$45,EDATE(Setup!$G$45,(Setup!$O$45+T$1)*Setup!$N$45))&gt;Setup!$P$45,IF(Setup!$M$45&gt;0,Setup!$G$45+(Setup!$O$45+T$1)*Setup!$M$45,EDATE(Setup!$G$45,(Setup!$O$45+T$1)*Setup!$N$45))&lt;Setup!$D$5),"",IF(Setup!$M$45&gt;0,Setup!$G$45+(Setup!$O$45+T$1)*Setup!$M$45,EDATE(Setup!$G$45,(Setup!$O$45+T$1)*Setup!$N$45))+$A22/1000)))</f>
        <v/>
      </c>
      <c r="U22">
        <f>IF(OR(Setup!$E$45="",Setup!$G$45="",Setup!$F$45=""),"",IF(AND(Setup!$F$45="Once",U$1&gt;0),"",IF(OR(IF(Setup!$M$45&gt;0,Setup!$G$45+(Setup!$O$45+U$1)*Setup!$M$45,EDATE(Setup!$G$45,(Setup!$O$45+U$1)*Setup!$N$45))&gt;Setup!$P$45,IF(Setup!$M$45&gt;0,Setup!$G$45+(Setup!$O$45+U$1)*Setup!$M$45,EDATE(Setup!$G$45,(Setup!$O$45+U$1)*Setup!$N$45))&lt;Setup!$D$5),"",IF(Setup!$M$45&gt;0,Setup!$G$45+(Setup!$O$45+U$1)*Setup!$M$45,EDATE(Setup!$G$45,(Setup!$O$45+U$1)*Setup!$N$45))+$A22/1000)))</f>
        <v/>
      </c>
      <c r="V22">
        <f>IF(OR(Setup!$E$45="",Setup!$G$45="",Setup!$F$45=""),"",IF(AND(Setup!$F$45="Once",V$1&gt;0),"",IF(OR(IF(Setup!$M$45&gt;0,Setup!$G$45+(Setup!$O$45+V$1)*Setup!$M$45,EDATE(Setup!$G$45,(Setup!$O$45+V$1)*Setup!$N$45))&gt;Setup!$P$45,IF(Setup!$M$45&gt;0,Setup!$G$45+(Setup!$O$45+V$1)*Setup!$M$45,EDATE(Setup!$G$45,(Setup!$O$45+V$1)*Setup!$N$45))&lt;Setup!$D$5),"",IF(Setup!$M$45&gt;0,Setup!$G$45+(Setup!$O$45+V$1)*Setup!$M$45,EDATE(Setup!$G$45,(Setup!$O$45+V$1)*Setup!$N$45))+$A22/1000)))</f>
        <v/>
      </c>
      <c r="W22">
        <f>IF(OR(Setup!$E$45="",Setup!$G$45="",Setup!$F$45=""),"",IF(AND(Setup!$F$45="Once",W$1&gt;0),"",IF(OR(IF(Setup!$M$45&gt;0,Setup!$G$45+(Setup!$O$45+W$1)*Setup!$M$45,EDATE(Setup!$G$45,(Setup!$O$45+W$1)*Setup!$N$45))&gt;Setup!$P$45,IF(Setup!$M$45&gt;0,Setup!$G$45+(Setup!$O$45+W$1)*Setup!$M$45,EDATE(Setup!$G$45,(Setup!$O$45+W$1)*Setup!$N$45))&lt;Setup!$D$5),"",IF(Setup!$M$45&gt;0,Setup!$G$45+(Setup!$O$45+W$1)*Setup!$M$45,EDATE(Setup!$G$45,(Setup!$O$45+W$1)*Setup!$N$45))+$A22/1000)))</f>
        <v/>
      </c>
      <c r="X22">
        <f>IF(OR(Setup!$E$45="",Setup!$G$45="",Setup!$F$45=""),"",IF(AND(Setup!$F$45="Once",X$1&gt;0),"",IF(OR(IF(Setup!$M$45&gt;0,Setup!$G$45+(Setup!$O$45+X$1)*Setup!$M$45,EDATE(Setup!$G$45,(Setup!$O$45+X$1)*Setup!$N$45))&gt;Setup!$P$45,IF(Setup!$M$45&gt;0,Setup!$G$45+(Setup!$O$45+X$1)*Setup!$M$45,EDATE(Setup!$G$45,(Setup!$O$45+X$1)*Setup!$N$45))&lt;Setup!$D$5),"",IF(Setup!$M$45&gt;0,Setup!$G$45+(Setup!$O$45+X$1)*Setup!$M$45,EDATE(Setup!$G$45,(Setup!$O$45+X$1)*Setup!$N$45))+$A22/1000)))</f>
        <v/>
      </c>
      <c r="Y22">
        <f>IF(OR(Setup!$E$45="",Setup!$G$45="",Setup!$F$45=""),"",IF(AND(Setup!$F$45="Once",Y$1&gt;0),"",IF(OR(IF(Setup!$M$45&gt;0,Setup!$G$45+(Setup!$O$45+Y$1)*Setup!$M$45,EDATE(Setup!$G$45,(Setup!$O$45+Y$1)*Setup!$N$45))&gt;Setup!$P$45,IF(Setup!$M$45&gt;0,Setup!$G$45+(Setup!$O$45+Y$1)*Setup!$M$45,EDATE(Setup!$G$45,(Setup!$O$45+Y$1)*Setup!$N$45))&lt;Setup!$D$5),"",IF(Setup!$M$45&gt;0,Setup!$G$45+(Setup!$O$45+Y$1)*Setup!$M$45,EDATE(Setup!$G$45,(Setup!$O$45+Y$1)*Setup!$N$45))+$A22/1000)))</f>
        <v/>
      </c>
      <c r="Z22">
        <f>IF(OR(Setup!$E$45="",Setup!$G$45="",Setup!$F$45=""),"",IF(AND(Setup!$F$45="Once",Z$1&gt;0),"",IF(OR(IF(Setup!$M$45&gt;0,Setup!$G$45+(Setup!$O$45+Z$1)*Setup!$M$45,EDATE(Setup!$G$45,(Setup!$O$45+Z$1)*Setup!$N$45))&gt;Setup!$P$45,IF(Setup!$M$45&gt;0,Setup!$G$45+(Setup!$O$45+Z$1)*Setup!$M$45,EDATE(Setup!$G$45,(Setup!$O$45+Z$1)*Setup!$N$45))&lt;Setup!$D$5),"",IF(Setup!$M$45&gt;0,Setup!$G$45+(Setup!$O$45+Z$1)*Setup!$M$45,EDATE(Setup!$G$45,(Setup!$O$45+Z$1)*Setup!$N$45))+$A22/1000)))</f>
        <v/>
      </c>
      <c r="AA22">
        <f>IF(OR(Setup!$E$45="",Setup!$G$45="",Setup!$F$45=""),"",IF(AND(Setup!$F$45="Once",AA$1&gt;0),"",IF(OR(IF(Setup!$M$45&gt;0,Setup!$G$45+(Setup!$O$45+AA$1)*Setup!$M$45,EDATE(Setup!$G$45,(Setup!$O$45+AA$1)*Setup!$N$45))&gt;Setup!$P$45,IF(Setup!$M$45&gt;0,Setup!$G$45+(Setup!$O$45+AA$1)*Setup!$M$45,EDATE(Setup!$G$45,(Setup!$O$45+AA$1)*Setup!$N$45))&lt;Setup!$D$5),"",IF(Setup!$M$45&gt;0,Setup!$G$45+(Setup!$O$45+AA$1)*Setup!$M$45,EDATE(Setup!$G$45,(Setup!$O$45+AA$1)*Setup!$N$45))+$A22/1000)))</f>
        <v/>
      </c>
      <c r="AB22">
        <f>IF(OR(Setup!$E$45="",Setup!$G$45="",Setup!$F$45=""),"",IF(AND(Setup!$F$45="Once",AB$1&gt;0),"",IF(OR(IF(Setup!$M$45&gt;0,Setup!$G$45+(Setup!$O$45+AB$1)*Setup!$M$45,EDATE(Setup!$G$45,(Setup!$O$45+AB$1)*Setup!$N$45))&gt;Setup!$P$45,IF(Setup!$M$45&gt;0,Setup!$G$45+(Setup!$O$45+AB$1)*Setup!$M$45,EDATE(Setup!$G$45,(Setup!$O$45+AB$1)*Setup!$N$45))&lt;Setup!$D$5),"",IF(Setup!$M$45&gt;0,Setup!$G$45+(Setup!$O$45+AB$1)*Setup!$M$45,EDATE(Setup!$G$45,(Setup!$O$45+AB$1)*Setup!$N$45))+$A22/1000)))</f>
        <v/>
      </c>
      <c r="AC22">
        <f>IF(OR(Setup!$E$45="",Setup!$G$45="",Setup!$F$45=""),"",IF(AND(Setup!$F$45="Once",AC$1&gt;0),"",IF(OR(IF(Setup!$M$45&gt;0,Setup!$G$45+(Setup!$O$45+AC$1)*Setup!$M$45,EDATE(Setup!$G$45,(Setup!$O$45+AC$1)*Setup!$N$45))&gt;Setup!$P$45,IF(Setup!$M$45&gt;0,Setup!$G$45+(Setup!$O$45+AC$1)*Setup!$M$45,EDATE(Setup!$G$45,(Setup!$O$45+AC$1)*Setup!$N$45))&lt;Setup!$D$5),"",IF(Setup!$M$45&gt;0,Setup!$G$45+(Setup!$O$45+AC$1)*Setup!$M$45,EDATE(Setup!$G$45,(Setup!$O$45+AC$1)*Setup!$N$45))+$A22/1000)))</f>
        <v/>
      </c>
      <c r="AD22">
        <f>IF(OR(Setup!$E$45="",Setup!$G$45="",Setup!$F$45=""),"",IF(AND(Setup!$F$45="Once",AD$1&gt;0),"",IF(OR(IF(Setup!$M$45&gt;0,Setup!$G$45+(Setup!$O$45+AD$1)*Setup!$M$45,EDATE(Setup!$G$45,(Setup!$O$45+AD$1)*Setup!$N$45))&gt;Setup!$P$45,IF(Setup!$M$45&gt;0,Setup!$G$45+(Setup!$O$45+AD$1)*Setup!$M$45,EDATE(Setup!$G$45,(Setup!$O$45+AD$1)*Setup!$N$45))&lt;Setup!$D$5),"",IF(Setup!$M$45&gt;0,Setup!$G$45+(Setup!$O$45+AD$1)*Setup!$M$45,EDATE(Setup!$G$45,(Setup!$O$45+AD$1)*Setup!$N$45))+$A22/1000)))</f>
        <v/>
      </c>
      <c r="AE22">
        <f>IF(OR(Setup!$E$45="",Setup!$G$45="",Setup!$F$45=""),"",IF(AND(Setup!$F$45="Once",AE$1&gt;0),"",IF(OR(IF(Setup!$M$45&gt;0,Setup!$G$45+(Setup!$O$45+AE$1)*Setup!$M$45,EDATE(Setup!$G$45,(Setup!$O$45+AE$1)*Setup!$N$45))&gt;Setup!$P$45,IF(Setup!$M$45&gt;0,Setup!$G$45+(Setup!$O$45+AE$1)*Setup!$M$45,EDATE(Setup!$G$45,(Setup!$O$45+AE$1)*Setup!$N$45))&lt;Setup!$D$5),"",IF(Setup!$M$45&gt;0,Setup!$G$45+(Setup!$O$45+AE$1)*Setup!$M$45,EDATE(Setup!$G$45,(Setup!$O$45+AE$1)*Setup!$N$45))+$A22/1000)))</f>
        <v/>
      </c>
      <c r="AF22">
        <f>IF(OR(Setup!$E$45="",Setup!$G$45="",Setup!$F$45=""),"",IF(AND(Setup!$F$45="Once",AF$1&gt;0),"",IF(OR(IF(Setup!$M$45&gt;0,Setup!$G$45+(Setup!$O$45+AF$1)*Setup!$M$45,EDATE(Setup!$G$45,(Setup!$O$45+AF$1)*Setup!$N$45))&gt;Setup!$P$45,IF(Setup!$M$45&gt;0,Setup!$G$45+(Setup!$O$45+AF$1)*Setup!$M$45,EDATE(Setup!$G$45,(Setup!$O$45+AF$1)*Setup!$N$45))&lt;Setup!$D$5),"",IF(Setup!$M$45&gt;0,Setup!$G$45+(Setup!$O$45+AF$1)*Setup!$M$45,EDATE(Setup!$G$45,(Setup!$O$45+AF$1)*Setup!$N$45))+$A22/1000)))</f>
        <v/>
      </c>
      <c r="AG22">
        <f>IF(OR(Setup!$E$45="",Setup!$G$45="",Setup!$F$45=""),"",IF(AND(Setup!$F$45="Once",AG$1&gt;0),"",IF(OR(IF(Setup!$M$45&gt;0,Setup!$G$45+(Setup!$O$45+AG$1)*Setup!$M$45,EDATE(Setup!$G$45,(Setup!$O$45+AG$1)*Setup!$N$45))&gt;Setup!$P$45,IF(Setup!$M$45&gt;0,Setup!$G$45+(Setup!$O$45+AG$1)*Setup!$M$45,EDATE(Setup!$G$45,(Setup!$O$45+AG$1)*Setup!$N$45))&lt;Setup!$D$5),"",IF(Setup!$M$45&gt;0,Setup!$G$45+(Setup!$O$45+AG$1)*Setup!$M$45,EDATE(Setup!$G$45,(Setup!$O$45+AG$1)*Setup!$N$45))+$A22/1000)))</f>
        <v/>
      </c>
      <c r="AH22">
        <f>IF(OR(Setup!$E$45="",Setup!$G$45="",Setup!$F$45=""),"",IF(AND(Setup!$F$45="Once",AH$1&gt;0),"",IF(OR(IF(Setup!$M$45&gt;0,Setup!$G$45+(Setup!$O$45+AH$1)*Setup!$M$45,EDATE(Setup!$G$45,(Setup!$O$45+AH$1)*Setup!$N$45))&gt;Setup!$P$45,IF(Setup!$M$45&gt;0,Setup!$G$45+(Setup!$O$45+AH$1)*Setup!$M$45,EDATE(Setup!$G$45,(Setup!$O$45+AH$1)*Setup!$N$45))&lt;Setup!$D$5),"",IF(Setup!$M$45&gt;0,Setup!$G$45+(Setup!$O$45+AH$1)*Setup!$M$45,EDATE(Setup!$G$45,(Setup!$O$45+AH$1)*Setup!$N$45))+$A22/1000)))</f>
        <v/>
      </c>
      <c r="AI22">
        <f>IF(OR(Setup!$E$45="",Setup!$G$45="",Setup!$F$45=""),"",IF(AND(Setup!$F$45="Once",AI$1&gt;0),"",IF(OR(IF(Setup!$M$45&gt;0,Setup!$G$45+(Setup!$O$45+AI$1)*Setup!$M$45,EDATE(Setup!$G$45,(Setup!$O$45+AI$1)*Setup!$N$45))&gt;Setup!$P$45,IF(Setup!$M$45&gt;0,Setup!$G$45+(Setup!$O$45+AI$1)*Setup!$M$45,EDATE(Setup!$G$45,(Setup!$O$45+AI$1)*Setup!$N$45))&lt;Setup!$D$5),"",IF(Setup!$M$45&gt;0,Setup!$G$45+(Setup!$O$45+AI$1)*Setup!$M$45,EDATE(Setup!$G$45,(Setup!$O$45+AI$1)*Setup!$N$45))+$A22/1000)))</f>
        <v/>
      </c>
      <c r="AJ22">
        <f>IF(OR(Setup!$E$45="",Setup!$G$45="",Setup!$F$45=""),"",IF(AND(Setup!$F$45="Once",AJ$1&gt;0),"",IF(OR(IF(Setup!$M$45&gt;0,Setup!$G$45+(Setup!$O$45+AJ$1)*Setup!$M$45,EDATE(Setup!$G$45,(Setup!$O$45+AJ$1)*Setup!$N$45))&gt;Setup!$P$45,IF(Setup!$M$45&gt;0,Setup!$G$45+(Setup!$O$45+AJ$1)*Setup!$M$45,EDATE(Setup!$G$45,(Setup!$O$45+AJ$1)*Setup!$N$45))&lt;Setup!$D$5),"",IF(Setup!$M$45&gt;0,Setup!$G$45+(Setup!$O$45+AJ$1)*Setup!$M$45,EDATE(Setup!$G$45,(Setup!$O$45+AJ$1)*Setup!$N$45))+$A22/1000)))</f>
        <v/>
      </c>
      <c r="AK22">
        <f>IF(OR(Setup!$E$45="",Setup!$G$45="",Setup!$F$45=""),"",IF(AND(Setup!$F$45="Once",AK$1&gt;0),"",IF(OR(IF(Setup!$M$45&gt;0,Setup!$G$45+(Setup!$O$45+AK$1)*Setup!$M$45,EDATE(Setup!$G$45,(Setup!$O$45+AK$1)*Setup!$N$45))&gt;Setup!$P$45,IF(Setup!$M$45&gt;0,Setup!$G$45+(Setup!$O$45+AK$1)*Setup!$M$45,EDATE(Setup!$G$45,(Setup!$O$45+AK$1)*Setup!$N$45))&lt;Setup!$D$5),"",IF(Setup!$M$45&gt;0,Setup!$G$45+(Setup!$O$45+AK$1)*Setup!$M$45,EDATE(Setup!$G$45,(Setup!$O$45+AK$1)*Setup!$N$45))+$A22/1000)))</f>
        <v/>
      </c>
      <c r="AL22">
        <f>IF(OR(Setup!$E$45="",Setup!$G$45="",Setup!$F$45=""),"",IF(AND(Setup!$F$45="Once",AL$1&gt;0),"",IF(OR(IF(Setup!$M$45&gt;0,Setup!$G$45+(Setup!$O$45+AL$1)*Setup!$M$45,EDATE(Setup!$G$45,(Setup!$O$45+AL$1)*Setup!$N$45))&gt;Setup!$P$45,IF(Setup!$M$45&gt;0,Setup!$G$45+(Setup!$O$45+AL$1)*Setup!$M$45,EDATE(Setup!$G$45,(Setup!$O$45+AL$1)*Setup!$N$45))&lt;Setup!$D$5),"",IF(Setup!$M$45&gt;0,Setup!$G$45+(Setup!$O$45+AL$1)*Setup!$M$45,EDATE(Setup!$G$45,(Setup!$O$45+AL$1)*Setup!$N$45))+$A22/1000)))</f>
        <v/>
      </c>
      <c r="AM22">
        <f>IF(OR(Setup!$E$45="",Setup!$G$45="",Setup!$F$45=""),"",IF(AND(Setup!$F$45="Once",AM$1&gt;0),"",IF(OR(IF(Setup!$M$45&gt;0,Setup!$G$45+(Setup!$O$45+AM$1)*Setup!$M$45,EDATE(Setup!$G$45,(Setup!$O$45+AM$1)*Setup!$N$45))&gt;Setup!$P$45,IF(Setup!$M$45&gt;0,Setup!$G$45+(Setup!$O$45+AM$1)*Setup!$M$45,EDATE(Setup!$G$45,(Setup!$O$45+AM$1)*Setup!$N$45))&lt;Setup!$D$5),"",IF(Setup!$M$45&gt;0,Setup!$G$45+(Setup!$O$45+AM$1)*Setup!$M$45,EDATE(Setup!$G$45,(Setup!$O$45+AM$1)*Setup!$N$45))+$A22/1000)))</f>
        <v/>
      </c>
      <c r="AN22">
        <f>IF(OR(Setup!$E$45="",Setup!$G$45="",Setup!$F$45=""),"",IF(AND(Setup!$F$45="Once",AN$1&gt;0),"",IF(OR(IF(Setup!$M$45&gt;0,Setup!$G$45+(Setup!$O$45+AN$1)*Setup!$M$45,EDATE(Setup!$G$45,(Setup!$O$45+AN$1)*Setup!$N$45))&gt;Setup!$P$45,IF(Setup!$M$45&gt;0,Setup!$G$45+(Setup!$O$45+AN$1)*Setup!$M$45,EDATE(Setup!$G$45,(Setup!$O$45+AN$1)*Setup!$N$45))&lt;Setup!$D$5),"",IF(Setup!$M$45&gt;0,Setup!$G$45+(Setup!$O$45+AN$1)*Setup!$M$45,EDATE(Setup!$G$45,(Setup!$O$45+AN$1)*Setup!$N$45))+$A22/1000)))</f>
        <v/>
      </c>
      <c r="AO22">
        <f>IF(OR(Setup!$E$45="",Setup!$G$45="",Setup!$F$45=""),"",IF(AND(Setup!$F$45="Once",AO$1&gt;0),"",IF(OR(IF(Setup!$M$45&gt;0,Setup!$G$45+(Setup!$O$45+AO$1)*Setup!$M$45,EDATE(Setup!$G$45,(Setup!$O$45+AO$1)*Setup!$N$45))&gt;Setup!$P$45,IF(Setup!$M$45&gt;0,Setup!$G$45+(Setup!$O$45+AO$1)*Setup!$M$45,EDATE(Setup!$G$45,(Setup!$O$45+AO$1)*Setup!$N$45))&lt;Setup!$D$5),"",IF(Setup!$M$45&gt;0,Setup!$G$45+(Setup!$O$45+AO$1)*Setup!$M$45,EDATE(Setup!$G$45,(Setup!$O$45+AO$1)*Setup!$N$45))+$A22/1000)))</f>
        <v/>
      </c>
      <c r="AP22">
        <f>IF(OR(Setup!$E$45="",Setup!$G$45="",Setup!$F$45=""),"",IF(AND(Setup!$F$45="Once",AP$1&gt;0),"",IF(OR(IF(Setup!$M$45&gt;0,Setup!$G$45+(Setup!$O$45+AP$1)*Setup!$M$45,EDATE(Setup!$G$45,(Setup!$O$45+AP$1)*Setup!$N$45))&gt;Setup!$P$45,IF(Setup!$M$45&gt;0,Setup!$G$45+(Setup!$O$45+AP$1)*Setup!$M$45,EDATE(Setup!$G$45,(Setup!$O$45+AP$1)*Setup!$N$45))&lt;Setup!$D$5),"",IF(Setup!$M$45&gt;0,Setup!$G$45+(Setup!$O$45+AP$1)*Setup!$M$45,EDATE(Setup!$G$45,(Setup!$O$45+AP$1)*Setup!$N$45))+$A22/1000)))</f>
        <v/>
      </c>
      <c r="AQ22">
        <f>IF(OR(Setup!$E$45="",Setup!$G$45="",Setup!$F$45=""),"",IF(AND(Setup!$F$45="Once",AQ$1&gt;0),"",IF(OR(IF(Setup!$M$45&gt;0,Setup!$G$45+(Setup!$O$45+AQ$1)*Setup!$M$45,EDATE(Setup!$G$45,(Setup!$O$45+AQ$1)*Setup!$N$45))&gt;Setup!$P$45,IF(Setup!$M$45&gt;0,Setup!$G$45+(Setup!$O$45+AQ$1)*Setup!$M$45,EDATE(Setup!$G$45,(Setup!$O$45+AQ$1)*Setup!$N$45))&lt;Setup!$D$5),"",IF(Setup!$M$45&gt;0,Setup!$G$45+(Setup!$O$45+AQ$1)*Setup!$M$45,EDATE(Setup!$G$45,(Setup!$O$45+AQ$1)*Setup!$N$45))+$A22/1000)))</f>
        <v/>
      </c>
      <c r="AR22">
        <f>IF(OR(Setup!$E$45="",Setup!$G$45="",Setup!$F$45=""),"",IF(AND(Setup!$F$45="Once",AR$1&gt;0),"",IF(OR(IF(Setup!$M$45&gt;0,Setup!$G$45+(Setup!$O$45+AR$1)*Setup!$M$45,EDATE(Setup!$G$45,(Setup!$O$45+AR$1)*Setup!$N$45))&gt;Setup!$P$45,IF(Setup!$M$45&gt;0,Setup!$G$45+(Setup!$O$45+AR$1)*Setup!$M$45,EDATE(Setup!$G$45,(Setup!$O$45+AR$1)*Setup!$N$45))&lt;Setup!$D$5),"",IF(Setup!$M$45&gt;0,Setup!$G$45+(Setup!$O$45+AR$1)*Setup!$M$45,EDATE(Setup!$G$45,(Setup!$O$45+AR$1)*Setup!$N$45))+$A22/1000)))</f>
        <v/>
      </c>
      <c r="AS22">
        <f>IF(OR(Setup!$E$45="",Setup!$G$45="",Setup!$F$45=""),"",IF(AND(Setup!$F$45="Once",AS$1&gt;0),"",IF(OR(IF(Setup!$M$45&gt;0,Setup!$G$45+(Setup!$O$45+AS$1)*Setup!$M$45,EDATE(Setup!$G$45,(Setup!$O$45+AS$1)*Setup!$N$45))&gt;Setup!$P$45,IF(Setup!$M$45&gt;0,Setup!$G$45+(Setup!$O$45+AS$1)*Setup!$M$45,EDATE(Setup!$G$45,(Setup!$O$45+AS$1)*Setup!$N$45))&lt;Setup!$D$5),"",IF(Setup!$M$45&gt;0,Setup!$G$45+(Setup!$O$45+AS$1)*Setup!$M$45,EDATE(Setup!$G$45,(Setup!$O$45+AS$1)*Setup!$N$45))+$A22/1000)))</f>
        <v/>
      </c>
      <c r="AT22">
        <f>IF(OR(Setup!$E$45="",Setup!$G$45="",Setup!$F$45=""),"",IF(AND(Setup!$F$45="Once",AT$1&gt;0),"",IF(OR(IF(Setup!$M$45&gt;0,Setup!$G$45+(Setup!$O$45+AT$1)*Setup!$M$45,EDATE(Setup!$G$45,(Setup!$O$45+AT$1)*Setup!$N$45))&gt;Setup!$P$45,IF(Setup!$M$45&gt;0,Setup!$G$45+(Setup!$O$45+AT$1)*Setup!$M$45,EDATE(Setup!$G$45,(Setup!$O$45+AT$1)*Setup!$N$45))&lt;Setup!$D$5),"",IF(Setup!$M$45&gt;0,Setup!$G$45+(Setup!$O$45+AT$1)*Setup!$M$45,EDATE(Setup!$G$45,(Setup!$O$45+AT$1)*Setup!$N$45))+$A22/1000)))</f>
        <v/>
      </c>
      <c r="AU22">
        <f>IF(OR(Setup!$E$45="",Setup!$G$45="",Setup!$F$45=""),"",IF(AND(Setup!$F$45="Once",AU$1&gt;0),"",IF(OR(IF(Setup!$M$45&gt;0,Setup!$G$45+(Setup!$O$45+AU$1)*Setup!$M$45,EDATE(Setup!$G$45,(Setup!$O$45+AU$1)*Setup!$N$45))&gt;Setup!$P$45,IF(Setup!$M$45&gt;0,Setup!$G$45+(Setup!$O$45+AU$1)*Setup!$M$45,EDATE(Setup!$G$45,(Setup!$O$45+AU$1)*Setup!$N$45))&lt;Setup!$D$5),"",IF(Setup!$M$45&gt;0,Setup!$G$45+(Setup!$O$45+AU$1)*Setup!$M$45,EDATE(Setup!$G$45,(Setup!$O$45+AU$1)*Setup!$N$45))+$A22/1000)))</f>
        <v/>
      </c>
      <c r="AV22">
        <f>IF(OR(Setup!$E$45="",Setup!$G$45="",Setup!$F$45=""),"",IF(AND(Setup!$F$45="Once",AV$1&gt;0),"",IF(OR(IF(Setup!$M$45&gt;0,Setup!$G$45+(Setup!$O$45+AV$1)*Setup!$M$45,EDATE(Setup!$G$45,(Setup!$O$45+AV$1)*Setup!$N$45))&gt;Setup!$P$45,IF(Setup!$M$45&gt;0,Setup!$G$45+(Setup!$O$45+AV$1)*Setup!$M$45,EDATE(Setup!$G$45,(Setup!$O$45+AV$1)*Setup!$N$45))&lt;Setup!$D$5),"",IF(Setup!$M$45&gt;0,Setup!$G$45+(Setup!$O$45+AV$1)*Setup!$M$45,EDATE(Setup!$G$45,(Setup!$O$45+AV$1)*Setup!$N$45))+$A22/1000)))</f>
        <v/>
      </c>
      <c r="AW22">
        <f>IF(OR(Setup!$E$45="",Setup!$G$45="",Setup!$F$45=""),"",IF(AND(Setup!$F$45="Once",AW$1&gt;0),"",IF(OR(IF(Setup!$M$45&gt;0,Setup!$G$45+(Setup!$O$45+AW$1)*Setup!$M$45,EDATE(Setup!$G$45,(Setup!$O$45+AW$1)*Setup!$N$45))&gt;Setup!$P$45,IF(Setup!$M$45&gt;0,Setup!$G$45+(Setup!$O$45+AW$1)*Setup!$M$45,EDATE(Setup!$G$45,(Setup!$O$45+AW$1)*Setup!$N$45))&lt;Setup!$D$5),"",IF(Setup!$M$45&gt;0,Setup!$G$45+(Setup!$O$45+AW$1)*Setup!$M$45,EDATE(Setup!$G$45,(Setup!$O$45+AW$1)*Setup!$N$45))+$A22/1000)))</f>
        <v/>
      </c>
      <c r="AX22">
        <f>IF(OR(Setup!$E$45="",Setup!$G$45="",Setup!$F$45=""),"",IF(AND(Setup!$F$45="Once",AX$1&gt;0),"",IF(OR(IF(Setup!$M$45&gt;0,Setup!$G$45+(Setup!$O$45+AX$1)*Setup!$M$45,EDATE(Setup!$G$45,(Setup!$O$45+AX$1)*Setup!$N$45))&gt;Setup!$P$45,IF(Setup!$M$45&gt;0,Setup!$G$45+(Setup!$O$45+AX$1)*Setup!$M$45,EDATE(Setup!$G$45,(Setup!$O$45+AX$1)*Setup!$N$45))&lt;Setup!$D$5),"",IF(Setup!$M$45&gt;0,Setup!$G$45+(Setup!$O$45+AX$1)*Setup!$M$45,EDATE(Setup!$G$45,(Setup!$O$45+AX$1)*Setup!$N$45))+$A22/1000)))</f>
        <v/>
      </c>
      <c r="AY22">
        <f>IF(OR(Setup!$E$45="",Setup!$G$45="",Setup!$F$45=""),"",IF(AND(Setup!$F$45="Once",AY$1&gt;0),"",IF(OR(IF(Setup!$M$45&gt;0,Setup!$G$45+(Setup!$O$45+AY$1)*Setup!$M$45,EDATE(Setup!$G$45,(Setup!$O$45+AY$1)*Setup!$N$45))&gt;Setup!$P$45,IF(Setup!$M$45&gt;0,Setup!$G$45+(Setup!$O$45+AY$1)*Setup!$M$45,EDATE(Setup!$G$45,(Setup!$O$45+AY$1)*Setup!$N$45))&lt;Setup!$D$5),"",IF(Setup!$M$45&gt;0,Setup!$G$45+(Setup!$O$45+AY$1)*Setup!$M$45,EDATE(Setup!$G$45,(Setup!$O$45+AY$1)*Setup!$N$45))+$A22/1000)))</f>
        <v/>
      </c>
      <c r="AZ22">
        <f>IF(OR(Setup!$E$45="",Setup!$G$45="",Setup!$F$45=""),"",IF(AND(Setup!$F$45="Once",AZ$1&gt;0),"",IF(OR(IF(Setup!$M$45&gt;0,Setup!$G$45+(Setup!$O$45+AZ$1)*Setup!$M$45,EDATE(Setup!$G$45,(Setup!$O$45+AZ$1)*Setup!$N$45))&gt;Setup!$P$45,IF(Setup!$M$45&gt;0,Setup!$G$45+(Setup!$O$45+AZ$1)*Setup!$M$45,EDATE(Setup!$G$45,(Setup!$O$45+AZ$1)*Setup!$N$45))&lt;Setup!$D$5),"",IF(Setup!$M$45&gt;0,Setup!$G$45+(Setup!$O$45+AZ$1)*Setup!$M$45,EDATE(Setup!$G$45,(Setup!$O$45+AZ$1)*Setup!$N$45))+$A22/1000)))</f>
        <v/>
      </c>
      <c r="BA22">
        <f>IF(OR(Setup!$E$45="",Setup!$G$45="",Setup!$F$45=""),"",IF(AND(Setup!$F$45="Once",BA$1&gt;0),"",IF(OR(IF(Setup!$M$45&gt;0,Setup!$G$45+(Setup!$O$45+BA$1)*Setup!$M$45,EDATE(Setup!$G$45,(Setup!$O$45+BA$1)*Setup!$N$45))&gt;Setup!$P$45,IF(Setup!$M$45&gt;0,Setup!$G$45+(Setup!$O$45+BA$1)*Setup!$M$45,EDATE(Setup!$G$45,(Setup!$O$45+BA$1)*Setup!$N$45))&lt;Setup!$D$5),"",IF(Setup!$M$45&gt;0,Setup!$G$45+(Setup!$O$45+BA$1)*Setup!$M$45,EDATE(Setup!$G$45,(Setup!$O$45+BA$1)*Setup!$N$45))+$A22/1000)))</f>
        <v/>
      </c>
      <c r="BB22">
        <f>IF(OR(Setup!$E$45="",Setup!$G$45="",Setup!$F$45=""),"",IF(AND(Setup!$F$45="Once",BB$1&gt;0),"",IF(OR(IF(Setup!$M$45&gt;0,Setup!$G$45+(Setup!$O$45+BB$1)*Setup!$M$45,EDATE(Setup!$G$45,(Setup!$O$45+BB$1)*Setup!$N$45))&gt;Setup!$P$45,IF(Setup!$M$45&gt;0,Setup!$G$45+(Setup!$O$45+BB$1)*Setup!$M$45,EDATE(Setup!$G$45,(Setup!$O$45+BB$1)*Setup!$N$45))&lt;Setup!$D$5),"",IF(Setup!$M$45&gt;0,Setup!$G$45+(Setup!$O$45+BB$1)*Setup!$M$45,EDATE(Setup!$G$45,(Setup!$O$45+BB$1)*Setup!$N$45))+$A22/1000)))</f>
        <v/>
      </c>
    </row>
    <row r="23">
      <c r="A23" t="n">
        <v>22</v>
      </c>
      <c r="B23">
        <f>IF(OR(Setup!$E$46="",Setup!$G$46="",Setup!$F$46=""),"",IF(AND(Setup!$F$46="Once",B$1&gt;0),"",IF(OR(IF(Setup!$M$46&gt;0,Setup!$G$46+(Setup!$O$46+B$1)*Setup!$M$46,EDATE(Setup!$G$46,(Setup!$O$46+B$1)*Setup!$N$46))&gt;Setup!$P$46,IF(Setup!$M$46&gt;0,Setup!$G$46+(Setup!$O$46+B$1)*Setup!$M$46,EDATE(Setup!$G$46,(Setup!$O$46+B$1)*Setup!$N$46))&lt;Setup!$D$5),"",IF(Setup!$M$46&gt;0,Setup!$G$46+(Setup!$O$46+B$1)*Setup!$M$46,EDATE(Setup!$G$46,(Setup!$O$46+B$1)*Setup!$N$46))+$A23/1000)))</f>
        <v/>
      </c>
      <c r="C23">
        <f>IF(OR(Setup!$E$46="",Setup!$G$46="",Setup!$F$46=""),"",IF(AND(Setup!$F$46="Once",C$1&gt;0),"",IF(OR(IF(Setup!$M$46&gt;0,Setup!$G$46+(Setup!$O$46+C$1)*Setup!$M$46,EDATE(Setup!$G$46,(Setup!$O$46+C$1)*Setup!$N$46))&gt;Setup!$P$46,IF(Setup!$M$46&gt;0,Setup!$G$46+(Setup!$O$46+C$1)*Setup!$M$46,EDATE(Setup!$G$46,(Setup!$O$46+C$1)*Setup!$N$46))&lt;Setup!$D$5),"",IF(Setup!$M$46&gt;0,Setup!$G$46+(Setup!$O$46+C$1)*Setup!$M$46,EDATE(Setup!$G$46,(Setup!$O$46+C$1)*Setup!$N$46))+$A23/1000)))</f>
        <v/>
      </c>
      <c r="D23">
        <f>IF(OR(Setup!$E$46="",Setup!$G$46="",Setup!$F$46=""),"",IF(AND(Setup!$F$46="Once",D$1&gt;0),"",IF(OR(IF(Setup!$M$46&gt;0,Setup!$G$46+(Setup!$O$46+D$1)*Setup!$M$46,EDATE(Setup!$G$46,(Setup!$O$46+D$1)*Setup!$N$46))&gt;Setup!$P$46,IF(Setup!$M$46&gt;0,Setup!$G$46+(Setup!$O$46+D$1)*Setup!$M$46,EDATE(Setup!$G$46,(Setup!$O$46+D$1)*Setup!$N$46))&lt;Setup!$D$5),"",IF(Setup!$M$46&gt;0,Setup!$G$46+(Setup!$O$46+D$1)*Setup!$M$46,EDATE(Setup!$G$46,(Setup!$O$46+D$1)*Setup!$N$46))+$A23/1000)))</f>
        <v/>
      </c>
      <c r="E23">
        <f>IF(OR(Setup!$E$46="",Setup!$G$46="",Setup!$F$46=""),"",IF(AND(Setup!$F$46="Once",E$1&gt;0),"",IF(OR(IF(Setup!$M$46&gt;0,Setup!$G$46+(Setup!$O$46+E$1)*Setup!$M$46,EDATE(Setup!$G$46,(Setup!$O$46+E$1)*Setup!$N$46))&gt;Setup!$P$46,IF(Setup!$M$46&gt;0,Setup!$G$46+(Setup!$O$46+E$1)*Setup!$M$46,EDATE(Setup!$G$46,(Setup!$O$46+E$1)*Setup!$N$46))&lt;Setup!$D$5),"",IF(Setup!$M$46&gt;0,Setup!$G$46+(Setup!$O$46+E$1)*Setup!$M$46,EDATE(Setup!$G$46,(Setup!$O$46+E$1)*Setup!$N$46))+$A23/1000)))</f>
        <v/>
      </c>
      <c r="F23">
        <f>IF(OR(Setup!$E$46="",Setup!$G$46="",Setup!$F$46=""),"",IF(AND(Setup!$F$46="Once",F$1&gt;0),"",IF(OR(IF(Setup!$M$46&gt;0,Setup!$G$46+(Setup!$O$46+F$1)*Setup!$M$46,EDATE(Setup!$G$46,(Setup!$O$46+F$1)*Setup!$N$46))&gt;Setup!$P$46,IF(Setup!$M$46&gt;0,Setup!$G$46+(Setup!$O$46+F$1)*Setup!$M$46,EDATE(Setup!$G$46,(Setup!$O$46+F$1)*Setup!$N$46))&lt;Setup!$D$5),"",IF(Setup!$M$46&gt;0,Setup!$G$46+(Setup!$O$46+F$1)*Setup!$M$46,EDATE(Setup!$G$46,(Setup!$O$46+F$1)*Setup!$N$46))+$A23/1000)))</f>
        <v/>
      </c>
      <c r="G23">
        <f>IF(OR(Setup!$E$46="",Setup!$G$46="",Setup!$F$46=""),"",IF(AND(Setup!$F$46="Once",G$1&gt;0),"",IF(OR(IF(Setup!$M$46&gt;0,Setup!$G$46+(Setup!$O$46+G$1)*Setup!$M$46,EDATE(Setup!$G$46,(Setup!$O$46+G$1)*Setup!$N$46))&gt;Setup!$P$46,IF(Setup!$M$46&gt;0,Setup!$G$46+(Setup!$O$46+G$1)*Setup!$M$46,EDATE(Setup!$G$46,(Setup!$O$46+G$1)*Setup!$N$46))&lt;Setup!$D$5),"",IF(Setup!$M$46&gt;0,Setup!$G$46+(Setup!$O$46+G$1)*Setup!$M$46,EDATE(Setup!$G$46,(Setup!$O$46+G$1)*Setup!$N$46))+$A23/1000)))</f>
        <v/>
      </c>
      <c r="H23">
        <f>IF(OR(Setup!$E$46="",Setup!$G$46="",Setup!$F$46=""),"",IF(AND(Setup!$F$46="Once",H$1&gt;0),"",IF(OR(IF(Setup!$M$46&gt;0,Setup!$G$46+(Setup!$O$46+H$1)*Setup!$M$46,EDATE(Setup!$G$46,(Setup!$O$46+H$1)*Setup!$N$46))&gt;Setup!$P$46,IF(Setup!$M$46&gt;0,Setup!$G$46+(Setup!$O$46+H$1)*Setup!$M$46,EDATE(Setup!$G$46,(Setup!$O$46+H$1)*Setup!$N$46))&lt;Setup!$D$5),"",IF(Setup!$M$46&gt;0,Setup!$G$46+(Setup!$O$46+H$1)*Setup!$M$46,EDATE(Setup!$G$46,(Setup!$O$46+H$1)*Setup!$N$46))+$A23/1000)))</f>
        <v/>
      </c>
      <c r="I23">
        <f>IF(OR(Setup!$E$46="",Setup!$G$46="",Setup!$F$46=""),"",IF(AND(Setup!$F$46="Once",I$1&gt;0),"",IF(OR(IF(Setup!$M$46&gt;0,Setup!$G$46+(Setup!$O$46+I$1)*Setup!$M$46,EDATE(Setup!$G$46,(Setup!$O$46+I$1)*Setup!$N$46))&gt;Setup!$P$46,IF(Setup!$M$46&gt;0,Setup!$G$46+(Setup!$O$46+I$1)*Setup!$M$46,EDATE(Setup!$G$46,(Setup!$O$46+I$1)*Setup!$N$46))&lt;Setup!$D$5),"",IF(Setup!$M$46&gt;0,Setup!$G$46+(Setup!$O$46+I$1)*Setup!$M$46,EDATE(Setup!$G$46,(Setup!$O$46+I$1)*Setup!$N$46))+$A23/1000)))</f>
        <v/>
      </c>
      <c r="J23">
        <f>IF(OR(Setup!$E$46="",Setup!$G$46="",Setup!$F$46=""),"",IF(AND(Setup!$F$46="Once",J$1&gt;0),"",IF(OR(IF(Setup!$M$46&gt;0,Setup!$G$46+(Setup!$O$46+J$1)*Setup!$M$46,EDATE(Setup!$G$46,(Setup!$O$46+J$1)*Setup!$N$46))&gt;Setup!$P$46,IF(Setup!$M$46&gt;0,Setup!$G$46+(Setup!$O$46+J$1)*Setup!$M$46,EDATE(Setup!$G$46,(Setup!$O$46+J$1)*Setup!$N$46))&lt;Setup!$D$5),"",IF(Setup!$M$46&gt;0,Setup!$G$46+(Setup!$O$46+J$1)*Setup!$M$46,EDATE(Setup!$G$46,(Setup!$O$46+J$1)*Setup!$N$46))+$A23/1000)))</f>
        <v/>
      </c>
      <c r="K23">
        <f>IF(OR(Setup!$E$46="",Setup!$G$46="",Setup!$F$46=""),"",IF(AND(Setup!$F$46="Once",K$1&gt;0),"",IF(OR(IF(Setup!$M$46&gt;0,Setup!$G$46+(Setup!$O$46+K$1)*Setup!$M$46,EDATE(Setup!$G$46,(Setup!$O$46+K$1)*Setup!$N$46))&gt;Setup!$P$46,IF(Setup!$M$46&gt;0,Setup!$G$46+(Setup!$O$46+K$1)*Setup!$M$46,EDATE(Setup!$G$46,(Setup!$O$46+K$1)*Setup!$N$46))&lt;Setup!$D$5),"",IF(Setup!$M$46&gt;0,Setup!$G$46+(Setup!$O$46+K$1)*Setup!$M$46,EDATE(Setup!$G$46,(Setup!$O$46+K$1)*Setup!$N$46))+$A23/1000)))</f>
        <v/>
      </c>
      <c r="L23">
        <f>IF(OR(Setup!$E$46="",Setup!$G$46="",Setup!$F$46=""),"",IF(AND(Setup!$F$46="Once",L$1&gt;0),"",IF(OR(IF(Setup!$M$46&gt;0,Setup!$G$46+(Setup!$O$46+L$1)*Setup!$M$46,EDATE(Setup!$G$46,(Setup!$O$46+L$1)*Setup!$N$46))&gt;Setup!$P$46,IF(Setup!$M$46&gt;0,Setup!$G$46+(Setup!$O$46+L$1)*Setup!$M$46,EDATE(Setup!$G$46,(Setup!$O$46+L$1)*Setup!$N$46))&lt;Setup!$D$5),"",IF(Setup!$M$46&gt;0,Setup!$G$46+(Setup!$O$46+L$1)*Setup!$M$46,EDATE(Setup!$G$46,(Setup!$O$46+L$1)*Setup!$N$46))+$A23/1000)))</f>
        <v/>
      </c>
      <c r="M23">
        <f>IF(OR(Setup!$E$46="",Setup!$G$46="",Setup!$F$46=""),"",IF(AND(Setup!$F$46="Once",M$1&gt;0),"",IF(OR(IF(Setup!$M$46&gt;0,Setup!$G$46+(Setup!$O$46+M$1)*Setup!$M$46,EDATE(Setup!$G$46,(Setup!$O$46+M$1)*Setup!$N$46))&gt;Setup!$P$46,IF(Setup!$M$46&gt;0,Setup!$G$46+(Setup!$O$46+M$1)*Setup!$M$46,EDATE(Setup!$G$46,(Setup!$O$46+M$1)*Setup!$N$46))&lt;Setup!$D$5),"",IF(Setup!$M$46&gt;0,Setup!$G$46+(Setup!$O$46+M$1)*Setup!$M$46,EDATE(Setup!$G$46,(Setup!$O$46+M$1)*Setup!$N$46))+$A23/1000)))</f>
        <v/>
      </c>
      <c r="N23">
        <f>IF(OR(Setup!$E$46="",Setup!$G$46="",Setup!$F$46=""),"",IF(AND(Setup!$F$46="Once",N$1&gt;0),"",IF(OR(IF(Setup!$M$46&gt;0,Setup!$G$46+(Setup!$O$46+N$1)*Setup!$M$46,EDATE(Setup!$G$46,(Setup!$O$46+N$1)*Setup!$N$46))&gt;Setup!$P$46,IF(Setup!$M$46&gt;0,Setup!$G$46+(Setup!$O$46+N$1)*Setup!$M$46,EDATE(Setup!$G$46,(Setup!$O$46+N$1)*Setup!$N$46))&lt;Setup!$D$5),"",IF(Setup!$M$46&gt;0,Setup!$G$46+(Setup!$O$46+N$1)*Setup!$M$46,EDATE(Setup!$G$46,(Setup!$O$46+N$1)*Setup!$N$46))+$A23/1000)))</f>
        <v/>
      </c>
      <c r="O23">
        <f>IF(OR(Setup!$E$46="",Setup!$G$46="",Setup!$F$46=""),"",IF(AND(Setup!$F$46="Once",O$1&gt;0),"",IF(OR(IF(Setup!$M$46&gt;0,Setup!$G$46+(Setup!$O$46+O$1)*Setup!$M$46,EDATE(Setup!$G$46,(Setup!$O$46+O$1)*Setup!$N$46))&gt;Setup!$P$46,IF(Setup!$M$46&gt;0,Setup!$G$46+(Setup!$O$46+O$1)*Setup!$M$46,EDATE(Setup!$G$46,(Setup!$O$46+O$1)*Setup!$N$46))&lt;Setup!$D$5),"",IF(Setup!$M$46&gt;0,Setup!$G$46+(Setup!$O$46+O$1)*Setup!$M$46,EDATE(Setup!$G$46,(Setup!$O$46+O$1)*Setup!$N$46))+$A23/1000)))</f>
        <v/>
      </c>
      <c r="P23">
        <f>IF(OR(Setup!$E$46="",Setup!$G$46="",Setup!$F$46=""),"",IF(AND(Setup!$F$46="Once",P$1&gt;0),"",IF(OR(IF(Setup!$M$46&gt;0,Setup!$G$46+(Setup!$O$46+P$1)*Setup!$M$46,EDATE(Setup!$G$46,(Setup!$O$46+P$1)*Setup!$N$46))&gt;Setup!$P$46,IF(Setup!$M$46&gt;0,Setup!$G$46+(Setup!$O$46+P$1)*Setup!$M$46,EDATE(Setup!$G$46,(Setup!$O$46+P$1)*Setup!$N$46))&lt;Setup!$D$5),"",IF(Setup!$M$46&gt;0,Setup!$G$46+(Setup!$O$46+P$1)*Setup!$M$46,EDATE(Setup!$G$46,(Setup!$O$46+P$1)*Setup!$N$46))+$A23/1000)))</f>
        <v/>
      </c>
      <c r="Q23">
        <f>IF(OR(Setup!$E$46="",Setup!$G$46="",Setup!$F$46=""),"",IF(AND(Setup!$F$46="Once",Q$1&gt;0),"",IF(OR(IF(Setup!$M$46&gt;0,Setup!$G$46+(Setup!$O$46+Q$1)*Setup!$M$46,EDATE(Setup!$G$46,(Setup!$O$46+Q$1)*Setup!$N$46))&gt;Setup!$P$46,IF(Setup!$M$46&gt;0,Setup!$G$46+(Setup!$O$46+Q$1)*Setup!$M$46,EDATE(Setup!$G$46,(Setup!$O$46+Q$1)*Setup!$N$46))&lt;Setup!$D$5),"",IF(Setup!$M$46&gt;0,Setup!$G$46+(Setup!$O$46+Q$1)*Setup!$M$46,EDATE(Setup!$G$46,(Setup!$O$46+Q$1)*Setup!$N$46))+$A23/1000)))</f>
        <v/>
      </c>
      <c r="R23">
        <f>IF(OR(Setup!$E$46="",Setup!$G$46="",Setup!$F$46=""),"",IF(AND(Setup!$F$46="Once",R$1&gt;0),"",IF(OR(IF(Setup!$M$46&gt;0,Setup!$G$46+(Setup!$O$46+R$1)*Setup!$M$46,EDATE(Setup!$G$46,(Setup!$O$46+R$1)*Setup!$N$46))&gt;Setup!$P$46,IF(Setup!$M$46&gt;0,Setup!$G$46+(Setup!$O$46+R$1)*Setup!$M$46,EDATE(Setup!$G$46,(Setup!$O$46+R$1)*Setup!$N$46))&lt;Setup!$D$5),"",IF(Setup!$M$46&gt;0,Setup!$G$46+(Setup!$O$46+R$1)*Setup!$M$46,EDATE(Setup!$G$46,(Setup!$O$46+R$1)*Setup!$N$46))+$A23/1000)))</f>
        <v/>
      </c>
      <c r="S23">
        <f>IF(OR(Setup!$E$46="",Setup!$G$46="",Setup!$F$46=""),"",IF(AND(Setup!$F$46="Once",S$1&gt;0),"",IF(OR(IF(Setup!$M$46&gt;0,Setup!$G$46+(Setup!$O$46+S$1)*Setup!$M$46,EDATE(Setup!$G$46,(Setup!$O$46+S$1)*Setup!$N$46))&gt;Setup!$P$46,IF(Setup!$M$46&gt;0,Setup!$G$46+(Setup!$O$46+S$1)*Setup!$M$46,EDATE(Setup!$G$46,(Setup!$O$46+S$1)*Setup!$N$46))&lt;Setup!$D$5),"",IF(Setup!$M$46&gt;0,Setup!$G$46+(Setup!$O$46+S$1)*Setup!$M$46,EDATE(Setup!$G$46,(Setup!$O$46+S$1)*Setup!$N$46))+$A23/1000)))</f>
        <v/>
      </c>
      <c r="T23">
        <f>IF(OR(Setup!$E$46="",Setup!$G$46="",Setup!$F$46=""),"",IF(AND(Setup!$F$46="Once",T$1&gt;0),"",IF(OR(IF(Setup!$M$46&gt;0,Setup!$G$46+(Setup!$O$46+T$1)*Setup!$M$46,EDATE(Setup!$G$46,(Setup!$O$46+T$1)*Setup!$N$46))&gt;Setup!$P$46,IF(Setup!$M$46&gt;0,Setup!$G$46+(Setup!$O$46+T$1)*Setup!$M$46,EDATE(Setup!$G$46,(Setup!$O$46+T$1)*Setup!$N$46))&lt;Setup!$D$5),"",IF(Setup!$M$46&gt;0,Setup!$G$46+(Setup!$O$46+T$1)*Setup!$M$46,EDATE(Setup!$G$46,(Setup!$O$46+T$1)*Setup!$N$46))+$A23/1000)))</f>
        <v/>
      </c>
      <c r="U23">
        <f>IF(OR(Setup!$E$46="",Setup!$G$46="",Setup!$F$46=""),"",IF(AND(Setup!$F$46="Once",U$1&gt;0),"",IF(OR(IF(Setup!$M$46&gt;0,Setup!$G$46+(Setup!$O$46+U$1)*Setup!$M$46,EDATE(Setup!$G$46,(Setup!$O$46+U$1)*Setup!$N$46))&gt;Setup!$P$46,IF(Setup!$M$46&gt;0,Setup!$G$46+(Setup!$O$46+U$1)*Setup!$M$46,EDATE(Setup!$G$46,(Setup!$O$46+U$1)*Setup!$N$46))&lt;Setup!$D$5),"",IF(Setup!$M$46&gt;0,Setup!$G$46+(Setup!$O$46+U$1)*Setup!$M$46,EDATE(Setup!$G$46,(Setup!$O$46+U$1)*Setup!$N$46))+$A23/1000)))</f>
        <v/>
      </c>
      <c r="V23">
        <f>IF(OR(Setup!$E$46="",Setup!$G$46="",Setup!$F$46=""),"",IF(AND(Setup!$F$46="Once",V$1&gt;0),"",IF(OR(IF(Setup!$M$46&gt;0,Setup!$G$46+(Setup!$O$46+V$1)*Setup!$M$46,EDATE(Setup!$G$46,(Setup!$O$46+V$1)*Setup!$N$46))&gt;Setup!$P$46,IF(Setup!$M$46&gt;0,Setup!$G$46+(Setup!$O$46+V$1)*Setup!$M$46,EDATE(Setup!$G$46,(Setup!$O$46+V$1)*Setup!$N$46))&lt;Setup!$D$5),"",IF(Setup!$M$46&gt;0,Setup!$G$46+(Setup!$O$46+V$1)*Setup!$M$46,EDATE(Setup!$G$46,(Setup!$O$46+V$1)*Setup!$N$46))+$A23/1000)))</f>
        <v/>
      </c>
      <c r="W23">
        <f>IF(OR(Setup!$E$46="",Setup!$G$46="",Setup!$F$46=""),"",IF(AND(Setup!$F$46="Once",W$1&gt;0),"",IF(OR(IF(Setup!$M$46&gt;0,Setup!$G$46+(Setup!$O$46+W$1)*Setup!$M$46,EDATE(Setup!$G$46,(Setup!$O$46+W$1)*Setup!$N$46))&gt;Setup!$P$46,IF(Setup!$M$46&gt;0,Setup!$G$46+(Setup!$O$46+W$1)*Setup!$M$46,EDATE(Setup!$G$46,(Setup!$O$46+W$1)*Setup!$N$46))&lt;Setup!$D$5),"",IF(Setup!$M$46&gt;0,Setup!$G$46+(Setup!$O$46+W$1)*Setup!$M$46,EDATE(Setup!$G$46,(Setup!$O$46+W$1)*Setup!$N$46))+$A23/1000)))</f>
        <v/>
      </c>
      <c r="X23">
        <f>IF(OR(Setup!$E$46="",Setup!$G$46="",Setup!$F$46=""),"",IF(AND(Setup!$F$46="Once",X$1&gt;0),"",IF(OR(IF(Setup!$M$46&gt;0,Setup!$G$46+(Setup!$O$46+X$1)*Setup!$M$46,EDATE(Setup!$G$46,(Setup!$O$46+X$1)*Setup!$N$46))&gt;Setup!$P$46,IF(Setup!$M$46&gt;0,Setup!$G$46+(Setup!$O$46+X$1)*Setup!$M$46,EDATE(Setup!$G$46,(Setup!$O$46+X$1)*Setup!$N$46))&lt;Setup!$D$5),"",IF(Setup!$M$46&gt;0,Setup!$G$46+(Setup!$O$46+X$1)*Setup!$M$46,EDATE(Setup!$G$46,(Setup!$O$46+X$1)*Setup!$N$46))+$A23/1000)))</f>
        <v/>
      </c>
      <c r="Y23">
        <f>IF(OR(Setup!$E$46="",Setup!$G$46="",Setup!$F$46=""),"",IF(AND(Setup!$F$46="Once",Y$1&gt;0),"",IF(OR(IF(Setup!$M$46&gt;0,Setup!$G$46+(Setup!$O$46+Y$1)*Setup!$M$46,EDATE(Setup!$G$46,(Setup!$O$46+Y$1)*Setup!$N$46))&gt;Setup!$P$46,IF(Setup!$M$46&gt;0,Setup!$G$46+(Setup!$O$46+Y$1)*Setup!$M$46,EDATE(Setup!$G$46,(Setup!$O$46+Y$1)*Setup!$N$46))&lt;Setup!$D$5),"",IF(Setup!$M$46&gt;0,Setup!$G$46+(Setup!$O$46+Y$1)*Setup!$M$46,EDATE(Setup!$G$46,(Setup!$O$46+Y$1)*Setup!$N$46))+$A23/1000)))</f>
        <v/>
      </c>
      <c r="Z23">
        <f>IF(OR(Setup!$E$46="",Setup!$G$46="",Setup!$F$46=""),"",IF(AND(Setup!$F$46="Once",Z$1&gt;0),"",IF(OR(IF(Setup!$M$46&gt;0,Setup!$G$46+(Setup!$O$46+Z$1)*Setup!$M$46,EDATE(Setup!$G$46,(Setup!$O$46+Z$1)*Setup!$N$46))&gt;Setup!$P$46,IF(Setup!$M$46&gt;0,Setup!$G$46+(Setup!$O$46+Z$1)*Setup!$M$46,EDATE(Setup!$G$46,(Setup!$O$46+Z$1)*Setup!$N$46))&lt;Setup!$D$5),"",IF(Setup!$M$46&gt;0,Setup!$G$46+(Setup!$O$46+Z$1)*Setup!$M$46,EDATE(Setup!$G$46,(Setup!$O$46+Z$1)*Setup!$N$46))+$A23/1000)))</f>
        <v/>
      </c>
      <c r="AA23">
        <f>IF(OR(Setup!$E$46="",Setup!$G$46="",Setup!$F$46=""),"",IF(AND(Setup!$F$46="Once",AA$1&gt;0),"",IF(OR(IF(Setup!$M$46&gt;0,Setup!$G$46+(Setup!$O$46+AA$1)*Setup!$M$46,EDATE(Setup!$G$46,(Setup!$O$46+AA$1)*Setup!$N$46))&gt;Setup!$P$46,IF(Setup!$M$46&gt;0,Setup!$G$46+(Setup!$O$46+AA$1)*Setup!$M$46,EDATE(Setup!$G$46,(Setup!$O$46+AA$1)*Setup!$N$46))&lt;Setup!$D$5),"",IF(Setup!$M$46&gt;0,Setup!$G$46+(Setup!$O$46+AA$1)*Setup!$M$46,EDATE(Setup!$G$46,(Setup!$O$46+AA$1)*Setup!$N$46))+$A23/1000)))</f>
        <v/>
      </c>
      <c r="AB23">
        <f>IF(OR(Setup!$E$46="",Setup!$G$46="",Setup!$F$46=""),"",IF(AND(Setup!$F$46="Once",AB$1&gt;0),"",IF(OR(IF(Setup!$M$46&gt;0,Setup!$G$46+(Setup!$O$46+AB$1)*Setup!$M$46,EDATE(Setup!$G$46,(Setup!$O$46+AB$1)*Setup!$N$46))&gt;Setup!$P$46,IF(Setup!$M$46&gt;0,Setup!$G$46+(Setup!$O$46+AB$1)*Setup!$M$46,EDATE(Setup!$G$46,(Setup!$O$46+AB$1)*Setup!$N$46))&lt;Setup!$D$5),"",IF(Setup!$M$46&gt;0,Setup!$G$46+(Setup!$O$46+AB$1)*Setup!$M$46,EDATE(Setup!$G$46,(Setup!$O$46+AB$1)*Setup!$N$46))+$A23/1000)))</f>
        <v/>
      </c>
      <c r="AC23">
        <f>IF(OR(Setup!$E$46="",Setup!$G$46="",Setup!$F$46=""),"",IF(AND(Setup!$F$46="Once",AC$1&gt;0),"",IF(OR(IF(Setup!$M$46&gt;0,Setup!$G$46+(Setup!$O$46+AC$1)*Setup!$M$46,EDATE(Setup!$G$46,(Setup!$O$46+AC$1)*Setup!$N$46))&gt;Setup!$P$46,IF(Setup!$M$46&gt;0,Setup!$G$46+(Setup!$O$46+AC$1)*Setup!$M$46,EDATE(Setup!$G$46,(Setup!$O$46+AC$1)*Setup!$N$46))&lt;Setup!$D$5),"",IF(Setup!$M$46&gt;0,Setup!$G$46+(Setup!$O$46+AC$1)*Setup!$M$46,EDATE(Setup!$G$46,(Setup!$O$46+AC$1)*Setup!$N$46))+$A23/1000)))</f>
        <v/>
      </c>
      <c r="AD23">
        <f>IF(OR(Setup!$E$46="",Setup!$G$46="",Setup!$F$46=""),"",IF(AND(Setup!$F$46="Once",AD$1&gt;0),"",IF(OR(IF(Setup!$M$46&gt;0,Setup!$G$46+(Setup!$O$46+AD$1)*Setup!$M$46,EDATE(Setup!$G$46,(Setup!$O$46+AD$1)*Setup!$N$46))&gt;Setup!$P$46,IF(Setup!$M$46&gt;0,Setup!$G$46+(Setup!$O$46+AD$1)*Setup!$M$46,EDATE(Setup!$G$46,(Setup!$O$46+AD$1)*Setup!$N$46))&lt;Setup!$D$5),"",IF(Setup!$M$46&gt;0,Setup!$G$46+(Setup!$O$46+AD$1)*Setup!$M$46,EDATE(Setup!$G$46,(Setup!$O$46+AD$1)*Setup!$N$46))+$A23/1000)))</f>
        <v/>
      </c>
      <c r="AE23">
        <f>IF(OR(Setup!$E$46="",Setup!$G$46="",Setup!$F$46=""),"",IF(AND(Setup!$F$46="Once",AE$1&gt;0),"",IF(OR(IF(Setup!$M$46&gt;0,Setup!$G$46+(Setup!$O$46+AE$1)*Setup!$M$46,EDATE(Setup!$G$46,(Setup!$O$46+AE$1)*Setup!$N$46))&gt;Setup!$P$46,IF(Setup!$M$46&gt;0,Setup!$G$46+(Setup!$O$46+AE$1)*Setup!$M$46,EDATE(Setup!$G$46,(Setup!$O$46+AE$1)*Setup!$N$46))&lt;Setup!$D$5),"",IF(Setup!$M$46&gt;0,Setup!$G$46+(Setup!$O$46+AE$1)*Setup!$M$46,EDATE(Setup!$G$46,(Setup!$O$46+AE$1)*Setup!$N$46))+$A23/1000)))</f>
        <v/>
      </c>
      <c r="AF23">
        <f>IF(OR(Setup!$E$46="",Setup!$G$46="",Setup!$F$46=""),"",IF(AND(Setup!$F$46="Once",AF$1&gt;0),"",IF(OR(IF(Setup!$M$46&gt;0,Setup!$G$46+(Setup!$O$46+AF$1)*Setup!$M$46,EDATE(Setup!$G$46,(Setup!$O$46+AF$1)*Setup!$N$46))&gt;Setup!$P$46,IF(Setup!$M$46&gt;0,Setup!$G$46+(Setup!$O$46+AF$1)*Setup!$M$46,EDATE(Setup!$G$46,(Setup!$O$46+AF$1)*Setup!$N$46))&lt;Setup!$D$5),"",IF(Setup!$M$46&gt;0,Setup!$G$46+(Setup!$O$46+AF$1)*Setup!$M$46,EDATE(Setup!$G$46,(Setup!$O$46+AF$1)*Setup!$N$46))+$A23/1000)))</f>
        <v/>
      </c>
      <c r="AG23">
        <f>IF(OR(Setup!$E$46="",Setup!$G$46="",Setup!$F$46=""),"",IF(AND(Setup!$F$46="Once",AG$1&gt;0),"",IF(OR(IF(Setup!$M$46&gt;0,Setup!$G$46+(Setup!$O$46+AG$1)*Setup!$M$46,EDATE(Setup!$G$46,(Setup!$O$46+AG$1)*Setup!$N$46))&gt;Setup!$P$46,IF(Setup!$M$46&gt;0,Setup!$G$46+(Setup!$O$46+AG$1)*Setup!$M$46,EDATE(Setup!$G$46,(Setup!$O$46+AG$1)*Setup!$N$46))&lt;Setup!$D$5),"",IF(Setup!$M$46&gt;0,Setup!$G$46+(Setup!$O$46+AG$1)*Setup!$M$46,EDATE(Setup!$G$46,(Setup!$O$46+AG$1)*Setup!$N$46))+$A23/1000)))</f>
        <v/>
      </c>
      <c r="AH23">
        <f>IF(OR(Setup!$E$46="",Setup!$G$46="",Setup!$F$46=""),"",IF(AND(Setup!$F$46="Once",AH$1&gt;0),"",IF(OR(IF(Setup!$M$46&gt;0,Setup!$G$46+(Setup!$O$46+AH$1)*Setup!$M$46,EDATE(Setup!$G$46,(Setup!$O$46+AH$1)*Setup!$N$46))&gt;Setup!$P$46,IF(Setup!$M$46&gt;0,Setup!$G$46+(Setup!$O$46+AH$1)*Setup!$M$46,EDATE(Setup!$G$46,(Setup!$O$46+AH$1)*Setup!$N$46))&lt;Setup!$D$5),"",IF(Setup!$M$46&gt;0,Setup!$G$46+(Setup!$O$46+AH$1)*Setup!$M$46,EDATE(Setup!$G$46,(Setup!$O$46+AH$1)*Setup!$N$46))+$A23/1000)))</f>
        <v/>
      </c>
      <c r="AI23">
        <f>IF(OR(Setup!$E$46="",Setup!$G$46="",Setup!$F$46=""),"",IF(AND(Setup!$F$46="Once",AI$1&gt;0),"",IF(OR(IF(Setup!$M$46&gt;0,Setup!$G$46+(Setup!$O$46+AI$1)*Setup!$M$46,EDATE(Setup!$G$46,(Setup!$O$46+AI$1)*Setup!$N$46))&gt;Setup!$P$46,IF(Setup!$M$46&gt;0,Setup!$G$46+(Setup!$O$46+AI$1)*Setup!$M$46,EDATE(Setup!$G$46,(Setup!$O$46+AI$1)*Setup!$N$46))&lt;Setup!$D$5),"",IF(Setup!$M$46&gt;0,Setup!$G$46+(Setup!$O$46+AI$1)*Setup!$M$46,EDATE(Setup!$G$46,(Setup!$O$46+AI$1)*Setup!$N$46))+$A23/1000)))</f>
        <v/>
      </c>
      <c r="AJ23">
        <f>IF(OR(Setup!$E$46="",Setup!$G$46="",Setup!$F$46=""),"",IF(AND(Setup!$F$46="Once",AJ$1&gt;0),"",IF(OR(IF(Setup!$M$46&gt;0,Setup!$G$46+(Setup!$O$46+AJ$1)*Setup!$M$46,EDATE(Setup!$G$46,(Setup!$O$46+AJ$1)*Setup!$N$46))&gt;Setup!$P$46,IF(Setup!$M$46&gt;0,Setup!$G$46+(Setup!$O$46+AJ$1)*Setup!$M$46,EDATE(Setup!$G$46,(Setup!$O$46+AJ$1)*Setup!$N$46))&lt;Setup!$D$5),"",IF(Setup!$M$46&gt;0,Setup!$G$46+(Setup!$O$46+AJ$1)*Setup!$M$46,EDATE(Setup!$G$46,(Setup!$O$46+AJ$1)*Setup!$N$46))+$A23/1000)))</f>
        <v/>
      </c>
      <c r="AK23">
        <f>IF(OR(Setup!$E$46="",Setup!$G$46="",Setup!$F$46=""),"",IF(AND(Setup!$F$46="Once",AK$1&gt;0),"",IF(OR(IF(Setup!$M$46&gt;0,Setup!$G$46+(Setup!$O$46+AK$1)*Setup!$M$46,EDATE(Setup!$G$46,(Setup!$O$46+AK$1)*Setup!$N$46))&gt;Setup!$P$46,IF(Setup!$M$46&gt;0,Setup!$G$46+(Setup!$O$46+AK$1)*Setup!$M$46,EDATE(Setup!$G$46,(Setup!$O$46+AK$1)*Setup!$N$46))&lt;Setup!$D$5),"",IF(Setup!$M$46&gt;0,Setup!$G$46+(Setup!$O$46+AK$1)*Setup!$M$46,EDATE(Setup!$G$46,(Setup!$O$46+AK$1)*Setup!$N$46))+$A23/1000)))</f>
        <v/>
      </c>
      <c r="AL23">
        <f>IF(OR(Setup!$E$46="",Setup!$G$46="",Setup!$F$46=""),"",IF(AND(Setup!$F$46="Once",AL$1&gt;0),"",IF(OR(IF(Setup!$M$46&gt;0,Setup!$G$46+(Setup!$O$46+AL$1)*Setup!$M$46,EDATE(Setup!$G$46,(Setup!$O$46+AL$1)*Setup!$N$46))&gt;Setup!$P$46,IF(Setup!$M$46&gt;0,Setup!$G$46+(Setup!$O$46+AL$1)*Setup!$M$46,EDATE(Setup!$G$46,(Setup!$O$46+AL$1)*Setup!$N$46))&lt;Setup!$D$5),"",IF(Setup!$M$46&gt;0,Setup!$G$46+(Setup!$O$46+AL$1)*Setup!$M$46,EDATE(Setup!$G$46,(Setup!$O$46+AL$1)*Setup!$N$46))+$A23/1000)))</f>
        <v/>
      </c>
      <c r="AM23">
        <f>IF(OR(Setup!$E$46="",Setup!$G$46="",Setup!$F$46=""),"",IF(AND(Setup!$F$46="Once",AM$1&gt;0),"",IF(OR(IF(Setup!$M$46&gt;0,Setup!$G$46+(Setup!$O$46+AM$1)*Setup!$M$46,EDATE(Setup!$G$46,(Setup!$O$46+AM$1)*Setup!$N$46))&gt;Setup!$P$46,IF(Setup!$M$46&gt;0,Setup!$G$46+(Setup!$O$46+AM$1)*Setup!$M$46,EDATE(Setup!$G$46,(Setup!$O$46+AM$1)*Setup!$N$46))&lt;Setup!$D$5),"",IF(Setup!$M$46&gt;0,Setup!$G$46+(Setup!$O$46+AM$1)*Setup!$M$46,EDATE(Setup!$G$46,(Setup!$O$46+AM$1)*Setup!$N$46))+$A23/1000)))</f>
        <v/>
      </c>
      <c r="AN23">
        <f>IF(OR(Setup!$E$46="",Setup!$G$46="",Setup!$F$46=""),"",IF(AND(Setup!$F$46="Once",AN$1&gt;0),"",IF(OR(IF(Setup!$M$46&gt;0,Setup!$G$46+(Setup!$O$46+AN$1)*Setup!$M$46,EDATE(Setup!$G$46,(Setup!$O$46+AN$1)*Setup!$N$46))&gt;Setup!$P$46,IF(Setup!$M$46&gt;0,Setup!$G$46+(Setup!$O$46+AN$1)*Setup!$M$46,EDATE(Setup!$G$46,(Setup!$O$46+AN$1)*Setup!$N$46))&lt;Setup!$D$5),"",IF(Setup!$M$46&gt;0,Setup!$G$46+(Setup!$O$46+AN$1)*Setup!$M$46,EDATE(Setup!$G$46,(Setup!$O$46+AN$1)*Setup!$N$46))+$A23/1000)))</f>
        <v/>
      </c>
      <c r="AO23">
        <f>IF(OR(Setup!$E$46="",Setup!$G$46="",Setup!$F$46=""),"",IF(AND(Setup!$F$46="Once",AO$1&gt;0),"",IF(OR(IF(Setup!$M$46&gt;0,Setup!$G$46+(Setup!$O$46+AO$1)*Setup!$M$46,EDATE(Setup!$G$46,(Setup!$O$46+AO$1)*Setup!$N$46))&gt;Setup!$P$46,IF(Setup!$M$46&gt;0,Setup!$G$46+(Setup!$O$46+AO$1)*Setup!$M$46,EDATE(Setup!$G$46,(Setup!$O$46+AO$1)*Setup!$N$46))&lt;Setup!$D$5),"",IF(Setup!$M$46&gt;0,Setup!$G$46+(Setup!$O$46+AO$1)*Setup!$M$46,EDATE(Setup!$G$46,(Setup!$O$46+AO$1)*Setup!$N$46))+$A23/1000)))</f>
        <v/>
      </c>
      <c r="AP23">
        <f>IF(OR(Setup!$E$46="",Setup!$G$46="",Setup!$F$46=""),"",IF(AND(Setup!$F$46="Once",AP$1&gt;0),"",IF(OR(IF(Setup!$M$46&gt;0,Setup!$G$46+(Setup!$O$46+AP$1)*Setup!$M$46,EDATE(Setup!$G$46,(Setup!$O$46+AP$1)*Setup!$N$46))&gt;Setup!$P$46,IF(Setup!$M$46&gt;0,Setup!$G$46+(Setup!$O$46+AP$1)*Setup!$M$46,EDATE(Setup!$G$46,(Setup!$O$46+AP$1)*Setup!$N$46))&lt;Setup!$D$5),"",IF(Setup!$M$46&gt;0,Setup!$G$46+(Setup!$O$46+AP$1)*Setup!$M$46,EDATE(Setup!$G$46,(Setup!$O$46+AP$1)*Setup!$N$46))+$A23/1000)))</f>
        <v/>
      </c>
      <c r="AQ23">
        <f>IF(OR(Setup!$E$46="",Setup!$G$46="",Setup!$F$46=""),"",IF(AND(Setup!$F$46="Once",AQ$1&gt;0),"",IF(OR(IF(Setup!$M$46&gt;0,Setup!$G$46+(Setup!$O$46+AQ$1)*Setup!$M$46,EDATE(Setup!$G$46,(Setup!$O$46+AQ$1)*Setup!$N$46))&gt;Setup!$P$46,IF(Setup!$M$46&gt;0,Setup!$G$46+(Setup!$O$46+AQ$1)*Setup!$M$46,EDATE(Setup!$G$46,(Setup!$O$46+AQ$1)*Setup!$N$46))&lt;Setup!$D$5),"",IF(Setup!$M$46&gt;0,Setup!$G$46+(Setup!$O$46+AQ$1)*Setup!$M$46,EDATE(Setup!$G$46,(Setup!$O$46+AQ$1)*Setup!$N$46))+$A23/1000)))</f>
        <v/>
      </c>
      <c r="AR23">
        <f>IF(OR(Setup!$E$46="",Setup!$G$46="",Setup!$F$46=""),"",IF(AND(Setup!$F$46="Once",AR$1&gt;0),"",IF(OR(IF(Setup!$M$46&gt;0,Setup!$G$46+(Setup!$O$46+AR$1)*Setup!$M$46,EDATE(Setup!$G$46,(Setup!$O$46+AR$1)*Setup!$N$46))&gt;Setup!$P$46,IF(Setup!$M$46&gt;0,Setup!$G$46+(Setup!$O$46+AR$1)*Setup!$M$46,EDATE(Setup!$G$46,(Setup!$O$46+AR$1)*Setup!$N$46))&lt;Setup!$D$5),"",IF(Setup!$M$46&gt;0,Setup!$G$46+(Setup!$O$46+AR$1)*Setup!$M$46,EDATE(Setup!$G$46,(Setup!$O$46+AR$1)*Setup!$N$46))+$A23/1000)))</f>
        <v/>
      </c>
      <c r="AS23">
        <f>IF(OR(Setup!$E$46="",Setup!$G$46="",Setup!$F$46=""),"",IF(AND(Setup!$F$46="Once",AS$1&gt;0),"",IF(OR(IF(Setup!$M$46&gt;0,Setup!$G$46+(Setup!$O$46+AS$1)*Setup!$M$46,EDATE(Setup!$G$46,(Setup!$O$46+AS$1)*Setup!$N$46))&gt;Setup!$P$46,IF(Setup!$M$46&gt;0,Setup!$G$46+(Setup!$O$46+AS$1)*Setup!$M$46,EDATE(Setup!$G$46,(Setup!$O$46+AS$1)*Setup!$N$46))&lt;Setup!$D$5),"",IF(Setup!$M$46&gt;0,Setup!$G$46+(Setup!$O$46+AS$1)*Setup!$M$46,EDATE(Setup!$G$46,(Setup!$O$46+AS$1)*Setup!$N$46))+$A23/1000)))</f>
        <v/>
      </c>
      <c r="AT23">
        <f>IF(OR(Setup!$E$46="",Setup!$G$46="",Setup!$F$46=""),"",IF(AND(Setup!$F$46="Once",AT$1&gt;0),"",IF(OR(IF(Setup!$M$46&gt;0,Setup!$G$46+(Setup!$O$46+AT$1)*Setup!$M$46,EDATE(Setup!$G$46,(Setup!$O$46+AT$1)*Setup!$N$46))&gt;Setup!$P$46,IF(Setup!$M$46&gt;0,Setup!$G$46+(Setup!$O$46+AT$1)*Setup!$M$46,EDATE(Setup!$G$46,(Setup!$O$46+AT$1)*Setup!$N$46))&lt;Setup!$D$5),"",IF(Setup!$M$46&gt;0,Setup!$G$46+(Setup!$O$46+AT$1)*Setup!$M$46,EDATE(Setup!$G$46,(Setup!$O$46+AT$1)*Setup!$N$46))+$A23/1000)))</f>
        <v/>
      </c>
      <c r="AU23">
        <f>IF(OR(Setup!$E$46="",Setup!$G$46="",Setup!$F$46=""),"",IF(AND(Setup!$F$46="Once",AU$1&gt;0),"",IF(OR(IF(Setup!$M$46&gt;0,Setup!$G$46+(Setup!$O$46+AU$1)*Setup!$M$46,EDATE(Setup!$G$46,(Setup!$O$46+AU$1)*Setup!$N$46))&gt;Setup!$P$46,IF(Setup!$M$46&gt;0,Setup!$G$46+(Setup!$O$46+AU$1)*Setup!$M$46,EDATE(Setup!$G$46,(Setup!$O$46+AU$1)*Setup!$N$46))&lt;Setup!$D$5),"",IF(Setup!$M$46&gt;0,Setup!$G$46+(Setup!$O$46+AU$1)*Setup!$M$46,EDATE(Setup!$G$46,(Setup!$O$46+AU$1)*Setup!$N$46))+$A23/1000)))</f>
        <v/>
      </c>
      <c r="AV23">
        <f>IF(OR(Setup!$E$46="",Setup!$G$46="",Setup!$F$46=""),"",IF(AND(Setup!$F$46="Once",AV$1&gt;0),"",IF(OR(IF(Setup!$M$46&gt;0,Setup!$G$46+(Setup!$O$46+AV$1)*Setup!$M$46,EDATE(Setup!$G$46,(Setup!$O$46+AV$1)*Setup!$N$46))&gt;Setup!$P$46,IF(Setup!$M$46&gt;0,Setup!$G$46+(Setup!$O$46+AV$1)*Setup!$M$46,EDATE(Setup!$G$46,(Setup!$O$46+AV$1)*Setup!$N$46))&lt;Setup!$D$5),"",IF(Setup!$M$46&gt;0,Setup!$G$46+(Setup!$O$46+AV$1)*Setup!$M$46,EDATE(Setup!$G$46,(Setup!$O$46+AV$1)*Setup!$N$46))+$A23/1000)))</f>
        <v/>
      </c>
      <c r="AW23">
        <f>IF(OR(Setup!$E$46="",Setup!$G$46="",Setup!$F$46=""),"",IF(AND(Setup!$F$46="Once",AW$1&gt;0),"",IF(OR(IF(Setup!$M$46&gt;0,Setup!$G$46+(Setup!$O$46+AW$1)*Setup!$M$46,EDATE(Setup!$G$46,(Setup!$O$46+AW$1)*Setup!$N$46))&gt;Setup!$P$46,IF(Setup!$M$46&gt;0,Setup!$G$46+(Setup!$O$46+AW$1)*Setup!$M$46,EDATE(Setup!$G$46,(Setup!$O$46+AW$1)*Setup!$N$46))&lt;Setup!$D$5),"",IF(Setup!$M$46&gt;0,Setup!$G$46+(Setup!$O$46+AW$1)*Setup!$M$46,EDATE(Setup!$G$46,(Setup!$O$46+AW$1)*Setup!$N$46))+$A23/1000)))</f>
        <v/>
      </c>
      <c r="AX23">
        <f>IF(OR(Setup!$E$46="",Setup!$G$46="",Setup!$F$46=""),"",IF(AND(Setup!$F$46="Once",AX$1&gt;0),"",IF(OR(IF(Setup!$M$46&gt;0,Setup!$G$46+(Setup!$O$46+AX$1)*Setup!$M$46,EDATE(Setup!$G$46,(Setup!$O$46+AX$1)*Setup!$N$46))&gt;Setup!$P$46,IF(Setup!$M$46&gt;0,Setup!$G$46+(Setup!$O$46+AX$1)*Setup!$M$46,EDATE(Setup!$G$46,(Setup!$O$46+AX$1)*Setup!$N$46))&lt;Setup!$D$5),"",IF(Setup!$M$46&gt;0,Setup!$G$46+(Setup!$O$46+AX$1)*Setup!$M$46,EDATE(Setup!$G$46,(Setup!$O$46+AX$1)*Setup!$N$46))+$A23/1000)))</f>
        <v/>
      </c>
      <c r="AY23">
        <f>IF(OR(Setup!$E$46="",Setup!$G$46="",Setup!$F$46=""),"",IF(AND(Setup!$F$46="Once",AY$1&gt;0),"",IF(OR(IF(Setup!$M$46&gt;0,Setup!$G$46+(Setup!$O$46+AY$1)*Setup!$M$46,EDATE(Setup!$G$46,(Setup!$O$46+AY$1)*Setup!$N$46))&gt;Setup!$P$46,IF(Setup!$M$46&gt;0,Setup!$G$46+(Setup!$O$46+AY$1)*Setup!$M$46,EDATE(Setup!$G$46,(Setup!$O$46+AY$1)*Setup!$N$46))&lt;Setup!$D$5),"",IF(Setup!$M$46&gt;0,Setup!$G$46+(Setup!$O$46+AY$1)*Setup!$M$46,EDATE(Setup!$G$46,(Setup!$O$46+AY$1)*Setup!$N$46))+$A23/1000)))</f>
        <v/>
      </c>
      <c r="AZ23">
        <f>IF(OR(Setup!$E$46="",Setup!$G$46="",Setup!$F$46=""),"",IF(AND(Setup!$F$46="Once",AZ$1&gt;0),"",IF(OR(IF(Setup!$M$46&gt;0,Setup!$G$46+(Setup!$O$46+AZ$1)*Setup!$M$46,EDATE(Setup!$G$46,(Setup!$O$46+AZ$1)*Setup!$N$46))&gt;Setup!$P$46,IF(Setup!$M$46&gt;0,Setup!$G$46+(Setup!$O$46+AZ$1)*Setup!$M$46,EDATE(Setup!$G$46,(Setup!$O$46+AZ$1)*Setup!$N$46))&lt;Setup!$D$5),"",IF(Setup!$M$46&gt;0,Setup!$G$46+(Setup!$O$46+AZ$1)*Setup!$M$46,EDATE(Setup!$G$46,(Setup!$O$46+AZ$1)*Setup!$N$46))+$A23/1000)))</f>
        <v/>
      </c>
      <c r="BA23">
        <f>IF(OR(Setup!$E$46="",Setup!$G$46="",Setup!$F$46=""),"",IF(AND(Setup!$F$46="Once",BA$1&gt;0),"",IF(OR(IF(Setup!$M$46&gt;0,Setup!$G$46+(Setup!$O$46+BA$1)*Setup!$M$46,EDATE(Setup!$G$46,(Setup!$O$46+BA$1)*Setup!$N$46))&gt;Setup!$P$46,IF(Setup!$M$46&gt;0,Setup!$G$46+(Setup!$O$46+BA$1)*Setup!$M$46,EDATE(Setup!$G$46,(Setup!$O$46+BA$1)*Setup!$N$46))&lt;Setup!$D$5),"",IF(Setup!$M$46&gt;0,Setup!$G$46+(Setup!$O$46+BA$1)*Setup!$M$46,EDATE(Setup!$G$46,(Setup!$O$46+BA$1)*Setup!$N$46))+$A23/1000)))</f>
        <v/>
      </c>
      <c r="BB23">
        <f>IF(OR(Setup!$E$46="",Setup!$G$46="",Setup!$F$46=""),"",IF(AND(Setup!$F$46="Once",BB$1&gt;0),"",IF(OR(IF(Setup!$M$46&gt;0,Setup!$G$46+(Setup!$O$46+BB$1)*Setup!$M$46,EDATE(Setup!$G$46,(Setup!$O$46+BB$1)*Setup!$N$46))&gt;Setup!$P$46,IF(Setup!$M$46&gt;0,Setup!$G$46+(Setup!$O$46+BB$1)*Setup!$M$46,EDATE(Setup!$G$46,(Setup!$O$46+BB$1)*Setup!$N$46))&lt;Setup!$D$5),"",IF(Setup!$M$46&gt;0,Setup!$G$46+(Setup!$O$46+BB$1)*Setup!$M$46,EDATE(Setup!$G$46,(Setup!$O$46+BB$1)*Setup!$N$46))+$A23/1000)))</f>
        <v/>
      </c>
    </row>
    <row r="24">
      <c r="A24" t="n">
        <v>23</v>
      </c>
      <c r="B24">
        <f>IF(OR(Setup!$E$47="",Setup!$G$47="",Setup!$F$47=""),"",IF(AND(Setup!$F$47="Once",B$1&gt;0),"",IF(OR(IF(Setup!$M$47&gt;0,Setup!$G$47+(Setup!$O$47+B$1)*Setup!$M$47,EDATE(Setup!$G$47,(Setup!$O$47+B$1)*Setup!$N$47))&gt;Setup!$P$47,IF(Setup!$M$47&gt;0,Setup!$G$47+(Setup!$O$47+B$1)*Setup!$M$47,EDATE(Setup!$G$47,(Setup!$O$47+B$1)*Setup!$N$47))&lt;Setup!$D$5),"",IF(Setup!$M$47&gt;0,Setup!$G$47+(Setup!$O$47+B$1)*Setup!$M$47,EDATE(Setup!$G$47,(Setup!$O$47+B$1)*Setup!$N$47))+$A24/1000)))</f>
        <v/>
      </c>
      <c r="C24">
        <f>IF(OR(Setup!$E$47="",Setup!$G$47="",Setup!$F$47=""),"",IF(AND(Setup!$F$47="Once",C$1&gt;0),"",IF(OR(IF(Setup!$M$47&gt;0,Setup!$G$47+(Setup!$O$47+C$1)*Setup!$M$47,EDATE(Setup!$G$47,(Setup!$O$47+C$1)*Setup!$N$47))&gt;Setup!$P$47,IF(Setup!$M$47&gt;0,Setup!$G$47+(Setup!$O$47+C$1)*Setup!$M$47,EDATE(Setup!$G$47,(Setup!$O$47+C$1)*Setup!$N$47))&lt;Setup!$D$5),"",IF(Setup!$M$47&gt;0,Setup!$G$47+(Setup!$O$47+C$1)*Setup!$M$47,EDATE(Setup!$G$47,(Setup!$O$47+C$1)*Setup!$N$47))+$A24/1000)))</f>
        <v/>
      </c>
      <c r="D24">
        <f>IF(OR(Setup!$E$47="",Setup!$G$47="",Setup!$F$47=""),"",IF(AND(Setup!$F$47="Once",D$1&gt;0),"",IF(OR(IF(Setup!$M$47&gt;0,Setup!$G$47+(Setup!$O$47+D$1)*Setup!$M$47,EDATE(Setup!$G$47,(Setup!$O$47+D$1)*Setup!$N$47))&gt;Setup!$P$47,IF(Setup!$M$47&gt;0,Setup!$G$47+(Setup!$O$47+D$1)*Setup!$M$47,EDATE(Setup!$G$47,(Setup!$O$47+D$1)*Setup!$N$47))&lt;Setup!$D$5),"",IF(Setup!$M$47&gt;0,Setup!$G$47+(Setup!$O$47+D$1)*Setup!$M$47,EDATE(Setup!$G$47,(Setup!$O$47+D$1)*Setup!$N$47))+$A24/1000)))</f>
        <v/>
      </c>
      <c r="E24">
        <f>IF(OR(Setup!$E$47="",Setup!$G$47="",Setup!$F$47=""),"",IF(AND(Setup!$F$47="Once",E$1&gt;0),"",IF(OR(IF(Setup!$M$47&gt;0,Setup!$G$47+(Setup!$O$47+E$1)*Setup!$M$47,EDATE(Setup!$G$47,(Setup!$O$47+E$1)*Setup!$N$47))&gt;Setup!$P$47,IF(Setup!$M$47&gt;0,Setup!$G$47+(Setup!$O$47+E$1)*Setup!$M$47,EDATE(Setup!$G$47,(Setup!$O$47+E$1)*Setup!$N$47))&lt;Setup!$D$5),"",IF(Setup!$M$47&gt;0,Setup!$G$47+(Setup!$O$47+E$1)*Setup!$M$47,EDATE(Setup!$G$47,(Setup!$O$47+E$1)*Setup!$N$47))+$A24/1000)))</f>
        <v/>
      </c>
      <c r="F24">
        <f>IF(OR(Setup!$E$47="",Setup!$G$47="",Setup!$F$47=""),"",IF(AND(Setup!$F$47="Once",F$1&gt;0),"",IF(OR(IF(Setup!$M$47&gt;0,Setup!$G$47+(Setup!$O$47+F$1)*Setup!$M$47,EDATE(Setup!$G$47,(Setup!$O$47+F$1)*Setup!$N$47))&gt;Setup!$P$47,IF(Setup!$M$47&gt;0,Setup!$G$47+(Setup!$O$47+F$1)*Setup!$M$47,EDATE(Setup!$G$47,(Setup!$O$47+F$1)*Setup!$N$47))&lt;Setup!$D$5),"",IF(Setup!$M$47&gt;0,Setup!$G$47+(Setup!$O$47+F$1)*Setup!$M$47,EDATE(Setup!$G$47,(Setup!$O$47+F$1)*Setup!$N$47))+$A24/1000)))</f>
        <v/>
      </c>
      <c r="G24">
        <f>IF(OR(Setup!$E$47="",Setup!$G$47="",Setup!$F$47=""),"",IF(AND(Setup!$F$47="Once",G$1&gt;0),"",IF(OR(IF(Setup!$M$47&gt;0,Setup!$G$47+(Setup!$O$47+G$1)*Setup!$M$47,EDATE(Setup!$G$47,(Setup!$O$47+G$1)*Setup!$N$47))&gt;Setup!$P$47,IF(Setup!$M$47&gt;0,Setup!$G$47+(Setup!$O$47+G$1)*Setup!$M$47,EDATE(Setup!$G$47,(Setup!$O$47+G$1)*Setup!$N$47))&lt;Setup!$D$5),"",IF(Setup!$M$47&gt;0,Setup!$G$47+(Setup!$O$47+G$1)*Setup!$M$47,EDATE(Setup!$G$47,(Setup!$O$47+G$1)*Setup!$N$47))+$A24/1000)))</f>
        <v/>
      </c>
      <c r="H24">
        <f>IF(OR(Setup!$E$47="",Setup!$G$47="",Setup!$F$47=""),"",IF(AND(Setup!$F$47="Once",H$1&gt;0),"",IF(OR(IF(Setup!$M$47&gt;0,Setup!$G$47+(Setup!$O$47+H$1)*Setup!$M$47,EDATE(Setup!$G$47,(Setup!$O$47+H$1)*Setup!$N$47))&gt;Setup!$P$47,IF(Setup!$M$47&gt;0,Setup!$G$47+(Setup!$O$47+H$1)*Setup!$M$47,EDATE(Setup!$G$47,(Setup!$O$47+H$1)*Setup!$N$47))&lt;Setup!$D$5),"",IF(Setup!$M$47&gt;0,Setup!$G$47+(Setup!$O$47+H$1)*Setup!$M$47,EDATE(Setup!$G$47,(Setup!$O$47+H$1)*Setup!$N$47))+$A24/1000)))</f>
        <v/>
      </c>
      <c r="I24">
        <f>IF(OR(Setup!$E$47="",Setup!$G$47="",Setup!$F$47=""),"",IF(AND(Setup!$F$47="Once",I$1&gt;0),"",IF(OR(IF(Setup!$M$47&gt;0,Setup!$G$47+(Setup!$O$47+I$1)*Setup!$M$47,EDATE(Setup!$G$47,(Setup!$O$47+I$1)*Setup!$N$47))&gt;Setup!$P$47,IF(Setup!$M$47&gt;0,Setup!$G$47+(Setup!$O$47+I$1)*Setup!$M$47,EDATE(Setup!$G$47,(Setup!$O$47+I$1)*Setup!$N$47))&lt;Setup!$D$5),"",IF(Setup!$M$47&gt;0,Setup!$G$47+(Setup!$O$47+I$1)*Setup!$M$47,EDATE(Setup!$G$47,(Setup!$O$47+I$1)*Setup!$N$47))+$A24/1000)))</f>
        <v/>
      </c>
      <c r="J24">
        <f>IF(OR(Setup!$E$47="",Setup!$G$47="",Setup!$F$47=""),"",IF(AND(Setup!$F$47="Once",J$1&gt;0),"",IF(OR(IF(Setup!$M$47&gt;0,Setup!$G$47+(Setup!$O$47+J$1)*Setup!$M$47,EDATE(Setup!$G$47,(Setup!$O$47+J$1)*Setup!$N$47))&gt;Setup!$P$47,IF(Setup!$M$47&gt;0,Setup!$G$47+(Setup!$O$47+J$1)*Setup!$M$47,EDATE(Setup!$G$47,(Setup!$O$47+J$1)*Setup!$N$47))&lt;Setup!$D$5),"",IF(Setup!$M$47&gt;0,Setup!$G$47+(Setup!$O$47+J$1)*Setup!$M$47,EDATE(Setup!$G$47,(Setup!$O$47+J$1)*Setup!$N$47))+$A24/1000)))</f>
        <v/>
      </c>
      <c r="K24">
        <f>IF(OR(Setup!$E$47="",Setup!$G$47="",Setup!$F$47=""),"",IF(AND(Setup!$F$47="Once",K$1&gt;0),"",IF(OR(IF(Setup!$M$47&gt;0,Setup!$G$47+(Setup!$O$47+K$1)*Setup!$M$47,EDATE(Setup!$G$47,(Setup!$O$47+K$1)*Setup!$N$47))&gt;Setup!$P$47,IF(Setup!$M$47&gt;0,Setup!$G$47+(Setup!$O$47+K$1)*Setup!$M$47,EDATE(Setup!$G$47,(Setup!$O$47+K$1)*Setup!$N$47))&lt;Setup!$D$5),"",IF(Setup!$M$47&gt;0,Setup!$G$47+(Setup!$O$47+K$1)*Setup!$M$47,EDATE(Setup!$G$47,(Setup!$O$47+K$1)*Setup!$N$47))+$A24/1000)))</f>
        <v/>
      </c>
      <c r="L24">
        <f>IF(OR(Setup!$E$47="",Setup!$G$47="",Setup!$F$47=""),"",IF(AND(Setup!$F$47="Once",L$1&gt;0),"",IF(OR(IF(Setup!$M$47&gt;0,Setup!$G$47+(Setup!$O$47+L$1)*Setup!$M$47,EDATE(Setup!$G$47,(Setup!$O$47+L$1)*Setup!$N$47))&gt;Setup!$P$47,IF(Setup!$M$47&gt;0,Setup!$G$47+(Setup!$O$47+L$1)*Setup!$M$47,EDATE(Setup!$G$47,(Setup!$O$47+L$1)*Setup!$N$47))&lt;Setup!$D$5),"",IF(Setup!$M$47&gt;0,Setup!$G$47+(Setup!$O$47+L$1)*Setup!$M$47,EDATE(Setup!$G$47,(Setup!$O$47+L$1)*Setup!$N$47))+$A24/1000)))</f>
        <v/>
      </c>
      <c r="M24">
        <f>IF(OR(Setup!$E$47="",Setup!$G$47="",Setup!$F$47=""),"",IF(AND(Setup!$F$47="Once",M$1&gt;0),"",IF(OR(IF(Setup!$M$47&gt;0,Setup!$G$47+(Setup!$O$47+M$1)*Setup!$M$47,EDATE(Setup!$G$47,(Setup!$O$47+M$1)*Setup!$N$47))&gt;Setup!$P$47,IF(Setup!$M$47&gt;0,Setup!$G$47+(Setup!$O$47+M$1)*Setup!$M$47,EDATE(Setup!$G$47,(Setup!$O$47+M$1)*Setup!$N$47))&lt;Setup!$D$5),"",IF(Setup!$M$47&gt;0,Setup!$G$47+(Setup!$O$47+M$1)*Setup!$M$47,EDATE(Setup!$G$47,(Setup!$O$47+M$1)*Setup!$N$47))+$A24/1000)))</f>
        <v/>
      </c>
      <c r="N24">
        <f>IF(OR(Setup!$E$47="",Setup!$G$47="",Setup!$F$47=""),"",IF(AND(Setup!$F$47="Once",N$1&gt;0),"",IF(OR(IF(Setup!$M$47&gt;0,Setup!$G$47+(Setup!$O$47+N$1)*Setup!$M$47,EDATE(Setup!$G$47,(Setup!$O$47+N$1)*Setup!$N$47))&gt;Setup!$P$47,IF(Setup!$M$47&gt;0,Setup!$G$47+(Setup!$O$47+N$1)*Setup!$M$47,EDATE(Setup!$G$47,(Setup!$O$47+N$1)*Setup!$N$47))&lt;Setup!$D$5),"",IF(Setup!$M$47&gt;0,Setup!$G$47+(Setup!$O$47+N$1)*Setup!$M$47,EDATE(Setup!$G$47,(Setup!$O$47+N$1)*Setup!$N$47))+$A24/1000)))</f>
        <v/>
      </c>
      <c r="O24">
        <f>IF(OR(Setup!$E$47="",Setup!$G$47="",Setup!$F$47=""),"",IF(AND(Setup!$F$47="Once",O$1&gt;0),"",IF(OR(IF(Setup!$M$47&gt;0,Setup!$G$47+(Setup!$O$47+O$1)*Setup!$M$47,EDATE(Setup!$G$47,(Setup!$O$47+O$1)*Setup!$N$47))&gt;Setup!$P$47,IF(Setup!$M$47&gt;0,Setup!$G$47+(Setup!$O$47+O$1)*Setup!$M$47,EDATE(Setup!$G$47,(Setup!$O$47+O$1)*Setup!$N$47))&lt;Setup!$D$5),"",IF(Setup!$M$47&gt;0,Setup!$G$47+(Setup!$O$47+O$1)*Setup!$M$47,EDATE(Setup!$G$47,(Setup!$O$47+O$1)*Setup!$N$47))+$A24/1000)))</f>
        <v/>
      </c>
      <c r="P24">
        <f>IF(OR(Setup!$E$47="",Setup!$G$47="",Setup!$F$47=""),"",IF(AND(Setup!$F$47="Once",P$1&gt;0),"",IF(OR(IF(Setup!$M$47&gt;0,Setup!$G$47+(Setup!$O$47+P$1)*Setup!$M$47,EDATE(Setup!$G$47,(Setup!$O$47+P$1)*Setup!$N$47))&gt;Setup!$P$47,IF(Setup!$M$47&gt;0,Setup!$G$47+(Setup!$O$47+P$1)*Setup!$M$47,EDATE(Setup!$G$47,(Setup!$O$47+P$1)*Setup!$N$47))&lt;Setup!$D$5),"",IF(Setup!$M$47&gt;0,Setup!$G$47+(Setup!$O$47+P$1)*Setup!$M$47,EDATE(Setup!$G$47,(Setup!$O$47+P$1)*Setup!$N$47))+$A24/1000)))</f>
        <v/>
      </c>
      <c r="Q24">
        <f>IF(OR(Setup!$E$47="",Setup!$G$47="",Setup!$F$47=""),"",IF(AND(Setup!$F$47="Once",Q$1&gt;0),"",IF(OR(IF(Setup!$M$47&gt;0,Setup!$G$47+(Setup!$O$47+Q$1)*Setup!$M$47,EDATE(Setup!$G$47,(Setup!$O$47+Q$1)*Setup!$N$47))&gt;Setup!$P$47,IF(Setup!$M$47&gt;0,Setup!$G$47+(Setup!$O$47+Q$1)*Setup!$M$47,EDATE(Setup!$G$47,(Setup!$O$47+Q$1)*Setup!$N$47))&lt;Setup!$D$5),"",IF(Setup!$M$47&gt;0,Setup!$G$47+(Setup!$O$47+Q$1)*Setup!$M$47,EDATE(Setup!$G$47,(Setup!$O$47+Q$1)*Setup!$N$47))+$A24/1000)))</f>
        <v/>
      </c>
      <c r="R24">
        <f>IF(OR(Setup!$E$47="",Setup!$G$47="",Setup!$F$47=""),"",IF(AND(Setup!$F$47="Once",R$1&gt;0),"",IF(OR(IF(Setup!$M$47&gt;0,Setup!$G$47+(Setup!$O$47+R$1)*Setup!$M$47,EDATE(Setup!$G$47,(Setup!$O$47+R$1)*Setup!$N$47))&gt;Setup!$P$47,IF(Setup!$M$47&gt;0,Setup!$G$47+(Setup!$O$47+R$1)*Setup!$M$47,EDATE(Setup!$G$47,(Setup!$O$47+R$1)*Setup!$N$47))&lt;Setup!$D$5),"",IF(Setup!$M$47&gt;0,Setup!$G$47+(Setup!$O$47+R$1)*Setup!$M$47,EDATE(Setup!$G$47,(Setup!$O$47+R$1)*Setup!$N$47))+$A24/1000)))</f>
        <v/>
      </c>
      <c r="S24">
        <f>IF(OR(Setup!$E$47="",Setup!$G$47="",Setup!$F$47=""),"",IF(AND(Setup!$F$47="Once",S$1&gt;0),"",IF(OR(IF(Setup!$M$47&gt;0,Setup!$G$47+(Setup!$O$47+S$1)*Setup!$M$47,EDATE(Setup!$G$47,(Setup!$O$47+S$1)*Setup!$N$47))&gt;Setup!$P$47,IF(Setup!$M$47&gt;0,Setup!$G$47+(Setup!$O$47+S$1)*Setup!$M$47,EDATE(Setup!$G$47,(Setup!$O$47+S$1)*Setup!$N$47))&lt;Setup!$D$5),"",IF(Setup!$M$47&gt;0,Setup!$G$47+(Setup!$O$47+S$1)*Setup!$M$47,EDATE(Setup!$G$47,(Setup!$O$47+S$1)*Setup!$N$47))+$A24/1000)))</f>
        <v/>
      </c>
      <c r="T24">
        <f>IF(OR(Setup!$E$47="",Setup!$G$47="",Setup!$F$47=""),"",IF(AND(Setup!$F$47="Once",T$1&gt;0),"",IF(OR(IF(Setup!$M$47&gt;0,Setup!$G$47+(Setup!$O$47+T$1)*Setup!$M$47,EDATE(Setup!$G$47,(Setup!$O$47+T$1)*Setup!$N$47))&gt;Setup!$P$47,IF(Setup!$M$47&gt;0,Setup!$G$47+(Setup!$O$47+T$1)*Setup!$M$47,EDATE(Setup!$G$47,(Setup!$O$47+T$1)*Setup!$N$47))&lt;Setup!$D$5),"",IF(Setup!$M$47&gt;0,Setup!$G$47+(Setup!$O$47+T$1)*Setup!$M$47,EDATE(Setup!$G$47,(Setup!$O$47+T$1)*Setup!$N$47))+$A24/1000)))</f>
        <v/>
      </c>
      <c r="U24">
        <f>IF(OR(Setup!$E$47="",Setup!$G$47="",Setup!$F$47=""),"",IF(AND(Setup!$F$47="Once",U$1&gt;0),"",IF(OR(IF(Setup!$M$47&gt;0,Setup!$G$47+(Setup!$O$47+U$1)*Setup!$M$47,EDATE(Setup!$G$47,(Setup!$O$47+U$1)*Setup!$N$47))&gt;Setup!$P$47,IF(Setup!$M$47&gt;0,Setup!$G$47+(Setup!$O$47+U$1)*Setup!$M$47,EDATE(Setup!$G$47,(Setup!$O$47+U$1)*Setup!$N$47))&lt;Setup!$D$5),"",IF(Setup!$M$47&gt;0,Setup!$G$47+(Setup!$O$47+U$1)*Setup!$M$47,EDATE(Setup!$G$47,(Setup!$O$47+U$1)*Setup!$N$47))+$A24/1000)))</f>
        <v/>
      </c>
      <c r="V24">
        <f>IF(OR(Setup!$E$47="",Setup!$G$47="",Setup!$F$47=""),"",IF(AND(Setup!$F$47="Once",V$1&gt;0),"",IF(OR(IF(Setup!$M$47&gt;0,Setup!$G$47+(Setup!$O$47+V$1)*Setup!$M$47,EDATE(Setup!$G$47,(Setup!$O$47+V$1)*Setup!$N$47))&gt;Setup!$P$47,IF(Setup!$M$47&gt;0,Setup!$G$47+(Setup!$O$47+V$1)*Setup!$M$47,EDATE(Setup!$G$47,(Setup!$O$47+V$1)*Setup!$N$47))&lt;Setup!$D$5),"",IF(Setup!$M$47&gt;0,Setup!$G$47+(Setup!$O$47+V$1)*Setup!$M$47,EDATE(Setup!$G$47,(Setup!$O$47+V$1)*Setup!$N$47))+$A24/1000)))</f>
        <v/>
      </c>
      <c r="W24">
        <f>IF(OR(Setup!$E$47="",Setup!$G$47="",Setup!$F$47=""),"",IF(AND(Setup!$F$47="Once",W$1&gt;0),"",IF(OR(IF(Setup!$M$47&gt;0,Setup!$G$47+(Setup!$O$47+W$1)*Setup!$M$47,EDATE(Setup!$G$47,(Setup!$O$47+W$1)*Setup!$N$47))&gt;Setup!$P$47,IF(Setup!$M$47&gt;0,Setup!$G$47+(Setup!$O$47+W$1)*Setup!$M$47,EDATE(Setup!$G$47,(Setup!$O$47+W$1)*Setup!$N$47))&lt;Setup!$D$5),"",IF(Setup!$M$47&gt;0,Setup!$G$47+(Setup!$O$47+W$1)*Setup!$M$47,EDATE(Setup!$G$47,(Setup!$O$47+W$1)*Setup!$N$47))+$A24/1000)))</f>
        <v/>
      </c>
      <c r="X24">
        <f>IF(OR(Setup!$E$47="",Setup!$G$47="",Setup!$F$47=""),"",IF(AND(Setup!$F$47="Once",X$1&gt;0),"",IF(OR(IF(Setup!$M$47&gt;0,Setup!$G$47+(Setup!$O$47+X$1)*Setup!$M$47,EDATE(Setup!$G$47,(Setup!$O$47+X$1)*Setup!$N$47))&gt;Setup!$P$47,IF(Setup!$M$47&gt;0,Setup!$G$47+(Setup!$O$47+X$1)*Setup!$M$47,EDATE(Setup!$G$47,(Setup!$O$47+X$1)*Setup!$N$47))&lt;Setup!$D$5),"",IF(Setup!$M$47&gt;0,Setup!$G$47+(Setup!$O$47+X$1)*Setup!$M$47,EDATE(Setup!$G$47,(Setup!$O$47+X$1)*Setup!$N$47))+$A24/1000)))</f>
        <v/>
      </c>
      <c r="Y24">
        <f>IF(OR(Setup!$E$47="",Setup!$G$47="",Setup!$F$47=""),"",IF(AND(Setup!$F$47="Once",Y$1&gt;0),"",IF(OR(IF(Setup!$M$47&gt;0,Setup!$G$47+(Setup!$O$47+Y$1)*Setup!$M$47,EDATE(Setup!$G$47,(Setup!$O$47+Y$1)*Setup!$N$47))&gt;Setup!$P$47,IF(Setup!$M$47&gt;0,Setup!$G$47+(Setup!$O$47+Y$1)*Setup!$M$47,EDATE(Setup!$G$47,(Setup!$O$47+Y$1)*Setup!$N$47))&lt;Setup!$D$5),"",IF(Setup!$M$47&gt;0,Setup!$G$47+(Setup!$O$47+Y$1)*Setup!$M$47,EDATE(Setup!$G$47,(Setup!$O$47+Y$1)*Setup!$N$47))+$A24/1000)))</f>
        <v/>
      </c>
      <c r="Z24">
        <f>IF(OR(Setup!$E$47="",Setup!$G$47="",Setup!$F$47=""),"",IF(AND(Setup!$F$47="Once",Z$1&gt;0),"",IF(OR(IF(Setup!$M$47&gt;0,Setup!$G$47+(Setup!$O$47+Z$1)*Setup!$M$47,EDATE(Setup!$G$47,(Setup!$O$47+Z$1)*Setup!$N$47))&gt;Setup!$P$47,IF(Setup!$M$47&gt;0,Setup!$G$47+(Setup!$O$47+Z$1)*Setup!$M$47,EDATE(Setup!$G$47,(Setup!$O$47+Z$1)*Setup!$N$47))&lt;Setup!$D$5),"",IF(Setup!$M$47&gt;0,Setup!$G$47+(Setup!$O$47+Z$1)*Setup!$M$47,EDATE(Setup!$G$47,(Setup!$O$47+Z$1)*Setup!$N$47))+$A24/1000)))</f>
        <v/>
      </c>
      <c r="AA24">
        <f>IF(OR(Setup!$E$47="",Setup!$G$47="",Setup!$F$47=""),"",IF(AND(Setup!$F$47="Once",AA$1&gt;0),"",IF(OR(IF(Setup!$M$47&gt;0,Setup!$G$47+(Setup!$O$47+AA$1)*Setup!$M$47,EDATE(Setup!$G$47,(Setup!$O$47+AA$1)*Setup!$N$47))&gt;Setup!$P$47,IF(Setup!$M$47&gt;0,Setup!$G$47+(Setup!$O$47+AA$1)*Setup!$M$47,EDATE(Setup!$G$47,(Setup!$O$47+AA$1)*Setup!$N$47))&lt;Setup!$D$5),"",IF(Setup!$M$47&gt;0,Setup!$G$47+(Setup!$O$47+AA$1)*Setup!$M$47,EDATE(Setup!$G$47,(Setup!$O$47+AA$1)*Setup!$N$47))+$A24/1000)))</f>
        <v/>
      </c>
      <c r="AB24">
        <f>IF(OR(Setup!$E$47="",Setup!$G$47="",Setup!$F$47=""),"",IF(AND(Setup!$F$47="Once",AB$1&gt;0),"",IF(OR(IF(Setup!$M$47&gt;0,Setup!$G$47+(Setup!$O$47+AB$1)*Setup!$M$47,EDATE(Setup!$G$47,(Setup!$O$47+AB$1)*Setup!$N$47))&gt;Setup!$P$47,IF(Setup!$M$47&gt;0,Setup!$G$47+(Setup!$O$47+AB$1)*Setup!$M$47,EDATE(Setup!$G$47,(Setup!$O$47+AB$1)*Setup!$N$47))&lt;Setup!$D$5),"",IF(Setup!$M$47&gt;0,Setup!$G$47+(Setup!$O$47+AB$1)*Setup!$M$47,EDATE(Setup!$G$47,(Setup!$O$47+AB$1)*Setup!$N$47))+$A24/1000)))</f>
        <v/>
      </c>
      <c r="AC24">
        <f>IF(OR(Setup!$E$47="",Setup!$G$47="",Setup!$F$47=""),"",IF(AND(Setup!$F$47="Once",AC$1&gt;0),"",IF(OR(IF(Setup!$M$47&gt;0,Setup!$G$47+(Setup!$O$47+AC$1)*Setup!$M$47,EDATE(Setup!$G$47,(Setup!$O$47+AC$1)*Setup!$N$47))&gt;Setup!$P$47,IF(Setup!$M$47&gt;0,Setup!$G$47+(Setup!$O$47+AC$1)*Setup!$M$47,EDATE(Setup!$G$47,(Setup!$O$47+AC$1)*Setup!$N$47))&lt;Setup!$D$5),"",IF(Setup!$M$47&gt;0,Setup!$G$47+(Setup!$O$47+AC$1)*Setup!$M$47,EDATE(Setup!$G$47,(Setup!$O$47+AC$1)*Setup!$N$47))+$A24/1000)))</f>
        <v/>
      </c>
      <c r="AD24">
        <f>IF(OR(Setup!$E$47="",Setup!$G$47="",Setup!$F$47=""),"",IF(AND(Setup!$F$47="Once",AD$1&gt;0),"",IF(OR(IF(Setup!$M$47&gt;0,Setup!$G$47+(Setup!$O$47+AD$1)*Setup!$M$47,EDATE(Setup!$G$47,(Setup!$O$47+AD$1)*Setup!$N$47))&gt;Setup!$P$47,IF(Setup!$M$47&gt;0,Setup!$G$47+(Setup!$O$47+AD$1)*Setup!$M$47,EDATE(Setup!$G$47,(Setup!$O$47+AD$1)*Setup!$N$47))&lt;Setup!$D$5),"",IF(Setup!$M$47&gt;0,Setup!$G$47+(Setup!$O$47+AD$1)*Setup!$M$47,EDATE(Setup!$G$47,(Setup!$O$47+AD$1)*Setup!$N$47))+$A24/1000)))</f>
        <v/>
      </c>
      <c r="AE24">
        <f>IF(OR(Setup!$E$47="",Setup!$G$47="",Setup!$F$47=""),"",IF(AND(Setup!$F$47="Once",AE$1&gt;0),"",IF(OR(IF(Setup!$M$47&gt;0,Setup!$G$47+(Setup!$O$47+AE$1)*Setup!$M$47,EDATE(Setup!$G$47,(Setup!$O$47+AE$1)*Setup!$N$47))&gt;Setup!$P$47,IF(Setup!$M$47&gt;0,Setup!$G$47+(Setup!$O$47+AE$1)*Setup!$M$47,EDATE(Setup!$G$47,(Setup!$O$47+AE$1)*Setup!$N$47))&lt;Setup!$D$5),"",IF(Setup!$M$47&gt;0,Setup!$G$47+(Setup!$O$47+AE$1)*Setup!$M$47,EDATE(Setup!$G$47,(Setup!$O$47+AE$1)*Setup!$N$47))+$A24/1000)))</f>
        <v/>
      </c>
      <c r="AF24">
        <f>IF(OR(Setup!$E$47="",Setup!$G$47="",Setup!$F$47=""),"",IF(AND(Setup!$F$47="Once",AF$1&gt;0),"",IF(OR(IF(Setup!$M$47&gt;0,Setup!$G$47+(Setup!$O$47+AF$1)*Setup!$M$47,EDATE(Setup!$G$47,(Setup!$O$47+AF$1)*Setup!$N$47))&gt;Setup!$P$47,IF(Setup!$M$47&gt;0,Setup!$G$47+(Setup!$O$47+AF$1)*Setup!$M$47,EDATE(Setup!$G$47,(Setup!$O$47+AF$1)*Setup!$N$47))&lt;Setup!$D$5),"",IF(Setup!$M$47&gt;0,Setup!$G$47+(Setup!$O$47+AF$1)*Setup!$M$47,EDATE(Setup!$G$47,(Setup!$O$47+AF$1)*Setup!$N$47))+$A24/1000)))</f>
        <v/>
      </c>
      <c r="AG24">
        <f>IF(OR(Setup!$E$47="",Setup!$G$47="",Setup!$F$47=""),"",IF(AND(Setup!$F$47="Once",AG$1&gt;0),"",IF(OR(IF(Setup!$M$47&gt;0,Setup!$G$47+(Setup!$O$47+AG$1)*Setup!$M$47,EDATE(Setup!$G$47,(Setup!$O$47+AG$1)*Setup!$N$47))&gt;Setup!$P$47,IF(Setup!$M$47&gt;0,Setup!$G$47+(Setup!$O$47+AG$1)*Setup!$M$47,EDATE(Setup!$G$47,(Setup!$O$47+AG$1)*Setup!$N$47))&lt;Setup!$D$5),"",IF(Setup!$M$47&gt;0,Setup!$G$47+(Setup!$O$47+AG$1)*Setup!$M$47,EDATE(Setup!$G$47,(Setup!$O$47+AG$1)*Setup!$N$47))+$A24/1000)))</f>
        <v/>
      </c>
      <c r="AH24">
        <f>IF(OR(Setup!$E$47="",Setup!$G$47="",Setup!$F$47=""),"",IF(AND(Setup!$F$47="Once",AH$1&gt;0),"",IF(OR(IF(Setup!$M$47&gt;0,Setup!$G$47+(Setup!$O$47+AH$1)*Setup!$M$47,EDATE(Setup!$G$47,(Setup!$O$47+AH$1)*Setup!$N$47))&gt;Setup!$P$47,IF(Setup!$M$47&gt;0,Setup!$G$47+(Setup!$O$47+AH$1)*Setup!$M$47,EDATE(Setup!$G$47,(Setup!$O$47+AH$1)*Setup!$N$47))&lt;Setup!$D$5),"",IF(Setup!$M$47&gt;0,Setup!$G$47+(Setup!$O$47+AH$1)*Setup!$M$47,EDATE(Setup!$G$47,(Setup!$O$47+AH$1)*Setup!$N$47))+$A24/1000)))</f>
        <v/>
      </c>
      <c r="AI24">
        <f>IF(OR(Setup!$E$47="",Setup!$G$47="",Setup!$F$47=""),"",IF(AND(Setup!$F$47="Once",AI$1&gt;0),"",IF(OR(IF(Setup!$M$47&gt;0,Setup!$G$47+(Setup!$O$47+AI$1)*Setup!$M$47,EDATE(Setup!$G$47,(Setup!$O$47+AI$1)*Setup!$N$47))&gt;Setup!$P$47,IF(Setup!$M$47&gt;0,Setup!$G$47+(Setup!$O$47+AI$1)*Setup!$M$47,EDATE(Setup!$G$47,(Setup!$O$47+AI$1)*Setup!$N$47))&lt;Setup!$D$5),"",IF(Setup!$M$47&gt;0,Setup!$G$47+(Setup!$O$47+AI$1)*Setup!$M$47,EDATE(Setup!$G$47,(Setup!$O$47+AI$1)*Setup!$N$47))+$A24/1000)))</f>
        <v/>
      </c>
      <c r="AJ24">
        <f>IF(OR(Setup!$E$47="",Setup!$G$47="",Setup!$F$47=""),"",IF(AND(Setup!$F$47="Once",AJ$1&gt;0),"",IF(OR(IF(Setup!$M$47&gt;0,Setup!$G$47+(Setup!$O$47+AJ$1)*Setup!$M$47,EDATE(Setup!$G$47,(Setup!$O$47+AJ$1)*Setup!$N$47))&gt;Setup!$P$47,IF(Setup!$M$47&gt;0,Setup!$G$47+(Setup!$O$47+AJ$1)*Setup!$M$47,EDATE(Setup!$G$47,(Setup!$O$47+AJ$1)*Setup!$N$47))&lt;Setup!$D$5),"",IF(Setup!$M$47&gt;0,Setup!$G$47+(Setup!$O$47+AJ$1)*Setup!$M$47,EDATE(Setup!$G$47,(Setup!$O$47+AJ$1)*Setup!$N$47))+$A24/1000)))</f>
        <v/>
      </c>
      <c r="AK24">
        <f>IF(OR(Setup!$E$47="",Setup!$G$47="",Setup!$F$47=""),"",IF(AND(Setup!$F$47="Once",AK$1&gt;0),"",IF(OR(IF(Setup!$M$47&gt;0,Setup!$G$47+(Setup!$O$47+AK$1)*Setup!$M$47,EDATE(Setup!$G$47,(Setup!$O$47+AK$1)*Setup!$N$47))&gt;Setup!$P$47,IF(Setup!$M$47&gt;0,Setup!$G$47+(Setup!$O$47+AK$1)*Setup!$M$47,EDATE(Setup!$G$47,(Setup!$O$47+AK$1)*Setup!$N$47))&lt;Setup!$D$5),"",IF(Setup!$M$47&gt;0,Setup!$G$47+(Setup!$O$47+AK$1)*Setup!$M$47,EDATE(Setup!$G$47,(Setup!$O$47+AK$1)*Setup!$N$47))+$A24/1000)))</f>
        <v/>
      </c>
      <c r="AL24">
        <f>IF(OR(Setup!$E$47="",Setup!$G$47="",Setup!$F$47=""),"",IF(AND(Setup!$F$47="Once",AL$1&gt;0),"",IF(OR(IF(Setup!$M$47&gt;0,Setup!$G$47+(Setup!$O$47+AL$1)*Setup!$M$47,EDATE(Setup!$G$47,(Setup!$O$47+AL$1)*Setup!$N$47))&gt;Setup!$P$47,IF(Setup!$M$47&gt;0,Setup!$G$47+(Setup!$O$47+AL$1)*Setup!$M$47,EDATE(Setup!$G$47,(Setup!$O$47+AL$1)*Setup!$N$47))&lt;Setup!$D$5),"",IF(Setup!$M$47&gt;0,Setup!$G$47+(Setup!$O$47+AL$1)*Setup!$M$47,EDATE(Setup!$G$47,(Setup!$O$47+AL$1)*Setup!$N$47))+$A24/1000)))</f>
        <v/>
      </c>
      <c r="AM24">
        <f>IF(OR(Setup!$E$47="",Setup!$G$47="",Setup!$F$47=""),"",IF(AND(Setup!$F$47="Once",AM$1&gt;0),"",IF(OR(IF(Setup!$M$47&gt;0,Setup!$G$47+(Setup!$O$47+AM$1)*Setup!$M$47,EDATE(Setup!$G$47,(Setup!$O$47+AM$1)*Setup!$N$47))&gt;Setup!$P$47,IF(Setup!$M$47&gt;0,Setup!$G$47+(Setup!$O$47+AM$1)*Setup!$M$47,EDATE(Setup!$G$47,(Setup!$O$47+AM$1)*Setup!$N$47))&lt;Setup!$D$5),"",IF(Setup!$M$47&gt;0,Setup!$G$47+(Setup!$O$47+AM$1)*Setup!$M$47,EDATE(Setup!$G$47,(Setup!$O$47+AM$1)*Setup!$N$47))+$A24/1000)))</f>
        <v/>
      </c>
      <c r="AN24">
        <f>IF(OR(Setup!$E$47="",Setup!$G$47="",Setup!$F$47=""),"",IF(AND(Setup!$F$47="Once",AN$1&gt;0),"",IF(OR(IF(Setup!$M$47&gt;0,Setup!$G$47+(Setup!$O$47+AN$1)*Setup!$M$47,EDATE(Setup!$G$47,(Setup!$O$47+AN$1)*Setup!$N$47))&gt;Setup!$P$47,IF(Setup!$M$47&gt;0,Setup!$G$47+(Setup!$O$47+AN$1)*Setup!$M$47,EDATE(Setup!$G$47,(Setup!$O$47+AN$1)*Setup!$N$47))&lt;Setup!$D$5),"",IF(Setup!$M$47&gt;0,Setup!$G$47+(Setup!$O$47+AN$1)*Setup!$M$47,EDATE(Setup!$G$47,(Setup!$O$47+AN$1)*Setup!$N$47))+$A24/1000)))</f>
        <v/>
      </c>
      <c r="AO24">
        <f>IF(OR(Setup!$E$47="",Setup!$G$47="",Setup!$F$47=""),"",IF(AND(Setup!$F$47="Once",AO$1&gt;0),"",IF(OR(IF(Setup!$M$47&gt;0,Setup!$G$47+(Setup!$O$47+AO$1)*Setup!$M$47,EDATE(Setup!$G$47,(Setup!$O$47+AO$1)*Setup!$N$47))&gt;Setup!$P$47,IF(Setup!$M$47&gt;0,Setup!$G$47+(Setup!$O$47+AO$1)*Setup!$M$47,EDATE(Setup!$G$47,(Setup!$O$47+AO$1)*Setup!$N$47))&lt;Setup!$D$5),"",IF(Setup!$M$47&gt;0,Setup!$G$47+(Setup!$O$47+AO$1)*Setup!$M$47,EDATE(Setup!$G$47,(Setup!$O$47+AO$1)*Setup!$N$47))+$A24/1000)))</f>
        <v/>
      </c>
      <c r="AP24">
        <f>IF(OR(Setup!$E$47="",Setup!$G$47="",Setup!$F$47=""),"",IF(AND(Setup!$F$47="Once",AP$1&gt;0),"",IF(OR(IF(Setup!$M$47&gt;0,Setup!$G$47+(Setup!$O$47+AP$1)*Setup!$M$47,EDATE(Setup!$G$47,(Setup!$O$47+AP$1)*Setup!$N$47))&gt;Setup!$P$47,IF(Setup!$M$47&gt;0,Setup!$G$47+(Setup!$O$47+AP$1)*Setup!$M$47,EDATE(Setup!$G$47,(Setup!$O$47+AP$1)*Setup!$N$47))&lt;Setup!$D$5),"",IF(Setup!$M$47&gt;0,Setup!$G$47+(Setup!$O$47+AP$1)*Setup!$M$47,EDATE(Setup!$G$47,(Setup!$O$47+AP$1)*Setup!$N$47))+$A24/1000)))</f>
        <v/>
      </c>
      <c r="AQ24">
        <f>IF(OR(Setup!$E$47="",Setup!$G$47="",Setup!$F$47=""),"",IF(AND(Setup!$F$47="Once",AQ$1&gt;0),"",IF(OR(IF(Setup!$M$47&gt;0,Setup!$G$47+(Setup!$O$47+AQ$1)*Setup!$M$47,EDATE(Setup!$G$47,(Setup!$O$47+AQ$1)*Setup!$N$47))&gt;Setup!$P$47,IF(Setup!$M$47&gt;0,Setup!$G$47+(Setup!$O$47+AQ$1)*Setup!$M$47,EDATE(Setup!$G$47,(Setup!$O$47+AQ$1)*Setup!$N$47))&lt;Setup!$D$5),"",IF(Setup!$M$47&gt;0,Setup!$G$47+(Setup!$O$47+AQ$1)*Setup!$M$47,EDATE(Setup!$G$47,(Setup!$O$47+AQ$1)*Setup!$N$47))+$A24/1000)))</f>
        <v/>
      </c>
      <c r="AR24">
        <f>IF(OR(Setup!$E$47="",Setup!$G$47="",Setup!$F$47=""),"",IF(AND(Setup!$F$47="Once",AR$1&gt;0),"",IF(OR(IF(Setup!$M$47&gt;0,Setup!$G$47+(Setup!$O$47+AR$1)*Setup!$M$47,EDATE(Setup!$G$47,(Setup!$O$47+AR$1)*Setup!$N$47))&gt;Setup!$P$47,IF(Setup!$M$47&gt;0,Setup!$G$47+(Setup!$O$47+AR$1)*Setup!$M$47,EDATE(Setup!$G$47,(Setup!$O$47+AR$1)*Setup!$N$47))&lt;Setup!$D$5),"",IF(Setup!$M$47&gt;0,Setup!$G$47+(Setup!$O$47+AR$1)*Setup!$M$47,EDATE(Setup!$G$47,(Setup!$O$47+AR$1)*Setup!$N$47))+$A24/1000)))</f>
        <v/>
      </c>
      <c r="AS24">
        <f>IF(OR(Setup!$E$47="",Setup!$G$47="",Setup!$F$47=""),"",IF(AND(Setup!$F$47="Once",AS$1&gt;0),"",IF(OR(IF(Setup!$M$47&gt;0,Setup!$G$47+(Setup!$O$47+AS$1)*Setup!$M$47,EDATE(Setup!$G$47,(Setup!$O$47+AS$1)*Setup!$N$47))&gt;Setup!$P$47,IF(Setup!$M$47&gt;0,Setup!$G$47+(Setup!$O$47+AS$1)*Setup!$M$47,EDATE(Setup!$G$47,(Setup!$O$47+AS$1)*Setup!$N$47))&lt;Setup!$D$5),"",IF(Setup!$M$47&gt;0,Setup!$G$47+(Setup!$O$47+AS$1)*Setup!$M$47,EDATE(Setup!$G$47,(Setup!$O$47+AS$1)*Setup!$N$47))+$A24/1000)))</f>
        <v/>
      </c>
      <c r="AT24">
        <f>IF(OR(Setup!$E$47="",Setup!$G$47="",Setup!$F$47=""),"",IF(AND(Setup!$F$47="Once",AT$1&gt;0),"",IF(OR(IF(Setup!$M$47&gt;0,Setup!$G$47+(Setup!$O$47+AT$1)*Setup!$M$47,EDATE(Setup!$G$47,(Setup!$O$47+AT$1)*Setup!$N$47))&gt;Setup!$P$47,IF(Setup!$M$47&gt;0,Setup!$G$47+(Setup!$O$47+AT$1)*Setup!$M$47,EDATE(Setup!$G$47,(Setup!$O$47+AT$1)*Setup!$N$47))&lt;Setup!$D$5),"",IF(Setup!$M$47&gt;0,Setup!$G$47+(Setup!$O$47+AT$1)*Setup!$M$47,EDATE(Setup!$G$47,(Setup!$O$47+AT$1)*Setup!$N$47))+$A24/1000)))</f>
        <v/>
      </c>
      <c r="AU24">
        <f>IF(OR(Setup!$E$47="",Setup!$G$47="",Setup!$F$47=""),"",IF(AND(Setup!$F$47="Once",AU$1&gt;0),"",IF(OR(IF(Setup!$M$47&gt;0,Setup!$G$47+(Setup!$O$47+AU$1)*Setup!$M$47,EDATE(Setup!$G$47,(Setup!$O$47+AU$1)*Setup!$N$47))&gt;Setup!$P$47,IF(Setup!$M$47&gt;0,Setup!$G$47+(Setup!$O$47+AU$1)*Setup!$M$47,EDATE(Setup!$G$47,(Setup!$O$47+AU$1)*Setup!$N$47))&lt;Setup!$D$5),"",IF(Setup!$M$47&gt;0,Setup!$G$47+(Setup!$O$47+AU$1)*Setup!$M$47,EDATE(Setup!$G$47,(Setup!$O$47+AU$1)*Setup!$N$47))+$A24/1000)))</f>
        <v/>
      </c>
      <c r="AV24">
        <f>IF(OR(Setup!$E$47="",Setup!$G$47="",Setup!$F$47=""),"",IF(AND(Setup!$F$47="Once",AV$1&gt;0),"",IF(OR(IF(Setup!$M$47&gt;0,Setup!$G$47+(Setup!$O$47+AV$1)*Setup!$M$47,EDATE(Setup!$G$47,(Setup!$O$47+AV$1)*Setup!$N$47))&gt;Setup!$P$47,IF(Setup!$M$47&gt;0,Setup!$G$47+(Setup!$O$47+AV$1)*Setup!$M$47,EDATE(Setup!$G$47,(Setup!$O$47+AV$1)*Setup!$N$47))&lt;Setup!$D$5),"",IF(Setup!$M$47&gt;0,Setup!$G$47+(Setup!$O$47+AV$1)*Setup!$M$47,EDATE(Setup!$G$47,(Setup!$O$47+AV$1)*Setup!$N$47))+$A24/1000)))</f>
        <v/>
      </c>
      <c r="AW24">
        <f>IF(OR(Setup!$E$47="",Setup!$G$47="",Setup!$F$47=""),"",IF(AND(Setup!$F$47="Once",AW$1&gt;0),"",IF(OR(IF(Setup!$M$47&gt;0,Setup!$G$47+(Setup!$O$47+AW$1)*Setup!$M$47,EDATE(Setup!$G$47,(Setup!$O$47+AW$1)*Setup!$N$47))&gt;Setup!$P$47,IF(Setup!$M$47&gt;0,Setup!$G$47+(Setup!$O$47+AW$1)*Setup!$M$47,EDATE(Setup!$G$47,(Setup!$O$47+AW$1)*Setup!$N$47))&lt;Setup!$D$5),"",IF(Setup!$M$47&gt;0,Setup!$G$47+(Setup!$O$47+AW$1)*Setup!$M$47,EDATE(Setup!$G$47,(Setup!$O$47+AW$1)*Setup!$N$47))+$A24/1000)))</f>
        <v/>
      </c>
      <c r="AX24">
        <f>IF(OR(Setup!$E$47="",Setup!$G$47="",Setup!$F$47=""),"",IF(AND(Setup!$F$47="Once",AX$1&gt;0),"",IF(OR(IF(Setup!$M$47&gt;0,Setup!$G$47+(Setup!$O$47+AX$1)*Setup!$M$47,EDATE(Setup!$G$47,(Setup!$O$47+AX$1)*Setup!$N$47))&gt;Setup!$P$47,IF(Setup!$M$47&gt;0,Setup!$G$47+(Setup!$O$47+AX$1)*Setup!$M$47,EDATE(Setup!$G$47,(Setup!$O$47+AX$1)*Setup!$N$47))&lt;Setup!$D$5),"",IF(Setup!$M$47&gt;0,Setup!$G$47+(Setup!$O$47+AX$1)*Setup!$M$47,EDATE(Setup!$G$47,(Setup!$O$47+AX$1)*Setup!$N$47))+$A24/1000)))</f>
        <v/>
      </c>
      <c r="AY24">
        <f>IF(OR(Setup!$E$47="",Setup!$G$47="",Setup!$F$47=""),"",IF(AND(Setup!$F$47="Once",AY$1&gt;0),"",IF(OR(IF(Setup!$M$47&gt;0,Setup!$G$47+(Setup!$O$47+AY$1)*Setup!$M$47,EDATE(Setup!$G$47,(Setup!$O$47+AY$1)*Setup!$N$47))&gt;Setup!$P$47,IF(Setup!$M$47&gt;0,Setup!$G$47+(Setup!$O$47+AY$1)*Setup!$M$47,EDATE(Setup!$G$47,(Setup!$O$47+AY$1)*Setup!$N$47))&lt;Setup!$D$5),"",IF(Setup!$M$47&gt;0,Setup!$G$47+(Setup!$O$47+AY$1)*Setup!$M$47,EDATE(Setup!$G$47,(Setup!$O$47+AY$1)*Setup!$N$47))+$A24/1000)))</f>
        <v/>
      </c>
      <c r="AZ24">
        <f>IF(OR(Setup!$E$47="",Setup!$G$47="",Setup!$F$47=""),"",IF(AND(Setup!$F$47="Once",AZ$1&gt;0),"",IF(OR(IF(Setup!$M$47&gt;0,Setup!$G$47+(Setup!$O$47+AZ$1)*Setup!$M$47,EDATE(Setup!$G$47,(Setup!$O$47+AZ$1)*Setup!$N$47))&gt;Setup!$P$47,IF(Setup!$M$47&gt;0,Setup!$G$47+(Setup!$O$47+AZ$1)*Setup!$M$47,EDATE(Setup!$G$47,(Setup!$O$47+AZ$1)*Setup!$N$47))&lt;Setup!$D$5),"",IF(Setup!$M$47&gt;0,Setup!$G$47+(Setup!$O$47+AZ$1)*Setup!$M$47,EDATE(Setup!$G$47,(Setup!$O$47+AZ$1)*Setup!$N$47))+$A24/1000)))</f>
        <v/>
      </c>
      <c r="BA24">
        <f>IF(OR(Setup!$E$47="",Setup!$G$47="",Setup!$F$47=""),"",IF(AND(Setup!$F$47="Once",BA$1&gt;0),"",IF(OR(IF(Setup!$M$47&gt;0,Setup!$G$47+(Setup!$O$47+BA$1)*Setup!$M$47,EDATE(Setup!$G$47,(Setup!$O$47+BA$1)*Setup!$N$47))&gt;Setup!$P$47,IF(Setup!$M$47&gt;0,Setup!$G$47+(Setup!$O$47+BA$1)*Setup!$M$47,EDATE(Setup!$G$47,(Setup!$O$47+BA$1)*Setup!$N$47))&lt;Setup!$D$5),"",IF(Setup!$M$47&gt;0,Setup!$G$47+(Setup!$O$47+BA$1)*Setup!$M$47,EDATE(Setup!$G$47,(Setup!$O$47+BA$1)*Setup!$N$47))+$A24/1000)))</f>
        <v/>
      </c>
      <c r="BB24">
        <f>IF(OR(Setup!$E$47="",Setup!$G$47="",Setup!$F$47=""),"",IF(AND(Setup!$F$47="Once",BB$1&gt;0),"",IF(OR(IF(Setup!$M$47&gt;0,Setup!$G$47+(Setup!$O$47+BB$1)*Setup!$M$47,EDATE(Setup!$G$47,(Setup!$O$47+BB$1)*Setup!$N$47))&gt;Setup!$P$47,IF(Setup!$M$47&gt;0,Setup!$G$47+(Setup!$O$47+BB$1)*Setup!$M$47,EDATE(Setup!$G$47,(Setup!$O$47+BB$1)*Setup!$N$47))&lt;Setup!$D$5),"",IF(Setup!$M$47&gt;0,Setup!$G$47+(Setup!$O$47+BB$1)*Setup!$M$47,EDATE(Setup!$G$47,(Setup!$O$47+BB$1)*Setup!$N$47))+$A24/1000)))</f>
        <v/>
      </c>
    </row>
    <row r="25">
      <c r="A25" t="n">
        <v>24</v>
      </c>
      <c r="B25">
        <f>IF(OR(Setup!$E$48="",Setup!$G$48="",Setup!$F$48=""),"",IF(AND(Setup!$F$48="Once",B$1&gt;0),"",IF(OR(IF(Setup!$M$48&gt;0,Setup!$G$48+(Setup!$O$48+B$1)*Setup!$M$48,EDATE(Setup!$G$48,(Setup!$O$48+B$1)*Setup!$N$48))&gt;Setup!$P$48,IF(Setup!$M$48&gt;0,Setup!$G$48+(Setup!$O$48+B$1)*Setup!$M$48,EDATE(Setup!$G$48,(Setup!$O$48+B$1)*Setup!$N$48))&lt;Setup!$D$5),"",IF(Setup!$M$48&gt;0,Setup!$G$48+(Setup!$O$48+B$1)*Setup!$M$48,EDATE(Setup!$G$48,(Setup!$O$48+B$1)*Setup!$N$48))+$A25/1000)))</f>
        <v/>
      </c>
      <c r="C25">
        <f>IF(OR(Setup!$E$48="",Setup!$G$48="",Setup!$F$48=""),"",IF(AND(Setup!$F$48="Once",C$1&gt;0),"",IF(OR(IF(Setup!$M$48&gt;0,Setup!$G$48+(Setup!$O$48+C$1)*Setup!$M$48,EDATE(Setup!$G$48,(Setup!$O$48+C$1)*Setup!$N$48))&gt;Setup!$P$48,IF(Setup!$M$48&gt;0,Setup!$G$48+(Setup!$O$48+C$1)*Setup!$M$48,EDATE(Setup!$G$48,(Setup!$O$48+C$1)*Setup!$N$48))&lt;Setup!$D$5),"",IF(Setup!$M$48&gt;0,Setup!$G$48+(Setup!$O$48+C$1)*Setup!$M$48,EDATE(Setup!$G$48,(Setup!$O$48+C$1)*Setup!$N$48))+$A25/1000)))</f>
        <v/>
      </c>
      <c r="D25">
        <f>IF(OR(Setup!$E$48="",Setup!$G$48="",Setup!$F$48=""),"",IF(AND(Setup!$F$48="Once",D$1&gt;0),"",IF(OR(IF(Setup!$M$48&gt;0,Setup!$G$48+(Setup!$O$48+D$1)*Setup!$M$48,EDATE(Setup!$G$48,(Setup!$O$48+D$1)*Setup!$N$48))&gt;Setup!$P$48,IF(Setup!$M$48&gt;0,Setup!$G$48+(Setup!$O$48+D$1)*Setup!$M$48,EDATE(Setup!$G$48,(Setup!$O$48+D$1)*Setup!$N$48))&lt;Setup!$D$5),"",IF(Setup!$M$48&gt;0,Setup!$G$48+(Setup!$O$48+D$1)*Setup!$M$48,EDATE(Setup!$G$48,(Setup!$O$48+D$1)*Setup!$N$48))+$A25/1000)))</f>
        <v/>
      </c>
      <c r="E25">
        <f>IF(OR(Setup!$E$48="",Setup!$G$48="",Setup!$F$48=""),"",IF(AND(Setup!$F$48="Once",E$1&gt;0),"",IF(OR(IF(Setup!$M$48&gt;0,Setup!$G$48+(Setup!$O$48+E$1)*Setup!$M$48,EDATE(Setup!$G$48,(Setup!$O$48+E$1)*Setup!$N$48))&gt;Setup!$P$48,IF(Setup!$M$48&gt;0,Setup!$G$48+(Setup!$O$48+E$1)*Setup!$M$48,EDATE(Setup!$G$48,(Setup!$O$48+E$1)*Setup!$N$48))&lt;Setup!$D$5),"",IF(Setup!$M$48&gt;0,Setup!$G$48+(Setup!$O$48+E$1)*Setup!$M$48,EDATE(Setup!$G$48,(Setup!$O$48+E$1)*Setup!$N$48))+$A25/1000)))</f>
        <v/>
      </c>
      <c r="F25">
        <f>IF(OR(Setup!$E$48="",Setup!$G$48="",Setup!$F$48=""),"",IF(AND(Setup!$F$48="Once",F$1&gt;0),"",IF(OR(IF(Setup!$M$48&gt;0,Setup!$G$48+(Setup!$O$48+F$1)*Setup!$M$48,EDATE(Setup!$G$48,(Setup!$O$48+F$1)*Setup!$N$48))&gt;Setup!$P$48,IF(Setup!$M$48&gt;0,Setup!$G$48+(Setup!$O$48+F$1)*Setup!$M$48,EDATE(Setup!$G$48,(Setup!$O$48+F$1)*Setup!$N$48))&lt;Setup!$D$5),"",IF(Setup!$M$48&gt;0,Setup!$G$48+(Setup!$O$48+F$1)*Setup!$M$48,EDATE(Setup!$G$48,(Setup!$O$48+F$1)*Setup!$N$48))+$A25/1000)))</f>
        <v/>
      </c>
      <c r="G25">
        <f>IF(OR(Setup!$E$48="",Setup!$G$48="",Setup!$F$48=""),"",IF(AND(Setup!$F$48="Once",G$1&gt;0),"",IF(OR(IF(Setup!$M$48&gt;0,Setup!$G$48+(Setup!$O$48+G$1)*Setup!$M$48,EDATE(Setup!$G$48,(Setup!$O$48+G$1)*Setup!$N$48))&gt;Setup!$P$48,IF(Setup!$M$48&gt;0,Setup!$G$48+(Setup!$O$48+G$1)*Setup!$M$48,EDATE(Setup!$G$48,(Setup!$O$48+G$1)*Setup!$N$48))&lt;Setup!$D$5),"",IF(Setup!$M$48&gt;0,Setup!$G$48+(Setup!$O$48+G$1)*Setup!$M$48,EDATE(Setup!$G$48,(Setup!$O$48+G$1)*Setup!$N$48))+$A25/1000)))</f>
        <v/>
      </c>
      <c r="H25">
        <f>IF(OR(Setup!$E$48="",Setup!$G$48="",Setup!$F$48=""),"",IF(AND(Setup!$F$48="Once",H$1&gt;0),"",IF(OR(IF(Setup!$M$48&gt;0,Setup!$G$48+(Setup!$O$48+H$1)*Setup!$M$48,EDATE(Setup!$G$48,(Setup!$O$48+H$1)*Setup!$N$48))&gt;Setup!$P$48,IF(Setup!$M$48&gt;0,Setup!$G$48+(Setup!$O$48+H$1)*Setup!$M$48,EDATE(Setup!$G$48,(Setup!$O$48+H$1)*Setup!$N$48))&lt;Setup!$D$5),"",IF(Setup!$M$48&gt;0,Setup!$G$48+(Setup!$O$48+H$1)*Setup!$M$48,EDATE(Setup!$G$48,(Setup!$O$48+H$1)*Setup!$N$48))+$A25/1000)))</f>
        <v/>
      </c>
      <c r="I25">
        <f>IF(OR(Setup!$E$48="",Setup!$G$48="",Setup!$F$48=""),"",IF(AND(Setup!$F$48="Once",I$1&gt;0),"",IF(OR(IF(Setup!$M$48&gt;0,Setup!$G$48+(Setup!$O$48+I$1)*Setup!$M$48,EDATE(Setup!$G$48,(Setup!$O$48+I$1)*Setup!$N$48))&gt;Setup!$P$48,IF(Setup!$M$48&gt;0,Setup!$G$48+(Setup!$O$48+I$1)*Setup!$M$48,EDATE(Setup!$G$48,(Setup!$O$48+I$1)*Setup!$N$48))&lt;Setup!$D$5),"",IF(Setup!$M$48&gt;0,Setup!$G$48+(Setup!$O$48+I$1)*Setup!$M$48,EDATE(Setup!$G$48,(Setup!$O$48+I$1)*Setup!$N$48))+$A25/1000)))</f>
        <v/>
      </c>
      <c r="J25">
        <f>IF(OR(Setup!$E$48="",Setup!$G$48="",Setup!$F$48=""),"",IF(AND(Setup!$F$48="Once",J$1&gt;0),"",IF(OR(IF(Setup!$M$48&gt;0,Setup!$G$48+(Setup!$O$48+J$1)*Setup!$M$48,EDATE(Setup!$G$48,(Setup!$O$48+J$1)*Setup!$N$48))&gt;Setup!$P$48,IF(Setup!$M$48&gt;0,Setup!$G$48+(Setup!$O$48+J$1)*Setup!$M$48,EDATE(Setup!$G$48,(Setup!$O$48+J$1)*Setup!$N$48))&lt;Setup!$D$5),"",IF(Setup!$M$48&gt;0,Setup!$G$48+(Setup!$O$48+J$1)*Setup!$M$48,EDATE(Setup!$G$48,(Setup!$O$48+J$1)*Setup!$N$48))+$A25/1000)))</f>
        <v/>
      </c>
      <c r="K25">
        <f>IF(OR(Setup!$E$48="",Setup!$G$48="",Setup!$F$48=""),"",IF(AND(Setup!$F$48="Once",K$1&gt;0),"",IF(OR(IF(Setup!$M$48&gt;0,Setup!$G$48+(Setup!$O$48+K$1)*Setup!$M$48,EDATE(Setup!$G$48,(Setup!$O$48+K$1)*Setup!$N$48))&gt;Setup!$P$48,IF(Setup!$M$48&gt;0,Setup!$G$48+(Setup!$O$48+K$1)*Setup!$M$48,EDATE(Setup!$G$48,(Setup!$O$48+K$1)*Setup!$N$48))&lt;Setup!$D$5),"",IF(Setup!$M$48&gt;0,Setup!$G$48+(Setup!$O$48+K$1)*Setup!$M$48,EDATE(Setup!$G$48,(Setup!$O$48+K$1)*Setup!$N$48))+$A25/1000)))</f>
        <v/>
      </c>
      <c r="L25">
        <f>IF(OR(Setup!$E$48="",Setup!$G$48="",Setup!$F$48=""),"",IF(AND(Setup!$F$48="Once",L$1&gt;0),"",IF(OR(IF(Setup!$M$48&gt;0,Setup!$G$48+(Setup!$O$48+L$1)*Setup!$M$48,EDATE(Setup!$G$48,(Setup!$O$48+L$1)*Setup!$N$48))&gt;Setup!$P$48,IF(Setup!$M$48&gt;0,Setup!$G$48+(Setup!$O$48+L$1)*Setup!$M$48,EDATE(Setup!$G$48,(Setup!$O$48+L$1)*Setup!$N$48))&lt;Setup!$D$5),"",IF(Setup!$M$48&gt;0,Setup!$G$48+(Setup!$O$48+L$1)*Setup!$M$48,EDATE(Setup!$G$48,(Setup!$O$48+L$1)*Setup!$N$48))+$A25/1000)))</f>
        <v/>
      </c>
      <c r="M25">
        <f>IF(OR(Setup!$E$48="",Setup!$G$48="",Setup!$F$48=""),"",IF(AND(Setup!$F$48="Once",M$1&gt;0),"",IF(OR(IF(Setup!$M$48&gt;0,Setup!$G$48+(Setup!$O$48+M$1)*Setup!$M$48,EDATE(Setup!$G$48,(Setup!$O$48+M$1)*Setup!$N$48))&gt;Setup!$P$48,IF(Setup!$M$48&gt;0,Setup!$G$48+(Setup!$O$48+M$1)*Setup!$M$48,EDATE(Setup!$G$48,(Setup!$O$48+M$1)*Setup!$N$48))&lt;Setup!$D$5),"",IF(Setup!$M$48&gt;0,Setup!$G$48+(Setup!$O$48+M$1)*Setup!$M$48,EDATE(Setup!$G$48,(Setup!$O$48+M$1)*Setup!$N$48))+$A25/1000)))</f>
        <v/>
      </c>
      <c r="N25">
        <f>IF(OR(Setup!$E$48="",Setup!$G$48="",Setup!$F$48=""),"",IF(AND(Setup!$F$48="Once",N$1&gt;0),"",IF(OR(IF(Setup!$M$48&gt;0,Setup!$G$48+(Setup!$O$48+N$1)*Setup!$M$48,EDATE(Setup!$G$48,(Setup!$O$48+N$1)*Setup!$N$48))&gt;Setup!$P$48,IF(Setup!$M$48&gt;0,Setup!$G$48+(Setup!$O$48+N$1)*Setup!$M$48,EDATE(Setup!$G$48,(Setup!$O$48+N$1)*Setup!$N$48))&lt;Setup!$D$5),"",IF(Setup!$M$48&gt;0,Setup!$G$48+(Setup!$O$48+N$1)*Setup!$M$48,EDATE(Setup!$G$48,(Setup!$O$48+N$1)*Setup!$N$48))+$A25/1000)))</f>
        <v/>
      </c>
      <c r="O25">
        <f>IF(OR(Setup!$E$48="",Setup!$G$48="",Setup!$F$48=""),"",IF(AND(Setup!$F$48="Once",O$1&gt;0),"",IF(OR(IF(Setup!$M$48&gt;0,Setup!$G$48+(Setup!$O$48+O$1)*Setup!$M$48,EDATE(Setup!$G$48,(Setup!$O$48+O$1)*Setup!$N$48))&gt;Setup!$P$48,IF(Setup!$M$48&gt;0,Setup!$G$48+(Setup!$O$48+O$1)*Setup!$M$48,EDATE(Setup!$G$48,(Setup!$O$48+O$1)*Setup!$N$48))&lt;Setup!$D$5),"",IF(Setup!$M$48&gt;0,Setup!$G$48+(Setup!$O$48+O$1)*Setup!$M$48,EDATE(Setup!$G$48,(Setup!$O$48+O$1)*Setup!$N$48))+$A25/1000)))</f>
        <v/>
      </c>
      <c r="P25">
        <f>IF(OR(Setup!$E$48="",Setup!$G$48="",Setup!$F$48=""),"",IF(AND(Setup!$F$48="Once",P$1&gt;0),"",IF(OR(IF(Setup!$M$48&gt;0,Setup!$G$48+(Setup!$O$48+P$1)*Setup!$M$48,EDATE(Setup!$G$48,(Setup!$O$48+P$1)*Setup!$N$48))&gt;Setup!$P$48,IF(Setup!$M$48&gt;0,Setup!$G$48+(Setup!$O$48+P$1)*Setup!$M$48,EDATE(Setup!$G$48,(Setup!$O$48+P$1)*Setup!$N$48))&lt;Setup!$D$5),"",IF(Setup!$M$48&gt;0,Setup!$G$48+(Setup!$O$48+P$1)*Setup!$M$48,EDATE(Setup!$G$48,(Setup!$O$48+P$1)*Setup!$N$48))+$A25/1000)))</f>
        <v/>
      </c>
      <c r="Q25">
        <f>IF(OR(Setup!$E$48="",Setup!$G$48="",Setup!$F$48=""),"",IF(AND(Setup!$F$48="Once",Q$1&gt;0),"",IF(OR(IF(Setup!$M$48&gt;0,Setup!$G$48+(Setup!$O$48+Q$1)*Setup!$M$48,EDATE(Setup!$G$48,(Setup!$O$48+Q$1)*Setup!$N$48))&gt;Setup!$P$48,IF(Setup!$M$48&gt;0,Setup!$G$48+(Setup!$O$48+Q$1)*Setup!$M$48,EDATE(Setup!$G$48,(Setup!$O$48+Q$1)*Setup!$N$48))&lt;Setup!$D$5),"",IF(Setup!$M$48&gt;0,Setup!$G$48+(Setup!$O$48+Q$1)*Setup!$M$48,EDATE(Setup!$G$48,(Setup!$O$48+Q$1)*Setup!$N$48))+$A25/1000)))</f>
        <v/>
      </c>
      <c r="R25">
        <f>IF(OR(Setup!$E$48="",Setup!$G$48="",Setup!$F$48=""),"",IF(AND(Setup!$F$48="Once",R$1&gt;0),"",IF(OR(IF(Setup!$M$48&gt;0,Setup!$G$48+(Setup!$O$48+R$1)*Setup!$M$48,EDATE(Setup!$G$48,(Setup!$O$48+R$1)*Setup!$N$48))&gt;Setup!$P$48,IF(Setup!$M$48&gt;0,Setup!$G$48+(Setup!$O$48+R$1)*Setup!$M$48,EDATE(Setup!$G$48,(Setup!$O$48+R$1)*Setup!$N$48))&lt;Setup!$D$5),"",IF(Setup!$M$48&gt;0,Setup!$G$48+(Setup!$O$48+R$1)*Setup!$M$48,EDATE(Setup!$G$48,(Setup!$O$48+R$1)*Setup!$N$48))+$A25/1000)))</f>
        <v/>
      </c>
      <c r="S25">
        <f>IF(OR(Setup!$E$48="",Setup!$G$48="",Setup!$F$48=""),"",IF(AND(Setup!$F$48="Once",S$1&gt;0),"",IF(OR(IF(Setup!$M$48&gt;0,Setup!$G$48+(Setup!$O$48+S$1)*Setup!$M$48,EDATE(Setup!$G$48,(Setup!$O$48+S$1)*Setup!$N$48))&gt;Setup!$P$48,IF(Setup!$M$48&gt;0,Setup!$G$48+(Setup!$O$48+S$1)*Setup!$M$48,EDATE(Setup!$G$48,(Setup!$O$48+S$1)*Setup!$N$48))&lt;Setup!$D$5),"",IF(Setup!$M$48&gt;0,Setup!$G$48+(Setup!$O$48+S$1)*Setup!$M$48,EDATE(Setup!$G$48,(Setup!$O$48+S$1)*Setup!$N$48))+$A25/1000)))</f>
        <v/>
      </c>
      <c r="T25">
        <f>IF(OR(Setup!$E$48="",Setup!$G$48="",Setup!$F$48=""),"",IF(AND(Setup!$F$48="Once",T$1&gt;0),"",IF(OR(IF(Setup!$M$48&gt;0,Setup!$G$48+(Setup!$O$48+T$1)*Setup!$M$48,EDATE(Setup!$G$48,(Setup!$O$48+T$1)*Setup!$N$48))&gt;Setup!$P$48,IF(Setup!$M$48&gt;0,Setup!$G$48+(Setup!$O$48+T$1)*Setup!$M$48,EDATE(Setup!$G$48,(Setup!$O$48+T$1)*Setup!$N$48))&lt;Setup!$D$5),"",IF(Setup!$M$48&gt;0,Setup!$G$48+(Setup!$O$48+T$1)*Setup!$M$48,EDATE(Setup!$G$48,(Setup!$O$48+T$1)*Setup!$N$48))+$A25/1000)))</f>
        <v/>
      </c>
      <c r="U25">
        <f>IF(OR(Setup!$E$48="",Setup!$G$48="",Setup!$F$48=""),"",IF(AND(Setup!$F$48="Once",U$1&gt;0),"",IF(OR(IF(Setup!$M$48&gt;0,Setup!$G$48+(Setup!$O$48+U$1)*Setup!$M$48,EDATE(Setup!$G$48,(Setup!$O$48+U$1)*Setup!$N$48))&gt;Setup!$P$48,IF(Setup!$M$48&gt;0,Setup!$G$48+(Setup!$O$48+U$1)*Setup!$M$48,EDATE(Setup!$G$48,(Setup!$O$48+U$1)*Setup!$N$48))&lt;Setup!$D$5),"",IF(Setup!$M$48&gt;0,Setup!$G$48+(Setup!$O$48+U$1)*Setup!$M$48,EDATE(Setup!$G$48,(Setup!$O$48+U$1)*Setup!$N$48))+$A25/1000)))</f>
        <v/>
      </c>
      <c r="V25">
        <f>IF(OR(Setup!$E$48="",Setup!$G$48="",Setup!$F$48=""),"",IF(AND(Setup!$F$48="Once",V$1&gt;0),"",IF(OR(IF(Setup!$M$48&gt;0,Setup!$G$48+(Setup!$O$48+V$1)*Setup!$M$48,EDATE(Setup!$G$48,(Setup!$O$48+V$1)*Setup!$N$48))&gt;Setup!$P$48,IF(Setup!$M$48&gt;0,Setup!$G$48+(Setup!$O$48+V$1)*Setup!$M$48,EDATE(Setup!$G$48,(Setup!$O$48+V$1)*Setup!$N$48))&lt;Setup!$D$5),"",IF(Setup!$M$48&gt;0,Setup!$G$48+(Setup!$O$48+V$1)*Setup!$M$48,EDATE(Setup!$G$48,(Setup!$O$48+V$1)*Setup!$N$48))+$A25/1000)))</f>
        <v/>
      </c>
      <c r="W25">
        <f>IF(OR(Setup!$E$48="",Setup!$G$48="",Setup!$F$48=""),"",IF(AND(Setup!$F$48="Once",W$1&gt;0),"",IF(OR(IF(Setup!$M$48&gt;0,Setup!$G$48+(Setup!$O$48+W$1)*Setup!$M$48,EDATE(Setup!$G$48,(Setup!$O$48+W$1)*Setup!$N$48))&gt;Setup!$P$48,IF(Setup!$M$48&gt;0,Setup!$G$48+(Setup!$O$48+W$1)*Setup!$M$48,EDATE(Setup!$G$48,(Setup!$O$48+W$1)*Setup!$N$48))&lt;Setup!$D$5),"",IF(Setup!$M$48&gt;0,Setup!$G$48+(Setup!$O$48+W$1)*Setup!$M$48,EDATE(Setup!$G$48,(Setup!$O$48+W$1)*Setup!$N$48))+$A25/1000)))</f>
        <v/>
      </c>
      <c r="X25">
        <f>IF(OR(Setup!$E$48="",Setup!$G$48="",Setup!$F$48=""),"",IF(AND(Setup!$F$48="Once",X$1&gt;0),"",IF(OR(IF(Setup!$M$48&gt;0,Setup!$G$48+(Setup!$O$48+X$1)*Setup!$M$48,EDATE(Setup!$G$48,(Setup!$O$48+X$1)*Setup!$N$48))&gt;Setup!$P$48,IF(Setup!$M$48&gt;0,Setup!$G$48+(Setup!$O$48+X$1)*Setup!$M$48,EDATE(Setup!$G$48,(Setup!$O$48+X$1)*Setup!$N$48))&lt;Setup!$D$5),"",IF(Setup!$M$48&gt;0,Setup!$G$48+(Setup!$O$48+X$1)*Setup!$M$48,EDATE(Setup!$G$48,(Setup!$O$48+X$1)*Setup!$N$48))+$A25/1000)))</f>
        <v/>
      </c>
      <c r="Y25">
        <f>IF(OR(Setup!$E$48="",Setup!$G$48="",Setup!$F$48=""),"",IF(AND(Setup!$F$48="Once",Y$1&gt;0),"",IF(OR(IF(Setup!$M$48&gt;0,Setup!$G$48+(Setup!$O$48+Y$1)*Setup!$M$48,EDATE(Setup!$G$48,(Setup!$O$48+Y$1)*Setup!$N$48))&gt;Setup!$P$48,IF(Setup!$M$48&gt;0,Setup!$G$48+(Setup!$O$48+Y$1)*Setup!$M$48,EDATE(Setup!$G$48,(Setup!$O$48+Y$1)*Setup!$N$48))&lt;Setup!$D$5),"",IF(Setup!$M$48&gt;0,Setup!$G$48+(Setup!$O$48+Y$1)*Setup!$M$48,EDATE(Setup!$G$48,(Setup!$O$48+Y$1)*Setup!$N$48))+$A25/1000)))</f>
        <v/>
      </c>
      <c r="Z25">
        <f>IF(OR(Setup!$E$48="",Setup!$G$48="",Setup!$F$48=""),"",IF(AND(Setup!$F$48="Once",Z$1&gt;0),"",IF(OR(IF(Setup!$M$48&gt;0,Setup!$G$48+(Setup!$O$48+Z$1)*Setup!$M$48,EDATE(Setup!$G$48,(Setup!$O$48+Z$1)*Setup!$N$48))&gt;Setup!$P$48,IF(Setup!$M$48&gt;0,Setup!$G$48+(Setup!$O$48+Z$1)*Setup!$M$48,EDATE(Setup!$G$48,(Setup!$O$48+Z$1)*Setup!$N$48))&lt;Setup!$D$5),"",IF(Setup!$M$48&gt;0,Setup!$G$48+(Setup!$O$48+Z$1)*Setup!$M$48,EDATE(Setup!$G$48,(Setup!$O$48+Z$1)*Setup!$N$48))+$A25/1000)))</f>
        <v/>
      </c>
      <c r="AA25">
        <f>IF(OR(Setup!$E$48="",Setup!$G$48="",Setup!$F$48=""),"",IF(AND(Setup!$F$48="Once",AA$1&gt;0),"",IF(OR(IF(Setup!$M$48&gt;0,Setup!$G$48+(Setup!$O$48+AA$1)*Setup!$M$48,EDATE(Setup!$G$48,(Setup!$O$48+AA$1)*Setup!$N$48))&gt;Setup!$P$48,IF(Setup!$M$48&gt;0,Setup!$G$48+(Setup!$O$48+AA$1)*Setup!$M$48,EDATE(Setup!$G$48,(Setup!$O$48+AA$1)*Setup!$N$48))&lt;Setup!$D$5),"",IF(Setup!$M$48&gt;0,Setup!$G$48+(Setup!$O$48+AA$1)*Setup!$M$48,EDATE(Setup!$G$48,(Setup!$O$48+AA$1)*Setup!$N$48))+$A25/1000)))</f>
        <v/>
      </c>
      <c r="AB25">
        <f>IF(OR(Setup!$E$48="",Setup!$G$48="",Setup!$F$48=""),"",IF(AND(Setup!$F$48="Once",AB$1&gt;0),"",IF(OR(IF(Setup!$M$48&gt;0,Setup!$G$48+(Setup!$O$48+AB$1)*Setup!$M$48,EDATE(Setup!$G$48,(Setup!$O$48+AB$1)*Setup!$N$48))&gt;Setup!$P$48,IF(Setup!$M$48&gt;0,Setup!$G$48+(Setup!$O$48+AB$1)*Setup!$M$48,EDATE(Setup!$G$48,(Setup!$O$48+AB$1)*Setup!$N$48))&lt;Setup!$D$5),"",IF(Setup!$M$48&gt;0,Setup!$G$48+(Setup!$O$48+AB$1)*Setup!$M$48,EDATE(Setup!$G$48,(Setup!$O$48+AB$1)*Setup!$N$48))+$A25/1000)))</f>
        <v/>
      </c>
      <c r="AC25">
        <f>IF(OR(Setup!$E$48="",Setup!$G$48="",Setup!$F$48=""),"",IF(AND(Setup!$F$48="Once",AC$1&gt;0),"",IF(OR(IF(Setup!$M$48&gt;0,Setup!$G$48+(Setup!$O$48+AC$1)*Setup!$M$48,EDATE(Setup!$G$48,(Setup!$O$48+AC$1)*Setup!$N$48))&gt;Setup!$P$48,IF(Setup!$M$48&gt;0,Setup!$G$48+(Setup!$O$48+AC$1)*Setup!$M$48,EDATE(Setup!$G$48,(Setup!$O$48+AC$1)*Setup!$N$48))&lt;Setup!$D$5),"",IF(Setup!$M$48&gt;0,Setup!$G$48+(Setup!$O$48+AC$1)*Setup!$M$48,EDATE(Setup!$G$48,(Setup!$O$48+AC$1)*Setup!$N$48))+$A25/1000)))</f>
        <v/>
      </c>
      <c r="AD25">
        <f>IF(OR(Setup!$E$48="",Setup!$G$48="",Setup!$F$48=""),"",IF(AND(Setup!$F$48="Once",AD$1&gt;0),"",IF(OR(IF(Setup!$M$48&gt;0,Setup!$G$48+(Setup!$O$48+AD$1)*Setup!$M$48,EDATE(Setup!$G$48,(Setup!$O$48+AD$1)*Setup!$N$48))&gt;Setup!$P$48,IF(Setup!$M$48&gt;0,Setup!$G$48+(Setup!$O$48+AD$1)*Setup!$M$48,EDATE(Setup!$G$48,(Setup!$O$48+AD$1)*Setup!$N$48))&lt;Setup!$D$5),"",IF(Setup!$M$48&gt;0,Setup!$G$48+(Setup!$O$48+AD$1)*Setup!$M$48,EDATE(Setup!$G$48,(Setup!$O$48+AD$1)*Setup!$N$48))+$A25/1000)))</f>
        <v/>
      </c>
      <c r="AE25">
        <f>IF(OR(Setup!$E$48="",Setup!$G$48="",Setup!$F$48=""),"",IF(AND(Setup!$F$48="Once",AE$1&gt;0),"",IF(OR(IF(Setup!$M$48&gt;0,Setup!$G$48+(Setup!$O$48+AE$1)*Setup!$M$48,EDATE(Setup!$G$48,(Setup!$O$48+AE$1)*Setup!$N$48))&gt;Setup!$P$48,IF(Setup!$M$48&gt;0,Setup!$G$48+(Setup!$O$48+AE$1)*Setup!$M$48,EDATE(Setup!$G$48,(Setup!$O$48+AE$1)*Setup!$N$48))&lt;Setup!$D$5),"",IF(Setup!$M$48&gt;0,Setup!$G$48+(Setup!$O$48+AE$1)*Setup!$M$48,EDATE(Setup!$G$48,(Setup!$O$48+AE$1)*Setup!$N$48))+$A25/1000)))</f>
        <v/>
      </c>
      <c r="AF25">
        <f>IF(OR(Setup!$E$48="",Setup!$G$48="",Setup!$F$48=""),"",IF(AND(Setup!$F$48="Once",AF$1&gt;0),"",IF(OR(IF(Setup!$M$48&gt;0,Setup!$G$48+(Setup!$O$48+AF$1)*Setup!$M$48,EDATE(Setup!$G$48,(Setup!$O$48+AF$1)*Setup!$N$48))&gt;Setup!$P$48,IF(Setup!$M$48&gt;0,Setup!$G$48+(Setup!$O$48+AF$1)*Setup!$M$48,EDATE(Setup!$G$48,(Setup!$O$48+AF$1)*Setup!$N$48))&lt;Setup!$D$5),"",IF(Setup!$M$48&gt;0,Setup!$G$48+(Setup!$O$48+AF$1)*Setup!$M$48,EDATE(Setup!$G$48,(Setup!$O$48+AF$1)*Setup!$N$48))+$A25/1000)))</f>
        <v/>
      </c>
      <c r="AG25">
        <f>IF(OR(Setup!$E$48="",Setup!$G$48="",Setup!$F$48=""),"",IF(AND(Setup!$F$48="Once",AG$1&gt;0),"",IF(OR(IF(Setup!$M$48&gt;0,Setup!$G$48+(Setup!$O$48+AG$1)*Setup!$M$48,EDATE(Setup!$G$48,(Setup!$O$48+AG$1)*Setup!$N$48))&gt;Setup!$P$48,IF(Setup!$M$48&gt;0,Setup!$G$48+(Setup!$O$48+AG$1)*Setup!$M$48,EDATE(Setup!$G$48,(Setup!$O$48+AG$1)*Setup!$N$48))&lt;Setup!$D$5),"",IF(Setup!$M$48&gt;0,Setup!$G$48+(Setup!$O$48+AG$1)*Setup!$M$48,EDATE(Setup!$G$48,(Setup!$O$48+AG$1)*Setup!$N$48))+$A25/1000)))</f>
        <v/>
      </c>
      <c r="AH25">
        <f>IF(OR(Setup!$E$48="",Setup!$G$48="",Setup!$F$48=""),"",IF(AND(Setup!$F$48="Once",AH$1&gt;0),"",IF(OR(IF(Setup!$M$48&gt;0,Setup!$G$48+(Setup!$O$48+AH$1)*Setup!$M$48,EDATE(Setup!$G$48,(Setup!$O$48+AH$1)*Setup!$N$48))&gt;Setup!$P$48,IF(Setup!$M$48&gt;0,Setup!$G$48+(Setup!$O$48+AH$1)*Setup!$M$48,EDATE(Setup!$G$48,(Setup!$O$48+AH$1)*Setup!$N$48))&lt;Setup!$D$5),"",IF(Setup!$M$48&gt;0,Setup!$G$48+(Setup!$O$48+AH$1)*Setup!$M$48,EDATE(Setup!$G$48,(Setup!$O$48+AH$1)*Setup!$N$48))+$A25/1000)))</f>
        <v/>
      </c>
      <c r="AI25">
        <f>IF(OR(Setup!$E$48="",Setup!$G$48="",Setup!$F$48=""),"",IF(AND(Setup!$F$48="Once",AI$1&gt;0),"",IF(OR(IF(Setup!$M$48&gt;0,Setup!$G$48+(Setup!$O$48+AI$1)*Setup!$M$48,EDATE(Setup!$G$48,(Setup!$O$48+AI$1)*Setup!$N$48))&gt;Setup!$P$48,IF(Setup!$M$48&gt;0,Setup!$G$48+(Setup!$O$48+AI$1)*Setup!$M$48,EDATE(Setup!$G$48,(Setup!$O$48+AI$1)*Setup!$N$48))&lt;Setup!$D$5),"",IF(Setup!$M$48&gt;0,Setup!$G$48+(Setup!$O$48+AI$1)*Setup!$M$48,EDATE(Setup!$G$48,(Setup!$O$48+AI$1)*Setup!$N$48))+$A25/1000)))</f>
        <v/>
      </c>
      <c r="AJ25">
        <f>IF(OR(Setup!$E$48="",Setup!$G$48="",Setup!$F$48=""),"",IF(AND(Setup!$F$48="Once",AJ$1&gt;0),"",IF(OR(IF(Setup!$M$48&gt;0,Setup!$G$48+(Setup!$O$48+AJ$1)*Setup!$M$48,EDATE(Setup!$G$48,(Setup!$O$48+AJ$1)*Setup!$N$48))&gt;Setup!$P$48,IF(Setup!$M$48&gt;0,Setup!$G$48+(Setup!$O$48+AJ$1)*Setup!$M$48,EDATE(Setup!$G$48,(Setup!$O$48+AJ$1)*Setup!$N$48))&lt;Setup!$D$5),"",IF(Setup!$M$48&gt;0,Setup!$G$48+(Setup!$O$48+AJ$1)*Setup!$M$48,EDATE(Setup!$G$48,(Setup!$O$48+AJ$1)*Setup!$N$48))+$A25/1000)))</f>
        <v/>
      </c>
      <c r="AK25">
        <f>IF(OR(Setup!$E$48="",Setup!$G$48="",Setup!$F$48=""),"",IF(AND(Setup!$F$48="Once",AK$1&gt;0),"",IF(OR(IF(Setup!$M$48&gt;0,Setup!$G$48+(Setup!$O$48+AK$1)*Setup!$M$48,EDATE(Setup!$G$48,(Setup!$O$48+AK$1)*Setup!$N$48))&gt;Setup!$P$48,IF(Setup!$M$48&gt;0,Setup!$G$48+(Setup!$O$48+AK$1)*Setup!$M$48,EDATE(Setup!$G$48,(Setup!$O$48+AK$1)*Setup!$N$48))&lt;Setup!$D$5),"",IF(Setup!$M$48&gt;0,Setup!$G$48+(Setup!$O$48+AK$1)*Setup!$M$48,EDATE(Setup!$G$48,(Setup!$O$48+AK$1)*Setup!$N$48))+$A25/1000)))</f>
        <v/>
      </c>
      <c r="AL25">
        <f>IF(OR(Setup!$E$48="",Setup!$G$48="",Setup!$F$48=""),"",IF(AND(Setup!$F$48="Once",AL$1&gt;0),"",IF(OR(IF(Setup!$M$48&gt;0,Setup!$G$48+(Setup!$O$48+AL$1)*Setup!$M$48,EDATE(Setup!$G$48,(Setup!$O$48+AL$1)*Setup!$N$48))&gt;Setup!$P$48,IF(Setup!$M$48&gt;0,Setup!$G$48+(Setup!$O$48+AL$1)*Setup!$M$48,EDATE(Setup!$G$48,(Setup!$O$48+AL$1)*Setup!$N$48))&lt;Setup!$D$5),"",IF(Setup!$M$48&gt;0,Setup!$G$48+(Setup!$O$48+AL$1)*Setup!$M$48,EDATE(Setup!$G$48,(Setup!$O$48+AL$1)*Setup!$N$48))+$A25/1000)))</f>
        <v/>
      </c>
      <c r="AM25">
        <f>IF(OR(Setup!$E$48="",Setup!$G$48="",Setup!$F$48=""),"",IF(AND(Setup!$F$48="Once",AM$1&gt;0),"",IF(OR(IF(Setup!$M$48&gt;0,Setup!$G$48+(Setup!$O$48+AM$1)*Setup!$M$48,EDATE(Setup!$G$48,(Setup!$O$48+AM$1)*Setup!$N$48))&gt;Setup!$P$48,IF(Setup!$M$48&gt;0,Setup!$G$48+(Setup!$O$48+AM$1)*Setup!$M$48,EDATE(Setup!$G$48,(Setup!$O$48+AM$1)*Setup!$N$48))&lt;Setup!$D$5),"",IF(Setup!$M$48&gt;0,Setup!$G$48+(Setup!$O$48+AM$1)*Setup!$M$48,EDATE(Setup!$G$48,(Setup!$O$48+AM$1)*Setup!$N$48))+$A25/1000)))</f>
        <v/>
      </c>
      <c r="AN25">
        <f>IF(OR(Setup!$E$48="",Setup!$G$48="",Setup!$F$48=""),"",IF(AND(Setup!$F$48="Once",AN$1&gt;0),"",IF(OR(IF(Setup!$M$48&gt;0,Setup!$G$48+(Setup!$O$48+AN$1)*Setup!$M$48,EDATE(Setup!$G$48,(Setup!$O$48+AN$1)*Setup!$N$48))&gt;Setup!$P$48,IF(Setup!$M$48&gt;0,Setup!$G$48+(Setup!$O$48+AN$1)*Setup!$M$48,EDATE(Setup!$G$48,(Setup!$O$48+AN$1)*Setup!$N$48))&lt;Setup!$D$5),"",IF(Setup!$M$48&gt;0,Setup!$G$48+(Setup!$O$48+AN$1)*Setup!$M$48,EDATE(Setup!$G$48,(Setup!$O$48+AN$1)*Setup!$N$48))+$A25/1000)))</f>
        <v/>
      </c>
      <c r="AO25">
        <f>IF(OR(Setup!$E$48="",Setup!$G$48="",Setup!$F$48=""),"",IF(AND(Setup!$F$48="Once",AO$1&gt;0),"",IF(OR(IF(Setup!$M$48&gt;0,Setup!$G$48+(Setup!$O$48+AO$1)*Setup!$M$48,EDATE(Setup!$G$48,(Setup!$O$48+AO$1)*Setup!$N$48))&gt;Setup!$P$48,IF(Setup!$M$48&gt;0,Setup!$G$48+(Setup!$O$48+AO$1)*Setup!$M$48,EDATE(Setup!$G$48,(Setup!$O$48+AO$1)*Setup!$N$48))&lt;Setup!$D$5),"",IF(Setup!$M$48&gt;0,Setup!$G$48+(Setup!$O$48+AO$1)*Setup!$M$48,EDATE(Setup!$G$48,(Setup!$O$48+AO$1)*Setup!$N$48))+$A25/1000)))</f>
        <v/>
      </c>
      <c r="AP25">
        <f>IF(OR(Setup!$E$48="",Setup!$G$48="",Setup!$F$48=""),"",IF(AND(Setup!$F$48="Once",AP$1&gt;0),"",IF(OR(IF(Setup!$M$48&gt;0,Setup!$G$48+(Setup!$O$48+AP$1)*Setup!$M$48,EDATE(Setup!$G$48,(Setup!$O$48+AP$1)*Setup!$N$48))&gt;Setup!$P$48,IF(Setup!$M$48&gt;0,Setup!$G$48+(Setup!$O$48+AP$1)*Setup!$M$48,EDATE(Setup!$G$48,(Setup!$O$48+AP$1)*Setup!$N$48))&lt;Setup!$D$5),"",IF(Setup!$M$48&gt;0,Setup!$G$48+(Setup!$O$48+AP$1)*Setup!$M$48,EDATE(Setup!$G$48,(Setup!$O$48+AP$1)*Setup!$N$48))+$A25/1000)))</f>
        <v/>
      </c>
      <c r="AQ25">
        <f>IF(OR(Setup!$E$48="",Setup!$G$48="",Setup!$F$48=""),"",IF(AND(Setup!$F$48="Once",AQ$1&gt;0),"",IF(OR(IF(Setup!$M$48&gt;0,Setup!$G$48+(Setup!$O$48+AQ$1)*Setup!$M$48,EDATE(Setup!$G$48,(Setup!$O$48+AQ$1)*Setup!$N$48))&gt;Setup!$P$48,IF(Setup!$M$48&gt;0,Setup!$G$48+(Setup!$O$48+AQ$1)*Setup!$M$48,EDATE(Setup!$G$48,(Setup!$O$48+AQ$1)*Setup!$N$48))&lt;Setup!$D$5),"",IF(Setup!$M$48&gt;0,Setup!$G$48+(Setup!$O$48+AQ$1)*Setup!$M$48,EDATE(Setup!$G$48,(Setup!$O$48+AQ$1)*Setup!$N$48))+$A25/1000)))</f>
        <v/>
      </c>
      <c r="AR25">
        <f>IF(OR(Setup!$E$48="",Setup!$G$48="",Setup!$F$48=""),"",IF(AND(Setup!$F$48="Once",AR$1&gt;0),"",IF(OR(IF(Setup!$M$48&gt;0,Setup!$G$48+(Setup!$O$48+AR$1)*Setup!$M$48,EDATE(Setup!$G$48,(Setup!$O$48+AR$1)*Setup!$N$48))&gt;Setup!$P$48,IF(Setup!$M$48&gt;0,Setup!$G$48+(Setup!$O$48+AR$1)*Setup!$M$48,EDATE(Setup!$G$48,(Setup!$O$48+AR$1)*Setup!$N$48))&lt;Setup!$D$5),"",IF(Setup!$M$48&gt;0,Setup!$G$48+(Setup!$O$48+AR$1)*Setup!$M$48,EDATE(Setup!$G$48,(Setup!$O$48+AR$1)*Setup!$N$48))+$A25/1000)))</f>
        <v/>
      </c>
      <c r="AS25">
        <f>IF(OR(Setup!$E$48="",Setup!$G$48="",Setup!$F$48=""),"",IF(AND(Setup!$F$48="Once",AS$1&gt;0),"",IF(OR(IF(Setup!$M$48&gt;0,Setup!$G$48+(Setup!$O$48+AS$1)*Setup!$M$48,EDATE(Setup!$G$48,(Setup!$O$48+AS$1)*Setup!$N$48))&gt;Setup!$P$48,IF(Setup!$M$48&gt;0,Setup!$G$48+(Setup!$O$48+AS$1)*Setup!$M$48,EDATE(Setup!$G$48,(Setup!$O$48+AS$1)*Setup!$N$48))&lt;Setup!$D$5),"",IF(Setup!$M$48&gt;0,Setup!$G$48+(Setup!$O$48+AS$1)*Setup!$M$48,EDATE(Setup!$G$48,(Setup!$O$48+AS$1)*Setup!$N$48))+$A25/1000)))</f>
        <v/>
      </c>
      <c r="AT25">
        <f>IF(OR(Setup!$E$48="",Setup!$G$48="",Setup!$F$48=""),"",IF(AND(Setup!$F$48="Once",AT$1&gt;0),"",IF(OR(IF(Setup!$M$48&gt;0,Setup!$G$48+(Setup!$O$48+AT$1)*Setup!$M$48,EDATE(Setup!$G$48,(Setup!$O$48+AT$1)*Setup!$N$48))&gt;Setup!$P$48,IF(Setup!$M$48&gt;0,Setup!$G$48+(Setup!$O$48+AT$1)*Setup!$M$48,EDATE(Setup!$G$48,(Setup!$O$48+AT$1)*Setup!$N$48))&lt;Setup!$D$5),"",IF(Setup!$M$48&gt;0,Setup!$G$48+(Setup!$O$48+AT$1)*Setup!$M$48,EDATE(Setup!$G$48,(Setup!$O$48+AT$1)*Setup!$N$48))+$A25/1000)))</f>
        <v/>
      </c>
      <c r="AU25">
        <f>IF(OR(Setup!$E$48="",Setup!$G$48="",Setup!$F$48=""),"",IF(AND(Setup!$F$48="Once",AU$1&gt;0),"",IF(OR(IF(Setup!$M$48&gt;0,Setup!$G$48+(Setup!$O$48+AU$1)*Setup!$M$48,EDATE(Setup!$G$48,(Setup!$O$48+AU$1)*Setup!$N$48))&gt;Setup!$P$48,IF(Setup!$M$48&gt;0,Setup!$G$48+(Setup!$O$48+AU$1)*Setup!$M$48,EDATE(Setup!$G$48,(Setup!$O$48+AU$1)*Setup!$N$48))&lt;Setup!$D$5),"",IF(Setup!$M$48&gt;0,Setup!$G$48+(Setup!$O$48+AU$1)*Setup!$M$48,EDATE(Setup!$G$48,(Setup!$O$48+AU$1)*Setup!$N$48))+$A25/1000)))</f>
        <v/>
      </c>
      <c r="AV25">
        <f>IF(OR(Setup!$E$48="",Setup!$G$48="",Setup!$F$48=""),"",IF(AND(Setup!$F$48="Once",AV$1&gt;0),"",IF(OR(IF(Setup!$M$48&gt;0,Setup!$G$48+(Setup!$O$48+AV$1)*Setup!$M$48,EDATE(Setup!$G$48,(Setup!$O$48+AV$1)*Setup!$N$48))&gt;Setup!$P$48,IF(Setup!$M$48&gt;0,Setup!$G$48+(Setup!$O$48+AV$1)*Setup!$M$48,EDATE(Setup!$G$48,(Setup!$O$48+AV$1)*Setup!$N$48))&lt;Setup!$D$5),"",IF(Setup!$M$48&gt;0,Setup!$G$48+(Setup!$O$48+AV$1)*Setup!$M$48,EDATE(Setup!$G$48,(Setup!$O$48+AV$1)*Setup!$N$48))+$A25/1000)))</f>
        <v/>
      </c>
      <c r="AW25">
        <f>IF(OR(Setup!$E$48="",Setup!$G$48="",Setup!$F$48=""),"",IF(AND(Setup!$F$48="Once",AW$1&gt;0),"",IF(OR(IF(Setup!$M$48&gt;0,Setup!$G$48+(Setup!$O$48+AW$1)*Setup!$M$48,EDATE(Setup!$G$48,(Setup!$O$48+AW$1)*Setup!$N$48))&gt;Setup!$P$48,IF(Setup!$M$48&gt;0,Setup!$G$48+(Setup!$O$48+AW$1)*Setup!$M$48,EDATE(Setup!$G$48,(Setup!$O$48+AW$1)*Setup!$N$48))&lt;Setup!$D$5),"",IF(Setup!$M$48&gt;0,Setup!$G$48+(Setup!$O$48+AW$1)*Setup!$M$48,EDATE(Setup!$G$48,(Setup!$O$48+AW$1)*Setup!$N$48))+$A25/1000)))</f>
        <v/>
      </c>
      <c r="AX25">
        <f>IF(OR(Setup!$E$48="",Setup!$G$48="",Setup!$F$48=""),"",IF(AND(Setup!$F$48="Once",AX$1&gt;0),"",IF(OR(IF(Setup!$M$48&gt;0,Setup!$G$48+(Setup!$O$48+AX$1)*Setup!$M$48,EDATE(Setup!$G$48,(Setup!$O$48+AX$1)*Setup!$N$48))&gt;Setup!$P$48,IF(Setup!$M$48&gt;0,Setup!$G$48+(Setup!$O$48+AX$1)*Setup!$M$48,EDATE(Setup!$G$48,(Setup!$O$48+AX$1)*Setup!$N$48))&lt;Setup!$D$5),"",IF(Setup!$M$48&gt;0,Setup!$G$48+(Setup!$O$48+AX$1)*Setup!$M$48,EDATE(Setup!$G$48,(Setup!$O$48+AX$1)*Setup!$N$48))+$A25/1000)))</f>
        <v/>
      </c>
      <c r="AY25">
        <f>IF(OR(Setup!$E$48="",Setup!$G$48="",Setup!$F$48=""),"",IF(AND(Setup!$F$48="Once",AY$1&gt;0),"",IF(OR(IF(Setup!$M$48&gt;0,Setup!$G$48+(Setup!$O$48+AY$1)*Setup!$M$48,EDATE(Setup!$G$48,(Setup!$O$48+AY$1)*Setup!$N$48))&gt;Setup!$P$48,IF(Setup!$M$48&gt;0,Setup!$G$48+(Setup!$O$48+AY$1)*Setup!$M$48,EDATE(Setup!$G$48,(Setup!$O$48+AY$1)*Setup!$N$48))&lt;Setup!$D$5),"",IF(Setup!$M$48&gt;0,Setup!$G$48+(Setup!$O$48+AY$1)*Setup!$M$48,EDATE(Setup!$G$48,(Setup!$O$48+AY$1)*Setup!$N$48))+$A25/1000)))</f>
        <v/>
      </c>
      <c r="AZ25">
        <f>IF(OR(Setup!$E$48="",Setup!$G$48="",Setup!$F$48=""),"",IF(AND(Setup!$F$48="Once",AZ$1&gt;0),"",IF(OR(IF(Setup!$M$48&gt;0,Setup!$G$48+(Setup!$O$48+AZ$1)*Setup!$M$48,EDATE(Setup!$G$48,(Setup!$O$48+AZ$1)*Setup!$N$48))&gt;Setup!$P$48,IF(Setup!$M$48&gt;0,Setup!$G$48+(Setup!$O$48+AZ$1)*Setup!$M$48,EDATE(Setup!$G$48,(Setup!$O$48+AZ$1)*Setup!$N$48))&lt;Setup!$D$5),"",IF(Setup!$M$48&gt;0,Setup!$G$48+(Setup!$O$48+AZ$1)*Setup!$M$48,EDATE(Setup!$G$48,(Setup!$O$48+AZ$1)*Setup!$N$48))+$A25/1000)))</f>
        <v/>
      </c>
      <c r="BA25">
        <f>IF(OR(Setup!$E$48="",Setup!$G$48="",Setup!$F$48=""),"",IF(AND(Setup!$F$48="Once",BA$1&gt;0),"",IF(OR(IF(Setup!$M$48&gt;0,Setup!$G$48+(Setup!$O$48+BA$1)*Setup!$M$48,EDATE(Setup!$G$48,(Setup!$O$48+BA$1)*Setup!$N$48))&gt;Setup!$P$48,IF(Setup!$M$48&gt;0,Setup!$G$48+(Setup!$O$48+BA$1)*Setup!$M$48,EDATE(Setup!$G$48,(Setup!$O$48+BA$1)*Setup!$N$48))&lt;Setup!$D$5),"",IF(Setup!$M$48&gt;0,Setup!$G$48+(Setup!$O$48+BA$1)*Setup!$M$48,EDATE(Setup!$G$48,(Setup!$O$48+BA$1)*Setup!$N$48))+$A25/1000)))</f>
        <v/>
      </c>
      <c r="BB25">
        <f>IF(OR(Setup!$E$48="",Setup!$G$48="",Setup!$F$48=""),"",IF(AND(Setup!$F$48="Once",BB$1&gt;0),"",IF(OR(IF(Setup!$M$48&gt;0,Setup!$G$48+(Setup!$O$48+BB$1)*Setup!$M$48,EDATE(Setup!$G$48,(Setup!$O$48+BB$1)*Setup!$N$48))&gt;Setup!$P$48,IF(Setup!$M$48&gt;0,Setup!$G$48+(Setup!$O$48+BB$1)*Setup!$M$48,EDATE(Setup!$G$48,(Setup!$O$48+BB$1)*Setup!$N$48))&lt;Setup!$D$5),"",IF(Setup!$M$48&gt;0,Setup!$G$48+(Setup!$O$48+BB$1)*Setup!$M$48,EDATE(Setup!$G$48,(Setup!$O$48+BB$1)*Setup!$N$48))+$A25/1000)))</f>
        <v/>
      </c>
    </row>
    <row r="26">
      <c r="A26" t="n">
        <v>25</v>
      </c>
      <c r="B26">
        <f>IF(OR(Setup!$E$49="",Setup!$G$49="",Setup!$F$49=""),"",IF(AND(Setup!$F$49="Once",B$1&gt;0),"",IF(OR(IF(Setup!$M$49&gt;0,Setup!$G$49+(Setup!$O$49+B$1)*Setup!$M$49,EDATE(Setup!$G$49,(Setup!$O$49+B$1)*Setup!$N$49))&gt;Setup!$P$49,IF(Setup!$M$49&gt;0,Setup!$G$49+(Setup!$O$49+B$1)*Setup!$M$49,EDATE(Setup!$G$49,(Setup!$O$49+B$1)*Setup!$N$49))&lt;Setup!$D$5),"",IF(Setup!$M$49&gt;0,Setup!$G$49+(Setup!$O$49+B$1)*Setup!$M$49,EDATE(Setup!$G$49,(Setup!$O$49+B$1)*Setup!$N$49))+$A26/1000)))</f>
        <v/>
      </c>
      <c r="C26">
        <f>IF(OR(Setup!$E$49="",Setup!$G$49="",Setup!$F$49=""),"",IF(AND(Setup!$F$49="Once",C$1&gt;0),"",IF(OR(IF(Setup!$M$49&gt;0,Setup!$G$49+(Setup!$O$49+C$1)*Setup!$M$49,EDATE(Setup!$G$49,(Setup!$O$49+C$1)*Setup!$N$49))&gt;Setup!$P$49,IF(Setup!$M$49&gt;0,Setup!$G$49+(Setup!$O$49+C$1)*Setup!$M$49,EDATE(Setup!$G$49,(Setup!$O$49+C$1)*Setup!$N$49))&lt;Setup!$D$5),"",IF(Setup!$M$49&gt;0,Setup!$G$49+(Setup!$O$49+C$1)*Setup!$M$49,EDATE(Setup!$G$49,(Setup!$O$49+C$1)*Setup!$N$49))+$A26/1000)))</f>
        <v/>
      </c>
      <c r="D26">
        <f>IF(OR(Setup!$E$49="",Setup!$G$49="",Setup!$F$49=""),"",IF(AND(Setup!$F$49="Once",D$1&gt;0),"",IF(OR(IF(Setup!$M$49&gt;0,Setup!$G$49+(Setup!$O$49+D$1)*Setup!$M$49,EDATE(Setup!$G$49,(Setup!$O$49+D$1)*Setup!$N$49))&gt;Setup!$P$49,IF(Setup!$M$49&gt;0,Setup!$G$49+(Setup!$O$49+D$1)*Setup!$M$49,EDATE(Setup!$G$49,(Setup!$O$49+D$1)*Setup!$N$49))&lt;Setup!$D$5),"",IF(Setup!$M$49&gt;0,Setup!$G$49+(Setup!$O$49+D$1)*Setup!$M$49,EDATE(Setup!$G$49,(Setup!$O$49+D$1)*Setup!$N$49))+$A26/1000)))</f>
        <v/>
      </c>
      <c r="E26">
        <f>IF(OR(Setup!$E$49="",Setup!$G$49="",Setup!$F$49=""),"",IF(AND(Setup!$F$49="Once",E$1&gt;0),"",IF(OR(IF(Setup!$M$49&gt;0,Setup!$G$49+(Setup!$O$49+E$1)*Setup!$M$49,EDATE(Setup!$G$49,(Setup!$O$49+E$1)*Setup!$N$49))&gt;Setup!$P$49,IF(Setup!$M$49&gt;0,Setup!$G$49+(Setup!$O$49+E$1)*Setup!$M$49,EDATE(Setup!$G$49,(Setup!$O$49+E$1)*Setup!$N$49))&lt;Setup!$D$5),"",IF(Setup!$M$49&gt;0,Setup!$G$49+(Setup!$O$49+E$1)*Setup!$M$49,EDATE(Setup!$G$49,(Setup!$O$49+E$1)*Setup!$N$49))+$A26/1000)))</f>
        <v/>
      </c>
      <c r="F26">
        <f>IF(OR(Setup!$E$49="",Setup!$G$49="",Setup!$F$49=""),"",IF(AND(Setup!$F$49="Once",F$1&gt;0),"",IF(OR(IF(Setup!$M$49&gt;0,Setup!$G$49+(Setup!$O$49+F$1)*Setup!$M$49,EDATE(Setup!$G$49,(Setup!$O$49+F$1)*Setup!$N$49))&gt;Setup!$P$49,IF(Setup!$M$49&gt;0,Setup!$G$49+(Setup!$O$49+F$1)*Setup!$M$49,EDATE(Setup!$G$49,(Setup!$O$49+F$1)*Setup!$N$49))&lt;Setup!$D$5),"",IF(Setup!$M$49&gt;0,Setup!$G$49+(Setup!$O$49+F$1)*Setup!$M$49,EDATE(Setup!$G$49,(Setup!$O$49+F$1)*Setup!$N$49))+$A26/1000)))</f>
        <v/>
      </c>
      <c r="G26">
        <f>IF(OR(Setup!$E$49="",Setup!$G$49="",Setup!$F$49=""),"",IF(AND(Setup!$F$49="Once",G$1&gt;0),"",IF(OR(IF(Setup!$M$49&gt;0,Setup!$G$49+(Setup!$O$49+G$1)*Setup!$M$49,EDATE(Setup!$G$49,(Setup!$O$49+G$1)*Setup!$N$49))&gt;Setup!$P$49,IF(Setup!$M$49&gt;0,Setup!$G$49+(Setup!$O$49+G$1)*Setup!$M$49,EDATE(Setup!$G$49,(Setup!$O$49+G$1)*Setup!$N$49))&lt;Setup!$D$5),"",IF(Setup!$M$49&gt;0,Setup!$G$49+(Setup!$O$49+G$1)*Setup!$M$49,EDATE(Setup!$G$49,(Setup!$O$49+G$1)*Setup!$N$49))+$A26/1000)))</f>
        <v/>
      </c>
      <c r="H26">
        <f>IF(OR(Setup!$E$49="",Setup!$G$49="",Setup!$F$49=""),"",IF(AND(Setup!$F$49="Once",H$1&gt;0),"",IF(OR(IF(Setup!$M$49&gt;0,Setup!$G$49+(Setup!$O$49+H$1)*Setup!$M$49,EDATE(Setup!$G$49,(Setup!$O$49+H$1)*Setup!$N$49))&gt;Setup!$P$49,IF(Setup!$M$49&gt;0,Setup!$G$49+(Setup!$O$49+H$1)*Setup!$M$49,EDATE(Setup!$G$49,(Setup!$O$49+H$1)*Setup!$N$49))&lt;Setup!$D$5),"",IF(Setup!$M$49&gt;0,Setup!$G$49+(Setup!$O$49+H$1)*Setup!$M$49,EDATE(Setup!$G$49,(Setup!$O$49+H$1)*Setup!$N$49))+$A26/1000)))</f>
        <v/>
      </c>
      <c r="I26">
        <f>IF(OR(Setup!$E$49="",Setup!$G$49="",Setup!$F$49=""),"",IF(AND(Setup!$F$49="Once",I$1&gt;0),"",IF(OR(IF(Setup!$M$49&gt;0,Setup!$G$49+(Setup!$O$49+I$1)*Setup!$M$49,EDATE(Setup!$G$49,(Setup!$O$49+I$1)*Setup!$N$49))&gt;Setup!$P$49,IF(Setup!$M$49&gt;0,Setup!$G$49+(Setup!$O$49+I$1)*Setup!$M$49,EDATE(Setup!$G$49,(Setup!$O$49+I$1)*Setup!$N$49))&lt;Setup!$D$5),"",IF(Setup!$M$49&gt;0,Setup!$G$49+(Setup!$O$49+I$1)*Setup!$M$49,EDATE(Setup!$G$49,(Setup!$O$49+I$1)*Setup!$N$49))+$A26/1000)))</f>
        <v/>
      </c>
      <c r="J26">
        <f>IF(OR(Setup!$E$49="",Setup!$G$49="",Setup!$F$49=""),"",IF(AND(Setup!$F$49="Once",J$1&gt;0),"",IF(OR(IF(Setup!$M$49&gt;0,Setup!$G$49+(Setup!$O$49+J$1)*Setup!$M$49,EDATE(Setup!$G$49,(Setup!$O$49+J$1)*Setup!$N$49))&gt;Setup!$P$49,IF(Setup!$M$49&gt;0,Setup!$G$49+(Setup!$O$49+J$1)*Setup!$M$49,EDATE(Setup!$G$49,(Setup!$O$49+J$1)*Setup!$N$49))&lt;Setup!$D$5),"",IF(Setup!$M$49&gt;0,Setup!$G$49+(Setup!$O$49+J$1)*Setup!$M$49,EDATE(Setup!$G$49,(Setup!$O$49+J$1)*Setup!$N$49))+$A26/1000)))</f>
        <v/>
      </c>
      <c r="K26">
        <f>IF(OR(Setup!$E$49="",Setup!$G$49="",Setup!$F$49=""),"",IF(AND(Setup!$F$49="Once",K$1&gt;0),"",IF(OR(IF(Setup!$M$49&gt;0,Setup!$G$49+(Setup!$O$49+K$1)*Setup!$M$49,EDATE(Setup!$G$49,(Setup!$O$49+K$1)*Setup!$N$49))&gt;Setup!$P$49,IF(Setup!$M$49&gt;0,Setup!$G$49+(Setup!$O$49+K$1)*Setup!$M$49,EDATE(Setup!$G$49,(Setup!$O$49+K$1)*Setup!$N$49))&lt;Setup!$D$5),"",IF(Setup!$M$49&gt;0,Setup!$G$49+(Setup!$O$49+K$1)*Setup!$M$49,EDATE(Setup!$G$49,(Setup!$O$49+K$1)*Setup!$N$49))+$A26/1000)))</f>
        <v/>
      </c>
      <c r="L26">
        <f>IF(OR(Setup!$E$49="",Setup!$G$49="",Setup!$F$49=""),"",IF(AND(Setup!$F$49="Once",L$1&gt;0),"",IF(OR(IF(Setup!$M$49&gt;0,Setup!$G$49+(Setup!$O$49+L$1)*Setup!$M$49,EDATE(Setup!$G$49,(Setup!$O$49+L$1)*Setup!$N$49))&gt;Setup!$P$49,IF(Setup!$M$49&gt;0,Setup!$G$49+(Setup!$O$49+L$1)*Setup!$M$49,EDATE(Setup!$G$49,(Setup!$O$49+L$1)*Setup!$N$49))&lt;Setup!$D$5),"",IF(Setup!$M$49&gt;0,Setup!$G$49+(Setup!$O$49+L$1)*Setup!$M$49,EDATE(Setup!$G$49,(Setup!$O$49+L$1)*Setup!$N$49))+$A26/1000)))</f>
        <v/>
      </c>
      <c r="M26">
        <f>IF(OR(Setup!$E$49="",Setup!$G$49="",Setup!$F$49=""),"",IF(AND(Setup!$F$49="Once",M$1&gt;0),"",IF(OR(IF(Setup!$M$49&gt;0,Setup!$G$49+(Setup!$O$49+M$1)*Setup!$M$49,EDATE(Setup!$G$49,(Setup!$O$49+M$1)*Setup!$N$49))&gt;Setup!$P$49,IF(Setup!$M$49&gt;0,Setup!$G$49+(Setup!$O$49+M$1)*Setup!$M$49,EDATE(Setup!$G$49,(Setup!$O$49+M$1)*Setup!$N$49))&lt;Setup!$D$5),"",IF(Setup!$M$49&gt;0,Setup!$G$49+(Setup!$O$49+M$1)*Setup!$M$49,EDATE(Setup!$G$49,(Setup!$O$49+M$1)*Setup!$N$49))+$A26/1000)))</f>
        <v/>
      </c>
      <c r="N26">
        <f>IF(OR(Setup!$E$49="",Setup!$G$49="",Setup!$F$49=""),"",IF(AND(Setup!$F$49="Once",N$1&gt;0),"",IF(OR(IF(Setup!$M$49&gt;0,Setup!$G$49+(Setup!$O$49+N$1)*Setup!$M$49,EDATE(Setup!$G$49,(Setup!$O$49+N$1)*Setup!$N$49))&gt;Setup!$P$49,IF(Setup!$M$49&gt;0,Setup!$G$49+(Setup!$O$49+N$1)*Setup!$M$49,EDATE(Setup!$G$49,(Setup!$O$49+N$1)*Setup!$N$49))&lt;Setup!$D$5),"",IF(Setup!$M$49&gt;0,Setup!$G$49+(Setup!$O$49+N$1)*Setup!$M$49,EDATE(Setup!$G$49,(Setup!$O$49+N$1)*Setup!$N$49))+$A26/1000)))</f>
        <v/>
      </c>
      <c r="O26">
        <f>IF(OR(Setup!$E$49="",Setup!$G$49="",Setup!$F$49=""),"",IF(AND(Setup!$F$49="Once",O$1&gt;0),"",IF(OR(IF(Setup!$M$49&gt;0,Setup!$G$49+(Setup!$O$49+O$1)*Setup!$M$49,EDATE(Setup!$G$49,(Setup!$O$49+O$1)*Setup!$N$49))&gt;Setup!$P$49,IF(Setup!$M$49&gt;0,Setup!$G$49+(Setup!$O$49+O$1)*Setup!$M$49,EDATE(Setup!$G$49,(Setup!$O$49+O$1)*Setup!$N$49))&lt;Setup!$D$5),"",IF(Setup!$M$49&gt;0,Setup!$G$49+(Setup!$O$49+O$1)*Setup!$M$49,EDATE(Setup!$G$49,(Setup!$O$49+O$1)*Setup!$N$49))+$A26/1000)))</f>
        <v/>
      </c>
      <c r="P26">
        <f>IF(OR(Setup!$E$49="",Setup!$G$49="",Setup!$F$49=""),"",IF(AND(Setup!$F$49="Once",P$1&gt;0),"",IF(OR(IF(Setup!$M$49&gt;0,Setup!$G$49+(Setup!$O$49+P$1)*Setup!$M$49,EDATE(Setup!$G$49,(Setup!$O$49+P$1)*Setup!$N$49))&gt;Setup!$P$49,IF(Setup!$M$49&gt;0,Setup!$G$49+(Setup!$O$49+P$1)*Setup!$M$49,EDATE(Setup!$G$49,(Setup!$O$49+P$1)*Setup!$N$49))&lt;Setup!$D$5),"",IF(Setup!$M$49&gt;0,Setup!$G$49+(Setup!$O$49+P$1)*Setup!$M$49,EDATE(Setup!$G$49,(Setup!$O$49+P$1)*Setup!$N$49))+$A26/1000)))</f>
        <v/>
      </c>
      <c r="Q26">
        <f>IF(OR(Setup!$E$49="",Setup!$G$49="",Setup!$F$49=""),"",IF(AND(Setup!$F$49="Once",Q$1&gt;0),"",IF(OR(IF(Setup!$M$49&gt;0,Setup!$G$49+(Setup!$O$49+Q$1)*Setup!$M$49,EDATE(Setup!$G$49,(Setup!$O$49+Q$1)*Setup!$N$49))&gt;Setup!$P$49,IF(Setup!$M$49&gt;0,Setup!$G$49+(Setup!$O$49+Q$1)*Setup!$M$49,EDATE(Setup!$G$49,(Setup!$O$49+Q$1)*Setup!$N$49))&lt;Setup!$D$5),"",IF(Setup!$M$49&gt;0,Setup!$G$49+(Setup!$O$49+Q$1)*Setup!$M$49,EDATE(Setup!$G$49,(Setup!$O$49+Q$1)*Setup!$N$49))+$A26/1000)))</f>
        <v/>
      </c>
      <c r="R26">
        <f>IF(OR(Setup!$E$49="",Setup!$G$49="",Setup!$F$49=""),"",IF(AND(Setup!$F$49="Once",R$1&gt;0),"",IF(OR(IF(Setup!$M$49&gt;0,Setup!$G$49+(Setup!$O$49+R$1)*Setup!$M$49,EDATE(Setup!$G$49,(Setup!$O$49+R$1)*Setup!$N$49))&gt;Setup!$P$49,IF(Setup!$M$49&gt;0,Setup!$G$49+(Setup!$O$49+R$1)*Setup!$M$49,EDATE(Setup!$G$49,(Setup!$O$49+R$1)*Setup!$N$49))&lt;Setup!$D$5),"",IF(Setup!$M$49&gt;0,Setup!$G$49+(Setup!$O$49+R$1)*Setup!$M$49,EDATE(Setup!$G$49,(Setup!$O$49+R$1)*Setup!$N$49))+$A26/1000)))</f>
        <v/>
      </c>
      <c r="S26">
        <f>IF(OR(Setup!$E$49="",Setup!$G$49="",Setup!$F$49=""),"",IF(AND(Setup!$F$49="Once",S$1&gt;0),"",IF(OR(IF(Setup!$M$49&gt;0,Setup!$G$49+(Setup!$O$49+S$1)*Setup!$M$49,EDATE(Setup!$G$49,(Setup!$O$49+S$1)*Setup!$N$49))&gt;Setup!$P$49,IF(Setup!$M$49&gt;0,Setup!$G$49+(Setup!$O$49+S$1)*Setup!$M$49,EDATE(Setup!$G$49,(Setup!$O$49+S$1)*Setup!$N$49))&lt;Setup!$D$5),"",IF(Setup!$M$49&gt;0,Setup!$G$49+(Setup!$O$49+S$1)*Setup!$M$49,EDATE(Setup!$G$49,(Setup!$O$49+S$1)*Setup!$N$49))+$A26/1000)))</f>
        <v/>
      </c>
      <c r="T26">
        <f>IF(OR(Setup!$E$49="",Setup!$G$49="",Setup!$F$49=""),"",IF(AND(Setup!$F$49="Once",T$1&gt;0),"",IF(OR(IF(Setup!$M$49&gt;0,Setup!$G$49+(Setup!$O$49+T$1)*Setup!$M$49,EDATE(Setup!$G$49,(Setup!$O$49+T$1)*Setup!$N$49))&gt;Setup!$P$49,IF(Setup!$M$49&gt;0,Setup!$G$49+(Setup!$O$49+T$1)*Setup!$M$49,EDATE(Setup!$G$49,(Setup!$O$49+T$1)*Setup!$N$49))&lt;Setup!$D$5),"",IF(Setup!$M$49&gt;0,Setup!$G$49+(Setup!$O$49+T$1)*Setup!$M$49,EDATE(Setup!$G$49,(Setup!$O$49+T$1)*Setup!$N$49))+$A26/1000)))</f>
        <v/>
      </c>
      <c r="U26">
        <f>IF(OR(Setup!$E$49="",Setup!$G$49="",Setup!$F$49=""),"",IF(AND(Setup!$F$49="Once",U$1&gt;0),"",IF(OR(IF(Setup!$M$49&gt;0,Setup!$G$49+(Setup!$O$49+U$1)*Setup!$M$49,EDATE(Setup!$G$49,(Setup!$O$49+U$1)*Setup!$N$49))&gt;Setup!$P$49,IF(Setup!$M$49&gt;0,Setup!$G$49+(Setup!$O$49+U$1)*Setup!$M$49,EDATE(Setup!$G$49,(Setup!$O$49+U$1)*Setup!$N$49))&lt;Setup!$D$5),"",IF(Setup!$M$49&gt;0,Setup!$G$49+(Setup!$O$49+U$1)*Setup!$M$49,EDATE(Setup!$G$49,(Setup!$O$49+U$1)*Setup!$N$49))+$A26/1000)))</f>
        <v/>
      </c>
      <c r="V26">
        <f>IF(OR(Setup!$E$49="",Setup!$G$49="",Setup!$F$49=""),"",IF(AND(Setup!$F$49="Once",V$1&gt;0),"",IF(OR(IF(Setup!$M$49&gt;0,Setup!$G$49+(Setup!$O$49+V$1)*Setup!$M$49,EDATE(Setup!$G$49,(Setup!$O$49+V$1)*Setup!$N$49))&gt;Setup!$P$49,IF(Setup!$M$49&gt;0,Setup!$G$49+(Setup!$O$49+V$1)*Setup!$M$49,EDATE(Setup!$G$49,(Setup!$O$49+V$1)*Setup!$N$49))&lt;Setup!$D$5),"",IF(Setup!$M$49&gt;0,Setup!$G$49+(Setup!$O$49+V$1)*Setup!$M$49,EDATE(Setup!$G$49,(Setup!$O$49+V$1)*Setup!$N$49))+$A26/1000)))</f>
        <v/>
      </c>
      <c r="W26">
        <f>IF(OR(Setup!$E$49="",Setup!$G$49="",Setup!$F$49=""),"",IF(AND(Setup!$F$49="Once",W$1&gt;0),"",IF(OR(IF(Setup!$M$49&gt;0,Setup!$G$49+(Setup!$O$49+W$1)*Setup!$M$49,EDATE(Setup!$G$49,(Setup!$O$49+W$1)*Setup!$N$49))&gt;Setup!$P$49,IF(Setup!$M$49&gt;0,Setup!$G$49+(Setup!$O$49+W$1)*Setup!$M$49,EDATE(Setup!$G$49,(Setup!$O$49+W$1)*Setup!$N$49))&lt;Setup!$D$5),"",IF(Setup!$M$49&gt;0,Setup!$G$49+(Setup!$O$49+W$1)*Setup!$M$49,EDATE(Setup!$G$49,(Setup!$O$49+W$1)*Setup!$N$49))+$A26/1000)))</f>
        <v/>
      </c>
      <c r="X26">
        <f>IF(OR(Setup!$E$49="",Setup!$G$49="",Setup!$F$49=""),"",IF(AND(Setup!$F$49="Once",X$1&gt;0),"",IF(OR(IF(Setup!$M$49&gt;0,Setup!$G$49+(Setup!$O$49+X$1)*Setup!$M$49,EDATE(Setup!$G$49,(Setup!$O$49+X$1)*Setup!$N$49))&gt;Setup!$P$49,IF(Setup!$M$49&gt;0,Setup!$G$49+(Setup!$O$49+X$1)*Setup!$M$49,EDATE(Setup!$G$49,(Setup!$O$49+X$1)*Setup!$N$49))&lt;Setup!$D$5),"",IF(Setup!$M$49&gt;0,Setup!$G$49+(Setup!$O$49+X$1)*Setup!$M$49,EDATE(Setup!$G$49,(Setup!$O$49+X$1)*Setup!$N$49))+$A26/1000)))</f>
        <v/>
      </c>
      <c r="Y26">
        <f>IF(OR(Setup!$E$49="",Setup!$G$49="",Setup!$F$49=""),"",IF(AND(Setup!$F$49="Once",Y$1&gt;0),"",IF(OR(IF(Setup!$M$49&gt;0,Setup!$G$49+(Setup!$O$49+Y$1)*Setup!$M$49,EDATE(Setup!$G$49,(Setup!$O$49+Y$1)*Setup!$N$49))&gt;Setup!$P$49,IF(Setup!$M$49&gt;0,Setup!$G$49+(Setup!$O$49+Y$1)*Setup!$M$49,EDATE(Setup!$G$49,(Setup!$O$49+Y$1)*Setup!$N$49))&lt;Setup!$D$5),"",IF(Setup!$M$49&gt;0,Setup!$G$49+(Setup!$O$49+Y$1)*Setup!$M$49,EDATE(Setup!$G$49,(Setup!$O$49+Y$1)*Setup!$N$49))+$A26/1000)))</f>
        <v/>
      </c>
      <c r="Z26">
        <f>IF(OR(Setup!$E$49="",Setup!$G$49="",Setup!$F$49=""),"",IF(AND(Setup!$F$49="Once",Z$1&gt;0),"",IF(OR(IF(Setup!$M$49&gt;0,Setup!$G$49+(Setup!$O$49+Z$1)*Setup!$M$49,EDATE(Setup!$G$49,(Setup!$O$49+Z$1)*Setup!$N$49))&gt;Setup!$P$49,IF(Setup!$M$49&gt;0,Setup!$G$49+(Setup!$O$49+Z$1)*Setup!$M$49,EDATE(Setup!$G$49,(Setup!$O$49+Z$1)*Setup!$N$49))&lt;Setup!$D$5),"",IF(Setup!$M$49&gt;0,Setup!$G$49+(Setup!$O$49+Z$1)*Setup!$M$49,EDATE(Setup!$G$49,(Setup!$O$49+Z$1)*Setup!$N$49))+$A26/1000)))</f>
        <v/>
      </c>
      <c r="AA26">
        <f>IF(OR(Setup!$E$49="",Setup!$G$49="",Setup!$F$49=""),"",IF(AND(Setup!$F$49="Once",AA$1&gt;0),"",IF(OR(IF(Setup!$M$49&gt;0,Setup!$G$49+(Setup!$O$49+AA$1)*Setup!$M$49,EDATE(Setup!$G$49,(Setup!$O$49+AA$1)*Setup!$N$49))&gt;Setup!$P$49,IF(Setup!$M$49&gt;0,Setup!$G$49+(Setup!$O$49+AA$1)*Setup!$M$49,EDATE(Setup!$G$49,(Setup!$O$49+AA$1)*Setup!$N$49))&lt;Setup!$D$5),"",IF(Setup!$M$49&gt;0,Setup!$G$49+(Setup!$O$49+AA$1)*Setup!$M$49,EDATE(Setup!$G$49,(Setup!$O$49+AA$1)*Setup!$N$49))+$A26/1000)))</f>
        <v/>
      </c>
      <c r="AB26">
        <f>IF(OR(Setup!$E$49="",Setup!$G$49="",Setup!$F$49=""),"",IF(AND(Setup!$F$49="Once",AB$1&gt;0),"",IF(OR(IF(Setup!$M$49&gt;0,Setup!$G$49+(Setup!$O$49+AB$1)*Setup!$M$49,EDATE(Setup!$G$49,(Setup!$O$49+AB$1)*Setup!$N$49))&gt;Setup!$P$49,IF(Setup!$M$49&gt;0,Setup!$G$49+(Setup!$O$49+AB$1)*Setup!$M$49,EDATE(Setup!$G$49,(Setup!$O$49+AB$1)*Setup!$N$49))&lt;Setup!$D$5),"",IF(Setup!$M$49&gt;0,Setup!$G$49+(Setup!$O$49+AB$1)*Setup!$M$49,EDATE(Setup!$G$49,(Setup!$O$49+AB$1)*Setup!$N$49))+$A26/1000)))</f>
        <v/>
      </c>
      <c r="AC26">
        <f>IF(OR(Setup!$E$49="",Setup!$G$49="",Setup!$F$49=""),"",IF(AND(Setup!$F$49="Once",AC$1&gt;0),"",IF(OR(IF(Setup!$M$49&gt;0,Setup!$G$49+(Setup!$O$49+AC$1)*Setup!$M$49,EDATE(Setup!$G$49,(Setup!$O$49+AC$1)*Setup!$N$49))&gt;Setup!$P$49,IF(Setup!$M$49&gt;0,Setup!$G$49+(Setup!$O$49+AC$1)*Setup!$M$49,EDATE(Setup!$G$49,(Setup!$O$49+AC$1)*Setup!$N$49))&lt;Setup!$D$5),"",IF(Setup!$M$49&gt;0,Setup!$G$49+(Setup!$O$49+AC$1)*Setup!$M$49,EDATE(Setup!$G$49,(Setup!$O$49+AC$1)*Setup!$N$49))+$A26/1000)))</f>
        <v/>
      </c>
      <c r="AD26">
        <f>IF(OR(Setup!$E$49="",Setup!$G$49="",Setup!$F$49=""),"",IF(AND(Setup!$F$49="Once",AD$1&gt;0),"",IF(OR(IF(Setup!$M$49&gt;0,Setup!$G$49+(Setup!$O$49+AD$1)*Setup!$M$49,EDATE(Setup!$G$49,(Setup!$O$49+AD$1)*Setup!$N$49))&gt;Setup!$P$49,IF(Setup!$M$49&gt;0,Setup!$G$49+(Setup!$O$49+AD$1)*Setup!$M$49,EDATE(Setup!$G$49,(Setup!$O$49+AD$1)*Setup!$N$49))&lt;Setup!$D$5),"",IF(Setup!$M$49&gt;0,Setup!$G$49+(Setup!$O$49+AD$1)*Setup!$M$49,EDATE(Setup!$G$49,(Setup!$O$49+AD$1)*Setup!$N$49))+$A26/1000)))</f>
        <v/>
      </c>
      <c r="AE26">
        <f>IF(OR(Setup!$E$49="",Setup!$G$49="",Setup!$F$49=""),"",IF(AND(Setup!$F$49="Once",AE$1&gt;0),"",IF(OR(IF(Setup!$M$49&gt;0,Setup!$G$49+(Setup!$O$49+AE$1)*Setup!$M$49,EDATE(Setup!$G$49,(Setup!$O$49+AE$1)*Setup!$N$49))&gt;Setup!$P$49,IF(Setup!$M$49&gt;0,Setup!$G$49+(Setup!$O$49+AE$1)*Setup!$M$49,EDATE(Setup!$G$49,(Setup!$O$49+AE$1)*Setup!$N$49))&lt;Setup!$D$5),"",IF(Setup!$M$49&gt;0,Setup!$G$49+(Setup!$O$49+AE$1)*Setup!$M$49,EDATE(Setup!$G$49,(Setup!$O$49+AE$1)*Setup!$N$49))+$A26/1000)))</f>
        <v/>
      </c>
      <c r="AF26">
        <f>IF(OR(Setup!$E$49="",Setup!$G$49="",Setup!$F$49=""),"",IF(AND(Setup!$F$49="Once",AF$1&gt;0),"",IF(OR(IF(Setup!$M$49&gt;0,Setup!$G$49+(Setup!$O$49+AF$1)*Setup!$M$49,EDATE(Setup!$G$49,(Setup!$O$49+AF$1)*Setup!$N$49))&gt;Setup!$P$49,IF(Setup!$M$49&gt;0,Setup!$G$49+(Setup!$O$49+AF$1)*Setup!$M$49,EDATE(Setup!$G$49,(Setup!$O$49+AF$1)*Setup!$N$49))&lt;Setup!$D$5),"",IF(Setup!$M$49&gt;0,Setup!$G$49+(Setup!$O$49+AF$1)*Setup!$M$49,EDATE(Setup!$G$49,(Setup!$O$49+AF$1)*Setup!$N$49))+$A26/1000)))</f>
        <v/>
      </c>
      <c r="AG26">
        <f>IF(OR(Setup!$E$49="",Setup!$G$49="",Setup!$F$49=""),"",IF(AND(Setup!$F$49="Once",AG$1&gt;0),"",IF(OR(IF(Setup!$M$49&gt;0,Setup!$G$49+(Setup!$O$49+AG$1)*Setup!$M$49,EDATE(Setup!$G$49,(Setup!$O$49+AG$1)*Setup!$N$49))&gt;Setup!$P$49,IF(Setup!$M$49&gt;0,Setup!$G$49+(Setup!$O$49+AG$1)*Setup!$M$49,EDATE(Setup!$G$49,(Setup!$O$49+AG$1)*Setup!$N$49))&lt;Setup!$D$5),"",IF(Setup!$M$49&gt;0,Setup!$G$49+(Setup!$O$49+AG$1)*Setup!$M$49,EDATE(Setup!$G$49,(Setup!$O$49+AG$1)*Setup!$N$49))+$A26/1000)))</f>
        <v/>
      </c>
      <c r="AH26">
        <f>IF(OR(Setup!$E$49="",Setup!$G$49="",Setup!$F$49=""),"",IF(AND(Setup!$F$49="Once",AH$1&gt;0),"",IF(OR(IF(Setup!$M$49&gt;0,Setup!$G$49+(Setup!$O$49+AH$1)*Setup!$M$49,EDATE(Setup!$G$49,(Setup!$O$49+AH$1)*Setup!$N$49))&gt;Setup!$P$49,IF(Setup!$M$49&gt;0,Setup!$G$49+(Setup!$O$49+AH$1)*Setup!$M$49,EDATE(Setup!$G$49,(Setup!$O$49+AH$1)*Setup!$N$49))&lt;Setup!$D$5),"",IF(Setup!$M$49&gt;0,Setup!$G$49+(Setup!$O$49+AH$1)*Setup!$M$49,EDATE(Setup!$G$49,(Setup!$O$49+AH$1)*Setup!$N$49))+$A26/1000)))</f>
        <v/>
      </c>
      <c r="AI26">
        <f>IF(OR(Setup!$E$49="",Setup!$G$49="",Setup!$F$49=""),"",IF(AND(Setup!$F$49="Once",AI$1&gt;0),"",IF(OR(IF(Setup!$M$49&gt;0,Setup!$G$49+(Setup!$O$49+AI$1)*Setup!$M$49,EDATE(Setup!$G$49,(Setup!$O$49+AI$1)*Setup!$N$49))&gt;Setup!$P$49,IF(Setup!$M$49&gt;0,Setup!$G$49+(Setup!$O$49+AI$1)*Setup!$M$49,EDATE(Setup!$G$49,(Setup!$O$49+AI$1)*Setup!$N$49))&lt;Setup!$D$5),"",IF(Setup!$M$49&gt;0,Setup!$G$49+(Setup!$O$49+AI$1)*Setup!$M$49,EDATE(Setup!$G$49,(Setup!$O$49+AI$1)*Setup!$N$49))+$A26/1000)))</f>
        <v/>
      </c>
      <c r="AJ26">
        <f>IF(OR(Setup!$E$49="",Setup!$G$49="",Setup!$F$49=""),"",IF(AND(Setup!$F$49="Once",AJ$1&gt;0),"",IF(OR(IF(Setup!$M$49&gt;0,Setup!$G$49+(Setup!$O$49+AJ$1)*Setup!$M$49,EDATE(Setup!$G$49,(Setup!$O$49+AJ$1)*Setup!$N$49))&gt;Setup!$P$49,IF(Setup!$M$49&gt;0,Setup!$G$49+(Setup!$O$49+AJ$1)*Setup!$M$49,EDATE(Setup!$G$49,(Setup!$O$49+AJ$1)*Setup!$N$49))&lt;Setup!$D$5),"",IF(Setup!$M$49&gt;0,Setup!$G$49+(Setup!$O$49+AJ$1)*Setup!$M$49,EDATE(Setup!$G$49,(Setup!$O$49+AJ$1)*Setup!$N$49))+$A26/1000)))</f>
        <v/>
      </c>
      <c r="AK26">
        <f>IF(OR(Setup!$E$49="",Setup!$G$49="",Setup!$F$49=""),"",IF(AND(Setup!$F$49="Once",AK$1&gt;0),"",IF(OR(IF(Setup!$M$49&gt;0,Setup!$G$49+(Setup!$O$49+AK$1)*Setup!$M$49,EDATE(Setup!$G$49,(Setup!$O$49+AK$1)*Setup!$N$49))&gt;Setup!$P$49,IF(Setup!$M$49&gt;0,Setup!$G$49+(Setup!$O$49+AK$1)*Setup!$M$49,EDATE(Setup!$G$49,(Setup!$O$49+AK$1)*Setup!$N$49))&lt;Setup!$D$5),"",IF(Setup!$M$49&gt;0,Setup!$G$49+(Setup!$O$49+AK$1)*Setup!$M$49,EDATE(Setup!$G$49,(Setup!$O$49+AK$1)*Setup!$N$49))+$A26/1000)))</f>
        <v/>
      </c>
      <c r="AL26">
        <f>IF(OR(Setup!$E$49="",Setup!$G$49="",Setup!$F$49=""),"",IF(AND(Setup!$F$49="Once",AL$1&gt;0),"",IF(OR(IF(Setup!$M$49&gt;0,Setup!$G$49+(Setup!$O$49+AL$1)*Setup!$M$49,EDATE(Setup!$G$49,(Setup!$O$49+AL$1)*Setup!$N$49))&gt;Setup!$P$49,IF(Setup!$M$49&gt;0,Setup!$G$49+(Setup!$O$49+AL$1)*Setup!$M$49,EDATE(Setup!$G$49,(Setup!$O$49+AL$1)*Setup!$N$49))&lt;Setup!$D$5),"",IF(Setup!$M$49&gt;0,Setup!$G$49+(Setup!$O$49+AL$1)*Setup!$M$49,EDATE(Setup!$G$49,(Setup!$O$49+AL$1)*Setup!$N$49))+$A26/1000)))</f>
        <v/>
      </c>
      <c r="AM26">
        <f>IF(OR(Setup!$E$49="",Setup!$G$49="",Setup!$F$49=""),"",IF(AND(Setup!$F$49="Once",AM$1&gt;0),"",IF(OR(IF(Setup!$M$49&gt;0,Setup!$G$49+(Setup!$O$49+AM$1)*Setup!$M$49,EDATE(Setup!$G$49,(Setup!$O$49+AM$1)*Setup!$N$49))&gt;Setup!$P$49,IF(Setup!$M$49&gt;0,Setup!$G$49+(Setup!$O$49+AM$1)*Setup!$M$49,EDATE(Setup!$G$49,(Setup!$O$49+AM$1)*Setup!$N$49))&lt;Setup!$D$5),"",IF(Setup!$M$49&gt;0,Setup!$G$49+(Setup!$O$49+AM$1)*Setup!$M$49,EDATE(Setup!$G$49,(Setup!$O$49+AM$1)*Setup!$N$49))+$A26/1000)))</f>
        <v/>
      </c>
      <c r="AN26">
        <f>IF(OR(Setup!$E$49="",Setup!$G$49="",Setup!$F$49=""),"",IF(AND(Setup!$F$49="Once",AN$1&gt;0),"",IF(OR(IF(Setup!$M$49&gt;0,Setup!$G$49+(Setup!$O$49+AN$1)*Setup!$M$49,EDATE(Setup!$G$49,(Setup!$O$49+AN$1)*Setup!$N$49))&gt;Setup!$P$49,IF(Setup!$M$49&gt;0,Setup!$G$49+(Setup!$O$49+AN$1)*Setup!$M$49,EDATE(Setup!$G$49,(Setup!$O$49+AN$1)*Setup!$N$49))&lt;Setup!$D$5),"",IF(Setup!$M$49&gt;0,Setup!$G$49+(Setup!$O$49+AN$1)*Setup!$M$49,EDATE(Setup!$G$49,(Setup!$O$49+AN$1)*Setup!$N$49))+$A26/1000)))</f>
        <v/>
      </c>
      <c r="AO26">
        <f>IF(OR(Setup!$E$49="",Setup!$G$49="",Setup!$F$49=""),"",IF(AND(Setup!$F$49="Once",AO$1&gt;0),"",IF(OR(IF(Setup!$M$49&gt;0,Setup!$G$49+(Setup!$O$49+AO$1)*Setup!$M$49,EDATE(Setup!$G$49,(Setup!$O$49+AO$1)*Setup!$N$49))&gt;Setup!$P$49,IF(Setup!$M$49&gt;0,Setup!$G$49+(Setup!$O$49+AO$1)*Setup!$M$49,EDATE(Setup!$G$49,(Setup!$O$49+AO$1)*Setup!$N$49))&lt;Setup!$D$5),"",IF(Setup!$M$49&gt;0,Setup!$G$49+(Setup!$O$49+AO$1)*Setup!$M$49,EDATE(Setup!$G$49,(Setup!$O$49+AO$1)*Setup!$N$49))+$A26/1000)))</f>
        <v/>
      </c>
      <c r="AP26">
        <f>IF(OR(Setup!$E$49="",Setup!$G$49="",Setup!$F$49=""),"",IF(AND(Setup!$F$49="Once",AP$1&gt;0),"",IF(OR(IF(Setup!$M$49&gt;0,Setup!$G$49+(Setup!$O$49+AP$1)*Setup!$M$49,EDATE(Setup!$G$49,(Setup!$O$49+AP$1)*Setup!$N$49))&gt;Setup!$P$49,IF(Setup!$M$49&gt;0,Setup!$G$49+(Setup!$O$49+AP$1)*Setup!$M$49,EDATE(Setup!$G$49,(Setup!$O$49+AP$1)*Setup!$N$49))&lt;Setup!$D$5),"",IF(Setup!$M$49&gt;0,Setup!$G$49+(Setup!$O$49+AP$1)*Setup!$M$49,EDATE(Setup!$G$49,(Setup!$O$49+AP$1)*Setup!$N$49))+$A26/1000)))</f>
        <v/>
      </c>
      <c r="AQ26">
        <f>IF(OR(Setup!$E$49="",Setup!$G$49="",Setup!$F$49=""),"",IF(AND(Setup!$F$49="Once",AQ$1&gt;0),"",IF(OR(IF(Setup!$M$49&gt;0,Setup!$G$49+(Setup!$O$49+AQ$1)*Setup!$M$49,EDATE(Setup!$G$49,(Setup!$O$49+AQ$1)*Setup!$N$49))&gt;Setup!$P$49,IF(Setup!$M$49&gt;0,Setup!$G$49+(Setup!$O$49+AQ$1)*Setup!$M$49,EDATE(Setup!$G$49,(Setup!$O$49+AQ$1)*Setup!$N$49))&lt;Setup!$D$5),"",IF(Setup!$M$49&gt;0,Setup!$G$49+(Setup!$O$49+AQ$1)*Setup!$M$49,EDATE(Setup!$G$49,(Setup!$O$49+AQ$1)*Setup!$N$49))+$A26/1000)))</f>
        <v/>
      </c>
      <c r="AR26">
        <f>IF(OR(Setup!$E$49="",Setup!$G$49="",Setup!$F$49=""),"",IF(AND(Setup!$F$49="Once",AR$1&gt;0),"",IF(OR(IF(Setup!$M$49&gt;0,Setup!$G$49+(Setup!$O$49+AR$1)*Setup!$M$49,EDATE(Setup!$G$49,(Setup!$O$49+AR$1)*Setup!$N$49))&gt;Setup!$P$49,IF(Setup!$M$49&gt;0,Setup!$G$49+(Setup!$O$49+AR$1)*Setup!$M$49,EDATE(Setup!$G$49,(Setup!$O$49+AR$1)*Setup!$N$49))&lt;Setup!$D$5),"",IF(Setup!$M$49&gt;0,Setup!$G$49+(Setup!$O$49+AR$1)*Setup!$M$49,EDATE(Setup!$G$49,(Setup!$O$49+AR$1)*Setup!$N$49))+$A26/1000)))</f>
        <v/>
      </c>
      <c r="AS26">
        <f>IF(OR(Setup!$E$49="",Setup!$G$49="",Setup!$F$49=""),"",IF(AND(Setup!$F$49="Once",AS$1&gt;0),"",IF(OR(IF(Setup!$M$49&gt;0,Setup!$G$49+(Setup!$O$49+AS$1)*Setup!$M$49,EDATE(Setup!$G$49,(Setup!$O$49+AS$1)*Setup!$N$49))&gt;Setup!$P$49,IF(Setup!$M$49&gt;0,Setup!$G$49+(Setup!$O$49+AS$1)*Setup!$M$49,EDATE(Setup!$G$49,(Setup!$O$49+AS$1)*Setup!$N$49))&lt;Setup!$D$5),"",IF(Setup!$M$49&gt;0,Setup!$G$49+(Setup!$O$49+AS$1)*Setup!$M$49,EDATE(Setup!$G$49,(Setup!$O$49+AS$1)*Setup!$N$49))+$A26/1000)))</f>
        <v/>
      </c>
      <c r="AT26">
        <f>IF(OR(Setup!$E$49="",Setup!$G$49="",Setup!$F$49=""),"",IF(AND(Setup!$F$49="Once",AT$1&gt;0),"",IF(OR(IF(Setup!$M$49&gt;0,Setup!$G$49+(Setup!$O$49+AT$1)*Setup!$M$49,EDATE(Setup!$G$49,(Setup!$O$49+AT$1)*Setup!$N$49))&gt;Setup!$P$49,IF(Setup!$M$49&gt;0,Setup!$G$49+(Setup!$O$49+AT$1)*Setup!$M$49,EDATE(Setup!$G$49,(Setup!$O$49+AT$1)*Setup!$N$49))&lt;Setup!$D$5),"",IF(Setup!$M$49&gt;0,Setup!$G$49+(Setup!$O$49+AT$1)*Setup!$M$49,EDATE(Setup!$G$49,(Setup!$O$49+AT$1)*Setup!$N$49))+$A26/1000)))</f>
        <v/>
      </c>
      <c r="AU26">
        <f>IF(OR(Setup!$E$49="",Setup!$G$49="",Setup!$F$49=""),"",IF(AND(Setup!$F$49="Once",AU$1&gt;0),"",IF(OR(IF(Setup!$M$49&gt;0,Setup!$G$49+(Setup!$O$49+AU$1)*Setup!$M$49,EDATE(Setup!$G$49,(Setup!$O$49+AU$1)*Setup!$N$49))&gt;Setup!$P$49,IF(Setup!$M$49&gt;0,Setup!$G$49+(Setup!$O$49+AU$1)*Setup!$M$49,EDATE(Setup!$G$49,(Setup!$O$49+AU$1)*Setup!$N$49))&lt;Setup!$D$5),"",IF(Setup!$M$49&gt;0,Setup!$G$49+(Setup!$O$49+AU$1)*Setup!$M$49,EDATE(Setup!$G$49,(Setup!$O$49+AU$1)*Setup!$N$49))+$A26/1000)))</f>
        <v/>
      </c>
      <c r="AV26">
        <f>IF(OR(Setup!$E$49="",Setup!$G$49="",Setup!$F$49=""),"",IF(AND(Setup!$F$49="Once",AV$1&gt;0),"",IF(OR(IF(Setup!$M$49&gt;0,Setup!$G$49+(Setup!$O$49+AV$1)*Setup!$M$49,EDATE(Setup!$G$49,(Setup!$O$49+AV$1)*Setup!$N$49))&gt;Setup!$P$49,IF(Setup!$M$49&gt;0,Setup!$G$49+(Setup!$O$49+AV$1)*Setup!$M$49,EDATE(Setup!$G$49,(Setup!$O$49+AV$1)*Setup!$N$49))&lt;Setup!$D$5),"",IF(Setup!$M$49&gt;0,Setup!$G$49+(Setup!$O$49+AV$1)*Setup!$M$49,EDATE(Setup!$G$49,(Setup!$O$49+AV$1)*Setup!$N$49))+$A26/1000)))</f>
        <v/>
      </c>
      <c r="AW26">
        <f>IF(OR(Setup!$E$49="",Setup!$G$49="",Setup!$F$49=""),"",IF(AND(Setup!$F$49="Once",AW$1&gt;0),"",IF(OR(IF(Setup!$M$49&gt;0,Setup!$G$49+(Setup!$O$49+AW$1)*Setup!$M$49,EDATE(Setup!$G$49,(Setup!$O$49+AW$1)*Setup!$N$49))&gt;Setup!$P$49,IF(Setup!$M$49&gt;0,Setup!$G$49+(Setup!$O$49+AW$1)*Setup!$M$49,EDATE(Setup!$G$49,(Setup!$O$49+AW$1)*Setup!$N$49))&lt;Setup!$D$5),"",IF(Setup!$M$49&gt;0,Setup!$G$49+(Setup!$O$49+AW$1)*Setup!$M$49,EDATE(Setup!$G$49,(Setup!$O$49+AW$1)*Setup!$N$49))+$A26/1000)))</f>
        <v/>
      </c>
      <c r="AX26">
        <f>IF(OR(Setup!$E$49="",Setup!$G$49="",Setup!$F$49=""),"",IF(AND(Setup!$F$49="Once",AX$1&gt;0),"",IF(OR(IF(Setup!$M$49&gt;0,Setup!$G$49+(Setup!$O$49+AX$1)*Setup!$M$49,EDATE(Setup!$G$49,(Setup!$O$49+AX$1)*Setup!$N$49))&gt;Setup!$P$49,IF(Setup!$M$49&gt;0,Setup!$G$49+(Setup!$O$49+AX$1)*Setup!$M$49,EDATE(Setup!$G$49,(Setup!$O$49+AX$1)*Setup!$N$49))&lt;Setup!$D$5),"",IF(Setup!$M$49&gt;0,Setup!$G$49+(Setup!$O$49+AX$1)*Setup!$M$49,EDATE(Setup!$G$49,(Setup!$O$49+AX$1)*Setup!$N$49))+$A26/1000)))</f>
        <v/>
      </c>
      <c r="AY26">
        <f>IF(OR(Setup!$E$49="",Setup!$G$49="",Setup!$F$49=""),"",IF(AND(Setup!$F$49="Once",AY$1&gt;0),"",IF(OR(IF(Setup!$M$49&gt;0,Setup!$G$49+(Setup!$O$49+AY$1)*Setup!$M$49,EDATE(Setup!$G$49,(Setup!$O$49+AY$1)*Setup!$N$49))&gt;Setup!$P$49,IF(Setup!$M$49&gt;0,Setup!$G$49+(Setup!$O$49+AY$1)*Setup!$M$49,EDATE(Setup!$G$49,(Setup!$O$49+AY$1)*Setup!$N$49))&lt;Setup!$D$5),"",IF(Setup!$M$49&gt;0,Setup!$G$49+(Setup!$O$49+AY$1)*Setup!$M$49,EDATE(Setup!$G$49,(Setup!$O$49+AY$1)*Setup!$N$49))+$A26/1000)))</f>
        <v/>
      </c>
      <c r="AZ26">
        <f>IF(OR(Setup!$E$49="",Setup!$G$49="",Setup!$F$49=""),"",IF(AND(Setup!$F$49="Once",AZ$1&gt;0),"",IF(OR(IF(Setup!$M$49&gt;0,Setup!$G$49+(Setup!$O$49+AZ$1)*Setup!$M$49,EDATE(Setup!$G$49,(Setup!$O$49+AZ$1)*Setup!$N$49))&gt;Setup!$P$49,IF(Setup!$M$49&gt;0,Setup!$G$49+(Setup!$O$49+AZ$1)*Setup!$M$49,EDATE(Setup!$G$49,(Setup!$O$49+AZ$1)*Setup!$N$49))&lt;Setup!$D$5),"",IF(Setup!$M$49&gt;0,Setup!$G$49+(Setup!$O$49+AZ$1)*Setup!$M$49,EDATE(Setup!$G$49,(Setup!$O$49+AZ$1)*Setup!$N$49))+$A26/1000)))</f>
        <v/>
      </c>
      <c r="BA26">
        <f>IF(OR(Setup!$E$49="",Setup!$G$49="",Setup!$F$49=""),"",IF(AND(Setup!$F$49="Once",BA$1&gt;0),"",IF(OR(IF(Setup!$M$49&gt;0,Setup!$G$49+(Setup!$O$49+BA$1)*Setup!$M$49,EDATE(Setup!$G$49,(Setup!$O$49+BA$1)*Setup!$N$49))&gt;Setup!$P$49,IF(Setup!$M$49&gt;0,Setup!$G$49+(Setup!$O$49+BA$1)*Setup!$M$49,EDATE(Setup!$G$49,(Setup!$O$49+BA$1)*Setup!$N$49))&lt;Setup!$D$5),"",IF(Setup!$M$49&gt;0,Setup!$G$49+(Setup!$O$49+BA$1)*Setup!$M$49,EDATE(Setup!$G$49,(Setup!$O$49+BA$1)*Setup!$N$49))+$A26/1000)))</f>
        <v/>
      </c>
      <c r="BB26">
        <f>IF(OR(Setup!$E$49="",Setup!$G$49="",Setup!$F$49=""),"",IF(AND(Setup!$F$49="Once",BB$1&gt;0),"",IF(OR(IF(Setup!$M$49&gt;0,Setup!$G$49+(Setup!$O$49+BB$1)*Setup!$M$49,EDATE(Setup!$G$49,(Setup!$O$49+BB$1)*Setup!$N$49))&gt;Setup!$P$49,IF(Setup!$M$49&gt;0,Setup!$G$49+(Setup!$O$49+BB$1)*Setup!$M$49,EDATE(Setup!$G$49,(Setup!$O$49+BB$1)*Setup!$N$49))&lt;Setup!$D$5),"",IF(Setup!$M$49&gt;0,Setup!$G$49+(Setup!$O$49+BB$1)*Setup!$M$49,EDATE(Setup!$G$49,(Setup!$O$49+BB$1)*Setup!$N$49))+$A26/1000)))</f>
        <v/>
      </c>
    </row>
    <row r="27">
      <c r="A27" t="n">
        <v>26</v>
      </c>
      <c r="B27">
        <f>IF(OR(Setup!$E$50="",Setup!$G$50="",Setup!$F$50=""),"",IF(AND(Setup!$F$50="Once",B$1&gt;0),"",IF(OR(IF(Setup!$M$50&gt;0,Setup!$G$50+(Setup!$O$50+B$1)*Setup!$M$50,EDATE(Setup!$G$50,(Setup!$O$50+B$1)*Setup!$N$50))&gt;Setup!$P$50,IF(Setup!$M$50&gt;0,Setup!$G$50+(Setup!$O$50+B$1)*Setup!$M$50,EDATE(Setup!$G$50,(Setup!$O$50+B$1)*Setup!$N$50))&lt;Setup!$D$5),"",IF(Setup!$M$50&gt;0,Setup!$G$50+(Setup!$O$50+B$1)*Setup!$M$50,EDATE(Setup!$G$50,(Setup!$O$50+B$1)*Setup!$N$50))+$A27/1000)))</f>
        <v/>
      </c>
      <c r="C27">
        <f>IF(OR(Setup!$E$50="",Setup!$G$50="",Setup!$F$50=""),"",IF(AND(Setup!$F$50="Once",C$1&gt;0),"",IF(OR(IF(Setup!$M$50&gt;0,Setup!$G$50+(Setup!$O$50+C$1)*Setup!$M$50,EDATE(Setup!$G$50,(Setup!$O$50+C$1)*Setup!$N$50))&gt;Setup!$P$50,IF(Setup!$M$50&gt;0,Setup!$G$50+(Setup!$O$50+C$1)*Setup!$M$50,EDATE(Setup!$G$50,(Setup!$O$50+C$1)*Setup!$N$50))&lt;Setup!$D$5),"",IF(Setup!$M$50&gt;0,Setup!$G$50+(Setup!$O$50+C$1)*Setup!$M$50,EDATE(Setup!$G$50,(Setup!$O$50+C$1)*Setup!$N$50))+$A27/1000)))</f>
        <v/>
      </c>
      <c r="D27">
        <f>IF(OR(Setup!$E$50="",Setup!$G$50="",Setup!$F$50=""),"",IF(AND(Setup!$F$50="Once",D$1&gt;0),"",IF(OR(IF(Setup!$M$50&gt;0,Setup!$G$50+(Setup!$O$50+D$1)*Setup!$M$50,EDATE(Setup!$G$50,(Setup!$O$50+D$1)*Setup!$N$50))&gt;Setup!$P$50,IF(Setup!$M$50&gt;0,Setup!$G$50+(Setup!$O$50+D$1)*Setup!$M$50,EDATE(Setup!$G$50,(Setup!$O$50+D$1)*Setup!$N$50))&lt;Setup!$D$5),"",IF(Setup!$M$50&gt;0,Setup!$G$50+(Setup!$O$50+D$1)*Setup!$M$50,EDATE(Setup!$G$50,(Setup!$O$50+D$1)*Setup!$N$50))+$A27/1000)))</f>
        <v/>
      </c>
      <c r="E27">
        <f>IF(OR(Setup!$E$50="",Setup!$G$50="",Setup!$F$50=""),"",IF(AND(Setup!$F$50="Once",E$1&gt;0),"",IF(OR(IF(Setup!$M$50&gt;0,Setup!$G$50+(Setup!$O$50+E$1)*Setup!$M$50,EDATE(Setup!$G$50,(Setup!$O$50+E$1)*Setup!$N$50))&gt;Setup!$P$50,IF(Setup!$M$50&gt;0,Setup!$G$50+(Setup!$O$50+E$1)*Setup!$M$50,EDATE(Setup!$G$50,(Setup!$O$50+E$1)*Setup!$N$50))&lt;Setup!$D$5),"",IF(Setup!$M$50&gt;0,Setup!$G$50+(Setup!$O$50+E$1)*Setup!$M$50,EDATE(Setup!$G$50,(Setup!$O$50+E$1)*Setup!$N$50))+$A27/1000)))</f>
        <v/>
      </c>
      <c r="F27">
        <f>IF(OR(Setup!$E$50="",Setup!$G$50="",Setup!$F$50=""),"",IF(AND(Setup!$F$50="Once",F$1&gt;0),"",IF(OR(IF(Setup!$M$50&gt;0,Setup!$G$50+(Setup!$O$50+F$1)*Setup!$M$50,EDATE(Setup!$G$50,(Setup!$O$50+F$1)*Setup!$N$50))&gt;Setup!$P$50,IF(Setup!$M$50&gt;0,Setup!$G$50+(Setup!$O$50+F$1)*Setup!$M$50,EDATE(Setup!$G$50,(Setup!$O$50+F$1)*Setup!$N$50))&lt;Setup!$D$5),"",IF(Setup!$M$50&gt;0,Setup!$G$50+(Setup!$O$50+F$1)*Setup!$M$50,EDATE(Setup!$G$50,(Setup!$O$50+F$1)*Setup!$N$50))+$A27/1000)))</f>
        <v/>
      </c>
      <c r="G27">
        <f>IF(OR(Setup!$E$50="",Setup!$G$50="",Setup!$F$50=""),"",IF(AND(Setup!$F$50="Once",G$1&gt;0),"",IF(OR(IF(Setup!$M$50&gt;0,Setup!$G$50+(Setup!$O$50+G$1)*Setup!$M$50,EDATE(Setup!$G$50,(Setup!$O$50+G$1)*Setup!$N$50))&gt;Setup!$P$50,IF(Setup!$M$50&gt;0,Setup!$G$50+(Setup!$O$50+G$1)*Setup!$M$50,EDATE(Setup!$G$50,(Setup!$O$50+G$1)*Setup!$N$50))&lt;Setup!$D$5),"",IF(Setup!$M$50&gt;0,Setup!$G$50+(Setup!$O$50+G$1)*Setup!$M$50,EDATE(Setup!$G$50,(Setup!$O$50+G$1)*Setup!$N$50))+$A27/1000)))</f>
        <v/>
      </c>
      <c r="H27">
        <f>IF(OR(Setup!$E$50="",Setup!$G$50="",Setup!$F$50=""),"",IF(AND(Setup!$F$50="Once",H$1&gt;0),"",IF(OR(IF(Setup!$M$50&gt;0,Setup!$G$50+(Setup!$O$50+H$1)*Setup!$M$50,EDATE(Setup!$G$50,(Setup!$O$50+H$1)*Setup!$N$50))&gt;Setup!$P$50,IF(Setup!$M$50&gt;0,Setup!$G$50+(Setup!$O$50+H$1)*Setup!$M$50,EDATE(Setup!$G$50,(Setup!$O$50+H$1)*Setup!$N$50))&lt;Setup!$D$5),"",IF(Setup!$M$50&gt;0,Setup!$G$50+(Setup!$O$50+H$1)*Setup!$M$50,EDATE(Setup!$G$50,(Setup!$O$50+H$1)*Setup!$N$50))+$A27/1000)))</f>
        <v/>
      </c>
      <c r="I27">
        <f>IF(OR(Setup!$E$50="",Setup!$G$50="",Setup!$F$50=""),"",IF(AND(Setup!$F$50="Once",I$1&gt;0),"",IF(OR(IF(Setup!$M$50&gt;0,Setup!$G$50+(Setup!$O$50+I$1)*Setup!$M$50,EDATE(Setup!$G$50,(Setup!$O$50+I$1)*Setup!$N$50))&gt;Setup!$P$50,IF(Setup!$M$50&gt;0,Setup!$G$50+(Setup!$O$50+I$1)*Setup!$M$50,EDATE(Setup!$G$50,(Setup!$O$50+I$1)*Setup!$N$50))&lt;Setup!$D$5),"",IF(Setup!$M$50&gt;0,Setup!$G$50+(Setup!$O$50+I$1)*Setup!$M$50,EDATE(Setup!$G$50,(Setup!$O$50+I$1)*Setup!$N$50))+$A27/1000)))</f>
        <v/>
      </c>
      <c r="J27">
        <f>IF(OR(Setup!$E$50="",Setup!$G$50="",Setup!$F$50=""),"",IF(AND(Setup!$F$50="Once",J$1&gt;0),"",IF(OR(IF(Setup!$M$50&gt;0,Setup!$G$50+(Setup!$O$50+J$1)*Setup!$M$50,EDATE(Setup!$G$50,(Setup!$O$50+J$1)*Setup!$N$50))&gt;Setup!$P$50,IF(Setup!$M$50&gt;0,Setup!$G$50+(Setup!$O$50+J$1)*Setup!$M$50,EDATE(Setup!$G$50,(Setup!$O$50+J$1)*Setup!$N$50))&lt;Setup!$D$5),"",IF(Setup!$M$50&gt;0,Setup!$G$50+(Setup!$O$50+J$1)*Setup!$M$50,EDATE(Setup!$G$50,(Setup!$O$50+J$1)*Setup!$N$50))+$A27/1000)))</f>
        <v/>
      </c>
      <c r="K27">
        <f>IF(OR(Setup!$E$50="",Setup!$G$50="",Setup!$F$50=""),"",IF(AND(Setup!$F$50="Once",K$1&gt;0),"",IF(OR(IF(Setup!$M$50&gt;0,Setup!$G$50+(Setup!$O$50+K$1)*Setup!$M$50,EDATE(Setup!$G$50,(Setup!$O$50+K$1)*Setup!$N$50))&gt;Setup!$P$50,IF(Setup!$M$50&gt;0,Setup!$G$50+(Setup!$O$50+K$1)*Setup!$M$50,EDATE(Setup!$G$50,(Setup!$O$50+K$1)*Setup!$N$50))&lt;Setup!$D$5),"",IF(Setup!$M$50&gt;0,Setup!$G$50+(Setup!$O$50+K$1)*Setup!$M$50,EDATE(Setup!$G$50,(Setup!$O$50+K$1)*Setup!$N$50))+$A27/1000)))</f>
        <v/>
      </c>
      <c r="L27">
        <f>IF(OR(Setup!$E$50="",Setup!$G$50="",Setup!$F$50=""),"",IF(AND(Setup!$F$50="Once",L$1&gt;0),"",IF(OR(IF(Setup!$M$50&gt;0,Setup!$G$50+(Setup!$O$50+L$1)*Setup!$M$50,EDATE(Setup!$G$50,(Setup!$O$50+L$1)*Setup!$N$50))&gt;Setup!$P$50,IF(Setup!$M$50&gt;0,Setup!$G$50+(Setup!$O$50+L$1)*Setup!$M$50,EDATE(Setup!$G$50,(Setup!$O$50+L$1)*Setup!$N$50))&lt;Setup!$D$5),"",IF(Setup!$M$50&gt;0,Setup!$G$50+(Setup!$O$50+L$1)*Setup!$M$50,EDATE(Setup!$G$50,(Setup!$O$50+L$1)*Setup!$N$50))+$A27/1000)))</f>
        <v/>
      </c>
      <c r="M27">
        <f>IF(OR(Setup!$E$50="",Setup!$G$50="",Setup!$F$50=""),"",IF(AND(Setup!$F$50="Once",M$1&gt;0),"",IF(OR(IF(Setup!$M$50&gt;0,Setup!$G$50+(Setup!$O$50+M$1)*Setup!$M$50,EDATE(Setup!$G$50,(Setup!$O$50+M$1)*Setup!$N$50))&gt;Setup!$P$50,IF(Setup!$M$50&gt;0,Setup!$G$50+(Setup!$O$50+M$1)*Setup!$M$50,EDATE(Setup!$G$50,(Setup!$O$50+M$1)*Setup!$N$50))&lt;Setup!$D$5),"",IF(Setup!$M$50&gt;0,Setup!$G$50+(Setup!$O$50+M$1)*Setup!$M$50,EDATE(Setup!$G$50,(Setup!$O$50+M$1)*Setup!$N$50))+$A27/1000)))</f>
        <v/>
      </c>
      <c r="N27">
        <f>IF(OR(Setup!$E$50="",Setup!$G$50="",Setup!$F$50=""),"",IF(AND(Setup!$F$50="Once",N$1&gt;0),"",IF(OR(IF(Setup!$M$50&gt;0,Setup!$G$50+(Setup!$O$50+N$1)*Setup!$M$50,EDATE(Setup!$G$50,(Setup!$O$50+N$1)*Setup!$N$50))&gt;Setup!$P$50,IF(Setup!$M$50&gt;0,Setup!$G$50+(Setup!$O$50+N$1)*Setup!$M$50,EDATE(Setup!$G$50,(Setup!$O$50+N$1)*Setup!$N$50))&lt;Setup!$D$5),"",IF(Setup!$M$50&gt;0,Setup!$G$50+(Setup!$O$50+N$1)*Setup!$M$50,EDATE(Setup!$G$50,(Setup!$O$50+N$1)*Setup!$N$50))+$A27/1000)))</f>
        <v/>
      </c>
      <c r="O27">
        <f>IF(OR(Setup!$E$50="",Setup!$G$50="",Setup!$F$50=""),"",IF(AND(Setup!$F$50="Once",O$1&gt;0),"",IF(OR(IF(Setup!$M$50&gt;0,Setup!$G$50+(Setup!$O$50+O$1)*Setup!$M$50,EDATE(Setup!$G$50,(Setup!$O$50+O$1)*Setup!$N$50))&gt;Setup!$P$50,IF(Setup!$M$50&gt;0,Setup!$G$50+(Setup!$O$50+O$1)*Setup!$M$50,EDATE(Setup!$G$50,(Setup!$O$50+O$1)*Setup!$N$50))&lt;Setup!$D$5),"",IF(Setup!$M$50&gt;0,Setup!$G$50+(Setup!$O$50+O$1)*Setup!$M$50,EDATE(Setup!$G$50,(Setup!$O$50+O$1)*Setup!$N$50))+$A27/1000)))</f>
        <v/>
      </c>
      <c r="P27">
        <f>IF(OR(Setup!$E$50="",Setup!$G$50="",Setup!$F$50=""),"",IF(AND(Setup!$F$50="Once",P$1&gt;0),"",IF(OR(IF(Setup!$M$50&gt;0,Setup!$G$50+(Setup!$O$50+P$1)*Setup!$M$50,EDATE(Setup!$G$50,(Setup!$O$50+P$1)*Setup!$N$50))&gt;Setup!$P$50,IF(Setup!$M$50&gt;0,Setup!$G$50+(Setup!$O$50+P$1)*Setup!$M$50,EDATE(Setup!$G$50,(Setup!$O$50+P$1)*Setup!$N$50))&lt;Setup!$D$5),"",IF(Setup!$M$50&gt;0,Setup!$G$50+(Setup!$O$50+P$1)*Setup!$M$50,EDATE(Setup!$G$50,(Setup!$O$50+P$1)*Setup!$N$50))+$A27/1000)))</f>
        <v/>
      </c>
      <c r="Q27">
        <f>IF(OR(Setup!$E$50="",Setup!$G$50="",Setup!$F$50=""),"",IF(AND(Setup!$F$50="Once",Q$1&gt;0),"",IF(OR(IF(Setup!$M$50&gt;0,Setup!$G$50+(Setup!$O$50+Q$1)*Setup!$M$50,EDATE(Setup!$G$50,(Setup!$O$50+Q$1)*Setup!$N$50))&gt;Setup!$P$50,IF(Setup!$M$50&gt;0,Setup!$G$50+(Setup!$O$50+Q$1)*Setup!$M$50,EDATE(Setup!$G$50,(Setup!$O$50+Q$1)*Setup!$N$50))&lt;Setup!$D$5),"",IF(Setup!$M$50&gt;0,Setup!$G$50+(Setup!$O$50+Q$1)*Setup!$M$50,EDATE(Setup!$G$50,(Setup!$O$50+Q$1)*Setup!$N$50))+$A27/1000)))</f>
        <v/>
      </c>
      <c r="R27">
        <f>IF(OR(Setup!$E$50="",Setup!$G$50="",Setup!$F$50=""),"",IF(AND(Setup!$F$50="Once",R$1&gt;0),"",IF(OR(IF(Setup!$M$50&gt;0,Setup!$G$50+(Setup!$O$50+R$1)*Setup!$M$50,EDATE(Setup!$G$50,(Setup!$O$50+R$1)*Setup!$N$50))&gt;Setup!$P$50,IF(Setup!$M$50&gt;0,Setup!$G$50+(Setup!$O$50+R$1)*Setup!$M$50,EDATE(Setup!$G$50,(Setup!$O$50+R$1)*Setup!$N$50))&lt;Setup!$D$5),"",IF(Setup!$M$50&gt;0,Setup!$G$50+(Setup!$O$50+R$1)*Setup!$M$50,EDATE(Setup!$G$50,(Setup!$O$50+R$1)*Setup!$N$50))+$A27/1000)))</f>
        <v/>
      </c>
      <c r="S27">
        <f>IF(OR(Setup!$E$50="",Setup!$G$50="",Setup!$F$50=""),"",IF(AND(Setup!$F$50="Once",S$1&gt;0),"",IF(OR(IF(Setup!$M$50&gt;0,Setup!$G$50+(Setup!$O$50+S$1)*Setup!$M$50,EDATE(Setup!$G$50,(Setup!$O$50+S$1)*Setup!$N$50))&gt;Setup!$P$50,IF(Setup!$M$50&gt;0,Setup!$G$50+(Setup!$O$50+S$1)*Setup!$M$50,EDATE(Setup!$G$50,(Setup!$O$50+S$1)*Setup!$N$50))&lt;Setup!$D$5),"",IF(Setup!$M$50&gt;0,Setup!$G$50+(Setup!$O$50+S$1)*Setup!$M$50,EDATE(Setup!$G$50,(Setup!$O$50+S$1)*Setup!$N$50))+$A27/1000)))</f>
        <v/>
      </c>
      <c r="T27">
        <f>IF(OR(Setup!$E$50="",Setup!$G$50="",Setup!$F$50=""),"",IF(AND(Setup!$F$50="Once",T$1&gt;0),"",IF(OR(IF(Setup!$M$50&gt;0,Setup!$G$50+(Setup!$O$50+T$1)*Setup!$M$50,EDATE(Setup!$G$50,(Setup!$O$50+T$1)*Setup!$N$50))&gt;Setup!$P$50,IF(Setup!$M$50&gt;0,Setup!$G$50+(Setup!$O$50+T$1)*Setup!$M$50,EDATE(Setup!$G$50,(Setup!$O$50+T$1)*Setup!$N$50))&lt;Setup!$D$5),"",IF(Setup!$M$50&gt;0,Setup!$G$50+(Setup!$O$50+T$1)*Setup!$M$50,EDATE(Setup!$G$50,(Setup!$O$50+T$1)*Setup!$N$50))+$A27/1000)))</f>
        <v/>
      </c>
      <c r="U27">
        <f>IF(OR(Setup!$E$50="",Setup!$G$50="",Setup!$F$50=""),"",IF(AND(Setup!$F$50="Once",U$1&gt;0),"",IF(OR(IF(Setup!$M$50&gt;0,Setup!$G$50+(Setup!$O$50+U$1)*Setup!$M$50,EDATE(Setup!$G$50,(Setup!$O$50+U$1)*Setup!$N$50))&gt;Setup!$P$50,IF(Setup!$M$50&gt;0,Setup!$G$50+(Setup!$O$50+U$1)*Setup!$M$50,EDATE(Setup!$G$50,(Setup!$O$50+U$1)*Setup!$N$50))&lt;Setup!$D$5),"",IF(Setup!$M$50&gt;0,Setup!$G$50+(Setup!$O$50+U$1)*Setup!$M$50,EDATE(Setup!$G$50,(Setup!$O$50+U$1)*Setup!$N$50))+$A27/1000)))</f>
        <v/>
      </c>
      <c r="V27">
        <f>IF(OR(Setup!$E$50="",Setup!$G$50="",Setup!$F$50=""),"",IF(AND(Setup!$F$50="Once",V$1&gt;0),"",IF(OR(IF(Setup!$M$50&gt;0,Setup!$G$50+(Setup!$O$50+V$1)*Setup!$M$50,EDATE(Setup!$G$50,(Setup!$O$50+V$1)*Setup!$N$50))&gt;Setup!$P$50,IF(Setup!$M$50&gt;0,Setup!$G$50+(Setup!$O$50+V$1)*Setup!$M$50,EDATE(Setup!$G$50,(Setup!$O$50+V$1)*Setup!$N$50))&lt;Setup!$D$5),"",IF(Setup!$M$50&gt;0,Setup!$G$50+(Setup!$O$50+V$1)*Setup!$M$50,EDATE(Setup!$G$50,(Setup!$O$50+V$1)*Setup!$N$50))+$A27/1000)))</f>
        <v/>
      </c>
      <c r="W27">
        <f>IF(OR(Setup!$E$50="",Setup!$G$50="",Setup!$F$50=""),"",IF(AND(Setup!$F$50="Once",W$1&gt;0),"",IF(OR(IF(Setup!$M$50&gt;0,Setup!$G$50+(Setup!$O$50+W$1)*Setup!$M$50,EDATE(Setup!$G$50,(Setup!$O$50+W$1)*Setup!$N$50))&gt;Setup!$P$50,IF(Setup!$M$50&gt;0,Setup!$G$50+(Setup!$O$50+W$1)*Setup!$M$50,EDATE(Setup!$G$50,(Setup!$O$50+W$1)*Setup!$N$50))&lt;Setup!$D$5),"",IF(Setup!$M$50&gt;0,Setup!$G$50+(Setup!$O$50+W$1)*Setup!$M$50,EDATE(Setup!$G$50,(Setup!$O$50+W$1)*Setup!$N$50))+$A27/1000)))</f>
        <v/>
      </c>
      <c r="X27">
        <f>IF(OR(Setup!$E$50="",Setup!$G$50="",Setup!$F$50=""),"",IF(AND(Setup!$F$50="Once",X$1&gt;0),"",IF(OR(IF(Setup!$M$50&gt;0,Setup!$G$50+(Setup!$O$50+X$1)*Setup!$M$50,EDATE(Setup!$G$50,(Setup!$O$50+X$1)*Setup!$N$50))&gt;Setup!$P$50,IF(Setup!$M$50&gt;0,Setup!$G$50+(Setup!$O$50+X$1)*Setup!$M$50,EDATE(Setup!$G$50,(Setup!$O$50+X$1)*Setup!$N$50))&lt;Setup!$D$5),"",IF(Setup!$M$50&gt;0,Setup!$G$50+(Setup!$O$50+X$1)*Setup!$M$50,EDATE(Setup!$G$50,(Setup!$O$50+X$1)*Setup!$N$50))+$A27/1000)))</f>
        <v/>
      </c>
      <c r="Y27">
        <f>IF(OR(Setup!$E$50="",Setup!$G$50="",Setup!$F$50=""),"",IF(AND(Setup!$F$50="Once",Y$1&gt;0),"",IF(OR(IF(Setup!$M$50&gt;0,Setup!$G$50+(Setup!$O$50+Y$1)*Setup!$M$50,EDATE(Setup!$G$50,(Setup!$O$50+Y$1)*Setup!$N$50))&gt;Setup!$P$50,IF(Setup!$M$50&gt;0,Setup!$G$50+(Setup!$O$50+Y$1)*Setup!$M$50,EDATE(Setup!$G$50,(Setup!$O$50+Y$1)*Setup!$N$50))&lt;Setup!$D$5),"",IF(Setup!$M$50&gt;0,Setup!$G$50+(Setup!$O$50+Y$1)*Setup!$M$50,EDATE(Setup!$G$50,(Setup!$O$50+Y$1)*Setup!$N$50))+$A27/1000)))</f>
        <v/>
      </c>
      <c r="Z27">
        <f>IF(OR(Setup!$E$50="",Setup!$G$50="",Setup!$F$50=""),"",IF(AND(Setup!$F$50="Once",Z$1&gt;0),"",IF(OR(IF(Setup!$M$50&gt;0,Setup!$G$50+(Setup!$O$50+Z$1)*Setup!$M$50,EDATE(Setup!$G$50,(Setup!$O$50+Z$1)*Setup!$N$50))&gt;Setup!$P$50,IF(Setup!$M$50&gt;0,Setup!$G$50+(Setup!$O$50+Z$1)*Setup!$M$50,EDATE(Setup!$G$50,(Setup!$O$50+Z$1)*Setup!$N$50))&lt;Setup!$D$5),"",IF(Setup!$M$50&gt;0,Setup!$G$50+(Setup!$O$50+Z$1)*Setup!$M$50,EDATE(Setup!$G$50,(Setup!$O$50+Z$1)*Setup!$N$50))+$A27/1000)))</f>
        <v/>
      </c>
      <c r="AA27">
        <f>IF(OR(Setup!$E$50="",Setup!$G$50="",Setup!$F$50=""),"",IF(AND(Setup!$F$50="Once",AA$1&gt;0),"",IF(OR(IF(Setup!$M$50&gt;0,Setup!$G$50+(Setup!$O$50+AA$1)*Setup!$M$50,EDATE(Setup!$G$50,(Setup!$O$50+AA$1)*Setup!$N$50))&gt;Setup!$P$50,IF(Setup!$M$50&gt;0,Setup!$G$50+(Setup!$O$50+AA$1)*Setup!$M$50,EDATE(Setup!$G$50,(Setup!$O$50+AA$1)*Setup!$N$50))&lt;Setup!$D$5),"",IF(Setup!$M$50&gt;0,Setup!$G$50+(Setup!$O$50+AA$1)*Setup!$M$50,EDATE(Setup!$G$50,(Setup!$O$50+AA$1)*Setup!$N$50))+$A27/1000)))</f>
        <v/>
      </c>
      <c r="AB27">
        <f>IF(OR(Setup!$E$50="",Setup!$G$50="",Setup!$F$50=""),"",IF(AND(Setup!$F$50="Once",AB$1&gt;0),"",IF(OR(IF(Setup!$M$50&gt;0,Setup!$G$50+(Setup!$O$50+AB$1)*Setup!$M$50,EDATE(Setup!$G$50,(Setup!$O$50+AB$1)*Setup!$N$50))&gt;Setup!$P$50,IF(Setup!$M$50&gt;0,Setup!$G$50+(Setup!$O$50+AB$1)*Setup!$M$50,EDATE(Setup!$G$50,(Setup!$O$50+AB$1)*Setup!$N$50))&lt;Setup!$D$5),"",IF(Setup!$M$50&gt;0,Setup!$G$50+(Setup!$O$50+AB$1)*Setup!$M$50,EDATE(Setup!$G$50,(Setup!$O$50+AB$1)*Setup!$N$50))+$A27/1000)))</f>
        <v/>
      </c>
      <c r="AC27">
        <f>IF(OR(Setup!$E$50="",Setup!$G$50="",Setup!$F$50=""),"",IF(AND(Setup!$F$50="Once",AC$1&gt;0),"",IF(OR(IF(Setup!$M$50&gt;0,Setup!$G$50+(Setup!$O$50+AC$1)*Setup!$M$50,EDATE(Setup!$G$50,(Setup!$O$50+AC$1)*Setup!$N$50))&gt;Setup!$P$50,IF(Setup!$M$50&gt;0,Setup!$G$50+(Setup!$O$50+AC$1)*Setup!$M$50,EDATE(Setup!$G$50,(Setup!$O$50+AC$1)*Setup!$N$50))&lt;Setup!$D$5),"",IF(Setup!$M$50&gt;0,Setup!$G$50+(Setup!$O$50+AC$1)*Setup!$M$50,EDATE(Setup!$G$50,(Setup!$O$50+AC$1)*Setup!$N$50))+$A27/1000)))</f>
        <v/>
      </c>
      <c r="AD27">
        <f>IF(OR(Setup!$E$50="",Setup!$G$50="",Setup!$F$50=""),"",IF(AND(Setup!$F$50="Once",AD$1&gt;0),"",IF(OR(IF(Setup!$M$50&gt;0,Setup!$G$50+(Setup!$O$50+AD$1)*Setup!$M$50,EDATE(Setup!$G$50,(Setup!$O$50+AD$1)*Setup!$N$50))&gt;Setup!$P$50,IF(Setup!$M$50&gt;0,Setup!$G$50+(Setup!$O$50+AD$1)*Setup!$M$50,EDATE(Setup!$G$50,(Setup!$O$50+AD$1)*Setup!$N$50))&lt;Setup!$D$5),"",IF(Setup!$M$50&gt;0,Setup!$G$50+(Setup!$O$50+AD$1)*Setup!$M$50,EDATE(Setup!$G$50,(Setup!$O$50+AD$1)*Setup!$N$50))+$A27/1000)))</f>
        <v/>
      </c>
      <c r="AE27">
        <f>IF(OR(Setup!$E$50="",Setup!$G$50="",Setup!$F$50=""),"",IF(AND(Setup!$F$50="Once",AE$1&gt;0),"",IF(OR(IF(Setup!$M$50&gt;0,Setup!$G$50+(Setup!$O$50+AE$1)*Setup!$M$50,EDATE(Setup!$G$50,(Setup!$O$50+AE$1)*Setup!$N$50))&gt;Setup!$P$50,IF(Setup!$M$50&gt;0,Setup!$G$50+(Setup!$O$50+AE$1)*Setup!$M$50,EDATE(Setup!$G$50,(Setup!$O$50+AE$1)*Setup!$N$50))&lt;Setup!$D$5),"",IF(Setup!$M$50&gt;0,Setup!$G$50+(Setup!$O$50+AE$1)*Setup!$M$50,EDATE(Setup!$G$50,(Setup!$O$50+AE$1)*Setup!$N$50))+$A27/1000)))</f>
        <v/>
      </c>
      <c r="AF27">
        <f>IF(OR(Setup!$E$50="",Setup!$G$50="",Setup!$F$50=""),"",IF(AND(Setup!$F$50="Once",AF$1&gt;0),"",IF(OR(IF(Setup!$M$50&gt;0,Setup!$G$50+(Setup!$O$50+AF$1)*Setup!$M$50,EDATE(Setup!$G$50,(Setup!$O$50+AF$1)*Setup!$N$50))&gt;Setup!$P$50,IF(Setup!$M$50&gt;0,Setup!$G$50+(Setup!$O$50+AF$1)*Setup!$M$50,EDATE(Setup!$G$50,(Setup!$O$50+AF$1)*Setup!$N$50))&lt;Setup!$D$5),"",IF(Setup!$M$50&gt;0,Setup!$G$50+(Setup!$O$50+AF$1)*Setup!$M$50,EDATE(Setup!$G$50,(Setup!$O$50+AF$1)*Setup!$N$50))+$A27/1000)))</f>
        <v/>
      </c>
      <c r="AG27">
        <f>IF(OR(Setup!$E$50="",Setup!$G$50="",Setup!$F$50=""),"",IF(AND(Setup!$F$50="Once",AG$1&gt;0),"",IF(OR(IF(Setup!$M$50&gt;0,Setup!$G$50+(Setup!$O$50+AG$1)*Setup!$M$50,EDATE(Setup!$G$50,(Setup!$O$50+AG$1)*Setup!$N$50))&gt;Setup!$P$50,IF(Setup!$M$50&gt;0,Setup!$G$50+(Setup!$O$50+AG$1)*Setup!$M$50,EDATE(Setup!$G$50,(Setup!$O$50+AG$1)*Setup!$N$50))&lt;Setup!$D$5),"",IF(Setup!$M$50&gt;0,Setup!$G$50+(Setup!$O$50+AG$1)*Setup!$M$50,EDATE(Setup!$G$50,(Setup!$O$50+AG$1)*Setup!$N$50))+$A27/1000)))</f>
        <v/>
      </c>
      <c r="AH27">
        <f>IF(OR(Setup!$E$50="",Setup!$G$50="",Setup!$F$50=""),"",IF(AND(Setup!$F$50="Once",AH$1&gt;0),"",IF(OR(IF(Setup!$M$50&gt;0,Setup!$G$50+(Setup!$O$50+AH$1)*Setup!$M$50,EDATE(Setup!$G$50,(Setup!$O$50+AH$1)*Setup!$N$50))&gt;Setup!$P$50,IF(Setup!$M$50&gt;0,Setup!$G$50+(Setup!$O$50+AH$1)*Setup!$M$50,EDATE(Setup!$G$50,(Setup!$O$50+AH$1)*Setup!$N$50))&lt;Setup!$D$5),"",IF(Setup!$M$50&gt;0,Setup!$G$50+(Setup!$O$50+AH$1)*Setup!$M$50,EDATE(Setup!$G$50,(Setup!$O$50+AH$1)*Setup!$N$50))+$A27/1000)))</f>
        <v/>
      </c>
      <c r="AI27">
        <f>IF(OR(Setup!$E$50="",Setup!$G$50="",Setup!$F$50=""),"",IF(AND(Setup!$F$50="Once",AI$1&gt;0),"",IF(OR(IF(Setup!$M$50&gt;0,Setup!$G$50+(Setup!$O$50+AI$1)*Setup!$M$50,EDATE(Setup!$G$50,(Setup!$O$50+AI$1)*Setup!$N$50))&gt;Setup!$P$50,IF(Setup!$M$50&gt;0,Setup!$G$50+(Setup!$O$50+AI$1)*Setup!$M$50,EDATE(Setup!$G$50,(Setup!$O$50+AI$1)*Setup!$N$50))&lt;Setup!$D$5),"",IF(Setup!$M$50&gt;0,Setup!$G$50+(Setup!$O$50+AI$1)*Setup!$M$50,EDATE(Setup!$G$50,(Setup!$O$50+AI$1)*Setup!$N$50))+$A27/1000)))</f>
        <v/>
      </c>
      <c r="AJ27">
        <f>IF(OR(Setup!$E$50="",Setup!$G$50="",Setup!$F$50=""),"",IF(AND(Setup!$F$50="Once",AJ$1&gt;0),"",IF(OR(IF(Setup!$M$50&gt;0,Setup!$G$50+(Setup!$O$50+AJ$1)*Setup!$M$50,EDATE(Setup!$G$50,(Setup!$O$50+AJ$1)*Setup!$N$50))&gt;Setup!$P$50,IF(Setup!$M$50&gt;0,Setup!$G$50+(Setup!$O$50+AJ$1)*Setup!$M$50,EDATE(Setup!$G$50,(Setup!$O$50+AJ$1)*Setup!$N$50))&lt;Setup!$D$5),"",IF(Setup!$M$50&gt;0,Setup!$G$50+(Setup!$O$50+AJ$1)*Setup!$M$50,EDATE(Setup!$G$50,(Setup!$O$50+AJ$1)*Setup!$N$50))+$A27/1000)))</f>
        <v/>
      </c>
      <c r="AK27">
        <f>IF(OR(Setup!$E$50="",Setup!$G$50="",Setup!$F$50=""),"",IF(AND(Setup!$F$50="Once",AK$1&gt;0),"",IF(OR(IF(Setup!$M$50&gt;0,Setup!$G$50+(Setup!$O$50+AK$1)*Setup!$M$50,EDATE(Setup!$G$50,(Setup!$O$50+AK$1)*Setup!$N$50))&gt;Setup!$P$50,IF(Setup!$M$50&gt;0,Setup!$G$50+(Setup!$O$50+AK$1)*Setup!$M$50,EDATE(Setup!$G$50,(Setup!$O$50+AK$1)*Setup!$N$50))&lt;Setup!$D$5),"",IF(Setup!$M$50&gt;0,Setup!$G$50+(Setup!$O$50+AK$1)*Setup!$M$50,EDATE(Setup!$G$50,(Setup!$O$50+AK$1)*Setup!$N$50))+$A27/1000)))</f>
        <v/>
      </c>
      <c r="AL27">
        <f>IF(OR(Setup!$E$50="",Setup!$G$50="",Setup!$F$50=""),"",IF(AND(Setup!$F$50="Once",AL$1&gt;0),"",IF(OR(IF(Setup!$M$50&gt;0,Setup!$G$50+(Setup!$O$50+AL$1)*Setup!$M$50,EDATE(Setup!$G$50,(Setup!$O$50+AL$1)*Setup!$N$50))&gt;Setup!$P$50,IF(Setup!$M$50&gt;0,Setup!$G$50+(Setup!$O$50+AL$1)*Setup!$M$50,EDATE(Setup!$G$50,(Setup!$O$50+AL$1)*Setup!$N$50))&lt;Setup!$D$5),"",IF(Setup!$M$50&gt;0,Setup!$G$50+(Setup!$O$50+AL$1)*Setup!$M$50,EDATE(Setup!$G$50,(Setup!$O$50+AL$1)*Setup!$N$50))+$A27/1000)))</f>
        <v/>
      </c>
      <c r="AM27">
        <f>IF(OR(Setup!$E$50="",Setup!$G$50="",Setup!$F$50=""),"",IF(AND(Setup!$F$50="Once",AM$1&gt;0),"",IF(OR(IF(Setup!$M$50&gt;0,Setup!$G$50+(Setup!$O$50+AM$1)*Setup!$M$50,EDATE(Setup!$G$50,(Setup!$O$50+AM$1)*Setup!$N$50))&gt;Setup!$P$50,IF(Setup!$M$50&gt;0,Setup!$G$50+(Setup!$O$50+AM$1)*Setup!$M$50,EDATE(Setup!$G$50,(Setup!$O$50+AM$1)*Setup!$N$50))&lt;Setup!$D$5),"",IF(Setup!$M$50&gt;0,Setup!$G$50+(Setup!$O$50+AM$1)*Setup!$M$50,EDATE(Setup!$G$50,(Setup!$O$50+AM$1)*Setup!$N$50))+$A27/1000)))</f>
        <v/>
      </c>
      <c r="AN27">
        <f>IF(OR(Setup!$E$50="",Setup!$G$50="",Setup!$F$50=""),"",IF(AND(Setup!$F$50="Once",AN$1&gt;0),"",IF(OR(IF(Setup!$M$50&gt;0,Setup!$G$50+(Setup!$O$50+AN$1)*Setup!$M$50,EDATE(Setup!$G$50,(Setup!$O$50+AN$1)*Setup!$N$50))&gt;Setup!$P$50,IF(Setup!$M$50&gt;0,Setup!$G$50+(Setup!$O$50+AN$1)*Setup!$M$50,EDATE(Setup!$G$50,(Setup!$O$50+AN$1)*Setup!$N$50))&lt;Setup!$D$5),"",IF(Setup!$M$50&gt;0,Setup!$G$50+(Setup!$O$50+AN$1)*Setup!$M$50,EDATE(Setup!$G$50,(Setup!$O$50+AN$1)*Setup!$N$50))+$A27/1000)))</f>
        <v/>
      </c>
      <c r="AO27">
        <f>IF(OR(Setup!$E$50="",Setup!$G$50="",Setup!$F$50=""),"",IF(AND(Setup!$F$50="Once",AO$1&gt;0),"",IF(OR(IF(Setup!$M$50&gt;0,Setup!$G$50+(Setup!$O$50+AO$1)*Setup!$M$50,EDATE(Setup!$G$50,(Setup!$O$50+AO$1)*Setup!$N$50))&gt;Setup!$P$50,IF(Setup!$M$50&gt;0,Setup!$G$50+(Setup!$O$50+AO$1)*Setup!$M$50,EDATE(Setup!$G$50,(Setup!$O$50+AO$1)*Setup!$N$50))&lt;Setup!$D$5),"",IF(Setup!$M$50&gt;0,Setup!$G$50+(Setup!$O$50+AO$1)*Setup!$M$50,EDATE(Setup!$G$50,(Setup!$O$50+AO$1)*Setup!$N$50))+$A27/1000)))</f>
        <v/>
      </c>
      <c r="AP27">
        <f>IF(OR(Setup!$E$50="",Setup!$G$50="",Setup!$F$50=""),"",IF(AND(Setup!$F$50="Once",AP$1&gt;0),"",IF(OR(IF(Setup!$M$50&gt;0,Setup!$G$50+(Setup!$O$50+AP$1)*Setup!$M$50,EDATE(Setup!$G$50,(Setup!$O$50+AP$1)*Setup!$N$50))&gt;Setup!$P$50,IF(Setup!$M$50&gt;0,Setup!$G$50+(Setup!$O$50+AP$1)*Setup!$M$50,EDATE(Setup!$G$50,(Setup!$O$50+AP$1)*Setup!$N$50))&lt;Setup!$D$5),"",IF(Setup!$M$50&gt;0,Setup!$G$50+(Setup!$O$50+AP$1)*Setup!$M$50,EDATE(Setup!$G$50,(Setup!$O$50+AP$1)*Setup!$N$50))+$A27/1000)))</f>
        <v/>
      </c>
      <c r="AQ27">
        <f>IF(OR(Setup!$E$50="",Setup!$G$50="",Setup!$F$50=""),"",IF(AND(Setup!$F$50="Once",AQ$1&gt;0),"",IF(OR(IF(Setup!$M$50&gt;0,Setup!$G$50+(Setup!$O$50+AQ$1)*Setup!$M$50,EDATE(Setup!$G$50,(Setup!$O$50+AQ$1)*Setup!$N$50))&gt;Setup!$P$50,IF(Setup!$M$50&gt;0,Setup!$G$50+(Setup!$O$50+AQ$1)*Setup!$M$50,EDATE(Setup!$G$50,(Setup!$O$50+AQ$1)*Setup!$N$50))&lt;Setup!$D$5),"",IF(Setup!$M$50&gt;0,Setup!$G$50+(Setup!$O$50+AQ$1)*Setup!$M$50,EDATE(Setup!$G$50,(Setup!$O$50+AQ$1)*Setup!$N$50))+$A27/1000)))</f>
        <v/>
      </c>
      <c r="AR27">
        <f>IF(OR(Setup!$E$50="",Setup!$G$50="",Setup!$F$50=""),"",IF(AND(Setup!$F$50="Once",AR$1&gt;0),"",IF(OR(IF(Setup!$M$50&gt;0,Setup!$G$50+(Setup!$O$50+AR$1)*Setup!$M$50,EDATE(Setup!$G$50,(Setup!$O$50+AR$1)*Setup!$N$50))&gt;Setup!$P$50,IF(Setup!$M$50&gt;0,Setup!$G$50+(Setup!$O$50+AR$1)*Setup!$M$50,EDATE(Setup!$G$50,(Setup!$O$50+AR$1)*Setup!$N$50))&lt;Setup!$D$5),"",IF(Setup!$M$50&gt;0,Setup!$G$50+(Setup!$O$50+AR$1)*Setup!$M$50,EDATE(Setup!$G$50,(Setup!$O$50+AR$1)*Setup!$N$50))+$A27/1000)))</f>
        <v/>
      </c>
      <c r="AS27">
        <f>IF(OR(Setup!$E$50="",Setup!$G$50="",Setup!$F$50=""),"",IF(AND(Setup!$F$50="Once",AS$1&gt;0),"",IF(OR(IF(Setup!$M$50&gt;0,Setup!$G$50+(Setup!$O$50+AS$1)*Setup!$M$50,EDATE(Setup!$G$50,(Setup!$O$50+AS$1)*Setup!$N$50))&gt;Setup!$P$50,IF(Setup!$M$50&gt;0,Setup!$G$50+(Setup!$O$50+AS$1)*Setup!$M$50,EDATE(Setup!$G$50,(Setup!$O$50+AS$1)*Setup!$N$50))&lt;Setup!$D$5),"",IF(Setup!$M$50&gt;0,Setup!$G$50+(Setup!$O$50+AS$1)*Setup!$M$50,EDATE(Setup!$G$50,(Setup!$O$50+AS$1)*Setup!$N$50))+$A27/1000)))</f>
        <v/>
      </c>
      <c r="AT27">
        <f>IF(OR(Setup!$E$50="",Setup!$G$50="",Setup!$F$50=""),"",IF(AND(Setup!$F$50="Once",AT$1&gt;0),"",IF(OR(IF(Setup!$M$50&gt;0,Setup!$G$50+(Setup!$O$50+AT$1)*Setup!$M$50,EDATE(Setup!$G$50,(Setup!$O$50+AT$1)*Setup!$N$50))&gt;Setup!$P$50,IF(Setup!$M$50&gt;0,Setup!$G$50+(Setup!$O$50+AT$1)*Setup!$M$50,EDATE(Setup!$G$50,(Setup!$O$50+AT$1)*Setup!$N$50))&lt;Setup!$D$5),"",IF(Setup!$M$50&gt;0,Setup!$G$50+(Setup!$O$50+AT$1)*Setup!$M$50,EDATE(Setup!$G$50,(Setup!$O$50+AT$1)*Setup!$N$50))+$A27/1000)))</f>
        <v/>
      </c>
      <c r="AU27">
        <f>IF(OR(Setup!$E$50="",Setup!$G$50="",Setup!$F$50=""),"",IF(AND(Setup!$F$50="Once",AU$1&gt;0),"",IF(OR(IF(Setup!$M$50&gt;0,Setup!$G$50+(Setup!$O$50+AU$1)*Setup!$M$50,EDATE(Setup!$G$50,(Setup!$O$50+AU$1)*Setup!$N$50))&gt;Setup!$P$50,IF(Setup!$M$50&gt;0,Setup!$G$50+(Setup!$O$50+AU$1)*Setup!$M$50,EDATE(Setup!$G$50,(Setup!$O$50+AU$1)*Setup!$N$50))&lt;Setup!$D$5),"",IF(Setup!$M$50&gt;0,Setup!$G$50+(Setup!$O$50+AU$1)*Setup!$M$50,EDATE(Setup!$G$50,(Setup!$O$50+AU$1)*Setup!$N$50))+$A27/1000)))</f>
        <v/>
      </c>
      <c r="AV27">
        <f>IF(OR(Setup!$E$50="",Setup!$G$50="",Setup!$F$50=""),"",IF(AND(Setup!$F$50="Once",AV$1&gt;0),"",IF(OR(IF(Setup!$M$50&gt;0,Setup!$G$50+(Setup!$O$50+AV$1)*Setup!$M$50,EDATE(Setup!$G$50,(Setup!$O$50+AV$1)*Setup!$N$50))&gt;Setup!$P$50,IF(Setup!$M$50&gt;0,Setup!$G$50+(Setup!$O$50+AV$1)*Setup!$M$50,EDATE(Setup!$G$50,(Setup!$O$50+AV$1)*Setup!$N$50))&lt;Setup!$D$5),"",IF(Setup!$M$50&gt;0,Setup!$G$50+(Setup!$O$50+AV$1)*Setup!$M$50,EDATE(Setup!$G$50,(Setup!$O$50+AV$1)*Setup!$N$50))+$A27/1000)))</f>
        <v/>
      </c>
      <c r="AW27">
        <f>IF(OR(Setup!$E$50="",Setup!$G$50="",Setup!$F$50=""),"",IF(AND(Setup!$F$50="Once",AW$1&gt;0),"",IF(OR(IF(Setup!$M$50&gt;0,Setup!$G$50+(Setup!$O$50+AW$1)*Setup!$M$50,EDATE(Setup!$G$50,(Setup!$O$50+AW$1)*Setup!$N$50))&gt;Setup!$P$50,IF(Setup!$M$50&gt;0,Setup!$G$50+(Setup!$O$50+AW$1)*Setup!$M$50,EDATE(Setup!$G$50,(Setup!$O$50+AW$1)*Setup!$N$50))&lt;Setup!$D$5),"",IF(Setup!$M$50&gt;0,Setup!$G$50+(Setup!$O$50+AW$1)*Setup!$M$50,EDATE(Setup!$G$50,(Setup!$O$50+AW$1)*Setup!$N$50))+$A27/1000)))</f>
        <v/>
      </c>
      <c r="AX27">
        <f>IF(OR(Setup!$E$50="",Setup!$G$50="",Setup!$F$50=""),"",IF(AND(Setup!$F$50="Once",AX$1&gt;0),"",IF(OR(IF(Setup!$M$50&gt;0,Setup!$G$50+(Setup!$O$50+AX$1)*Setup!$M$50,EDATE(Setup!$G$50,(Setup!$O$50+AX$1)*Setup!$N$50))&gt;Setup!$P$50,IF(Setup!$M$50&gt;0,Setup!$G$50+(Setup!$O$50+AX$1)*Setup!$M$50,EDATE(Setup!$G$50,(Setup!$O$50+AX$1)*Setup!$N$50))&lt;Setup!$D$5),"",IF(Setup!$M$50&gt;0,Setup!$G$50+(Setup!$O$50+AX$1)*Setup!$M$50,EDATE(Setup!$G$50,(Setup!$O$50+AX$1)*Setup!$N$50))+$A27/1000)))</f>
        <v/>
      </c>
      <c r="AY27">
        <f>IF(OR(Setup!$E$50="",Setup!$G$50="",Setup!$F$50=""),"",IF(AND(Setup!$F$50="Once",AY$1&gt;0),"",IF(OR(IF(Setup!$M$50&gt;0,Setup!$G$50+(Setup!$O$50+AY$1)*Setup!$M$50,EDATE(Setup!$G$50,(Setup!$O$50+AY$1)*Setup!$N$50))&gt;Setup!$P$50,IF(Setup!$M$50&gt;0,Setup!$G$50+(Setup!$O$50+AY$1)*Setup!$M$50,EDATE(Setup!$G$50,(Setup!$O$50+AY$1)*Setup!$N$50))&lt;Setup!$D$5),"",IF(Setup!$M$50&gt;0,Setup!$G$50+(Setup!$O$50+AY$1)*Setup!$M$50,EDATE(Setup!$G$50,(Setup!$O$50+AY$1)*Setup!$N$50))+$A27/1000)))</f>
        <v/>
      </c>
      <c r="AZ27">
        <f>IF(OR(Setup!$E$50="",Setup!$G$50="",Setup!$F$50=""),"",IF(AND(Setup!$F$50="Once",AZ$1&gt;0),"",IF(OR(IF(Setup!$M$50&gt;0,Setup!$G$50+(Setup!$O$50+AZ$1)*Setup!$M$50,EDATE(Setup!$G$50,(Setup!$O$50+AZ$1)*Setup!$N$50))&gt;Setup!$P$50,IF(Setup!$M$50&gt;0,Setup!$G$50+(Setup!$O$50+AZ$1)*Setup!$M$50,EDATE(Setup!$G$50,(Setup!$O$50+AZ$1)*Setup!$N$50))&lt;Setup!$D$5),"",IF(Setup!$M$50&gt;0,Setup!$G$50+(Setup!$O$50+AZ$1)*Setup!$M$50,EDATE(Setup!$G$50,(Setup!$O$50+AZ$1)*Setup!$N$50))+$A27/1000)))</f>
        <v/>
      </c>
      <c r="BA27">
        <f>IF(OR(Setup!$E$50="",Setup!$G$50="",Setup!$F$50=""),"",IF(AND(Setup!$F$50="Once",BA$1&gt;0),"",IF(OR(IF(Setup!$M$50&gt;0,Setup!$G$50+(Setup!$O$50+BA$1)*Setup!$M$50,EDATE(Setup!$G$50,(Setup!$O$50+BA$1)*Setup!$N$50))&gt;Setup!$P$50,IF(Setup!$M$50&gt;0,Setup!$G$50+(Setup!$O$50+BA$1)*Setup!$M$50,EDATE(Setup!$G$50,(Setup!$O$50+BA$1)*Setup!$N$50))&lt;Setup!$D$5),"",IF(Setup!$M$50&gt;0,Setup!$G$50+(Setup!$O$50+BA$1)*Setup!$M$50,EDATE(Setup!$G$50,(Setup!$O$50+BA$1)*Setup!$N$50))+$A27/1000)))</f>
        <v/>
      </c>
      <c r="BB27">
        <f>IF(OR(Setup!$E$50="",Setup!$G$50="",Setup!$F$50=""),"",IF(AND(Setup!$F$50="Once",BB$1&gt;0),"",IF(OR(IF(Setup!$M$50&gt;0,Setup!$G$50+(Setup!$O$50+BB$1)*Setup!$M$50,EDATE(Setup!$G$50,(Setup!$O$50+BB$1)*Setup!$N$50))&gt;Setup!$P$50,IF(Setup!$M$50&gt;0,Setup!$G$50+(Setup!$O$50+BB$1)*Setup!$M$50,EDATE(Setup!$G$50,(Setup!$O$50+BB$1)*Setup!$N$50))&lt;Setup!$D$5),"",IF(Setup!$M$50&gt;0,Setup!$G$50+(Setup!$O$50+BB$1)*Setup!$M$50,EDATE(Setup!$G$50,(Setup!$O$50+BB$1)*Setup!$N$50))+$A27/1000)))</f>
        <v/>
      </c>
    </row>
    <row r="28">
      <c r="A28" t="n">
        <v>27</v>
      </c>
      <c r="B28">
        <f>IF(OR(Setup!$E$51="",Setup!$G$51="",Setup!$F$51=""),"",IF(AND(Setup!$F$51="Once",B$1&gt;0),"",IF(OR(IF(Setup!$M$51&gt;0,Setup!$G$51+(Setup!$O$51+B$1)*Setup!$M$51,EDATE(Setup!$G$51,(Setup!$O$51+B$1)*Setup!$N$51))&gt;Setup!$P$51,IF(Setup!$M$51&gt;0,Setup!$G$51+(Setup!$O$51+B$1)*Setup!$M$51,EDATE(Setup!$G$51,(Setup!$O$51+B$1)*Setup!$N$51))&lt;Setup!$D$5),"",IF(Setup!$M$51&gt;0,Setup!$G$51+(Setup!$O$51+B$1)*Setup!$M$51,EDATE(Setup!$G$51,(Setup!$O$51+B$1)*Setup!$N$51))+$A28/1000)))</f>
        <v/>
      </c>
      <c r="C28">
        <f>IF(OR(Setup!$E$51="",Setup!$G$51="",Setup!$F$51=""),"",IF(AND(Setup!$F$51="Once",C$1&gt;0),"",IF(OR(IF(Setup!$M$51&gt;0,Setup!$G$51+(Setup!$O$51+C$1)*Setup!$M$51,EDATE(Setup!$G$51,(Setup!$O$51+C$1)*Setup!$N$51))&gt;Setup!$P$51,IF(Setup!$M$51&gt;0,Setup!$G$51+(Setup!$O$51+C$1)*Setup!$M$51,EDATE(Setup!$G$51,(Setup!$O$51+C$1)*Setup!$N$51))&lt;Setup!$D$5),"",IF(Setup!$M$51&gt;0,Setup!$G$51+(Setup!$O$51+C$1)*Setup!$M$51,EDATE(Setup!$G$51,(Setup!$O$51+C$1)*Setup!$N$51))+$A28/1000)))</f>
        <v/>
      </c>
      <c r="D28">
        <f>IF(OR(Setup!$E$51="",Setup!$G$51="",Setup!$F$51=""),"",IF(AND(Setup!$F$51="Once",D$1&gt;0),"",IF(OR(IF(Setup!$M$51&gt;0,Setup!$G$51+(Setup!$O$51+D$1)*Setup!$M$51,EDATE(Setup!$G$51,(Setup!$O$51+D$1)*Setup!$N$51))&gt;Setup!$P$51,IF(Setup!$M$51&gt;0,Setup!$G$51+(Setup!$O$51+D$1)*Setup!$M$51,EDATE(Setup!$G$51,(Setup!$O$51+D$1)*Setup!$N$51))&lt;Setup!$D$5),"",IF(Setup!$M$51&gt;0,Setup!$G$51+(Setup!$O$51+D$1)*Setup!$M$51,EDATE(Setup!$G$51,(Setup!$O$51+D$1)*Setup!$N$51))+$A28/1000)))</f>
        <v/>
      </c>
      <c r="E28">
        <f>IF(OR(Setup!$E$51="",Setup!$G$51="",Setup!$F$51=""),"",IF(AND(Setup!$F$51="Once",E$1&gt;0),"",IF(OR(IF(Setup!$M$51&gt;0,Setup!$G$51+(Setup!$O$51+E$1)*Setup!$M$51,EDATE(Setup!$G$51,(Setup!$O$51+E$1)*Setup!$N$51))&gt;Setup!$P$51,IF(Setup!$M$51&gt;0,Setup!$G$51+(Setup!$O$51+E$1)*Setup!$M$51,EDATE(Setup!$G$51,(Setup!$O$51+E$1)*Setup!$N$51))&lt;Setup!$D$5),"",IF(Setup!$M$51&gt;0,Setup!$G$51+(Setup!$O$51+E$1)*Setup!$M$51,EDATE(Setup!$G$51,(Setup!$O$51+E$1)*Setup!$N$51))+$A28/1000)))</f>
        <v/>
      </c>
      <c r="F28">
        <f>IF(OR(Setup!$E$51="",Setup!$G$51="",Setup!$F$51=""),"",IF(AND(Setup!$F$51="Once",F$1&gt;0),"",IF(OR(IF(Setup!$M$51&gt;0,Setup!$G$51+(Setup!$O$51+F$1)*Setup!$M$51,EDATE(Setup!$G$51,(Setup!$O$51+F$1)*Setup!$N$51))&gt;Setup!$P$51,IF(Setup!$M$51&gt;0,Setup!$G$51+(Setup!$O$51+F$1)*Setup!$M$51,EDATE(Setup!$G$51,(Setup!$O$51+F$1)*Setup!$N$51))&lt;Setup!$D$5),"",IF(Setup!$M$51&gt;0,Setup!$G$51+(Setup!$O$51+F$1)*Setup!$M$51,EDATE(Setup!$G$51,(Setup!$O$51+F$1)*Setup!$N$51))+$A28/1000)))</f>
        <v/>
      </c>
      <c r="G28">
        <f>IF(OR(Setup!$E$51="",Setup!$G$51="",Setup!$F$51=""),"",IF(AND(Setup!$F$51="Once",G$1&gt;0),"",IF(OR(IF(Setup!$M$51&gt;0,Setup!$G$51+(Setup!$O$51+G$1)*Setup!$M$51,EDATE(Setup!$G$51,(Setup!$O$51+G$1)*Setup!$N$51))&gt;Setup!$P$51,IF(Setup!$M$51&gt;0,Setup!$G$51+(Setup!$O$51+G$1)*Setup!$M$51,EDATE(Setup!$G$51,(Setup!$O$51+G$1)*Setup!$N$51))&lt;Setup!$D$5),"",IF(Setup!$M$51&gt;0,Setup!$G$51+(Setup!$O$51+G$1)*Setup!$M$51,EDATE(Setup!$G$51,(Setup!$O$51+G$1)*Setup!$N$51))+$A28/1000)))</f>
        <v/>
      </c>
      <c r="H28">
        <f>IF(OR(Setup!$E$51="",Setup!$G$51="",Setup!$F$51=""),"",IF(AND(Setup!$F$51="Once",H$1&gt;0),"",IF(OR(IF(Setup!$M$51&gt;0,Setup!$G$51+(Setup!$O$51+H$1)*Setup!$M$51,EDATE(Setup!$G$51,(Setup!$O$51+H$1)*Setup!$N$51))&gt;Setup!$P$51,IF(Setup!$M$51&gt;0,Setup!$G$51+(Setup!$O$51+H$1)*Setup!$M$51,EDATE(Setup!$G$51,(Setup!$O$51+H$1)*Setup!$N$51))&lt;Setup!$D$5),"",IF(Setup!$M$51&gt;0,Setup!$G$51+(Setup!$O$51+H$1)*Setup!$M$51,EDATE(Setup!$G$51,(Setup!$O$51+H$1)*Setup!$N$51))+$A28/1000)))</f>
        <v/>
      </c>
      <c r="I28">
        <f>IF(OR(Setup!$E$51="",Setup!$G$51="",Setup!$F$51=""),"",IF(AND(Setup!$F$51="Once",I$1&gt;0),"",IF(OR(IF(Setup!$M$51&gt;0,Setup!$G$51+(Setup!$O$51+I$1)*Setup!$M$51,EDATE(Setup!$G$51,(Setup!$O$51+I$1)*Setup!$N$51))&gt;Setup!$P$51,IF(Setup!$M$51&gt;0,Setup!$G$51+(Setup!$O$51+I$1)*Setup!$M$51,EDATE(Setup!$G$51,(Setup!$O$51+I$1)*Setup!$N$51))&lt;Setup!$D$5),"",IF(Setup!$M$51&gt;0,Setup!$G$51+(Setup!$O$51+I$1)*Setup!$M$51,EDATE(Setup!$G$51,(Setup!$O$51+I$1)*Setup!$N$51))+$A28/1000)))</f>
        <v/>
      </c>
      <c r="J28">
        <f>IF(OR(Setup!$E$51="",Setup!$G$51="",Setup!$F$51=""),"",IF(AND(Setup!$F$51="Once",J$1&gt;0),"",IF(OR(IF(Setup!$M$51&gt;0,Setup!$G$51+(Setup!$O$51+J$1)*Setup!$M$51,EDATE(Setup!$G$51,(Setup!$O$51+J$1)*Setup!$N$51))&gt;Setup!$P$51,IF(Setup!$M$51&gt;0,Setup!$G$51+(Setup!$O$51+J$1)*Setup!$M$51,EDATE(Setup!$G$51,(Setup!$O$51+J$1)*Setup!$N$51))&lt;Setup!$D$5),"",IF(Setup!$M$51&gt;0,Setup!$G$51+(Setup!$O$51+J$1)*Setup!$M$51,EDATE(Setup!$G$51,(Setup!$O$51+J$1)*Setup!$N$51))+$A28/1000)))</f>
        <v/>
      </c>
      <c r="K28">
        <f>IF(OR(Setup!$E$51="",Setup!$G$51="",Setup!$F$51=""),"",IF(AND(Setup!$F$51="Once",K$1&gt;0),"",IF(OR(IF(Setup!$M$51&gt;0,Setup!$G$51+(Setup!$O$51+K$1)*Setup!$M$51,EDATE(Setup!$G$51,(Setup!$O$51+K$1)*Setup!$N$51))&gt;Setup!$P$51,IF(Setup!$M$51&gt;0,Setup!$G$51+(Setup!$O$51+K$1)*Setup!$M$51,EDATE(Setup!$G$51,(Setup!$O$51+K$1)*Setup!$N$51))&lt;Setup!$D$5),"",IF(Setup!$M$51&gt;0,Setup!$G$51+(Setup!$O$51+K$1)*Setup!$M$51,EDATE(Setup!$G$51,(Setup!$O$51+K$1)*Setup!$N$51))+$A28/1000)))</f>
        <v/>
      </c>
      <c r="L28">
        <f>IF(OR(Setup!$E$51="",Setup!$G$51="",Setup!$F$51=""),"",IF(AND(Setup!$F$51="Once",L$1&gt;0),"",IF(OR(IF(Setup!$M$51&gt;0,Setup!$G$51+(Setup!$O$51+L$1)*Setup!$M$51,EDATE(Setup!$G$51,(Setup!$O$51+L$1)*Setup!$N$51))&gt;Setup!$P$51,IF(Setup!$M$51&gt;0,Setup!$G$51+(Setup!$O$51+L$1)*Setup!$M$51,EDATE(Setup!$G$51,(Setup!$O$51+L$1)*Setup!$N$51))&lt;Setup!$D$5),"",IF(Setup!$M$51&gt;0,Setup!$G$51+(Setup!$O$51+L$1)*Setup!$M$51,EDATE(Setup!$G$51,(Setup!$O$51+L$1)*Setup!$N$51))+$A28/1000)))</f>
        <v/>
      </c>
      <c r="M28">
        <f>IF(OR(Setup!$E$51="",Setup!$G$51="",Setup!$F$51=""),"",IF(AND(Setup!$F$51="Once",M$1&gt;0),"",IF(OR(IF(Setup!$M$51&gt;0,Setup!$G$51+(Setup!$O$51+M$1)*Setup!$M$51,EDATE(Setup!$G$51,(Setup!$O$51+M$1)*Setup!$N$51))&gt;Setup!$P$51,IF(Setup!$M$51&gt;0,Setup!$G$51+(Setup!$O$51+M$1)*Setup!$M$51,EDATE(Setup!$G$51,(Setup!$O$51+M$1)*Setup!$N$51))&lt;Setup!$D$5),"",IF(Setup!$M$51&gt;0,Setup!$G$51+(Setup!$O$51+M$1)*Setup!$M$51,EDATE(Setup!$G$51,(Setup!$O$51+M$1)*Setup!$N$51))+$A28/1000)))</f>
        <v/>
      </c>
      <c r="N28">
        <f>IF(OR(Setup!$E$51="",Setup!$G$51="",Setup!$F$51=""),"",IF(AND(Setup!$F$51="Once",N$1&gt;0),"",IF(OR(IF(Setup!$M$51&gt;0,Setup!$G$51+(Setup!$O$51+N$1)*Setup!$M$51,EDATE(Setup!$G$51,(Setup!$O$51+N$1)*Setup!$N$51))&gt;Setup!$P$51,IF(Setup!$M$51&gt;0,Setup!$G$51+(Setup!$O$51+N$1)*Setup!$M$51,EDATE(Setup!$G$51,(Setup!$O$51+N$1)*Setup!$N$51))&lt;Setup!$D$5),"",IF(Setup!$M$51&gt;0,Setup!$G$51+(Setup!$O$51+N$1)*Setup!$M$51,EDATE(Setup!$G$51,(Setup!$O$51+N$1)*Setup!$N$51))+$A28/1000)))</f>
        <v/>
      </c>
      <c r="O28">
        <f>IF(OR(Setup!$E$51="",Setup!$G$51="",Setup!$F$51=""),"",IF(AND(Setup!$F$51="Once",O$1&gt;0),"",IF(OR(IF(Setup!$M$51&gt;0,Setup!$G$51+(Setup!$O$51+O$1)*Setup!$M$51,EDATE(Setup!$G$51,(Setup!$O$51+O$1)*Setup!$N$51))&gt;Setup!$P$51,IF(Setup!$M$51&gt;0,Setup!$G$51+(Setup!$O$51+O$1)*Setup!$M$51,EDATE(Setup!$G$51,(Setup!$O$51+O$1)*Setup!$N$51))&lt;Setup!$D$5),"",IF(Setup!$M$51&gt;0,Setup!$G$51+(Setup!$O$51+O$1)*Setup!$M$51,EDATE(Setup!$G$51,(Setup!$O$51+O$1)*Setup!$N$51))+$A28/1000)))</f>
        <v/>
      </c>
      <c r="P28">
        <f>IF(OR(Setup!$E$51="",Setup!$G$51="",Setup!$F$51=""),"",IF(AND(Setup!$F$51="Once",P$1&gt;0),"",IF(OR(IF(Setup!$M$51&gt;0,Setup!$G$51+(Setup!$O$51+P$1)*Setup!$M$51,EDATE(Setup!$G$51,(Setup!$O$51+P$1)*Setup!$N$51))&gt;Setup!$P$51,IF(Setup!$M$51&gt;0,Setup!$G$51+(Setup!$O$51+P$1)*Setup!$M$51,EDATE(Setup!$G$51,(Setup!$O$51+P$1)*Setup!$N$51))&lt;Setup!$D$5),"",IF(Setup!$M$51&gt;0,Setup!$G$51+(Setup!$O$51+P$1)*Setup!$M$51,EDATE(Setup!$G$51,(Setup!$O$51+P$1)*Setup!$N$51))+$A28/1000)))</f>
        <v/>
      </c>
      <c r="Q28">
        <f>IF(OR(Setup!$E$51="",Setup!$G$51="",Setup!$F$51=""),"",IF(AND(Setup!$F$51="Once",Q$1&gt;0),"",IF(OR(IF(Setup!$M$51&gt;0,Setup!$G$51+(Setup!$O$51+Q$1)*Setup!$M$51,EDATE(Setup!$G$51,(Setup!$O$51+Q$1)*Setup!$N$51))&gt;Setup!$P$51,IF(Setup!$M$51&gt;0,Setup!$G$51+(Setup!$O$51+Q$1)*Setup!$M$51,EDATE(Setup!$G$51,(Setup!$O$51+Q$1)*Setup!$N$51))&lt;Setup!$D$5),"",IF(Setup!$M$51&gt;0,Setup!$G$51+(Setup!$O$51+Q$1)*Setup!$M$51,EDATE(Setup!$G$51,(Setup!$O$51+Q$1)*Setup!$N$51))+$A28/1000)))</f>
        <v/>
      </c>
      <c r="R28">
        <f>IF(OR(Setup!$E$51="",Setup!$G$51="",Setup!$F$51=""),"",IF(AND(Setup!$F$51="Once",R$1&gt;0),"",IF(OR(IF(Setup!$M$51&gt;0,Setup!$G$51+(Setup!$O$51+R$1)*Setup!$M$51,EDATE(Setup!$G$51,(Setup!$O$51+R$1)*Setup!$N$51))&gt;Setup!$P$51,IF(Setup!$M$51&gt;0,Setup!$G$51+(Setup!$O$51+R$1)*Setup!$M$51,EDATE(Setup!$G$51,(Setup!$O$51+R$1)*Setup!$N$51))&lt;Setup!$D$5),"",IF(Setup!$M$51&gt;0,Setup!$G$51+(Setup!$O$51+R$1)*Setup!$M$51,EDATE(Setup!$G$51,(Setup!$O$51+R$1)*Setup!$N$51))+$A28/1000)))</f>
        <v/>
      </c>
      <c r="S28">
        <f>IF(OR(Setup!$E$51="",Setup!$G$51="",Setup!$F$51=""),"",IF(AND(Setup!$F$51="Once",S$1&gt;0),"",IF(OR(IF(Setup!$M$51&gt;0,Setup!$G$51+(Setup!$O$51+S$1)*Setup!$M$51,EDATE(Setup!$G$51,(Setup!$O$51+S$1)*Setup!$N$51))&gt;Setup!$P$51,IF(Setup!$M$51&gt;0,Setup!$G$51+(Setup!$O$51+S$1)*Setup!$M$51,EDATE(Setup!$G$51,(Setup!$O$51+S$1)*Setup!$N$51))&lt;Setup!$D$5),"",IF(Setup!$M$51&gt;0,Setup!$G$51+(Setup!$O$51+S$1)*Setup!$M$51,EDATE(Setup!$G$51,(Setup!$O$51+S$1)*Setup!$N$51))+$A28/1000)))</f>
        <v/>
      </c>
      <c r="T28">
        <f>IF(OR(Setup!$E$51="",Setup!$G$51="",Setup!$F$51=""),"",IF(AND(Setup!$F$51="Once",T$1&gt;0),"",IF(OR(IF(Setup!$M$51&gt;0,Setup!$G$51+(Setup!$O$51+T$1)*Setup!$M$51,EDATE(Setup!$G$51,(Setup!$O$51+T$1)*Setup!$N$51))&gt;Setup!$P$51,IF(Setup!$M$51&gt;0,Setup!$G$51+(Setup!$O$51+T$1)*Setup!$M$51,EDATE(Setup!$G$51,(Setup!$O$51+T$1)*Setup!$N$51))&lt;Setup!$D$5),"",IF(Setup!$M$51&gt;0,Setup!$G$51+(Setup!$O$51+T$1)*Setup!$M$51,EDATE(Setup!$G$51,(Setup!$O$51+T$1)*Setup!$N$51))+$A28/1000)))</f>
        <v/>
      </c>
      <c r="U28">
        <f>IF(OR(Setup!$E$51="",Setup!$G$51="",Setup!$F$51=""),"",IF(AND(Setup!$F$51="Once",U$1&gt;0),"",IF(OR(IF(Setup!$M$51&gt;0,Setup!$G$51+(Setup!$O$51+U$1)*Setup!$M$51,EDATE(Setup!$G$51,(Setup!$O$51+U$1)*Setup!$N$51))&gt;Setup!$P$51,IF(Setup!$M$51&gt;0,Setup!$G$51+(Setup!$O$51+U$1)*Setup!$M$51,EDATE(Setup!$G$51,(Setup!$O$51+U$1)*Setup!$N$51))&lt;Setup!$D$5),"",IF(Setup!$M$51&gt;0,Setup!$G$51+(Setup!$O$51+U$1)*Setup!$M$51,EDATE(Setup!$G$51,(Setup!$O$51+U$1)*Setup!$N$51))+$A28/1000)))</f>
        <v/>
      </c>
      <c r="V28">
        <f>IF(OR(Setup!$E$51="",Setup!$G$51="",Setup!$F$51=""),"",IF(AND(Setup!$F$51="Once",V$1&gt;0),"",IF(OR(IF(Setup!$M$51&gt;0,Setup!$G$51+(Setup!$O$51+V$1)*Setup!$M$51,EDATE(Setup!$G$51,(Setup!$O$51+V$1)*Setup!$N$51))&gt;Setup!$P$51,IF(Setup!$M$51&gt;0,Setup!$G$51+(Setup!$O$51+V$1)*Setup!$M$51,EDATE(Setup!$G$51,(Setup!$O$51+V$1)*Setup!$N$51))&lt;Setup!$D$5),"",IF(Setup!$M$51&gt;0,Setup!$G$51+(Setup!$O$51+V$1)*Setup!$M$51,EDATE(Setup!$G$51,(Setup!$O$51+V$1)*Setup!$N$51))+$A28/1000)))</f>
        <v/>
      </c>
      <c r="W28">
        <f>IF(OR(Setup!$E$51="",Setup!$G$51="",Setup!$F$51=""),"",IF(AND(Setup!$F$51="Once",W$1&gt;0),"",IF(OR(IF(Setup!$M$51&gt;0,Setup!$G$51+(Setup!$O$51+W$1)*Setup!$M$51,EDATE(Setup!$G$51,(Setup!$O$51+W$1)*Setup!$N$51))&gt;Setup!$P$51,IF(Setup!$M$51&gt;0,Setup!$G$51+(Setup!$O$51+W$1)*Setup!$M$51,EDATE(Setup!$G$51,(Setup!$O$51+W$1)*Setup!$N$51))&lt;Setup!$D$5),"",IF(Setup!$M$51&gt;0,Setup!$G$51+(Setup!$O$51+W$1)*Setup!$M$51,EDATE(Setup!$G$51,(Setup!$O$51+W$1)*Setup!$N$51))+$A28/1000)))</f>
        <v/>
      </c>
      <c r="X28">
        <f>IF(OR(Setup!$E$51="",Setup!$G$51="",Setup!$F$51=""),"",IF(AND(Setup!$F$51="Once",X$1&gt;0),"",IF(OR(IF(Setup!$M$51&gt;0,Setup!$G$51+(Setup!$O$51+X$1)*Setup!$M$51,EDATE(Setup!$G$51,(Setup!$O$51+X$1)*Setup!$N$51))&gt;Setup!$P$51,IF(Setup!$M$51&gt;0,Setup!$G$51+(Setup!$O$51+X$1)*Setup!$M$51,EDATE(Setup!$G$51,(Setup!$O$51+X$1)*Setup!$N$51))&lt;Setup!$D$5),"",IF(Setup!$M$51&gt;0,Setup!$G$51+(Setup!$O$51+X$1)*Setup!$M$51,EDATE(Setup!$G$51,(Setup!$O$51+X$1)*Setup!$N$51))+$A28/1000)))</f>
        <v/>
      </c>
      <c r="Y28">
        <f>IF(OR(Setup!$E$51="",Setup!$G$51="",Setup!$F$51=""),"",IF(AND(Setup!$F$51="Once",Y$1&gt;0),"",IF(OR(IF(Setup!$M$51&gt;0,Setup!$G$51+(Setup!$O$51+Y$1)*Setup!$M$51,EDATE(Setup!$G$51,(Setup!$O$51+Y$1)*Setup!$N$51))&gt;Setup!$P$51,IF(Setup!$M$51&gt;0,Setup!$G$51+(Setup!$O$51+Y$1)*Setup!$M$51,EDATE(Setup!$G$51,(Setup!$O$51+Y$1)*Setup!$N$51))&lt;Setup!$D$5),"",IF(Setup!$M$51&gt;0,Setup!$G$51+(Setup!$O$51+Y$1)*Setup!$M$51,EDATE(Setup!$G$51,(Setup!$O$51+Y$1)*Setup!$N$51))+$A28/1000)))</f>
        <v/>
      </c>
      <c r="Z28">
        <f>IF(OR(Setup!$E$51="",Setup!$G$51="",Setup!$F$51=""),"",IF(AND(Setup!$F$51="Once",Z$1&gt;0),"",IF(OR(IF(Setup!$M$51&gt;0,Setup!$G$51+(Setup!$O$51+Z$1)*Setup!$M$51,EDATE(Setup!$G$51,(Setup!$O$51+Z$1)*Setup!$N$51))&gt;Setup!$P$51,IF(Setup!$M$51&gt;0,Setup!$G$51+(Setup!$O$51+Z$1)*Setup!$M$51,EDATE(Setup!$G$51,(Setup!$O$51+Z$1)*Setup!$N$51))&lt;Setup!$D$5),"",IF(Setup!$M$51&gt;0,Setup!$G$51+(Setup!$O$51+Z$1)*Setup!$M$51,EDATE(Setup!$G$51,(Setup!$O$51+Z$1)*Setup!$N$51))+$A28/1000)))</f>
        <v/>
      </c>
      <c r="AA28">
        <f>IF(OR(Setup!$E$51="",Setup!$G$51="",Setup!$F$51=""),"",IF(AND(Setup!$F$51="Once",AA$1&gt;0),"",IF(OR(IF(Setup!$M$51&gt;0,Setup!$G$51+(Setup!$O$51+AA$1)*Setup!$M$51,EDATE(Setup!$G$51,(Setup!$O$51+AA$1)*Setup!$N$51))&gt;Setup!$P$51,IF(Setup!$M$51&gt;0,Setup!$G$51+(Setup!$O$51+AA$1)*Setup!$M$51,EDATE(Setup!$G$51,(Setup!$O$51+AA$1)*Setup!$N$51))&lt;Setup!$D$5),"",IF(Setup!$M$51&gt;0,Setup!$G$51+(Setup!$O$51+AA$1)*Setup!$M$51,EDATE(Setup!$G$51,(Setup!$O$51+AA$1)*Setup!$N$51))+$A28/1000)))</f>
        <v/>
      </c>
      <c r="AB28">
        <f>IF(OR(Setup!$E$51="",Setup!$G$51="",Setup!$F$51=""),"",IF(AND(Setup!$F$51="Once",AB$1&gt;0),"",IF(OR(IF(Setup!$M$51&gt;0,Setup!$G$51+(Setup!$O$51+AB$1)*Setup!$M$51,EDATE(Setup!$G$51,(Setup!$O$51+AB$1)*Setup!$N$51))&gt;Setup!$P$51,IF(Setup!$M$51&gt;0,Setup!$G$51+(Setup!$O$51+AB$1)*Setup!$M$51,EDATE(Setup!$G$51,(Setup!$O$51+AB$1)*Setup!$N$51))&lt;Setup!$D$5),"",IF(Setup!$M$51&gt;0,Setup!$G$51+(Setup!$O$51+AB$1)*Setup!$M$51,EDATE(Setup!$G$51,(Setup!$O$51+AB$1)*Setup!$N$51))+$A28/1000)))</f>
        <v/>
      </c>
      <c r="AC28">
        <f>IF(OR(Setup!$E$51="",Setup!$G$51="",Setup!$F$51=""),"",IF(AND(Setup!$F$51="Once",AC$1&gt;0),"",IF(OR(IF(Setup!$M$51&gt;0,Setup!$G$51+(Setup!$O$51+AC$1)*Setup!$M$51,EDATE(Setup!$G$51,(Setup!$O$51+AC$1)*Setup!$N$51))&gt;Setup!$P$51,IF(Setup!$M$51&gt;0,Setup!$G$51+(Setup!$O$51+AC$1)*Setup!$M$51,EDATE(Setup!$G$51,(Setup!$O$51+AC$1)*Setup!$N$51))&lt;Setup!$D$5),"",IF(Setup!$M$51&gt;0,Setup!$G$51+(Setup!$O$51+AC$1)*Setup!$M$51,EDATE(Setup!$G$51,(Setup!$O$51+AC$1)*Setup!$N$51))+$A28/1000)))</f>
        <v/>
      </c>
      <c r="AD28">
        <f>IF(OR(Setup!$E$51="",Setup!$G$51="",Setup!$F$51=""),"",IF(AND(Setup!$F$51="Once",AD$1&gt;0),"",IF(OR(IF(Setup!$M$51&gt;0,Setup!$G$51+(Setup!$O$51+AD$1)*Setup!$M$51,EDATE(Setup!$G$51,(Setup!$O$51+AD$1)*Setup!$N$51))&gt;Setup!$P$51,IF(Setup!$M$51&gt;0,Setup!$G$51+(Setup!$O$51+AD$1)*Setup!$M$51,EDATE(Setup!$G$51,(Setup!$O$51+AD$1)*Setup!$N$51))&lt;Setup!$D$5),"",IF(Setup!$M$51&gt;0,Setup!$G$51+(Setup!$O$51+AD$1)*Setup!$M$51,EDATE(Setup!$G$51,(Setup!$O$51+AD$1)*Setup!$N$51))+$A28/1000)))</f>
        <v/>
      </c>
      <c r="AE28">
        <f>IF(OR(Setup!$E$51="",Setup!$G$51="",Setup!$F$51=""),"",IF(AND(Setup!$F$51="Once",AE$1&gt;0),"",IF(OR(IF(Setup!$M$51&gt;0,Setup!$G$51+(Setup!$O$51+AE$1)*Setup!$M$51,EDATE(Setup!$G$51,(Setup!$O$51+AE$1)*Setup!$N$51))&gt;Setup!$P$51,IF(Setup!$M$51&gt;0,Setup!$G$51+(Setup!$O$51+AE$1)*Setup!$M$51,EDATE(Setup!$G$51,(Setup!$O$51+AE$1)*Setup!$N$51))&lt;Setup!$D$5),"",IF(Setup!$M$51&gt;0,Setup!$G$51+(Setup!$O$51+AE$1)*Setup!$M$51,EDATE(Setup!$G$51,(Setup!$O$51+AE$1)*Setup!$N$51))+$A28/1000)))</f>
        <v/>
      </c>
      <c r="AF28">
        <f>IF(OR(Setup!$E$51="",Setup!$G$51="",Setup!$F$51=""),"",IF(AND(Setup!$F$51="Once",AF$1&gt;0),"",IF(OR(IF(Setup!$M$51&gt;0,Setup!$G$51+(Setup!$O$51+AF$1)*Setup!$M$51,EDATE(Setup!$G$51,(Setup!$O$51+AF$1)*Setup!$N$51))&gt;Setup!$P$51,IF(Setup!$M$51&gt;0,Setup!$G$51+(Setup!$O$51+AF$1)*Setup!$M$51,EDATE(Setup!$G$51,(Setup!$O$51+AF$1)*Setup!$N$51))&lt;Setup!$D$5),"",IF(Setup!$M$51&gt;0,Setup!$G$51+(Setup!$O$51+AF$1)*Setup!$M$51,EDATE(Setup!$G$51,(Setup!$O$51+AF$1)*Setup!$N$51))+$A28/1000)))</f>
        <v/>
      </c>
      <c r="AG28">
        <f>IF(OR(Setup!$E$51="",Setup!$G$51="",Setup!$F$51=""),"",IF(AND(Setup!$F$51="Once",AG$1&gt;0),"",IF(OR(IF(Setup!$M$51&gt;0,Setup!$G$51+(Setup!$O$51+AG$1)*Setup!$M$51,EDATE(Setup!$G$51,(Setup!$O$51+AG$1)*Setup!$N$51))&gt;Setup!$P$51,IF(Setup!$M$51&gt;0,Setup!$G$51+(Setup!$O$51+AG$1)*Setup!$M$51,EDATE(Setup!$G$51,(Setup!$O$51+AG$1)*Setup!$N$51))&lt;Setup!$D$5),"",IF(Setup!$M$51&gt;0,Setup!$G$51+(Setup!$O$51+AG$1)*Setup!$M$51,EDATE(Setup!$G$51,(Setup!$O$51+AG$1)*Setup!$N$51))+$A28/1000)))</f>
        <v/>
      </c>
      <c r="AH28">
        <f>IF(OR(Setup!$E$51="",Setup!$G$51="",Setup!$F$51=""),"",IF(AND(Setup!$F$51="Once",AH$1&gt;0),"",IF(OR(IF(Setup!$M$51&gt;0,Setup!$G$51+(Setup!$O$51+AH$1)*Setup!$M$51,EDATE(Setup!$G$51,(Setup!$O$51+AH$1)*Setup!$N$51))&gt;Setup!$P$51,IF(Setup!$M$51&gt;0,Setup!$G$51+(Setup!$O$51+AH$1)*Setup!$M$51,EDATE(Setup!$G$51,(Setup!$O$51+AH$1)*Setup!$N$51))&lt;Setup!$D$5),"",IF(Setup!$M$51&gt;0,Setup!$G$51+(Setup!$O$51+AH$1)*Setup!$M$51,EDATE(Setup!$G$51,(Setup!$O$51+AH$1)*Setup!$N$51))+$A28/1000)))</f>
        <v/>
      </c>
      <c r="AI28">
        <f>IF(OR(Setup!$E$51="",Setup!$G$51="",Setup!$F$51=""),"",IF(AND(Setup!$F$51="Once",AI$1&gt;0),"",IF(OR(IF(Setup!$M$51&gt;0,Setup!$G$51+(Setup!$O$51+AI$1)*Setup!$M$51,EDATE(Setup!$G$51,(Setup!$O$51+AI$1)*Setup!$N$51))&gt;Setup!$P$51,IF(Setup!$M$51&gt;0,Setup!$G$51+(Setup!$O$51+AI$1)*Setup!$M$51,EDATE(Setup!$G$51,(Setup!$O$51+AI$1)*Setup!$N$51))&lt;Setup!$D$5),"",IF(Setup!$M$51&gt;0,Setup!$G$51+(Setup!$O$51+AI$1)*Setup!$M$51,EDATE(Setup!$G$51,(Setup!$O$51+AI$1)*Setup!$N$51))+$A28/1000)))</f>
        <v/>
      </c>
      <c r="AJ28">
        <f>IF(OR(Setup!$E$51="",Setup!$G$51="",Setup!$F$51=""),"",IF(AND(Setup!$F$51="Once",AJ$1&gt;0),"",IF(OR(IF(Setup!$M$51&gt;0,Setup!$G$51+(Setup!$O$51+AJ$1)*Setup!$M$51,EDATE(Setup!$G$51,(Setup!$O$51+AJ$1)*Setup!$N$51))&gt;Setup!$P$51,IF(Setup!$M$51&gt;0,Setup!$G$51+(Setup!$O$51+AJ$1)*Setup!$M$51,EDATE(Setup!$G$51,(Setup!$O$51+AJ$1)*Setup!$N$51))&lt;Setup!$D$5),"",IF(Setup!$M$51&gt;0,Setup!$G$51+(Setup!$O$51+AJ$1)*Setup!$M$51,EDATE(Setup!$G$51,(Setup!$O$51+AJ$1)*Setup!$N$51))+$A28/1000)))</f>
        <v/>
      </c>
      <c r="AK28">
        <f>IF(OR(Setup!$E$51="",Setup!$G$51="",Setup!$F$51=""),"",IF(AND(Setup!$F$51="Once",AK$1&gt;0),"",IF(OR(IF(Setup!$M$51&gt;0,Setup!$G$51+(Setup!$O$51+AK$1)*Setup!$M$51,EDATE(Setup!$G$51,(Setup!$O$51+AK$1)*Setup!$N$51))&gt;Setup!$P$51,IF(Setup!$M$51&gt;0,Setup!$G$51+(Setup!$O$51+AK$1)*Setup!$M$51,EDATE(Setup!$G$51,(Setup!$O$51+AK$1)*Setup!$N$51))&lt;Setup!$D$5),"",IF(Setup!$M$51&gt;0,Setup!$G$51+(Setup!$O$51+AK$1)*Setup!$M$51,EDATE(Setup!$G$51,(Setup!$O$51+AK$1)*Setup!$N$51))+$A28/1000)))</f>
        <v/>
      </c>
      <c r="AL28">
        <f>IF(OR(Setup!$E$51="",Setup!$G$51="",Setup!$F$51=""),"",IF(AND(Setup!$F$51="Once",AL$1&gt;0),"",IF(OR(IF(Setup!$M$51&gt;0,Setup!$G$51+(Setup!$O$51+AL$1)*Setup!$M$51,EDATE(Setup!$G$51,(Setup!$O$51+AL$1)*Setup!$N$51))&gt;Setup!$P$51,IF(Setup!$M$51&gt;0,Setup!$G$51+(Setup!$O$51+AL$1)*Setup!$M$51,EDATE(Setup!$G$51,(Setup!$O$51+AL$1)*Setup!$N$51))&lt;Setup!$D$5),"",IF(Setup!$M$51&gt;0,Setup!$G$51+(Setup!$O$51+AL$1)*Setup!$M$51,EDATE(Setup!$G$51,(Setup!$O$51+AL$1)*Setup!$N$51))+$A28/1000)))</f>
        <v/>
      </c>
      <c r="AM28">
        <f>IF(OR(Setup!$E$51="",Setup!$G$51="",Setup!$F$51=""),"",IF(AND(Setup!$F$51="Once",AM$1&gt;0),"",IF(OR(IF(Setup!$M$51&gt;0,Setup!$G$51+(Setup!$O$51+AM$1)*Setup!$M$51,EDATE(Setup!$G$51,(Setup!$O$51+AM$1)*Setup!$N$51))&gt;Setup!$P$51,IF(Setup!$M$51&gt;0,Setup!$G$51+(Setup!$O$51+AM$1)*Setup!$M$51,EDATE(Setup!$G$51,(Setup!$O$51+AM$1)*Setup!$N$51))&lt;Setup!$D$5),"",IF(Setup!$M$51&gt;0,Setup!$G$51+(Setup!$O$51+AM$1)*Setup!$M$51,EDATE(Setup!$G$51,(Setup!$O$51+AM$1)*Setup!$N$51))+$A28/1000)))</f>
        <v/>
      </c>
      <c r="AN28">
        <f>IF(OR(Setup!$E$51="",Setup!$G$51="",Setup!$F$51=""),"",IF(AND(Setup!$F$51="Once",AN$1&gt;0),"",IF(OR(IF(Setup!$M$51&gt;0,Setup!$G$51+(Setup!$O$51+AN$1)*Setup!$M$51,EDATE(Setup!$G$51,(Setup!$O$51+AN$1)*Setup!$N$51))&gt;Setup!$P$51,IF(Setup!$M$51&gt;0,Setup!$G$51+(Setup!$O$51+AN$1)*Setup!$M$51,EDATE(Setup!$G$51,(Setup!$O$51+AN$1)*Setup!$N$51))&lt;Setup!$D$5),"",IF(Setup!$M$51&gt;0,Setup!$G$51+(Setup!$O$51+AN$1)*Setup!$M$51,EDATE(Setup!$G$51,(Setup!$O$51+AN$1)*Setup!$N$51))+$A28/1000)))</f>
        <v/>
      </c>
      <c r="AO28">
        <f>IF(OR(Setup!$E$51="",Setup!$G$51="",Setup!$F$51=""),"",IF(AND(Setup!$F$51="Once",AO$1&gt;0),"",IF(OR(IF(Setup!$M$51&gt;0,Setup!$G$51+(Setup!$O$51+AO$1)*Setup!$M$51,EDATE(Setup!$G$51,(Setup!$O$51+AO$1)*Setup!$N$51))&gt;Setup!$P$51,IF(Setup!$M$51&gt;0,Setup!$G$51+(Setup!$O$51+AO$1)*Setup!$M$51,EDATE(Setup!$G$51,(Setup!$O$51+AO$1)*Setup!$N$51))&lt;Setup!$D$5),"",IF(Setup!$M$51&gt;0,Setup!$G$51+(Setup!$O$51+AO$1)*Setup!$M$51,EDATE(Setup!$G$51,(Setup!$O$51+AO$1)*Setup!$N$51))+$A28/1000)))</f>
        <v/>
      </c>
      <c r="AP28">
        <f>IF(OR(Setup!$E$51="",Setup!$G$51="",Setup!$F$51=""),"",IF(AND(Setup!$F$51="Once",AP$1&gt;0),"",IF(OR(IF(Setup!$M$51&gt;0,Setup!$G$51+(Setup!$O$51+AP$1)*Setup!$M$51,EDATE(Setup!$G$51,(Setup!$O$51+AP$1)*Setup!$N$51))&gt;Setup!$P$51,IF(Setup!$M$51&gt;0,Setup!$G$51+(Setup!$O$51+AP$1)*Setup!$M$51,EDATE(Setup!$G$51,(Setup!$O$51+AP$1)*Setup!$N$51))&lt;Setup!$D$5),"",IF(Setup!$M$51&gt;0,Setup!$G$51+(Setup!$O$51+AP$1)*Setup!$M$51,EDATE(Setup!$G$51,(Setup!$O$51+AP$1)*Setup!$N$51))+$A28/1000)))</f>
        <v/>
      </c>
      <c r="AQ28">
        <f>IF(OR(Setup!$E$51="",Setup!$G$51="",Setup!$F$51=""),"",IF(AND(Setup!$F$51="Once",AQ$1&gt;0),"",IF(OR(IF(Setup!$M$51&gt;0,Setup!$G$51+(Setup!$O$51+AQ$1)*Setup!$M$51,EDATE(Setup!$G$51,(Setup!$O$51+AQ$1)*Setup!$N$51))&gt;Setup!$P$51,IF(Setup!$M$51&gt;0,Setup!$G$51+(Setup!$O$51+AQ$1)*Setup!$M$51,EDATE(Setup!$G$51,(Setup!$O$51+AQ$1)*Setup!$N$51))&lt;Setup!$D$5),"",IF(Setup!$M$51&gt;0,Setup!$G$51+(Setup!$O$51+AQ$1)*Setup!$M$51,EDATE(Setup!$G$51,(Setup!$O$51+AQ$1)*Setup!$N$51))+$A28/1000)))</f>
        <v/>
      </c>
      <c r="AR28">
        <f>IF(OR(Setup!$E$51="",Setup!$G$51="",Setup!$F$51=""),"",IF(AND(Setup!$F$51="Once",AR$1&gt;0),"",IF(OR(IF(Setup!$M$51&gt;0,Setup!$G$51+(Setup!$O$51+AR$1)*Setup!$M$51,EDATE(Setup!$G$51,(Setup!$O$51+AR$1)*Setup!$N$51))&gt;Setup!$P$51,IF(Setup!$M$51&gt;0,Setup!$G$51+(Setup!$O$51+AR$1)*Setup!$M$51,EDATE(Setup!$G$51,(Setup!$O$51+AR$1)*Setup!$N$51))&lt;Setup!$D$5),"",IF(Setup!$M$51&gt;0,Setup!$G$51+(Setup!$O$51+AR$1)*Setup!$M$51,EDATE(Setup!$G$51,(Setup!$O$51+AR$1)*Setup!$N$51))+$A28/1000)))</f>
        <v/>
      </c>
      <c r="AS28">
        <f>IF(OR(Setup!$E$51="",Setup!$G$51="",Setup!$F$51=""),"",IF(AND(Setup!$F$51="Once",AS$1&gt;0),"",IF(OR(IF(Setup!$M$51&gt;0,Setup!$G$51+(Setup!$O$51+AS$1)*Setup!$M$51,EDATE(Setup!$G$51,(Setup!$O$51+AS$1)*Setup!$N$51))&gt;Setup!$P$51,IF(Setup!$M$51&gt;0,Setup!$G$51+(Setup!$O$51+AS$1)*Setup!$M$51,EDATE(Setup!$G$51,(Setup!$O$51+AS$1)*Setup!$N$51))&lt;Setup!$D$5),"",IF(Setup!$M$51&gt;0,Setup!$G$51+(Setup!$O$51+AS$1)*Setup!$M$51,EDATE(Setup!$G$51,(Setup!$O$51+AS$1)*Setup!$N$51))+$A28/1000)))</f>
        <v/>
      </c>
      <c r="AT28">
        <f>IF(OR(Setup!$E$51="",Setup!$G$51="",Setup!$F$51=""),"",IF(AND(Setup!$F$51="Once",AT$1&gt;0),"",IF(OR(IF(Setup!$M$51&gt;0,Setup!$G$51+(Setup!$O$51+AT$1)*Setup!$M$51,EDATE(Setup!$G$51,(Setup!$O$51+AT$1)*Setup!$N$51))&gt;Setup!$P$51,IF(Setup!$M$51&gt;0,Setup!$G$51+(Setup!$O$51+AT$1)*Setup!$M$51,EDATE(Setup!$G$51,(Setup!$O$51+AT$1)*Setup!$N$51))&lt;Setup!$D$5),"",IF(Setup!$M$51&gt;0,Setup!$G$51+(Setup!$O$51+AT$1)*Setup!$M$51,EDATE(Setup!$G$51,(Setup!$O$51+AT$1)*Setup!$N$51))+$A28/1000)))</f>
        <v/>
      </c>
      <c r="AU28">
        <f>IF(OR(Setup!$E$51="",Setup!$G$51="",Setup!$F$51=""),"",IF(AND(Setup!$F$51="Once",AU$1&gt;0),"",IF(OR(IF(Setup!$M$51&gt;0,Setup!$G$51+(Setup!$O$51+AU$1)*Setup!$M$51,EDATE(Setup!$G$51,(Setup!$O$51+AU$1)*Setup!$N$51))&gt;Setup!$P$51,IF(Setup!$M$51&gt;0,Setup!$G$51+(Setup!$O$51+AU$1)*Setup!$M$51,EDATE(Setup!$G$51,(Setup!$O$51+AU$1)*Setup!$N$51))&lt;Setup!$D$5),"",IF(Setup!$M$51&gt;0,Setup!$G$51+(Setup!$O$51+AU$1)*Setup!$M$51,EDATE(Setup!$G$51,(Setup!$O$51+AU$1)*Setup!$N$51))+$A28/1000)))</f>
        <v/>
      </c>
      <c r="AV28">
        <f>IF(OR(Setup!$E$51="",Setup!$G$51="",Setup!$F$51=""),"",IF(AND(Setup!$F$51="Once",AV$1&gt;0),"",IF(OR(IF(Setup!$M$51&gt;0,Setup!$G$51+(Setup!$O$51+AV$1)*Setup!$M$51,EDATE(Setup!$G$51,(Setup!$O$51+AV$1)*Setup!$N$51))&gt;Setup!$P$51,IF(Setup!$M$51&gt;0,Setup!$G$51+(Setup!$O$51+AV$1)*Setup!$M$51,EDATE(Setup!$G$51,(Setup!$O$51+AV$1)*Setup!$N$51))&lt;Setup!$D$5),"",IF(Setup!$M$51&gt;0,Setup!$G$51+(Setup!$O$51+AV$1)*Setup!$M$51,EDATE(Setup!$G$51,(Setup!$O$51+AV$1)*Setup!$N$51))+$A28/1000)))</f>
        <v/>
      </c>
      <c r="AW28">
        <f>IF(OR(Setup!$E$51="",Setup!$G$51="",Setup!$F$51=""),"",IF(AND(Setup!$F$51="Once",AW$1&gt;0),"",IF(OR(IF(Setup!$M$51&gt;0,Setup!$G$51+(Setup!$O$51+AW$1)*Setup!$M$51,EDATE(Setup!$G$51,(Setup!$O$51+AW$1)*Setup!$N$51))&gt;Setup!$P$51,IF(Setup!$M$51&gt;0,Setup!$G$51+(Setup!$O$51+AW$1)*Setup!$M$51,EDATE(Setup!$G$51,(Setup!$O$51+AW$1)*Setup!$N$51))&lt;Setup!$D$5),"",IF(Setup!$M$51&gt;0,Setup!$G$51+(Setup!$O$51+AW$1)*Setup!$M$51,EDATE(Setup!$G$51,(Setup!$O$51+AW$1)*Setup!$N$51))+$A28/1000)))</f>
        <v/>
      </c>
      <c r="AX28">
        <f>IF(OR(Setup!$E$51="",Setup!$G$51="",Setup!$F$51=""),"",IF(AND(Setup!$F$51="Once",AX$1&gt;0),"",IF(OR(IF(Setup!$M$51&gt;0,Setup!$G$51+(Setup!$O$51+AX$1)*Setup!$M$51,EDATE(Setup!$G$51,(Setup!$O$51+AX$1)*Setup!$N$51))&gt;Setup!$P$51,IF(Setup!$M$51&gt;0,Setup!$G$51+(Setup!$O$51+AX$1)*Setup!$M$51,EDATE(Setup!$G$51,(Setup!$O$51+AX$1)*Setup!$N$51))&lt;Setup!$D$5),"",IF(Setup!$M$51&gt;0,Setup!$G$51+(Setup!$O$51+AX$1)*Setup!$M$51,EDATE(Setup!$G$51,(Setup!$O$51+AX$1)*Setup!$N$51))+$A28/1000)))</f>
        <v/>
      </c>
      <c r="AY28">
        <f>IF(OR(Setup!$E$51="",Setup!$G$51="",Setup!$F$51=""),"",IF(AND(Setup!$F$51="Once",AY$1&gt;0),"",IF(OR(IF(Setup!$M$51&gt;0,Setup!$G$51+(Setup!$O$51+AY$1)*Setup!$M$51,EDATE(Setup!$G$51,(Setup!$O$51+AY$1)*Setup!$N$51))&gt;Setup!$P$51,IF(Setup!$M$51&gt;0,Setup!$G$51+(Setup!$O$51+AY$1)*Setup!$M$51,EDATE(Setup!$G$51,(Setup!$O$51+AY$1)*Setup!$N$51))&lt;Setup!$D$5),"",IF(Setup!$M$51&gt;0,Setup!$G$51+(Setup!$O$51+AY$1)*Setup!$M$51,EDATE(Setup!$G$51,(Setup!$O$51+AY$1)*Setup!$N$51))+$A28/1000)))</f>
        <v/>
      </c>
      <c r="AZ28">
        <f>IF(OR(Setup!$E$51="",Setup!$G$51="",Setup!$F$51=""),"",IF(AND(Setup!$F$51="Once",AZ$1&gt;0),"",IF(OR(IF(Setup!$M$51&gt;0,Setup!$G$51+(Setup!$O$51+AZ$1)*Setup!$M$51,EDATE(Setup!$G$51,(Setup!$O$51+AZ$1)*Setup!$N$51))&gt;Setup!$P$51,IF(Setup!$M$51&gt;0,Setup!$G$51+(Setup!$O$51+AZ$1)*Setup!$M$51,EDATE(Setup!$G$51,(Setup!$O$51+AZ$1)*Setup!$N$51))&lt;Setup!$D$5),"",IF(Setup!$M$51&gt;0,Setup!$G$51+(Setup!$O$51+AZ$1)*Setup!$M$51,EDATE(Setup!$G$51,(Setup!$O$51+AZ$1)*Setup!$N$51))+$A28/1000)))</f>
        <v/>
      </c>
      <c r="BA28">
        <f>IF(OR(Setup!$E$51="",Setup!$G$51="",Setup!$F$51=""),"",IF(AND(Setup!$F$51="Once",BA$1&gt;0),"",IF(OR(IF(Setup!$M$51&gt;0,Setup!$G$51+(Setup!$O$51+BA$1)*Setup!$M$51,EDATE(Setup!$G$51,(Setup!$O$51+BA$1)*Setup!$N$51))&gt;Setup!$P$51,IF(Setup!$M$51&gt;0,Setup!$G$51+(Setup!$O$51+BA$1)*Setup!$M$51,EDATE(Setup!$G$51,(Setup!$O$51+BA$1)*Setup!$N$51))&lt;Setup!$D$5),"",IF(Setup!$M$51&gt;0,Setup!$G$51+(Setup!$O$51+BA$1)*Setup!$M$51,EDATE(Setup!$G$51,(Setup!$O$51+BA$1)*Setup!$N$51))+$A28/1000)))</f>
        <v/>
      </c>
      <c r="BB28">
        <f>IF(OR(Setup!$E$51="",Setup!$G$51="",Setup!$F$51=""),"",IF(AND(Setup!$F$51="Once",BB$1&gt;0),"",IF(OR(IF(Setup!$M$51&gt;0,Setup!$G$51+(Setup!$O$51+BB$1)*Setup!$M$51,EDATE(Setup!$G$51,(Setup!$O$51+BB$1)*Setup!$N$51))&gt;Setup!$P$51,IF(Setup!$M$51&gt;0,Setup!$G$51+(Setup!$O$51+BB$1)*Setup!$M$51,EDATE(Setup!$G$51,(Setup!$O$51+BB$1)*Setup!$N$51))&lt;Setup!$D$5),"",IF(Setup!$M$51&gt;0,Setup!$G$51+(Setup!$O$51+BB$1)*Setup!$M$51,EDATE(Setup!$G$51,(Setup!$O$51+BB$1)*Setup!$N$51))+$A28/1000)))</f>
        <v/>
      </c>
    </row>
    <row r="29">
      <c r="A29" t="n">
        <v>28</v>
      </c>
      <c r="B29">
        <f>IF(OR(Setup!$E$52="",Setup!$G$52="",Setup!$F$52=""),"",IF(AND(Setup!$F$52="Once",B$1&gt;0),"",IF(OR(IF(Setup!$M$52&gt;0,Setup!$G$52+(Setup!$O$52+B$1)*Setup!$M$52,EDATE(Setup!$G$52,(Setup!$O$52+B$1)*Setup!$N$52))&gt;Setup!$P$52,IF(Setup!$M$52&gt;0,Setup!$G$52+(Setup!$O$52+B$1)*Setup!$M$52,EDATE(Setup!$G$52,(Setup!$O$52+B$1)*Setup!$N$52))&lt;Setup!$D$5),"",IF(Setup!$M$52&gt;0,Setup!$G$52+(Setup!$O$52+B$1)*Setup!$M$52,EDATE(Setup!$G$52,(Setup!$O$52+B$1)*Setup!$N$52))+$A29/1000)))</f>
        <v/>
      </c>
      <c r="C29">
        <f>IF(OR(Setup!$E$52="",Setup!$G$52="",Setup!$F$52=""),"",IF(AND(Setup!$F$52="Once",C$1&gt;0),"",IF(OR(IF(Setup!$M$52&gt;0,Setup!$G$52+(Setup!$O$52+C$1)*Setup!$M$52,EDATE(Setup!$G$52,(Setup!$O$52+C$1)*Setup!$N$52))&gt;Setup!$P$52,IF(Setup!$M$52&gt;0,Setup!$G$52+(Setup!$O$52+C$1)*Setup!$M$52,EDATE(Setup!$G$52,(Setup!$O$52+C$1)*Setup!$N$52))&lt;Setup!$D$5),"",IF(Setup!$M$52&gt;0,Setup!$G$52+(Setup!$O$52+C$1)*Setup!$M$52,EDATE(Setup!$G$52,(Setup!$O$52+C$1)*Setup!$N$52))+$A29/1000)))</f>
        <v/>
      </c>
      <c r="D29">
        <f>IF(OR(Setup!$E$52="",Setup!$G$52="",Setup!$F$52=""),"",IF(AND(Setup!$F$52="Once",D$1&gt;0),"",IF(OR(IF(Setup!$M$52&gt;0,Setup!$G$52+(Setup!$O$52+D$1)*Setup!$M$52,EDATE(Setup!$G$52,(Setup!$O$52+D$1)*Setup!$N$52))&gt;Setup!$P$52,IF(Setup!$M$52&gt;0,Setup!$G$52+(Setup!$O$52+D$1)*Setup!$M$52,EDATE(Setup!$G$52,(Setup!$O$52+D$1)*Setup!$N$52))&lt;Setup!$D$5),"",IF(Setup!$M$52&gt;0,Setup!$G$52+(Setup!$O$52+D$1)*Setup!$M$52,EDATE(Setup!$G$52,(Setup!$O$52+D$1)*Setup!$N$52))+$A29/1000)))</f>
        <v/>
      </c>
      <c r="E29">
        <f>IF(OR(Setup!$E$52="",Setup!$G$52="",Setup!$F$52=""),"",IF(AND(Setup!$F$52="Once",E$1&gt;0),"",IF(OR(IF(Setup!$M$52&gt;0,Setup!$G$52+(Setup!$O$52+E$1)*Setup!$M$52,EDATE(Setup!$G$52,(Setup!$O$52+E$1)*Setup!$N$52))&gt;Setup!$P$52,IF(Setup!$M$52&gt;0,Setup!$G$52+(Setup!$O$52+E$1)*Setup!$M$52,EDATE(Setup!$G$52,(Setup!$O$52+E$1)*Setup!$N$52))&lt;Setup!$D$5),"",IF(Setup!$M$52&gt;0,Setup!$G$52+(Setup!$O$52+E$1)*Setup!$M$52,EDATE(Setup!$G$52,(Setup!$O$52+E$1)*Setup!$N$52))+$A29/1000)))</f>
        <v/>
      </c>
      <c r="F29">
        <f>IF(OR(Setup!$E$52="",Setup!$G$52="",Setup!$F$52=""),"",IF(AND(Setup!$F$52="Once",F$1&gt;0),"",IF(OR(IF(Setup!$M$52&gt;0,Setup!$G$52+(Setup!$O$52+F$1)*Setup!$M$52,EDATE(Setup!$G$52,(Setup!$O$52+F$1)*Setup!$N$52))&gt;Setup!$P$52,IF(Setup!$M$52&gt;0,Setup!$G$52+(Setup!$O$52+F$1)*Setup!$M$52,EDATE(Setup!$G$52,(Setup!$O$52+F$1)*Setup!$N$52))&lt;Setup!$D$5),"",IF(Setup!$M$52&gt;0,Setup!$G$52+(Setup!$O$52+F$1)*Setup!$M$52,EDATE(Setup!$G$52,(Setup!$O$52+F$1)*Setup!$N$52))+$A29/1000)))</f>
        <v/>
      </c>
      <c r="G29">
        <f>IF(OR(Setup!$E$52="",Setup!$G$52="",Setup!$F$52=""),"",IF(AND(Setup!$F$52="Once",G$1&gt;0),"",IF(OR(IF(Setup!$M$52&gt;0,Setup!$G$52+(Setup!$O$52+G$1)*Setup!$M$52,EDATE(Setup!$G$52,(Setup!$O$52+G$1)*Setup!$N$52))&gt;Setup!$P$52,IF(Setup!$M$52&gt;0,Setup!$G$52+(Setup!$O$52+G$1)*Setup!$M$52,EDATE(Setup!$G$52,(Setup!$O$52+G$1)*Setup!$N$52))&lt;Setup!$D$5),"",IF(Setup!$M$52&gt;0,Setup!$G$52+(Setup!$O$52+G$1)*Setup!$M$52,EDATE(Setup!$G$52,(Setup!$O$52+G$1)*Setup!$N$52))+$A29/1000)))</f>
        <v/>
      </c>
      <c r="H29">
        <f>IF(OR(Setup!$E$52="",Setup!$G$52="",Setup!$F$52=""),"",IF(AND(Setup!$F$52="Once",H$1&gt;0),"",IF(OR(IF(Setup!$M$52&gt;0,Setup!$G$52+(Setup!$O$52+H$1)*Setup!$M$52,EDATE(Setup!$G$52,(Setup!$O$52+H$1)*Setup!$N$52))&gt;Setup!$P$52,IF(Setup!$M$52&gt;0,Setup!$G$52+(Setup!$O$52+H$1)*Setup!$M$52,EDATE(Setup!$G$52,(Setup!$O$52+H$1)*Setup!$N$52))&lt;Setup!$D$5),"",IF(Setup!$M$52&gt;0,Setup!$G$52+(Setup!$O$52+H$1)*Setup!$M$52,EDATE(Setup!$G$52,(Setup!$O$52+H$1)*Setup!$N$52))+$A29/1000)))</f>
        <v/>
      </c>
      <c r="I29">
        <f>IF(OR(Setup!$E$52="",Setup!$G$52="",Setup!$F$52=""),"",IF(AND(Setup!$F$52="Once",I$1&gt;0),"",IF(OR(IF(Setup!$M$52&gt;0,Setup!$G$52+(Setup!$O$52+I$1)*Setup!$M$52,EDATE(Setup!$G$52,(Setup!$O$52+I$1)*Setup!$N$52))&gt;Setup!$P$52,IF(Setup!$M$52&gt;0,Setup!$G$52+(Setup!$O$52+I$1)*Setup!$M$52,EDATE(Setup!$G$52,(Setup!$O$52+I$1)*Setup!$N$52))&lt;Setup!$D$5),"",IF(Setup!$M$52&gt;0,Setup!$G$52+(Setup!$O$52+I$1)*Setup!$M$52,EDATE(Setup!$G$52,(Setup!$O$52+I$1)*Setup!$N$52))+$A29/1000)))</f>
        <v/>
      </c>
      <c r="J29">
        <f>IF(OR(Setup!$E$52="",Setup!$G$52="",Setup!$F$52=""),"",IF(AND(Setup!$F$52="Once",J$1&gt;0),"",IF(OR(IF(Setup!$M$52&gt;0,Setup!$G$52+(Setup!$O$52+J$1)*Setup!$M$52,EDATE(Setup!$G$52,(Setup!$O$52+J$1)*Setup!$N$52))&gt;Setup!$P$52,IF(Setup!$M$52&gt;0,Setup!$G$52+(Setup!$O$52+J$1)*Setup!$M$52,EDATE(Setup!$G$52,(Setup!$O$52+J$1)*Setup!$N$52))&lt;Setup!$D$5),"",IF(Setup!$M$52&gt;0,Setup!$G$52+(Setup!$O$52+J$1)*Setup!$M$52,EDATE(Setup!$G$52,(Setup!$O$52+J$1)*Setup!$N$52))+$A29/1000)))</f>
        <v/>
      </c>
      <c r="K29">
        <f>IF(OR(Setup!$E$52="",Setup!$G$52="",Setup!$F$52=""),"",IF(AND(Setup!$F$52="Once",K$1&gt;0),"",IF(OR(IF(Setup!$M$52&gt;0,Setup!$G$52+(Setup!$O$52+K$1)*Setup!$M$52,EDATE(Setup!$G$52,(Setup!$O$52+K$1)*Setup!$N$52))&gt;Setup!$P$52,IF(Setup!$M$52&gt;0,Setup!$G$52+(Setup!$O$52+K$1)*Setup!$M$52,EDATE(Setup!$G$52,(Setup!$O$52+K$1)*Setup!$N$52))&lt;Setup!$D$5),"",IF(Setup!$M$52&gt;0,Setup!$G$52+(Setup!$O$52+K$1)*Setup!$M$52,EDATE(Setup!$G$52,(Setup!$O$52+K$1)*Setup!$N$52))+$A29/1000)))</f>
        <v/>
      </c>
      <c r="L29">
        <f>IF(OR(Setup!$E$52="",Setup!$G$52="",Setup!$F$52=""),"",IF(AND(Setup!$F$52="Once",L$1&gt;0),"",IF(OR(IF(Setup!$M$52&gt;0,Setup!$G$52+(Setup!$O$52+L$1)*Setup!$M$52,EDATE(Setup!$G$52,(Setup!$O$52+L$1)*Setup!$N$52))&gt;Setup!$P$52,IF(Setup!$M$52&gt;0,Setup!$G$52+(Setup!$O$52+L$1)*Setup!$M$52,EDATE(Setup!$G$52,(Setup!$O$52+L$1)*Setup!$N$52))&lt;Setup!$D$5),"",IF(Setup!$M$52&gt;0,Setup!$G$52+(Setup!$O$52+L$1)*Setup!$M$52,EDATE(Setup!$G$52,(Setup!$O$52+L$1)*Setup!$N$52))+$A29/1000)))</f>
        <v/>
      </c>
      <c r="M29">
        <f>IF(OR(Setup!$E$52="",Setup!$G$52="",Setup!$F$52=""),"",IF(AND(Setup!$F$52="Once",M$1&gt;0),"",IF(OR(IF(Setup!$M$52&gt;0,Setup!$G$52+(Setup!$O$52+M$1)*Setup!$M$52,EDATE(Setup!$G$52,(Setup!$O$52+M$1)*Setup!$N$52))&gt;Setup!$P$52,IF(Setup!$M$52&gt;0,Setup!$G$52+(Setup!$O$52+M$1)*Setup!$M$52,EDATE(Setup!$G$52,(Setup!$O$52+M$1)*Setup!$N$52))&lt;Setup!$D$5),"",IF(Setup!$M$52&gt;0,Setup!$G$52+(Setup!$O$52+M$1)*Setup!$M$52,EDATE(Setup!$G$52,(Setup!$O$52+M$1)*Setup!$N$52))+$A29/1000)))</f>
        <v/>
      </c>
      <c r="N29">
        <f>IF(OR(Setup!$E$52="",Setup!$G$52="",Setup!$F$52=""),"",IF(AND(Setup!$F$52="Once",N$1&gt;0),"",IF(OR(IF(Setup!$M$52&gt;0,Setup!$G$52+(Setup!$O$52+N$1)*Setup!$M$52,EDATE(Setup!$G$52,(Setup!$O$52+N$1)*Setup!$N$52))&gt;Setup!$P$52,IF(Setup!$M$52&gt;0,Setup!$G$52+(Setup!$O$52+N$1)*Setup!$M$52,EDATE(Setup!$G$52,(Setup!$O$52+N$1)*Setup!$N$52))&lt;Setup!$D$5),"",IF(Setup!$M$52&gt;0,Setup!$G$52+(Setup!$O$52+N$1)*Setup!$M$52,EDATE(Setup!$G$52,(Setup!$O$52+N$1)*Setup!$N$52))+$A29/1000)))</f>
        <v/>
      </c>
      <c r="O29">
        <f>IF(OR(Setup!$E$52="",Setup!$G$52="",Setup!$F$52=""),"",IF(AND(Setup!$F$52="Once",O$1&gt;0),"",IF(OR(IF(Setup!$M$52&gt;0,Setup!$G$52+(Setup!$O$52+O$1)*Setup!$M$52,EDATE(Setup!$G$52,(Setup!$O$52+O$1)*Setup!$N$52))&gt;Setup!$P$52,IF(Setup!$M$52&gt;0,Setup!$G$52+(Setup!$O$52+O$1)*Setup!$M$52,EDATE(Setup!$G$52,(Setup!$O$52+O$1)*Setup!$N$52))&lt;Setup!$D$5),"",IF(Setup!$M$52&gt;0,Setup!$G$52+(Setup!$O$52+O$1)*Setup!$M$52,EDATE(Setup!$G$52,(Setup!$O$52+O$1)*Setup!$N$52))+$A29/1000)))</f>
        <v/>
      </c>
      <c r="P29">
        <f>IF(OR(Setup!$E$52="",Setup!$G$52="",Setup!$F$52=""),"",IF(AND(Setup!$F$52="Once",P$1&gt;0),"",IF(OR(IF(Setup!$M$52&gt;0,Setup!$G$52+(Setup!$O$52+P$1)*Setup!$M$52,EDATE(Setup!$G$52,(Setup!$O$52+P$1)*Setup!$N$52))&gt;Setup!$P$52,IF(Setup!$M$52&gt;0,Setup!$G$52+(Setup!$O$52+P$1)*Setup!$M$52,EDATE(Setup!$G$52,(Setup!$O$52+P$1)*Setup!$N$52))&lt;Setup!$D$5),"",IF(Setup!$M$52&gt;0,Setup!$G$52+(Setup!$O$52+P$1)*Setup!$M$52,EDATE(Setup!$G$52,(Setup!$O$52+P$1)*Setup!$N$52))+$A29/1000)))</f>
        <v/>
      </c>
      <c r="Q29">
        <f>IF(OR(Setup!$E$52="",Setup!$G$52="",Setup!$F$52=""),"",IF(AND(Setup!$F$52="Once",Q$1&gt;0),"",IF(OR(IF(Setup!$M$52&gt;0,Setup!$G$52+(Setup!$O$52+Q$1)*Setup!$M$52,EDATE(Setup!$G$52,(Setup!$O$52+Q$1)*Setup!$N$52))&gt;Setup!$P$52,IF(Setup!$M$52&gt;0,Setup!$G$52+(Setup!$O$52+Q$1)*Setup!$M$52,EDATE(Setup!$G$52,(Setup!$O$52+Q$1)*Setup!$N$52))&lt;Setup!$D$5),"",IF(Setup!$M$52&gt;0,Setup!$G$52+(Setup!$O$52+Q$1)*Setup!$M$52,EDATE(Setup!$G$52,(Setup!$O$52+Q$1)*Setup!$N$52))+$A29/1000)))</f>
        <v/>
      </c>
      <c r="R29">
        <f>IF(OR(Setup!$E$52="",Setup!$G$52="",Setup!$F$52=""),"",IF(AND(Setup!$F$52="Once",R$1&gt;0),"",IF(OR(IF(Setup!$M$52&gt;0,Setup!$G$52+(Setup!$O$52+R$1)*Setup!$M$52,EDATE(Setup!$G$52,(Setup!$O$52+R$1)*Setup!$N$52))&gt;Setup!$P$52,IF(Setup!$M$52&gt;0,Setup!$G$52+(Setup!$O$52+R$1)*Setup!$M$52,EDATE(Setup!$G$52,(Setup!$O$52+R$1)*Setup!$N$52))&lt;Setup!$D$5),"",IF(Setup!$M$52&gt;0,Setup!$G$52+(Setup!$O$52+R$1)*Setup!$M$52,EDATE(Setup!$G$52,(Setup!$O$52+R$1)*Setup!$N$52))+$A29/1000)))</f>
        <v/>
      </c>
      <c r="S29">
        <f>IF(OR(Setup!$E$52="",Setup!$G$52="",Setup!$F$52=""),"",IF(AND(Setup!$F$52="Once",S$1&gt;0),"",IF(OR(IF(Setup!$M$52&gt;0,Setup!$G$52+(Setup!$O$52+S$1)*Setup!$M$52,EDATE(Setup!$G$52,(Setup!$O$52+S$1)*Setup!$N$52))&gt;Setup!$P$52,IF(Setup!$M$52&gt;0,Setup!$G$52+(Setup!$O$52+S$1)*Setup!$M$52,EDATE(Setup!$G$52,(Setup!$O$52+S$1)*Setup!$N$52))&lt;Setup!$D$5),"",IF(Setup!$M$52&gt;0,Setup!$G$52+(Setup!$O$52+S$1)*Setup!$M$52,EDATE(Setup!$G$52,(Setup!$O$52+S$1)*Setup!$N$52))+$A29/1000)))</f>
        <v/>
      </c>
      <c r="T29">
        <f>IF(OR(Setup!$E$52="",Setup!$G$52="",Setup!$F$52=""),"",IF(AND(Setup!$F$52="Once",T$1&gt;0),"",IF(OR(IF(Setup!$M$52&gt;0,Setup!$G$52+(Setup!$O$52+T$1)*Setup!$M$52,EDATE(Setup!$G$52,(Setup!$O$52+T$1)*Setup!$N$52))&gt;Setup!$P$52,IF(Setup!$M$52&gt;0,Setup!$G$52+(Setup!$O$52+T$1)*Setup!$M$52,EDATE(Setup!$G$52,(Setup!$O$52+T$1)*Setup!$N$52))&lt;Setup!$D$5),"",IF(Setup!$M$52&gt;0,Setup!$G$52+(Setup!$O$52+T$1)*Setup!$M$52,EDATE(Setup!$G$52,(Setup!$O$52+T$1)*Setup!$N$52))+$A29/1000)))</f>
        <v/>
      </c>
      <c r="U29">
        <f>IF(OR(Setup!$E$52="",Setup!$G$52="",Setup!$F$52=""),"",IF(AND(Setup!$F$52="Once",U$1&gt;0),"",IF(OR(IF(Setup!$M$52&gt;0,Setup!$G$52+(Setup!$O$52+U$1)*Setup!$M$52,EDATE(Setup!$G$52,(Setup!$O$52+U$1)*Setup!$N$52))&gt;Setup!$P$52,IF(Setup!$M$52&gt;0,Setup!$G$52+(Setup!$O$52+U$1)*Setup!$M$52,EDATE(Setup!$G$52,(Setup!$O$52+U$1)*Setup!$N$52))&lt;Setup!$D$5),"",IF(Setup!$M$52&gt;0,Setup!$G$52+(Setup!$O$52+U$1)*Setup!$M$52,EDATE(Setup!$G$52,(Setup!$O$52+U$1)*Setup!$N$52))+$A29/1000)))</f>
        <v/>
      </c>
      <c r="V29">
        <f>IF(OR(Setup!$E$52="",Setup!$G$52="",Setup!$F$52=""),"",IF(AND(Setup!$F$52="Once",V$1&gt;0),"",IF(OR(IF(Setup!$M$52&gt;0,Setup!$G$52+(Setup!$O$52+V$1)*Setup!$M$52,EDATE(Setup!$G$52,(Setup!$O$52+V$1)*Setup!$N$52))&gt;Setup!$P$52,IF(Setup!$M$52&gt;0,Setup!$G$52+(Setup!$O$52+V$1)*Setup!$M$52,EDATE(Setup!$G$52,(Setup!$O$52+V$1)*Setup!$N$52))&lt;Setup!$D$5),"",IF(Setup!$M$52&gt;0,Setup!$G$52+(Setup!$O$52+V$1)*Setup!$M$52,EDATE(Setup!$G$52,(Setup!$O$52+V$1)*Setup!$N$52))+$A29/1000)))</f>
        <v/>
      </c>
      <c r="W29">
        <f>IF(OR(Setup!$E$52="",Setup!$G$52="",Setup!$F$52=""),"",IF(AND(Setup!$F$52="Once",W$1&gt;0),"",IF(OR(IF(Setup!$M$52&gt;0,Setup!$G$52+(Setup!$O$52+W$1)*Setup!$M$52,EDATE(Setup!$G$52,(Setup!$O$52+W$1)*Setup!$N$52))&gt;Setup!$P$52,IF(Setup!$M$52&gt;0,Setup!$G$52+(Setup!$O$52+W$1)*Setup!$M$52,EDATE(Setup!$G$52,(Setup!$O$52+W$1)*Setup!$N$52))&lt;Setup!$D$5),"",IF(Setup!$M$52&gt;0,Setup!$G$52+(Setup!$O$52+W$1)*Setup!$M$52,EDATE(Setup!$G$52,(Setup!$O$52+W$1)*Setup!$N$52))+$A29/1000)))</f>
        <v/>
      </c>
      <c r="X29">
        <f>IF(OR(Setup!$E$52="",Setup!$G$52="",Setup!$F$52=""),"",IF(AND(Setup!$F$52="Once",X$1&gt;0),"",IF(OR(IF(Setup!$M$52&gt;0,Setup!$G$52+(Setup!$O$52+X$1)*Setup!$M$52,EDATE(Setup!$G$52,(Setup!$O$52+X$1)*Setup!$N$52))&gt;Setup!$P$52,IF(Setup!$M$52&gt;0,Setup!$G$52+(Setup!$O$52+X$1)*Setup!$M$52,EDATE(Setup!$G$52,(Setup!$O$52+X$1)*Setup!$N$52))&lt;Setup!$D$5),"",IF(Setup!$M$52&gt;0,Setup!$G$52+(Setup!$O$52+X$1)*Setup!$M$52,EDATE(Setup!$G$52,(Setup!$O$52+X$1)*Setup!$N$52))+$A29/1000)))</f>
        <v/>
      </c>
      <c r="Y29">
        <f>IF(OR(Setup!$E$52="",Setup!$G$52="",Setup!$F$52=""),"",IF(AND(Setup!$F$52="Once",Y$1&gt;0),"",IF(OR(IF(Setup!$M$52&gt;0,Setup!$G$52+(Setup!$O$52+Y$1)*Setup!$M$52,EDATE(Setup!$G$52,(Setup!$O$52+Y$1)*Setup!$N$52))&gt;Setup!$P$52,IF(Setup!$M$52&gt;0,Setup!$G$52+(Setup!$O$52+Y$1)*Setup!$M$52,EDATE(Setup!$G$52,(Setup!$O$52+Y$1)*Setup!$N$52))&lt;Setup!$D$5),"",IF(Setup!$M$52&gt;0,Setup!$G$52+(Setup!$O$52+Y$1)*Setup!$M$52,EDATE(Setup!$G$52,(Setup!$O$52+Y$1)*Setup!$N$52))+$A29/1000)))</f>
        <v/>
      </c>
      <c r="Z29">
        <f>IF(OR(Setup!$E$52="",Setup!$G$52="",Setup!$F$52=""),"",IF(AND(Setup!$F$52="Once",Z$1&gt;0),"",IF(OR(IF(Setup!$M$52&gt;0,Setup!$G$52+(Setup!$O$52+Z$1)*Setup!$M$52,EDATE(Setup!$G$52,(Setup!$O$52+Z$1)*Setup!$N$52))&gt;Setup!$P$52,IF(Setup!$M$52&gt;0,Setup!$G$52+(Setup!$O$52+Z$1)*Setup!$M$52,EDATE(Setup!$G$52,(Setup!$O$52+Z$1)*Setup!$N$52))&lt;Setup!$D$5),"",IF(Setup!$M$52&gt;0,Setup!$G$52+(Setup!$O$52+Z$1)*Setup!$M$52,EDATE(Setup!$G$52,(Setup!$O$52+Z$1)*Setup!$N$52))+$A29/1000)))</f>
        <v/>
      </c>
      <c r="AA29">
        <f>IF(OR(Setup!$E$52="",Setup!$G$52="",Setup!$F$52=""),"",IF(AND(Setup!$F$52="Once",AA$1&gt;0),"",IF(OR(IF(Setup!$M$52&gt;0,Setup!$G$52+(Setup!$O$52+AA$1)*Setup!$M$52,EDATE(Setup!$G$52,(Setup!$O$52+AA$1)*Setup!$N$52))&gt;Setup!$P$52,IF(Setup!$M$52&gt;0,Setup!$G$52+(Setup!$O$52+AA$1)*Setup!$M$52,EDATE(Setup!$G$52,(Setup!$O$52+AA$1)*Setup!$N$52))&lt;Setup!$D$5),"",IF(Setup!$M$52&gt;0,Setup!$G$52+(Setup!$O$52+AA$1)*Setup!$M$52,EDATE(Setup!$G$52,(Setup!$O$52+AA$1)*Setup!$N$52))+$A29/1000)))</f>
        <v/>
      </c>
      <c r="AB29">
        <f>IF(OR(Setup!$E$52="",Setup!$G$52="",Setup!$F$52=""),"",IF(AND(Setup!$F$52="Once",AB$1&gt;0),"",IF(OR(IF(Setup!$M$52&gt;0,Setup!$G$52+(Setup!$O$52+AB$1)*Setup!$M$52,EDATE(Setup!$G$52,(Setup!$O$52+AB$1)*Setup!$N$52))&gt;Setup!$P$52,IF(Setup!$M$52&gt;0,Setup!$G$52+(Setup!$O$52+AB$1)*Setup!$M$52,EDATE(Setup!$G$52,(Setup!$O$52+AB$1)*Setup!$N$52))&lt;Setup!$D$5),"",IF(Setup!$M$52&gt;0,Setup!$G$52+(Setup!$O$52+AB$1)*Setup!$M$52,EDATE(Setup!$G$52,(Setup!$O$52+AB$1)*Setup!$N$52))+$A29/1000)))</f>
        <v/>
      </c>
      <c r="AC29">
        <f>IF(OR(Setup!$E$52="",Setup!$G$52="",Setup!$F$52=""),"",IF(AND(Setup!$F$52="Once",AC$1&gt;0),"",IF(OR(IF(Setup!$M$52&gt;0,Setup!$G$52+(Setup!$O$52+AC$1)*Setup!$M$52,EDATE(Setup!$G$52,(Setup!$O$52+AC$1)*Setup!$N$52))&gt;Setup!$P$52,IF(Setup!$M$52&gt;0,Setup!$G$52+(Setup!$O$52+AC$1)*Setup!$M$52,EDATE(Setup!$G$52,(Setup!$O$52+AC$1)*Setup!$N$52))&lt;Setup!$D$5),"",IF(Setup!$M$52&gt;0,Setup!$G$52+(Setup!$O$52+AC$1)*Setup!$M$52,EDATE(Setup!$G$52,(Setup!$O$52+AC$1)*Setup!$N$52))+$A29/1000)))</f>
        <v/>
      </c>
      <c r="AD29">
        <f>IF(OR(Setup!$E$52="",Setup!$G$52="",Setup!$F$52=""),"",IF(AND(Setup!$F$52="Once",AD$1&gt;0),"",IF(OR(IF(Setup!$M$52&gt;0,Setup!$G$52+(Setup!$O$52+AD$1)*Setup!$M$52,EDATE(Setup!$G$52,(Setup!$O$52+AD$1)*Setup!$N$52))&gt;Setup!$P$52,IF(Setup!$M$52&gt;0,Setup!$G$52+(Setup!$O$52+AD$1)*Setup!$M$52,EDATE(Setup!$G$52,(Setup!$O$52+AD$1)*Setup!$N$52))&lt;Setup!$D$5),"",IF(Setup!$M$52&gt;0,Setup!$G$52+(Setup!$O$52+AD$1)*Setup!$M$52,EDATE(Setup!$G$52,(Setup!$O$52+AD$1)*Setup!$N$52))+$A29/1000)))</f>
        <v/>
      </c>
      <c r="AE29">
        <f>IF(OR(Setup!$E$52="",Setup!$G$52="",Setup!$F$52=""),"",IF(AND(Setup!$F$52="Once",AE$1&gt;0),"",IF(OR(IF(Setup!$M$52&gt;0,Setup!$G$52+(Setup!$O$52+AE$1)*Setup!$M$52,EDATE(Setup!$G$52,(Setup!$O$52+AE$1)*Setup!$N$52))&gt;Setup!$P$52,IF(Setup!$M$52&gt;0,Setup!$G$52+(Setup!$O$52+AE$1)*Setup!$M$52,EDATE(Setup!$G$52,(Setup!$O$52+AE$1)*Setup!$N$52))&lt;Setup!$D$5),"",IF(Setup!$M$52&gt;0,Setup!$G$52+(Setup!$O$52+AE$1)*Setup!$M$52,EDATE(Setup!$G$52,(Setup!$O$52+AE$1)*Setup!$N$52))+$A29/1000)))</f>
        <v/>
      </c>
      <c r="AF29">
        <f>IF(OR(Setup!$E$52="",Setup!$G$52="",Setup!$F$52=""),"",IF(AND(Setup!$F$52="Once",AF$1&gt;0),"",IF(OR(IF(Setup!$M$52&gt;0,Setup!$G$52+(Setup!$O$52+AF$1)*Setup!$M$52,EDATE(Setup!$G$52,(Setup!$O$52+AF$1)*Setup!$N$52))&gt;Setup!$P$52,IF(Setup!$M$52&gt;0,Setup!$G$52+(Setup!$O$52+AF$1)*Setup!$M$52,EDATE(Setup!$G$52,(Setup!$O$52+AF$1)*Setup!$N$52))&lt;Setup!$D$5),"",IF(Setup!$M$52&gt;0,Setup!$G$52+(Setup!$O$52+AF$1)*Setup!$M$52,EDATE(Setup!$G$52,(Setup!$O$52+AF$1)*Setup!$N$52))+$A29/1000)))</f>
        <v/>
      </c>
      <c r="AG29">
        <f>IF(OR(Setup!$E$52="",Setup!$G$52="",Setup!$F$52=""),"",IF(AND(Setup!$F$52="Once",AG$1&gt;0),"",IF(OR(IF(Setup!$M$52&gt;0,Setup!$G$52+(Setup!$O$52+AG$1)*Setup!$M$52,EDATE(Setup!$G$52,(Setup!$O$52+AG$1)*Setup!$N$52))&gt;Setup!$P$52,IF(Setup!$M$52&gt;0,Setup!$G$52+(Setup!$O$52+AG$1)*Setup!$M$52,EDATE(Setup!$G$52,(Setup!$O$52+AG$1)*Setup!$N$52))&lt;Setup!$D$5),"",IF(Setup!$M$52&gt;0,Setup!$G$52+(Setup!$O$52+AG$1)*Setup!$M$52,EDATE(Setup!$G$52,(Setup!$O$52+AG$1)*Setup!$N$52))+$A29/1000)))</f>
        <v/>
      </c>
      <c r="AH29">
        <f>IF(OR(Setup!$E$52="",Setup!$G$52="",Setup!$F$52=""),"",IF(AND(Setup!$F$52="Once",AH$1&gt;0),"",IF(OR(IF(Setup!$M$52&gt;0,Setup!$G$52+(Setup!$O$52+AH$1)*Setup!$M$52,EDATE(Setup!$G$52,(Setup!$O$52+AH$1)*Setup!$N$52))&gt;Setup!$P$52,IF(Setup!$M$52&gt;0,Setup!$G$52+(Setup!$O$52+AH$1)*Setup!$M$52,EDATE(Setup!$G$52,(Setup!$O$52+AH$1)*Setup!$N$52))&lt;Setup!$D$5),"",IF(Setup!$M$52&gt;0,Setup!$G$52+(Setup!$O$52+AH$1)*Setup!$M$52,EDATE(Setup!$G$52,(Setup!$O$52+AH$1)*Setup!$N$52))+$A29/1000)))</f>
        <v/>
      </c>
      <c r="AI29">
        <f>IF(OR(Setup!$E$52="",Setup!$G$52="",Setup!$F$52=""),"",IF(AND(Setup!$F$52="Once",AI$1&gt;0),"",IF(OR(IF(Setup!$M$52&gt;0,Setup!$G$52+(Setup!$O$52+AI$1)*Setup!$M$52,EDATE(Setup!$G$52,(Setup!$O$52+AI$1)*Setup!$N$52))&gt;Setup!$P$52,IF(Setup!$M$52&gt;0,Setup!$G$52+(Setup!$O$52+AI$1)*Setup!$M$52,EDATE(Setup!$G$52,(Setup!$O$52+AI$1)*Setup!$N$52))&lt;Setup!$D$5),"",IF(Setup!$M$52&gt;0,Setup!$G$52+(Setup!$O$52+AI$1)*Setup!$M$52,EDATE(Setup!$G$52,(Setup!$O$52+AI$1)*Setup!$N$52))+$A29/1000)))</f>
        <v/>
      </c>
      <c r="AJ29">
        <f>IF(OR(Setup!$E$52="",Setup!$G$52="",Setup!$F$52=""),"",IF(AND(Setup!$F$52="Once",AJ$1&gt;0),"",IF(OR(IF(Setup!$M$52&gt;0,Setup!$G$52+(Setup!$O$52+AJ$1)*Setup!$M$52,EDATE(Setup!$G$52,(Setup!$O$52+AJ$1)*Setup!$N$52))&gt;Setup!$P$52,IF(Setup!$M$52&gt;0,Setup!$G$52+(Setup!$O$52+AJ$1)*Setup!$M$52,EDATE(Setup!$G$52,(Setup!$O$52+AJ$1)*Setup!$N$52))&lt;Setup!$D$5),"",IF(Setup!$M$52&gt;0,Setup!$G$52+(Setup!$O$52+AJ$1)*Setup!$M$52,EDATE(Setup!$G$52,(Setup!$O$52+AJ$1)*Setup!$N$52))+$A29/1000)))</f>
        <v/>
      </c>
      <c r="AK29">
        <f>IF(OR(Setup!$E$52="",Setup!$G$52="",Setup!$F$52=""),"",IF(AND(Setup!$F$52="Once",AK$1&gt;0),"",IF(OR(IF(Setup!$M$52&gt;0,Setup!$G$52+(Setup!$O$52+AK$1)*Setup!$M$52,EDATE(Setup!$G$52,(Setup!$O$52+AK$1)*Setup!$N$52))&gt;Setup!$P$52,IF(Setup!$M$52&gt;0,Setup!$G$52+(Setup!$O$52+AK$1)*Setup!$M$52,EDATE(Setup!$G$52,(Setup!$O$52+AK$1)*Setup!$N$52))&lt;Setup!$D$5),"",IF(Setup!$M$52&gt;0,Setup!$G$52+(Setup!$O$52+AK$1)*Setup!$M$52,EDATE(Setup!$G$52,(Setup!$O$52+AK$1)*Setup!$N$52))+$A29/1000)))</f>
        <v/>
      </c>
      <c r="AL29">
        <f>IF(OR(Setup!$E$52="",Setup!$G$52="",Setup!$F$52=""),"",IF(AND(Setup!$F$52="Once",AL$1&gt;0),"",IF(OR(IF(Setup!$M$52&gt;0,Setup!$G$52+(Setup!$O$52+AL$1)*Setup!$M$52,EDATE(Setup!$G$52,(Setup!$O$52+AL$1)*Setup!$N$52))&gt;Setup!$P$52,IF(Setup!$M$52&gt;0,Setup!$G$52+(Setup!$O$52+AL$1)*Setup!$M$52,EDATE(Setup!$G$52,(Setup!$O$52+AL$1)*Setup!$N$52))&lt;Setup!$D$5),"",IF(Setup!$M$52&gt;0,Setup!$G$52+(Setup!$O$52+AL$1)*Setup!$M$52,EDATE(Setup!$G$52,(Setup!$O$52+AL$1)*Setup!$N$52))+$A29/1000)))</f>
        <v/>
      </c>
      <c r="AM29">
        <f>IF(OR(Setup!$E$52="",Setup!$G$52="",Setup!$F$52=""),"",IF(AND(Setup!$F$52="Once",AM$1&gt;0),"",IF(OR(IF(Setup!$M$52&gt;0,Setup!$G$52+(Setup!$O$52+AM$1)*Setup!$M$52,EDATE(Setup!$G$52,(Setup!$O$52+AM$1)*Setup!$N$52))&gt;Setup!$P$52,IF(Setup!$M$52&gt;0,Setup!$G$52+(Setup!$O$52+AM$1)*Setup!$M$52,EDATE(Setup!$G$52,(Setup!$O$52+AM$1)*Setup!$N$52))&lt;Setup!$D$5),"",IF(Setup!$M$52&gt;0,Setup!$G$52+(Setup!$O$52+AM$1)*Setup!$M$52,EDATE(Setup!$G$52,(Setup!$O$52+AM$1)*Setup!$N$52))+$A29/1000)))</f>
        <v/>
      </c>
      <c r="AN29">
        <f>IF(OR(Setup!$E$52="",Setup!$G$52="",Setup!$F$52=""),"",IF(AND(Setup!$F$52="Once",AN$1&gt;0),"",IF(OR(IF(Setup!$M$52&gt;0,Setup!$G$52+(Setup!$O$52+AN$1)*Setup!$M$52,EDATE(Setup!$G$52,(Setup!$O$52+AN$1)*Setup!$N$52))&gt;Setup!$P$52,IF(Setup!$M$52&gt;0,Setup!$G$52+(Setup!$O$52+AN$1)*Setup!$M$52,EDATE(Setup!$G$52,(Setup!$O$52+AN$1)*Setup!$N$52))&lt;Setup!$D$5),"",IF(Setup!$M$52&gt;0,Setup!$G$52+(Setup!$O$52+AN$1)*Setup!$M$52,EDATE(Setup!$G$52,(Setup!$O$52+AN$1)*Setup!$N$52))+$A29/1000)))</f>
        <v/>
      </c>
      <c r="AO29">
        <f>IF(OR(Setup!$E$52="",Setup!$G$52="",Setup!$F$52=""),"",IF(AND(Setup!$F$52="Once",AO$1&gt;0),"",IF(OR(IF(Setup!$M$52&gt;0,Setup!$G$52+(Setup!$O$52+AO$1)*Setup!$M$52,EDATE(Setup!$G$52,(Setup!$O$52+AO$1)*Setup!$N$52))&gt;Setup!$P$52,IF(Setup!$M$52&gt;0,Setup!$G$52+(Setup!$O$52+AO$1)*Setup!$M$52,EDATE(Setup!$G$52,(Setup!$O$52+AO$1)*Setup!$N$52))&lt;Setup!$D$5),"",IF(Setup!$M$52&gt;0,Setup!$G$52+(Setup!$O$52+AO$1)*Setup!$M$52,EDATE(Setup!$G$52,(Setup!$O$52+AO$1)*Setup!$N$52))+$A29/1000)))</f>
        <v/>
      </c>
      <c r="AP29">
        <f>IF(OR(Setup!$E$52="",Setup!$G$52="",Setup!$F$52=""),"",IF(AND(Setup!$F$52="Once",AP$1&gt;0),"",IF(OR(IF(Setup!$M$52&gt;0,Setup!$G$52+(Setup!$O$52+AP$1)*Setup!$M$52,EDATE(Setup!$G$52,(Setup!$O$52+AP$1)*Setup!$N$52))&gt;Setup!$P$52,IF(Setup!$M$52&gt;0,Setup!$G$52+(Setup!$O$52+AP$1)*Setup!$M$52,EDATE(Setup!$G$52,(Setup!$O$52+AP$1)*Setup!$N$52))&lt;Setup!$D$5),"",IF(Setup!$M$52&gt;0,Setup!$G$52+(Setup!$O$52+AP$1)*Setup!$M$52,EDATE(Setup!$G$52,(Setup!$O$52+AP$1)*Setup!$N$52))+$A29/1000)))</f>
        <v/>
      </c>
      <c r="AQ29">
        <f>IF(OR(Setup!$E$52="",Setup!$G$52="",Setup!$F$52=""),"",IF(AND(Setup!$F$52="Once",AQ$1&gt;0),"",IF(OR(IF(Setup!$M$52&gt;0,Setup!$G$52+(Setup!$O$52+AQ$1)*Setup!$M$52,EDATE(Setup!$G$52,(Setup!$O$52+AQ$1)*Setup!$N$52))&gt;Setup!$P$52,IF(Setup!$M$52&gt;0,Setup!$G$52+(Setup!$O$52+AQ$1)*Setup!$M$52,EDATE(Setup!$G$52,(Setup!$O$52+AQ$1)*Setup!$N$52))&lt;Setup!$D$5),"",IF(Setup!$M$52&gt;0,Setup!$G$52+(Setup!$O$52+AQ$1)*Setup!$M$52,EDATE(Setup!$G$52,(Setup!$O$52+AQ$1)*Setup!$N$52))+$A29/1000)))</f>
        <v/>
      </c>
      <c r="AR29">
        <f>IF(OR(Setup!$E$52="",Setup!$G$52="",Setup!$F$52=""),"",IF(AND(Setup!$F$52="Once",AR$1&gt;0),"",IF(OR(IF(Setup!$M$52&gt;0,Setup!$G$52+(Setup!$O$52+AR$1)*Setup!$M$52,EDATE(Setup!$G$52,(Setup!$O$52+AR$1)*Setup!$N$52))&gt;Setup!$P$52,IF(Setup!$M$52&gt;0,Setup!$G$52+(Setup!$O$52+AR$1)*Setup!$M$52,EDATE(Setup!$G$52,(Setup!$O$52+AR$1)*Setup!$N$52))&lt;Setup!$D$5),"",IF(Setup!$M$52&gt;0,Setup!$G$52+(Setup!$O$52+AR$1)*Setup!$M$52,EDATE(Setup!$G$52,(Setup!$O$52+AR$1)*Setup!$N$52))+$A29/1000)))</f>
        <v/>
      </c>
      <c r="AS29">
        <f>IF(OR(Setup!$E$52="",Setup!$G$52="",Setup!$F$52=""),"",IF(AND(Setup!$F$52="Once",AS$1&gt;0),"",IF(OR(IF(Setup!$M$52&gt;0,Setup!$G$52+(Setup!$O$52+AS$1)*Setup!$M$52,EDATE(Setup!$G$52,(Setup!$O$52+AS$1)*Setup!$N$52))&gt;Setup!$P$52,IF(Setup!$M$52&gt;0,Setup!$G$52+(Setup!$O$52+AS$1)*Setup!$M$52,EDATE(Setup!$G$52,(Setup!$O$52+AS$1)*Setup!$N$52))&lt;Setup!$D$5),"",IF(Setup!$M$52&gt;0,Setup!$G$52+(Setup!$O$52+AS$1)*Setup!$M$52,EDATE(Setup!$G$52,(Setup!$O$52+AS$1)*Setup!$N$52))+$A29/1000)))</f>
        <v/>
      </c>
      <c r="AT29">
        <f>IF(OR(Setup!$E$52="",Setup!$G$52="",Setup!$F$52=""),"",IF(AND(Setup!$F$52="Once",AT$1&gt;0),"",IF(OR(IF(Setup!$M$52&gt;0,Setup!$G$52+(Setup!$O$52+AT$1)*Setup!$M$52,EDATE(Setup!$G$52,(Setup!$O$52+AT$1)*Setup!$N$52))&gt;Setup!$P$52,IF(Setup!$M$52&gt;0,Setup!$G$52+(Setup!$O$52+AT$1)*Setup!$M$52,EDATE(Setup!$G$52,(Setup!$O$52+AT$1)*Setup!$N$52))&lt;Setup!$D$5),"",IF(Setup!$M$52&gt;0,Setup!$G$52+(Setup!$O$52+AT$1)*Setup!$M$52,EDATE(Setup!$G$52,(Setup!$O$52+AT$1)*Setup!$N$52))+$A29/1000)))</f>
        <v/>
      </c>
      <c r="AU29">
        <f>IF(OR(Setup!$E$52="",Setup!$G$52="",Setup!$F$52=""),"",IF(AND(Setup!$F$52="Once",AU$1&gt;0),"",IF(OR(IF(Setup!$M$52&gt;0,Setup!$G$52+(Setup!$O$52+AU$1)*Setup!$M$52,EDATE(Setup!$G$52,(Setup!$O$52+AU$1)*Setup!$N$52))&gt;Setup!$P$52,IF(Setup!$M$52&gt;0,Setup!$G$52+(Setup!$O$52+AU$1)*Setup!$M$52,EDATE(Setup!$G$52,(Setup!$O$52+AU$1)*Setup!$N$52))&lt;Setup!$D$5),"",IF(Setup!$M$52&gt;0,Setup!$G$52+(Setup!$O$52+AU$1)*Setup!$M$52,EDATE(Setup!$G$52,(Setup!$O$52+AU$1)*Setup!$N$52))+$A29/1000)))</f>
        <v/>
      </c>
      <c r="AV29">
        <f>IF(OR(Setup!$E$52="",Setup!$G$52="",Setup!$F$52=""),"",IF(AND(Setup!$F$52="Once",AV$1&gt;0),"",IF(OR(IF(Setup!$M$52&gt;0,Setup!$G$52+(Setup!$O$52+AV$1)*Setup!$M$52,EDATE(Setup!$G$52,(Setup!$O$52+AV$1)*Setup!$N$52))&gt;Setup!$P$52,IF(Setup!$M$52&gt;0,Setup!$G$52+(Setup!$O$52+AV$1)*Setup!$M$52,EDATE(Setup!$G$52,(Setup!$O$52+AV$1)*Setup!$N$52))&lt;Setup!$D$5),"",IF(Setup!$M$52&gt;0,Setup!$G$52+(Setup!$O$52+AV$1)*Setup!$M$52,EDATE(Setup!$G$52,(Setup!$O$52+AV$1)*Setup!$N$52))+$A29/1000)))</f>
        <v/>
      </c>
      <c r="AW29">
        <f>IF(OR(Setup!$E$52="",Setup!$G$52="",Setup!$F$52=""),"",IF(AND(Setup!$F$52="Once",AW$1&gt;0),"",IF(OR(IF(Setup!$M$52&gt;0,Setup!$G$52+(Setup!$O$52+AW$1)*Setup!$M$52,EDATE(Setup!$G$52,(Setup!$O$52+AW$1)*Setup!$N$52))&gt;Setup!$P$52,IF(Setup!$M$52&gt;0,Setup!$G$52+(Setup!$O$52+AW$1)*Setup!$M$52,EDATE(Setup!$G$52,(Setup!$O$52+AW$1)*Setup!$N$52))&lt;Setup!$D$5),"",IF(Setup!$M$52&gt;0,Setup!$G$52+(Setup!$O$52+AW$1)*Setup!$M$52,EDATE(Setup!$G$52,(Setup!$O$52+AW$1)*Setup!$N$52))+$A29/1000)))</f>
        <v/>
      </c>
      <c r="AX29">
        <f>IF(OR(Setup!$E$52="",Setup!$G$52="",Setup!$F$52=""),"",IF(AND(Setup!$F$52="Once",AX$1&gt;0),"",IF(OR(IF(Setup!$M$52&gt;0,Setup!$G$52+(Setup!$O$52+AX$1)*Setup!$M$52,EDATE(Setup!$G$52,(Setup!$O$52+AX$1)*Setup!$N$52))&gt;Setup!$P$52,IF(Setup!$M$52&gt;0,Setup!$G$52+(Setup!$O$52+AX$1)*Setup!$M$52,EDATE(Setup!$G$52,(Setup!$O$52+AX$1)*Setup!$N$52))&lt;Setup!$D$5),"",IF(Setup!$M$52&gt;0,Setup!$G$52+(Setup!$O$52+AX$1)*Setup!$M$52,EDATE(Setup!$G$52,(Setup!$O$52+AX$1)*Setup!$N$52))+$A29/1000)))</f>
        <v/>
      </c>
      <c r="AY29">
        <f>IF(OR(Setup!$E$52="",Setup!$G$52="",Setup!$F$52=""),"",IF(AND(Setup!$F$52="Once",AY$1&gt;0),"",IF(OR(IF(Setup!$M$52&gt;0,Setup!$G$52+(Setup!$O$52+AY$1)*Setup!$M$52,EDATE(Setup!$G$52,(Setup!$O$52+AY$1)*Setup!$N$52))&gt;Setup!$P$52,IF(Setup!$M$52&gt;0,Setup!$G$52+(Setup!$O$52+AY$1)*Setup!$M$52,EDATE(Setup!$G$52,(Setup!$O$52+AY$1)*Setup!$N$52))&lt;Setup!$D$5),"",IF(Setup!$M$52&gt;0,Setup!$G$52+(Setup!$O$52+AY$1)*Setup!$M$52,EDATE(Setup!$G$52,(Setup!$O$52+AY$1)*Setup!$N$52))+$A29/1000)))</f>
        <v/>
      </c>
      <c r="AZ29">
        <f>IF(OR(Setup!$E$52="",Setup!$G$52="",Setup!$F$52=""),"",IF(AND(Setup!$F$52="Once",AZ$1&gt;0),"",IF(OR(IF(Setup!$M$52&gt;0,Setup!$G$52+(Setup!$O$52+AZ$1)*Setup!$M$52,EDATE(Setup!$G$52,(Setup!$O$52+AZ$1)*Setup!$N$52))&gt;Setup!$P$52,IF(Setup!$M$52&gt;0,Setup!$G$52+(Setup!$O$52+AZ$1)*Setup!$M$52,EDATE(Setup!$G$52,(Setup!$O$52+AZ$1)*Setup!$N$52))&lt;Setup!$D$5),"",IF(Setup!$M$52&gt;0,Setup!$G$52+(Setup!$O$52+AZ$1)*Setup!$M$52,EDATE(Setup!$G$52,(Setup!$O$52+AZ$1)*Setup!$N$52))+$A29/1000)))</f>
        <v/>
      </c>
      <c r="BA29">
        <f>IF(OR(Setup!$E$52="",Setup!$G$52="",Setup!$F$52=""),"",IF(AND(Setup!$F$52="Once",BA$1&gt;0),"",IF(OR(IF(Setup!$M$52&gt;0,Setup!$G$52+(Setup!$O$52+BA$1)*Setup!$M$52,EDATE(Setup!$G$52,(Setup!$O$52+BA$1)*Setup!$N$52))&gt;Setup!$P$52,IF(Setup!$M$52&gt;0,Setup!$G$52+(Setup!$O$52+BA$1)*Setup!$M$52,EDATE(Setup!$G$52,(Setup!$O$52+BA$1)*Setup!$N$52))&lt;Setup!$D$5),"",IF(Setup!$M$52&gt;0,Setup!$G$52+(Setup!$O$52+BA$1)*Setup!$M$52,EDATE(Setup!$G$52,(Setup!$O$52+BA$1)*Setup!$N$52))+$A29/1000)))</f>
        <v/>
      </c>
      <c r="BB29">
        <f>IF(OR(Setup!$E$52="",Setup!$G$52="",Setup!$F$52=""),"",IF(AND(Setup!$F$52="Once",BB$1&gt;0),"",IF(OR(IF(Setup!$M$52&gt;0,Setup!$G$52+(Setup!$O$52+BB$1)*Setup!$M$52,EDATE(Setup!$G$52,(Setup!$O$52+BB$1)*Setup!$N$52))&gt;Setup!$P$52,IF(Setup!$M$52&gt;0,Setup!$G$52+(Setup!$O$52+BB$1)*Setup!$M$52,EDATE(Setup!$G$52,(Setup!$O$52+BB$1)*Setup!$N$52))&lt;Setup!$D$5),"",IF(Setup!$M$52&gt;0,Setup!$G$52+(Setup!$O$52+BB$1)*Setup!$M$52,EDATE(Setup!$G$52,(Setup!$O$52+BB$1)*Setup!$N$52))+$A29/1000)))</f>
        <v/>
      </c>
    </row>
    <row r="30">
      <c r="A30" t="n">
        <v>29</v>
      </c>
      <c r="B30">
        <f>IF(OR(Setup!$E$53="",Setup!$G$53="",Setup!$F$53=""),"",IF(AND(Setup!$F$53="Once",B$1&gt;0),"",IF(OR(IF(Setup!$M$53&gt;0,Setup!$G$53+(Setup!$O$53+B$1)*Setup!$M$53,EDATE(Setup!$G$53,(Setup!$O$53+B$1)*Setup!$N$53))&gt;Setup!$P$53,IF(Setup!$M$53&gt;0,Setup!$G$53+(Setup!$O$53+B$1)*Setup!$M$53,EDATE(Setup!$G$53,(Setup!$O$53+B$1)*Setup!$N$53))&lt;Setup!$D$5),"",IF(Setup!$M$53&gt;0,Setup!$G$53+(Setup!$O$53+B$1)*Setup!$M$53,EDATE(Setup!$G$53,(Setup!$O$53+B$1)*Setup!$N$53))+$A30/1000)))</f>
        <v/>
      </c>
      <c r="C30">
        <f>IF(OR(Setup!$E$53="",Setup!$G$53="",Setup!$F$53=""),"",IF(AND(Setup!$F$53="Once",C$1&gt;0),"",IF(OR(IF(Setup!$M$53&gt;0,Setup!$G$53+(Setup!$O$53+C$1)*Setup!$M$53,EDATE(Setup!$G$53,(Setup!$O$53+C$1)*Setup!$N$53))&gt;Setup!$P$53,IF(Setup!$M$53&gt;0,Setup!$G$53+(Setup!$O$53+C$1)*Setup!$M$53,EDATE(Setup!$G$53,(Setup!$O$53+C$1)*Setup!$N$53))&lt;Setup!$D$5),"",IF(Setup!$M$53&gt;0,Setup!$G$53+(Setup!$O$53+C$1)*Setup!$M$53,EDATE(Setup!$G$53,(Setup!$O$53+C$1)*Setup!$N$53))+$A30/1000)))</f>
        <v/>
      </c>
      <c r="D30">
        <f>IF(OR(Setup!$E$53="",Setup!$G$53="",Setup!$F$53=""),"",IF(AND(Setup!$F$53="Once",D$1&gt;0),"",IF(OR(IF(Setup!$M$53&gt;0,Setup!$G$53+(Setup!$O$53+D$1)*Setup!$M$53,EDATE(Setup!$G$53,(Setup!$O$53+D$1)*Setup!$N$53))&gt;Setup!$P$53,IF(Setup!$M$53&gt;0,Setup!$G$53+(Setup!$O$53+D$1)*Setup!$M$53,EDATE(Setup!$G$53,(Setup!$O$53+D$1)*Setup!$N$53))&lt;Setup!$D$5),"",IF(Setup!$M$53&gt;0,Setup!$G$53+(Setup!$O$53+D$1)*Setup!$M$53,EDATE(Setup!$G$53,(Setup!$O$53+D$1)*Setup!$N$53))+$A30/1000)))</f>
        <v/>
      </c>
      <c r="E30">
        <f>IF(OR(Setup!$E$53="",Setup!$G$53="",Setup!$F$53=""),"",IF(AND(Setup!$F$53="Once",E$1&gt;0),"",IF(OR(IF(Setup!$M$53&gt;0,Setup!$G$53+(Setup!$O$53+E$1)*Setup!$M$53,EDATE(Setup!$G$53,(Setup!$O$53+E$1)*Setup!$N$53))&gt;Setup!$P$53,IF(Setup!$M$53&gt;0,Setup!$G$53+(Setup!$O$53+E$1)*Setup!$M$53,EDATE(Setup!$G$53,(Setup!$O$53+E$1)*Setup!$N$53))&lt;Setup!$D$5),"",IF(Setup!$M$53&gt;0,Setup!$G$53+(Setup!$O$53+E$1)*Setup!$M$53,EDATE(Setup!$G$53,(Setup!$O$53+E$1)*Setup!$N$53))+$A30/1000)))</f>
        <v/>
      </c>
      <c r="F30">
        <f>IF(OR(Setup!$E$53="",Setup!$G$53="",Setup!$F$53=""),"",IF(AND(Setup!$F$53="Once",F$1&gt;0),"",IF(OR(IF(Setup!$M$53&gt;0,Setup!$G$53+(Setup!$O$53+F$1)*Setup!$M$53,EDATE(Setup!$G$53,(Setup!$O$53+F$1)*Setup!$N$53))&gt;Setup!$P$53,IF(Setup!$M$53&gt;0,Setup!$G$53+(Setup!$O$53+F$1)*Setup!$M$53,EDATE(Setup!$G$53,(Setup!$O$53+F$1)*Setup!$N$53))&lt;Setup!$D$5),"",IF(Setup!$M$53&gt;0,Setup!$G$53+(Setup!$O$53+F$1)*Setup!$M$53,EDATE(Setup!$G$53,(Setup!$O$53+F$1)*Setup!$N$53))+$A30/1000)))</f>
        <v/>
      </c>
      <c r="G30">
        <f>IF(OR(Setup!$E$53="",Setup!$G$53="",Setup!$F$53=""),"",IF(AND(Setup!$F$53="Once",G$1&gt;0),"",IF(OR(IF(Setup!$M$53&gt;0,Setup!$G$53+(Setup!$O$53+G$1)*Setup!$M$53,EDATE(Setup!$G$53,(Setup!$O$53+G$1)*Setup!$N$53))&gt;Setup!$P$53,IF(Setup!$M$53&gt;0,Setup!$G$53+(Setup!$O$53+G$1)*Setup!$M$53,EDATE(Setup!$G$53,(Setup!$O$53+G$1)*Setup!$N$53))&lt;Setup!$D$5),"",IF(Setup!$M$53&gt;0,Setup!$G$53+(Setup!$O$53+G$1)*Setup!$M$53,EDATE(Setup!$G$53,(Setup!$O$53+G$1)*Setup!$N$53))+$A30/1000)))</f>
        <v/>
      </c>
      <c r="H30">
        <f>IF(OR(Setup!$E$53="",Setup!$G$53="",Setup!$F$53=""),"",IF(AND(Setup!$F$53="Once",H$1&gt;0),"",IF(OR(IF(Setup!$M$53&gt;0,Setup!$G$53+(Setup!$O$53+H$1)*Setup!$M$53,EDATE(Setup!$G$53,(Setup!$O$53+H$1)*Setup!$N$53))&gt;Setup!$P$53,IF(Setup!$M$53&gt;0,Setup!$G$53+(Setup!$O$53+H$1)*Setup!$M$53,EDATE(Setup!$G$53,(Setup!$O$53+H$1)*Setup!$N$53))&lt;Setup!$D$5),"",IF(Setup!$M$53&gt;0,Setup!$G$53+(Setup!$O$53+H$1)*Setup!$M$53,EDATE(Setup!$G$53,(Setup!$O$53+H$1)*Setup!$N$53))+$A30/1000)))</f>
        <v/>
      </c>
      <c r="I30">
        <f>IF(OR(Setup!$E$53="",Setup!$G$53="",Setup!$F$53=""),"",IF(AND(Setup!$F$53="Once",I$1&gt;0),"",IF(OR(IF(Setup!$M$53&gt;0,Setup!$G$53+(Setup!$O$53+I$1)*Setup!$M$53,EDATE(Setup!$G$53,(Setup!$O$53+I$1)*Setup!$N$53))&gt;Setup!$P$53,IF(Setup!$M$53&gt;0,Setup!$G$53+(Setup!$O$53+I$1)*Setup!$M$53,EDATE(Setup!$G$53,(Setup!$O$53+I$1)*Setup!$N$53))&lt;Setup!$D$5),"",IF(Setup!$M$53&gt;0,Setup!$G$53+(Setup!$O$53+I$1)*Setup!$M$53,EDATE(Setup!$G$53,(Setup!$O$53+I$1)*Setup!$N$53))+$A30/1000)))</f>
        <v/>
      </c>
      <c r="J30">
        <f>IF(OR(Setup!$E$53="",Setup!$G$53="",Setup!$F$53=""),"",IF(AND(Setup!$F$53="Once",J$1&gt;0),"",IF(OR(IF(Setup!$M$53&gt;0,Setup!$G$53+(Setup!$O$53+J$1)*Setup!$M$53,EDATE(Setup!$G$53,(Setup!$O$53+J$1)*Setup!$N$53))&gt;Setup!$P$53,IF(Setup!$M$53&gt;0,Setup!$G$53+(Setup!$O$53+J$1)*Setup!$M$53,EDATE(Setup!$G$53,(Setup!$O$53+J$1)*Setup!$N$53))&lt;Setup!$D$5),"",IF(Setup!$M$53&gt;0,Setup!$G$53+(Setup!$O$53+J$1)*Setup!$M$53,EDATE(Setup!$G$53,(Setup!$O$53+J$1)*Setup!$N$53))+$A30/1000)))</f>
        <v/>
      </c>
      <c r="K30">
        <f>IF(OR(Setup!$E$53="",Setup!$G$53="",Setup!$F$53=""),"",IF(AND(Setup!$F$53="Once",K$1&gt;0),"",IF(OR(IF(Setup!$M$53&gt;0,Setup!$G$53+(Setup!$O$53+K$1)*Setup!$M$53,EDATE(Setup!$G$53,(Setup!$O$53+K$1)*Setup!$N$53))&gt;Setup!$P$53,IF(Setup!$M$53&gt;0,Setup!$G$53+(Setup!$O$53+K$1)*Setup!$M$53,EDATE(Setup!$G$53,(Setup!$O$53+K$1)*Setup!$N$53))&lt;Setup!$D$5),"",IF(Setup!$M$53&gt;0,Setup!$G$53+(Setup!$O$53+K$1)*Setup!$M$53,EDATE(Setup!$G$53,(Setup!$O$53+K$1)*Setup!$N$53))+$A30/1000)))</f>
        <v/>
      </c>
      <c r="L30">
        <f>IF(OR(Setup!$E$53="",Setup!$G$53="",Setup!$F$53=""),"",IF(AND(Setup!$F$53="Once",L$1&gt;0),"",IF(OR(IF(Setup!$M$53&gt;0,Setup!$G$53+(Setup!$O$53+L$1)*Setup!$M$53,EDATE(Setup!$G$53,(Setup!$O$53+L$1)*Setup!$N$53))&gt;Setup!$P$53,IF(Setup!$M$53&gt;0,Setup!$G$53+(Setup!$O$53+L$1)*Setup!$M$53,EDATE(Setup!$G$53,(Setup!$O$53+L$1)*Setup!$N$53))&lt;Setup!$D$5),"",IF(Setup!$M$53&gt;0,Setup!$G$53+(Setup!$O$53+L$1)*Setup!$M$53,EDATE(Setup!$G$53,(Setup!$O$53+L$1)*Setup!$N$53))+$A30/1000)))</f>
        <v/>
      </c>
      <c r="M30">
        <f>IF(OR(Setup!$E$53="",Setup!$G$53="",Setup!$F$53=""),"",IF(AND(Setup!$F$53="Once",M$1&gt;0),"",IF(OR(IF(Setup!$M$53&gt;0,Setup!$G$53+(Setup!$O$53+M$1)*Setup!$M$53,EDATE(Setup!$G$53,(Setup!$O$53+M$1)*Setup!$N$53))&gt;Setup!$P$53,IF(Setup!$M$53&gt;0,Setup!$G$53+(Setup!$O$53+M$1)*Setup!$M$53,EDATE(Setup!$G$53,(Setup!$O$53+M$1)*Setup!$N$53))&lt;Setup!$D$5),"",IF(Setup!$M$53&gt;0,Setup!$G$53+(Setup!$O$53+M$1)*Setup!$M$53,EDATE(Setup!$G$53,(Setup!$O$53+M$1)*Setup!$N$53))+$A30/1000)))</f>
        <v/>
      </c>
      <c r="N30">
        <f>IF(OR(Setup!$E$53="",Setup!$G$53="",Setup!$F$53=""),"",IF(AND(Setup!$F$53="Once",N$1&gt;0),"",IF(OR(IF(Setup!$M$53&gt;0,Setup!$G$53+(Setup!$O$53+N$1)*Setup!$M$53,EDATE(Setup!$G$53,(Setup!$O$53+N$1)*Setup!$N$53))&gt;Setup!$P$53,IF(Setup!$M$53&gt;0,Setup!$G$53+(Setup!$O$53+N$1)*Setup!$M$53,EDATE(Setup!$G$53,(Setup!$O$53+N$1)*Setup!$N$53))&lt;Setup!$D$5),"",IF(Setup!$M$53&gt;0,Setup!$G$53+(Setup!$O$53+N$1)*Setup!$M$53,EDATE(Setup!$G$53,(Setup!$O$53+N$1)*Setup!$N$53))+$A30/1000)))</f>
        <v/>
      </c>
      <c r="O30">
        <f>IF(OR(Setup!$E$53="",Setup!$G$53="",Setup!$F$53=""),"",IF(AND(Setup!$F$53="Once",O$1&gt;0),"",IF(OR(IF(Setup!$M$53&gt;0,Setup!$G$53+(Setup!$O$53+O$1)*Setup!$M$53,EDATE(Setup!$G$53,(Setup!$O$53+O$1)*Setup!$N$53))&gt;Setup!$P$53,IF(Setup!$M$53&gt;0,Setup!$G$53+(Setup!$O$53+O$1)*Setup!$M$53,EDATE(Setup!$G$53,(Setup!$O$53+O$1)*Setup!$N$53))&lt;Setup!$D$5),"",IF(Setup!$M$53&gt;0,Setup!$G$53+(Setup!$O$53+O$1)*Setup!$M$53,EDATE(Setup!$G$53,(Setup!$O$53+O$1)*Setup!$N$53))+$A30/1000)))</f>
        <v/>
      </c>
      <c r="P30">
        <f>IF(OR(Setup!$E$53="",Setup!$G$53="",Setup!$F$53=""),"",IF(AND(Setup!$F$53="Once",P$1&gt;0),"",IF(OR(IF(Setup!$M$53&gt;0,Setup!$G$53+(Setup!$O$53+P$1)*Setup!$M$53,EDATE(Setup!$G$53,(Setup!$O$53+P$1)*Setup!$N$53))&gt;Setup!$P$53,IF(Setup!$M$53&gt;0,Setup!$G$53+(Setup!$O$53+P$1)*Setup!$M$53,EDATE(Setup!$G$53,(Setup!$O$53+P$1)*Setup!$N$53))&lt;Setup!$D$5),"",IF(Setup!$M$53&gt;0,Setup!$G$53+(Setup!$O$53+P$1)*Setup!$M$53,EDATE(Setup!$G$53,(Setup!$O$53+P$1)*Setup!$N$53))+$A30/1000)))</f>
        <v/>
      </c>
      <c r="Q30">
        <f>IF(OR(Setup!$E$53="",Setup!$G$53="",Setup!$F$53=""),"",IF(AND(Setup!$F$53="Once",Q$1&gt;0),"",IF(OR(IF(Setup!$M$53&gt;0,Setup!$G$53+(Setup!$O$53+Q$1)*Setup!$M$53,EDATE(Setup!$G$53,(Setup!$O$53+Q$1)*Setup!$N$53))&gt;Setup!$P$53,IF(Setup!$M$53&gt;0,Setup!$G$53+(Setup!$O$53+Q$1)*Setup!$M$53,EDATE(Setup!$G$53,(Setup!$O$53+Q$1)*Setup!$N$53))&lt;Setup!$D$5),"",IF(Setup!$M$53&gt;0,Setup!$G$53+(Setup!$O$53+Q$1)*Setup!$M$53,EDATE(Setup!$G$53,(Setup!$O$53+Q$1)*Setup!$N$53))+$A30/1000)))</f>
        <v/>
      </c>
      <c r="R30">
        <f>IF(OR(Setup!$E$53="",Setup!$G$53="",Setup!$F$53=""),"",IF(AND(Setup!$F$53="Once",R$1&gt;0),"",IF(OR(IF(Setup!$M$53&gt;0,Setup!$G$53+(Setup!$O$53+R$1)*Setup!$M$53,EDATE(Setup!$G$53,(Setup!$O$53+R$1)*Setup!$N$53))&gt;Setup!$P$53,IF(Setup!$M$53&gt;0,Setup!$G$53+(Setup!$O$53+R$1)*Setup!$M$53,EDATE(Setup!$G$53,(Setup!$O$53+R$1)*Setup!$N$53))&lt;Setup!$D$5),"",IF(Setup!$M$53&gt;0,Setup!$G$53+(Setup!$O$53+R$1)*Setup!$M$53,EDATE(Setup!$G$53,(Setup!$O$53+R$1)*Setup!$N$53))+$A30/1000)))</f>
        <v/>
      </c>
      <c r="S30">
        <f>IF(OR(Setup!$E$53="",Setup!$G$53="",Setup!$F$53=""),"",IF(AND(Setup!$F$53="Once",S$1&gt;0),"",IF(OR(IF(Setup!$M$53&gt;0,Setup!$G$53+(Setup!$O$53+S$1)*Setup!$M$53,EDATE(Setup!$G$53,(Setup!$O$53+S$1)*Setup!$N$53))&gt;Setup!$P$53,IF(Setup!$M$53&gt;0,Setup!$G$53+(Setup!$O$53+S$1)*Setup!$M$53,EDATE(Setup!$G$53,(Setup!$O$53+S$1)*Setup!$N$53))&lt;Setup!$D$5),"",IF(Setup!$M$53&gt;0,Setup!$G$53+(Setup!$O$53+S$1)*Setup!$M$53,EDATE(Setup!$G$53,(Setup!$O$53+S$1)*Setup!$N$53))+$A30/1000)))</f>
        <v/>
      </c>
      <c r="T30">
        <f>IF(OR(Setup!$E$53="",Setup!$G$53="",Setup!$F$53=""),"",IF(AND(Setup!$F$53="Once",T$1&gt;0),"",IF(OR(IF(Setup!$M$53&gt;0,Setup!$G$53+(Setup!$O$53+T$1)*Setup!$M$53,EDATE(Setup!$G$53,(Setup!$O$53+T$1)*Setup!$N$53))&gt;Setup!$P$53,IF(Setup!$M$53&gt;0,Setup!$G$53+(Setup!$O$53+T$1)*Setup!$M$53,EDATE(Setup!$G$53,(Setup!$O$53+T$1)*Setup!$N$53))&lt;Setup!$D$5),"",IF(Setup!$M$53&gt;0,Setup!$G$53+(Setup!$O$53+T$1)*Setup!$M$53,EDATE(Setup!$G$53,(Setup!$O$53+T$1)*Setup!$N$53))+$A30/1000)))</f>
        <v/>
      </c>
      <c r="U30">
        <f>IF(OR(Setup!$E$53="",Setup!$G$53="",Setup!$F$53=""),"",IF(AND(Setup!$F$53="Once",U$1&gt;0),"",IF(OR(IF(Setup!$M$53&gt;0,Setup!$G$53+(Setup!$O$53+U$1)*Setup!$M$53,EDATE(Setup!$G$53,(Setup!$O$53+U$1)*Setup!$N$53))&gt;Setup!$P$53,IF(Setup!$M$53&gt;0,Setup!$G$53+(Setup!$O$53+U$1)*Setup!$M$53,EDATE(Setup!$G$53,(Setup!$O$53+U$1)*Setup!$N$53))&lt;Setup!$D$5),"",IF(Setup!$M$53&gt;0,Setup!$G$53+(Setup!$O$53+U$1)*Setup!$M$53,EDATE(Setup!$G$53,(Setup!$O$53+U$1)*Setup!$N$53))+$A30/1000)))</f>
        <v/>
      </c>
      <c r="V30">
        <f>IF(OR(Setup!$E$53="",Setup!$G$53="",Setup!$F$53=""),"",IF(AND(Setup!$F$53="Once",V$1&gt;0),"",IF(OR(IF(Setup!$M$53&gt;0,Setup!$G$53+(Setup!$O$53+V$1)*Setup!$M$53,EDATE(Setup!$G$53,(Setup!$O$53+V$1)*Setup!$N$53))&gt;Setup!$P$53,IF(Setup!$M$53&gt;0,Setup!$G$53+(Setup!$O$53+V$1)*Setup!$M$53,EDATE(Setup!$G$53,(Setup!$O$53+V$1)*Setup!$N$53))&lt;Setup!$D$5),"",IF(Setup!$M$53&gt;0,Setup!$G$53+(Setup!$O$53+V$1)*Setup!$M$53,EDATE(Setup!$G$53,(Setup!$O$53+V$1)*Setup!$N$53))+$A30/1000)))</f>
        <v/>
      </c>
      <c r="W30">
        <f>IF(OR(Setup!$E$53="",Setup!$G$53="",Setup!$F$53=""),"",IF(AND(Setup!$F$53="Once",W$1&gt;0),"",IF(OR(IF(Setup!$M$53&gt;0,Setup!$G$53+(Setup!$O$53+W$1)*Setup!$M$53,EDATE(Setup!$G$53,(Setup!$O$53+W$1)*Setup!$N$53))&gt;Setup!$P$53,IF(Setup!$M$53&gt;0,Setup!$G$53+(Setup!$O$53+W$1)*Setup!$M$53,EDATE(Setup!$G$53,(Setup!$O$53+W$1)*Setup!$N$53))&lt;Setup!$D$5),"",IF(Setup!$M$53&gt;0,Setup!$G$53+(Setup!$O$53+W$1)*Setup!$M$53,EDATE(Setup!$G$53,(Setup!$O$53+W$1)*Setup!$N$53))+$A30/1000)))</f>
        <v/>
      </c>
      <c r="X30">
        <f>IF(OR(Setup!$E$53="",Setup!$G$53="",Setup!$F$53=""),"",IF(AND(Setup!$F$53="Once",X$1&gt;0),"",IF(OR(IF(Setup!$M$53&gt;0,Setup!$G$53+(Setup!$O$53+X$1)*Setup!$M$53,EDATE(Setup!$G$53,(Setup!$O$53+X$1)*Setup!$N$53))&gt;Setup!$P$53,IF(Setup!$M$53&gt;0,Setup!$G$53+(Setup!$O$53+X$1)*Setup!$M$53,EDATE(Setup!$G$53,(Setup!$O$53+X$1)*Setup!$N$53))&lt;Setup!$D$5),"",IF(Setup!$M$53&gt;0,Setup!$G$53+(Setup!$O$53+X$1)*Setup!$M$53,EDATE(Setup!$G$53,(Setup!$O$53+X$1)*Setup!$N$53))+$A30/1000)))</f>
        <v/>
      </c>
      <c r="Y30">
        <f>IF(OR(Setup!$E$53="",Setup!$G$53="",Setup!$F$53=""),"",IF(AND(Setup!$F$53="Once",Y$1&gt;0),"",IF(OR(IF(Setup!$M$53&gt;0,Setup!$G$53+(Setup!$O$53+Y$1)*Setup!$M$53,EDATE(Setup!$G$53,(Setup!$O$53+Y$1)*Setup!$N$53))&gt;Setup!$P$53,IF(Setup!$M$53&gt;0,Setup!$G$53+(Setup!$O$53+Y$1)*Setup!$M$53,EDATE(Setup!$G$53,(Setup!$O$53+Y$1)*Setup!$N$53))&lt;Setup!$D$5),"",IF(Setup!$M$53&gt;0,Setup!$G$53+(Setup!$O$53+Y$1)*Setup!$M$53,EDATE(Setup!$G$53,(Setup!$O$53+Y$1)*Setup!$N$53))+$A30/1000)))</f>
        <v/>
      </c>
      <c r="Z30">
        <f>IF(OR(Setup!$E$53="",Setup!$G$53="",Setup!$F$53=""),"",IF(AND(Setup!$F$53="Once",Z$1&gt;0),"",IF(OR(IF(Setup!$M$53&gt;0,Setup!$G$53+(Setup!$O$53+Z$1)*Setup!$M$53,EDATE(Setup!$G$53,(Setup!$O$53+Z$1)*Setup!$N$53))&gt;Setup!$P$53,IF(Setup!$M$53&gt;0,Setup!$G$53+(Setup!$O$53+Z$1)*Setup!$M$53,EDATE(Setup!$G$53,(Setup!$O$53+Z$1)*Setup!$N$53))&lt;Setup!$D$5),"",IF(Setup!$M$53&gt;0,Setup!$G$53+(Setup!$O$53+Z$1)*Setup!$M$53,EDATE(Setup!$G$53,(Setup!$O$53+Z$1)*Setup!$N$53))+$A30/1000)))</f>
        <v/>
      </c>
      <c r="AA30">
        <f>IF(OR(Setup!$E$53="",Setup!$G$53="",Setup!$F$53=""),"",IF(AND(Setup!$F$53="Once",AA$1&gt;0),"",IF(OR(IF(Setup!$M$53&gt;0,Setup!$G$53+(Setup!$O$53+AA$1)*Setup!$M$53,EDATE(Setup!$G$53,(Setup!$O$53+AA$1)*Setup!$N$53))&gt;Setup!$P$53,IF(Setup!$M$53&gt;0,Setup!$G$53+(Setup!$O$53+AA$1)*Setup!$M$53,EDATE(Setup!$G$53,(Setup!$O$53+AA$1)*Setup!$N$53))&lt;Setup!$D$5),"",IF(Setup!$M$53&gt;0,Setup!$G$53+(Setup!$O$53+AA$1)*Setup!$M$53,EDATE(Setup!$G$53,(Setup!$O$53+AA$1)*Setup!$N$53))+$A30/1000)))</f>
        <v/>
      </c>
      <c r="AB30">
        <f>IF(OR(Setup!$E$53="",Setup!$G$53="",Setup!$F$53=""),"",IF(AND(Setup!$F$53="Once",AB$1&gt;0),"",IF(OR(IF(Setup!$M$53&gt;0,Setup!$G$53+(Setup!$O$53+AB$1)*Setup!$M$53,EDATE(Setup!$G$53,(Setup!$O$53+AB$1)*Setup!$N$53))&gt;Setup!$P$53,IF(Setup!$M$53&gt;0,Setup!$G$53+(Setup!$O$53+AB$1)*Setup!$M$53,EDATE(Setup!$G$53,(Setup!$O$53+AB$1)*Setup!$N$53))&lt;Setup!$D$5),"",IF(Setup!$M$53&gt;0,Setup!$G$53+(Setup!$O$53+AB$1)*Setup!$M$53,EDATE(Setup!$G$53,(Setup!$O$53+AB$1)*Setup!$N$53))+$A30/1000)))</f>
        <v/>
      </c>
      <c r="AC30">
        <f>IF(OR(Setup!$E$53="",Setup!$G$53="",Setup!$F$53=""),"",IF(AND(Setup!$F$53="Once",AC$1&gt;0),"",IF(OR(IF(Setup!$M$53&gt;0,Setup!$G$53+(Setup!$O$53+AC$1)*Setup!$M$53,EDATE(Setup!$G$53,(Setup!$O$53+AC$1)*Setup!$N$53))&gt;Setup!$P$53,IF(Setup!$M$53&gt;0,Setup!$G$53+(Setup!$O$53+AC$1)*Setup!$M$53,EDATE(Setup!$G$53,(Setup!$O$53+AC$1)*Setup!$N$53))&lt;Setup!$D$5),"",IF(Setup!$M$53&gt;0,Setup!$G$53+(Setup!$O$53+AC$1)*Setup!$M$53,EDATE(Setup!$G$53,(Setup!$O$53+AC$1)*Setup!$N$53))+$A30/1000)))</f>
        <v/>
      </c>
      <c r="AD30">
        <f>IF(OR(Setup!$E$53="",Setup!$G$53="",Setup!$F$53=""),"",IF(AND(Setup!$F$53="Once",AD$1&gt;0),"",IF(OR(IF(Setup!$M$53&gt;0,Setup!$G$53+(Setup!$O$53+AD$1)*Setup!$M$53,EDATE(Setup!$G$53,(Setup!$O$53+AD$1)*Setup!$N$53))&gt;Setup!$P$53,IF(Setup!$M$53&gt;0,Setup!$G$53+(Setup!$O$53+AD$1)*Setup!$M$53,EDATE(Setup!$G$53,(Setup!$O$53+AD$1)*Setup!$N$53))&lt;Setup!$D$5),"",IF(Setup!$M$53&gt;0,Setup!$G$53+(Setup!$O$53+AD$1)*Setup!$M$53,EDATE(Setup!$G$53,(Setup!$O$53+AD$1)*Setup!$N$53))+$A30/1000)))</f>
        <v/>
      </c>
      <c r="AE30">
        <f>IF(OR(Setup!$E$53="",Setup!$G$53="",Setup!$F$53=""),"",IF(AND(Setup!$F$53="Once",AE$1&gt;0),"",IF(OR(IF(Setup!$M$53&gt;0,Setup!$G$53+(Setup!$O$53+AE$1)*Setup!$M$53,EDATE(Setup!$G$53,(Setup!$O$53+AE$1)*Setup!$N$53))&gt;Setup!$P$53,IF(Setup!$M$53&gt;0,Setup!$G$53+(Setup!$O$53+AE$1)*Setup!$M$53,EDATE(Setup!$G$53,(Setup!$O$53+AE$1)*Setup!$N$53))&lt;Setup!$D$5),"",IF(Setup!$M$53&gt;0,Setup!$G$53+(Setup!$O$53+AE$1)*Setup!$M$53,EDATE(Setup!$G$53,(Setup!$O$53+AE$1)*Setup!$N$53))+$A30/1000)))</f>
        <v/>
      </c>
      <c r="AF30">
        <f>IF(OR(Setup!$E$53="",Setup!$G$53="",Setup!$F$53=""),"",IF(AND(Setup!$F$53="Once",AF$1&gt;0),"",IF(OR(IF(Setup!$M$53&gt;0,Setup!$G$53+(Setup!$O$53+AF$1)*Setup!$M$53,EDATE(Setup!$G$53,(Setup!$O$53+AF$1)*Setup!$N$53))&gt;Setup!$P$53,IF(Setup!$M$53&gt;0,Setup!$G$53+(Setup!$O$53+AF$1)*Setup!$M$53,EDATE(Setup!$G$53,(Setup!$O$53+AF$1)*Setup!$N$53))&lt;Setup!$D$5),"",IF(Setup!$M$53&gt;0,Setup!$G$53+(Setup!$O$53+AF$1)*Setup!$M$53,EDATE(Setup!$G$53,(Setup!$O$53+AF$1)*Setup!$N$53))+$A30/1000)))</f>
        <v/>
      </c>
      <c r="AG30">
        <f>IF(OR(Setup!$E$53="",Setup!$G$53="",Setup!$F$53=""),"",IF(AND(Setup!$F$53="Once",AG$1&gt;0),"",IF(OR(IF(Setup!$M$53&gt;0,Setup!$G$53+(Setup!$O$53+AG$1)*Setup!$M$53,EDATE(Setup!$G$53,(Setup!$O$53+AG$1)*Setup!$N$53))&gt;Setup!$P$53,IF(Setup!$M$53&gt;0,Setup!$G$53+(Setup!$O$53+AG$1)*Setup!$M$53,EDATE(Setup!$G$53,(Setup!$O$53+AG$1)*Setup!$N$53))&lt;Setup!$D$5),"",IF(Setup!$M$53&gt;0,Setup!$G$53+(Setup!$O$53+AG$1)*Setup!$M$53,EDATE(Setup!$G$53,(Setup!$O$53+AG$1)*Setup!$N$53))+$A30/1000)))</f>
        <v/>
      </c>
      <c r="AH30">
        <f>IF(OR(Setup!$E$53="",Setup!$G$53="",Setup!$F$53=""),"",IF(AND(Setup!$F$53="Once",AH$1&gt;0),"",IF(OR(IF(Setup!$M$53&gt;0,Setup!$G$53+(Setup!$O$53+AH$1)*Setup!$M$53,EDATE(Setup!$G$53,(Setup!$O$53+AH$1)*Setup!$N$53))&gt;Setup!$P$53,IF(Setup!$M$53&gt;0,Setup!$G$53+(Setup!$O$53+AH$1)*Setup!$M$53,EDATE(Setup!$G$53,(Setup!$O$53+AH$1)*Setup!$N$53))&lt;Setup!$D$5),"",IF(Setup!$M$53&gt;0,Setup!$G$53+(Setup!$O$53+AH$1)*Setup!$M$53,EDATE(Setup!$G$53,(Setup!$O$53+AH$1)*Setup!$N$53))+$A30/1000)))</f>
        <v/>
      </c>
      <c r="AI30">
        <f>IF(OR(Setup!$E$53="",Setup!$G$53="",Setup!$F$53=""),"",IF(AND(Setup!$F$53="Once",AI$1&gt;0),"",IF(OR(IF(Setup!$M$53&gt;0,Setup!$G$53+(Setup!$O$53+AI$1)*Setup!$M$53,EDATE(Setup!$G$53,(Setup!$O$53+AI$1)*Setup!$N$53))&gt;Setup!$P$53,IF(Setup!$M$53&gt;0,Setup!$G$53+(Setup!$O$53+AI$1)*Setup!$M$53,EDATE(Setup!$G$53,(Setup!$O$53+AI$1)*Setup!$N$53))&lt;Setup!$D$5),"",IF(Setup!$M$53&gt;0,Setup!$G$53+(Setup!$O$53+AI$1)*Setup!$M$53,EDATE(Setup!$G$53,(Setup!$O$53+AI$1)*Setup!$N$53))+$A30/1000)))</f>
        <v/>
      </c>
      <c r="AJ30">
        <f>IF(OR(Setup!$E$53="",Setup!$G$53="",Setup!$F$53=""),"",IF(AND(Setup!$F$53="Once",AJ$1&gt;0),"",IF(OR(IF(Setup!$M$53&gt;0,Setup!$G$53+(Setup!$O$53+AJ$1)*Setup!$M$53,EDATE(Setup!$G$53,(Setup!$O$53+AJ$1)*Setup!$N$53))&gt;Setup!$P$53,IF(Setup!$M$53&gt;0,Setup!$G$53+(Setup!$O$53+AJ$1)*Setup!$M$53,EDATE(Setup!$G$53,(Setup!$O$53+AJ$1)*Setup!$N$53))&lt;Setup!$D$5),"",IF(Setup!$M$53&gt;0,Setup!$G$53+(Setup!$O$53+AJ$1)*Setup!$M$53,EDATE(Setup!$G$53,(Setup!$O$53+AJ$1)*Setup!$N$53))+$A30/1000)))</f>
        <v/>
      </c>
      <c r="AK30">
        <f>IF(OR(Setup!$E$53="",Setup!$G$53="",Setup!$F$53=""),"",IF(AND(Setup!$F$53="Once",AK$1&gt;0),"",IF(OR(IF(Setup!$M$53&gt;0,Setup!$G$53+(Setup!$O$53+AK$1)*Setup!$M$53,EDATE(Setup!$G$53,(Setup!$O$53+AK$1)*Setup!$N$53))&gt;Setup!$P$53,IF(Setup!$M$53&gt;0,Setup!$G$53+(Setup!$O$53+AK$1)*Setup!$M$53,EDATE(Setup!$G$53,(Setup!$O$53+AK$1)*Setup!$N$53))&lt;Setup!$D$5),"",IF(Setup!$M$53&gt;0,Setup!$G$53+(Setup!$O$53+AK$1)*Setup!$M$53,EDATE(Setup!$G$53,(Setup!$O$53+AK$1)*Setup!$N$53))+$A30/1000)))</f>
        <v/>
      </c>
      <c r="AL30">
        <f>IF(OR(Setup!$E$53="",Setup!$G$53="",Setup!$F$53=""),"",IF(AND(Setup!$F$53="Once",AL$1&gt;0),"",IF(OR(IF(Setup!$M$53&gt;0,Setup!$G$53+(Setup!$O$53+AL$1)*Setup!$M$53,EDATE(Setup!$G$53,(Setup!$O$53+AL$1)*Setup!$N$53))&gt;Setup!$P$53,IF(Setup!$M$53&gt;0,Setup!$G$53+(Setup!$O$53+AL$1)*Setup!$M$53,EDATE(Setup!$G$53,(Setup!$O$53+AL$1)*Setup!$N$53))&lt;Setup!$D$5),"",IF(Setup!$M$53&gt;0,Setup!$G$53+(Setup!$O$53+AL$1)*Setup!$M$53,EDATE(Setup!$G$53,(Setup!$O$53+AL$1)*Setup!$N$53))+$A30/1000)))</f>
        <v/>
      </c>
      <c r="AM30">
        <f>IF(OR(Setup!$E$53="",Setup!$G$53="",Setup!$F$53=""),"",IF(AND(Setup!$F$53="Once",AM$1&gt;0),"",IF(OR(IF(Setup!$M$53&gt;0,Setup!$G$53+(Setup!$O$53+AM$1)*Setup!$M$53,EDATE(Setup!$G$53,(Setup!$O$53+AM$1)*Setup!$N$53))&gt;Setup!$P$53,IF(Setup!$M$53&gt;0,Setup!$G$53+(Setup!$O$53+AM$1)*Setup!$M$53,EDATE(Setup!$G$53,(Setup!$O$53+AM$1)*Setup!$N$53))&lt;Setup!$D$5),"",IF(Setup!$M$53&gt;0,Setup!$G$53+(Setup!$O$53+AM$1)*Setup!$M$53,EDATE(Setup!$G$53,(Setup!$O$53+AM$1)*Setup!$N$53))+$A30/1000)))</f>
        <v/>
      </c>
      <c r="AN30">
        <f>IF(OR(Setup!$E$53="",Setup!$G$53="",Setup!$F$53=""),"",IF(AND(Setup!$F$53="Once",AN$1&gt;0),"",IF(OR(IF(Setup!$M$53&gt;0,Setup!$G$53+(Setup!$O$53+AN$1)*Setup!$M$53,EDATE(Setup!$G$53,(Setup!$O$53+AN$1)*Setup!$N$53))&gt;Setup!$P$53,IF(Setup!$M$53&gt;0,Setup!$G$53+(Setup!$O$53+AN$1)*Setup!$M$53,EDATE(Setup!$G$53,(Setup!$O$53+AN$1)*Setup!$N$53))&lt;Setup!$D$5),"",IF(Setup!$M$53&gt;0,Setup!$G$53+(Setup!$O$53+AN$1)*Setup!$M$53,EDATE(Setup!$G$53,(Setup!$O$53+AN$1)*Setup!$N$53))+$A30/1000)))</f>
        <v/>
      </c>
      <c r="AO30">
        <f>IF(OR(Setup!$E$53="",Setup!$G$53="",Setup!$F$53=""),"",IF(AND(Setup!$F$53="Once",AO$1&gt;0),"",IF(OR(IF(Setup!$M$53&gt;0,Setup!$G$53+(Setup!$O$53+AO$1)*Setup!$M$53,EDATE(Setup!$G$53,(Setup!$O$53+AO$1)*Setup!$N$53))&gt;Setup!$P$53,IF(Setup!$M$53&gt;0,Setup!$G$53+(Setup!$O$53+AO$1)*Setup!$M$53,EDATE(Setup!$G$53,(Setup!$O$53+AO$1)*Setup!$N$53))&lt;Setup!$D$5),"",IF(Setup!$M$53&gt;0,Setup!$G$53+(Setup!$O$53+AO$1)*Setup!$M$53,EDATE(Setup!$G$53,(Setup!$O$53+AO$1)*Setup!$N$53))+$A30/1000)))</f>
        <v/>
      </c>
      <c r="AP30">
        <f>IF(OR(Setup!$E$53="",Setup!$G$53="",Setup!$F$53=""),"",IF(AND(Setup!$F$53="Once",AP$1&gt;0),"",IF(OR(IF(Setup!$M$53&gt;0,Setup!$G$53+(Setup!$O$53+AP$1)*Setup!$M$53,EDATE(Setup!$G$53,(Setup!$O$53+AP$1)*Setup!$N$53))&gt;Setup!$P$53,IF(Setup!$M$53&gt;0,Setup!$G$53+(Setup!$O$53+AP$1)*Setup!$M$53,EDATE(Setup!$G$53,(Setup!$O$53+AP$1)*Setup!$N$53))&lt;Setup!$D$5),"",IF(Setup!$M$53&gt;0,Setup!$G$53+(Setup!$O$53+AP$1)*Setup!$M$53,EDATE(Setup!$G$53,(Setup!$O$53+AP$1)*Setup!$N$53))+$A30/1000)))</f>
        <v/>
      </c>
      <c r="AQ30">
        <f>IF(OR(Setup!$E$53="",Setup!$G$53="",Setup!$F$53=""),"",IF(AND(Setup!$F$53="Once",AQ$1&gt;0),"",IF(OR(IF(Setup!$M$53&gt;0,Setup!$G$53+(Setup!$O$53+AQ$1)*Setup!$M$53,EDATE(Setup!$G$53,(Setup!$O$53+AQ$1)*Setup!$N$53))&gt;Setup!$P$53,IF(Setup!$M$53&gt;0,Setup!$G$53+(Setup!$O$53+AQ$1)*Setup!$M$53,EDATE(Setup!$G$53,(Setup!$O$53+AQ$1)*Setup!$N$53))&lt;Setup!$D$5),"",IF(Setup!$M$53&gt;0,Setup!$G$53+(Setup!$O$53+AQ$1)*Setup!$M$53,EDATE(Setup!$G$53,(Setup!$O$53+AQ$1)*Setup!$N$53))+$A30/1000)))</f>
        <v/>
      </c>
      <c r="AR30">
        <f>IF(OR(Setup!$E$53="",Setup!$G$53="",Setup!$F$53=""),"",IF(AND(Setup!$F$53="Once",AR$1&gt;0),"",IF(OR(IF(Setup!$M$53&gt;0,Setup!$G$53+(Setup!$O$53+AR$1)*Setup!$M$53,EDATE(Setup!$G$53,(Setup!$O$53+AR$1)*Setup!$N$53))&gt;Setup!$P$53,IF(Setup!$M$53&gt;0,Setup!$G$53+(Setup!$O$53+AR$1)*Setup!$M$53,EDATE(Setup!$G$53,(Setup!$O$53+AR$1)*Setup!$N$53))&lt;Setup!$D$5),"",IF(Setup!$M$53&gt;0,Setup!$G$53+(Setup!$O$53+AR$1)*Setup!$M$53,EDATE(Setup!$G$53,(Setup!$O$53+AR$1)*Setup!$N$53))+$A30/1000)))</f>
        <v/>
      </c>
      <c r="AS30">
        <f>IF(OR(Setup!$E$53="",Setup!$G$53="",Setup!$F$53=""),"",IF(AND(Setup!$F$53="Once",AS$1&gt;0),"",IF(OR(IF(Setup!$M$53&gt;0,Setup!$G$53+(Setup!$O$53+AS$1)*Setup!$M$53,EDATE(Setup!$G$53,(Setup!$O$53+AS$1)*Setup!$N$53))&gt;Setup!$P$53,IF(Setup!$M$53&gt;0,Setup!$G$53+(Setup!$O$53+AS$1)*Setup!$M$53,EDATE(Setup!$G$53,(Setup!$O$53+AS$1)*Setup!$N$53))&lt;Setup!$D$5),"",IF(Setup!$M$53&gt;0,Setup!$G$53+(Setup!$O$53+AS$1)*Setup!$M$53,EDATE(Setup!$G$53,(Setup!$O$53+AS$1)*Setup!$N$53))+$A30/1000)))</f>
        <v/>
      </c>
      <c r="AT30">
        <f>IF(OR(Setup!$E$53="",Setup!$G$53="",Setup!$F$53=""),"",IF(AND(Setup!$F$53="Once",AT$1&gt;0),"",IF(OR(IF(Setup!$M$53&gt;0,Setup!$G$53+(Setup!$O$53+AT$1)*Setup!$M$53,EDATE(Setup!$G$53,(Setup!$O$53+AT$1)*Setup!$N$53))&gt;Setup!$P$53,IF(Setup!$M$53&gt;0,Setup!$G$53+(Setup!$O$53+AT$1)*Setup!$M$53,EDATE(Setup!$G$53,(Setup!$O$53+AT$1)*Setup!$N$53))&lt;Setup!$D$5),"",IF(Setup!$M$53&gt;0,Setup!$G$53+(Setup!$O$53+AT$1)*Setup!$M$53,EDATE(Setup!$G$53,(Setup!$O$53+AT$1)*Setup!$N$53))+$A30/1000)))</f>
        <v/>
      </c>
      <c r="AU30">
        <f>IF(OR(Setup!$E$53="",Setup!$G$53="",Setup!$F$53=""),"",IF(AND(Setup!$F$53="Once",AU$1&gt;0),"",IF(OR(IF(Setup!$M$53&gt;0,Setup!$G$53+(Setup!$O$53+AU$1)*Setup!$M$53,EDATE(Setup!$G$53,(Setup!$O$53+AU$1)*Setup!$N$53))&gt;Setup!$P$53,IF(Setup!$M$53&gt;0,Setup!$G$53+(Setup!$O$53+AU$1)*Setup!$M$53,EDATE(Setup!$G$53,(Setup!$O$53+AU$1)*Setup!$N$53))&lt;Setup!$D$5),"",IF(Setup!$M$53&gt;0,Setup!$G$53+(Setup!$O$53+AU$1)*Setup!$M$53,EDATE(Setup!$G$53,(Setup!$O$53+AU$1)*Setup!$N$53))+$A30/1000)))</f>
        <v/>
      </c>
      <c r="AV30">
        <f>IF(OR(Setup!$E$53="",Setup!$G$53="",Setup!$F$53=""),"",IF(AND(Setup!$F$53="Once",AV$1&gt;0),"",IF(OR(IF(Setup!$M$53&gt;0,Setup!$G$53+(Setup!$O$53+AV$1)*Setup!$M$53,EDATE(Setup!$G$53,(Setup!$O$53+AV$1)*Setup!$N$53))&gt;Setup!$P$53,IF(Setup!$M$53&gt;0,Setup!$G$53+(Setup!$O$53+AV$1)*Setup!$M$53,EDATE(Setup!$G$53,(Setup!$O$53+AV$1)*Setup!$N$53))&lt;Setup!$D$5),"",IF(Setup!$M$53&gt;0,Setup!$G$53+(Setup!$O$53+AV$1)*Setup!$M$53,EDATE(Setup!$G$53,(Setup!$O$53+AV$1)*Setup!$N$53))+$A30/1000)))</f>
        <v/>
      </c>
      <c r="AW30">
        <f>IF(OR(Setup!$E$53="",Setup!$G$53="",Setup!$F$53=""),"",IF(AND(Setup!$F$53="Once",AW$1&gt;0),"",IF(OR(IF(Setup!$M$53&gt;0,Setup!$G$53+(Setup!$O$53+AW$1)*Setup!$M$53,EDATE(Setup!$G$53,(Setup!$O$53+AW$1)*Setup!$N$53))&gt;Setup!$P$53,IF(Setup!$M$53&gt;0,Setup!$G$53+(Setup!$O$53+AW$1)*Setup!$M$53,EDATE(Setup!$G$53,(Setup!$O$53+AW$1)*Setup!$N$53))&lt;Setup!$D$5),"",IF(Setup!$M$53&gt;0,Setup!$G$53+(Setup!$O$53+AW$1)*Setup!$M$53,EDATE(Setup!$G$53,(Setup!$O$53+AW$1)*Setup!$N$53))+$A30/1000)))</f>
        <v/>
      </c>
      <c r="AX30">
        <f>IF(OR(Setup!$E$53="",Setup!$G$53="",Setup!$F$53=""),"",IF(AND(Setup!$F$53="Once",AX$1&gt;0),"",IF(OR(IF(Setup!$M$53&gt;0,Setup!$G$53+(Setup!$O$53+AX$1)*Setup!$M$53,EDATE(Setup!$G$53,(Setup!$O$53+AX$1)*Setup!$N$53))&gt;Setup!$P$53,IF(Setup!$M$53&gt;0,Setup!$G$53+(Setup!$O$53+AX$1)*Setup!$M$53,EDATE(Setup!$G$53,(Setup!$O$53+AX$1)*Setup!$N$53))&lt;Setup!$D$5),"",IF(Setup!$M$53&gt;0,Setup!$G$53+(Setup!$O$53+AX$1)*Setup!$M$53,EDATE(Setup!$G$53,(Setup!$O$53+AX$1)*Setup!$N$53))+$A30/1000)))</f>
        <v/>
      </c>
      <c r="AY30">
        <f>IF(OR(Setup!$E$53="",Setup!$G$53="",Setup!$F$53=""),"",IF(AND(Setup!$F$53="Once",AY$1&gt;0),"",IF(OR(IF(Setup!$M$53&gt;0,Setup!$G$53+(Setup!$O$53+AY$1)*Setup!$M$53,EDATE(Setup!$G$53,(Setup!$O$53+AY$1)*Setup!$N$53))&gt;Setup!$P$53,IF(Setup!$M$53&gt;0,Setup!$G$53+(Setup!$O$53+AY$1)*Setup!$M$53,EDATE(Setup!$G$53,(Setup!$O$53+AY$1)*Setup!$N$53))&lt;Setup!$D$5),"",IF(Setup!$M$53&gt;0,Setup!$G$53+(Setup!$O$53+AY$1)*Setup!$M$53,EDATE(Setup!$G$53,(Setup!$O$53+AY$1)*Setup!$N$53))+$A30/1000)))</f>
        <v/>
      </c>
      <c r="AZ30">
        <f>IF(OR(Setup!$E$53="",Setup!$G$53="",Setup!$F$53=""),"",IF(AND(Setup!$F$53="Once",AZ$1&gt;0),"",IF(OR(IF(Setup!$M$53&gt;0,Setup!$G$53+(Setup!$O$53+AZ$1)*Setup!$M$53,EDATE(Setup!$G$53,(Setup!$O$53+AZ$1)*Setup!$N$53))&gt;Setup!$P$53,IF(Setup!$M$53&gt;0,Setup!$G$53+(Setup!$O$53+AZ$1)*Setup!$M$53,EDATE(Setup!$G$53,(Setup!$O$53+AZ$1)*Setup!$N$53))&lt;Setup!$D$5),"",IF(Setup!$M$53&gt;0,Setup!$G$53+(Setup!$O$53+AZ$1)*Setup!$M$53,EDATE(Setup!$G$53,(Setup!$O$53+AZ$1)*Setup!$N$53))+$A30/1000)))</f>
        <v/>
      </c>
      <c r="BA30">
        <f>IF(OR(Setup!$E$53="",Setup!$G$53="",Setup!$F$53=""),"",IF(AND(Setup!$F$53="Once",BA$1&gt;0),"",IF(OR(IF(Setup!$M$53&gt;0,Setup!$G$53+(Setup!$O$53+BA$1)*Setup!$M$53,EDATE(Setup!$G$53,(Setup!$O$53+BA$1)*Setup!$N$53))&gt;Setup!$P$53,IF(Setup!$M$53&gt;0,Setup!$G$53+(Setup!$O$53+BA$1)*Setup!$M$53,EDATE(Setup!$G$53,(Setup!$O$53+BA$1)*Setup!$N$53))&lt;Setup!$D$5),"",IF(Setup!$M$53&gt;0,Setup!$G$53+(Setup!$O$53+BA$1)*Setup!$M$53,EDATE(Setup!$G$53,(Setup!$O$53+BA$1)*Setup!$N$53))+$A30/1000)))</f>
        <v/>
      </c>
      <c r="BB30">
        <f>IF(OR(Setup!$E$53="",Setup!$G$53="",Setup!$F$53=""),"",IF(AND(Setup!$F$53="Once",BB$1&gt;0),"",IF(OR(IF(Setup!$M$53&gt;0,Setup!$G$53+(Setup!$O$53+BB$1)*Setup!$M$53,EDATE(Setup!$G$53,(Setup!$O$53+BB$1)*Setup!$N$53))&gt;Setup!$P$53,IF(Setup!$M$53&gt;0,Setup!$G$53+(Setup!$O$53+BB$1)*Setup!$M$53,EDATE(Setup!$G$53,(Setup!$O$53+BB$1)*Setup!$N$53))&lt;Setup!$D$5),"",IF(Setup!$M$53&gt;0,Setup!$G$53+(Setup!$O$53+BB$1)*Setup!$M$53,EDATE(Setup!$G$53,(Setup!$O$53+BB$1)*Setup!$N$53))+$A30/1000)))</f>
        <v/>
      </c>
    </row>
    <row r="31">
      <c r="A31" t="n">
        <v>30</v>
      </c>
      <c r="B31">
        <f>IF(OR(Setup!$E$54="",Setup!$G$54="",Setup!$F$54=""),"",IF(AND(Setup!$F$54="Once",B$1&gt;0),"",IF(OR(IF(Setup!$M$54&gt;0,Setup!$G$54+(Setup!$O$54+B$1)*Setup!$M$54,EDATE(Setup!$G$54,(Setup!$O$54+B$1)*Setup!$N$54))&gt;Setup!$P$54,IF(Setup!$M$54&gt;0,Setup!$G$54+(Setup!$O$54+B$1)*Setup!$M$54,EDATE(Setup!$G$54,(Setup!$O$54+B$1)*Setup!$N$54))&lt;Setup!$D$5),"",IF(Setup!$M$54&gt;0,Setup!$G$54+(Setup!$O$54+B$1)*Setup!$M$54,EDATE(Setup!$G$54,(Setup!$O$54+B$1)*Setup!$N$54))+$A31/1000)))</f>
        <v/>
      </c>
      <c r="C31">
        <f>IF(OR(Setup!$E$54="",Setup!$G$54="",Setup!$F$54=""),"",IF(AND(Setup!$F$54="Once",C$1&gt;0),"",IF(OR(IF(Setup!$M$54&gt;0,Setup!$G$54+(Setup!$O$54+C$1)*Setup!$M$54,EDATE(Setup!$G$54,(Setup!$O$54+C$1)*Setup!$N$54))&gt;Setup!$P$54,IF(Setup!$M$54&gt;0,Setup!$G$54+(Setup!$O$54+C$1)*Setup!$M$54,EDATE(Setup!$G$54,(Setup!$O$54+C$1)*Setup!$N$54))&lt;Setup!$D$5),"",IF(Setup!$M$54&gt;0,Setup!$G$54+(Setup!$O$54+C$1)*Setup!$M$54,EDATE(Setup!$G$54,(Setup!$O$54+C$1)*Setup!$N$54))+$A31/1000)))</f>
        <v/>
      </c>
      <c r="D31">
        <f>IF(OR(Setup!$E$54="",Setup!$G$54="",Setup!$F$54=""),"",IF(AND(Setup!$F$54="Once",D$1&gt;0),"",IF(OR(IF(Setup!$M$54&gt;0,Setup!$G$54+(Setup!$O$54+D$1)*Setup!$M$54,EDATE(Setup!$G$54,(Setup!$O$54+D$1)*Setup!$N$54))&gt;Setup!$P$54,IF(Setup!$M$54&gt;0,Setup!$G$54+(Setup!$O$54+D$1)*Setup!$M$54,EDATE(Setup!$G$54,(Setup!$O$54+D$1)*Setup!$N$54))&lt;Setup!$D$5),"",IF(Setup!$M$54&gt;0,Setup!$G$54+(Setup!$O$54+D$1)*Setup!$M$54,EDATE(Setup!$G$54,(Setup!$O$54+D$1)*Setup!$N$54))+$A31/1000)))</f>
        <v/>
      </c>
      <c r="E31">
        <f>IF(OR(Setup!$E$54="",Setup!$G$54="",Setup!$F$54=""),"",IF(AND(Setup!$F$54="Once",E$1&gt;0),"",IF(OR(IF(Setup!$M$54&gt;0,Setup!$G$54+(Setup!$O$54+E$1)*Setup!$M$54,EDATE(Setup!$G$54,(Setup!$O$54+E$1)*Setup!$N$54))&gt;Setup!$P$54,IF(Setup!$M$54&gt;0,Setup!$G$54+(Setup!$O$54+E$1)*Setup!$M$54,EDATE(Setup!$G$54,(Setup!$O$54+E$1)*Setup!$N$54))&lt;Setup!$D$5),"",IF(Setup!$M$54&gt;0,Setup!$G$54+(Setup!$O$54+E$1)*Setup!$M$54,EDATE(Setup!$G$54,(Setup!$O$54+E$1)*Setup!$N$54))+$A31/1000)))</f>
        <v/>
      </c>
      <c r="F31">
        <f>IF(OR(Setup!$E$54="",Setup!$G$54="",Setup!$F$54=""),"",IF(AND(Setup!$F$54="Once",F$1&gt;0),"",IF(OR(IF(Setup!$M$54&gt;0,Setup!$G$54+(Setup!$O$54+F$1)*Setup!$M$54,EDATE(Setup!$G$54,(Setup!$O$54+F$1)*Setup!$N$54))&gt;Setup!$P$54,IF(Setup!$M$54&gt;0,Setup!$G$54+(Setup!$O$54+F$1)*Setup!$M$54,EDATE(Setup!$G$54,(Setup!$O$54+F$1)*Setup!$N$54))&lt;Setup!$D$5),"",IF(Setup!$M$54&gt;0,Setup!$G$54+(Setup!$O$54+F$1)*Setup!$M$54,EDATE(Setup!$G$54,(Setup!$O$54+F$1)*Setup!$N$54))+$A31/1000)))</f>
        <v/>
      </c>
      <c r="G31">
        <f>IF(OR(Setup!$E$54="",Setup!$G$54="",Setup!$F$54=""),"",IF(AND(Setup!$F$54="Once",G$1&gt;0),"",IF(OR(IF(Setup!$M$54&gt;0,Setup!$G$54+(Setup!$O$54+G$1)*Setup!$M$54,EDATE(Setup!$G$54,(Setup!$O$54+G$1)*Setup!$N$54))&gt;Setup!$P$54,IF(Setup!$M$54&gt;0,Setup!$G$54+(Setup!$O$54+G$1)*Setup!$M$54,EDATE(Setup!$G$54,(Setup!$O$54+G$1)*Setup!$N$54))&lt;Setup!$D$5),"",IF(Setup!$M$54&gt;0,Setup!$G$54+(Setup!$O$54+G$1)*Setup!$M$54,EDATE(Setup!$G$54,(Setup!$O$54+G$1)*Setup!$N$54))+$A31/1000)))</f>
        <v/>
      </c>
      <c r="H31">
        <f>IF(OR(Setup!$E$54="",Setup!$G$54="",Setup!$F$54=""),"",IF(AND(Setup!$F$54="Once",H$1&gt;0),"",IF(OR(IF(Setup!$M$54&gt;0,Setup!$G$54+(Setup!$O$54+H$1)*Setup!$M$54,EDATE(Setup!$G$54,(Setup!$O$54+H$1)*Setup!$N$54))&gt;Setup!$P$54,IF(Setup!$M$54&gt;0,Setup!$G$54+(Setup!$O$54+H$1)*Setup!$M$54,EDATE(Setup!$G$54,(Setup!$O$54+H$1)*Setup!$N$54))&lt;Setup!$D$5),"",IF(Setup!$M$54&gt;0,Setup!$G$54+(Setup!$O$54+H$1)*Setup!$M$54,EDATE(Setup!$G$54,(Setup!$O$54+H$1)*Setup!$N$54))+$A31/1000)))</f>
        <v/>
      </c>
      <c r="I31">
        <f>IF(OR(Setup!$E$54="",Setup!$G$54="",Setup!$F$54=""),"",IF(AND(Setup!$F$54="Once",I$1&gt;0),"",IF(OR(IF(Setup!$M$54&gt;0,Setup!$G$54+(Setup!$O$54+I$1)*Setup!$M$54,EDATE(Setup!$G$54,(Setup!$O$54+I$1)*Setup!$N$54))&gt;Setup!$P$54,IF(Setup!$M$54&gt;0,Setup!$G$54+(Setup!$O$54+I$1)*Setup!$M$54,EDATE(Setup!$G$54,(Setup!$O$54+I$1)*Setup!$N$54))&lt;Setup!$D$5),"",IF(Setup!$M$54&gt;0,Setup!$G$54+(Setup!$O$54+I$1)*Setup!$M$54,EDATE(Setup!$G$54,(Setup!$O$54+I$1)*Setup!$N$54))+$A31/1000)))</f>
        <v/>
      </c>
      <c r="J31">
        <f>IF(OR(Setup!$E$54="",Setup!$G$54="",Setup!$F$54=""),"",IF(AND(Setup!$F$54="Once",J$1&gt;0),"",IF(OR(IF(Setup!$M$54&gt;0,Setup!$G$54+(Setup!$O$54+J$1)*Setup!$M$54,EDATE(Setup!$G$54,(Setup!$O$54+J$1)*Setup!$N$54))&gt;Setup!$P$54,IF(Setup!$M$54&gt;0,Setup!$G$54+(Setup!$O$54+J$1)*Setup!$M$54,EDATE(Setup!$G$54,(Setup!$O$54+J$1)*Setup!$N$54))&lt;Setup!$D$5),"",IF(Setup!$M$54&gt;0,Setup!$G$54+(Setup!$O$54+J$1)*Setup!$M$54,EDATE(Setup!$G$54,(Setup!$O$54+J$1)*Setup!$N$54))+$A31/1000)))</f>
        <v/>
      </c>
      <c r="K31">
        <f>IF(OR(Setup!$E$54="",Setup!$G$54="",Setup!$F$54=""),"",IF(AND(Setup!$F$54="Once",K$1&gt;0),"",IF(OR(IF(Setup!$M$54&gt;0,Setup!$G$54+(Setup!$O$54+K$1)*Setup!$M$54,EDATE(Setup!$G$54,(Setup!$O$54+K$1)*Setup!$N$54))&gt;Setup!$P$54,IF(Setup!$M$54&gt;0,Setup!$G$54+(Setup!$O$54+K$1)*Setup!$M$54,EDATE(Setup!$G$54,(Setup!$O$54+K$1)*Setup!$N$54))&lt;Setup!$D$5),"",IF(Setup!$M$54&gt;0,Setup!$G$54+(Setup!$O$54+K$1)*Setup!$M$54,EDATE(Setup!$G$54,(Setup!$O$54+K$1)*Setup!$N$54))+$A31/1000)))</f>
        <v/>
      </c>
      <c r="L31">
        <f>IF(OR(Setup!$E$54="",Setup!$G$54="",Setup!$F$54=""),"",IF(AND(Setup!$F$54="Once",L$1&gt;0),"",IF(OR(IF(Setup!$M$54&gt;0,Setup!$G$54+(Setup!$O$54+L$1)*Setup!$M$54,EDATE(Setup!$G$54,(Setup!$O$54+L$1)*Setup!$N$54))&gt;Setup!$P$54,IF(Setup!$M$54&gt;0,Setup!$G$54+(Setup!$O$54+L$1)*Setup!$M$54,EDATE(Setup!$G$54,(Setup!$O$54+L$1)*Setup!$N$54))&lt;Setup!$D$5),"",IF(Setup!$M$54&gt;0,Setup!$G$54+(Setup!$O$54+L$1)*Setup!$M$54,EDATE(Setup!$G$54,(Setup!$O$54+L$1)*Setup!$N$54))+$A31/1000)))</f>
        <v/>
      </c>
      <c r="M31">
        <f>IF(OR(Setup!$E$54="",Setup!$G$54="",Setup!$F$54=""),"",IF(AND(Setup!$F$54="Once",M$1&gt;0),"",IF(OR(IF(Setup!$M$54&gt;0,Setup!$G$54+(Setup!$O$54+M$1)*Setup!$M$54,EDATE(Setup!$G$54,(Setup!$O$54+M$1)*Setup!$N$54))&gt;Setup!$P$54,IF(Setup!$M$54&gt;0,Setup!$G$54+(Setup!$O$54+M$1)*Setup!$M$54,EDATE(Setup!$G$54,(Setup!$O$54+M$1)*Setup!$N$54))&lt;Setup!$D$5),"",IF(Setup!$M$54&gt;0,Setup!$G$54+(Setup!$O$54+M$1)*Setup!$M$54,EDATE(Setup!$G$54,(Setup!$O$54+M$1)*Setup!$N$54))+$A31/1000)))</f>
        <v/>
      </c>
      <c r="N31">
        <f>IF(OR(Setup!$E$54="",Setup!$G$54="",Setup!$F$54=""),"",IF(AND(Setup!$F$54="Once",N$1&gt;0),"",IF(OR(IF(Setup!$M$54&gt;0,Setup!$G$54+(Setup!$O$54+N$1)*Setup!$M$54,EDATE(Setup!$G$54,(Setup!$O$54+N$1)*Setup!$N$54))&gt;Setup!$P$54,IF(Setup!$M$54&gt;0,Setup!$G$54+(Setup!$O$54+N$1)*Setup!$M$54,EDATE(Setup!$G$54,(Setup!$O$54+N$1)*Setup!$N$54))&lt;Setup!$D$5),"",IF(Setup!$M$54&gt;0,Setup!$G$54+(Setup!$O$54+N$1)*Setup!$M$54,EDATE(Setup!$G$54,(Setup!$O$54+N$1)*Setup!$N$54))+$A31/1000)))</f>
        <v/>
      </c>
      <c r="O31">
        <f>IF(OR(Setup!$E$54="",Setup!$G$54="",Setup!$F$54=""),"",IF(AND(Setup!$F$54="Once",O$1&gt;0),"",IF(OR(IF(Setup!$M$54&gt;0,Setup!$G$54+(Setup!$O$54+O$1)*Setup!$M$54,EDATE(Setup!$G$54,(Setup!$O$54+O$1)*Setup!$N$54))&gt;Setup!$P$54,IF(Setup!$M$54&gt;0,Setup!$G$54+(Setup!$O$54+O$1)*Setup!$M$54,EDATE(Setup!$G$54,(Setup!$O$54+O$1)*Setup!$N$54))&lt;Setup!$D$5),"",IF(Setup!$M$54&gt;0,Setup!$G$54+(Setup!$O$54+O$1)*Setup!$M$54,EDATE(Setup!$G$54,(Setup!$O$54+O$1)*Setup!$N$54))+$A31/1000)))</f>
        <v/>
      </c>
      <c r="P31">
        <f>IF(OR(Setup!$E$54="",Setup!$G$54="",Setup!$F$54=""),"",IF(AND(Setup!$F$54="Once",P$1&gt;0),"",IF(OR(IF(Setup!$M$54&gt;0,Setup!$G$54+(Setup!$O$54+P$1)*Setup!$M$54,EDATE(Setup!$G$54,(Setup!$O$54+P$1)*Setup!$N$54))&gt;Setup!$P$54,IF(Setup!$M$54&gt;0,Setup!$G$54+(Setup!$O$54+P$1)*Setup!$M$54,EDATE(Setup!$G$54,(Setup!$O$54+P$1)*Setup!$N$54))&lt;Setup!$D$5),"",IF(Setup!$M$54&gt;0,Setup!$G$54+(Setup!$O$54+P$1)*Setup!$M$54,EDATE(Setup!$G$54,(Setup!$O$54+P$1)*Setup!$N$54))+$A31/1000)))</f>
        <v/>
      </c>
      <c r="Q31">
        <f>IF(OR(Setup!$E$54="",Setup!$G$54="",Setup!$F$54=""),"",IF(AND(Setup!$F$54="Once",Q$1&gt;0),"",IF(OR(IF(Setup!$M$54&gt;0,Setup!$G$54+(Setup!$O$54+Q$1)*Setup!$M$54,EDATE(Setup!$G$54,(Setup!$O$54+Q$1)*Setup!$N$54))&gt;Setup!$P$54,IF(Setup!$M$54&gt;0,Setup!$G$54+(Setup!$O$54+Q$1)*Setup!$M$54,EDATE(Setup!$G$54,(Setup!$O$54+Q$1)*Setup!$N$54))&lt;Setup!$D$5),"",IF(Setup!$M$54&gt;0,Setup!$G$54+(Setup!$O$54+Q$1)*Setup!$M$54,EDATE(Setup!$G$54,(Setup!$O$54+Q$1)*Setup!$N$54))+$A31/1000)))</f>
        <v/>
      </c>
      <c r="R31">
        <f>IF(OR(Setup!$E$54="",Setup!$G$54="",Setup!$F$54=""),"",IF(AND(Setup!$F$54="Once",R$1&gt;0),"",IF(OR(IF(Setup!$M$54&gt;0,Setup!$G$54+(Setup!$O$54+R$1)*Setup!$M$54,EDATE(Setup!$G$54,(Setup!$O$54+R$1)*Setup!$N$54))&gt;Setup!$P$54,IF(Setup!$M$54&gt;0,Setup!$G$54+(Setup!$O$54+R$1)*Setup!$M$54,EDATE(Setup!$G$54,(Setup!$O$54+R$1)*Setup!$N$54))&lt;Setup!$D$5),"",IF(Setup!$M$54&gt;0,Setup!$G$54+(Setup!$O$54+R$1)*Setup!$M$54,EDATE(Setup!$G$54,(Setup!$O$54+R$1)*Setup!$N$54))+$A31/1000)))</f>
        <v/>
      </c>
      <c r="S31">
        <f>IF(OR(Setup!$E$54="",Setup!$G$54="",Setup!$F$54=""),"",IF(AND(Setup!$F$54="Once",S$1&gt;0),"",IF(OR(IF(Setup!$M$54&gt;0,Setup!$G$54+(Setup!$O$54+S$1)*Setup!$M$54,EDATE(Setup!$G$54,(Setup!$O$54+S$1)*Setup!$N$54))&gt;Setup!$P$54,IF(Setup!$M$54&gt;0,Setup!$G$54+(Setup!$O$54+S$1)*Setup!$M$54,EDATE(Setup!$G$54,(Setup!$O$54+S$1)*Setup!$N$54))&lt;Setup!$D$5),"",IF(Setup!$M$54&gt;0,Setup!$G$54+(Setup!$O$54+S$1)*Setup!$M$54,EDATE(Setup!$G$54,(Setup!$O$54+S$1)*Setup!$N$54))+$A31/1000)))</f>
        <v/>
      </c>
      <c r="T31">
        <f>IF(OR(Setup!$E$54="",Setup!$G$54="",Setup!$F$54=""),"",IF(AND(Setup!$F$54="Once",T$1&gt;0),"",IF(OR(IF(Setup!$M$54&gt;0,Setup!$G$54+(Setup!$O$54+T$1)*Setup!$M$54,EDATE(Setup!$G$54,(Setup!$O$54+T$1)*Setup!$N$54))&gt;Setup!$P$54,IF(Setup!$M$54&gt;0,Setup!$G$54+(Setup!$O$54+T$1)*Setup!$M$54,EDATE(Setup!$G$54,(Setup!$O$54+T$1)*Setup!$N$54))&lt;Setup!$D$5),"",IF(Setup!$M$54&gt;0,Setup!$G$54+(Setup!$O$54+T$1)*Setup!$M$54,EDATE(Setup!$G$54,(Setup!$O$54+T$1)*Setup!$N$54))+$A31/1000)))</f>
        <v/>
      </c>
      <c r="U31">
        <f>IF(OR(Setup!$E$54="",Setup!$G$54="",Setup!$F$54=""),"",IF(AND(Setup!$F$54="Once",U$1&gt;0),"",IF(OR(IF(Setup!$M$54&gt;0,Setup!$G$54+(Setup!$O$54+U$1)*Setup!$M$54,EDATE(Setup!$G$54,(Setup!$O$54+U$1)*Setup!$N$54))&gt;Setup!$P$54,IF(Setup!$M$54&gt;0,Setup!$G$54+(Setup!$O$54+U$1)*Setup!$M$54,EDATE(Setup!$G$54,(Setup!$O$54+U$1)*Setup!$N$54))&lt;Setup!$D$5),"",IF(Setup!$M$54&gt;0,Setup!$G$54+(Setup!$O$54+U$1)*Setup!$M$54,EDATE(Setup!$G$54,(Setup!$O$54+U$1)*Setup!$N$54))+$A31/1000)))</f>
        <v/>
      </c>
      <c r="V31">
        <f>IF(OR(Setup!$E$54="",Setup!$G$54="",Setup!$F$54=""),"",IF(AND(Setup!$F$54="Once",V$1&gt;0),"",IF(OR(IF(Setup!$M$54&gt;0,Setup!$G$54+(Setup!$O$54+V$1)*Setup!$M$54,EDATE(Setup!$G$54,(Setup!$O$54+V$1)*Setup!$N$54))&gt;Setup!$P$54,IF(Setup!$M$54&gt;0,Setup!$G$54+(Setup!$O$54+V$1)*Setup!$M$54,EDATE(Setup!$G$54,(Setup!$O$54+V$1)*Setup!$N$54))&lt;Setup!$D$5),"",IF(Setup!$M$54&gt;0,Setup!$G$54+(Setup!$O$54+V$1)*Setup!$M$54,EDATE(Setup!$G$54,(Setup!$O$54+V$1)*Setup!$N$54))+$A31/1000)))</f>
        <v/>
      </c>
      <c r="W31">
        <f>IF(OR(Setup!$E$54="",Setup!$G$54="",Setup!$F$54=""),"",IF(AND(Setup!$F$54="Once",W$1&gt;0),"",IF(OR(IF(Setup!$M$54&gt;0,Setup!$G$54+(Setup!$O$54+W$1)*Setup!$M$54,EDATE(Setup!$G$54,(Setup!$O$54+W$1)*Setup!$N$54))&gt;Setup!$P$54,IF(Setup!$M$54&gt;0,Setup!$G$54+(Setup!$O$54+W$1)*Setup!$M$54,EDATE(Setup!$G$54,(Setup!$O$54+W$1)*Setup!$N$54))&lt;Setup!$D$5),"",IF(Setup!$M$54&gt;0,Setup!$G$54+(Setup!$O$54+W$1)*Setup!$M$54,EDATE(Setup!$G$54,(Setup!$O$54+W$1)*Setup!$N$54))+$A31/1000)))</f>
        <v/>
      </c>
      <c r="X31">
        <f>IF(OR(Setup!$E$54="",Setup!$G$54="",Setup!$F$54=""),"",IF(AND(Setup!$F$54="Once",X$1&gt;0),"",IF(OR(IF(Setup!$M$54&gt;0,Setup!$G$54+(Setup!$O$54+X$1)*Setup!$M$54,EDATE(Setup!$G$54,(Setup!$O$54+X$1)*Setup!$N$54))&gt;Setup!$P$54,IF(Setup!$M$54&gt;0,Setup!$G$54+(Setup!$O$54+X$1)*Setup!$M$54,EDATE(Setup!$G$54,(Setup!$O$54+X$1)*Setup!$N$54))&lt;Setup!$D$5),"",IF(Setup!$M$54&gt;0,Setup!$G$54+(Setup!$O$54+X$1)*Setup!$M$54,EDATE(Setup!$G$54,(Setup!$O$54+X$1)*Setup!$N$54))+$A31/1000)))</f>
        <v/>
      </c>
      <c r="Y31">
        <f>IF(OR(Setup!$E$54="",Setup!$G$54="",Setup!$F$54=""),"",IF(AND(Setup!$F$54="Once",Y$1&gt;0),"",IF(OR(IF(Setup!$M$54&gt;0,Setup!$G$54+(Setup!$O$54+Y$1)*Setup!$M$54,EDATE(Setup!$G$54,(Setup!$O$54+Y$1)*Setup!$N$54))&gt;Setup!$P$54,IF(Setup!$M$54&gt;0,Setup!$G$54+(Setup!$O$54+Y$1)*Setup!$M$54,EDATE(Setup!$G$54,(Setup!$O$54+Y$1)*Setup!$N$54))&lt;Setup!$D$5),"",IF(Setup!$M$54&gt;0,Setup!$G$54+(Setup!$O$54+Y$1)*Setup!$M$54,EDATE(Setup!$G$54,(Setup!$O$54+Y$1)*Setup!$N$54))+$A31/1000)))</f>
        <v/>
      </c>
      <c r="Z31">
        <f>IF(OR(Setup!$E$54="",Setup!$G$54="",Setup!$F$54=""),"",IF(AND(Setup!$F$54="Once",Z$1&gt;0),"",IF(OR(IF(Setup!$M$54&gt;0,Setup!$G$54+(Setup!$O$54+Z$1)*Setup!$M$54,EDATE(Setup!$G$54,(Setup!$O$54+Z$1)*Setup!$N$54))&gt;Setup!$P$54,IF(Setup!$M$54&gt;0,Setup!$G$54+(Setup!$O$54+Z$1)*Setup!$M$54,EDATE(Setup!$G$54,(Setup!$O$54+Z$1)*Setup!$N$54))&lt;Setup!$D$5),"",IF(Setup!$M$54&gt;0,Setup!$G$54+(Setup!$O$54+Z$1)*Setup!$M$54,EDATE(Setup!$G$54,(Setup!$O$54+Z$1)*Setup!$N$54))+$A31/1000)))</f>
        <v/>
      </c>
      <c r="AA31">
        <f>IF(OR(Setup!$E$54="",Setup!$G$54="",Setup!$F$54=""),"",IF(AND(Setup!$F$54="Once",AA$1&gt;0),"",IF(OR(IF(Setup!$M$54&gt;0,Setup!$G$54+(Setup!$O$54+AA$1)*Setup!$M$54,EDATE(Setup!$G$54,(Setup!$O$54+AA$1)*Setup!$N$54))&gt;Setup!$P$54,IF(Setup!$M$54&gt;0,Setup!$G$54+(Setup!$O$54+AA$1)*Setup!$M$54,EDATE(Setup!$G$54,(Setup!$O$54+AA$1)*Setup!$N$54))&lt;Setup!$D$5),"",IF(Setup!$M$54&gt;0,Setup!$G$54+(Setup!$O$54+AA$1)*Setup!$M$54,EDATE(Setup!$G$54,(Setup!$O$54+AA$1)*Setup!$N$54))+$A31/1000)))</f>
        <v/>
      </c>
      <c r="AB31">
        <f>IF(OR(Setup!$E$54="",Setup!$G$54="",Setup!$F$54=""),"",IF(AND(Setup!$F$54="Once",AB$1&gt;0),"",IF(OR(IF(Setup!$M$54&gt;0,Setup!$G$54+(Setup!$O$54+AB$1)*Setup!$M$54,EDATE(Setup!$G$54,(Setup!$O$54+AB$1)*Setup!$N$54))&gt;Setup!$P$54,IF(Setup!$M$54&gt;0,Setup!$G$54+(Setup!$O$54+AB$1)*Setup!$M$54,EDATE(Setup!$G$54,(Setup!$O$54+AB$1)*Setup!$N$54))&lt;Setup!$D$5),"",IF(Setup!$M$54&gt;0,Setup!$G$54+(Setup!$O$54+AB$1)*Setup!$M$54,EDATE(Setup!$G$54,(Setup!$O$54+AB$1)*Setup!$N$54))+$A31/1000)))</f>
        <v/>
      </c>
      <c r="AC31">
        <f>IF(OR(Setup!$E$54="",Setup!$G$54="",Setup!$F$54=""),"",IF(AND(Setup!$F$54="Once",AC$1&gt;0),"",IF(OR(IF(Setup!$M$54&gt;0,Setup!$G$54+(Setup!$O$54+AC$1)*Setup!$M$54,EDATE(Setup!$G$54,(Setup!$O$54+AC$1)*Setup!$N$54))&gt;Setup!$P$54,IF(Setup!$M$54&gt;0,Setup!$G$54+(Setup!$O$54+AC$1)*Setup!$M$54,EDATE(Setup!$G$54,(Setup!$O$54+AC$1)*Setup!$N$54))&lt;Setup!$D$5),"",IF(Setup!$M$54&gt;0,Setup!$G$54+(Setup!$O$54+AC$1)*Setup!$M$54,EDATE(Setup!$G$54,(Setup!$O$54+AC$1)*Setup!$N$54))+$A31/1000)))</f>
        <v/>
      </c>
      <c r="AD31">
        <f>IF(OR(Setup!$E$54="",Setup!$G$54="",Setup!$F$54=""),"",IF(AND(Setup!$F$54="Once",AD$1&gt;0),"",IF(OR(IF(Setup!$M$54&gt;0,Setup!$G$54+(Setup!$O$54+AD$1)*Setup!$M$54,EDATE(Setup!$G$54,(Setup!$O$54+AD$1)*Setup!$N$54))&gt;Setup!$P$54,IF(Setup!$M$54&gt;0,Setup!$G$54+(Setup!$O$54+AD$1)*Setup!$M$54,EDATE(Setup!$G$54,(Setup!$O$54+AD$1)*Setup!$N$54))&lt;Setup!$D$5),"",IF(Setup!$M$54&gt;0,Setup!$G$54+(Setup!$O$54+AD$1)*Setup!$M$54,EDATE(Setup!$G$54,(Setup!$O$54+AD$1)*Setup!$N$54))+$A31/1000)))</f>
        <v/>
      </c>
      <c r="AE31">
        <f>IF(OR(Setup!$E$54="",Setup!$G$54="",Setup!$F$54=""),"",IF(AND(Setup!$F$54="Once",AE$1&gt;0),"",IF(OR(IF(Setup!$M$54&gt;0,Setup!$G$54+(Setup!$O$54+AE$1)*Setup!$M$54,EDATE(Setup!$G$54,(Setup!$O$54+AE$1)*Setup!$N$54))&gt;Setup!$P$54,IF(Setup!$M$54&gt;0,Setup!$G$54+(Setup!$O$54+AE$1)*Setup!$M$54,EDATE(Setup!$G$54,(Setup!$O$54+AE$1)*Setup!$N$54))&lt;Setup!$D$5),"",IF(Setup!$M$54&gt;0,Setup!$G$54+(Setup!$O$54+AE$1)*Setup!$M$54,EDATE(Setup!$G$54,(Setup!$O$54+AE$1)*Setup!$N$54))+$A31/1000)))</f>
        <v/>
      </c>
      <c r="AF31">
        <f>IF(OR(Setup!$E$54="",Setup!$G$54="",Setup!$F$54=""),"",IF(AND(Setup!$F$54="Once",AF$1&gt;0),"",IF(OR(IF(Setup!$M$54&gt;0,Setup!$G$54+(Setup!$O$54+AF$1)*Setup!$M$54,EDATE(Setup!$G$54,(Setup!$O$54+AF$1)*Setup!$N$54))&gt;Setup!$P$54,IF(Setup!$M$54&gt;0,Setup!$G$54+(Setup!$O$54+AF$1)*Setup!$M$54,EDATE(Setup!$G$54,(Setup!$O$54+AF$1)*Setup!$N$54))&lt;Setup!$D$5),"",IF(Setup!$M$54&gt;0,Setup!$G$54+(Setup!$O$54+AF$1)*Setup!$M$54,EDATE(Setup!$G$54,(Setup!$O$54+AF$1)*Setup!$N$54))+$A31/1000)))</f>
        <v/>
      </c>
      <c r="AG31">
        <f>IF(OR(Setup!$E$54="",Setup!$G$54="",Setup!$F$54=""),"",IF(AND(Setup!$F$54="Once",AG$1&gt;0),"",IF(OR(IF(Setup!$M$54&gt;0,Setup!$G$54+(Setup!$O$54+AG$1)*Setup!$M$54,EDATE(Setup!$G$54,(Setup!$O$54+AG$1)*Setup!$N$54))&gt;Setup!$P$54,IF(Setup!$M$54&gt;0,Setup!$G$54+(Setup!$O$54+AG$1)*Setup!$M$54,EDATE(Setup!$G$54,(Setup!$O$54+AG$1)*Setup!$N$54))&lt;Setup!$D$5),"",IF(Setup!$M$54&gt;0,Setup!$G$54+(Setup!$O$54+AG$1)*Setup!$M$54,EDATE(Setup!$G$54,(Setup!$O$54+AG$1)*Setup!$N$54))+$A31/1000)))</f>
        <v/>
      </c>
      <c r="AH31">
        <f>IF(OR(Setup!$E$54="",Setup!$G$54="",Setup!$F$54=""),"",IF(AND(Setup!$F$54="Once",AH$1&gt;0),"",IF(OR(IF(Setup!$M$54&gt;0,Setup!$G$54+(Setup!$O$54+AH$1)*Setup!$M$54,EDATE(Setup!$G$54,(Setup!$O$54+AH$1)*Setup!$N$54))&gt;Setup!$P$54,IF(Setup!$M$54&gt;0,Setup!$G$54+(Setup!$O$54+AH$1)*Setup!$M$54,EDATE(Setup!$G$54,(Setup!$O$54+AH$1)*Setup!$N$54))&lt;Setup!$D$5),"",IF(Setup!$M$54&gt;0,Setup!$G$54+(Setup!$O$54+AH$1)*Setup!$M$54,EDATE(Setup!$G$54,(Setup!$O$54+AH$1)*Setup!$N$54))+$A31/1000)))</f>
        <v/>
      </c>
      <c r="AI31">
        <f>IF(OR(Setup!$E$54="",Setup!$G$54="",Setup!$F$54=""),"",IF(AND(Setup!$F$54="Once",AI$1&gt;0),"",IF(OR(IF(Setup!$M$54&gt;0,Setup!$G$54+(Setup!$O$54+AI$1)*Setup!$M$54,EDATE(Setup!$G$54,(Setup!$O$54+AI$1)*Setup!$N$54))&gt;Setup!$P$54,IF(Setup!$M$54&gt;0,Setup!$G$54+(Setup!$O$54+AI$1)*Setup!$M$54,EDATE(Setup!$G$54,(Setup!$O$54+AI$1)*Setup!$N$54))&lt;Setup!$D$5),"",IF(Setup!$M$54&gt;0,Setup!$G$54+(Setup!$O$54+AI$1)*Setup!$M$54,EDATE(Setup!$G$54,(Setup!$O$54+AI$1)*Setup!$N$54))+$A31/1000)))</f>
        <v/>
      </c>
      <c r="AJ31">
        <f>IF(OR(Setup!$E$54="",Setup!$G$54="",Setup!$F$54=""),"",IF(AND(Setup!$F$54="Once",AJ$1&gt;0),"",IF(OR(IF(Setup!$M$54&gt;0,Setup!$G$54+(Setup!$O$54+AJ$1)*Setup!$M$54,EDATE(Setup!$G$54,(Setup!$O$54+AJ$1)*Setup!$N$54))&gt;Setup!$P$54,IF(Setup!$M$54&gt;0,Setup!$G$54+(Setup!$O$54+AJ$1)*Setup!$M$54,EDATE(Setup!$G$54,(Setup!$O$54+AJ$1)*Setup!$N$54))&lt;Setup!$D$5),"",IF(Setup!$M$54&gt;0,Setup!$G$54+(Setup!$O$54+AJ$1)*Setup!$M$54,EDATE(Setup!$G$54,(Setup!$O$54+AJ$1)*Setup!$N$54))+$A31/1000)))</f>
        <v/>
      </c>
      <c r="AK31">
        <f>IF(OR(Setup!$E$54="",Setup!$G$54="",Setup!$F$54=""),"",IF(AND(Setup!$F$54="Once",AK$1&gt;0),"",IF(OR(IF(Setup!$M$54&gt;0,Setup!$G$54+(Setup!$O$54+AK$1)*Setup!$M$54,EDATE(Setup!$G$54,(Setup!$O$54+AK$1)*Setup!$N$54))&gt;Setup!$P$54,IF(Setup!$M$54&gt;0,Setup!$G$54+(Setup!$O$54+AK$1)*Setup!$M$54,EDATE(Setup!$G$54,(Setup!$O$54+AK$1)*Setup!$N$54))&lt;Setup!$D$5),"",IF(Setup!$M$54&gt;0,Setup!$G$54+(Setup!$O$54+AK$1)*Setup!$M$54,EDATE(Setup!$G$54,(Setup!$O$54+AK$1)*Setup!$N$54))+$A31/1000)))</f>
        <v/>
      </c>
      <c r="AL31">
        <f>IF(OR(Setup!$E$54="",Setup!$G$54="",Setup!$F$54=""),"",IF(AND(Setup!$F$54="Once",AL$1&gt;0),"",IF(OR(IF(Setup!$M$54&gt;0,Setup!$G$54+(Setup!$O$54+AL$1)*Setup!$M$54,EDATE(Setup!$G$54,(Setup!$O$54+AL$1)*Setup!$N$54))&gt;Setup!$P$54,IF(Setup!$M$54&gt;0,Setup!$G$54+(Setup!$O$54+AL$1)*Setup!$M$54,EDATE(Setup!$G$54,(Setup!$O$54+AL$1)*Setup!$N$54))&lt;Setup!$D$5),"",IF(Setup!$M$54&gt;0,Setup!$G$54+(Setup!$O$54+AL$1)*Setup!$M$54,EDATE(Setup!$G$54,(Setup!$O$54+AL$1)*Setup!$N$54))+$A31/1000)))</f>
        <v/>
      </c>
      <c r="AM31">
        <f>IF(OR(Setup!$E$54="",Setup!$G$54="",Setup!$F$54=""),"",IF(AND(Setup!$F$54="Once",AM$1&gt;0),"",IF(OR(IF(Setup!$M$54&gt;0,Setup!$G$54+(Setup!$O$54+AM$1)*Setup!$M$54,EDATE(Setup!$G$54,(Setup!$O$54+AM$1)*Setup!$N$54))&gt;Setup!$P$54,IF(Setup!$M$54&gt;0,Setup!$G$54+(Setup!$O$54+AM$1)*Setup!$M$54,EDATE(Setup!$G$54,(Setup!$O$54+AM$1)*Setup!$N$54))&lt;Setup!$D$5),"",IF(Setup!$M$54&gt;0,Setup!$G$54+(Setup!$O$54+AM$1)*Setup!$M$54,EDATE(Setup!$G$54,(Setup!$O$54+AM$1)*Setup!$N$54))+$A31/1000)))</f>
        <v/>
      </c>
      <c r="AN31">
        <f>IF(OR(Setup!$E$54="",Setup!$G$54="",Setup!$F$54=""),"",IF(AND(Setup!$F$54="Once",AN$1&gt;0),"",IF(OR(IF(Setup!$M$54&gt;0,Setup!$G$54+(Setup!$O$54+AN$1)*Setup!$M$54,EDATE(Setup!$G$54,(Setup!$O$54+AN$1)*Setup!$N$54))&gt;Setup!$P$54,IF(Setup!$M$54&gt;0,Setup!$G$54+(Setup!$O$54+AN$1)*Setup!$M$54,EDATE(Setup!$G$54,(Setup!$O$54+AN$1)*Setup!$N$54))&lt;Setup!$D$5),"",IF(Setup!$M$54&gt;0,Setup!$G$54+(Setup!$O$54+AN$1)*Setup!$M$54,EDATE(Setup!$G$54,(Setup!$O$54+AN$1)*Setup!$N$54))+$A31/1000)))</f>
        <v/>
      </c>
      <c r="AO31">
        <f>IF(OR(Setup!$E$54="",Setup!$G$54="",Setup!$F$54=""),"",IF(AND(Setup!$F$54="Once",AO$1&gt;0),"",IF(OR(IF(Setup!$M$54&gt;0,Setup!$G$54+(Setup!$O$54+AO$1)*Setup!$M$54,EDATE(Setup!$G$54,(Setup!$O$54+AO$1)*Setup!$N$54))&gt;Setup!$P$54,IF(Setup!$M$54&gt;0,Setup!$G$54+(Setup!$O$54+AO$1)*Setup!$M$54,EDATE(Setup!$G$54,(Setup!$O$54+AO$1)*Setup!$N$54))&lt;Setup!$D$5),"",IF(Setup!$M$54&gt;0,Setup!$G$54+(Setup!$O$54+AO$1)*Setup!$M$54,EDATE(Setup!$G$54,(Setup!$O$54+AO$1)*Setup!$N$54))+$A31/1000)))</f>
        <v/>
      </c>
      <c r="AP31">
        <f>IF(OR(Setup!$E$54="",Setup!$G$54="",Setup!$F$54=""),"",IF(AND(Setup!$F$54="Once",AP$1&gt;0),"",IF(OR(IF(Setup!$M$54&gt;0,Setup!$G$54+(Setup!$O$54+AP$1)*Setup!$M$54,EDATE(Setup!$G$54,(Setup!$O$54+AP$1)*Setup!$N$54))&gt;Setup!$P$54,IF(Setup!$M$54&gt;0,Setup!$G$54+(Setup!$O$54+AP$1)*Setup!$M$54,EDATE(Setup!$G$54,(Setup!$O$54+AP$1)*Setup!$N$54))&lt;Setup!$D$5),"",IF(Setup!$M$54&gt;0,Setup!$G$54+(Setup!$O$54+AP$1)*Setup!$M$54,EDATE(Setup!$G$54,(Setup!$O$54+AP$1)*Setup!$N$54))+$A31/1000)))</f>
        <v/>
      </c>
      <c r="AQ31">
        <f>IF(OR(Setup!$E$54="",Setup!$G$54="",Setup!$F$54=""),"",IF(AND(Setup!$F$54="Once",AQ$1&gt;0),"",IF(OR(IF(Setup!$M$54&gt;0,Setup!$G$54+(Setup!$O$54+AQ$1)*Setup!$M$54,EDATE(Setup!$G$54,(Setup!$O$54+AQ$1)*Setup!$N$54))&gt;Setup!$P$54,IF(Setup!$M$54&gt;0,Setup!$G$54+(Setup!$O$54+AQ$1)*Setup!$M$54,EDATE(Setup!$G$54,(Setup!$O$54+AQ$1)*Setup!$N$54))&lt;Setup!$D$5),"",IF(Setup!$M$54&gt;0,Setup!$G$54+(Setup!$O$54+AQ$1)*Setup!$M$54,EDATE(Setup!$G$54,(Setup!$O$54+AQ$1)*Setup!$N$54))+$A31/1000)))</f>
        <v/>
      </c>
      <c r="AR31">
        <f>IF(OR(Setup!$E$54="",Setup!$G$54="",Setup!$F$54=""),"",IF(AND(Setup!$F$54="Once",AR$1&gt;0),"",IF(OR(IF(Setup!$M$54&gt;0,Setup!$G$54+(Setup!$O$54+AR$1)*Setup!$M$54,EDATE(Setup!$G$54,(Setup!$O$54+AR$1)*Setup!$N$54))&gt;Setup!$P$54,IF(Setup!$M$54&gt;0,Setup!$G$54+(Setup!$O$54+AR$1)*Setup!$M$54,EDATE(Setup!$G$54,(Setup!$O$54+AR$1)*Setup!$N$54))&lt;Setup!$D$5),"",IF(Setup!$M$54&gt;0,Setup!$G$54+(Setup!$O$54+AR$1)*Setup!$M$54,EDATE(Setup!$G$54,(Setup!$O$54+AR$1)*Setup!$N$54))+$A31/1000)))</f>
        <v/>
      </c>
      <c r="AS31">
        <f>IF(OR(Setup!$E$54="",Setup!$G$54="",Setup!$F$54=""),"",IF(AND(Setup!$F$54="Once",AS$1&gt;0),"",IF(OR(IF(Setup!$M$54&gt;0,Setup!$G$54+(Setup!$O$54+AS$1)*Setup!$M$54,EDATE(Setup!$G$54,(Setup!$O$54+AS$1)*Setup!$N$54))&gt;Setup!$P$54,IF(Setup!$M$54&gt;0,Setup!$G$54+(Setup!$O$54+AS$1)*Setup!$M$54,EDATE(Setup!$G$54,(Setup!$O$54+AS$1)*Setup!$N$54))&lt;Setup!$D$5),"",IF(Setup!$M$54&gt;0,Setup!$G$54+(Setup!$O$54+AS$1)*Setup!$M$54,EDATE(Setup!$G$54,(Setup!$O$54+AS$1)*Setup!$N$54))+$A31/1000)))</f>
        <v/>
      </c>
      <c r="AT31">
        <f>IF(OR(Setup!$E$54="",Setup!$G$54="",Setup!$F$54=""),"",IF(AND(Setup!$F$54="Once",AT$1&gt;0),"",IF(OR(IF(Setup!$M$54&gt;0,Setup!$G$54+(Setup!$O$54+AT$1)*Setup!$M$54,EDATE(Setup!$G$54,(Setup!$O$54+AT$1)*Setup!$N$54))&gt;Setup!$P$54,IF(Setup!$M$54&gt;0,Setup!$G$54+(Setup!$O$54+AT$1)*Setup!$M$54,EDATE(Setup!$G$54,(Setup!$O$54+AT$1)*Setup!$N$54))&lt;Setup!$D$5),"",IF(Setup!$M$54&gt;0,Setup!$G$54+(Setup!$O$54+AT$1)*Setup!$M$54,EDATE(Setup!$G$54,(Setup!$O$54+AT$1)*Setup!$N$54))+$A31/1000)))</f>
        <v/>
      </c>
      <c r="AU31">
        <f>IF(OR(Setup!$E$54="",Setup!$G$54="",Setup!$F$54=""),"",IF(AND(Setup!$F$54="Once",AU$1&gt;0),"",IF(OR(IF(Setup!$M$54&gt;0,Setup!$G$54+(Setup!$O$54+AU$1)*Setup!$M$54,EDATE(Setup!$G$54,(Setup!$O$54+AU$1)*Setup!$N$54))&gt;Setup!$P$54,IF(Setup!$M$54&gt;0,Setup!$G$54+(Setup!$O$54+AU$1)*Setup!$M$54,EDATE(Setup!$G$54,(Setup!$O$54+AU$1)*Setup!$N$54))&lt;Setup!$D$5),"",IF(Setup!$M$54&gt;0,Setup!$G$54+(Setup!$O$54+AU$1)*Setup!$M$54,EDATE(Setup!$G$54,(Setup!$O$54+AU$1)*Setup!$N$54))+$A31/1000)))</f>
        <v/>
      </c>
      <c r="AV31">
        <f>IF(OR(Setup!$E$54="",Setup!$G$54="",Setup!$F$54=""),"",IF(AND(Setup!$F$54="Once",AV$1&gt;0),"",IF(OR(IF(Setup!$M$54&gt;0,Setup!$G$54+(Setup!$O$54+AV$1)*Setup!$M$54,EDATE(Setup!$G$54,(Setup!$O$54+AV$1)*Setup!$N$54))&gt;Setup!$P$54,IF(Setup!$M$54&gt;0,Setup!$G$54+(Setup!$O$54+AV$1)*Setup!$M$54,EDATE(Setup!$G$54,(Setup!$O$54+AV$1)*Setup!$N$54))&lt;Setup!$D$5),"",IF(Setup!$M$54&gt;0,Setup!$G$54+(Setup!$O$54+AV$1)*Setup!$M$54,EDATE(Setup!$G$54,(Setup!$O$54+AV$1)*Setup!$N$54))+$A31/1000)))</f>
        <v/>
      </c>
      <c r="AW31">
        <f>IF(OR(Setup!$E$54="",Setup!$G$54="",Setup!$F$54=""),"",IF(AND(Setup!$F$54="Once",AW$1&gt;0),"",IF(OR(IF(Setup!$M$54&gt;0,Setup!$G$54+(Setup!$O$54+AW$1)*Setup!$M$54,EDATE(Setup!$G$54,(Setup!$O$54+AW$1)*Setup!$N$54))&gt;Setup!$P$54,IF(Setup!$M$54&gt;0,Setup!$G$54+(Setup!$O$54+AW$1)*Setup!$M$54,EDATE(Setup!$G$54,(Setup!$O$54+AW$1)*Setup!$N$54))&lt;Setup!$D$5),"",IF(Setup!$M$54&gt;0,Setup!$G$54+(Setup!$O$54+AW$1)*Setup!$M$54,EDATE(Setup!$G$54,(Setup!$O$54+AW$1)*Setup!$N$54))+$A31/1000)))</f>
        <v/>
      </c>
      <c r="AX31">
        <f>IF(OR(Setup!$E$54="",Setup!$G$54="",Setup!$F$54=""),"",IF(AND(Setup!$F$54="Once",AX$1&gt;0),"",IF(OR(IF(Setup!$M$54&gt;0,Setup!$G$54+(Setup!$O$54+AX$1)*Setup!$M$54,EDATE(Setup!$G$54,(Setup!$O$54+AX$1)*Setup!$N$54))&gt;Setup!$P$54,IF(Setup!$M$54&gt;0,Setup!$G$54+(Setup!$O$54+AX$1)*Setup!$M$54,EDATE(Setup!$G$54,(Setup!$O$54+AX$1)*Setup!$N$54))&lt;Setup!$D$5),"",IF(Setup!$M$54&gt;0,Setup!$G$54+(Setup!$O$54+AX$1)*Setup!$M$54,EDATE(Setup!$G$54,(Setup!$O$54+AX$1)*Setup!$N$54))+$A31/1000)))</f>
        <v/>
      </c>
      <c r="AY31">
        <f>IF(OR(Setup!$E$54="",Setup!$G$54="",Setup!$F$54=""),"",IF(AND(Setup!$F$54="Once",AY$1&gt;0),"",IF(OR(IF(Setup!$M$54&gt;0,Setup!$G$54+(Setup!$O$54+AY$1)*Setup!$M$54,EDATE(Setup!$G$54,(Setup!$O$54+AY$1)*Setup!$N$54))&gt;Setup!$P$54,IF(Setup!$M$54&gt;0,Setup!$G$54+(Setup!$O$54+AY$1)*Setup!$M$54,EDATE(Setup!$G$54,(Setup!$O$54+AY$1)*Setup!$N$54))&lt;Setup!$D$5),"",IF(Setup!$M$54&gt;0,Setup!$G$54+(Setup!$O$54+AY$1)*Setup!$M$54,EDATE(Setup!$G$54,(Setup!$O$54+AY$1)*Setup!$N$54))+$A31/1000)))</f>
        <v/>
      </c>
      <c r="AZ31">
        <f>IF(OR(Setup!$E$54="",Setup!$G$54="",Setup!$F$54=""),"",IF(AND(Setup!$F$54="Once",AZ$1&gt;0),"",IF(OR(IF(Setup!$M$54&gt;0,Setup!$G$54+(Setup!$O$54+AZ$1)*Setup!$M$54,EDATE(Setup!$G$54,(Setup!$O$54+AZ$1)*Setup!$N$54))&gt;Setup!$P$54,IF(Setup!$M$54&gt;0,Setup!$G$54+(Setup!$O$54+AZ$1)*Setup!$M$54,EDATE(Setup!$G$54,(Setup!$O$54+AZ$1)*Setup!$N$54))&lt;Setup!$D$5),"",IF(Setup!$M$54&gt;0,Setup!$G$54+(Setup!$O$54+AZ$1)*Setup!$M$54,EDATE(Setup!$G$54,(Setup!$O$54+AZ$1)*Setup!$N$54))+$A31/1000)))</f>
        <v/>
      </c>
      <c r="BA31">
        <f>IF(OR(Setup!$E$54="",Setup!$G$54="",Setup!$F$54=""),"",IF(AND(Setup!$F$54="Once",BA$1&gt;0),"",IF(OR(IF(Setup!$M$54&gt;0,Setup!$G$54+(Setup!$O$54+BA$1)*Setup!$M$54,EDATE(Setup!$G$54,(Setup!$O$54+BA$1)*Setup!$N$54))&gt;Setup!$P$54,IF(Setup!$M$54&gt;0,Setup!$G$54+(Setup!$O$54+BA$1)*Setup!$M$54,EDATE(Setup!$G$54,(Setup!$O$54+BA$1)*Setup!$N$54))&lt;Setup!$D$5),"",IF(Setup!$M$54&gt;0,Setup!$G$54+(Setup!$O$54+BA$1)*Setup!$M$54,EDATE(Setup!$G$54,(Setup!$O$54+BA$1)*Setup!$N$54))+$A31/1000)))</f>
        <v/>
      </c>
      <c r="BB31">
        <f>IF(OR(Setup!$E$54="",Setup!$G$54="",Setup!$F$54=""),"",IF(AND(Setup!$F$54="Once",BB$1&gt;0),"",IF(OR(IF(Setup!$M$54&gt;0,Setup!$G$54+(Setup!$O$54+BB$1)*Setup!$M$54,EDATE(Setup!$G$54,(Setup!$O$54+BB$1)*Setup!$N$54))&gt;Setup!$P$54,IF(Setup!$M$54&gt;0,Setup!$G$54+(Setup!$O$54+BB$1)*Setup!$M$54,EDATE(Setup!$G$54,(Setup!$O$54+BB$1)*Setup!$N$54))&lt;Setup!$D$5),"",IF(Setup!$M$54&gt;0,Setup!$G$54+(Setup!$O$54+BB$1)*Setup!$M$54,EDATE(Setup!$G$54,(Setup!$O$54+BB$1)*Setup!$N$54))+$A31/1000)))</f>
        <v/>
      </c>
    </row>
    <row r="32">
      <c r="A32" t="n">
        <v>31</v>
      </c>
      <c r="B32">
        <f>IF(OR(Setup!$E$55="",Setup!$G$55="",Setup!$F$55=""),"",IF(AND(Setup!$F$55="Once",B$1&gt;0),"",IF(OR(IF(Setup!$M$55&gt;0,Setup!$G$55+(Setup!$O$55+B$1)*Setup!$M$55,EDATE(Setup!$G$55,(Setup!$O$55+B$1)*Setup!$N$55))&gt;Setup!$P$55,IF(Setup!$M$55&gt;0,Setup!$G$55+(Setup!$O$55+B$1)*Setup!$M$55,EDATE(Setup!$G$55,(Setup!$O$55+B$1)*Setup!$N$55))&lt;Setup!$D$5),"",IF(Setup!$M$55&gt;0,Setup!$G$55+(Setup!$O$55+B$1)*Setup!$M$55,EDATE(Setup!$G$55,(Setup!$O$55+B$1)*Setup!$N$55))+$A32/1000)))</f>
        <v/>
      </c>
      <c r="C32">
        <f>IF(OR(Setup!$E$55="",Setup!$G$55="",Setup!$F$55=""),"",IF(AND(Setup!$F$55="Once",C$1&gt;0),"",IF(OR(IF(Setup!$M$55&gt;0,Setup!$G$55+(Setup!$O$55+C$1)*Setup!$M$55,EDATE(Setup!$G$55,(Setup!$O$55+C$1)*Setup!$N$55))&gt;Setup!$P$55,IF(Setup!$M$55&gt;0,Setup!$G$55+(Setup!$O$55+C$1)*Setup!$M$55,EDATE(Setup!$G$55,(Setup!$O$55+C$1)*Setup!$N$55))&lt;Setup!$D$5),"",IF(Setup!$M$55&gt;0,Setup!$G$55+(Setup!$O$55+C$1)*Setup!$M$55,EDATE(Setup!$G$55,(Setup!$O$55+C$1)*Setup!$N$55))+$A32/1000)))</f>
        <v/>
      </c>
      <c r="D32">
        <f>IF(OR(Setup!$E$55="",Setup!$G$55="",Setup!$F$55=""),"",IF(AND(Setup!$F$55="Once",D$1&gt;0),"",IF(OR(IF(Setup!$M$55&gt;0,Setup!$G$55+(Setup!$O$55+D$1)*Setup!$M$55,EDATE(Setup!$G$55,(Setup!$O$55+D$1)*Setup!$N$55))&gt;Setup!$P$55,IF(Setup!$M$55&gt;0,Setup!$G$55+(Setup!$O$55+D$1)*Setup!$M$55,EDATE(Setup!$G$55,(Setup!$O$55+D$1)*Setup!$N$55))&lt;Setup!$D$5),"",IF(Setup!$M$55&gt;0,Setup!$G$55+(Setup!$O$55+D$1)*Setup!$M$55,EDATE(Setup!$G$55,(Setup!$O$55+D$1)*Setup!$N$55))+$A32/1000)))</f>
        <v/>
      </c>
      <c r="E32">
        <f>IF(OR(Setup!$E$55="",Setup!$G$55="",Setup!$F$55=""),"",IF(AND(Setup!$F$55="Once",E$1&gt;0),"",IF(OR(IF(Setup!$M$55&gt;0,Setup!$G$55+(Setup!$O$55+E$1)*Setup!$M$55,EDATE(Setup!$G$55,(Setup!$O$55+E$1)*Setup!$N$55))&gt;Setup!$P$55,IF(Setup!$M$55&gt;0,Setup!$G$55+(Setup!$O$55+E$1)*Setup!$M$55,EDATE(Setup!$G$55,(Setup!$O$55+E$1)*Setup!$N$55))&lt;Setup!$D$5),"",IF(Setup!$M$55&gt;0,Setup!$G$55+(Setup!$O$55+E$1)*Setup!$M$55,EDATE(Setup!$G$55,(Setup!$O$55+E$1)*Setup!$N$55))+$A32/1000)))</f>
        <v/>
      </c>
      <c r="F32">
        <f>IF(OR(Setup!$E$55="",Setup!$G$55="",Setup!$F$55=""),"",IF(AND(Setup!$F$55="Once",F$1&gt;0),"",IF(OR(IF(Setup!$M$55&gt;0,Setup!$G$55+(Setup!$O$55+F$1)*Setup!$M$55,EDATE(Setup!$G$55,(Setup!$O$55+F$1)*Setup!$N$55))&gt;Setup!$P$55,IF(Setup!$M$55&gt;0,Setup!$G$55+(Setup!$O$55+F$1)*Setup!$M$55,EDATE(Setup!$G$55,(Setup!$O$55+F$1)*Setup!$N$55))&lt;Setup!$D$5),"",IF(Setup!$M$55&gt;0,Setup!$G$55+(Setup!$O$55+F$1)*Setup!$M$55,EDATE(Setup!$G$55,(Setup!$O$55+F$1)*Setup!$N$55))+$A32/1000)))</f>
        <v/>
      </c>
      <c r="G32">
        <f>IF(OR(Setup!$E$55="",Setup!$G$55="",Setup!$F$55=""),"",IF(AND(Setup!$F$55="Once",G$1&gt;0),"",IF(OR(IF(Setup!$M$55&gt;0,Setup!$G$55+(Setup!$O$55+G$1)*Setup!$M$55,EDATE(Setup!$G$55,(Setup!$O$55+G$1)*Setup!$N$55))&gt;Setup!$P$55,IF(Setup!$M$55&gt;0,Setup!$G$55+(Setup!$O$55+G$1)*Setup!$M$55,EDATE(Setup!$G$55,(Setup!$O$55+G$1)*Setup!$N$55))&lt;Setup!$D$5),"",IF(Setup!$M$55&gt;0,Setup!$G$55+(Setup!$O$55+G$1)*Setup!$M$55,EDATE(Setup!$G$55,(Setup!$O$55+G$1)*Setup!$N$55))+$A32/1000)))</f>
        <v/>
      </c>
      <c r="H32">
        <f>IF(OR(Setup!$E$55="",Setup!$G$55="",Setup!$F$55=""),"",IF(AND(Setup!$F$55="Once",H$1&gt;0),"",IF(OR(IF(Setup!$M$55&gt;0,Setup!$G$55+(Setup!$O$55+H$1)*Setup!$M$55,EDATE(Setup!$G$55,(Setup!$O$55+H$1)*Setup!$N$55))&gt;Setup!$P$55,IF(Setup!$M$55&gt;0,Setup!$G$55+(Setup!$O$55+H$1)*Setup!$M$55,EDATE(Setup!$G$55,(Setup!$O$55+H$1)*Setup!$N$55))&lt;Setup!$D$5),"",IF(Setup!$M$55&gt;0,Setup!$G$55+(Setup!$O$55+H$1)*Setup!$M$55,EDATE(Setup!$G$55,(Setup!$O$55+H$1)*Setup!$N$55))+$A32/1000)))</f>
        <v/>
      </c>
      <c r="I32">
        <f>IF(OR(Setup!$E$55="",Setup!$G$55="",Setup!$F$55=""),"",IF(AND(Setup!$F$55="Once",I$1&gt;0),"",IF(OR(IF(Setup!$M$55&gt;0,Setup!$G$55+(Setup!$O$55+I$1)*Setup!$M$55,EDATE(Setup!$G$55,(Setup!$O$55+I$1)*Setup!$N$55))&gt;Setup!$P$55,IF(Setup!$M$55&gt;0,Setup!$G$55+(Setup!$O$55+I$1)*Setup!$M$55,EDATE(Setup!$G$55,(Setup!$O$55+I$1)*Setup!$N$55))&lt;Setup!$D$5),"",IF(Setup!$M$55&gt;0,Setup!$G$55+(Setup!$O$55+I$1)*Setup!$M$55,EDATE(Setup!$G$55,(Setup!$O$55+I$1)*Setup!$N$55))+$A32/1000)))</f>
        <v/>
      </c>
      <c r="J32">
        <f>IF(OR(Setup!$E$55="",Setup!$G$55="",Setup!$F$55=""),"",IF(AND(Setup!$F$55="Once",J$1&gt;0),"",IF(OR(IF(Setup!$M$55&gt;0,Setup!$G$55+(Setup!$O$55+J$1)*Setup!$M$55,EDATE(Setup!$G$55,(Setup!$O$55+J$1)*Setup!$N$55))&gt;Setup!$P$55,IF(Setup!$M$55&gt;0,Setup!$G$55+(Setup!$O$55+J$1)*Setup!$M$55,EDATE(Setup!$G$55,(Setup!$O$55+J$1)*Setup!$N$55))&lt;Setup!$D$5),"",IF(Setup!$M$55&gt;0,Setup!$G$55+(Setup!$O$55+J$1)*Setup!$M$55,EDATE(Setup!$G$55,(Setup!$O$55+J$1)*Setup!$N$55))+$A32/1000)))</f>
        <v/>
      </c>
      <c r="K32">
        <f>IF(OR(Setup!$E$55="",Setup!$G$55="",Setup!$F$55=""),"",IF(AND(Setup!$F$55="Once",K$1&gt;0),"",IF(OR(IF(Setup!$M$55&gt;0,Setup!$G$55+(Setup!$O$55+K$1)*Setup!$M$55,EDATE(Setup!$G$55,(Setup!$O$55+K$1)*Setup!$N$55))&gt;Setup!$P$55,IF(Setup!$M$55&gt;0,Setup!$G$55+(Setup!$O$55+K$1)*Setup!$M$55,EDATE(Setup!$G$55,(Setup!$O$55+K$1)*Setup!$N$55))&lt;Setup!$D$5),"",IF(Setup!$M$55&gt;0,Setup!$G$55+(Setup!$O$55+K$1)*Setup!$M$55,EDATE(Setup!$G$55,(Setup!$O$55+K$1)*Setup!$N$55))+$A32/1000)))</f>
        <v/>
      </c>
      <c r="L32">
        <f>IF(OR(Setup!$E$55="",Setup!$G$55="",Setup!$F$55=""),"",IF(AND(Setup!$F$55="Once",L$1&gt;0),"",IF(OR(IF(Setup!$M$55&gt;0,Setup!$G$55+(Setup!$O$55+L$1)*Setup!$M$55,EDATE(Setup!$G$55,(Setup!$O$55+L$1)*Setup!$N$55))&gt;Setup!$P$55,IF(Setup!$M$55&gt;0,Setup!$G$55+(Setup!$O$55+L$1)*Setup!$M$55,EDATE(Setup!$G$55,(Setup!$O$55+L$1)*Setup!$N$55))&lt;Setup!$D$5),"",IF(Setup!$M$55&gt;0,Setup!$G$55+(Setup!$O$55+L$1)*Setup!$M$55,EDATE(Setup!$G$55,(Setup!$O$55+L$1)*Setup!$N$55))+$A32/1000)))</f>
        <v/>
      </c>
      <c r="M32">
        <f>IF(OR(Setup!$E$55="",Setup!$G$55="",Setup!$F$55=""),"",IF(AND(Setup!$F$55="Once",M$1&gt;0),"",IF(OR(IF(Setup!$M$55&gt;0,Setup!$G$55+(Setup!$O$55+M$1)*Setup!$M$55,EDATE(Setup!$G$55,(Setup!$O$55+M$1)*Setup!$N$55))&gt;Setup!$P$55,IF(Setup!$M$55&gt;0,Setup!$G$55+(Setup!$O$55+M$1)*Setup!$M$55,EDATE(Setup!$G$55,(Setup!$O$55+M$1)*Setup!$N$55))&lt;Setup!$D$5),"",IF(Setup!$M$55&gt;0,Setup!$G$55+(Setup!$O$55+M$1)*Setup!$M$55,EDATE(Setup!$G$55,(Setup!$O$55+M$1)*Setup!$N$55))+$A32/1000)))</f>
        <v/>
      </c>
      <c r="N32">
        <f>IF(OR(Setup!$E$55="",Setup!$G$55="",Setup!$F$55=""),"",IF(AND(Setup!$F$55="Once",N$1&gt;0),"",IF(OR(IF(Setup!$M$55&gt;0,Setup!$G$55+(Setup!$O$55+N$1)*Setup!$M$55,EDATE(Setup!$G$55,(Setup!$O$55+N$1)*Setup!$N$55))&gt;Setup!$P$55,IF(Setup!$M$55&gt;0,Setup!$G$55+(Setup!$O$55+N$1)*Setup!$M$55,EDATE(Setup!$G$55,(Setup!$O$55+N$1)*Setup!$N$55))&lt;Setup!$D$5),"",IF(Setup!$M$55&gt;0,Setup!$G$55+(Setup!$O$55+N$1)*Setup!$M$55,EDATE(Setup!$G$55,(Setup!$O$55+N$1)*Setup!$N$55))+$A32/1000)))</f>
        <v/>
      </c>
      <c r="O32">
        <f>IF(OR(Setup!$E$55="",Setup!$G$55="",Setup!$F$55=""),"",IF(AND(Setup!$F$55="Once",O$1&gt;0),"",IF(OR(IF(Setup!$M$55&gt;0,Setup!$G$55+(Setup!$O$55+O$1)*Setup!$M$55,EDATE(Setup!$G$55,(Setup!$O$55+O$1)*Setup!$N$55))&gt;Setup!$P$55,IF(Setup!$M$55&gt;0,Setup!$G$55+(Setup!$O$55+O$1)*Setup!$M$55,EDATE(Setup!$G$55,(Setup!$O$55+O$1)*Setup!$N$55))&lt;Setup!$D$5),"",IF(Setup!$M$55&gt;0,Setup!$G$55+(Setup!$O$55+O$1)*Setup!$M$55,EDATE(Setup!$G$55,(Setup!$O$55+O$1)*Setup!$N$55))+$A32/1000)))</f>
        <v/>
      </c>
      <c r="P32">
        <f>IF(OR(Setup!$E$55="",Setup!$G$55="",Setup!$F$55=""),"",IF(AND(Setup!$F$55="Once",P$1&gt;0),"",IF(OR(IF(Setup!$M$55&gt;0,Setup!$G$55+(Setup!$O$55+P$1)*Setup!$M$55,EDATE(Setup!$G$55,(Setup!$O$55+P$1)*Setup!$N$55))&gt;Setup!$P$55,IF(Setup!$M$55&gt;0,Setup!$G$55+(Setup!$O$55+P$1)*Setup!$M$55,EDATE(Setup!$G$55,(Setup!$O$55+P$1)*Setup!$N$55))&lt;Setup!$D$5),"",IF(Setup!$M$55&gt;0,Setup!$G$55+(Setup!$O$55+P$1)*Setup!$M$55,EDATE(Setup!$G$55,(Setup!$O$55+P$1)*Setup!$N$55))+$A32/1000)))</f>
        <v/>
      </c>
      <c r="Q32">
        <f>IF(OR(Setup!$E$55="",Setup!$G$55="",Setup!$F$55=""),"",IF(AND(Setup!$F$55="Once",Q$1&gt;0),"",IF(OR(IF(Setup!$M$55&gt;0,Setup!$G$55+(Setup!$O$55+Q$1)*Setup!$M$55,EDATE(Setup!$G$55,(Setup!$O$55+Q$1)*Setup!$N$55))&gt;Setup!$P$55,IF(Setup!$M$55&gt;0,Setup!$G$55+(Setup!$O$55+Q$1)*Setup!$M$55,EDATE(Setup!$G$55,(Setup!$O$55+Q$1)*Setup!$N$55))&lt;Setup!$D$5),"",IF(Setup!$M$55&gt;0,Setup!$G$55+(Setup!$O$55+Q$1)*Setup!$M$55,EDATE(Setup!$G$55,(Setup!$O$55+Q$1)*Setup!$N$55))+$A32/1000)))</f>
        <v/>
      </c>
      <c r="R32">
        <f>IF(OR(Setup!$E$55="",Setup!$G$55="",Setup!$F$55=""),"",IF(AND(Setup!$F$55="Once",R$1&gt;0),"",IF(OR(IF(Setup!$M$55&gt;0,Setup!$G$55+(Setup!$O$55+R$1)*Setup!$M$55,EDATE(Setup!$G$55,(Setup!$O$55+R$1)*Setup!$N$55))&gt;Setup!$P$55,IF(Setup!$M$55&gt;0,Setup!$G$55+(Setup!$O$55+R$1)*Setup!$M$55,EDATE(Setup!$G$55,(Setup!$O$55+R$1)*Setup!$N$55))&lt;Setup!$D$5),"",IF(Setup!$M$55&gt;0,Setup!$G$55+(Setup!$O$55+R$1)*Setup!$M$55,EDATE(Setup!$G$55,(Setup!$O$55+R$1)*Setup!$N$55))+$A32/1000)))</f>
        <v/>
      </c>
      <c r="S32">
        <f>IF(OR(Setup!$E$55="",Setup!$G$55="",Setup!$F$55=""),"",IF(AND(Setup!$F$55="Once",S$1&gt;0),"",IF(OR(IF(Setup!$M$55&gt;0,Setup!$G$55+(Setup!$O$55+S$1)*Setup!$M$55,EDATE(Setup!$G$55,(Setup!$O$55+S$1)*Setup!$N$55))&gt;Setup!$P$55,IF(Setup!$M$55&gt;0,Setup!$G$55+(Setup!$O$55+S$1)*Setup!$M$55,EDATE(Setup!$G$55,(Setup!$O$55+S$1)*Setup!$N$55))&lt;Setup!$D$5),"",IF(Setup!$M$55&gt;0,Setup!$G$55+(Setup!$O$55+S$1)*Setup!$M$55,EDATE(Setup!$G$55,(Setup!$O$55+S$1)*Setup!$N$55))+$A32/1000)))</f>
        <v/>
      </c>
      <c r="T32">
        <f>IF(OR(Setup!$E$55="",Setup!$G$55="",Setup!$F$55=""),"",IF(AND(Setup!$F$55="Once",T$1&gt;0),"",IF(OR(IF(Setup!$M$55&gt;0,Setup!$G$55+(Setup!$O$55+T$1)*Setup!$M$55,EDATE(Setup!$G$55,(Setup!$O$55+T$1)*Setup!$N$55))&gt;Setup!$P$55,IF(Setup!$M$55&gt;0,Setup!$G$55+(Setup!$O$55+T$1)*Setup!$M$55,EDATE(Setup!$G$55,(Setup!$O$55+T$1)*Setup!$N$55))&lt;Setup!$D$5),"",IF(Setup!$M$55&gt;0,Setup!$G$55+(Setup!$O$55+T$1)*Setup!$M$55,EDATE(Setup!$G$55,(Setup!$O$55+T$1)*Setup!$N$55))+$A32/1000)))</f>
        <v/>
      </c>
      <c r="U32">
        <f>IF(OR(Setup!$E$55="",Setup!$G$55="",Setup!$F$55=""),"",IF(AND(Setup!$F$55="Once",U$1&gt;0),"",IF(OR(IF(Setup!$M$55&gt;0,Setup!$G$55+(Setup!$O$55+U$1)*Setup!$M$55,EDATE(Setup!$G$55,(Setup!$O$55+U$1)*Setup!$N$55))&gt;Setup!$P$55,IF(Setup!$M$55&gt;0,Setup!$G$55+(Setup!$O$55+U$1)*Setup!$M$55,EDATE(Setup!$G$55,(Setup!$O$55+U$1)*Setup!$N$55))&lt;Setup!$D$5),"",IF(Setup!$M$55&gt;0,Setup!$G$55+(Setup!$O$55+U$1)*Setup!$M$55,EDATE(Setup!$G$55,(Setup!$O$55+U$1)*Setup!$N$55))+$A32/1000)))</f>
        <v/>
      </c>
      <c r="V32">
        <f>IF(OR(Setup!$E$55="",Setup!$G$55="",Setup!$F$55=""),"",IF(AND(Setup!$F$55="Once",V$1&gt;0),"",IF(OR(IF(Setup!$M$55&gt;0,Setup!$G$55+(Setup!$O$55+V$1)*Setup!$M$55,EDATE(Setup!$G$55,(Setup!$O$55+V$1)*Setup!$N$55))&gt;Setup!$P$55,IF(Setup!$M$55&gt;0,Setup!$G$55+(Setup!$O$55+V$1)*Setup!$M$55,EDATE(Setup!$G$55,(Setup!$O$55+V$1)*Setup!$N$55))&lt;Setup!$D$5),"",IF(Setup!$M$55&gt;0,Setup!$G$55+(Setup!$O$55+V$1)*Setup!$M$55,EDATE(Setup!$G$55,(Setup!$O$55+V$1)*Setup!$N$55))+$A32/1000)))</f>
        <v/>
      </c>
      <c r="W32">
        <f>IF(OR(Setup!$E$55="",Setup!$G$55="",Setup!$F$55=""),"",IF(AND(Setup!$F$55="Once",W$1&gt;0),"",IF(OR(IF(Setup!$M$55&gt;0,Setup!$G$55+(Setup!$O$55+W$1)*Setup!$M$55,EDATE(Setup!$G$55,(Setup!$O$55+W$1)*Setup!$N$55))&gt;Setup!$P$55,IF(Setup!$M$55&gt;0,Setup!$G$55+(Setup!$O$55+W$1)*Setup!$M$55,EDATE(Setup!$G$55,(Setup!$O$55+W$1)*Setup!$N$55))&lt;Setup!$D$5),"",IF(Setup!$M$55&gt;0,Setup!$G$55+(Setup!$O$55+W$1)*Setup!$M$55,EDATE(Setup!$G$55,(Setup!$O$55+W$1)*Setup!$N$55))+$A32/1000)))</f>
        <v/>
      </c>
      <c r="X32">
        <f>IF(OR(Setup!$E$55="",Setup!$G$55="",Setup!$F$55=""),"",IF(AND(Setup!$F$55="Once",X$1&gt;0),"",IF(OR(IF(Setup!$M$55&gt;0,Setup!$G$55+(Setup!$O$55+X$1)*Setup!$M$55,EDATE(Setup!$G$55,(Setup!$O$55+X$1)*Setup!$N$55))&gt;Setup!$P$55,IF(Setup!$M$55&gt;0,Setup!$G$55+(Setup!$O$55+X$1)*Setup!$M$55,EDATE(Setup!$G$55,(Setup!$O$55+X$1)*Setup!$N$55))&lt;Setup!$D$5),"",IF(Setup!$M$55&gt;0,Setup!$G$55+(Setup!$O$55+X$1)*Setup!$M$55,EDATE(Setup!$G$55,(Setup!$O$55+X$1)*Setup!$N$55))+$A32/1000)))</f>
        <v/>
      </c>
      <c r="Y32">
        <f>IF(OR(Setup!$E$55="",Setup!$G$55="",Setup!$F$55=""),"",IF(AND(Setup!$F$55="Once",Y$1&gt;0),"",IF(OR(IF(Setup!$M$55&gt;0,Setup!$G$55+(Setup!$O$55+Y$1)*Setup!$M$55,EDATE(Setup!$G$55,(Setup!$O$55+Y$1)*Setup!$N$55))&gt;Setup!$P$55,IF(Setup!$M$55&gt;0,Setup!$G$55+(Setup!$O$55+Y$1)*Setup!$M$55,EDATE(Setup!$G$55,(Setup!$O$55+Y$1)*Setup!$N$55))&lt;Setup!$D$5),"",IF(Setup!$M$55&gt;0,Setup!$G$55+(Setup!$O$55+Y$1)*Setup!$M$55,EDATE(Setup!$G$55,(Setup!$O$55+Y$1)*Setup!$N$55))+$A32/1000)))</f>
        <v/>
      </c>
      <c r="Z32">
        <f>IF(OR(Setup!$E$55="",Setup!$G$55="",Setup!$F$55=""),"",IF(AND(Setup!$F$55="Once",Z$1&gt;0),"",IF(OR(IF(Setup!$M$55&gt;0,Setup!$G$55+(Setup!$O$55+Z$1)*Setup!$M$55,EDATE(Setup!$G$55,(Setup!$O$55+Z$1)*Setup!$N$55))&gt;Setup!$P$55,IF(Setup!$M$55&gt;0,Setup!$G$55+(Setup!$O$55+Z$1)*Setup!$M$55,EDATE(Setup!$G$55,(Setup!$O$55+Z$1)*Setup!$N$55))&lt;Setup!$D$5),"",IF(Setup!$M$55&gt;0,Setup!$G$55+(Setup!$O$55+Z$1)*Setup!$M$55,EDATE(Setup!$G$55,(Setup!$O$55+Z$1)*Setup!$N$55))+$A32/1000)))</f>
        <v/>
      </c>
      <c r="AA32">
        <f>IF(OR(Setup!$E$55="",Setup!$G$55="",Setup!$F$55=""),"",IF(AND(Setup!$F$55="Once",AA$1&gt;0),"",IF(OR(IF(Setup!$M$55&gt;0,Setup!$G$55+(Setup!$O$55+AA$1)*Setup!$M$55,EDATE(Setup!$G$55,(Setup!$O$55+AA$1)*Setup!$N$55))&gt;Setup!$P$55,IF(Setup!$M$55&gt;0,Setup!$G$55+(Setup!$O$55+AA$1)*Setup!$M$55,EDATE(Setup!$G$55,(Setup!$O$55+AA$1)*Setup!$N$55))&lt;Setup!$D$5),"",IF(Setup!$M$55&gt;0,Setup!$G$55+(Setup!$O$55+AA$1)*Setup!$M$55,EDATE(Setup!$G$55,(Setup!$O$55+AA$1)*Setup!$N$55))+$A32/1000)))</f>
        <v/>
      </c>
      <c r="AB32">
        <f>IF(OR(Setup!$E$55="",Setup!$G$55="",Setup!$F$55=""),"",IF(AND(Setup!$F$55="Once",AB$1&gt;0),"",IF(OR(IF(Setup!$M$55&gt;0,Setup!$G$55+(Setup!$O$55+AB$1)*Setup!$M$55,EDATE(Setup!$G$55,(Setup!$O$55+AB$1)*Setup!$N$55))&gt;Setup!$P$55,IF(Setup!$M$55&gt;0,Setup!$G$55+(Setup!$O$55+AB$1)*Setup!$M$55,EDATE(Setup!$G$55,(Setup!$O$55+AB$1)*Setup!$N$55))&lt;Setup!$D$5),"",IF(Setup!$M$55&gt;0,Setup!$G$55+(Setup!$O$55+AB$1)*Setup!$M$55,EDATE(Setup!$G$55,(Setup!$O$55+AB$1)*Setup!$N$55))+$A32/1000)))</f>
        <v/>
      </c>
      <c r="AC32">
        <f>IF(OR(Setup!$E$55="",Setup!$G$55="",Setup!$F$55=""),"",IF(AND(Setup!$F$55="Once",AC$1&gt;0),"",IF(OR(IF(Setup!$M$55&gt;0,Setup!$G$55+(Setup!$O$55+AC$1)*Setup!$M$55,EDATE(Setup!$G$55,(Setup!$O$55+AC$1)*Setup!$N$55))&gt;Setup!$P$55,IF(Setup!$M$55&gt;0,Setup!$G$55+(Setup!$O$55+AC$1)*Setup!$M$55,EDATE(Setup!$G$55,(Setup!$O$55+AC$1)*Setup!$N$55))&lt;Setup!$D$5),"",IF(Setup!$M$55&gt;0,Setup!$G$55+(Setup!$O$55+AC$1)*Setup!$M$55,EDATE(Setup!$G$55,(Setup!$O$55+AC$1)*Setup!$N$55))+$A32/1000)))</f>
        <v/>
      </c>
      <c r="AD32">
        <f>IF(OR(Setup!$E$55="",Setup!$G$55="",Setup!$F$55=""),"",IF(AND(Setup!$F$55="Once",AD$1&gt;0),"",IF(OR(IF(Setup!$M$55&gt;0,Setup!$G$55+(Setup!$O$55+AD$1)*Setup!$M$55,EDATE(Setup!$G$55,(Setup!$O$55+AD$1)*Setup!$N$55))&gt;Setup!$P$55,IF(Setup!$M$55&gt;0,Setup!$G$55+(Setup!$O$55+AD$1)*Setup!$M$55,EDATE(Setup!$G$55,(Setup!$O$55+AD$1)*Setup!$N$55))&lt;Setup!$D$5),"",IF(Setup!$M$55&gt;0,Setup!$G$55+(Setup!$O$55+AD$1)*Setup!$M$55,EDATE(Setup!$G$55,(Setup!$O$55+AD$1)*Setup!$N$55))+$A32/1000)))</f>
        <v/>
      </c>
      <c r="AE32">
        <f>IF(OR(Setup!$E$55="",Setup!$G$55="",Setup!$F$55=""),"",IF(AND(Setup!$F$55="Once",AE$1&gt;0),"",IF(OR(IF(Setup!$M$55&gt;0,Setup!$G$55+(Setup!$O$55+AE$1)*Setup!$M$55,EDATE(Setup!$G$55,(Setup!$O$55+AE$1)*Setup!$N$55))&gt;Setup!$P$55,IF(Setup!$M$55&gt;0,Setup!$G$55+(Setup!$O$55+AE$1)*Setup!$M$55,EDATE(Setup!$G$55,(Setup!$O$55+AE$1)*Setup!$N$55))&lt;Setup!$D$5),"",IF(Setup!$M$55&gt;0,Setup!$G$55+(Setup!$O$55+AE$1)*Setup!$M$55,EDATE(Setup!$G$55,(Setup!$O$55+AE$1)*Setup!$N$55))+$A32/1000)))</f>
        <v/>
      </c>
      <c r="AF32">
        <f>IF(OR(Setup!$E$55="",Setup!$G$55="",Setup!$F$55=""),"",IF(AND(Setup!$F$55="Once",AF$1&gt;0),"",IF(OR(IF(Setup!$M$55&gt;0,Setup!$G$55+(Setup!$O$55+AF$1)*Setup!$M$55,EDATE(Setup!$G$55,(Setup!$O$55+AF$1)*Setup!$N$55))&gt;Setup!$P$55,IF(Setup!$M$55&gt;0,Setup!$G$55+(Setup!$O$55+AF$1)*Setup!$M$55,EDATE(Setup!$G$55,(Setup!$O$55+AF$1)*Setup!$N$55))&lt;Setup!$D$5),"",IF(Setup!$M$55&gt;0,Setup!$G$55+(Setup!$O$55+AF$1)*Setup!$M$55,EDATE(Setup!$G$55,(Setup!$O$55+AF$1)*Setup!$N$55))+$A32/1000)))</f>
        <v/>
      </c>
      <c r="AG32">
        <f>IF(OR(Setup!$E$55="",Setup!$G$55="",Setup!$F$55=""),"",IF(AND(Setup!$F$55="Once",AG$1&gt;0),"",IF(OR(IF(Setup!$M$55&gt;0,Setup!$G$55+(Setup!$O$55+AG$1)*Setup!$M$55,EDATE(Setup!$G$55,(Setup!$O$55+AG$1)*Setup!$N$55))&gt;Setup!$P$55,IF(Setup!$M$55&gt;0,Setup!$G$55+(Setup!$O$55+AG$1)*Setup!$M$55,EDATE(Setup!$G$55,(Setup!$O$55+AG$1)*Setup!$N$55))&lt;Setup!$D$5),"",IF(Setup!$M$55&gt;0,Setup!$G$55+(Setup!$O$55+AG$1)*Setup!$M$55,EDATE(Setup!$G$55,(Setup!$O$55+AG$1)*Setup!$N$55))+$A32/1000)))</f>
        <v/>
      </c>
      <c r="AH32">
        <f>IF(OR(Setup!$E$55="",Setup!$G$55="",Setup!$F$55=""),"",IF(AND(Setup!$F$55="Once",AH$1&gt;0),"",IF(OR(IF(Setup!$M$55&gt;0,Setup!$G$55+(Setup!$O$55+AH$1)*Setup!$M$55,EDATE(Setup!$G$55,(Setup!$O$55+AH$1)*Setup!$N$55))&gt;Setup!$P$55,IF(Setup!$M$55&gt;0,Setup!$G$55+(Setup!$O$55+AH$1)*Setup!$M$55,EDATE(Setup!$G$55,(Setup!$O$55+AH$1)*Setup!$N$55))&lt;Setup!$D$5),"",IF(Setup!$M$55&gt;0,Setup!$G$55+(Setup!$O$55+AH$1)*Setup!$M$55,EDATE(Setup!$G$55,(Setup!$O$55+AH$1)*Setup!$N$55))+$A32/1000)))</f>
        <v/>
      </c>
      <c r="AI32">
        <f>IF(OR(Setup!$E$55="",Setup!$G$55="",Setup!$F$55=""),"",IF(AND(Setup!$F$55="Once",AI$1&gt;0),"",IF(OR(IF(Setup!$M$55&gt;0,Setup!$G$55+(Setup!$O$55+AI$1)*Setup!$M$55,EDATE(Setup!$G$55,(Setup!$O$55+AI$1)*Setup!$N$55))&gt;Setup!$P$55,IF(Setup!$M$55&gt;0,Setup!$G$55+(Setup!$O$55+AI$1)*Setup!$M$55,EDATE(Setup!$G$55,(Setup!$O$55+AI$1)*Setup!$N$55))&lt;Setup!$D$5),"",IF(Setup!$M$55&gt;0,Setup!$G$55+(Setup!$O$55+AI$1)*Setup!$M$55,EDATE(Setup!$G$55,(Setup!$O$55+AI$1)*Setup!$N$55))+$A32/1000)))</f>
        <v/>
      </c>
      <c r="AJ32">
        <f>IF(OR(Setup!$E$55="",Setup!$G$55="",Setup!$F$55=""),"",IF(AND(Setup!$F$55="Once",AJ$1&gt;0),"",IF(OR(IF(Setup!$M$55&gt;0,Setup!$G$55+(Setup!$O$55+AJ$1)*Setup!$M$55,EDATE(Setup!$G$55,(Setup!$O$55+AJ$1)*Setup!$N$55))&gt;Setup!$P$55,IF(Setup!$M$55&gt;0,Setup!$G$55+(Setup!$O$55+AJ$1)*Setup!$M$55,EDATE(Setup!$G$55,(Setup!$O$55+AJ$1)*Setup!$N$55))&lt;Setup!$D$5),"",IF(Setup!$M$55&gt;0,Setup!$G$55+(Setup!$O$55+AJ$1)*Setup!$M$55,EDATE(Setup!$G$55,(Setup!$O$55+AJ$1)*Setup!$N$55))+$A32/1000)))</f>
        <v/>
      </c>
      <c r="AK32">
        <f>IF(OR(Setup!$E$55="",Setup!$G$55="",Setup!$F$55=""),"",IF(AND(Setup!$F$55="Once",AK$1&gt;0),"",IF(OR(IF(Setup!$M$55&gt;0,Setup!$G$55+(Setup!$O$55+AK$1)*Setup!$M$55,EDATE(Setup!$G$55,(Setup!$O$55+AK$1)*Setup!$N$55))&gt;Setup!$P$55,IF(Setup!$M$55&gt;0,Setup!$G$55+(Setup!$O$55+AK$1)*Setup!$M$55,EDATE(Setup!$G$55,(Setup!$O$55+AK$1)*Setup!$N$55))&lt;Setup!$D$5),"",IF(Setup!$M$55&gt;0,Setup!$G$55+(Setup!$O$55+AK$1)*Setup!$M$55,EDATE(Setup!$G$55,(Setup!$O$55+AK$1)*Setup!$N$55))+$A32/1000)))</f>
        <v/>
      </c>
      <c r="AL32">
        <f>IF(OR(Setup!$E$55="",Setup!$G$55="",Setup!$F$55=""),"",IF(AND(Setup!$F$55="Once",AL$1&gt;0),"",IF(OR(IF(Setup!$M$55&gt;0,Setup!$G$55+(Setup!$O$55+AL$1)*Setup!$M$55,EDATE(Setup!$G$55,(Setup!$O$55+AL$1)*Setup!$N$55))&gt;Setup!$P$55,IF(Setup!$M$55&gt;0,Setup!$G$55+(Setup!$O$55+AL$1)*Setup!$M$55,EDATE(Setup!$G$55,(Setup!$O$55+AL$1)*Setup!$N$55))&lt;Setup!$D$5),"",IF(Setup!$M$55&gt;0,Setup!$G$55+(Setup!$O$55+AL$1)*Setup!$M$55,EDATE(Setup!$G$55,(Setup!$O$55+AL$1)*Setup!$N$55))+$A32/1000)))</f>
        <v/>
      </c>
      <c r="AM32">
        <f>IF(OR(Setup!$E$55="",Setup!$G$55="",Setup!$F$55=""),"",IF(AND(Setup!$F$55="Once",AM$1&gt;0),"",IF(OR(IF(Setup!$M$55&gt;0,Setup!$G$55+(Setup!$O$55+AM$1)*Setup!$M$55,EDATE(Setup!$G$55,(Setup!$O$55+AM$1)*Setup!$N$55))&gt;Setup!$P$55,IF(Setup!$M$55&gt;0,Setup!$G$55+(Setup!$O$55+AM$1)*Setup!$M$55,EDATE(Setup!$G$55,(Setup!$O$55+AM$1)*Setup!$N$55))&lt;Setup!$D$5),"",IF(Setup!$M$55&gt;0,Setup!$G$55+(Setup!$O$55+AM$1)*Setup!$M$55,EDATE(Setup!$G$55,(Setup!$O$55+AM$1)*Setup!$N$55))+$A32/1000)))</f>
        <v/>
      </c>
      <c r="AN32">
        <f>IF(OR(Setup!$E$55="",Setup!$G$55="",Setup!$F$55=""),"",IF(AND(Setup!$F$55="Once",AN$1&gt;0),"",IF(OR(IF(Setup!$M$55&gt;0,Setup!$G$55+(Setup!$O$55+AN$1)*Setup!$M$55,EDATE(Setup!$G$55,(Setup!$O$55+AN$1)*Setup!$N$55))&gt;Setup!$P$55,IF(Setup!$M$55&gt;0,Setup!$G$55+(Setup!$O$55+AN$1)*Setup!$M$55,EDATE(Setup!$G$55,(Setup!$O$55+AN$1)*Setup!$N$55))&lt;Setup!$D$5),"",IF(Setup!$M$55&gt;0,Setup!$G$55+(Setup!$O$55+AN$1)*Setup!$M$55,EDATE(Setup!$G$55,(Setup!$O$55+AN$1)*Setup!$N$55))+$A32/1000)))</f>
        <v/>
      </c>
      <c r="AO32">
        <f>IF(OR(Setup!$E$55="",Setup!$G$55="",Setup!$F$55=""),"",IF(AND(Setup!$F$55="Once",AO$1&gt;0),"",IF(OR(IF(Setup!$M$55&gt;0,Setup!$G$55+(Setup!$O$55+AO$1)*Setup!$M$55,EDATE(Setup!$G$55,(Setup!$O$55+AO$1)*Setup!$N$55))&gt;Setup!$P$55,IF(Setup!$M$55&gt;0,Setup!$G$55+(Setup!$O$55+AO$1)*Setup!$M$55,EDATE(Setup!$G$55,(Setup!$O$55+AO$1)*Setup!$N$55))&lt;Setup!$D$5),"",IF(Setup!$M$55&gt;0,Setup!$G$55+(Setup!$O$55+AO$1)*Setup!$M$55,EDATE(Setup!$G$55,(Setup!$O$55+AO$1)*Setup!$N$55))+$A32/1000)))</f>
        <v/>
      </c>
      <c r="AP32">
        <f>IF(OR(Setup!$E$55="",Setup!$G$55="",Setup!$F$55=""),"",IF(AND(Setup!$F$55="Once",AP$1&gt;0),"",IF(OR(IF(Setup!$M$55&gt;0,Setup!$G$55+(Setup!$O$55+AP$1)*Setup!$M$55,EDATE(Setup!$G$55,(Setup!$O$55+AP$1)*Setup!$N$55))&gt;Setup!$P$55,IF(Setup!$M$55&gt;0,Setup!$G$55+(Setup!$O$55+AP$1)*Setup!$M$55,EDATE(Setup!$G$55,(Setup!$O$55+AP$1)*Setup!$N$55))&lt;Setup!$D$5),"",IF(Setup!$M$55&gt;0,Setup!$G$55+(Setup!$O$55+AP$1)*Setup!$M$55,EDATE(Setup!$G$55,(Setup!$O$55+AP$1)*Setup!$N$55))+$A32/1000)))</f>
        <v/>
      </c>
      <c r="AQ32">
        <f>IF(OR(Setup!$E$55="",Setup!$G$55="",Setup!$F$55=""),"",IF(AND(Setup!$F$55="Once",AQ$1&gt;0),"",IF(OR(IF(Setup!$M$55&gt;0,Setup!$G$55+(Setup!$O$55+AQ$1)*Setup!$M$55,EDATE(Setup!$G$55,(Setup!$O$55+AQ$1)*Setup!$N$55))&gt;Setup!$P$55,IF(Setup!$M$55&gt;0,Setup!$G$55+(Setup!$O$55+AQ$1)*Setup!$M$55,EDATE(Setup!$G$55,(Setup!$O$55+AQ$1)*Setup!$N$55))&lt;Setup!$D$5),"",IF(Setup!$M$55&gt;0,Setup!$G$55+(Setup!$O$55+AQ$1)*Setup!$M$55,EDATE(Setup!$G$55,(Setup!$O$55+AQ$1)*Setup!$N$55))+$A32/1000)))</f>
        <v/>
      </c>
      <c r="AR32">
        <f>IF(OR(Setup!$E$55="",Setup!$G$55="",Setup!$F$55=""),"",IF(AND(Setup!$F$55="Once",AR$1&gt;0),"",IF(OR(IF(Setup!$M$55&gt;0,Setup!$G$55+(Setup!$O$55+AR$1)*Setup!$M$55,EDATE(Setup!$G$55,(Setup!$O$55+AR$1)*Setup!$N$55))&gt;Setup!$P$55,IF(Setup!$M$55&gt;0,Setup!$G$55+(Setup!$O$55+AR$1)*Setup!$M$55,EDATE(Setup!$G$55,(Setup!$O$55+AR$1)*Setup!$N$55))&lt;Setup!$D$5),"",IF(Setup!$M$55&gt;0,Setup!$G$55+(Setup!$O$55+AR$1)*Setup!$M$55,EDATE(Setup!$G$55,(Setup!$O$55+AR$1)*Setup!$N$55))+$A32/1000)))</f>
        <v/>
      </c>
      <c r="AS32">
        <f>IF(OR(Setup!$E$55="",Setup!$G$55="",Setup!$F$55=""),"",IF(AND(Setup!$F$55="Once",AS$1&gt;0),"",IF(OR(IF(Setup!$M$55&gt;0,Setup!$G$55+(Setup!$O$55+AS$1)*Setup!$M$55,EDATE(Setup!$G$55,(Setup!$O$55+AS$1)*Setup!$N$55))&gt;Setup!$P$55,IF(Setup!$M$55&gt;0,Setup!$G$55+(Setup!$O$55+AS$1)*Setup!$M$55,EDATE(Setup!$G$55,(Setup!$O$55+AS$1)*Setup!$N$55))&lt;Setup!$D$5),"",IF(Setup!$M$55&gt;0,Setup!$G$55+(Setup!$O$55+AS$1)*Setup!$M$55,EDATE(Setup!$G$55,(Setup!$O$55+AS$1)*Setup!$N$55))+$A32/1000)))</f>
        <v/>
      </c>
      <c r="AT32">
        <f>IF(OR(Setup!$E$55="",Setup!$G$55="",Setup!$F$55=""),"",IF(AND(Setup!$F$55="Once",AT$1&gt;0),"",IF(OR(IF(Setup!$M$55&gt;0,Setup!$G$55+(Setup!$O$55+AT$1)*Setup!$M$55,EDATE(Setup!$G$55,(Setup!$O$55+AT$1)*Setup!$N$55))&gt;Setup!$P$55,IF(Setup!$M$55&gt;0,Setup!$G$55+(Setup!$O$55+AT$1)*Setup!$M$55,EDATE(Setup!$G$55,(Setup!$O$55+AT$1)*Setup!$N$55))&lt;Setup!$D$5),"",IF(Setup!$M$55&gt;0,Setup!$G$55+(Setup!$O$55+AT$1)*Setup!$M$55,EDATE(Setup!$G$55,(Setup!$O$55+AT$1)*Setup!$N$55))+$A32/1000)))</f>
        <v/>
      </c>
      <c r="AU32">
        <f>IF(OR(Setup!$E$55="",Setup!$G$55="",Setup!$F$55=""),"",IF(AND(Setup!$F$55="Once",AU$1&gt;0),"",IF(OR(IF(Setup!$M$55&gt;0,Setup!$G$55+(Setup!$O$55+AU$1)*Setup!$M$55,EDATE(Setup!$G$55,(Setup!$O$55+AU$1)*Setup!$N$55))&gt;Setup!$P$55,IF(Setup!$M$55&gt;0,Setup!$G$55+(Setup!$O$55+AU$1)*Setup!$M$55,EDATE(Setup!$G$55,(Setup!$O$55+AU$1)*Setup!$N$55))&lt;Setup!$D$5),"",IF(Setup!$M$55&gt;0,Setup!$G$55+(Setup!$O$55+AU$1)*Setup!$M$55,EDATE(Setup!$G$55,(Setup!$O$55+AU$1)*Setup!$N$55))+$A32/1000)))</f>
        <v/>
      </c>
      <c r="AV32">
        <f>IF(OR(Setup!$E$55="",Setup!$G$55="",Setup!$F$55=""),"",IF(AND(Setup!$F$55="Once",AV$1&gt;0),"",IF(OR(IF(Setup!$M$55&gt;0,Setup!$G$55+(Setup!$O$55+AV$1)*Setup!$M$55,EDATE(Setup!$G$55,(Setup!$O$55+AV$1)*Setup!$N$55))&gt;Setup!$P$55,IF(Setup!$M$55&gt;0,Setup!$G$55+(Setup!$O$55+AV$1)*Setup!$M$55,EDATE(Setup!$G$55,(Setup!$O$55+AV$1)*Setup!$N$55))&lt;Setup!$D$5),"",IF(Setup!$M$55&gt;0,Setup!$G$55+(Setup!$O$55+AV$1)*Setup!$M$55,EDATE(Setup!$G$55,(Setup!$O$55+AV$1)*Setup!$N$55))+$A32/1000)))</f>
        <v/>
      </c>
      <c r="AW32">
        <f>IF(OR(Setup!$E$55="",Setup!$G$55="",Setup!$F$55=""),"",IF(AND(Setup!$F$55="Once",AW$1&gt;0),"",IF(OR(IF(Setup!$M$55&gt;0,Setup!$G$55+(Setup!$O$55+AW$1)*Setup!$M$55,EDATE(Setup!$G$55,(Setup!$O$55+AW$1)*Setup!$N$55))&gt;Setup!$P$55,IF(Setup!$M$55&gt;0,Setup!$G$55+(Setup!$O$55+AW$1)*Setup!$M$55,EDATE(Setup!$G$55,(Setup!$O$55+AW$1)*Setup!$N$55))&lt;Setup!$D$5),"",IF(Setup!$M$55&gt;0,Setup!$G$55+(Setup!$O$55+AW$1)*Setup!$M$55,EDATE(Setup!$G$55,(Setup!$O$55+AW$1)*Setup!$N$55))+$A32/1000)))</f>
        <v/>
      </c>
      <c r="AX32">
        <f>IF(OR(Setup!$E$55="",Setup!$G$55="",Setup!$F$55=""),"",IF(AND(Setup!$F$55="Once",AX$1&gt;0),"",IF(OR(IF(Setup!$M$55&gt;0,Setup!$G$55+(Setup!$O$55+AX$1)*Setup!$M$55,EDATE(Setup!$G$55,(Setup!$O$55+AX$1)*Setup!$N$55))&gt;Setup!$P$55,IF(Setup!$M$55&gt;0,Setup!$G$55+(Setup!$O$55+AX$1)*Setup!$M$55,EDATE(Setup!$G$55,(Setup!$O$55+AX$1)*Setup!$N$55))&lt;Setup!$D$5),"",IF(Setup!$M$55&gt;0,Setup!$G$55+(Setup!$O$55+AX$1)*Setup!$M$55,EDATE(Setup!$G$55,(Setup!$O$55+AX$1)*Setup!$N$55))+$A32/1000)))</f>
        <v/>
      </c>
      <c r="AY32">
        <f>IF(OR(Setup!$E$55="",Setup!$G$55="",Setup!$F$55=""),"",IF(AND(Setup!$F$55="Once",AY$1&gt;0),"",IF(OR(IF(Setup!$M$55&gt;0,Setup!$G$55+(Setup!$O$55+AY$1)*Setup!$M$55,EDATE(Setup!$G$55,(Setup!$O$55+AY$1)*Setup!$N$55))&gt;Setup!$P$55,IF(Setup!$M$55&gt;0,Setup!$G$55+(Setup!$O$55+AY$1)*Setup!$M$55,EDATE(Setup!$G$55,(Setup!$O$55+AY$1)*Setup!$N$55))&lt;Setup!$D$5),"",IF(Setup!$M$55&gt;0,Setup!$G$55+(Setup!$O$55+AY$1)*Setup!$M$55,EDATE(Setup!$G$55,(Setup!$O$55+AY$1)*Setup!$N$55))+$A32/1000)))</f>
        <v/>
      </c>
      <c r="AZ32">
        <f>IF(OR(Setup!$E$55="",Setup!$G$55="",Setup!$F$55=""),"",IF(AND(Setup!$F$55="Once",AZ$1&gt;0),"",IF(OR(IF(Setup!$M$55&gt;0,Setup!$G$55+(Setup!$O$55+AZ$1)*Setup!$M$55,EDATE(Setup!$G$55,(Setup!$O$55+AZ$1)*Setup!$N$55))&gt;Setup!$P$55,IF(Setup!$M$55&gt;0,Setup!$G$55+(Setup!$O$55+AZ$1)*Setup!$M$55,EDATE(Setup!$G$55,(Setup!$O$55+AZ$1)*Setup!$N$55))&lt;Setup!$D$5),"",IF(Setup!$M$55&gt;0,Setup!$G$55+(Setup!$O$55+AZ$1)*Setup!$M$55,EDATE(Setup!$G$55,(Setup!$O$55+AZ$1)*Setup!$N$55))+$A32/1000)))</f>
        <v/>
      </c>
      <c r="BA32">
        <f>IF(OR(Setup!$E$55="",Setup!$G$55="",Setup!$F$55=""),"",IF(AND(Setup!$F$55="Once",BA$1&gt;0),"",IF(OR(IF(Setup!$M$55&gt;0,Setup!$G$55+(Setup!$O$55+BA$1)*Setup!$M$55,EDATE(Setup!$G$55,(Setup!$O$55+BA$1)*Setup!$N$55))&gt;Setup!$P$55,IF(Setup!$M$55&gt;0,Setup!$G$55+(Setup!$O$55+BA$1)*Setup!$M$55,EDATE(Setup!$G$55,(Setup!$O$55+BA$1)*Setup!$N$55))&lt;Setup!$D$5),"",IF(Setup!$M$55&gt;0,Setup!$G$55+(Setup!$O$55+BA$1)*Setup!$M$55,EDATE(Setup!$G$55,(Setup!$O$55+BA$1)*Setup!$N$55))+$A32/1000)))</f>
        <v/>
      </c>
      <c r="BB32">
        <f>IF(OR(Setup!$E$55="",Setup!$G$55="",Setup!$F$55=""),"",IF(AND(Setup!$F$55="Once",BB$1&gt;0),"",IF(OR(IF(Setup!$M$55&gt;0,Setup!$G$55+(Setup!$O$55+BB$1)*Setup!$M$55,EDATE(Setup!$G$55,(Setup!$O$55+BB$1)*Setup!$N$55))&gt;Setup!$P$55,IF(Setup!$M$55&gt;0,Setup!$G$55+(Setup!$O$55+BB$1)*Setup!$M$55,EDATE(Setup!$G$55,(Setup!$O$55+BB$1)*Setup!$N$55))&lt;Setup!$D$5),"",IF(Setup!$M$55&gt;0,Setup!$G$55+(Setup!$O$55+BB$1)*Setup!$M$55,EDATE(Setup!$G$55,(Setup!$O$55+BB$1)*Setup!$N$55))+$A32/1000)))</f>
        <v/>
      </c>
    </row>
    <row r="33">
      <c r="A33" t="n">
        <v>32</v>
      </c>
      <c r="B33">
        <f>IF(OR(Setup!$E$56="",Setup!$G$56="",Setup!$F$56=""),"",IF(AND(Setup!$F$56="Once",B$1&gt;0),"",IF(OR(IF(Setup!$M$56&gt;0,Setup!$G$56+(Setup!$O$56+B$1)*Setup!$M$56,EDATE(Setup!$G$56,(Setup!$O$56+B$1)*Setup!$N$56))&gt;Setup!$P$56,IF(Setup!$M$56&gt;0,Setup!$G$56+(Setup!$O$56+B$1)*Setup!$M$56,EDATE(Setup!$G$56,(Setup!$O$56+B$1)*Setup!$N$56))&lt;Setup!$D$5),"",IF(Setup!$M$56&gt;0,Setup!$G$56+(Setup!$O$56+B$1)*Setup!$M$56,EDATE(Setup!$G$56,(Setup!$O$56+B$1)*Setup!$N$56))+$A33/1000)))</f>
        <v/>
      </c>
      <c r="C33">
        <f>IF(OR(Setup!$E$56="",Setup!$G$56="",Setup!$F$56=""),"",IF(AND(Setup!$F$56="Once",C$1&gt;0),"",IF(OR(IF(Setup!$M$56&gt;0,Setup!$G$56+(Setup!$O$56+C$1)*Setup!$M$56,EDATE(Setup!$G$56,(Setup!$O$56+C$1)*Setup!$N$56))&gt;Setup!$P$56,IF(Setup!$M$56&gt;0,Setup!$G$56+(Setup!$O$56+C$1)*Setup!$M$56,EDATE(Setup!$G$56,(Setup!$O$56+C$1)*Setup!$N$56))&lt;Setup!$D$5),"",IF(Setup!$M$56&gt;0,Setup!$G$56+(Setup!$O$56+C$1)*Setup!$M$56,EDATE(Setup!$G$56,(Setup!$O$56+C$1)*Setup!$N$56))+$A33/1000)))</f>
        <v/>
      </c>
      <c r="D33">
        <f>IF(OR(Setup!$E$56="",Setup!$G$56="",Setup!$F$56=""),"",IF(AND(Setup!$F$56="Once",D$1&gt;0),"",IF(OR(IF(Setup!$M$56&gt;0,Setup!$G$56+(Setup!$O$56+D$1)*Setup!$M$56,EDATE(Setup!$G$56,(Setup!$O$56+D$1)*Setup!$N$56))&gt;Setup!$P$56,IF(Setup!$M$56&gt;0,Setup!$G$56+(Setup!$O$56+D$1)*Setup!$M$56,EDATE(Setup!$G$56,(Setup!$O$56+D$1)*Setup!$N$56))&lt;Setup!$D$5),"",IF(Setup!$M$56&gt;0,Setup!$G$56+(Setup!$O$56+D$1)*Setup!$M$56,EDATE(Setup!$G$56,(Setup!$O$56+D$1)*Setup!$N$56))+$A33/1000)))</f>
        <v/>
      </c>
      <c r="E33">
        <f>IF(OR(Setup!$E$56="",Setup!$G$56="",Setup!$F$56=""),"",IF(AND(Setup!$F$56="Once",E$1&gt;0),"",IF(OR(IF(Setup!$M$56&gt;0,Setup!$G$56+(Setup!$O$56+E$1)*Setup!$M$56,EDATE(Setup!$G$56,(Setup!$O$56+E$1)*Setup!$N$56))&gt;Setup!$P$56,IF(Setup!$M$56&gt;0,Setup!$G$56+(Setup!$O$56+E$1)*Setup!$M$56,EDATE(Setup!$G$56,(Setup!$O$56+E$1)*Setup!$N$56))&lt;Setup!$D$5),"",IF(Setup!$M$56&gt;0,Setup!$G$56+(Setup!$O$56+E$1)*Setup!$M$56,EDATE(Setup!$G$56,(Setup!$O$56+E$1)*Setup!$N$56))+$A33/1000)))</f>
        <v/>
      </c>
      <c r="F33">
        <f>IF(OR(Setup!$E$56="",Setup!$G$56="",Setup!$F$56=""),"",IF(AND(Setup!$F$56="Once",F$1&gt;0),"",IF(OR(IF(Setup!$M$56&gt;0,Setup!$G$56+(Setup!$O$56+F$1)*Setup!$M$56,EDATE(Setup!$G$56,(Setup!$O$56+F$1)*Setup!$N$56))&gt;Setup!$P$56,IF(Setup!$M$56&gt;0,Setup!$G$56+(Setup!$O$56+F$1)*Setup!$M$56,EDATE(Setup!$G$56,(Setup!$O$56+F$1)*Setup!$N$56))&lt;Setup!$D$5),"",IF(Setup!$M$56&gt;0,Setup!$G$56+(Setup!$O$56+F$1)*Setup!$M$56,EDATE(Setup!$G$56,(Setup!$O$56+F$1)*Setup!$N$56))+$A33/1000)))</f>
        <v/>
      </c>
      <c r="G33">
        <f>IF(OR(Setup!$E$56="",Setup!$G$56="",Setup!$F$56=""),"",IF(AND(Setup!$F$56="Once",G$1&gt;0),"",IF(OR(IF(Setup!$M$56&gt;0,Setup!$G$56+(Setup!$O$56+G$1)*Setup!$M$56,EDATE(Setup!$G$56,(Setup!$O$56+G$1)*Setup!$N$56))&gt;Setup!$P$56,IF(Setup!$M$56&gt;0,Setup!$G$56+(Setup!$O$56+G$1)*Setup!$M$56,EDATE(Setup!$G$56,(Setup!$O$56+G$1)*Setup!$N$56))&lt;Setup!$D$5),"",IF(Setup!$M$56&gt;0,Setup!$G$56+(Setup!$O$56+G$1)*Setup!$M$56,EDATE(Setup!$G$56,(Setup!$O$56+G$1)*Setup!$N$56))+$A33/1000)))</f>
        <v/>
      </c>
      <c r="H33">
        <f>IF(OR(Setup!$E$56="",Setup!$G$56="",Setup!$F$56=""),"",IF(AND(Setup!$F$56="Once",H$1&gt;0),"",IF(OR(IF(Setup!$M$56&gt;0,Setup!$G$56+(Setup!$O$56+H$1)*Setup!$M$56,EDATE(Setup!$G$56,(Setup!$O$56+H$1)*Setup!$N$56))&gt;Setup!$P$56,IF(Setup!$M$56&gt;0,Setup!$G$56+(Setup!$O$56+H$1)*Setup!$M$56,EDATE(Setup!$G$56,(Setup!$O$56+H$1)*Setup!$N$56))&lt;Setup!$D$5),"",IF(Setup!$M$56&gt;0,Setup!$G$56+(Setup!$O$56+H$1)*Setup!$M$56,EDATE(Setup!$G$56,(Setup!$O$56+H$1)*Setup!$N$56))+$A33/1000)))</f>
        <v/>
      </c>
      <c r="I33">
        <f>IF(OR(Setup!$E$56="",Setup!$G$56="",Setup!$F$56=""),"",IF(AND(Setup!$F$56="Once",I$1&gt;0),"",IF(OR(IF(Setup!$M$56&gt;0,Setup!$G$56+(Setup!$O$56+I$1)*Setup!$M$56,EDATE(Setup!$G$56,(Setup!$O$56+I$1)*Setup!$N$56))&gt;Setup!$P$56,IF(Setup!$M$56&gt;0,Setup!$G$56+(Setup!$O$56+I$1)*Setup!$M$56,EDATE(Setup!$G$56,(Setup!$O$56+I$1)*Setup!$N$56))&lt;Setup!$D$5),"",IF(Setup!$M$56&gt;0,Setup!$G$56+(Setup!$O$56+I$1)*Setup!$M$56,EDATE(Setup!$G$56,(Setup!$O$56+I$1)*Setup!$N$56))+$A33/1000)))</f>
        <v/>
      </c>
      <c r="J33">
        <f>IF(OR(Setup!$E$56="",Setup!$G$56="",Setup!$F$56=""),"",IF(AND(Setup!$F$56="Once",J$1&gt;0),"",IF(OR(IF(Setup!$M$56&gt;0,Setup!$G$56+(Setup!$O$56+J$1)*Setup!$M$56,EDATE(Setup!$G$56,(Setup!$O$56+J$1)*Setup!$N$56))&gt;Setup!$P$56,IF(Setup!$M$56&gt;0,Setup!$G$56+(Setup!$O$56+J$1)*Setup!$M$56,EDATE(Setup!$G$56,(Setup!$O$56+J$1)*Setup!$N$56))&lt;Setup!$D$5),"",IF(Setup!$M$56&gt;0,Setup!$G$56+(Setup!$O$56+J$1)*Setup!$M$56,EDATE(Setup!$G$56,(Setup!$O$56+J$1)*Setup!$N$56))+$A33/1000)))</f>
        <v/>
      </c>
      <c r="K33">
        <f>IF(OR(Setup!$E$56="",Setup!$G$56="",Setup!$F$56=""),"",IF(AND(Setup!$F$56="Once",K$1&gt;0),"",IF(OR(IF(Setup!$M$56&gt;0,Setup!$G$56+(Setup!$O$56+K$1)*Setup!$M$56,EDATE(Setup!$G$56,(Setup!$O$56+K$1)*Setup!$N$56))&gt;Setup!$P$56,IF(Setup!$M$56&gt;0,Setup!$G$56+(Setup!$O$56+K$1)*Setup!$M$56,EDATE(Setup!$G$56,(Setup!$O$56+K$1)*Setup!$N$56))&lt;Setup!$D$5),"",IF(Setup!$M$56&gt;0,Setup!$G$56+(Setup!$O$56+K$1)*Setup!$M$56,EDATE(Setup!$G$56,(Setup!$O$56+K$1)*Setup!$N$56))+$A33/1000)))</f>
        <v/>
      </c>
      <c r="L33">
        <f>IF(OR(Setup!$E$56="",Setup!$G$56="",Setup!$F$56=""),"",IF(AND(Setup!$F$56="Once",L$1&gt;0),"",IF(OR(IF(Setup!$M$56&gt;0,Setup!$G$56+(Setup!$O$56+L$1)*Setup!$M$56,EDATE(Setup!$G$56,(Setup!$O$56+L$1)*Setup!$N$56))&gt;Setup!$P$56,IF(Setup!$M$56&gt;0,Setup!$G$56+(Setup!$O$56+L$1)*Setup!$M$56,EDATE(Setup!$G$56,(Setup!$O$56+L$1)*Setup!$N$56))&lt;Setup!$D$5),"",IF(Setup!$M$56&gt;0,Setup!$G$56+(Setup!$O$56+L$1)*Setup!$M$56,EDATE(Setup!$G$56,(Setup!$O$56+L$1)*Setup!$N$56))+$A33/1000)))</f>
        <v/>
      </c>
      <c r="M33">
        <f>IF(OR(Setup!$E$56="",Setup!$G$56="",Setup!$F$56=""),"",IF(AND(Setup!$F$56="Once",M$1&gt;0),"",IF(OR(IF(Setup!$M$56&gt;0,Setup!$G$56+(Setup!$O$56+M$1)*Setup!$M$56,EDATE(Setup!$G$56,(Setup!$O$56+M$1)*Setup!$N$56))&gt;Setup!$P$56,IF(Setup!$M$56&gt;0,Setup!$G$56+(Setup!$O$56+M$1)*Setup!$M$56,EDATE(Setup!$G$56,(Setup!$O$56+M$1)*Setup!$N$56))&lt;Setup!$D$5),"",IF(Setup!$M$56&gt;0,Setup!$G$56+(Setup!$O$56+M$1)*Setup!$M$56,EDATE(Setup!$G$56,(Setup!$O$56+M$1)*Setup!$N$56))+$A33/1000)))</f>
        <v/>
      </c>
      <c r="N33">
        <f>IF(OR(Setup!$E$56="",Setup!$G$56="",Setup!$F$56=""),"",IF(AND(Setup!$F$56="Once",N$1&gt;0),"",IF(OR(IF(Setup!$M$56&gt;0,Setup!$G$56+(Setup!$O$56+N$1)*Setup!$M$56,EDATE(Setup!$G$56,(Setup!$O$56+N$1)*Setup!$N$56))&gt;Setup!$P$56,IF(Setup!$M$56&gt;0,Setup!$G$56+(Setup!$O$56+N$1)*Setup!$M$56,EDATE(Setup!$G$56,(Setup!$O$56+N$1)*Setup!$N$56))&lt;Setup!$D$5),"",IF(Setup!$M$56&gt;0,Setup!$G$56+(Setup!$O$56+N$1)*Setup!$M$56,EDATE(Setup!$G$56,(Setup!$O$56+N$1)*Setup!$N$56))+$A33/1000)))</f>
        <v/>
      </c>
      <c r="O33">
        <f>IF(OR(Setup!$E$56="",Setup!$G$56="",Setup!$F$56=""),"",IF(AND(Setup!$F$56="Once",O$1&gt;0),"",IF(OR(IF(Setup!$M$56&gt;0,Setup!$G$56+(Setup!$O$56+O$1)*Setup!$M$56,EDATE(Setup!$G$56,(Setup!$O$56+O$1)*Setup!$N$56))&gt;Setup!$P$56,IF(Setup!$M$56&gt;0,Setup!$G$56+(Setup!$O$56+O$1)*Setup!$M$56,EDATE(Setup!$G$56,(Setup!$O$56+O$1)*Setup!$N$56))&lt;Setup!$D$5),"",IF(Setup!$M$56&gt;0,Setup!$G$56+(Setup!$O$56+O$1)*Setup!$M$56,EDATE(Setup!$G$56,(Setup!$O$56+O$1)*Setup!$N$56))+$A33/1000)))</f>
        <v/>
      </c>
      <c r="P33">
        <f>IF(OR(Setup!$E$56="",Setup!$G$56="",Setup!$F$56=""),"",IF(AND(Setup!$F$56="Once",P$1&gt;0),"",IF(OR(IF(Setup!$M$56&gt;0,Setup!$G$56+(Setup!$O$56+P$1)*Setup!$M$56,EDATE(Setup!$G$56,(Setup!$O$56+P$1)*Setup!$N$56))&gt;Setup!$P$56,IF(Setup!$M$56&gt;0,Setup!$G$56+(Setup!$O$56+P$1)*Setup!$M$56,EDATE(Setup!$G$56,(Setup!$O$56+P$1)*Setup!$N$56))&lt;Setup!$D$5),"",IF(Setup!$M$56&gt;0,Setup!$G$56+(Setup!$O$56+P$1)*Setup!$M$56,EDATE(Setup!$G$56,(Setup!$O$56+P$1)*Setup!$N$56))+$A33/1000)))</f>
        <v/>
      </c>
      <c r="Q33">
        <f>IF(OR(Setup!$E$56="",Setup!$G$56="",Setup!$F$56=""),"",IF(AND(Setup!$F$56="Once",Q$1&gt;0),"",IF(OR(IF(Setup!$M$56&gt;0,Setup!$G$56+(Setup!$O$56+Q$1)*Setup!$M$56,EDATE(Setup!$G$56,(Setup!$O$56+Q$1)*Setup!$N$56))&gt;Setup!$P$56,IF(Setup!$M$56&gt;0,Setup!$G$56+(Setup!$O$56+Q$1)*Setup!$M$56,EDATE(Setup!$G$56,(Setup!$O$56+Q$1)*Setup!$N$56))&lt;Setup!$D$5),"",IF(Setup!$M$56&gt;0,Setup!$G$56+(Setup!$O$56+Q$1)*Setup!$M$56,EDATE(Setup!$G$56,(Setup!$O$56+Q$1)*Setup!$N$56))+$A33/1000)))</f>
        <v/>
      </c>
      <c r="R33">
        <f>IF(OR(Setup!$E$56="",Setup!$G$56="",Setup!$F$56=""),"",IF(AND(Setup!$F$56="Once",R$1&gt;0),"",IF(OR(IF(Setup!$M$56&gt;0,Setup!$G$56+(Setup!$O$56+R$1)*Setup!$M$56,EDATE(Setup!$G$56,(Setup!$O$56+R$1)*Setup!$N$56))&gt;Setup!$P$56,IF(Setup!$M$56&gt;0,Setup!$G$56+(Setup!$O$56+R$1)*Setup!$M$56,EDATE(Setup!$G$56,(Setup!$O$56+R$1)*Setup!$N$56))&lt;Setup!$D$5),"",IF(Setup!$M$56&gt;0,Setup!$G$56+(Setup!$O$56+R$1)*Setup!$M$56,EDATE(Setup!$G$56,(Setup!$O$56+R$1)*Setup!$N$56))+$A33/1000)))</f>
        <v/>
      </c>
      <c r="S33">
        <f>IF(OR(Setup!$E$56="",Setup!$G$56="",Setup!$F$56=""),"",IF(AND(Setup!$F$56="Once",S$1&gt;0),"",IF(OR(IF(Setup!$M$56&gt;0,Setup!$G$56+(Setup!$O$56+S$1)*Setup!$M$56,EDATE(Setup!$G$56,(Setup!$O$56+S$1)*Setup!$N$56))&gt;Setup!$P$56,IF(Setup!$M$56&gt;0,Setup!$G$56+(Setup!$O$56+S$1)*Setup!$M$56,EDATE(Setup!$G$56,(Setup!$O$56+S$1)*Setup!$N$56))&lt;Setup!$D$5),"",IF(Setup!$M$56&gt;0,Setup!$G$56+(Setup!$O$56+S$1)*Setup!$M$56,EDATE(Setup!$G$56,(Setup!$O$56+S$1)*Setup!$N$56))+$A33/1000)))</f>
        <v/>
      </c>
      <c r="T33">
        <f>IF(OR(Setup!$E$56="",Setup!$G$56="",Setup!$F$56=""),"",IF(AND(Setup!$F$56="Once",T$1&gt;0),"",IF(OR(IF(Setup!$M$56&gt;0,Setup!$G$56+(Setup!$O$56+T$1)*Setup!$M$56,EDATE(Setup!$G$56,(Setup!$O$56+T$1)*Setup!$N$56))&gt;Setup!$P$56,IF(Setup!$M$56&gt;0,Setup!$G$56+(Setup!$O$56+T$1)*Setup!$M$56,EDATE(Setup!$G$56,(Setup!$O$56+T$1)*Setup!$N$56))&lt;Setup!$D$5),"",IF(Setup!$M$56&gt;0,Setup!$G$56+(Setup!$O$56+T$1)*Setup!$M$56,EDATE(Setup!$G$56,(Setup!$O$56+T$1)*Setup!$N$56))+$A33/1000)))</f>
        <v/>
      </c>
      <c r="U33">
        <f>IF(OR(Setup!$E$56="",Setup!$G$56="",Setup!$F$56=""),"",IF(AND(Setup!$F$56="Once",U$1&gt;0),"",IF(OR(IF(Setup!$M$56&gt;0,Setup!$G$56+(Setup!$O$56+U$1)*Setup!$M$56,EDATE(Setup!$G$56,(Setup!$O$56+U$1)*Setup!$N$56))&gt;Setup!$P$56,IF(Setup!$M$56&gt;0,Setup!$G$56+(Setup!$O$56+U$1)*Setup!$M$56,EDATE(Setup!$G$56,(Setup!$O$56+U$1)*Setup!$N$56))&lt;Setup!$D$5),"",IF(Setup!$M$56&gt;0,Setup!$G$56+(Setup!$O$56+U$1)*Setup!$M$56,EDATE(Setup!$G$56,(Setup!$O$56+U$1)*Setup!$N$56))+$A33/1000)))</f>
        <v/>
      </c>
      <c r="V33">
        <f>IF(OR(Setup!$E$56="",Setup!$G$56="",Setup!$F$56=""),"",IF(AND(Setup!$F$56="Once",V$1&gt;0),"",IF(OR(IF(Setup!$M$56&gt;0,Setup!$G$56+(Setup!$O$56+V$1)*Setup!$M$56,EDATE(Setup!$G$56,(Setup!$O$56+V$1)*Setup!$N$56))&gt;Setup!$P$56,IF(Setup!$M$56&gt;0,Setup!$G$56+(Setup!$O$56+V$1)*Setup!$M$56,EDATE(Setup!$G$56,(Setup!$O$56+V$1)*Setup!$N$56))&lt;Setup!$D$5),"",IF(Setup!$M$56&gt;0,Setup!$G$56+(Setup!$O$56+V$1)*Setup!$M$56,EDATE(Setup!$G$56,(Setup!$O$56+V$1)*Setup!$N$56))+$A33/1000)))</f>
        <v/>
      </c>
      <c r="W33">
        <f>IF(OR(Setup!$E$56="",Setup!$G$56="",Setup!$F$56=""),"",IF(AND(Setup!$F$56="Once",W$1&gt;0),"",IF(OR(IF(Setup!$M$56&gt;0,Setup!$G$56+(Setup!$O$56+W$1)*Setup!$M$56,EDATE(Setup!$G$56,(Setup!$O$56+W$1)*Setup!$N$56))&gt;Setup!$P$56,IF(Setup!$M$56&gt;0,Setup!$G$56+(Setup!$O$56+W$1)*Setup!$M$56,EDATE(Setup!$G$56,(Setup!$O$56+W$1)*Setup!$N$56))&lt;Setup!$D$5),"",IF(Setup!$M$56&gt;0,Setup!$G$56+(Setup!$O$56+W$1)*Setup!$M$56,EDATE(Setup!$G$56,(Setup!$O$56+W$1)*Setup!$N$56))+$A33/1000)))</f>
        <v/>
      </c>
      <c r="X33">
        <f>IF(OR(Setup!$E$56="",Setup!$G$56="",Setup!$F$56=""),"",IF(AND(Setup!$F$56="Once",X$1&gt;0),"",IF(OR(IF(Setup!$M$56&gt;0,Setup!$G$56+(Setup!$O$56+X$1)*Setup!$M$56,EDATE(Setup!$G$56,(Setup!$O$56+X$1)*Setup!$N$56))&gt;Setup!$P$56,IF(Setup!$M$56&gt;0,Setup!$G$56+(Setup!$O$56+X$1)*Setup!$M$56,EDATE(Setup!$G$56,(Setup!$O$56+X$1)*Setup!$N$56))&lt;Setup!$D$5),"",IF(Setup!$M$56&gt;0,Setup!$G$56+(Setup!$O$56+X$1)*Setup!$M$56,EDATE(Setup!$G$56,(Setup!$O$56+X$1)*Setup!$N$56))+$A33/1000)))</f>
        <v/>
      </c>
      <c r="Y33">
        <f>IF(OR(Setup!$E$56="",Setup!$G$56="",Setup!$F$56=""),"",IF(AND(Setup!$F$56="Once",Y$1&gt;0),"",IF(OR(IF(Setup!$M$56&gt;0,Setup!$G$56+(Setup!$O$56+Y$1)*Setup!$M$56,EDATE(Setup!$G$56,(Setup!$O$56+Y$1)*Setup!$N$56))&gt;Setup!$P$56,IF(Setup!$M$56&gt;0,Setup!$G$56+(Setup!$O$56+Y$1)*Setup!$M$56,EDATE(Setup!$G$56,(Setup!$O$56+Y$1)*Setup!$N$56))&lt;Setup!$D$5),"",IF(Setup!$M$56&gt;0,Setup!$G$56+(Setup!$O$56+Y$1)*Setup!$M$56,EDATE(Setup!$G$56,(Setup!$O$56+Y$1)*Setup!$N$56))+$A33/1000)))</f>
        <v/>
      </c>
      <c r="Z33">
        <f>IF(OR(Setup!$E$56="",Setup!$G$56="",Setup!$F$56=""),"",IF(AND(Setup!$F$56="Once",Z$1&gt;0),"",IF(OR(IF(Setup!$M$56&gt;0,Setup!$G$56+(Setup!$O$56+Z$1)*Setup!$M$56,EDATE(Setup!$G$56,(Setup!$O$56+Z$1)*Setup!$N$56))&gt;Setup!$P$56,IF(Setup!$M$56&gt;0,Setup!$G$56+(Setup!$O$56+Z$1)*Setup!$M$56,EDATE(Setup!$G$56,(Setup!$O$56+Z$1)*Setup!$N$56))&lt;Setup!$D$5),"",IF(Setup!$M$56&gt;0,Setup!$G$56+(Setup!$O$56+Z$1)*Setup!$M$56,EDATE(Setup!$G$56,(Setup!$O$56+Z$1)*Setup!$N$56))+$A33/1000)))</f>
        <v/>
      </c>
      <c r="AA33">
        <f>IF(OR(Setup!$E$56="",Setup!$G$56="",Setup!$F$56=""),"",IF(AND(Setup!$F$56="Once",AA$1&gt;0),"",IF(OR(IF(Setup!$M$56&gt;0,Setup!$G$56+(Setup!$O$56+AA$1)*Setup!$M$56,EDATE(Setup!$G$56,(Setup!$O$56+AA$1)*Setup!$N$56))&gt;Setup!$P$56,IF(Setup!$M$56&gt;0,Setup!$G$56+(Setup!$O$56+AA$1)*Setup!$M$56,EDATE(Setup!$G$56,(Setup!$O$56+AA$1)*Setup!$N$56))&lt;Setup!$D$5),"",IF(Setup!$M$56&gt;0,Setup!$G$56+(Setup!$O$56+AA$1)*Setup!$M$56,EDATE(Setup!$G$56,(Setup!$O$56+AA$1)*Setup!$N$56))+$A33/1000)))</f>
        <v/>
      </c>
      <c r="AB33">
        <f>IF(OR(Setup!$E$56="",Setup!$G$56="",Setup!$F$56=""),"",IF(AND(Setup!$F$56="Once",AB$1&gt;0),"",IF(OR(IF(Setup!$M$56&gt;0,Setup!$G$56+(Setup!$O$56+AB$1)*Setup!$M$56,EDATE(Setup!$G$56,(Setup!$O$56+AB$1)*Setup!$N$56))&gt;Setup!$P$56,IF(Setup!$M$56&gt;0,Setup!$G$56+(Setup!$O$56+AB$1)*Setup!$M$56,EDATE(Setup!$G$56,(Setup!$O$56+AB$1)*Setup!$N$56))&lt;Setup!$D$5),"",IF(Setup!$M$56&gt;0,Setup!$G$56+(Setup!$O$56+AB$1)*Setup!$M$56,EDATE(Setup!$G$56,(Setup!$O$56+AB$1)*Setup!$N$56))+$A33/1000)))</f>
        <v/>
      </c>
      <c r="AC33">
        <f>IF(OR(Setup!$E$56="",Setup!$G$56="",Setup!$F$56=""),"",IF(AND(Setup!$F$56="Once",AC$1&gt;0),"",IF(OR(IF(Setup!$M$56&gt;0,Setup!$G$56+(Setup!$O$56+AC$1)*Setup!$M$56,EDATE(Setup!$G$56,(Setup!$O$56+AC$1)*Setup!$N$56))&gt;Setup!$P$56,IF(Setup!$M$56&gt;0,Setup!$G$56+(Setup!$O$56+AC$1)*Setup!$M$56,EDATE(Setup!$G$56,(Setup!$O$56+AC$1)*Setup!$N$56))&lt;Setup!$D$5),"",IF(Setup!$M$56&gt;0,Setup!$G$56+(Setup!$O$56+AC$1)*Setup!$M$56,EDATE(Setup!$G$56,(Setup!$O$56+AC$1)*Setup!$N$56))+$A33/1000)))</f>
        <v/>
      </c>
      <c r="AD33">
        <f>IF(OR(Setup!$E$56="",Setup!$G$56="",Setup!$F$56=""),"",IF(AND(Setup!$F$56="Once",AD$1&gt;0),"",IF(OR(IF(Setup!$M$56&gt;0,Setup!$G$56+(Setup!$O$56+AD$1)*Setup!$M$56,EDATE(Setup!$G$56,(Setup!$O$56+AD$1)*Setup!$N$56))&gt;Setup!$P$56,IF(Setup!$M$56&gt;0,Setup!$G$56+(Setup!$O$56+AD$1)*Setup!$M$56,EDATE(Setup!$G$56,(Setup!$O$56+AD$1)*Setup!$N$56))&lt;Setup!$D$5),"",IF(Setup!$M$56&gt;0,Setup!$G$56+(Setup!$O$56+AD$1)*Setup!$M$56,EDATE(Setup!$G$56,(Setup!$O$56+AD$1)*Setup!$N$56))+$A33/1000)))</f>
        <v/>
      </c>
      <c r="AE33">
        <f>IF(OR(Setup!$E$56="",Setup!$G$56="",Setup!$F$56=""),"",IF(AND(Setup!$F$56="Once",AE$1&gt;0),"",IF(OR(IF(Setup!$M$56&gt;0,Setup!$G$56+(Setup!$O$56+AE$1)*Setup!$M$56,EDATE(Setup!$G$56,(Setup!$O$56+AE$1)*Setup!$N$56))&gt;Setup!$P$56,IF(Setup!$M$56&gt;0,Setup!$G$56+(Setup!$O$56+AE$1)*Setup!$M$56,EDATE(Setup!$G$56,(Setup!$O$56+AE$1)*Setup!$N$56))&lt;Setup!$D$5),"",IF(Setup!$M$56&gt;0,Setup!$G$56+(Setup!$O$56+AE$1)*Setup!$M$56,EDATE(Setup!$G$56,(Setup!$O$56+AE$1)*Setup!$N$56))+$A33/1000)))</f>
        <v/>
      </c>
      <c r="AF33">
        <f>IF(OR(Setup!$E$56="",Setup!$G$56="",Setup!$F$56=""),"",IF(AND(Setup!$F$56="Once",AF$1&gt;0),"",IF(OR(IF(Setup!$M$56&gt;0,Setup!$G$56+(Setup!$O$56+AF$1)*Setup!$M$56,EDATE(Setup!$G$56,(Setup!$O$56+AF$1)*Setup!$N$56))&gt;Setup!$P$56,IF(Setup!$M$56&gt;0,Setup!$G$56+(Setup!$O$56+AF$1)*Setup!$M$56,EDATE(Setup!$G$56,(Setup!$O$56+AF$1)*Setup!$N$56))&lt;Setup!$D$5),"",IF(Setup!$M$56&gt;0,Setup!$G$56+(Setup!$O$56+AF$1)*Setup!$M$56,EDATE(Setup!$G$56,(Setup!$O$56+AF$1)*Setup!$N$56))+$A33/1000)))</f>
        <v/>
      </c>
      <c r="AG33">
        <f>IF(OR(Setup!$E$56="",Setup!$G$56="",Setup!$F$56=""),"",IF(AND(Setup!$F$56="Once",AG$1&gt;0),"",IF(OR(IF(Setup!$M$56&gt;0,Setup!$G$56+(Setup!$O$56+AG$1)*Setup!$M$56,EDATE(Setup!$G$56,(Setup!$O$56+AG$1)*Setup!$N$56))&gt;Setup!$P$56,IF(Setup!$M$56&gt;0,Setup!$G$56+(Setup!$O$56+AG$1)*Setup!$M$56,EDATE(Setup!$G$56,(Setup!$O$56+AG$1)*Setup!$N$56))&lt;Setup!$D$5),"",IF(Setup!$M$56&gt;0,Setup!$G$56+(Setup!$O$56+AG$1)*Setup!$M$56,EDATE(Setup!$G$56,(Setup!$O$56+AG$1)*Setup!$N$56))+$A33/1000)))</f>
        <v/>
      </c>
      <c r="AH33">
        <f>IF(OR(Setup!$E$56="",Setup!$G$56="",Setup!$F$56=""),"",IF(AND(Setup!$F$56="Once",AH$1&gt;0),"",IF(OR(IF(Setup!$M$56&gt;0,Setup!$G$56+(Setup!$O$56+AH$1)*Setup!$M$56,EDATE(Setup!$G$56,(Setup!$O$56+AH$1)*Setup!$N$56))&gt;Setup!$P$56,IF(Setup!$M$56&gt;0,Setup!$G$56+(Setup!$O$56+AH$1)*Setup!$M$56,EDATE(Setup!$G$56,(Setup!$O$56+AH$1)*Setup!$N$56))&lt;Setup!$D$5),"",IF(Setup!$M$56&gt;0,Setup!$G$56+(Setup!$O$56+AH$1)*Setup!$M$56,EDATE(Setup!$G$56,(Setup!$O$56+AH$1)*Setup!$N$56))+$A33/1000)))</f>
        <v/>
      </c>
      <c r="AI33">
        <f>IF(OR(Setup!$E$56="",Setup!$G$56="",Setup!$F$56=""),"",IF(AND(Setup!$F$56="Once",AI$1&gt;0),"",IF(OR(IF(Setup!$M$56&gt;0,Setup!$G$56+(Setup!$O$56+AI$1)*Setup!$M$56,EDATE(Setup!$G$56,(Setup!$O$56+AI$1)*Setup!$N$56))&gt;Setup!$P$56,IF(Setup!$M$56&gt;0,Setup!$G$56+(Setup!$O$56+AI$1)*Setup!$M$56,EDATE(Setup!$G$56,(Setup!$O$56+AI$1)*Setup!$N$56))&lt;Setup!$D$5),"",IF(Setup!$M$56&gt;0,Setup!$G$56+(Setup!$O$56+AI$1)*Setup!$M$56,EDATE(Setup!$G$56,(Setup!$O$56+AI$1)*Setup!$N$56))+$A33/1000)))</f>
        <v/>
      </c>
      <c r="AJ33">
        <f>IF(OR(Setup!$E$56="",Setup!$G$56="",Setup!$F$56=""),"",IF(AND(Setup!$F$56="Once",AJ$1&gt;0),"",IF(OR(IF(Setup!$M$56&gt;0,Setup!$G$56+(Setup!$O$56+AJ$1)*Setup!$M$56,EDATE(Setup!$G$56,(Setup!$O$56+AJ$1)*Setup!$N$56))&gt;Setup!$P$56,IF(Setup!$M$56&gt;0,Setup!$G$56+(Setup!$O$56+AJ$1)*Setup!$M$56,EDATE(Setup!$G$56,(Setup!$O$56+AJ$1)*Setup!$N$56))&lt;Setup!$D$5),"",IF(Setup!$M$56&gt;0,Setup!$G$56+(Setup!$O$56+AJ$1)*Setup!$M$56,EDATE(Setup!$G$56,(Setup!$O$56+AJ$1)*Setup!$N$56))+$A33/1000)))</f>
        <v/>
      </c>
      <c r="AK33">
        <f>IF(OR(Setup!$E$56="",Setup!$G$56="",Setup!$F$56=""),"",IF(AND(Setup!$F$56="Once",AK$1&gt;0),"",IF(OR(IF(Setup!$M$56&gt;0,Setup!$G$56+(Setup!$O$56+AK$1)*Setup!$M$56,EDATE(Setup!$G$56,(Setup!$O$56+AK$1)*Setup!$N$56))&gt;Setup!$P$56,IF(Setup!$M$56&gt;0,Setup!$G$56+(Setup!$O$56+AK$1)*Setup!$M$56,EDATE(Setup!$G$56,(Setup!$O$56+AK$1)*Setup!$N$56))&lt;Setup!$D$5),"",IF(Setup!$M$56&gt;0,Setup!$G$56+(Setup!$O$56+AK$1)*Setup!$M$56,EDATE(Setup!$G$56,(Setup!$O$56+AK$1)*Setup!$N$56))+$A33/1000)))</f>
        <v/>
      </c>
      <c r="AL33">
        <f>IF(OR(Setup!$E$56="",Setup!$G$56="",Setup!$F$56=""),"",IF(AND(Setup!$F$56="Once",AL$1&gt;0),"",IF(OR(IF(Setup!$M$56&gt;0,Setup!$G$56+(Setup!$O$56+AL$1)*Setup!$M$56,EDATE(Setup!$G$56,(Setup!$O$56+AL$1)*Setup!$N$56))&gt;Setup!$P$56,IF(Setup!$M$56&gt;0,Setup!$G$56+(Setup!$O$56+AL$1)*Setup!$M$56,EDATE(Setup!$G$56,(Setup!$O$56+AL$1)*Setup!$N$56))&lt;Setup!$D$5),"",IF(Setup!$M$56&gt;0,Setup!$G$56+(Setup!$O$56+AL$1)*Setup!$M$56,EDATE(Setup!$G$56,(Setup!$O$56+AL$1)*Setup!$N$56))+$A33/1000)))</f>
        <v/>
      </c>
      <c r="AM33">
        <f>IF(OR(Setup!$E$56="",Setup!$G$56="",Setup!$F$56=""),"",IF(AND(Setup!$F$56="Once",AM$1&gt;0),"",IF(OR(IF(Setup!$M$56&gt;0,Setup!$G$56+(Setup!$O$56+AM$1)*Setup!$M$56,EDATE(Setup!$G$56,(Setup!$O$56+AM$1)*Setup!$N$56))&gt;Setup!$P$56,IF(Setup!$M$56&gt;0,Setup!$G$56+(Setup!$O$56+AM$1)*Setup!$M$56,EDATE(Setup!$G$56,(Setup!$O$56+AM$1)*Setup!$N$56))&lt;Setup!$D$5),"",IF(Setup!$M$56&gt;0,Setup!$G$56+(Setup!$O$56+AM$1)*Setup!$M$56,EDATE(Setup!$G$56,(Setup!$O$56+AM$1)*Setup!$N$56))+$A33/1000)))</f>
        <v/>
      </c>
      <c r="AN33">
        <f>IF(OR(Setup!$E$56="",Setup!$G$56="",Setup!$F$56=""),"",IF(AND(Setup!$F$56="Once",AN$1&gt;0),"",IF(OR(IF(Setup!$M$56&gt;0,Setup!$G$56+(Setup!$O$56+AN$1)*Setup!$M$56,EDATE(Setup!$G$56,(Setup!$O$56+AN$1)*Setup!$N$56))&gt;Setup!$P$56,IF(Setup!$M$56&gt;0,Setup!$G$56+(Setup!$O$56+AN$1)*Setup!$M$56,EDATE(Setup!$G$56,(Setup!$O$56+AN$1)*Setup!$N$56))&lt;Setup!$D$5),"",IF(Setup!$M$56&gt;0,Setup!$G$56+(Setup!$O$56+AN$1)*Setup!$M$56,EDATE(Setup!$G$56,(Setup!$O$56+AN$1)*Setup!$N$56))+$A33/1000)))</f>
        <v/>
      </c>
      <c r="AO33">
        <f>IF(OR(Setup!$E$56="",Setup!$G$56="",Setup!$F$56=""),"",IF(AND(Setup!$F$56="Once",AO$1&gt;0),"",IF(OR(IF(Setup!$M$56&gt;0,Setup!$G$56+(Setup!$O$56+AO$1)*Setup!$M$56,EDATE(Setup!$G$56,(Setup!$O$56+AO$1)*Setup!$N$56))&gt;Setup!$P$56,IF(Setup!$M$56&gt;0,Setup!$G$56+(Setup!$O$56+AO$1)*Setup!$M$56,EDATE(Setup!$G$56,(Setup!$O$56+AO$1)*Setup!$N$56))&lt;Setup!$D$5),"",IF(Setup!$M$56&gt;0,Setup!$G$56+(Setup!$O$56+AO$1)*Setup!$M$56,EDATE(Setup!$G$56,(Setup!$O$56+AO$1)*Setup!$N$56))+$A33/1000)))</f>
        <v/>
      </c>
      <c r="AP33">
        <f>IF(OR(Setup!$E$56="",Setup!$G$56="",Setup!$F$56=""),"",IF(AND(Setup!$F$56="Once",AP$1&gt;0),"",IF(OR(IF(Setup!$M$56&gt;0,Setup!$G$56+(Setup!$O$56+AP$1)*Setup!$M$56,EDATE(Setup!$G$56,(Setup!$O$56+AP$1)*Setup!$N$56))&gt;Setup!$P$56,IF(Setup!$M$56&gt;0,Setup!$G$56+(Setup!$O$56+AP$1)*Setup!$M$56,EDATE(Setup!$G$56,(Setup!$O$56+AP$1)*Setup!$N$56))&lt;Setup!$D$5),"",IF(Setup!$M$56&gt;0,Setup!$G$56+(Setup!$O$56+AP$1)*Setup!$M$56,EDATE(Setup!$G$56,(Setup!$O$56+AP$1)*Setup!$N$56))+$A33/1000)))</f>
        <v/>
      </c>
      <c r="AQ33">
        <f>IF(OR(Setup!$E$56="",Setup!$G$56="",Setup!$F$56=""),"",IF(AND(Setup!$F$56="Once",AQ$1&gt;0),"",IF(OR(IF(Setup!$M$56&gt;0,Setup!$G$56+(Setup!$O$56+AQ$1)*Setup!$M$56,EDATE(Setup!$G$56,(Setup!$O$56+AQ$1)*Setup!$N$56))&gt;Setup!$P$56,IF(Setup!$M$56&gt;0,Setup!$G$56+(Setup!$O$56+AQ$1)*Setup!$M$56,EDATE(Setup!$G$56,(Setup!$O$56+AQ$1)*Setup!$N$56))&lt;Setup!$D$5),"",IF(Setup!$M$56&gt;0,Setup!$G$56+(Setup!$O$56+AQ$1)*Setup!$M$56,EDATE(Setup!$G$56,(Setup!$O$56+AQ$1)*Setup!$N$56))+$A33/1000)))</f>
        <v/>
      </c>
      <c r="AR33">
        <f>IF(OR(Setup!$E$56="",Setup!$G$56="",Setup!$F$56=""),"",IF(AND(Setup!$F$56="Once",AR$1&gt;0),"",IF(OR(IF(Setup!$M$56&gt;0,Setup!$G$56+(Setup!$O$56+AR$1)*Setup!$M$56,EDATE(Setup!$G$56,(Setup!$O$56+AR$1)*Setup!$N$56))&gt;Setup!$P$56,IF(Setup!$M$56&gt;0,Setup!$G$56+(Setup!$O$56+AR$1)*Setup!$M$56,EDATE(Setup!$G$56,(Setup!$O$56+AR$1)*Setup!$N$56))&lt;Setup!$D$5),"",IF(Setup!$M$56&gt;0,Setup!$G$56+(Setup!$O$56+AR$1)*Setup!$M$56,EDATE(Setup!$G$56,(Setup!$O$56+AR$1)*Setup!$N$56))+$A33/1000)))</f>
        <v/>
      </c>
      <c r="AS33">
        <f>IF(OR(Setup!$E$56="",Setup!$G$56="",Setup!$F$56=""),"",IF(AND(Setup!$F$56="Once",AS$1&gt;0),"",IF(OR(IF(Setup!$M$56&gt;0,Setup!$G$56+(Setup!$O$56+AS$1)*Setup!$M$56,EDATE(Setup!$G$56,(Setup!$O$56+AS$1)*Setup!$N$56))&gt;Setup!$P$56,IF(Setup!$M$56&gt;0,Setup!$G$56+(Setup!$O$56+AS$1)*Setup!$M$56,EDATE(Setup!$G$56,(Setup!$O$56+AS$1)*Setup!$N$56))&lt;Setup!$D$5),"",IF(Setup!$M$56&gt;0,Setup!$G$56+(Setup!$O$56+AS$1)*Setup!$M$56,EDATE(Setup!$G$56,(Setup!$O$56+AS$1)*Setup!$N$56))+$A33/1000)))</f>
        <v/>
      </c>
      <c r="AT33">
        <f>IF(OR(Setup!$E$56="",Setup!$G$56="",Setup!$F$56=""),"",IF(AND(Setup!$F$56="Once",AT$1&gt;0),"",IF(OR(IF(Setup!$M$56&gt;0,Setup!$G$56+(Setup!$O$56+AT$1)*Setup!$M$56,EDATE(Setup!$G$56,(Setup!$O$56+AT$1)*Setup!$N$56))&gt;Setup!$P$56,IF(Setup!$M$56&gt;0,Setup!$G$56+(Setup!$O$56+AT$1)*Setup!$M$56,EDATE(Setup!$G$56,(Setup!$O$56+AT$1)*Setup!$N$56))&lt;Setup!$D$5),"",IF(Setup!$M$56&gt;0,Setup!$G$56+(Setup!$O$56+AT$1)*Setup!$M$56,EDATE(Setup!$G$56,(Setup!$O$56+AT$1)*Setup!$N$56))+$A33/1000)))</f>
        <v/>
      </c>
      <c r="AU33">
        <f>IF(OR(Setup!$E$56="",Setup!$G$56="",Setup!$F$56=""),"",IF(AND(Setup!$F$56="Once",AU$1&gt;0),"",IF(OR(IF(Setup!$M$56&gt;0,Setup!$G$56+(Setup!$O$56+AU$1)*Setup!$M$56,EDATE(Setup!$G$56,(Setup!$O$56+AU$1)*Setup!$N$56))&gt;Setup!$P$56,IF(Setup!$M$56&gt;0,Setup!$G$56+(Setup!$O$56+AU$1)*Setup!$M$56,EDATE(Setup!$G$56,(Setup!$O$56+AU$1)*Setup!$N$56))&lt;Setup!$D$5),"",IF(Setup!$M$56&gt;0,Setup!$G$56+(Setup!$O$56+AU$1)*Setup!$M$56,EDATE(Setup!$G$56,(Setup!$O$56+AU$1)*Setup!$N$56))+$A33/1000)))</f>
        <v/>
      </c>
      <c r="AV33">
        <f>IF(OR(Setup!$E$56="",Setup!$G$56="",Setup!$F$56=""),"",IF(AND(Setup!$F$56="Once",AV$1&gt;0),"",IF(OR(IF(Setup!$M$56&gt;0,Setup!$G$56+(Setup!$O$56+AV$1)*Setup!$M$56,EDATE(Setup!$G$56,(Setup!$O$56+AV$1)*Setup!$N$56))&gt;Setup!$P$56,IF(Setup!$M$56&gt;0,Setup!$G$56+(Setup!$O$56+AV$1)*Setup!$M$56,EDATE(Setup!$G$56,(Setup!$O$56+AV$1)*Setup!$N$56))&lt;Setup!$D$5),"",IF(Setup!$M$56&gt;0,Setup!$G$56+(Setup!$O$56+AV$1)*Setup!$M$56,EDATE(Setup!$G$56,(Setup!$O$56+AV$1)*Setup!$N$56))+$A33/1000)))</f>
        <v/>
      </c>
      <c r="AW33">
        <f>IF(OR(Setup!$E$56="",Setup!$G$56="",Setup!$F$56=""),"",IF(AND(Setup!$F$56="Once",AW$1&gt;0),"",IF(OR(IF(Setup!$M$56&gt;0,Setup!$G$56+(Setup!$O$56+AW$1)*Setup!$M$56,EDATE(Setup!$G$56,(Setup!$O$56+AW$1)*Setup!$N$56))&gt;Setup!$P$56,IF(Setup!$M$56&gt;0,Setup!$G$56+(Setup!$O$56+AW$1)*Setup!$M$56,EDATE(Setup!$G$56,(Setup!$O$56+AW$1)*Setup!$N$56))&lt;Setup!$D$5),"",IF(Setup!$M$56&gt;0,Setup!$G$56+(Setup!$O$56+AW$1)*Setup!$M$56,EDATE(Setup!$G$56,(Setup!$O$56+AW$1)*Setup!$N$56))+$A33/1000)))</f>
        <v/>
      </c>
      <c r="AX33">
        <f>IF(OR(Setup!$E$56="",Setup!$G$56="",Setup!$F$56=""),"",IF(AND(Setup!$F$56="Once",AX$1&gt;0),"",IF(OR(IF(Setup!$M$56&gt;0,Setup!$G$56+(Setup!$O$56+AX$1)*Setup!$M$56,EDATE(Setup!$G$56,(Setup!$O$56+AX$1)*Setup!$N$56))&gt;Setup!$P$56,IF(Setup!$M$56&gt;0,Setup!$G$56+(Setup!$O$56+AX$1)*Setup!$M$56,EDATE(Setup!$G$56,(Setup!$O$56+AX$1)*Setup!$N$56))&lt;Setup!$D$5),"",IF(Setup!$M$56&gt;0,Setup!$G$56+(Setup!$O$56+AX$1)*Setup!$M$56,EDATE(Setup!$G$56,(Setup!$O$56+AX$1)*Setup!$N$56))+$A33/1000)))</f>
        <v/>
      </c>
      <c r="AY33">
        <f>IF(OR(Setup!$E$56="",Setup!$G$56="",Setup!$F$56=""),"",IF(AND(Setup!$F$56="Once",AY$1&gt;0),"",IF(OR(IF(Setup!$M$56&gt;0,Setup!$G$56+(Setup!$O$56+AY$1)*Setup!$M$56,EDATE(Setup!$G$56,(Setup!$O$56+AY$1)*Setup!$N$56))&gt;Setup!$P$56,IF(Setup!$M$56&gt;0,Setup!$G$56+(Setup!$O$56+AY$1)*Setup!$M$56,EDATE(Setup!$G$56,(Setup!$O$56+AY$1)*Setup!$N$56))&lt;Setup!$D$5),"",IF(Setup!$M$56&gt;0,Setup!$G$56+(Setup!$O$56+AY$1)*Setup!$M$56,EDATE(Setup!$G$56,(Setup!$O$56+AY$1)*Setup!$N$56))+$A33/1000)))</f>
        <v/>
      </c>
      <c r="AZ33">
        <f>IF(OR(Setup!$E$56="",Setup!$G$56="",Setup!$F$56=""),"",IF(AND(Setup!$F$56="Once",AZ$1&gt;0),"",IF(OR(IF(Setup!$M$56&gt;0,Setup!$G$56+(Setup!$O$56+AZ$1)*Setup!$M$56,EDATE(Setup!$G$56,(Setup!$O$56+AZ$1)*Setup!$N$56))&gt;Setup!$P$56,IF(Setup!$M$56&gt;0,Setup!$G$56+(Setup!$O$56+AZ$1)*Setup!$M$56,EDATE(Setup!$G$56,(Setup!$O$56+AZ$1)*Setup!$N$56))&lt;Setup!$D$5),"",IF(Setup!$M$56&gt;0,Setup!$G$56+(Setup!$O$56+AZ$1)*Setup!$M$56,EDATE(Setup!$G$56,(Setup!$O$56+AZ$1)*Setup!$N$56))+$A33/1000)))</f>
        <v/>
      </c>
      <c r="BA33">
        <f>IF(OR(Setup!$E$56="",Setup!$G$56="",Setup!$F$56=""),"",IF(AND(Setup!$F$56="Once",BA$1&gt;0),"",IF(OR(IF(Setup!$M$56&gt;0,Setup!$G$56+(Setup!$O$56+BA$1)*Setup!$M$56,EDATE(Setup!$G$56,(Setup!$O$56+BA$1)*Setup!$N$56))&gt;Setup!$P$56,IF(Setup!$M$56&gt;0,Setup!$G$56+(Setup!$O$56+BA$1)*Setup!$M$56,EDATE(Setup!$G$56,(Setup!$O$56+BA$1)*Setup!$N$56))&lt;Setup!$D$5),"",IF(Setup!$M$56&gt;0,Setup!$G$56+(Setup!$O$56+BA$1)*Setup!$M$56,EDATE(Setup!$G$56,(Setup!$O$56+BA$1)*Setup!$N$56))+$A33/1000)))</f>
        <v/>
      </c>
      <c r="BB33">
        <f>IF(OR(Setup!$E$56="",Setup!$G$56="",Setup!$F$56=""),"",IF(AND(Setup!$F$56="Once",BB$1&gt;0),"",IF(OR(IF(Setup!$M$56&gt;0,Setup!$G$56+(Setup!$O$56+BB$1)*Setup!$M$56,EDATE(Setup!$G$56,(Setup!$O$56+BB$1)*Setup!$N$56))&gt;Setup!$P$56,IF(Setup!$M$56&gt;0,Setup!$G$56+(Setup!$O$56+BB$1)*Setup!$M$56,EDATE(Setup!$G$56,(Setup!$O$56+BB$1)*Setup!$N$56))&lt;Setup!$D$5),"",IF(Setup!$M$56&gt;0,Setup!$G$56+(Setup!$O$56+BB$1)*Setup!$M$56,EDATE(Setup!$G$56,(Setup!$O$56+BB$1)*Setup!$N$56))+$A33/1000)))</f>
        <v/>
      </c>
    </row>
    <row r="34">
      <c r="A34" t="n">
        <v>33</v>
      </c>
      <c r="B34">
        <f>IF(OR(Setup!$E$57="",Setup!$G$57="",Setup!$F$57=""),"",IF(AND(Setup!$F$57="Once",B$1&gt;0),"",IF(OR(IF(Setup!$M$57&gt;0,Setup!$G$57+(Setup!$O$57+B$1)*Setup!$M$57,EDATE(Setup!$G$57,(Setup!$O$57+B$1)*Setup!$N$57))&gt;Setup!$P$57,IF(Setup!$M$57&gt;0,Setup!$G$57+(Setup!$O$57+B$1)*Setup!$M$57,EDATE(Setup!$G$57,(Setup!$O$57+B$1)*Setup!$N$57))&lt;Setup!$D$5),"",IF(Setup!$M$57&gt;0,Setup!$G$57+(Setup!$O$57+B$1)*Setup!$M$57,EDATE(Setup!$G$57,(Setup!$O$57+B$1)*Setup!$N$57))+$A34/1000)))</f>
        <v/>
      </c>
      <c r="C34">
        <f>IF(OR(Setup!$E$57="",Setup!$G$57="",Setup!$F$57=""),"",IF(AND(Setup!$F$57="Once",C$1&gt;0),"",IF(OR(IF(Setup!$M$57&gt;0,Setup!$G$57+(Setup!$O$57+C$1)*Setup!$M$57,EDATE(Setup!$G$57,(Setup!$O$57+C$1)*Setup!$N$57))&gt;Setup!$P$57,IF(Setup!$M$57&gt;0,Setup!$G$57+(Setup!$O$57+C$1)*Setup!$M$57,EDATE(Setup!$G$57,(Setup!$O$57+C$1)*Setup!$N$57))&lt;Setup!$D$5),"",IF(Setup!$M$57&gt;0,Setup!$G$57+(Setup!$O$57+C$1)*Setup!$M$57,EDATE(Setup!$G$57,(Setup!$O$57+C$1)*Setup!$N$57))+$A34/1000)))</f>
        <v/>
      </c>
      <c r="D34">
        <f>IF(OR(Setup!$E$57="",Setup!$G$57="",Setup!$F$57=""),"",IF(AND(Setup!$F$57="Once",D$1&gt;0),"",IF(OR(IF(Setup!$M$57&gt;0,Setup!$G$57+(Setup!$O$57+D$1)*Setup!$M$57,EDATE(Setup!$G$57,(Setup!$O$57+D$1)*Setup!$N$57))&gt;Setup!$P$57,IF(Setup!$M$57&gt;0,Setup!$G$57+(Setup!$O$57+D$1)*Setup!$M$57,EDATE(Setup!$G$57,(Setup!$O$57+D$1)*Setup!$N$57))&lt;Setup!$D$5),"",IF(Setup!$M$57&gt;0,Setup!$G$57+(Setup!$O$57+D$1)*Setup!$M$57,EDATE(Setup!$G$57,(Setup!$O$57+D$1)*Setup!$N$57))+$A34/1000)))</f>
        <v/>
      </c>
      <c r="E34">
        <f>IF(OR(Setup!$E$57="",Setup!$G$57="",Setup!$F$57=""),"",IF(AND(Setup!$F$57="Once",E$1&gt;0),"",IF(OR(IF(Setup!$M$57&gt;0,Setup!$G$57+(Setup!$O$57+E$1)*Setup!$M$57,EDATE(Setup!$G$57,(Setup!$O$57+E$1)*Setup!$N$57))&gt;Setup!$P$57,IF(Setup!$M$57&gt;0,Setup!$G$57+(Setup!$O$57+E$1)*Setup!$M$57,EDATE(Setup!$G$57,(Setup!$O$57+E$1)*Setup!$N$57))&lt;Setup!$D$5),"",IF(Setup!$M$57&gt;0,Setup!$G$57+(Setup!$O$57+E$1)*Setup!$M$57,EDATE(Setup!$G$57,(Setup!$O$57+E$1)*Setup!$N$57))+$A34/1000)))</f>
        <v/>
      </c>
      <c r="F34">
        <f>IF(OR(Setup!$E$57="",Setup!$G$57="",Setup!$F$57=""),"",IF(AND(Setup!$F$57="Once",F$1&gt;0),"",IF(OR(IF(Setup!$M$57&gt;0,Setup!$G$57+(Setup!$O$57+F$1)*Setup!$M$57,EDATE(Setup!$G$57,(Setup!$O$57+F$1)*Setup!$N$57))&gt;Setup!$P$57,IF(Setup!$M$57&gt;0,Setup!$G$57+(Setup!$O$57+F$1)*Setup!$M$57,EDATE(Setup!$G$57,(Setup!$O$57+F$1)*Setup!$N$57))&lt;Setup!$D$5),"",IF(Setup!$M$57&gt;0,Setup!$G$57+(Setup!$O$57+F$1)*Setup!$M$57,EDATE(Setup!$G$57,(Setup!$O$57+F$1)*Setup!$N$57))+$A34/1000)))</f>
        <v/>
      </c>
      <c r="G34">
        <f>IF(OR(Setup!$E$57="",Setup!$G$57="",Setup!$F$57=""),"",IF(AND(Setup!$F$57="Once",G$1&gt;0),"",IF(OR(IF(Setup!$M$57&gt;0,Setup!$G$57+(Setup!$O$57+G$1)*Setup!$M$57,EDATE(Setup!$G$57,(Setup!$O$57+G$1)*Setup!$N$57))&gt;Setup!$P$57,IF(Setup!$M$57&gt;0,Setup!$G$57+(Setup!$O$57+G$1)*Setup!$M$57,EDATE(Setup!$G$57,(Setup!$O$57+G$1)*Setup!$N$57))&lt;Setup!$D$5),"",IF(Setup!$M$57&gt;0,Setup!$G$57+(Setup!$O$57+G$1)*Setup!$M$57,EDATE(Setup!$G$57,(Setup!$O$57+G$1)*Setup!$N$57))+$A34/1000)))</f>
        <v/>
      </c>
      <c r="H34">
        <f>IF(OR(Setup!$E$57="",Setup!$G$57="",Setup!$F$57=""),"",IF(AND(Setup!$F$57="Once",H$1&gt;0),"",IF(OR(IF(Setup!$M$57&gt;0,Setup!$G$57+(Setup!$O$57+H$1)*Setup!$M$57,EDATE(Setup!$G$57,(Setup!$O$57+H$1)*Setup!$N$57))&gt;Setup!$P$57,IF(Setup!$M$57&gt;0,Setup!$G$57+(Setup!$O$57+H$1)*Setup!$M$57,EDATE(Setup!$G$57,(Setup!$O$57+H$1)*Setup!$N$57))&lt;Setup!$D$5),"",IF(Setup!$M$57&gt;0,Setup!$G$57+(Setup!$O$57+H$1)*Setup!$M$57,EDATE(Setup!$G$57,(Setup!$O$57+H$1)*Setup!$N$57))+$A34/1000)))</f>
        <v/>
      </c>
      <c r="I34">
        <f>IF(OR(Setup!$E$57="",Setup!$G$57="",Setup!$F$57=""),"",IF(AND(Setup!$F$57="Once",I$1&gt;0),"",IF(OR(IF(Setup!$M$57&gt;0,Setup!$G$57+(Setup!$O$57+I$1)*Setup!$M$57,EDATE(Setup!$G$57,(Setup!$O$57+I$1)*Setup!$N$57))&gt;Setup!$P$57,IF(Setup!$M$57&gt;0,Setup!$G$57+(Setup!$O$57+I$1)*Setup!$M$57,EDATE(Setup!$G$57,(Setup!$O$57+I$1)*Setup!$N$57))&lt;Setup!$D$5),"",IF(Setup!$M$57&gt;0,Setup!$G$57+(Setup!$O$57+I$1)*Setup!$M$57,EDATE(Setup!$G$57,(Setup!$O$57+I$1)*Setup!$N$57))+$A34/1000)))</f>
        <v/>
      </c>
      <c r="J34">
        <f>IF(OR(Setup!$E$57="",Setup!$G$57="",Setup!$F$57=""),"",IF(AND(Setup!$F$57="Once",J$1&gt;0),"",IF(OR(IF(Setup!$M$57&gt;0,Setup!$G$57+(Setup!$O$57+J$1)*Setup!$M$57,EDATE(Setup!$G$57,(Setup!$O$57+J$1)*Setup!$N$57))&gt;Setup!$P$57,IF(Setup!$M$57&gt;0,Setup!$G$57+(Setup!$O$57+J$1)*Setup!$M$57,EDATE(Setup!$G$57,(Setup!$O$57+J$1)*Setup!$N$57))&lt;Setup!$D$5),"",IF(Setup!$M$57&gt;0,Setup!$G$57+(Setup!$O$57+J$1)*Setup!$M$57,EDATE(Setup!$G$57,(Setup!$O$57+J$1)*Setup!$N$57))+$A34/1000)))</f>
        <v/>
      </c>
      <c r="K34">
        <f>IF(OR(Setup!$E$57="",Setup!$G$57="",Setup!$F$57=""),"",IF(AND(Setup!$F$57="Once",K$1&gt;0),"",IF(OR(IF(Setup!$M$57&gt;0,Setup!$G$57+(Setup!$O$57+K$1)*Setup!$M$57,EDATE(Setup!$G$57,(Setup!$O$57+K$1)*Setup!$N$57))&gt;Setup!$P$57,IF(Setup!$M$57&gt;0,Setup!$G$57+(Setup!$O$57+K$1)*Setup!$M$57,EDATE(Setup!$G$57,(Setup!$O$57+K$1)*Setup!$N$57))&lt;Setup!$D$5),"",IF(Setup!$M$57&gt;0,Setup!$G$57+(Setup!$O$57+K$1)*Setup!$M$57,EDATE(Setup!$G$57,(Setup!$O$57+K$1)*Setup!$N$57))+$A34/1000)))</f>
        <v/>
      </c>
      <c r="L34">
        <f>IF(OR(Setup!$E$57="",Setup!$G$57="",Setup!$F$57=""),"",IF(AND(Setup!$F$57="Once",L$1&gt;0),"",IF(OR(IF(Setup!$M$57&gt;0,Setup!$G$57+(Setup!$O$57+L$1)*Setup!$M$57,EDATE(Setup!$G$57,(Setup!$O$57+L$1)*Setup!$N$57))&gt;Setup!$P$57,IF(Setup!$M$57&gt;0,Setup!$G$57+(Setup!$O$57+L$1)*Setup!$M$57,EDATE(Setup!$G$57,(Setup!$O$57+L$1)*Setup!$N$57))&lt;Setup!$D$5),"",IF(Setup!$M$57&gt;0,Setup!$G$57+(Setup!$O$57+L$1)*Setup!$M$57,EDATE(Setup!$G$57,(Setup!$O$57+L$1)*Setup!$N$57))+$A34/1000)))</f>
        <v/>
      </c>
      <c r="M34">
        <f>IF(OR(Setup!$E$57="",Setup!$G$57="",Setup!$F$57=""),"",IF(AND(Setup!$F$57="Once",M$1&gt;0),"",IF(OR(IF(Setup!$M$57&gt;0,Setup!$G$57+(Setup!$O$57+M$1)*Setup!$M$57,EDATE(Setup!$G$57,(Setup!$O$57+M$1)*Setup!$N$57))&gt;Setup!$P$57,IF(Setup!$M$57&gt;0,Setup!$G$57+(Setup!$O$57+M$1)*Setup!$M$57,EDATE(Setup!$G$57,(Setup!$O$57+M$1)*Setup!$N$57))&lt;Setup!$D$5),"",IF(Setup!$M$57&gt;0,Setup!$G$57+(Setup!$O$57+M$1)*Setup!$M$57,EDATE(Setup!$G$57,(Setup!$O$57+M$1)*Setup!$N$57))+$A34/1000)))</f>
        <v/>
      </c>
      <c r="N34">
        <f>IF(OR(Setup!$E$57="",Setup!$G$57="",Setup!$F$57=""),"",IF(AND(Setup!$F$57="Once",N$1&gt;0),"",IF(OR(IF(Setup!$M$57&gt;0,Setup!$G$57+(Setup!$O$57+N$1)*Setup!$M$57,EDATE(Setup!$G$57,(Setup!$O$57+N$1)*Setup!$N$57))&gt;Setup!$P$57,IF(Setup!$M$57&gt;0,Setup!$G$57+(Setup!$O$57+N$1)*Setup!$M$57,EDATE(Setup!$G$57,(Setup!$O$57+N$1)*Setup!$N$57))&lt;Setup!$D$5),"",IF(Setup!$M$57&gt;0,Setup!$G$57+(Setup!$O$57+N$1)*Setup!$M$57,EDATE(Setup!$G$57,(Setup!$O$57+N$1)*Setup!$N$57))+$A34/1000)))</f>
        <v/>
      </c>
      <c r="O34">
        <f>IF(OR(Setup!$E$57="",Setup!$G$57="",Setup!$F$57=""),"",IF(AND(Setup!$F$57="Once",O$1&gt;0),"",IF(OR(IF(Setup!$M$57&gt;0,Setup!$G$57+(Setup!$O$57+O$1)*Setup!$M$57,EDATE(Setup!$G$57,(Setup!$O$57+O$1)*Setup!$N$57))&gt;Setup!$P$57,IF(Setup!$M$57&gt;0,Setup!$G$57+(Setup!$O$57+O$1)*Setup!$M$57,EDATE(Setup!$G$57,(Setup!$O$57+O$1)*Setup!$N$57))&lt;Setup!$D$5),"",IF(Setup!$M$57&gt;0,Setup!$G$57+(Setup!$O$57+O$1)*Setup!$M$57,EDATE(Setup!$G$57,(Setup!$O$57+O$1)*Setup!$N$57))+$A34/1000)))</f>
        <v/>
      </c>
      <c r="P34">
        <f>IF(OR(Setup!$E$57="",Setup!$G$57="",Setup!$F$57=""),"",IF(AND(Setup!$F$57="Once",P$1&gt;0),"",IF(OR(IF(Setup!$M$57&gt;0,Setup!$G$57+(Setup!$O$57+P$1)*Setup!$M$57,EDATE(Setup!$G$57,(Setup!$O$57+P$1)*Setup!$N$57))&gt;Setup!$P$57,IF(Setup!$M$57&gt;0,Setup!$G$57+(Setup!$O$57+P$1)*Setup!$M$57,EDATE(Setup!$G$57,(Setup!$O$57+P$1)*Setup!$N$57))&lt;Setup!$D$5),"",IF(Setup!$M$57&gt;0,Setup!$G$57+(Setup!$O$57+P$1)*Setup!$M$57,EDATE(Setup!$G$57,(Setup!$O$57+P$1)*Setup!$N$57))+$A34/1000)))</f>
        <v/>
      </c>
      <c r="Q34">
        <f>IF(OR(Setup!$E$57="",Setup!$G$57="",Setup!$F$57=""),"",IF(AND(Setup!$F$57="Once",Q$1&gt;0),"",IF(OR(IF(Setup!$M$57&gt;0,Setup!$G$57+(Setup!$O$57+Q$1)*Setup!$M$57,EDATE(Setup!$G$57,(Setup!$O$57+Q$1)*Setup!$N$57))&gt;Setup!$P$57,IF(Setup!$M$57&gt;0,Setup!$G$57+(Setup!$O$57+Q$1)*Setup!$M$57,EDATE(Setup!$G$57,(Setup!$O$57+Q$1)*Setup!$N$57))&lt;Setup!$D$5),"",IF(Setup!$M$57&gt;0,Setup!$G$57+(Setup!$O$57+Q$1)*Setup!$M$57,EDATE(Setup!$G$57,(Setup!$O$57+Q$1)*Setup!$N$57))+$A34/1000)))</f>
        <v/>
      </c>
      <c r="R34">
        <f>IF(OR(Setup!$E$57="",Setup!$G$57="",Setup!$F$57=""),"",IF(AND(Setup!$F$57="Once",R$1&gt;0),"",IF(OR(IF(Setup!$M$57&gt;0,Setup!$G$57+(Setup!$O$57+R$1)*Setup!$M$57,EDATE(Setup!$G$57,(Setup!$O$57+R$1)*Setup!$N$57))&gt;Setup!$P$57,IF(Setup!$M$57&gt;0,Setup!$G$57+(Setup!$O$57+R$1)*Setup!$M$57,EDATE(Setup!$G$57,(Setup!$O$57+R$1)*Setup!$N$57))&lt;Setup!$D$5),"",IF(Setup!$M$57&gt;0,Setup!$G$57+(Setup!$O$57+R$1)*Setup!$M$57,EDATE(Setup!$G$57,(Setup!$O$57+R$1)*Setup!$N$57))+$A34/1000)))</f>
        <v/>
      </c>
      <c r="S34">
        <f>IF(OR(Setup!$E$57="",Setup!$G$57="",Setup!$F$57=""),"",IF(AND(Setup!$F$57="Once",S$1&gt;0),"",IF(OR(IF(Setup!$M$57&gt;0,Setup!$G$57+(Setup!$O$57+S$1)*Setup!$M$57,EDATE(Setup!$G$57,(Setup!$O$57+S$1)*Setup!$N$57))&gt;Setup!$P$57,IF(Setup!$M$57&gt;0,Setup!$G$57+(Setup!$O$57+S$1)*Setup!$M$57,EDATE(Setup!$G$57,(Setup!$O$57+S$1)*Setup!$N$57))&lt;Setup!$D$5),"",IF(Setup!$M$57&gt;0,Setup!$G$57+(Setup!$O$57+S$1)*Setup!$M$57,EDATE(Setup!$G$57,(Setup!$O$57+S$1)*Setup!$N$57))+$A34/1000)))</f>
        <v/>
      </c>
      <c r="T34">
        <f>IF(OR(Setup!$E$57="",Setup!$G$57="",Setup!$F$57=""),"",IF(AND(Setup!$F$57="Once",T$1&gt;0),"",IF(OR(IF(Setup!$M$57&gt;0,Setup!$G$57+(Setup!$O$57+T$1)*Setup!$M$57,EDATE(Setup!$G$57,(Setup!$O$57+T$1)*Setup!$N$57))&gt;Setup!$P$57,IF(Setup!$M$57&gt;0,Setup!$G$57+(Setup!$O$57+T$1)*Setup!$M$57,EDATE(Setup!$G$57,(Setup!$O$57+T$1)*Setup!$N$57))&lt;Setup!$D$5),"",IF(Setup!$M$57&gt;0,Setup!$G$57+(Setup!$O$57+T$1)*Setup!$M$57,EDATE(Setup!$G$57,(Setup!$O$57+T$1)*Setup!$N$57))+$A34/1000)))</f>
        <v/>
      </c>
      <c r="U34">
        <f>IF(OR(Setup!$E$57="",Setup!$G$57="",Setup!$F$57=""),"",IF(AND(Setup!$F$57="Once",U$1&gt;0),"",IF(OR(IF(Setup!$M$57&gt;0,Setup!$G$57+(Setup!$O$57+U$1)*Setup!$M$57,EDATE(Setup!$G$57,(Setup!$O$57+U$1)*Setup!$N$57))&gt;Setup!$P$57,IF(Setup!$M$57&gt;0,Setup!$G$57+(Setup!$O$57+U$1)*Setup!$M$57,EDATE(Setup!$G$57,(Setup!$O$57+U$1)*Setup!$N$57))&lt;Setup!$D$5),"",IF(Setup!$M$57&gt;0,Setup!$G$57+(Setup!$O$57+U$1)*Setup!$M$57,EDATE(Setup!$G$57,(Setup!$O$57+U$1)*Setup!$N$57))+$A34/1000)))</f>
        <v/>
      </c>
      <c r="V34">
        <f>IF(OR(Setup!$E$57="",Setup!$G$57="",Setup!$F$57=""),"",IF(AND(Setup!$F$57="Once",V$1&gt;0),"",IF(OR(IF(Setup!$M$57&gt;0,Setup!$G$57+(Setup!$O$57+V$1)*Setup!$M$57,EDATE(Setup!$G$57,(Setup!$O$57+V$1)*Setup!$N$57))&gt;Setup!$P$57,IF(Setup!$M$57&gt;0,Setup!$G$57+(Setup!$O$57+V$1)*Setup!$M$57,EDATE(Setup!$G$57,(Setup!$O$57+V$1)*Setup!$N$57))&lt;Setup!$D$5),"",IF(Setup!$M$57&gt;0,Setup!$G$57+(Setup!$O$57+V$1)*Setup!$M$57,EDATE(Setup!$G$57,(Setup!$O$57+V$1)*Setup!$N$57))+$A34/1000)))</f>
        <v/>
      </c>
      <c r="W34">
        <f>IF(OR(Setup!$E$57="",Setup!$G$57="",Setup!$F$57=""),"",IF(AND(Setup!$F$57="Once",W$1&gt;0),"",IF(OR(IF(Setup!$M$57&gt;0,Setup!$G$57+(Setup!$O$57+W$1)*Setup!$M$57,EDATE(Setup!$G$57,(Setup!$O$57+W$1)*Setup!$N$57))&gt;Setup!$P$57,IF(Setup!$M$57&gt;0,Setup!$G$57+(Setup!$O$57+W$1)*Setup!$M$57,EDATE(Setup!$G$57,(Setup!$O$57+W$1)*Setup!$N$57))&lt;Setup!$D$5),"",IF(Setup!$M$57&gt;0,Setup!$G$57+(Setup!$O$57+W$1)*Setup!$M$57,EDATE(Setup!$G$57,(Setup!$O$57+W$1)*Setup!$N$57))+$A34/1000)))</f>
        <v/>
      </c>
      <c r="X34">
        <f>IF(OR(Setup!$E$57="",Setup!$G$57="",Setup!$F$57=""),"",IF(AND(Setup!$F$57="Once",X$1&gt;0),"",IF(OR(IF(Setup!$M$57&gt;0,Setup!$G$57+(Setup!$O$57+X$1)*Setup!$M$57,EDATE(Setup!$G$57,(Setup!$O$57+X$1)*Setup!$N$57))&gt;Setup!$P$57,IF(Setup!$M$57&gt;0,Setup!$G$57+(Setup!$O$57+X$1)*Setup!$M$57,EDATE(Setup!$G$57,(Setup!$O$57+X$1)*Setup!$N$57))&lt;Setup!$D$5),"",IF(Setup!$M$57&gt;0,Setup!$G$57+(Setup!$O$57+X$1)*Setup!$M$57,EDATE(Setup!$G$57,(Setup!$O$57+X$1)*Setup!$N$57))+$A34/1000)))</f>
        <v/>
      </c>
      <c r="Y34">
        <f>IF(OR(Setup!$E$57="",Setup!$G$57="",Setup!$F$57=""),"",IF(AND(Setup!$F$57="Once",Y$1&gt;0),"",IF(OR(IF(Setup!$M$57&gt;0,Setup!$G$57+(Setup!$O$57+Y$1)*Setup!$M$57,EDATE(Setup!$G$57,(Setup!$O$57+Y$1)*Setup!$N$57))&gt;Setup!$P$57,IF(Setup!$M$57&gt;0,Setup!$G$57+(Setup!$O$57+Y$1)*Setup!$M$57,EDATE(Setup!$G$57,(Setup!$O$57+Y$1)*Setup!$N$57))&lt;Setup!$D$5),"",IF(Setup!$M$57&gt;0,Setup!$G$57+(Setup!$O$57+Y$1)*Setup!$M$57,EDATE(Setup!$G$57,(Setup!$O$57+Y$1)*Setup!$N$57))+$A34/1000)))</f>
        <v/>
      </c>
      <c r="Z34">
        <f>IF(OR(Setup!$E$57="",Setup!$G$57="",Setup!$F$57=""),"",IF(AND(Setup!$F$57="Once",Z$1&gt;0),"",IF(OR(IF(Setup!$M$57&gt;0,Setup!$G$57+(Setup!$O$57+Z$1)*Setup!$M$57,EDATE(Setup!$G$57,(Setup!$O$57+Z$1)*Setup!$N$57))&gt;Setup!$P$57,IF(Setup!$M$57&gt;0,Setup!$G$57+(Setup!$O$57+Z$1)*Setup!$M$57,EDATE(Setup!$G$57,(Setup!$O$57+Z$1)*Setup!$N$57))&lt;Setup!$D$5),"",IF(Setup!$M$57&gt;0,Setup!$G$57+(Setup!$O$57+Z$1)*Setup!$M$57,EDATE(Setup!$G$57,(Setup!$O$57+Z$1)*Setup!$N$57))+$A34/1000)))</f>
        <v/>
      </c>
      <c r="AA34">
        <f>IF(OR(Setup!$E$57="",Setup!$G$57="",Setup!$F$57=""),"",IF(AND(Setup!$F$57="Once",AA$1&gt;0),"",IF(OR(IF(Setup!$M$57&gt;0,Setup!$G$57+(Setup!$O$57+AA$1)*Setup!$M$57,EDATE(Setup!$G$57,(Setup!$O$57+AA$1)*Setup!$N$57))&gt;Setup!$P$57,IF(Setup!$M$57&gt;0,Setup!$G$57+(Setup!$O$57+AA$1)*Setup!$M$57,EDATE(Setup!$G$57,(Setup!$O$57+AA$1)*Setup!$N$57))&lt;Setup!$D$5),"",IF(Setup!$M$57&gt;0,Setup!$G$57+(Setup!$O$57+AA$1)*Setup!$M$57,EDATE(Setup!$G$57,(Setup!$O$57+AA$1)*Setup!$N$57))+$A34/1000)))</f>
        <v/>
      </c>
      <c r="AB34">
        <f>IF(OR(Setup!$E$57="",Setup!$G$57="",Setup!$F$57=""),"",IF(AND(Setup!$F$57="Once",AB$1&gt;0),"",IF(OR(IF(Setup!$M$57&gt;0,Setup!$G$57+(Setup!$O$57+AB$1)*Setup!$M$57,EDATE(Setup!$G$57,(Setup!$O$57+AB$1)*Setup!$N$57))&gt;Setup!$P$57,IF(Setup!$M$57&gt;0,Setup!$G$57+(Setup!$O$57+AB$1)*Setup!$M$57,EDATE(Setup!$G$57,(Setup!$O$57+AB$1)*Setup!$N$57))&lt;Setup!$D$5),"",IF(Setup!$M$57&gt;0,Setup!$G$57+(Setup!$O$57+AB$1)*Setup!$M$57,EDATE(Setup!$G$57,(Setup!$O$57+AB$1)*Setup!$N$57))+$A34/1000)))</f>
        <v/>
      </c>
      <c r="AC34">
        <f>IF(OR(Setup!$E$57="",Setup!$G$57="",Setup!$F$57=""),"",IF(AND(Setup!$F$57="Once",AC$1&gt;0),"",IF(OR(IF(Setup!$M$57&gt;0,Setup!$G$57+(Setup!$O$57+AC$1)*Setup!$M$57,EDATE(Setup!$G$57,(Setup!$O$57+AC$1)*Setup!$N$57))&gt;Setup!$P$57,IF(Setup!$M$57&gt;0,Setup!$G$57+(Setup!$O$57+AC$1)*Setup!$M$57,EDATE(Setup!$G$57,(Setup!$O$57+AC$1)*Setup!$N$57))&lt;Setup!$D$5),"",IF(Setup!$M$57&gt;0,Setup!$G$57+(Setup!$O$57+AC$1)*Setup!$M$57,EDATE(Setup!$G$57,(Setup!$O$57+AC$1)*Setup!$N$57))+$A34/1000)))</f>
        <v/>
      </c>
      <c r="AD34">
        <f>IF(OR(Setup!$E$57="",Setup!$G$57="",Setup!$F$57=""),"",IF(AND(Setup!$F$57="Once",AD$1&gt;0),"",IF(OR(IF(Setup!$M$57&gt;0,Setup!$G$57+(Setup!$O$57+AD$1)*Setup!$M$57,EDATE(Setup!$G$57,(Setup!$O$57+AD$1)*Setup!$N$57))&gt;Setup!$P$57,IF(Setup!$M$57&gt;0,Setup!$G$57+(Setup!$O$57+AD$1)*Setup!$M$57,EDATE(Setup!$G$57,(Setup!$O$57+AD$1)*Setup!$N$57))&lt;Setup!$D$5),"",IF(Setup!$M$57&gt;0,Setup!$G$57+(Setup!$O$57+AD$1)*Setup!$M$57,EDATE(Setup!$G$57,(Setup!$O$57+AD$1)*Setup!$N$57))+$A34/1000)))</f>
        <v/>
      </c>
      <c r="AE34">
        <f>IF(OR(Setup!$E$57="",Setup!$G$57="",Setup!$F$57=""),"",IF(AND(Setup!$F$57="Once",AE$1&gt;0),"",IF(OR(IF(Setup!$M$57&gt;0,Setup!$G$57+(Setup!$O$57+AE$1)*Setup!$M$57,EDATE(Setup!$G$57,(Setup!$O$57+AE$1)*Setup!$N$57))&gt;Setup!$P$57,IF(Setup!$M$57&gt;0,Setup!$G$57+(Setup!$O$57+AE$1)*Setup!$M$57,EDATE(Setup!$G$57,(Setup!$O$57+AE$1)*Setup!$N$57))&lt;Setup!$D$5),"",IF(Setup!$M$57&gt;0,Setup!$G$57+(Setup!$O$57+AE$1)*Setup!$M$57,EDATE(Setup!$G$57,(Setup!$O$57+AE$1)*Setup!$N$57))+$A34/1000)))</f>
        <v/>
      </c>
      <c r="AF34">
        <f>IF(OR(Setup!$E$57="",Setup!$G$57="",Setup!$F$57=""),"",IF(AND(Setup!$F$57="Once",AF$1&gt;0),"",IF(OR(IF(Setup!$M$57&gt;0,Setup!$G$57+(Setup!$O$57+AF$1)*Setup!$M$57,EDATE(Setup!$G$57,(Setup!$O$57+AF$1)*Setup!$N$57))&gt;Setup!$P$57,IF(Setup!$M$57&gt;0,Setup!$G$57+(Setup!$O$57+AF$1)*Setup!$M$57,EDATE(Setup!$G$57,(Setup!$O$57+AF$1)*Setup!$N$57))&lt;Setup!$D$5),"",IF(Setup!$M$57&gt;0,Setup!$G$57+(Setup!$O$57+AF$1)*Setup!$M$57,EDATE(Setup!$G$57,(Setup!$O$57+AF$1)*Setup!$N$57))+$A34/1000)))</f>
        <v/>
      </c>
      <c r="AG34">
        <f>IF(OR(Setup!$E$57="",Setup!$G$57="",Setup!$F$57=""),"",IF(AND(Setup!$F$57="Once",AG$1&gt;0),"",IF(OR(IF(Setup!$M$57&gt;0,Setup!$G$57+(Setup!$O$57+AG$1)*Setup!$M$57,EDATE(Setup!$G$57,(Setup!$O$57+AG$1)*Setup!$N$57))&gt;Setup!$P$57,IF(Setup!$M$57&gt;0,Setup!$G$57+(Setup!$O$57+AG$1)*Setup!$M$57,EDATE(Setup!$G$57,(Setup!$O$57+AG$1)*Setup!$N$57))&lt;Setup!$D$5),"",IF(Setup!$M$57&gt;0,Setup!$G$57+(Setup!$O$57+AG$1)*Setup!$M$57,EDATE(Setup!$G$57,(Setup!$O$57+AG$1)*Setup!$N$57))+$A34/1000)))</f>
        <v/>
      </c>
      <c r="AH34">
        <f>IF(OR(Setup!$E$57="",Setup!$G$57="",Setup!$F$57=""),"",IF(AND(Setup!$F$57="Once",AH$1&gt;0),"",IF(OR(IF(Setup!$M$57&gt;0,Setup!$G$57+(Setup!$O$57+AH$1)*Setup!$M$57,EDATE(Setup!$G$57,(Setup!$O$57+AH$1)*Setup!$N$57))&gt;Setup!$P$57,IF(Setup!$M$57&gt;0,Setup!$G$57+(Setup!$O$57+AH$1)*Setup!$M$57,EDATE(Setup!$G$57,(Setup!$O$57+AH$1)*Setup!$N$57))&lt;Setup!$D$5),"",IF(Setup!$M$57&gt;0,Setup!$G$57+(Setup!$O$57+AH$1)*Setup!$M$57,EDATE(Setup!$G$57,(Setup!$O$57+AH$1)*Setup!$N$57))+$A34/1000)))</f>
        <v/>
      </c>
      <c r="AI34">
        <f>IF(OR(Setup!$E$57="",Setup!$G$57="",Setup!$F$57=""),"",IF(AND(Setup!$F$57="Once",AI$1&gt;0),"",IF(OR(IF(Setup!$M$57&gt;0,Setup!$G$57+(Setup!$O$57+AI$1)*Setup!$M$57,EDATE(Setup!$G$57,(Setup!$O$57+AI$1)*Setup!$N$57))&gt;Setup!$P$57,IF(Setup!$M$57&gt;0,Setup!$G$57+(Setup!$O$57+AI$1)*Setup!$M$57,EDATE(Setup!$G$57,(Setup!$O$57+AI$1)*Setup!$N$57))&lt;Setup!$D$5),"",IF(Setup!$M$57&gt;0,Setup!$G$57+(Setup!$O$57+AI$1)*Setup!$M$57,EDATE(Setup!$G$57,(Setup!$O$57+AI$1)*Setup!$N$57))+$A34/1000)))</f>
        <v/>
      </c>
      <c r="AJ34">
        <f>IF(OR(Setup!$E$57="",Setup!$G$57="",Setup!$F$57=""),"",IF(AND(Setup!$F$57="Once",AJ$1&gt;0),"",IF(OR(IF(Setup!$M$57&gt;0,Setup!$G$57+(Setup!$O$57+AJ$1)*Setup!$M$57,EDATE(Setup!$G$57,(Setup!$O$57+AJ$1)*Setup!$N$57))&gt;Setup!$P$57,IF(Setup!$M$57&gt;0,Setup!$G$57+(Setup!$O$57+AJ$1)*Setup!$M$57,EDATE(Setup!$G$57,(Setup!$O$57+AJ$1)*Setup!$N$57))&lt;Setup!$D$5),"",IF(Setup!$M$57&gt;0,Setup!$G$57+(Setup!$O$57+AJ$1)*Setup!$M$57,EDATE(Setup!$G$57,(Setup!$O$57+AJ$1)*Setup!$N$57))+$A34/1000)))</f>
        <v/>
      </c>
      <c r="AK34">
        <f>IF(OR(Setup!$E$57="",Setup!$G$57="",Setup!$F$57=""),"",IF(AND(Setup!$F$57="Once",AK$1&gt;0),"",IF(OR(IF(Setup!$M$57&gt;0,Setup!$G$57+(Setup!$O$57+AK$1)*Setup!$M$57,EDATE(Setup!$G$57,(Setup!$O$57+AK$1)*Setup!$N$57))&gt;Setup!$P$57,IF(Setup!$M$57&gt;0,Setup!$G$57+(Setup!$O$57+AK$1)*Setup!$M$57,EDATE(Setup!$G$57,(Setup!$O$57+AK$1)*Setup!$N$57))&lt;Setup!$D$5),"",IF(Setup!$M$57&gt;0,Setup!$G$57+(Setup!$O$57+AK$1)*Setup!$M$57,EDATE(Setup!$G$57,(Setup!$O$57+AK$1)*Setup!$N$57))+$A34/1000)))</f>
        <v/>
      </c>
      <c r="AL34">
        <f>IF(OR(Setup!$E$57="",Setup!$G$57="",Setup!$F$57=""),"",IF(AND(Setup!$F$57="Once",AL$1&gt;0),"",IF(OR(IF(Setup!$M$57&gt;0,Setup!$G$57+(Setup!$O$57+AL$1)*Setup!$M$57,EDATE(Setup!$G$57,(Setup!$O$57+AL$1)*Setup!$N$57))&gt;Setup!$P$57,IF(Setup!$M$57&gt;0,Setup!$G$57+(Setup!$O$57+AL$1)*Setup!$M$57,EDATE(Setup!$G$57,(Setup!$O$57+AL$1)*Setup!$N$57))&lt;Setup!$D$5),"",IF(Setup!$M$57&gt;0,Setup!$G$57+(Setup!$O$57+AL$1)*Setup!$M$57,EDATE(Setup!$G$57,(Setup!$O$57+AL$1)*Setup!$N$57))+$A34/1000)))</f>
        <v/>
      </c>
      <c r="AM34">
        <f>IF(OR(Setup!$E$57="",Setup!$G$57="",Setup!$F$57=""),"",IF(AND(Setup!$F$57="Once",AM$1&gt;0),"",IF(OR(IF(Setup!$M$57&gt;0,Setup!$G$57+(Setup!$O$57+AM$1)*Setup!$M$57,EDATE(Setup!$G$57,(Setup!$O$57+AM$1)*Setup!$N$57))&gt;Setup!$P$57,IF(Setup!$M$57&gt;0,Setup!$G$57+(Setup!$O$57+AM$1)*Setup!$M$57,EDATE(Setup!$G$57,(Setup!$O$57+AM$1)*Setup!$N$57))&lt;Setup!$D$5),"",IF(Setup!$M$57&gt;0,Setup!$G$57+(Setup!$O$57+AM$1)*Setup!$M$57,EDATE(Setup!$G$57,(Setup!$O$57+AM$1)*Setup!$N$57))+$A34/1000)))</f>
        <v/>
      </c>
      <c r="AN34">
        <f>IF(OR(Setup!$E$57="",Setup!$G$57="",Setup!$F$57=""),"",IF(AND(Setup!$F$57="Once",AN$1&gt;0),"",IF(OR(IF(Setup!$M$57&gt;0,Setup!$G$57+(Setup!$O$57+AN$1)*Setup!$M$57,EDATE(Setup!$G$57,(Setup!$O$57+AN$1)*Setup!$N$57))&gt;Setup!$P$57,IF(Setup!$M$57&gt;0,Setup!$G$57+(Setup!$O$57+AN$1)*Setup!$M$57,EDATE(Setup!$G$57,(Setup!$O$57+AN$1)*Setup!$N$57))&lt;Setup!$D$5),"",IF(Setup!$M$57&gt;0,Setup!$G$57+(Setup!$O$57+AN$1)*Setup!$M$57,EDATE(Setup!$G$57,(Setup!$O$57+AN$1)*Setup!$N$57))+$A34/1000)))</f>
        <v/>
      </c>
      <c r="AO34">
        <f>IF(OR(Setup!$E$57="",Setup!$G$57="",Setup!$F$57=""),"",IF(AND(Setup!$F$57="Once",AO$1&gt;0),"",IF(OR(IF(Setup!$M$57&gt;0,Setup!$G$57+(Setup!$O$57+AO$1)*Setup!$M$57,EDATE(Setup!$G$57,(Setup!$O$57+AO$1)*Setup!$N$57))&gt;Setup!$P$57,IF(Setup!$M$57&gt;0,Setup!$G$57+(Setup!$O$57+AO$1)*Setup!$M$57,EDATE(Setup!$G$57,(Setup!$O$57+AO$1)*Setup!$N$57))&lt;Setup!$D$5),"",IF(Setup!$M$57&gt;0,Setup!$G$57+(Setup!$O$57+AO$1)*Setup!$M$57,EDATE(Setup!$G$57,(Setup!$O$57+AO$1)*Setup!$N$57))+$A34/1000)))</f>
        <v/>
      </c>
      <c r="AP34">
        <f>IF(OR(Setup!$E$57="",Setup!$G$57="",Setup!$F$57=""),"",IF(AND(Setup!$F$57="Once",AP$1&gt;0),"",IF(OR(IF(Setup!$M$57&gt;0,Setup!$G$57+(Setup!$O$57+AP$1)*Setup!$M$57,EDATE(Setup!$G$57,(Setup!$O$57+AP$1)*Setup!$N$57))&gt;Setup!$P$57,IF(Setup!$M$57&gt;0,Setup!$G$57+(Setup!$O$57+AP$1)*Setup!$M$57,EDATE(Setup!$G$57,(Setup!$O$57+AP$1)*Setup!$N$57))&lt;Setup!$D$5),"",IF(Setup!$M$57&gt;0,Setup!$G$57+(Setup!$O$57+AP$1)*Setup!$M$57,EDATE(Setup!$G$57,(Setup!$O$57+AP$1)*Setup!$N$57))+$A34/1000)))</f>
        <v/>
      </c>
      <c r="AQ34">
        <f>IF(OR(Setup!$E$57="",Setup!$G$57="",Setup!$F$57=""),"",IF(AND(Setup!$F$57="Once",AQ$1&gt;0),"",IF(OR(IF(Setup!$M$57&gt;0,Setup!$G$57+(Setup!$O$57+AQ$1)*Setup!$M$57,EDATE(Setup!$G$57,(Setup!$O$57+AQ$1)*Setup!$N$57))&gt;Setup!$P$57,IF(Setup!$M$57&gt;0,Setup!$G$57+(Setup!$O$57+AQ$1)*Setup!$M$57,EDATE(Setup!$G$57,(Setup!$O$57+AQ$1)*Setup!$N$57))&lt;Setup!$D$5),"",IF(Setup!$M$57&gt;0,Setup!$G$57+(Setup!$O$57+AQ$1)*Setup!$M$57,EDATE(Setup!$G$57,(Setup!$O$57+AQ$1)*Setup!$N$57))+$A34/1000)))</f>
        <v/>
      </c>
      <c r="AR34">
        <f>IF(OR(Setup!$E$57="",Setup!$G$57="",Setup!$F$57=""),"",IF(AND(Setup!$F$57="Once",AR$1&gt;0),"",IF(OR(IF(Setup!$M$57&gt;0,Setup!$G$57+(Setup!$O$57+AR$1)*Setup!$M$57,EDATE(Setup!$G$57,(Setup!$O$57+AR$1)*Setup!$N$57))&gt;Setup!$P$57,IF(Setup!$M$57&gt;0,Setup!$G$57+(Setup!$O$57+AR$1)*Setup!$M$57,EDATE(Setup!$G$57,(Setup!$O$57+AR$1)*Setup!$N$57))&lt;Setup!$D$5),"",IF(Setup!$M$57&gt;0,Setup!$G$57+(Setup!$O$57+AR$1)*Setup!$M$57,EDATE(Setup!$G$57,(Setup!$O$57+AR$1)*Setup!$N$57))+$A34/1000)))</f>
        <v/>
      </c>
      <c r="AS34">
        <f>IF(OR(Setup!$E$57="",Setup!$G$57="",Setup!$F$57=""),"",IF(AND(Setup!$F$57="Once",AS$1&gt;0),"",IF(OR(IF(Setup!$M$57&gt;0,Setup!$G$57+(Setup!$O$57+AS$1)*Setup!$M$57,EDATE(Setup!$G$57,(Setup!$O$57+AS$1)*Setup!$N$57))&gt;Setup!$P$57,IF(Setup!$M$57&gt;0,Setup!$G$57+(Setup!$O$57+AS$1)*Setup!$M$57,EDATE(Setup!$G$57,(Setup!$O$57+AS$1)*Setup!$N$57))&lt;Setup!$D$5),"",IF(Setup!$M$57&gt;0,Setup!$G$57+(Setup!$O$57+AS$1)*Setup!$M$57,EDATE(Setup!$G$57,(Setup!$O$57+AS$1)*Setup!$N$57))+$A34/1000)))</f>
        <v/>
      </c>
      <c r="AT34">
        <f>IF(OR(Setup!$E$57="",Setup!$G$57="",Setup!$F$57=""),"",IF(AND(Setup!$F$57="Once",AT$1&gt;0),"",IF(OR(IF(Setup!$M$57&gt;0,Setup!$G$57+(Setup!$O$57+AT$1)*Setup!$M$57,EDATE(Setup!$G$57,(Setup!$O$57+AT$1)*Setup!$N$57))&gt;Setup!$P$57,IF(Setup!$M$57&gt;0,Setup!$G$57+(Setup!$O$57+AT$1)*Setup!$M$57,EDATE(Setup!$G$57,(Setup!$O$57+AT$1)*Setup!$N$57))&lt;Setup!$D$5),"",IF(Setup!$M$57&gt;0,Setup!$G$57+(Setup!$O$57+AT$1)*Setup!$M$57,EDATE(Setup!$G$57,(Setup!$O$57+AT$1)*Setup!$N$57))+$A34/1000)))</f>
        <v/>
      </c>
      <c r="AU34">
        <f>IF(OR(Setup!$E$57="",Setup!$G$57="",Setup!$F$57=""),"",IF(AND(Setup!$F$57="Once",AU$1&gt;0),"",IF(OR(IF(Setup!$M$57&gt;0,Setup!$G$57+(Setup!$O$57+AU$1)*Setup!$M$57,EDATE(Setup!$G$57,(Setup!$O$57+AU$1)*Setup!$N$57))&gt;Setup!$P$57,IF(Setup!$M$57&gt;0,Setup!$G$57+(Setup!$O$57+AU$1)*Setup!$M$57,EDATE(Setup!$G$57,(Setup!$O$57+AU$1)*Setup!$N$57))&lt;Setup!$D$5),"",IF(Setup!$M$57&gt;0,Setup!$G$57+(Setup!$O$57+AU$1)*Setup!$M$57,EDATE(Setup!$G$57,(Setup!$O$57+AU$1)*Setup!$N$57))+$A34/1000)))</f>
        <v/>
      </c>
      <c r="AV34">
        <f>IF(OR(Setup!$E$57="",Setup!$G$57="",Setup!$F$57=""),"",IF(AND(Setup!$F$57="Once",AV$1&gt;0),"",IF(OR(IF(Setup!$M$57&gt;0,Setup!$G$57+(Setup!$O$57+AV$1)*Setup!$M$57,EDATE(Setup!$G$57,(Setup!$O$57+AV$1)*Setup!$N$57))&gt;Setup!$P$57,IF(Setup!$M$57&gt;0,Setup!$G$57+(Setup!$O$57+AV$1)*Setup!$M$57,EDATE(Setup!$G$57,(Setup!$O$57+AV$1)*Setup!$N$57))&lt;Setup!$D$5),"",IF(Setup!$M$57&gt;0,Setup!$G$57+(Setup!$O$57+AV$1)*Setup!$M$57,EDATE(Setup!$G$57,(Setup!$O$57+AV$1)*Setup!$N$57))+$A34/1000)))</f>
        <v/>
      </c>
      <c r="AW34">
        <f>IF(OR(Setup!$E$57="",Setup!$G$57="",Setup!$F$57=""),"",IF(AND(Setup!$F$57="Once",AW$1&gt;0),"",IF(OR(IF(Setup!$M$57&gt;0,Setup!$G$57+(Setup!$O$57+AW$1)*Setup!$M$57,EDATE(Setup!$G$57,(Setup!$O$57+AW$1)*Setup!$N$57))&gt;Setup!$P$57,IF(Setup!$M$57&gt;0,Setup!$G$57+(Setup!$O$57+AW$1)*Setup!$M$57,EDATE(Setup!$G$57,(Setup!$O$57+AW$1)*Setup!$N$57))&lt;Setup!$D$5),"",IF(Setup!$M$57&gt;0,Setup!$G$57+(Setup!$O$57+AW$1)*Setup!$M$57,EDATE(Setup!$G$57,(Setup!$O$57+AW$1)*Setup!$N$57))+$A34/1000)))</f>
        <v/>
      </c>
      <c r="AX34">
        <f>IF(OR(Setup!$E$57="",Setup!$G$57="",Setup!$F$57=""),"",IF(AND(Setup!$F$57="Once",AX$1&gt;0),"",IF(OR(IF(Setup!$M$57&gt;0,Setup!$G$57+(Setup!$O$57+AX$1)*Setup!$M$57,EDATE(Setup!$G$57,(Setup!$O$57+AX$1)*Setup!$N$57))&gt;Setup!$P$57,IF(Setup!$M$57&gt;0,Setup!$G$57+(Setup!$O$57+AX$1)*Setup!$M$57,EDATE(Setup!$G$57,(Setup!$O$57+AX$1)*Setup!$N$57))&lt;Setup!$D$5),"",IF(Setup!$M$57&gt;0,Setup!$G$57+(Setup!$O$57+AX$1)*Setup!$M$57,EDATE(Setup!$G$57,(Setup!$O$57+AX$1)*Setup!$N$57))+$A34/1000)))</f>
        <v/>
      </c>
      <c r="AY34">
        <f>IF(OR(Setup!$E$57="",Setup!$G$57="",Setup!$F$57=""),"",IF(AND(Setup!$F$57="Once",AY$1&gt;0),"",IF(OR(IF(Setup!$M$57&gt;0,Setup!$G$57+(Setup!$O$57+AY$1)*Setup!$M$57,EDATE(Setup!$G$57,(Setup!$O$57+AY$1)*Setup!$N$57))&gt;Setup!$P$57,IF(Setup!$M$57&gt;0,Setup!$G$57+(Setup!$O$57+AY$1)*Setup!$M$57,EDATE(Setup!$G$57,(Setup!$O$57+AY$1)*Setup!$N$57))&lt;Setup!$D$5),"",IF(Setup!$M$57&gt;0,Setup!$G$57+(Setup!$O$57+AY$1)*Setup!$M$57,EDATE(Setup!$G$57,(Setup!$O$57+AY$1)*Setup!$N$57))+$A34/1000)))</f>
        <v/>
      </c>
      <c r="AZ34">
        <f>IF(OR(Setup!$E$57="",Setup!$G$57="",Setup!$F$57=""),"",IF(AND(Setup!$F$57="Once",AZ$1&gt;0),"",IF(OR(IF(Setup!$M$57&gt;0,Setup!$G$57+(Setup!$O$57+AZ$1)*Setup!$M$57,EDATE(Setup!$G$57,(Setup!$O$57+AZ$1)*Setup!$N$57))&gt;Setup!$P$57,IF(Setup!$M$57&gt;0,Setup!$G$57+(Setup!$O$57+AZ$1)*Setup!$M$57,EDATE(Setup!$G$57,(Setup!$O$57+AZ$1)*Setup!$N$57))&lt;Setup!$D$5),"",IF(Setup!$M$57&gt;0,Setup!$G$57+(Setup!$O$57+AZ$1)*Setup!$M$57,EDATE(Setup!$G$57,(Setup!$O$57+AZ$1)*Setup!$N$57))+$A34/1000)))</f>
        <v/>
      </c>
      <c r="BA34">
        <f>IF(OR(Setup!$E$57="",Setup!$G$57="",Setup!$F$57=""),"",IF(AND(Setup!$F$57="Once",BA$1&gt;0),"",IF(OR(IF(Setup!$M$57&gt;0,Setup!$G$57+(Setup!$O$57+BA$1)*Setup!$M$57,EDATE(Setup!$G$57,(Setup!$O$57+BA$1)*Setup!$N$57))&gt;Setup!$P$57,IF(Setup!$M$57&gt;0,Setup!$G$57+(Setup!$O$57+BA$1)*Setup!$M$57,EDATE(Setup!$G$57,(Setup!$O$57+BA$1)*Setup!$N$57))&lt;Setup!$D$5),"",IF(Setup!$M$57&gt;0,Setup!$G$57+(Setup!$O$57+BA$1)*Setup!$M$57,EDATE(Setup!$G$57,(Setup!$O$57+BA$1)*Setup!$N$57))+$A34/1000)))</f>
        <v/>
      </c>
      <c r="BB34">
        <f>IF(OR(Setup!$E$57="",Setup!$G$57="",Setup!$F$57=""),"",IF(AND(Setup!$F$57="Once",BB$1&gt;0),"",IF(OR(IF(Setup!$M$57&gt;0,Setup!$G$57+(Setup!$O$57+BB$1)*Setup!$M$57,EDATE(Setup!$G$57,(Setup!$O$57+BB$1)*Setup!$N$57))&gt;Setup!$P$57,IF(Setup!$M$57&gt;0,Setup!$G$57+(Setup!$O$57+BB$1)*Setup!$M$57,EDATE(Setup!$G$57,(Setup!$O$57+BB$1)*Setup!$N$57))&lt;Setup!$D$5),"",IF(Setup!$M$57&gt;0,Setup!$G$57+(Setup!$O$57+BB$1)*Setup!$M$57,EDATE(Setup!$G$57,(Setup!$O$57+BB$1)*Setup!$N$57))+$A34/1000)))</f>
        <v/>
      </c>
    </row>
    <row r="35">
      <c r="A35" t="n">
        <v>34</v>
      </c>
      <c r="B35">
        <f>IF(OR(Setup!$E$58="",Setup!$G$58="",Setup!$F$58=""),"",IF(AND(Setup!$F$58="Once",B$1&gt;0),"",IF(OR(IF(Setup!$M$58&gt;0,Setup!$G$58+(Setup!$O$58+B$1)*Setup!$M$58,EDATE(Setup!$G$58,(Setup!$O$58+B$1)*Setup!$N$58))&gt;Setup!$P$58,IF(Setup!$M$58&gt;0,Setup!$G$58+(Setup!$O$58+B$1)*Setup!$M$58,EDATE(Setup!$G$58,(Setup!$O$58+B$1)*Setup!$N$58))&lt;Setup!$D$5),"",IF(Setup!$M$58&gt;0,Setup!$G$58+(Setup!$O$58+B$1)*Setup!$M$58,EDATE(Setup!$G$58,(Setup!$O$58+B$1)*Setup!$N$58))+$A35/1000)))</f>
        <v/>
      </c>
      <c r="C35">
        <f>IF(OR(Setup!$E$58="",Setup!$G$58="",Setup!$F$58=""),"",IF(AND(Setup!$F$58="Once",C$1&gt;0),"",IF(OR(IF(Setup!$M$58&gt;0,Setup!$G$58+(Setup!$O$58+C$1)*Setup!$M$58,EDATE(Setup!$G$58,(Setup!$O$58+C$1)*Setup!$N$58))&gt;Setup!$P$58,IF(Setup!$M$58&gt;0,Setup!$G$58+(Setup!$O$58+C$1)*Setup!$M$58,EDATE(Setup!$G$58,(Setup!$O$58+C$1)*Setup!$N$58))&lt;Setup!$D$5),"",IF(Setup!$M$58&gt;0,Setup!$G$58+(Setup!$O$58+C$1)*Setup!$M$58,EDATE(Setup!$G$58,(Setup!$O$58+C$1)*Setup!$N$58))+$A35/1000)))</f>
        <v/>
      </c>
      <c r="D35">
        <f>IF(OR(Setup!$E$58="",Setup!$G$58="",Setup!$F$58=""),"",IF(AND(Setup!$F$58="Once",D$1&gt;0),"",IF(OR(IF(Setup!$M$58&gt;0,Setup!$G$58+(Setup!$O$58+D$1)*Setup!$M$58,EDATE(Setup!$G$58,(Setup!$O$58+D$1)*Setup!$N$58))&gt;Setup!$P$58,IF(Setup!$M$58&gt;0,Setup!$G$58+(Setup!$O$58+D$1)*Setup!$M$58,EDATE(Setup!$G$58,(Setup!$O$58+D$1)*Setup!$N$58))&lt;Setup!$D$5),"",IF(Setup!$M$58&gt;0,Setup!$G$58+(Setup!$O$58+D$1)*Setup!$M$58,EDATE(Setup!$G$58,(Setup!$O$58+D$1)*Setup!$N$58))+$A35/1000)))</f>
        <v/>
      </c>
      <c r="E35">
        <f>IF(OR(Setup!$E$58="",Setup!$G$58="",Setup!$F$58=""),"",IF(AND(Setup!$F$58="Once",E$1&gt;0),"",IF(OR(IF(Setup!$M$58&gt;0,Setup!$G$58+(Setup!$O$58+E$1)*Setup!$M$58,EDATE(Setup!$G$58,(Setup!$O$58+E$1)*Setup!$N$58))&gt;Setup!$P$58,IF(Setup!$M$58&gt;0,Setup!$G$58+(Setup!$O$58+E$1)*Setup!$M$58,EDATE(Setup!$G$58,(Setup!$O$58+E$1)*Setup!$N$58))&lt;Setup!$D$5),"",IF(Setup!$M$58&gt;0,Setup!$G$58+(Setup!$O$58+E$1)*Setup!$M$58,EDATE(Setup!$G$58,(Setup!$O$58+E$1)*Setup!$N$58))+$A35/1000)))</f>
        <v/>
      </c>
      <c r="F35">
        <f>IF(OR(Setup!$E$58="",Setup!$G$58="",Setup!$F$58=""),"",IF(AND(Setup!$F$58="Once",F$1&gt;0),"",IF(OR(IF(Setup!$M$58&gt;0,Setup!$G$58+(Setup!$O$58+F$1)*Setup!$M$58,EDATE(Setup!$G$58,(Setup!$O$58+F$1)*Setup!$N$58))&gt;Setup!$P$58,IF(Setup!$M$58&gt;0,Setup!$G$58+(Setup!$O$58+F$1)*Setup!$M$58,EDATE(Setup!$G$58,(Setup!$O$58+F$1)*Setup!$N$58))&lt;Setup!$D$5),"",IF(Setup!$M$58&gt;0,Setup!$G$58+(Setup!$O$58+F$1)*Setup!$M$58,EDATE(Setup!$G$58,(Setup!$O$58+F$1)*Setup!$N$58))+$A35/1000)))</f>
        <v/>
      </c>
      <c r="G35">
        <f>IF(OR(Setup!$E$58="",Setup!$G$58="",Setup!$F$58=""),"",IF(AND(Setup!$F$58="Once",G$1&gt;0),"",IF(OR(IF(Setup!$M$58&gt;0,Setup!$G$58+(Setup!$O$58+G$1)*Setup!$M$58,EDATE(Setup!$G$58,(Setup!$O$58+G$1)*Setup!$N$58))&gt;Setup!$P$58,IF(Setup!$M$58&gt;0,Setup!$G$58+(Setup!$O$58+G$1)*Setup!$M$58,EDATE(Setup!$G$58,(Setup!$O$58+G$1)*Setup!$N$58))&lt;Setup!$D$5),"",IF(Setup!$M$58&gt;0,Setup!$G$58+(Setup!$O$58+G$1)*Setup!$M$58,EDATE(Setup!$G$58,(Setup!$O$58+G$1)*Setup!$N$58))+$A35/1000)))</f>
        <v/>
      </c>
      <c r="H35">
        <f>IF(OR(Setup!$E$58="",Setup!$G$58="",Setup!$F$58=""),"",IF(AND(Setup!$F$58="Once",H$1&gt;0),"",IF(OR(IF(Setup!$M$58&gt;0,Setup!$G$58+(Setup!$O$58+H$1)*Setup!$M$58,EDATE(Setup!$G$58,(Setup!$O$58+H$1)*Setup!$N$58))&gt;Setup!$P$58,IF(Setup!$M$58&gt;0,Setup!$G$58+(Setup!$O$58+H$1)*Setup!$M$58,EDATE(Setup!$G$58,(Setup!$O$58+H$1)*Setup!$N$58))&lt;Setup!$D$5),"",IF(Setup!$M$58&gt;0,Setup!$G$58+(Setup!$O$58+H$1)*Setup!$M$58,EDATE(Setup!$G$58,(Setup!$O$58+H$1)*Setup!$N$58))+$A35/1000)))</f>
        <v/>
      </c>
      <c r="I35">
        <f>IF(OR(Setup!$E$58="",Setup!$G$58="",Setup!$F$58=""),"",IF(AND(Setup!$F$58="Once",I$1&gt;0),"",IF(OR(IF(Setup!$M$58&gt;0,Setup!$G$58+(Setup!$O$58+I$1)*Setup!$M$58,EDATE(Setup!$G$58,(Setup!$O$58+I$1)*Setup!$N$58))&gt;Setup!$P$58,IF(Setup!$M$58&gt;0,Setup!$G$58+(Setup!$O$58+I$1)*Setup!$M$58,EDATE(Setup!$G$58,(Setup!$O$58+I$1)*Setup!$N$58))&lt;Setup!$D$5),"",IF(Setup!$M$58&gt;0,Setup!$G$58+(Setup!$O$58+I$1)*Setup!$M$58,EDATE(Setup!$G$58,(Setup!$O$58+I$1)*Setup!$N$58))+$A35/1000)))</f>
        <v/>
      </c>
      <c r="J35">
        <f>IF(OR(Setup!$E$58="",Setup!$G$58="",Setup!$F$58=""),"",IF(AND(Setup!$F$58="Once",J$1&gt;0),"",IF(OR(IF(Setup!$M$58&gt;0,Setup!$G$58+(Setup!$O$58+J$1)*Setup!$M$58,EDATE(Setup!$G$58,(Setup!$O$58+J$1)*Setup!$N$58))&gt;Setup!$P$58,IF(Setup!$M$58&gt;0,Setup!$G$58+(Setup!$O$58+J$1)*Setup!$M$58,EDATE(Setup!$G$58,(Setup!$O$58+J$1)*Setup!$N$58))&lt;Setup!$D$5),"",IF(Setup!$M$58&gt;0,Setup!$G$58+(Setup!$O$58+J$1)*Setup!$M$58,EDATE(Setup!$G$58,(Setup!$O$58+J$1)*Setup!$N$58))+$A35/1000)))</f>
        <v/>
      </c>
      <c r="K35">
        <f>IF(OR(Setup!$E$58="",Setup!$G$58="",Setup!$F$58=""),"",IF(AND(Setup!$F$58="Once",K$1&gt;0),"",IF(OR(IF(Setup!$M$58&gt;0,Setup!$G$58+(Setup!$O$58+K$1)*Setup!$M$58,EDATE(Setup!$G$58,(Setup!$O$58+K$1)*Setup!$N$58))&gt;Setup!$P$58,IF(Setup!$M$58&gt;0,Setup!$G$58+(Setup!$O$58+K$1)*Setup!$M$58,EDATE(Setup!$G$58,(Setup!$O$58+K$1)*Setup!$N$58))&lt;Setup!$D$5),"",IF(Setup!$M$58&gt;0,Setup!$G$58+(Setup!$O$58+K$1)*Setup!$M$58,EDATE(Setup!$G$58,(Setup!$O$58+K$1)*Setup!$N$58))+$A35/1000)))</f>
        <v/>
      </c>
      <c r="L35">
        <f>IF(OR(Setup!$E$58="",Setup!$G$58="",Setup!$F$58=""),"",IF(AND(Setup!$F$58="Once",L$1&gt;0),"",IF(OR(IF(Setup!$M$58&gt;0,Setup!$G$58+(Setup!$O$58+L$1)*Setup!$M$58,EDATE(Setup!$G$58,(Setup!$O$58+L$1)*Setup!$N$58))&gt;Setup!$P$58,IF(Setup!$M$58&gt;0,Setup!$G$58+(Setup!$O$58+L$1)*Setup!$M$58,EDATE(Setup!$G$58,(Setup!$O$58+L$1)*Setup!$N$58))&lt;Setup!$D$5),"",IF(Setup!$M$58&gt;0,Setup!$G$58+(Setup!$O$58+L$1)*Setup!$M$58,EDATE(Setup!$G$58,(Setup!$O$58+L$1)*Setup!$N$58))+$A35/1000)))</f>
        <v/>
      </c>
      <c r="M35">
        <f>IF(OR(Setup!$E$58="",Setup!$G$58="",Setup!$F$58=""),"",IF(AND(Setup!$F$58="Once",M$1&gt;0),"",IF(OR(IF(Setup!$M$58&gt;0,Setup!$G$58+(Setup!$O$58+M$1)*Setup!$M$58,EDATE(Setup!$G$58,(Setup!$O$58+M$1)*Setup!$N$58))&gt;Setup!$P$58,IF(Setup!$M$58&gt;0,Setup!$G$58+(Setup!$O$58+M$1)*Setup!$M$58,EDATE(Setup!$G$58,(Setup!$O$58+M$1)*Setup!$N$58))&lt;Setup!$D$5),"",IF(Setup!$M$58&gt;0,Setup!$G$58+(Setup!$O$58+M$1)*Setup!$M$58,EDATE(Setup!$G$58,(Setup!$O$58+M$1)*Setup!$N$58))+$A35/1000)))</f>
        <v/>
      </c>
      <c r="N35">
        <f>IF(OR(Setup!$E$58="",Setup!$G$58="",Setup!$F$58=""),"",IF(AND(Setup!$F$58="Once",N$1&gt;0),"",IF(OR(IF(Setup!$M$58&gt;0,Setup!$G$58+(Setup!$O$58+N$1)*Setup!$M$58,EDATE(Setup!$G$58,(Setup!$O$58+N$1)*Setup!$N$58))&gt;Setup!$P$58,IF(Setup!$M$58&gt;0,Setup!$G$58+(Setup!$O$58+N$1)*Setup!$M$58,EDATE(Setup!$G$58,(Setup!$O$58+N$1)*Setup!$N$58))&lt;Setup!$D$5),"",IF(Setup!$M$58&gt;0,Setup!$G$58+(Setup!$O$58+N$1)*Setup!$M$58,EDATE(Setup!$G$58,(Setup!$O$58+N$1)*Setup!$N$58))+$A35/1000)))</f>
        <v/>
      </c>
      <c r="O35">
        <f>IF(OR(Setup!$E$58="",Setup!$G$58="",Setup!$F$58=""),"",IF(AND(Setup!$F$58="Once",O$1&gt;0),"",IF(OR(IF(Setup!$M$58&gt;0,Setup!$G$58+(Setup!$O$58+O$1)*Setup!$M$58,EDATE(Setup!$G$58,(Setup!$O$58+O$1)*Setup!$N$58))&gt;Setup!$P$58,IF(Setup!$M$58&gt;0,Setup!$G$58+(Setup!$O$58+O$1)*Setup!$M$58,EDATE(Setup!$G$58,(Setup!$O$58+O$1)*Setup!$N$58))&lt;Setup!$D$5),"",IF(Setup!$M$58&gt;0,Setup!$G$58+(Setup!$O$58+O$1)*Setup!$M$58,EDATE(Setup!$G$58,(Setup!$O$58+O$1)*Setup!$N$58))+$A35/1000)))</f>
        <v/>
      </c>
      <c r="P35">
        <f>IF(OR(Setup!$E$58="",Setup!$G$58="",Setup!$F$58=""),"",IF(AND(Setup!$F$58="Once",P$1&gt;0),"",IF(OR(IF(Setup!$M$58&gt;0,Setup!$G$58+(Setup!$O$58+P$1)*Setup!$M$58,EDATE(Setup!$G$58,(Setup!$O$58+P$1)*Setup!$N$58))&gt;Setup!$P$58,IF(Setup!$M$58&gt;0,Setup!$G$58+(Setup!$O$58+P$1)*Setup!$M$58,EDATE(Setup!$G$58,(Setup!$O$58+P$1)*Setup!$N$58))&lt;Setup!$D$5),"",IF(Setup!$M$58&gt;0,Setup!$G$58+(Setup!$O$58+P$1)*Setup!$M$58,EDATE(Setup!$G$58,(Setup!$O$58+P$1)*Setup!$N$58))+$A35/1000)))</f>
        <v/>
      </c>
      <c r="Q35">
        <f>IF(OR(Setup!$E$58="",Setup!$G$58="",Setup!$F$58=""),"",IF(AND(Setup!$F$58="Once",Q$1&gt;0),"",IF(OR(IF(Setup!$M$58&gt;0,Setup!$G$58+(Setup!$O$58+Q$1)*Setup!$M$58,EDATE(Setup!$G$58,(Setup!$O$58+Q$1)*Setup!$N$58))&gt;Setup!$P$58,IF(Setup!$M$58&gt;0,Setup!$G$58+(Setup!$O$58+Q$1)*Setup!$M$58,EDATE(Setup!$G$58,(Setup!$O$58+Q$1)*Setup!$N$58))&lt;Setup!$D$5),"",IF(Setup!$M$58&gt;0,Setup!$G$58+(Setup!$O$58+Q$1)*Setup!$M$58,EDATE(Setup!$G$58,(Setup!$O$58+Q$1)*Setup!$N$58))+$A35/1000)))</f>
        <v/>
      </c>
      <c r="R35">
        <f>IF(OR(Setup!$E$58="",Setup!$G$58="",Setup!$F$58=""),"",IF(AND(Setup!$F$58="Once",R$1&gt;0),"",IF(OR(IF(Setup!$M$58&gt;0,Setup!$G$58+(Setup!$O$58+R$1)*Setup!$M$58,EDATE(Setup!$G$58,(Setup!$O$58+R$1)*Setup!$N$58))&gt;Setup!$P$58,IF(Setup!$M$58&gt;0,Setup!$G$58+(Setup!$O$58+R$1)*Setup!$M$58,EDATE(Setup!$G$58,(Setup!$O$58+R$1)*Setup!$N$58))&lt;Setup!$D$5),"",IF(Setup!$M$58&gt;0,Setup!$G$58+(Setup!$O$58+R$1)*Setup!$M$58,EDATE(Setup!$G$58,(Setup!$O$58+R$1)*Setup!$N$58))+$A35/1000)))</f>
        <v/>
      </c>
      <c r="S35">
        <f>IF(OR(Setup!$E$58="",Setup!$G$58="",Setup!$F$58=""),"",IF(AND(Setup!$F$58="Once",S$1&gt;0),"",IF(OR(IF(Setup!$M$58&gt;0,Setup!$G$58+(Setup!$O$58+S$1)*Setup!$M$58,EDATE(Setup!$G$58,(Setup!$O$58+S$1)*Setup!$N$58))&gt;Setup!$P$58,IF(Setup!$M$58&gt;0,Setup!$G$58+(Setup!$O$58+S$1)*Setup!$M$58,EDATE(Setup!$G$58,(Setup!$O$58+S$1)*Setup!$N$58))&lt;Setup!$D$5),"",IF(Setup!$M$58&gt;0,Setup!$G$58+(Setup!$O$58+S$1)*Setup!$M$58,EDATE(Setup!$G$58,(Setup!$O$58+S$1)*Setup!$N$58))+$A35/1000)))</f>
        <v/>
      </c>
      <c r="T35">
        <f>IF(OR(Setup!$E$58="",Setup!$G$58="",Setup!$F$58=""),"",IF(AND(Setup!$F$58="Once",T$1&gt;0),"",IF(OR(IF(Setup!$M$58&gt;0,Setup!$G$58+(Setup!$O$58+T$1)*Setup!$M$58,EDATE(Setup!$G$58,(Setup!$O$58+T$1)*Setup!$N$58))&gt;Setup!$P$58,IF(Setup!$M$58&gt;0,Setup!$G$58+(Setup!$O$58+T$1)*Setup!$M$58,EDATE(Setup!$G$58,(Setup!$O$58+T$1)*Setup!$N$58))&lt;Setup!$D$5),"",IF(Setup!$M$58&gt;0,Setup!$G$58+(Setup!$O$58+T$1)*Setup!$M$58,EDATE(Setup!$G$58,(Setup!$O$58+T$1)*Setup!$N$58))+$A35/1000)))</f>
        <v/>
      </c>
      <c r="U35">
        <f>IF(OR(Setup!$E$58="",Setup!$G$58="",Setup!$F$58=""),"",IF(AND(Setup!$F$58="Once",U$1&gt;0),"",IF(OR(IF(Setup!$M$58&gt;0,Setup!$G$58+(Setup!$O$58+U$1)*Setup!$M$58,EDATE(Setup!$G$58,(Setup!$O$58+U$1)*Setup!$N$58))&gt;Setup!$P$58,IF(Setup!$M$58&gt;0,Setup!$G$58+(Setup!$O$58+U$1)*Setup!$M$58,EDATE(Setup!$G$58,(Setup!$O$58+U$1)*Setup!$N$58))&lt;Setup!$D$5),"",IF(Setup!$M$58&gt;0,Setup!$G$58+(Setup!$O$58+U$1)*Setup!$M$58,EDATE(Setup!$G$58,(Setup!$O$58+U$1)*Setup!$N$58))+$A35/1000)))</f>
        <v/>
      </c>
      <c r="V35">
        <f>IF(OR(Setup!$E$58="",Setup!$G$58="",Setup!$F$58=""),"",IF(AND(Setup!$F$58="Once",V$1&gt;0),"",IF(OR(IF(Setup!$M$58&gt;0,Setup!$G$58+(Setup!$O$58+V$1)*Setup!$M$58,EDATE(Setup!$G$58,(Setup!$O$58+V$1)*Setup!$N$58))&gt;Setup!$P$58,IF(Setup!$M$58&gt;0,Setup!$G$58+(Setup!$O$58+V$1)*Setup!$M$58,EDATE(Setup!$G$58,(Setup!$O$58+V$1)*Setup!$N$58))&lt;Setup!$D$5),"",IF(Setup!$M$58&gt;0,Setup!$G$58+(Setup!$O$58+V$1)*Setup!$M$58,EDATE(Setup!$G$58,(Setup!$O$58+V$1)*Setup!$N$58))+$A35/1000)))</f>
        <v/>
      </c>
      <c r="W35">
        <f>IF(OR(Setup!$E$58="",Setup!$G$58="",Setup!$F$58=""),"",IF(AND(Setup!$F$58="Once",W$1&gt;0),"",IF(OR(IF(Setup!$M$58&gt;0,Setup!$G$58+(Setup!$O$58+W$1)*Setup!$M$58,EDATE(Setup!$G$58,(Setup!$O$58+W$1)*Setup!$N$58))&gt;Setup!$P$58,IF(Setup!$M$58&gt;0,Setup!$G$58+(Setup!$O$58+W$1)*Setup!$M$58,EDATE(Setup!$G$58,(Setup!$O$58+W$1)*Setup!$N$58))&lt;Setup!$D$5),"",IF(Setup!$M$58&gt;0,Setup!$G$58+(Setup!$O$58+W$1)*Setup!$M$58,EDATE(Setup!$G$58,(Setup!$O$58+W$1)*Setup!$N$58))+$A35/1000)))</f>
        <v/>
      </c>
      <c r="X35">
        <f>IF(OR(Setup!$E$58="",Setup!$G$58="",Setup!$F$58=""),"",IF(AND(Setup!$F$58="Once",X$1&gt;0),"",IF(OR(IF(Setup!$M$58&gt;0,Setup!$G$58+(Setup!$O$58+X$1)*Setup!$M$58,EDATE(Setup!$G$58,(Setup!$O$58+X$1)*Setup!$N$58))&gt;Setup!$P$58,IF(Setup!$M$58&gt;0,Setup!$G$58+(Setup!$O$58+X$1)*Setup!$M$58,EDATE(Setup!$G$58,(Setup!$O$58+X$1)*Setup!$N$58))&lt;Setup!$D$5),"",IF(Setup!$M$58&gt;0,Setup!$G$58+(Setup!$O$58+X$1)*Setup!$M$58,EDATE(Setup!$G$58,(Setup!$O$58+X$1)*Setup!$N$58))+$A35/1000)))</f>
        <v/>
      </c>
      <c r="Y35">
        <f>IF(OR(Setup!$E$58="",Setup!$G$58="",Setup!$F$58=""),"",IF(AND(Setup!$F$58="Once",Y$1&gt;0),"",IF(OR(IF(Setup!$M$58&gt;0,Setup!$G$58+(Setup!$O$58+Y$1)*Setup!$M$58,EDATE(Setup!$G$58,(Setup!$O$58+Y$1)*Setup!$N$58))&gt;Setup!$P$58,IF(Setup!$M$58&gt;0,Setup!$G$58+(Setup!$O$58+Y$1)*Setup!$M$58,EDATE(Setup!$G$58,(Setup!$O$58+Y$1)*Setup!$N$58))&lt;Setup!$D$5),"",IF(Setup!$M$58&gt;0,Setup!$G$58+(Setup!$O$58+Y$1)*Setup!$M$58,EDATE(Setup!$G$58,(Setup!$O$58+Y$1)*Setup!$N$58))+$A35/1000)))</f>
        <v/>
      </c>
      <c r="Z35">
        <f>IF(OR(Setup!$E$58="",Setup!$G$58="",Setup!$F$58=""),"",IF(AND(Setup!$F$58="Once",Z$1&gt;0),"",IF(OR(IF(Setup!$M$58&gt;0,Setup!$G$58+(Setup!$O$58+Z$1)*Setup!$M$58,EDATE(Setup!$G$58,(Setup!$O$58+Z$1)*Setup!$N$58))&gt;Setup!$P$58,IF(Setup!$M$58&gt;0,Setup!$G$58+(Setup!$O$58+Z$1)*Setup!$M$58,EDATE(Setup!$G$58,(Setup!$O$58+Z$1)*Setup!$N$58))&lt;Setup!$D$5),"",IF(Setup!$M$58&gt;0,Setup!$G$58+(Setup!$O$58+Z$1)*Setup!$M$58,EDATE(Setup!$G$58,(Setup!$O$58+Z$1)*Setup!$N$58))+$A35/1000)))</f>
        <v/>
      </c>
      <c r="AA35">
        <f>IF(OR(Setup!$E$58="",Setup!$G$58="",Setup!$F$58=""),"",IF(AND(Setup!$F$58="Once",AA$1&gt;0),"",IF(OR(IF(Setup!$M$58&gt;0,Setup!$G$58+(Setup!$O$58+AA$1)*Setup!$M$58,EDATE(Setup!$G$58,(Setup!$O$58+AA$1)*Setup!$N$58))&gt;Setup!$P$58,IF(Setup!$M$58&gt;0,Setup!$G$58+(Setup!$O$58+AA$1)*Setup!$M$58,EDATE(Setup!$G$58,(Setup!$O$58+AA$1)*Setup!$N$58))&lt;Setup!$D$5),"",IF(Setup!$M$58&gt;0,Setup!$G$58+(Setup!$O$58+AA$1)*Setup!$M$58,EDATE(Setup!$G$58,(Setup!$O$58+AA$1)*Setup!$N$58))+$A35/1000)))</f>
        <v/>
      </c>
      <c r="AB35">
        <f>IF(OR(Setup!$E$58="",Setup!$G$58="",Setup!$F$58=""),"",IF(AND(Setup!$F$58="Once",AB$1&gt;0),"",IF(OR(IF(Setup!$M$58&gt;0,Setup!$G$58+(Setup!$O$58+AB$1)*Setup!$M$58,EDATE(Setup!$G$58,(Setup!$O$58+AB$1)*Setup!$N$58))&gt;Setup!$P$58,IF(Setup!$M$58&gt;0,Setup!$G$58+(Setup!$O$58+AB$1)*Setup!$M$58,EDATE(Setup!$G$58,(Setup!$O$58+AB$1)*Setup!$N$58))&lt;Setup!$D$5),"",IF(Setup!$M$58&gt;0,Setup!$G$58+(Setup!$O$58+AB$1)*Setup!$M$58,EDATE(Setup!$G$58,(Setup!$O$58+AB$1)*Setup!$N$58))+$A35/1000)))</f>
        <v/>
      </c>
      <c r="AC35">
        <f>IF(OR(Setup!$E$58="",Setup!$G$58="",Setup!$F$58=""),"",IF(AND(Setup!$F$58="Once",AC$1&gt;0),"",IF(OR(IF(Setup!$M$58&gt;0,Setup!$G$58+(Setup!$O$58+AC$1)*Setup!$M$58,EDATE(Setup!$G$58,(Setup!$O$58+AC$1)*Setup!$N$58))&gt;Setup!$P$58,IF(Setup!$M$58&gt;0,Setup!$G$58+(Setup!$O$58+AC$1)*Setup!$M$58,EDATE(Setup!$G$58,(Setup!$O$58+AC$1)*Setup!$N$58))&lt;Setup!$D$5),"",IF(Setup!$M$58&gt;0,Setup!$G$58+(Setup!$O$58+AC$1)*Setup!$M$58,EDATE(Setup!$G$58,(Setup!$O$58+AC$1)*Setup!$N$58))+$A35/1000)))</f>
        <v/>
      </c>
      <c r="AD35">
        <f>IF(OR(Setup!$E$58="",Setup!$G$58="",Setup!$F$58=""),"",IF(AND(Setup!$F$58="Once",AD$1&gt;0),"",IF(OR(IF(Setup!$M$58&gt;0,Setup!$G$58+(Setup!$O$58+AD$1)*Setup!$M$58,EDATE(Setup!$G$58,(Setup!$O$58+AD$1)*Setup!$N$58))&gt;Setup!$P$58,IF(Setup!$M$58&gt;0,Setup!$G$58+(Setup!$O$58+AD$1)*Setup!$M$58,EDATE(Setup!$G$58,(Setup!$O$58+AD$1)*Setup!$N$58))&lt;Setup!$D$5),"",IF(Setup!$M$58&gt;0,Setup!$G$58+(Setup!$O$58+AD$1)*Setup!$M$58,EDATE(Setup!$G$58,(Setup!$O$58+AD$1)*Setup!$N$58))+$A35/1000)))</f>
        <v/>
      </c>
      <c r="AE35">
        <f>IF(OR(Setup!$E$58="",Setup!$G$58="",Setup!$F$58=""),"",IF(AND(Setup!$F$58="Once",AE$1&gt;0),"",IF(OR(IF(Setup!$M$58&gt;0,Setup!$G$58+(Setup!$O$58+AE$1)*Setup!$M$58,EDATE(Setup!$G$58,(Setup!$O$58+AE$1)*Setup!$N$58))&gt;Setup!$P$58,IF(Setup!$M$58&gt;0,Setup!$G$58+(Setup!$O$58+AE$1)*Setup!$M$58,EDATE(Setup!$G$58,(Setup!$O$58+AE$1)*Setup!$N$58))&lt;Setup!$D$5),"",IF(Setup!$M$58&gt;0,Setup!$G$58+(Setup!$O$58+AE$1)*Setup!$M$58,EDATE(Setup!$G$58,(Setup!$O$58+AE$1)*Setup!$N$58))+$A35/1000)))</f>
        <v/>
      </c>
      <c r="AF35">
        <f>IF(OR(Setup!$E$58="",Setup!$G$58="",Setup!$F$58=""),"",IF(AND(Setup!$F$58="Once",AF$1&gt;0),"",IF(OR(IF(Setup!$M$58&gt;0,Setup!$G$58+(Setup!$O$58+AF$1)*Setup!$M$58,EDATE(Setup!$G$58,(Setup!$O$58+AF$1)*Setup!$N$58))&gt;Setup!$P$58,IF(Setup!$M$58&gt;0,Setup!$G$58+(Setup!$O$58+AF$1)*Setup!$M$58,EDATE(Setup!$G$58,(Setup!$O$58+AF$1)*Setup!$N$58))&lt;Setup!$D$5),"",IF(Setup!$M$58&gt;0,Setup!$G$58+(Setup!$O$58+AF$1)*Setup!$M$58,EDATE(Setup!$G$58,(Setup!$O$58+AF$1)*Setup!$N$58))+$A35/1000)))</f>
        <v/>
      </c>
      <c r="AG35">
        <f>IF(OR(Setup!$E$58="",Setup!$G$58="",Setup!$F$58=""),"",IF(AND(Setup!$F$58="Once",AG$1&gt;0),"",IF(OR(IF(Setup!$M$58&gt;0,Setup!$G$58+(Setup!$O$58+AG$1)*Setup!$M$58,EDATE(Setup!$G$58,(Setup!$O$58+AG$1)*Setup!$N$58))&gt;Setup!$P$58,IF(Setup!$M$58&gt;0,Setup!$G$58+(Setup!$O$58+AG$1)*Setup!$M$58,EDATE(Setup!$G$58,(Setup!$O$58+AG$1)*Setup!$N$58))&lt;Setup!$D$5),"",IF(Setup!$M$58&gt;0,Setup!$G$58+(Setup!$O$58+AG$1)*Setup!$M$58,EDATE(Setup!$G$58,(Setup!$O$58+AG$1)*Setup!$N$58))+$A35/1000)))</f>
        <v/>
      </c>
      <c r="AH35">
        <f>IF(OR(Setup!$E$58="",Setup!$G$58="",Setup!$F$58=""),"",IF(AND(Setup!$F$58="Once",AH$1&gt;0),"",IF(OR(IF(Setup!$M$58&gt;0,Setup!$G$58+(Setup!$O$58+AH$1)*Setup!$M$58,EDATE(Setup!$G$58,(Setup!$O$58+AH$1)*Setup!$N$58))&gt;Setup!$P$58,IF(Setup!$M$58&gt;0,Setup!$G$58+(Setup!$O$58+AH$1)*Setup!$M$58,EDATE(Setup!$G$58,(Setup!$O$58+AH$1)*Setup!$N$58))&lt;Setup!$D$5),"",IF(Setup!$M$58&gt;0,Setup!$G$58+(Setup!$O$58+AH$1)*Setup!$M$58,EDATE(Setup!$G$58,(Setup!$O$58+AH$1)*Setup!$N$58))+$A35/1000)))</f>
        <v/>
      </c>
      <c r="AI35">
        <f>IF(OR(Setup!$E$58="",Setup!$G$58="",Setup!$F$58=""),"",IF(AND(Setup!$F$58="Once",AI$1&gt;0),"",IF(OR(IF(Setup!$M$58&gt;0,Setup!$G$58+(Setup!$O$58+AI$1)*Setup!$M$58,EDATE(Setup!$G$58,(Setup!$O$58+AI$1)*Setup!$N$58))&gt;Setup!$P$58,IF(Setup!$M$58&gt;0,Setup!$G$58+(Setup!$O$58+AI$1)*Setup!$M$58,EDATE(Setup!$G$58,(Setup!$O$58+AI$1)*Setup!$N$58))&lt;Setup!$D$5),"",IF(Setup!$M$58&gt;0,Setup!$G$58+(Setup!$O$58+AI$1)*Setup!$M$58,EDATE(Setup!$G$58,(Setup!$O$58+AI$1)*Setup!$N$58))+$A35/1000)))</f>
        <v/>
      </c>
      <c r="AJ35">
        <f>IF(OR(Setup!$E$58="",Setup!$G$58="",Setup!$F$58=""),"",IF(AND(Setup!$F$58="Once",AJ$1&gt;0),"",IF(OR(IF(Setup!$M$58&gt;0,Setup!$G$58+(Setup!$O$58+AJ$1)*Setup!$M$58,EDATE(Setup!$G$58,(Setup!$O$58+AJ$1)*Setup!$N$58))&gt;Setup!$P$58,IF(Setup!$M$58&gt;0,Setup!$G$58+(Setup!$O$58+AJ$1)*Setup!$M$58,EDATE(Setup!$G$58,(Setup!$O$58+AJ$1)*Setup!$N$58))&lt;Setup!$D$5),"",IF(Setup!$M$58&gt;0,Setup!$G$58+(Setup!$O$58+AJ$1)*Setup!$M$58,EDATE(Setup!$G$58,(Setup!$O$58+AJ$1)*Setup!$N$58))+$A35/1000)))</f>
        <v/>
      </c>
      <c r="AK35">
        <f>IF(OR(Setup!$E$58="",Setup!$G$58="",Setup!$F$58=""),"",IF(AND(Setup!$F$58="Once",AK$1&gt;0),"",IF(OR(IF(Setup!$M$58&gt;0,Setup!$G$58+(Setup!$O$58+AK$1)*Setup!$M$58,EDATE(Setup!$G$58,(Setup!$O$58+AK$1)*Setup!$N$58))&gt;Setup!$P$58,IF(Setup!$M$58&gt;0,Setup!$G$58+(Setup!$O$58+AK$1)*Setup!$M$58,EDATE(Setup!$G$58,(Setup!$O$58+AK$1)*Setup!$N$58))&lt;Setup!$D$5),"",IF(Setup!$M$58&gt;0,Setup!$G$58+(Setup!$O$58+AK$1)*Setup!$M$58,EDATE(Setup!$G$58,(Setup!$O$58+AK$1)*Setup!$N$58))+$A35/1000)))</f>
        <v/>
      </c>
      <c r="AL35">
        <f>IF(OR(Setup!$E$58="",Setup!$G$58="",Setup!$F$58=""),"",IF(AND(Setup!$F$58="Once",AL$1&gt;0),"",IF(OR(IF(Setup!$M$58&gt;0,Setup!$G$58+(Setup!$O$58+AL$1)*Setup!$M$58,EDATE(Setup!$G$58,(Setup!$O$58+AL$1)*Setup!$N$58))&gt;Setup!$P$58,IF(Setup!$M$58&gt;0,Setup!$G$58+(Setup!$O$58+AL$1)*Setup!$M$58,EDATE(Setup!$G$58,(Setup!$O$58+AL$1)*Setup!$N$58))&lt;Setup!$D$5),"",IF(Setup!$M$58&gt;0,Setup!$G$58+(Setup!$O$58+AL$1)*Setup!$M$58,EDATE(Setup!$G$58,(Setup!$O$58+AL$1)*Setup!$N$58))+$A35/1000)))</f>
        <v/>
      </c>
      <c r="AM35">
        <f>IF(OR(Setup!$E$58="",Setup!$G$58="",Setup!$F$58=""),"",IF(AND(Setup!$F$58="Once",AM$1&gt;0),"",IF(OR(IF(Setup!$M$58&gt;0,Setup!$G$58+(Setup!$O$58+AM$1)*Setup!$M$58,EDATE(Setup!$G$58,(Setup!$O$58+AM$1)*Setup!$N$58))&gt;Setup!$P$58,IF(Setup!$M$58&gt;0,Setup!$G$58+(Setup!$O$58+AM$1)*Setup!$M$58,EDATE(Setup!$G$58,(Setup!$O$58+AM$1)*Setup!$N$58))&lt;Setup!$D$5),"",IF(Setup!$M$58&gt;0,Setup!$G$58+(Setup!$O$58+AM$1)*Setup!$M$58,EDATE(Setup!$G$58,(Setup!$O$58+AM$1)*Setup!$N$58))+$A35/1000)))</f>
        <v/>
      </c>
      <c r="AN35">
        <f>IF(OR(Setup!$E$58="",Setup!$G$58="",Setup!$F$58=""),"",IF(AND(Setup!$F$58="Once",AN$1&gt;0),"",IF(OR(IF(Setup!$M$58&gt;0,Setup!$G$58+(Setup!$O$58+AN$1)*Setup!$M$58,EDATE(Setup!$G$58,(Setup!$O$58+AN$1)*Setup!$N$58))&gt;Setup!$P$58,IF(Setup!$M$58&gt;0,Setup!$G$58+(Setup!$O$58+AN$1)*Setup!$M$58,EDATE(Setup!$G$58,(Setup!$O$58+AN$1)*Setup!$N$58))&lt;Setup!$D$5),"",IF(Setup!$M$58&gt;0,Setup!$G$58+(Setup!$O$58+AN$1)*Setup!$M$58,EDATE(Setup!$G$58,(Setup!$O$58+AN$1)*Setup!$N$58))+$A35/1000)))</f>
        <v/>
      </c>
      <c r="AO35">
        <f>IF(OR(Setup!$E$58="",Setup!$G$58="",Setup!$F$58=""),"",IF(AND(Setup!$F$58="Once",AO$1&gt;0),"",IF(OR(IF(Setup!$M$58&gt;0,Setup!$G$58+(Setup!$O$58+AO$1)*Setup!$M$58,EDATE(Setup!$G$58,(Setup!$O$58+AO$1)*Setup!$N$58))&gt;Setup!$P$58,IF(Setup!$M$58&gt;0,Setup!$G$58+(Setup!$O$58+AO$1)*Setup!$M$58,EDATE(Setup!$G$58,(Setup!$O$58+AO$1)*Setup!$N$58))&lt;Setup!$D$5),"",IF(Setup!$M$58&gt;0,Setup!$G$58+(Setup!$O$58+AO$1)*Setup!$M$58,EDATE(Setup!$G$58,(Setup!$O$58+AO$1)*Setup!$N$58))+$A35/1000)))</f>
        <v/>
      </c>
      <c r="AP35">
        <f>IF(OR(Setup!$E$58="",Setup!$G$58="",Setup!$F$58=""),"",IF(AND(Setup!$F$58="Once",AP$1&gt;0),"",IF(OR(IF(Setup!$M$58&gt;0,Setup!$G$58+(Setup!$O$58+AP$1)*Setup!$M$58,EDATE(Setup!$G$58,(Setup!$O$58+AP$1)*Setup!$N$58))&gt;Setup!$P$58,IF(Setup!$M$58&gt;0,Setup!$G$58+(Setup!$O$58+AP$1)*Setup!$M$58,EDATE(Setup!$G$58,(Setup!$O$58+AP$1)*Setup!$N$58))&lt;Setup!$D$5),"",IF(Setup!$M$58&gt;0,Setup!$G$58+(Setup!$O$58+AP$1)*Setup!$M$58,EDATE(Setup!$G$58,(Setup!$O$58+AP$1)*Setup!$N$58))+$A35/1000)))</f>
        <v/>
      </c>
      <c r="AQ35">
        <f>IF(OR(Setup!$E$58="",Setup!$G$58="",Setup!$F$58=""),"",IF(AND(Setup!$F$58="Once",AQ$1&gt;0),"",IF(OR(IF(Setup!$M$58&gt;0,Setup!$G$58+(Setup!$O$58+AQ$1)*Setup!$M$58,EDATE(Setup!$G$58,(Setup!$O$58+AQ$1)*Setup!$N$58))&gt;Setup!$P$58,IF(Setup!$M$58&gt;0,Setup!$G$58+(Setup!$O$58+AQ$1)*Setup!$M$58,EDATE(Setup!$G$58,(Setup!$O$58+AQ$1)*Setup!$N$58))&lt;Setup!$D$5),"",IF(Setup!$M$58&gt;0,Setup!$G$58+(Setup!$O$58+AQ$1)*Setup!$M$58,EDATE(Setup!$G$58,(Setup!$O$58+AQ$1)*Setup!$N$58))+$A35/1000)))</f>
        <v/>
      </c>
      <c r="AR35">
        <f>IF(OR(Setup!$E$58="",Setup!$G$58="",Setup!$F$58=""),"",IF(AND(Setup!$F$58="Once",AR$1&gt;0),"",IF(OR(IF(Setup!$M$58&gt;0,Setup!$G$58+(Setup!$O$58+AR$1)*Setup!$M$58,EDATE(Setup!$G$58,(Setup!$O$58+AR$1)*Setup!$N$58))&gt;Setup!$P$58,IF(Setup!$M$58&gt;0,Setup!$G$58+(Setup!$O$58+AR$1)*Setup!$M$58,EDATE(Setup!$G$58,(Setup!$O$58+AR$1)*Setup!$N$58))&lt;Setup!$D$5),"",IF(Setup!$M$58&gt;0,Setup!$G$58+(Setup!$O$58+AR$1)*Setup!$M$58,EDATE(Setup!$G$58,(Setup!$O$58+AR$1)*Setup!$N$58))+$A35/1000)))</f>
        <v/>
      </c>
      <c r="AS35">
        <f>IF(OR(Setup!$E$58="",Setup!$G$58="",Setup!$F$58=""),"",IF(AND(Setup!$F$58="Once",AS$1&gt;0),"",IF(OR(IF(Setup!$M$58&gt;0,Setup!$G$58+(Setup!$O$58+AS$1)*Setup!$M$58,EDATE(Setup!$G$58,(Setup!$O$58+AS$1)*Setup!$N$58))&gt;Setup!$P$58,IF(Setup!$M$58&gt;0,Setup!$G$58+(Setup!$O$58+AS$1)*Setup!$M$58,EDATE(Setup!$G$58,(Setup!$O$58+AS$1)*Setup!$N$58))&lt;Setup!$D$5),"",IF(Setup!$M$58&gt;0,Setup!$G$58+(Setup!$O$58+AS$1)*Setup!$M$58,EDATE(Setup!$G$58,(Setup!$O$58+AS$1)*Setup!$N$58))+$A35/1000)))</f>
        <v/>
      </c>
      <c r="AT35">
        <f>IF(OR(Setup!$E$58="",Setup!$G$58="",Setup!$F$58=""),"",IF(AND(Setup!$F$58="Once",AT$1&gt;0),"",IF(OR(IF(Setup!$M$58&gt;0,Setup!$G$58+(Setup!$O$58+AT$1)*Setup!$M$58,EDATE(Setup!$G$58,(Setup!$O$58+AT$1)*Setup!$N$58))&gt;Setup!$P$58,IF(Setup!$M$58&gt;0,Setup!$G$58+(Setup!$O$58+AT$1)*Setup!$M$58,EDATE(Setup!$G$58,(Setup!$O$58+AT$1)*Setup!$N$58))&lt;Setup!$D$5),"",IF(Setup!$M$58&gt;0,Setup!$G$58+(Setup!$O$58+AT$1)*Setup!$M$58,EDATE(Setup!$G$58,(Setup!$O$58+AT$1)*Setup!$N$58))+$A35/1000)))</f>
        <v/>
      </c>
      <c r="AU35">
        <f>IF(OR(Setup!$E$58="",Setup!$G$58="",Setup!$F$58=""),"",IF(AND(Setup!$F$58="Once",AU$1&gt;0),"",IF(OR(IF(Setup!$M$58&gt;0,Setup!$G$58+(Setup!$O$58+AU$1)*Setup!$M$58,EDATE(Setup!$G$58,(Setup!$O$58+AU$1)*Setup!$N$58))&gt;Setup!$P$58,IF(Setup!$M$58&gt;0,Setup!$G$58+(Setup!$O$58+AU$1)*Setup!$M$58,EDATE(Setup!$G$58,(Setup!$O$58+AU$1)*Setup!$N$58))&lt;Setup!$D$5),"",IF(Setup!$M$58&gt;0,Setup!$G$58+(Setup!$O$58+AU$1)*Setup!$M$58,EDATE(Setup!$G$58,(Setup!$O$58+AU$1)*Setup!$N$58))+$A35/1000)))</f>
        <v/>
      </c>
      <c r="AV35">
        <f>IF(OR(Setup!$E$58="",Setup!$G$58="",Setup!$F$58=""),"",IF(AND(Setup!$F$58="Once",AV$1&gt;0),"",IF(OR(IF(Setup!$M$58&gt;0,Setup!$G$58+(Setup!$O$58+AV$1)*Setup!$M$58,EDATE(Setup!$G$58,(Setup!$O$58+AV$1)*Setup!$N$58))&gt;Setup!$P$58,IF(Setup!$M$58&gt;0,Setup!$G$58+(Setup!$O$58+AV$1)*Setup!$M$58,EDATE(Setup!$G$58,(Setup!$O$58+AV$1)*Setup!$N$58))&lt;Setup!$D$5),"",IF(Setup!$M$58&gt;0,Setup!$G$58+(Setup!$O$58+AV$1)*Setup!$M$58,EDATE(Setup!$G$58,(Setup!$O$58+AV$1)*Setup!$N$58))+$A35/1000)))</f>
        <v/>
      </c>
      <c r="AW35">
        <f>IF(OR(Setup!$E$58="",Setup!$G$58="",Setup!$F$58=""),"",IF(AND(Setup!$F$58="Once",AW$1&gt;0),"",IF(OR(IF(Setup!$M$58&gt;0,Setup!$G$58+(Setup!$O$58+AW$1)*Setup!$M$58,EDATE(Setup!$G$58,(Setup!$O$58+AW$1)*Setup!$N$58))&gt;Setup!$P$58,IF(Setup!$M$58&gt;0,Setup!$G$58+(Setup!$O$58+AW$1)*Setup!$M$58,EDATE(Setup!$G$58,(Setup!$O$58+AW$1)*Setup!$N$58))&lt;Setup!$D$5),"",IF(Setup!$M$58&gt;0,Setup!$G$58+(Setup!$O$58+AW$1)*Setup!$M$58,EDATE(Setup!$G$58,(Setup!$O$58+AW$1)*Setup!$N$58))+$A35/1000)))</f>
        <v/>
      </c>
      <c r="AX35">
        <f>IF(OR(Setup!$E$58="",Setup!$G$58="",Setup!$F$58=""),"",IF(AND(Setup!$F$58="Once",AX$1&gt;0),"",IF(OR(IF(Setup!$M$58&gt;0,Setup!$G$58+(Setup!$O$58+AX$1)*Setup!$M$58,EDATE(Setup!$G$58,(Setup!$O$58+AX$1)*Setup!$N$58))&gt;Setup!$P$58,IF(Setup!$M$58&gt;0,Setup!$G$58+(Setup!$O$58+AX$1)*Setup!$M$58,EDATE(Setup!$G$58,(Setup!$O$58+AX$1)*Setup!$N$58))&lt;Setup!$D$5),"",IF(Setup!$M$58&gt;0,Setup!$G$58+(Setup!$O$58+AX$1)*Setup!$M$58,EDATE(Setup!$G$58,(Setup!$O$58+AX$1)*Setup!$N$58))+$A35/1000)))</f>
        <v/>
      </c>
      <c r="AY35">
        <f>IF(OR(Setup!$E$58="",Setup!$G$58="",Setup!$F$58=""),"",IF(AND(Setup!$F$58="Once",AY$1&gt;0),"",IF(OR(IF(Setup!$M$58&gt;0,Setup!$G$58+(Setup!$O$58+AY$1)*Setup!$M$58,EDATE(Setup!$G$58,(Setup!$O$58+AY$1)*Setup!$N$58))&gt;Setup!$P$58,IF(Setup!$M$58&gt;0,Setup!$G$58+(Setup!$O$58+AY$1)*Setup!$M$58,EDATE(Setup!$G$58,(Setup!$O$58+AY$1)*Setup!$N$58))&lt;Setup!$D$5),"",IF(Setup!$M$58&gt;0,Setup!$G$58+(Setup!$O$58+AY$1)*Setup!$M$58,EDATE(Setup!$G$58,(Setup!$O$58+AY$1)*Setup!$N$58))+$A35/1000)))</f>
        <v/>
      </c>
      <c r="AZ35">
        <f>IF(OR(Setup!$E$58="",Setup!$G$58="",Setup!$F$58=""),"",IF(AND(Setup!$F$58="Once",AZ$1&gt;0),"",IF(OR(IF(Setup!$M$58&gt;0,Setup!$G$58+(Setup!$O$58+AZ$1)*Setup!$M$58,EDATE(Setup!$G$58,(Setup!$O$58+AZ$1)*Setup!$N$58))&gt;Setup!$P$58,IF(Setup!$M$58&gt;0,Setup!$G$58+(Setup!$O$58+AZ$1)*Setup!$M$58,EDATE(Setup!$G$58,(Setup!$O$58+AZ$1)*Setup!$N$58))&lt;Setup!$D$5),"",IF(Setup!$M$58&gt;0,Setup!$G$58+(Setup!$O$58+AZ$1)*Setup!$M$58,EDATE(Setup!$G$58,(Setup!$O$58+AZ$1)*Setup!$N$58))+$A35/1000)))</f>
        <v/>
      </c>
      <c r="BA35">
        <f>IF(OR(Setup!$E$58="",Setup!$G$58="",Setup!$F$58=""),"",IF(AND(Setup!$F$58="Once",BA$1&gt;0),"",IF(OR(IF(Setup!$M$58&gt;0,Setup!$G$58+(Setup!$O$58+BA$1)*Setup!$M$58,EDATE(Setup!$G$58,(Setup!$O$58+BA$1)*Setup!$N$58))&gt;Setup!$P$58,IF(Setup!$M$58&gt;0,Setup!$G$58+(Setup!$O$58+BA$1)*Setup!$M$58,EDATE(Setup!$G$58,(Setup!$O$58+BA$1)*Setup!$N$58))&lt;Setup!$D$5),"",IF(Setup!$M$58&gt;0,Setup!$G$58+(Setup!$O$58+BA$1)*Setup!$M$58,EDATE(Setup!$G$58,(Setup!$O$58+BA$1)*Setup!$N$58))+$A35/1000)))</f>
        <v/>
      </c>
      <c r="BB35">
        <f>IF(OR(Setup!$E$58="",Setup!$G$58="",Setup!$F$58=""),"",IF(AND(Setup!$F$58="Once",BB$1&gt;0),"",IF(OR(IF(Setup!$M$58&gt;0,Setup!$G$58+(Setup!$O$58+BB$1)*Setup!$M$58,EDATE(Setup!$G$58,(Setup!$O$58+BB$1)*Setup!$N$58))&gt;Setup!$P$58,IF(Setup!$M$58&gt;0,Setup!$G$58+(Setup!$O$58+BB$1)*Setup!$M$58,EDATE(Setup!$G$58,(Setup!$O$58+BB$1)*Setup!$N$58))&lt;Setup!$D$5),"",IF(Setup!$M$58&gt;0,Setup!$G$58+(Setup!$O$58+BB$1)*Setup!$M$58,EDATE(Setup!$G$58,(Setup!$O$58+BB$1)*Setup!$N$58))+$A35/1000)))</f>
        <v/>
      </c>
    </row>
    <row r="36">
      <c r="A36" t="n">
        <v>35</v>
      </c>
      <c r="B36">
        <f>IF(OR(Setup!$E$59="",Setup!$G$59="",Setup!$F$59=""),"",IF(AND(Setup!$F$59="Once",B$1&gt;0),"",IF(OR(IF(Setup!$M$59&gt;0,Setup!$G$59+(Setup!$O$59+B$1)*Setup!$M$59,EDATE(Setup!$G$59,(Setup!$O$59+B$1)*Setup!$N$59))&gt;Setup!$P$59,IF(Setup!$M$59&gt;0,Setup!$G$59+(Setup!$O$59+B$1)*Setup!$M$59,EDATE(Setup!$G$59,(Setup!$O$59+B$1)*Setup!$N$59))&lt;Setup!$D$5),"",IF(Setup!$M$59&gt;0,Setup!$G$59+(Setup!$O$59+B$1)*Setup!$M$59,EDATE(Setup!$G$59,(Setup!$O$59+B$1)*Setup!$N$59))+$A36/1000)))</f>
        <v/>
      </c>
      <c r="C36">
        <f>IF(OR(Setup!$E$59="",Setup!$G$59="",Setup!$F$59=""),"",IF(AND(Setup!$F$59="Once",C$1&gt;0),"",IF(OR(IF(Setup!$M$59&gt;0,Setup!$G$59+(Setup!$O$59+C$1)*Setup!$M$59,EDATE(Setup!$G$59,(Setup!$O$59+C$1)*Setup!$N$59))&gt;Setup!$P$59,IF(Setup!$M$59&gt;0,Setup!$G$59+(Setup!$O$59+C$1)*Setup!$M$59,EDATE(Setup!$G$59,(Setup!$O$59+C$1)*Setup!$N$59))&lt;Setup!$D$5),"",IF(Setup!$M$59&gt;0,Setup!$G$59+(Setup!$O$59+C$1)*Setup!$M$59,EDATE(Setup!$G$59,(Setup!$O$59+C$1)*Setup!$N$59))+$A36/1000)))</f>
        <v/>
      </c>
      <c r="D36">
        <f>IF(OR(Setup!$E$59="",Setup!$G$59="",Setup!$F$59=""),"",IF(AND(Setup!$F$59="Once",D$1&gt;0),"",IF(OR(IF(Setup!$M$59&gt;0,Setup!$G$59+(Setup!$O$59+D$1)*Setup!$M$59,EDATE(Setup!$G$59,(Setup!$O$59+D$1)*Setup!$N$59))&gt;Setup!$P$59,IF(Setup!$M$59&gt;0,Setup!$G$59+(Setup!$O$59+D$1)*Setup!$M$59,EDATE(Setup!$G$59,(Setup!$O$59+D$1)*Setup!$N$59))&lt;Setup!$D$5),"",IF(Setup!$M$59&gt;0,Setup!$G$59+(Setup!$O$59+D$1)*Setup!$M$59,EDATE(Setup!$G$59,(Setup!$O$59+D$1)*Setup!$N$59))+$A36/1000)))</f>
        <v/>
      </c>
      <c r="E36">
        <f>IF(OR(Setup!$E$59="",Setup!$G$59="",Setup!$F$59=""),"",IF(AND(Setup!$F$59="Once",E$1&gt;0),"",IF(OR(IF(Setup!$M$59&gt;0,Setup!$G$59+(Setup!$O$59+E$1)*Setup!$M$59,EDATE(Setup!$G$59,(Setup!$O$59+E$1)*Setup!$N$59))&gt;Setup!$P$59,IF(Setup!$M$59&gt;0,Setup!$G$59+(Setup!$O$59+E$1)*Setup!$M$59,EDATE(Setup!$G$59,(Setup!$O$59+E$1)*Setup!$N$59))&lt;Setup!$D$5),"",IF(Setup!$M$59&gt;0,Setup!$G$59+(Setup!$O$59+E$1)*Setup!$M$59,EDATE(Setup!$G$59,(Setup!$O$59+E$1)*Setup!$N$59))+$A36/1000)))</f>
        <v/>
      </c>
      <c r="F36">
        <f>IF(OR(Setup!$E$59="",Setup!$G$59="",Setup!$F$59=""),"",IF(AND(Setup!$F$59="Once",F$1&gt;0),"",IF(OR(IF(Setup!$M$59&gt;0,Setup!$G$59+(Setup!$O$59+F$1)*Setup!$M$59,EDATE(Setup!$G$59,(Setup!$O$59+F$1)*Setup!$N$59))&gt;Setup!$P$59,IF(Setup!$M$59&gt;0,Setup!$G$59+(Setup!$O$59+F$1)*Setup!$M$59,EDATE(Setup!$G$59,(Setup!$O$59+F$1)*Setup!$N$59))&lt;Setup!$D$5),"",IF(Setup!$M$59&gt;0,Setup!$G$59+(Setup!$O$59+F$1)*Setup!$M$59,EDATE(Setup!$G$59,(Setup!$O$59+F$1)*Setup!$N$59))+$A36/1000)))</f>
        <v/>
      </c>
      <c r="G36">
        <f>IF(OR(Setup!$E$59="",Setup!$G$59="",Setup!$F$59=""),"",IF(AND(Setup!$F$59="Once",G$1&gt;0),"",IF(OR(IF(Setup!$M$59&gt;0,Setup!$G$59+(Setup!$O$59+G$1)*Setup!$M$59,EDATE(Setup!$G$59,(Setup!$O$59+G$1)*Setup!$N$59))&gt;Setup!$P$59,IF(Setup!$M$59&gt;0,Setup!$G$59+(Setup!$O$59+G$1)*Setup!$M$59,EDATE(Setup!$G$59,(Setup!$O$59+G$1)*Setup!$N$59))&lt;Setup!$D$5),"",IF(Setup!$M$59&gt;0,Setup!$G$59+(Setup!$O$59+G$1)*Setup!$M$59,EDATE(Setup!$G$59,(Setup!$O$59+G$1)*Setup!$N$59))+$A36/1000)))</f>
        <v/>
      </c>
      <c r="H36">
        <f>IF(OR(Setup!$E$59="",Setup!$G$59="",Setup!$F$59=""),"",IF(AND(Setup!$F$59="Once",H$1&gt;0),"",IF(OR(IF(Setup!$M$59&gt;0,Setup!$G$59+(Setup!$O$59+H$1)*Setup!$M$59,EDATE(Setup!$G$59,(Setup!$O$59+H$1)*Setup!$N$59))&gt;Setup!$P$59,IF(Setup!$M$59&gt;0,Setup!$G$59+(Setup!$O$59+H$1)*Setup!$M$59,EDATE(Setup!$G$59,(Setup!$O$59+H$1)*Setup!$N$59))&lt;Setup!$D$5),"",IF(Setup!$M$59&gt;0,Setup!$G$59+(Setup!$O$59+H$1)*Setup!$M$59,EDATE(Setup!$G$59,(Setup!$O$59+H$1)*Setup!$N$59))+$A36/1000)))</f>
        <v/>
      </c>
      <c r="I36">
        <f>IF(OR(Setup!$E$59="",Setup!$G$59="",Setup!$F$59=""),"",IF(AND(Setup!$F$59="Once",I$1&gt;0),"",IF(OR(IF(Setup!$M$59&gt;0,Setup!$G$59+(Setup!$O$59+I$1)*Setup!$M$59,EDATE(Setup!$G$59,(Setup!$O$59+I$1)*Setup!$N$59))&gt;Setup!$P$59,IF(Setup!$M$59&gt;0,Setup!$G$59+(Setup!$O$59+I$1)*Setup!$M$59,EDATE(Setup!$G$59,(Setup!$O$59+I$1)*Setup!$N$59))&lt;Setup!$D$5),"",IF(Setup!$M$59&gt;0,Setup!$G$59+(Setup!$O$59+I$1)*Setup!$M$59,EDATE(Setup!$G$59,(Setup!$O$59+I$1)*Setup!$N$59))+$A36/1000)))</f>
        <v/>
      </c>
      <c r="J36">
        <f>IF(OR(Setup!$E$59="",Setup!$G$59="",Setup!$F$59=""),"",IF(AND(Setup!$F$59="Once",J$1&gt;0),"",IF(OR(IF(Setup!$M$59&gt;0,Setup!$G$59+(Setup!$O$59+J$1)*Setup!$M$59,EDATE(Setup!$G$59,(Setup!$O$59+J$1)*Setup!$N$59))&gt;Setup!$P$59,IF(Setup!$M$59&gt;0,Setup!$G$59+(Setup!$O$59+J$1)*Setup!$M$59,EDATE(Setup!$G$59,(Setup!$O$59+J$1)*Setup!$N$59))&lt;Setup!$D$5),"",IF(Setup!$M$59&gt;0,Setup!$G$59+(Setup!$O$59+J$1)*Setup!$M$59,EDATE(Setup!$G$59,(Setup!$O$59+J$1)*Setup!$N$59))+$A36/1000)))</f>
        <v/>
      </c>
      <c r="K36">
        <f>IF(OR(Setup!$E$59="",Setup!$G$59="",Setup!$F$59=""),"",IF(AND(Setup!$F$59="Once",K$1&gt;0),"",IF(OR(IF(Setup!$M$59&gt;0,Setup!$G$59+(Setup!$O$59+K$1)*Setup!$M$59,EDATE(Setup!$G$59,(Setup!$O$59+K$1)*Setup!$N$59))&gt;Setup!$P$59,IF(Setup!$M$59&gt;0,Setup!$G$59+(Setup!$O$59+K$1)*Setup!$M$59,EDATE(Setup!$G$59,(Setup!$O$59+K$1)*Setup!$N$59))&lt;Setup!$D$5),"",IF(Setup!$M$59&gt;0,Setup!$G$59+(Setup!$O$59+K$1)*Setup!$M$59,EDATE(Setup!$G$59,(Setup!$O$59+K$1)*Setup!$N$59))+$A36/1000)))</f>
        <v/>
      </c>
      <c r="L36">
        <f>IF(OR(Setup!$E$59="",Setup!$G$59="",Setup!$F$59=""),"",IF(AND(Setup!$F$59="Once",L$1&gt;0),"",IF(OR(IF(Setup!$M$59&gt;0,Setup!$G$59+(Setup!$O$59+L$1)*Setup!$M$59,EDATE(Setup!$G$59,(Setup!$O$59+L$1)*Setup!$N$59))&gt;Setup!$P$59,IF(Setup!$M$59&gt;0,Setup!$G$59+(Setup!$O$59+L$1)*Setup!$M$59,EDATE(Setup!$G$59,(Setup!$O$59+L$1)*Setup!$N$59))&lt;Setup!$D$5),"",IF(Setup!$M$59&gt;0,Setup!$G$59+(Setup!$O$59+L$1)*Setup!$M$59,EDATE(Setup!$G$59,(Setup!$O$59+L$1)*Setup!$N$59))+$A36/1000)))</f>
        <v/>
      </c>
      <c r="M36">
        <f>IF(OR(Setup!$E$59="",Setup!$G$59="",Setup!$F$59=""),"",IF(AND(Setup!$F$59="Once",M$1&gt;0),"",IF(OR(IF(Setup!$M$59&gt;0,Setup!$G$59+(Setup!$O$59+M$1)*Setup!$M$59,EDATE(Setup!$G$59,(Setup!$O$59+M$1)*Setup!$N$59))&gt;Setup!$P$59,IF(Setup!$M$59&gt;0,Setup!$G$59+(Setup!$O$59+M$1)*Setup!$M$59,EDATE(Setup!$G$59,(Setup!$O$59+M$1)*Setup!$N$59))&lt;Setup!$D$5),"",IF(Setup!$M$59&gt;0,Setup!$G$59+(Setup!$O$59+M$1)*Setup!$M$59,EDATE(Setup!$G$59,(Setup!$O$59+M$1)*Setup!$N$59))+$A36/1000)))</f>
        <v/>
      </c>
      <c r="N36">
        <f>IF(OR(Setup!$E$59="",Setup!$G$59="",Setup!$F$59=""),"",IF(AND(Setup!$F$59="Once",N$1&gt;0),"",IF(OR(IF(Setup!$M$59&gt;0,Setup!$G$59+(Setup!$O$59+N$1)*Setup!$M$59,EDATE(Setup!$G$59,(Setup!$O$59+N$1)*Setup!$N$59))&gt;Setup!$P$59,IF(Setup!$M$59&gt;0,Setup!$G$59+(Setup!$O$59+N$1)*Setup!$M$59,EDATE(Setup!$G$59,(Setup!$O$59+N$1)*Setup!$N$59))&lt;Setup!$D$5),"",IF(Setup!$M$59&gt;0,Setup!$G$59+(Setup!$O$59+N$1)*Setup!$M$59,EDATE(Setup!$G$59,(Setup!$O$59+N$1)*Setup!$N$59))+$A36/1000)))</f>
        <v/>
      </c>
      <c r="O36">
        <f>IF(OR(Setup!$E$59="",Setup!$G$59="",Setup!$F$59=""),"",IF(AND(Setup!$F$59="Once",O$1&gt;0),"",IF(OR(IF(Setup!$M$59&gt;0,Setup!$G$59+(Setup!$O$59+O$1)*Setup!$M$59,EDATE(Setup!$G$59,(Setup!$O$59+O$1)*Setup!$N$59))&gt;Setup!$P$59,IF(Setup!$M$59&gt;0,Setup!$G$59+(Setup!$O$59+O$1)*Setup!$M$59,EDATE(Setup!$G$59,(Setup!$O$59+O$1)*Setup!$N$59))&lt;Setup!$D$5),"",IF(Setup!$M$59&gt;0,Setup!$G$59+(Setup!$O$59+O$1)*Setup!$M$59,EDATE(Setup!$G$59,(Setup!$O$59+O$1)*Setup!$N$59))+$A36/1000)))</f>
        <v/>
      </c>
      <c r="P36">
        <f>IF(OR(Setup!$E$59="",Setup!$G$59="",Setup!$F$59=""),"",IF(AND(Setup!$F$59="Once",P$1&gt;0),"",IF(OR(IF(Setup!$M$59&gt;0,Setup!$G$59+(Setup!$O$59+P$1)*Setup!$M$59,EDATE(Setup!$G$59,(Setup!$O$59+P$1)*Setup!$N$59))&gt;Setup!$P$59,IF(Setup!$M$59&gt;0,Setup!$G$59+(Setup!$O$59+P$1)*Setup!$M$59,EDATE(Setup!$G$59,(Setup!$O$59+P$1)*Setup!$N$59))&lt;Setup!$D$5),"",IF(Setup!$M$59&gt;0,Setup!$G$59+(Setup!$O$59+P$1)*Setup!$M$59,EDATE(Setup!$G$59,(Setup!$O$59+P$1)*Setup!$N$59))+$A36/1000)))</f>
        <v/>
      </c>
      <c r="Q36">
        <f>IF(OR(Setup!$E$59="",Setup!$G$59="",Setup!$F$59=""),"",IF(AND(Setup!$F$59="Once",Q$1&gt;0),"",IF(OR(IF(Setup!$M$59&gt;0,Setup!$G$59+(Setup!$O$59+Q$1)*Setup!$M$59,EDATE(Setup!$G$59,(Setup!$O$59+Q$1)*Setup!$N$59))&gt;Setup!$P$59,IF(Setup!$M$59&gt;0,Setup!$G$59+(Setup!$O$59+Q$1)*Setup!$M$59,EDATE(Setup!$G$59,(Setup!$O$59+Q$1)*Setup!$N$59))&lt;Setup!$D$5),"",IF(Setup!$M$59&gt;0,Setup!$G$59+(Setup!$O$59+Q$1)*Setup!$M$59,EDATE(Setup!$G$59,(Setup!$O$59+Q$1)*Setup!$N$59))+$A36/1000)))</f>
        <v/>
      </c>
      <c r="R36">
        <f>IF(OR(Setup!$E$59="",Setup!$G$59="",Setup!$F$59=""),"",IF(AND(Setup!$F$59="Once",R$1&gt;0),"",IF(OR(IF(Setup!$M$59&gt;0,Setup!$G$59+(Setup!$O$59+R$1)*Setup!$M$59,EDATE(Setup!$G$59,(Setup!$O$59+R$1)*Setup!$N$59))&gt;Setup!$P$59,IF(Setup!$M$59&gt;0,Setup!$G$59+(Setup!$O$59+R$1)*Setup!$M$59,EDATE(Setup!$G$59,(Setup!$O$59+R$1)*Setup!$N$59))&lt;Setup!$D$5),"",IF(Setup!$M$59&gt;0,Setup!$G$59+(Setup!$O$59+R$1)*Setup!$M$59,EDATE(Setup!$G$59,(Setup!$O$59+R$1)*Setup!$N$59))+$A36/1000)))</f>
        <v/>
      </c>
      <c r="S36">
        <f>IF(OR(Setup!$E$59="",Setup!$G$59="",Setup!$F$59=""),"",IF(AND(Setup!$F$59="Once",S$1&gt;0),"",IF(OR(IF(Setup!$M$59&gt;0,Setup!$G$59+(Setup!$O$59+S$1)*Setup!$M$59,EDATE(Setup!$G$59,(Setup!$O$59+S$1)*Setup!$N$59))&gt;Setup!$P$59,IF(Setup!$M$59&gt;0,Setup!$G$59+(Setup!$O$59+S$1)*Setup!$M$59,EDATE(Setup!$G$59,(Setup!$O$59+S$1)*Setup!$N$59))&lt;Setup!$D$5),"",IF(Setup!$M$59&gt;0,Setup!$G$59+(Setup!$O$59+S$1)*Setup!$M$59,EDATE(Setup!$G$59,(Setup!$O$59+S$1)*Setup!$N$59))+$A36/1000)))</f>
        <v/>
      </c>
      <c r="T36">
        <f>IF(OR(Setup!$E$59="",Setup!$G$59="",Setup!$F$59=""),"",IF(AND(Setup!$F$59="Once",T$1&gt;0),"",IF(OR(IF(Setup!$M$59&gt;0,Setup!$G$59+(Setup!$O$59+T$1)*Setup!$M$59,EDATE(Setup!$G$59,(Setup!$O$59+T$1)*Setup!$N$59))&gt;Setup!$P$59,IF(Setup!$M$59&gt;0,Setup!$G$59+(Setup!$O$59+T$1)*Setup!$M$59,EDATE(Setup!$G$59,(Setup!$O$59+T$1)*Setup!$N$59))&lt;Setup!$D$5),"",IF(Setup!$M$59&gt;0,Setup!$G$59+(Setup!$O$59+T$1)*Setup!$M$59,EDATE(Setup!$G$59,(Setup!$O$59+T$1)*Setup!$N$59))+$A36/1000)))</f>
        <v/>
      </c>
      <c r="U36">
        <f>IF(OR(Setup!$E$59="",Setup!$G$59="",Setup!$F$59=""),"",IF(AND(Setup!$F$59="Once",U$1&gt;0),"",IF(OR(IF(Setup!$M$59&gt;0,Setup!$G$59+(Setup!$O$59+U$1)*Setup!$M$59,EDATE(Setup!$G$59,(Setup!$O$59+U$1)*Setup!$N$59))&gt;Setup!$P$59,IF(Setup!$M$59&gt;0,Setup!$G$59+(Setup!$O$59+U$1)*Setup!$M$59,EDATE(Setup!$G$59,(Setup!$O$59+U$1)*Setup!$N$59))&lt;Setup!$D$5),"",IF(Setup!$M$59&gt;0,Setup!$G$59+(Setup!$O$59+U$1)*Setup!$M$59,EDATE(Setup!$G$59,(Setup!$O$59+U$1)*Setup!$N$59))+$A36/1000)))</f>
        <v/>
      </c>
      <c r="V36">
        <f>IF(OR(Setup!$E$59="",Setup!$G$59="",Setup!$F$59=""),"",IF(AND(Setup!$F$59="Once",V$1&gt;0),"",IF(OR(IF(Setup!$M$59&gt;0,Setup!$G$59+(Setup!$O$59+V$1)*Setup!$M$59,EDATE(Setup!$G$59,(Setup!$O$59+V$1)*Setup!$N$59))&gt;Setup!$P$59,IF(Setup!$M$59&gt;0,Setup!$G$59+(Setup!$O$59+V$1)*Setup!$M$59,EDATE(Setup!$G$59,(Setup!$O$59+V$1)*Setup!$N$59))&lt;Setup!$D$5),"",IF(Setup!$M$59&gt;0,Setup!$G$59+(Setup!$O$59+V$1)*Setup!$M$59,EDATE(Setup!$G$59,(Setup!$O$59+V$1)*Setup!$N$59))+$A36/1000)))</f>
        <v/>
      </c>
      <c r="W36">
        <f>IF(OR(Setup!$E$59="",Setup!$G$59="",Setup!$F$59=""),"",IF(AND(Setup!$F$59="Once",W$1&gt;0),"",IF(OR(IF(Setup!$M$59&gt;0,Setup!$G$59+(Setup!$O$59+W$1)*Setup!$M$59,EDATE(Setup!$G$59,(Setup!$O$59+W$1)*Setup!$N$59))&gt;Setup!$P$59,IF(Setup!$M$59&gt;0,Setup!$G$59+(Setup!$O$59+W$1)*Setup!$M$59,EDATE(Setup!$G$59,(Setup!$O$59+W$1)*Setup!$N$59))&lt;Setup!$D$5),"",IF(Setup!$M$59&gt;0,Setup!$G$59+(Setup!$O$59+W$1)*Setup!$M$59,EDATE(Setup!$G$59,(Setup!$O$59+W$1)*Setup!$N$59))+$A36/1000)))</f>
        <v/>
      </c>
      <c r="X36">
        <f>IF(OR(Setup!$E$59="",Setup!$G$59="",Setup!$F$59=""),"",IF(AND(Setup!$F$59="Once",X$1&gt;0),"",IF(OR(IF(Setup!$M$59&gt;0,Setup!$G$59+(Setup!$O$59+X$1)*Setup!$M$59,EDATE(Setup!$G$59,(Setup!$O$59+X$1)*Setup!$N$59))&gt;Setup!$P$59,IF(Setup!$M$59&gt;0,Setup!$G$59+(Setup!$O$59+X$1)*Setup!$M$59,EDATE(Setup!$G$59,(Setup!$O$59+X$1)*Setup!$N$59))&lt;Setup!$D$5),"",IF(Setup!$M$59&gt;0,Setup!$G$59+(Setup!$O$59+X$1)*Setup!$M$59,EDATE(Setup!$G$59,(Setup!$O$59+X$1)*Setup!$N$59))+$A36/1000)))</f>
        <v/>
      </c>
      <c r="Y36">
        <f>IF(OR(Setup!$E$59="",Setup!$G$59="",Setup!$F$59=""),"",IF(AND(Setup!$F$59="Once",Y$1&gt;0),"",IF(OR(IF(Setup!$M$59&gt;0,Setup!$G$59+(Setup!$O$59+Y$1)*Setup!$M$59,EDATE(Setup!$G$59,(Setup!$O$59+Y$1)*Setup!$N$59))&gt;Setup!$P$59,IF(Setup!$M$59&gt;0,Setup!$G$59+(Setup!$O$59+Y$1)*Setup!$M$59,EDATE(Setup!$G$59,(Setup!$O$59+Y$1)*Setup!$N$59))&lt;Setup!$D$5),"",IF(Setup!$M$59&gt;0,Setup!$G$59+(Setup!$O$59+Y$1)*Setup!$M$59,EDATE(Setup!$G$59,(Setup!$O$59+Y$1)*Setup!$N$59))+$A36/1000)))</f>
        <v/>
      </c>
      <c r="Z36">
        <f>IF(OR(Setup!$E$59="",Setup!$G$59="",Setup!$F$59=""),"",IF(AND(Setup!$F$59="Once",Z$1&gt;0),"",IF(OR(IF(Setup!$M$59&gt;0,Setup!$G$59+(Setup!$O$59+Z$1)*Setup!$M$59,EDATE(Setup!$G$59,(Setup!$O$59+Z$1)*Setup!$N$59))&gt;Setup!$P$59,IF(Setup!$M$59&gt;0,Setup!$G$59+(Setup!$O$59+Z$1)*Setup!$M$59,EDATE(Setup!$G$59,(Setup!$O$59+Z$1)*Setup!$N$59))&lt;Setup!$D$5),"",IF(Setup!$M$59&gt;0,Setup!$G$59+(Setup!$O$59+Z$1)*Setup!$M$59,EDATE(Setup!$G$59,(Setup!$O$59+Z$1)*Setup!$N$59))+$A36/1000)))</f>
        <v/>
      </c>
      <c r="AA36">
        <f>IF(OR(Setup!$E$59="",Setup!$G$59="",Setup!$F$59=""),"",IF(AND(Setup!$F$59="Once",AA$1&gt;0),"",IF(OR(IF(Setup!$M$59&gt;0,Setup!$G$59+(Setup!$O$59+AA$1)*Setup!$M$59,EDATE(Setup!$G$59,(Setup!$O$59+AA$1)*Setup!$N$59))&gt;Setup!$P$59,IF(Setup!$M$59&gt;0,Setup!$G$59+(Setup!$O$59+AA$1)*Setup!$M$59,EDATE(Setup!$G$59,(Setup!$O$59+AA$1)*Setup!$N$59))&lt;Setup!$D$5),"",IF(Setup!$M$59&gt;0,Setup!$G$59+(Setup!$O$59+AA$1)*Setup!$M$59,EDATE(Setup!$G$59,(Setup!$O$59+AA$1)*Setup!$N$59))+$A36/1000)))</f>
        <v/>
      </c>
      <c r="AB36">
        <f>IF(OR(Setup!$E$59="",Setup!$G$59="",Setup!$F$59=""),"",IF(AND(Setup!$F$59="Once",AB$1&gt;0),"",IF(OR(IF(Setup!$M$59&gt;0,Setup!$G$59+(Setup!$O$59+AB$1)*Setup!$M$59,EDATE(Setup!$G$59,(Setup!$O$59+AB$1)*Setup!$N$59))&gt;Setup!$P$59,IF(Setup!$M$59&gt;0,Setup!$G$59+(Setup!$O$59+AB$1)*Setup!$M$59,EDATE(Setup!$G$59,(Setup!$O$59+AB$1)*Setup!$N$59))&lt;Setup!$D$5),"",IF(Setup!$M$59&gt;0,Setup!$G$59+(Setup!$O$59+AB$1)*Setup!$M$59,EDATE(Setup!$G$59,(Setup!$O$59+AB$1)*Setup!$N$59))+$A36/1000)))</f>
        <v/>
      </c>
      <c r="AC36">
        <f>IF(OR(Setup!$E$59="",Setup!$G$59="",Setup!$F$59=""),"",IF(AND(Setup!$F$59="Once",AC$1&gt;0),"",IF(OR(IF(Setup!$M$59&gt;0,Setup!$G$59+(Setup!$O$59+AC$1)*Setup!$M$59,EDATE(Setup!$G$59,(Setup!$O$59+AC$1)*Setup!$N$59))&gt;Setup!$P$59,IF(Setup!$M$59&gt;0,Setup!$G$59+(Setup!$O$59+AC$1)*Setup!$M$59,EDATE(Setup!$G$59,(Setup!$O$59+AC$1)*Setup!$N$59))&lt;Setup!$D$5),"",IF(Setup!$M$59&gt;0,Setup!$G$59+(Setup!$O$59+AC$1)*Setup!$M$59,EDATE(Setup!$G$59,(Setup!$O$59+AC$1)*Setup!$N$59))+$A36/1000)))</f>
        <v/>
      </c>
      <c r="AD36">
        <f>IF(OR(Setup!$E$59="",Setup!$G$59="",Setup!$F$59=""),"",IF(AND(Setup!$F$59="Once",AD$1&gt;0),"",IF(OR(IF(Setup!$M$59&gt;0,Setup!$G$59+(Setup!$O$59+AD$1)*Setup!$M$59,EDATE(Setup!$G$59,(Setup!$O$59+AD$1)*Setup!$N$59))&gt;Setup!$P$59,IF(Setup!$M$59&gt;0,Setup!$G$59+(Setup!$O$59+AD$1)*Setup!$M$59,EDATE(Setup!$G$59,(Setup!$O$59+AD$1)*Setup!$N$59))&lt;Setup!$D$5),"",IF(Setup!$M$59&gt;0,Setup!$G$59+(Setup!$O$59+AD$1)*Setup!$M$59,EDATE(Setup!$G$59,(Setup!$O$59+AD$1)*Setup!$N$59))+$A36/1000)))</f>
        <v/>
      </c>
      <c r="AE36">
        <f>IF(OR(Setup!$E$59="",Setup!$G$59="",Setup!$F$59=""),"",IF(AND(Setup!$F$59="Once",AE$1&gt;0),"",IF(OR(IF(Setup!$M$59&gt;0,Setup!$G$59+(Setup!$O$59+AE$1)*Setup!$M$59,EDATE(Setup!$G$59,(Setup!$O$59+AE$1)*Setup!$N$59))&gt;Setup!$P$59,IF(Setup!$M$59&gt;0,Setup!$G$59+(Setup!$O$59+AE$1)*Setup!$M$59,EDATE(Setup!$G$59,(Setup!$O$59+AE$1)*Setup!$N$59))&lt;Setup!$D$5),"",IF(Setup!$M$59&gt;0,Setup!$G$59+(Setup!$O$59+AE$1)*Setup!$M$59,EDATE(Setup!$G$59,(Setup!$O$59+AE$1)*Setup!$N$59))+$A36/1000)))</f>
        <v/>
      </c>
      <c r="AF36">
        <f>IF(OR(Setup!$E$59="",Setup!$G$59="",Setup!$F$59=""),"",IF(AND(Setup!$F$59="Once",AF$1&gt;0),"",IF(OR(IF(Setup!$M$59&gt;0,Setup!$G$59+(Setup!$O$59+AF$1)*Setup!$M$59,EDATE(Setup!$G$59,(Setup!$O$59+AF$1)*Setup!$N$59))&gt;Setup!$P$59,IF(Setup!$M$59&gt;0,Setup!$G$59+(Setup!$O$59+AF$1)*Setup!$M$59,EDATE(Setup!$G$59,(Setup!$O$59+AF$1)*Setup!$N$59))&lt;Setup!$D$5),"",IF(Setup!$M$59&gt;0,Setup!$G$59+(Setup!$O$59+AF$1)*Setup!$M$59,EDATE(Setup!$G$59,(Setup!$O$59+AF$1)*Setup!$N$59))+$A36/1000)))</f>
        <v/>
      </c>
      <c r="AG36">
        <f>IF(OR(Setup!$E$59="",Setup!$G$59="",Setup!$F$59=""),"",IF(AND(Setup!$F$59="Once",AG$1&gt;0),"",IF(OR(IF(Setup!$M$59&gt;0,Setup!$G$59+(Setup!$O$59+AG$1)*Setup!$M$59,EDATE(Setup!$G$59,(Setup!$O$59+AG$1)*Setup!$N$59))&gt;Setup!$P$59,IF(Setup!$M$59&gt;0,Setup!$G$59+(Setup!$O$59+AG$1)*Setup!$M$59,EDATE(Setup!$G$59,(Setup!$O$59+AG$1)*Setup!$N$59))&lt;Setup!$D$5),"",IF(Setup!$M$59&gt;0,Setup!$G$59+(Setup!$O$59+AG$1)*Setup!$M$59,EDATE(Setup!$G$59,(Setup!$O$59+AG$1)*Setup!$N$59))+$A36/1000)))</f>
        <v/>
      </c>
      <c r="AH36">
        <f>IF(OR(Setup!$E$59="",Setup!$G$59="",Setup!$F$59=""),"",IF(AND(Setup!$F$59="Once",AH$1&gt;0),"",IF(OR(IF(Setup!$M$59&gt;0,Setup!$G$59+(Setup!$O$59+AH$1)*Setup!$M$59,EDATE(Setup!$G$59,(Setup!$O$59+AH$1)*Setup!$N$59))&gt;Setup!$P$59,IF(Setup!$M$59&gt;0,Setup!$G$59+(Setup!$O$59+AH$1)*Setup!$M$59,EDATE(Setup!$G$59,(Setup!$O$59+AH$1)*Setup!$N$59))&lt;Setup!$D$5),"",IF(Setup!$M$59&gt;0,Setup!$G$59+(Setup!$O$59+AH$1)*Setup!$M$59,EDATE(Setup!$G$59,(Setup!$O$59+AH$1)*Setup!$N$59))+$A36/1000)))</f>
        <v/>
      </c>
      <c r="AI36">
        <f>IF(OR(Setup!$E$59="",Setup!$G$59="",Setup!$F$59=""),"",IF(AND(Setup!$F$59="Once",AI$1&gt;0),"",IF(OR(IF(Setup!$M$59&gt;0,Setup!$G$59+(Setup!$O$59+AI$1)*Setup!$M$59,EDATE(Setup!$G$59,(Setup!$O$59+AI$1)*Setup!$N$59))&gt;Setup!$P$59,IF(Setup!$M$59&gt;0,Setup!$G$59+(Setup!$O$59+AI$1)*Setup!$M$59,EDATE(Setup!$G$59,(Setup!$O$59+AI$1)*Setup!$N$59))&lt;Setup!$D$5),"",IF(Setup!$M$59&gt;0,Setup!$G$59+(Setup!$O$59+AI$1)*Setup!$M$59,EDATE(Setup!$G$59,(Setup!$O$59+AI$1)*Setup!$N$59))+$A36/1000)))</f>
        <v/>
      </c>
      <c r="AJ36">
        <f>IF(OR(Setup!$E$59="",Setup!$G$59="",Setup!$F$59=""),"",IF(AND(Setup!$F$59="Once",AJ$1&gt;0),"",IF(OR(IF(Setup!$M$59&gt;0,Setup!$G$59+(Setup!$O$59+AJ$1)*Setup!$M$59,EDATE(Setup!$G$59,(Setup!$O$59+AJ$1)*Setup!$N$59))&gt;Setup!$P$59,IF(Setup!$M$59&gt;0,Setup!$G$59+(Setup!$O$59+AJ$1)*Setup!$M$59,EDATE(Setup!$G$59,(Setup!$O$59+AJ$1)*Setup!$N$59))&lt;Setup!$D$5),"",IF(Setup!$M$59&gt;0,Setup!$G$59+(Setup!$O$59+AJ$1)*Setup!$M$59,EDATE(Setup!$G$59,(Setup!$O$59+AJ$1)*Setup!$N$59))+$A36/1000)))</f>
        <v/>
      </c>
      <c r="AK36">
        <f>IF(OR(Setup!$E$59="",Setup!$G$59="",Setup!$F$59=""),"",IF(AND(Setup!$F$59="Once",AK$1&gt;0),"",IF(OR(IF(Setup!$M$59&gt;0,Setup!$G$59+(Setup!$O$59+AK$1)*Setup!$M$59,EDATE(Setup!$G$59,(Setup!$O$59+AK$1)*Setup!$N$59))&gt;Setup!$P$59,IF(Setup!$M$59&gt;0,Setup!$G$59+(Setup!$O$59+AK$1)*Setup!$M$59,EDATE(Setup!$G$59,(Setup!$O$59+AK$1)*Setup!$N$59))&lt;Setup!$D$5),"",IF(Setup!$M$59&gt;0,Setup!$G$59+(Setup!$O$59+AK$1)*Setup!$M$59,EDATE(Setup!$G$59,(Setup!$O$59+AK$1)*Setup!$N$59))+$A36/1000)))</f>
        <v/>
      </c>
      <c r="AL36">
        <f>IF(OR(Setup!$E$59="",Setup!$G$59="",Setup!$F$59=""),"",IF(AND(Setup!$F$59="Once",AL$1&gt;0),"",IF(OR(IF(Setup!$M$59&gt;0,Setup!$G$59+(Setup!$O$59+AL$1)*Setup!$M$59,EDATE(Setup!$G$59,(Setup!$O$59+AL$1)*Setup!$N$59))&gt;Setup!$P$59,IF(Setup!$M$59&gt;0,Setup!$G$59+(Setup!$O$59+AL$1)*Setup!$M$59,EDATE(Setup!$G$59,(Setup!$O$59+AL$1)*Setup!$N$59))&lt;Setup!$D$5),"",IF(Setup!$M$59&gt;0,Setup!$G$59+(Setup!$O$59+AL$1)*Setup!$M$59,EDATE(Setup!$G$59,(Setup!$O$59+AL$1)*Setup!$N$59))+$A36/1000)))</f>
        <v/>
      </c>
      <c r="AM36">
        <f>IF(OR(Setup!$E$59="",Setup!$G$59="",Setup!$F$59=""),"",IF(AND(Setup!$F$59="Once",AM$1&gt;0),"",IF(OR(IF(Setup!$M$59&gt;0,Setup!$G$59+(Setup!$O$59+AM$1)*Setup!$M$59,EDATE(Setup!$G$59,(Setup!$O$59+AM$1)*Setup!$N$59))&gt;Setup!$P$59,IF(Setup!$M$59&gt;0,Setup!$G$59+(Setup!$O$59+AM$1)*Setup!$M$59,EDATE(Setup!$G$59,(Setup!$O$59+AM$1)*Setup!$N$59))&lt;Setup!$D$5),"",IF(Setup!$M$59&gt;0,Setup!$G$59+(Setup!$O$59+AM$1)*Setup!$M$59,EDATE(Setup!$G$59,(Setup!$O$59+AM$1)*Setup!$N$59))+$A36/1000)))</f>
        <v/>
      </c>
      <c r="AN36">
        <f>IF(OR(Setup!$E$59="",Setup!$G$59="",Setup!$F$59=""),"",IF(AND(Setup!$F$59="Once",AN$1&gt;0),"",IF(OR(IF(Setup!$M$59&gt;0,Setup!$G$59+(Setup!$O$59+AN$1)*Setup!$M$59,EDATE(Setup!$G$59,(Setup!$O$59+AN$1)*Setup!$N$59))&gt;Setup!$P$59,IF(Setup!$M$59&gt;0,Setup!$G$59+(Setup!$O$59+AN$1)*Setup!$M$59,EDATE(Setup!$G$59,(Setup!$O$59+AN$1)*Setup!$N$59))&lt;Setup!$D$5),"",IF(Setup!$M$59&gt;0,Setup!$G$59+(Setup!$O$59+AN$1)*Setup!$M$59,EDATE(Setup!$G$59,(Setup!$O$59+AN$1)*Setup!$N$59))+$A36/1000)))</f>
        <v/>
      </c>
      <c r="AO36">
        <f>IF(OR(Setup!$E$59="",Setup!$G$59="",Setup!$F$59=""),"",IF(AND(Setup!$F$59="Once",AO$1&gt;0),"",IF(OR(IF(Setup!$M$59&gt;0,Setup!$G$59+(Setup!$O$59+AO$1)*Setup!$M$59,EDATE(Setup!$G$59,(Setup!$O$59+AO$1)*Setup!$N$59))&gt;Setup!$P$59,IF(Setup!$M$59&gt;0,Setup!$G$59+(Setup!$O$59+AO$1)*Setup!$M$59,EDATE(Setup!$G$59,(Setup!$O$59+AO$1)*Setup!$N$59))&lt;Setup!$D$5),"",IF(Setup!$M$59&gt;0,Setup!$G$59+(Setup!$O$59+AO$1)*Setup!$M$59,EDATE(Setup!$G$59,(Setup!$O$59+AO$1)*Setup!$N$59))+$A36/1000)))</f>
        <v/>
      </c>
      <c r="AP36">
        <f>IF(OR(Setup!$E$59="",Setup!$G$59="",Setup!$F$59=""),"",IF(AND(Setup!$F$59="Once",AP$1&gt;0),"",IF(OR(IF(Setup!$M$59&gt;0,Setup!$G$59+(Setup!$O$59+AP$1)*Setup!$M$59,EDATE(Setup!$G$59,(Setup!$O$59+AP$1)*Setup!$N$59))&gt;Setup!$P$59,IF(Setup!$M$59&gt;0,Setup!$G$59+(Setup!$O$59+AP$1)*Setup!$M$59,EDATE(Setup!$G$59,(Setup!$O$59+AP$1)*Setup!$N$59))&lt;Setup!$D$5),"",IF(Setup!$M$59&gt;0,Setup!$G$59+(Setup!$O$59+AP$1)*Setup!$M$59,EDATE(Setup!$G$59,(Setup!$O$59+AP$1)*Setup!$N$59))+$A36/1000)))</f>
        <v/>
      </c>
      <c r="AQ36">
        <f>IF(OR(Setup!$E$59="",Setup!$G$59="",Setup!$F$59=""),"",IF(AND(Setup!$F$59="Once",AQ$1&gt;0),"",IF(OR(IF(Setup!$M$59&gt;0,Setup!$G$59+(Setup!$O$59+AQ$1)*Setup!$M$59,EDATE(Setup!$G$59,(Setup!$O$59+AQ$1)*Setup!$N$59))&gt;Setup!$P$59,IF(Setup!$M$59&gt;0,Setup!$G$59+(Setup!$O$59+AQ$1)*Setup!$M$59,EDATE(Setup!$G$59,(Setup!$O$59+AQ$1)*Setup!$N$59))&lt;Setup!$D$5),"",IF(Setup!$M$59&gt;0,Setup!$G$59+(Setup!$O$59+AQ$1)*Setup!$M$59,EDATE(Setup!$G$59,(Setup!$O$59+AQ$1)*Setup!$N$59))+$A36/1000)))</f>
        <v/>
      </c>
      <c r="AR36">
        <f>IF(OR(Setup!$E$59="",Setup!$G$59="",Setup!$F$59=""),"",IF(AND(Setup!$F$59="Once",AR$1&gt;0),"",IF(OR(IF(Setup!$M$59&gt;0,Setup!$G$59+(Setup!$O$59+AR$1)*Setup!$M$59,EDATE(Setup!$G$59,(Setup!$O$59+AR$1)*Setup!$N$59))&gt;Setup!$P$59,IF(Setup!$M$59&gt;0,Setup!$G$59+(Setup!$O$59+AR$1)*Setup!$M$59,EDATE(Setup!$G$59,(Setup!$O$59+AR$1)*Setup!$N$59))&lt;Setup!$D$5),"",IF(Setup!$M$59&gt;0,Setup!$G$59+(Setup!$O$59+AR$1)*Setup!$M$59,EDATE(Setup!$G$59,(Setup!$O$59+AR$1)*Setup!$N$59))+$A36/1000)))</f>
        <v/>
      </c>
      <c r="AS36">
        <f>IF(OR(Setup!$E$59="",Setup!$G$59="",Setup!$F$59=""),"",IF(AND(Setup!$F$59="Once",AS$1&gt;0),"",IF(OR(IF(Setup!$M$59&gt;0,Setup!$G$59+(Setup!$O$59+AS$1)*Setup!$M$59,EDATE(Setup!$G$59,(Setup!$O$59+AS$1)*Setup!$N$59))&gt;Setup!$P$59,IF(Setup!$M$59&gt;0,Setup!$G$59+(Setup!$O$59+AS$1)*Setup!$M$59,EDATE(Setup!$G$59,(Setup!$O$59+AS$1)*Setup!$N$59))&lt;Setup!$D$5),"",IF(Setup!$M$59&gt;0,Setup!$G$59+(Setup!$O$59+AS$1)*Setup!$M$59,EDATE(Setup!$G$59,(Setup!$O$59+AS$1)*Setup!$N$59))+$A36/1000)))</f>
        <v/>
      </c>
      <c r="AT36">
        <f>IF(OR(Setup!$E$59="",Setup!$G$59="",Setup!$F$59=""),"",IF(AND(Setup!$F$59="Once",AT$1&gt;0),"",IF(OR(IF(Setup!$M$59&gt;0,Setup!$G$59+(Setup!$O$59+AT$1)*Setup!$M$59,EDATE(Setup!$G$59,(Setup!$O$59+AT$1)*Setup!$N$59))&gt;Setup!$P$59,IF(Setup!$M$59&gt;0,Setup!$G$59+(Setup!$O$59+AT$1)*Setup!$M$59,EDATE(Setup!$G$59,(Setup!$O$59+AT$1)*Setup!$N$59))&lt;Setup!$D$5),"",IF(Setup!$M$59&gt;0,Setup!$G$59+(Setup!$O$59+AT$1)*Setup!$M$59,EDATE(Setup!$G$59,(Setup!$O$59+AT$1)*Setup!$N$59))+$A36/1000)))</f>
        <v/>
      </c>
      <c r="AU36">
        <f>IF(OR(Setup!$E$59="",Setup!$G$59="",Setup!$F$59=""),"",IF(AND(Setup!$F$59="Once",AU$1&gt;0),"",IF(OR(IF(Setup!$M$59&gt;0,Setup!$G$59+(Setup!$O$59+AU$1)*Setup!$M$59,EDATE(Setup!$G$59,(Setup!$O$59+AU$1)*Setup!$N$59))&gt;Setup!$P$59,IF(Setup!$M$59&gt;0,Setup!$G$59+(Setup!$O$59+AU$1)*Setup!$M$59,EDATE(Setup!$G$59,(Setup!$O$59+AU$1)*Setup!$N$59))&lt;Setup!$D$5),"",IF(Setup!$M$59&gt;0,Setup!$G$59+(Setup!$O$59+AU$1)*Setup!$M$59,EDATE(Setup!$G$59,(Setup!$O$59+AU$1)*Setup!$N$59))+$A36/1000)))</f>
        <v/>
      </c>
      <c r="AV36">
        <f>IF(OR(Setup!$E$59="",Setup!$G$59="",Setup!$F$59=""),"",IF(AND(Setup!$F$59="Once",AV$1&gt;0),"",IF(OR(IF(Setup!$M$59&gt;0,Setup!$G$59+(Setup!$O$59+AV$1)*Setup!$M$59,EDATE(Setup!$G$59,(Setup!$O$59+AV$1)*Setup!$N$59))&gt;Setup!$P$59,IF(Setup!$M$59&gt;0,Setup!$G$59+(Setup!$O$59+AV$1)*Setup!$M$59,EDATE(Setup!$G$59,(Setup!$O$59+AV$1)*Setup!$N$59))&lt;Setup!$D$5),"",IF(Setup!$M$59&gt;0,Setup!$G$59+(Setup!$O$59+AV$1)*Setup!$M$59,EDATE(Setup!$G$59,(Setup!$O$59+AV$1)*Setup!$N$59))+$A36/1000)))</f>
        <v/>
      </c>
      <c r="AW36">
        <f>IF(OR(Setup!$E$59="",Setup!$G$59="",Setup!$F$59=""),"",IF(AND(Setup!$F$59="Once",AW$1&gt;0),"",IF(OR(IF(Setup!$M$59&gt;0,Setup!$G$59+(Setup!$O$59+AW$1)*Setup!$M$59,EDATE(Setup!$G$59,(Setup!$O$59+AW$1)*Setup!$N$59))&gt;Setup!$P$59,IF(Setup!$M$59&gt;0,Setup!$G$59+(Setup!$O$59+AW$1)*Setup!$M$59,EDATE(Setup!$G$59,(Setup!$O$59+AW$1)*Setup!$N$59))&lt;Setup!$D$5),"",IF(Setup!$M$59&gt;0,Setup!$G$59+(Setup!$O$59+AW$1)*Setup!$M$59,EDATE(Setup!$G$59,(Setup!$O$59+AW$1)*Setup!$N$59))+$A36/1000)))</f>
        <v/>
      </c>
      <c r="AX36">
        <f>IF(OR(Setup!$E$59="",Setup!$G$59="",Setup!$F$59=""),"",IF(AND(Setup!$F$59="Once",AX$1&gt;0),"",IF(OR(IF(Setup!$M$59&gt;0,Setup!$G$59+(Setup!$O$59+AX$1)*Setup!$M$59,EDATE(Setup!$G$59,(Setup!$O$59+AX$1)*Setup!$N$59))&gt;Setup!$P$59,IF(Setup!$M$59&gt;0,Setup!$G$59+(Setup!$O$59+AX$1)*Setup!$M$59,EDATE(Setup!$G$59,(Setup!$O$59+AX$1)*Setup!$N$59))&lt;Setup!$D$5),"",IF(Setup!$M$59&gt;0,Setup!$G$59+(Setup!$O$59+AX$1)*Setup!$M$59,EDATE(Setup!$G$59,(Setup!$O$59+AX$1)*Setup!$N$59))+$A36/1000)))</f>
        <v/>
      </c>
      <c r="AY36">
        <f>IF(OR(Setup!$E$59="",Setup!$G$59="",Setup!$F$59=""),"",IF(AND(Setup!$F$59="Once",AY$1&gt;0),"",IF(OR(IF(Setup!$M$59&gt;0,Setup!$G$59+(Setup!$O$59+AY$1)*Setup!$M$59,EDATE(Setup!$G$59,(Setup!$O$59+AY$1)*Setup!$N$59))&gt;Setup!$P$59,IF(Setup!$M$59&gt;0,Setup!$G$59+(Setup!$O$59+AY$1)*Setup!$M$59,EDATE(Setup!$G$59,(Setup!$O$59+AY$1)*Setup!$N$59))&lt;Setup!$D$5),"",IF(Setup!$M$59&gt;0,Setup!$G$59+(Setup!$O$59+AY$1)*Setup!$M$59,EDATE(Setup!$G$59,(Setup!$O$59+AY$1)*Setup!$N$59))+$A36/1000)))</f>
        <v/>
      </c>
      <c r="AZ36">
        <f>IF(OR(Setup!$E$59="",Setup!$G$59="",Setup!$F$59=""),"",IF(AND(Setup!$F$59="Once",AZ$1&gt;0),"",IF(OR(IF(Setup!$M$59&gt;0,Setup!$G$59+(Setup!$O$59+AZ$1)*Setup!$M$59,EDATE(Setup!$G$59,(Setup!$O$59+AZ$1)*Setup!$N$59))&gt;Setup!$P$59,IF(Setup!$M$59&gt;0,Setup!$G$59+(Setup!$O$59+AZ$1)*Setup!$M$59,EDATE(Setup!$G$59,(Setup!$O$59+AZ$1)*Setup!$N$59))&lt;Setup!$D$5),"",IF(Setup!$M$59&gt;0,Setup!$G$59+(Setup!$O$59+AZ$1)*Setup!$M$59,EDATE(Setup!$G$59,(Setup!$O$59+AZ$1)*Setup!$N$59))+$A36/1000)))</f>
        <v/>
      </c>
      <c r="BA36">
        <f>IF(OR(Setup!$E$59="",Setup!$G$59="",Setup!$F$59=""),"",IF(AND(Setup!$F$59="Once",BA$1&gt;0),"",IF(OR(IF(Setup!$M$59&gt;0,Setup!$G$59+(Setup!$O$59+BA$1)*Setup!$M$59,EDATE(Setup!$G$59,(Setup!$O$59+BA$1)*Setup!$N$59))&gt;Setup!$P$59,IF(Setup!$M$59&gt;0,Setup!$G$59+(Setup!$O$59+BA$1)*Setup!$M$59,EDATE(Setup!$G$59,(Setup!$O$59+BA$1)*Setup!$N$59))&lt;Setup!$D$5),"",IF(Setup!$M$59&gt;0,Setup!$G$59+(Setup!$O$59+BA$1)*Setup!$M$59,EDATE(Setup!$G$59,(Setup!$O$59+BA$1)*Setup!$N$59))+$A36/1000)))</f>
        <v/>
      </c>
      <c r="BB36">
        <f>IF(OR(Setup!$E$59="",Setup!$G$59="",Setup!$F$59=""),"",IF(AND(Setup!$F$59="Once",BB$1&gt;0),"",IF(OR(IF(Setup!$M$59&gt;0,Setup!$G$59+(Setup!$O$59+BB$1)*Setup!$M$59,EDATE(Setup!$G$59,(Setup!$O$59+BB$1)*Setup!$N$59))&gt;Setup!$P$59,IF(Setup!$M$59&gt;0,Setup!$G$59+(Setup!$O$59+BB$1)*Setup!$M$59,EDATE(Setup!$G$59,(Setup!$O$59+BB$1)*Setup!$N$59))&lt;Setup!$D$5),"",IF(Setup!$M$59&gt;0,Setup!$G$59+(Setup!$O$59+BB$1)*Setup!$M$59,EDATE(Setup!$G$59,(Setup!$O$59+BB$1)*Setup!$N$59))+$A36/1000)))</f>
        <v/>
      </c>
    </row>
    <row r="37">
      <c r="A37" t="n">
        <v>36</v>
      </c>
      <c r="B37">
        <f>IF(OR(Setup!$E$60="",Setup!$G$60="",Setup!$F$60=""),"",IF(AND(Setup!$F$60="Once",B$1&gt;0),"",IF(OR(IF(Setup!$M$60&gt;0,Setup!$G$60+(Setup!$O$60+B$1)*Setup!$M$60,EDATE(Setup!$G$60,(Setup!$O$60+B$1)*Setup!$N$60))&gt;Setup!$P$60,IF(Setup!$M$60&gt;0,Setup!$G$60+(Setup!$O$60+B$1)*Setup!$M$60,EDATE(Setup!$G$60,(Setup!$O$60+B$1)*Setup!$N$60))&lt;Setup!$D$5),"",IF(Setup!$M$60&gt;0,Setup!$G$60+(Setup!$O$60+B$1)*Setup!$M$60,EDATE(Setup!$G$60,(Setup!$O$60+B$1)*Setup!$N$60))+$A37/1000)))</f>
        <v/>
      </c>
      <c r="C37">
        <f>IF(OR(Setup!$E$60="",Setup!$G$60="",Setup!$F$60=""),"",IF(AND(Setup!$F$60="Once",C$1&gt;0),"",IF(OR(IF(Setup!$M$60&gt;0,Setup!$G$60+(Setup!$O$60+C$1)*Setup!$M$60,EDATE(Setup!$G$60,(Setup!$O$60+C$1)*Setup!$N$60))&gt;Setup!$P$60,IF(Setup!$M$60&gt;0,Setup!$G$60+(Setup!$O$60+C$1)*Setup!$M$60,EDATE(Setup!$G$60,(Setup!$O$60+C$1)*Setup!$N$60))&lt;Setup!$D$5),"",IF(Setup!$M$60&gt;0,Setup!$G$60+(Setup!$O$60+C$1)*Setup!$M$60,EDATE(Setup!$G$60,(Setup!$O$60+C$1)*Setup!$N$60))+$A37/1000)))</f>
        <v/>
      </c>
      <c r="D37">
        <f>IF(OR(Setup!$E$60="",Setup!$G$60="",Setup!$F$60=""),"",IF(AND(Setup!$F$60="Once",D$1&gt;0),"",IF(OR(IF(Setup!$M$60&gt;0,Setup!$G$60+(Setup!$O$60+D$1)*Setup!$M$60,EDATE(Setup!$G$60,(Setup!$O$60+D$1)*Setup!$N$60))&gt;Setup!$P$60,IF(Setup!$M$60&gt;0,Setup!$G$60+(Setup!$O$60+D$1)*Setup!$M$60,EDATE(Setup!$G$60,(Setup!$O$60+D$1)*Setup!$N$60))&lt;Setup!$D$5),"",IF(Setup!$M$60&gt;0,Setup!$G$60+(Setup!$O$60+D$1)*Setup!$M$60,EDATE(Setup!$G$60,(Setup!$O$60+D$1)*Setup!$N$60))+$A37/1000)))</f>
        <v/>
      </c>
      <c r="E37">
        <f>IF(OR(Setup!$E$60="",Setup!$G$60="",Setup!$F$60=""),"",IF(AND(Setup!$F$60="Once",E$1&gt;0),"",IF(OR(IF(Setup!$M$60&gt;0,Setup!$G$60+(Setup!$O$60+E$1)*Setup!$M$60,EDATE(Setup!$G$60,(Setup!$O$60+E$1)*Setup!$N$60))&gt;Setup!$P$60,IF(Setup!$M$60&gt;0,Setup!$G$60+(Setup!$O$60+E$1)*Setup!$M$60,EDATE(Setup!$G$60,(Setup!$O$60+E$1)*Setup!$N$60))&lt;Setup!$D$5),"",IF(Setup!$M$60&gt;0,Setup!$G$60+(Setup!$O$60+E$1)*Setup!$M$60,EDATE(Setup!$G$60,(Setup!$O$60+E$1)*Setup!$N$60))+$A37/1000)))</f>
        <v/>
      </c>
      <c r="F37">
        <f>IF(OR(Setup!$E$60="",Setup!$G$60="",Setup!$F$60=""),"",IF(AND(Setup!$F$60="Once",F$1&gt;0),"",IF(OR(IF(Setup!$M$60&gt;0,Setup!$G$60+(Setup!$O$60+F$1)*Setup!$M$60,EDATE(Setup!$G$60,(Setup!$O$60+F$1)*Setup!$N$60))&gt;Setup!$P$60,IF(Setup!$M$60&gt;0,Setup!$G$60+(Setup!$O$60+F$1)*Setup!$M$60,EDATE(Setup!$G$60,(Setup!$O$60+F$1)*Setup!$N$60))&lt;Setup!$D$5),"",IF(Setup!$M$60&gt;0,Setup!$G$60+(Setup!$O$60+F$1)*Setup!$M$60,EDATE(Setup!$G$60,(Setup!$O$60+F$1)*Setup!$N$60))+$A37/1000)))</f>
        <v/>
      </c>
      <c r="G37">
        <f>IF(OR(Setup!$E$60="",Setup!$G$60="",Setup!$F$60=""),"",IF(AND(Setup!$F$60="Once",G$1&gt;0),"",IF(OR(IF(Setup!$M$60&gt;0,Setup!$G$60+(Setup!$O$60+G$1)*Setup!$M$60,EDATE(Setup!$G$60,(Setup!$O$60+G$1)*Setup!$N$60))&gt;Setup!$P$60,IF(Setup!$M$60&gt;0,Setup!$G$60+(Setup!$O$60+G$1)*Setup!$M$60,EDATE(Setup!$G$60,(Setup!$O$60+G$1)*Setup!$N$60))&lt;Setup!$D$5),"",IF(Setup!$M$60&gt;0,Setup!$G$60+(Setup!$O$60+G$1)*Setup!$M$60,EDATE(Setup!$G$60,(Setup!$O$60+G$1)*Setup!$N$60))+$A37/1000)))</f>
        <v/>
      </c>
      <c r="H37">
        <f>IF(OR(Setup!$E$60="",Setup!$G$60="",Setup!$F$60=""),"",IF(AND(Setup!$F$60="Once",H$1&gt;0),"",IF(OR(IF(Setup!$M$60&gt;0,Setup!$G$60+(Setup!$O$60+H$1)*Setup!$M$60,EDATE(Setup!$G$60,(Setup!$O$60+H$1)*Setup!$N$60))&gt;Setup!$P$60,IF(Setup!$M$60&gt;0,Setup!$G$60+(Setup!$O$60+H$1)*Setup!$M$60,EDATE(Setup!$G$60,(Setup!$O$60+H$1)*Setup!$N$60))&lt;Setup!$D$5),"",IF(Setup!$M$60&gt;0,Setup!$G$60+(Setup!$O$60+H$1)*Setup!$M$60,EDATE(Setup!$G$60,(Setup!$O$60+H$1)*Setup!$N$60))+$A37/1000)))</f>
        <v/>
      </c>
      <c r="I37">
        <f>IF(OR(Setup!$E$60="",Setup!$G$60="",Setup!$F$60=""),"",IF(AND(Setup!$F$60="Once",I$1&gt;0),"",IF(OR(IF(Setup!$M$60&gt;0,Setup!$G$60+(Setup!$O$60+I$1)*Setup!$M$60,EDATE(Setup!$G$60,(Setup!$O$60+I$1)*Setup!$N$60))&gt;Setup!$P$60,IF(Setup!$M$60&gt;0,Setup!$G$60+(Setup!$O$60+I$1)*Setup!$M$60,EDATE(Setup!$G$60,(Setup!$O$60+I$1)*Setup!$N$60))&lt;Setup!$D$5),"",IF(Setup!$M$60&gt;0,Setup!$G$60+(Setup!$O$60+I$1)*Setup!$M$60,EDATE(Setup!$G$60,(Setup!$O$60+I$1)*Setup!$N$60))+$A37/1000)))</f>
        <v/>
      </c>
      <c r="J37">
        <f>IF(OR(Setup!$E$60="",Setup!$G$60="",Setup!$F$60=""),"",IF(AND(Setup!$F$60="Once",J$1&gt;0),"",IF(OR(IF(Setup!$M$60&gt;0,Setup!$G$60+(Setup!$O$60+J$1)*Setup!$M$60,EDATE(Setup!$G$60,(Setup!$O$60+J$1)*Setup!$N$60))&gt;Setup!$P$60,IF(Setup!$M$60&gt;0,Setup!$G$60+(Setup!$O$60+J$1)*Setup!$M$60,EDATE(Setup!$G$60,(Setup!$O$60+J$1)*Setup!$N$60))&lt;Setup!$D$5),"",IF(Setup!$M$60&gt;0,Setup!$G$60+(Setup!$O$60+J$1)*Setup!$M$60,EDATE(Setup!$G$60,(Setup!$O$60+J$1)*Setup!$N$60))+$A37/1000)))</f>
        <v/>
      </c>
      <c r="K37">
        <f>IF(OR(Setup!$E$60="",Setup!$G$60="",Setup!$F$60=""),"",IF(AND(Setup!$F$60="Once",K$1&gt;0),"",IF(OR(IF(Setup!$M$60&gt;0,Setup!$G$60+(Setup!$O$60+K$1)*Setup!$M$60,EDATE(Setup!$G$60,(Setup!$O$60+K$1)*Setup!$N$60))&gt;Setup!$P$60,IF(Setup!$M$60&gt;0,Setup!$G$60+(Setup!$O$60+K$1)*Setup!$M$60,EDATE(Setup!$G$60,(Setup!$O$60+K$1)*Setup!$N$60))&lt;Setup!$D$5),"",IF(Setup!$M$60&gt;0,Setup!$G$60+(Setup!$O$60+K$1)*Setup!$M$60,EDATE(Setup!$G$60,(Setup!$O$60+K$1)*Setup!$N$60))+$A37/1000)))</f>
        <v/>
      </c>
      <c r="L37">
        <f>IF(OR(Setup!$E$60="",Setup!$G$60="",Setup!$F$60=""),"",IF(AND(Setup!$F$60="Once",L$1&gt;0),"",IF(OR(IF(Setup!$M$60&gt;0,Setup!$G$60+(Setup!$O$60+L$1)*Setup!$M$60,EDATE(Setup!$G$60,(Setup!$O$60+L$1)*Setup!$N$60))&gt;Setup!$P$60,IF(Setup!$M$60&gt;0,Setup!$G$60+(Setup!$O$60+L$1)*Setup!$M$60,EDATE(Setup!$G$60,(Setup!$O$60+L$1)*Setup!$N$60))&lt;Setup!$D$5),"",IF(Setup!$M$60&gt;0,Setup!$G$60+(Setup!$O$60+L$1)*Setup!$M$60,EDATE(Setup!$G$60,(Setup!$O$60+L$1)*Setup!$N$60))+$A37/1000)))</f>
        <v/>
      </c>
      <c r="M37">
        <f>IF(OR(Setup!$E$60="",Setup!$G$60="",Setup!$F$60=""),"",IF(AND(Setup!$F$60="Once",M$1&gt;0),"",IF(OR(IF(Setup!$M$60&gt;0,Setup!$G$60+(Setup!$O$60+M$1)*Setup!$M$60,EDATE(Setup!$G$60,(Setup!$O$60+M$1)*Setup!$N$60))&gt;Setup!$P$60,IF(Setup!$M$60&gt;0,Setup!$G$60+(Setup!$O$60+M$1)*Setup!$M$60,EDATE(Setup!$G$60,(Setup!$O$60+M$1)*Setup!$N$60))&lt;Setup!$D$5),"",IF(Setup!$M$60&gt;0,Setup!$G$60+(Setup!$O$60+M$1)*Setup!$M$60,EDATE(Setup!$G$60,(Setup!$O$60+M$1)*Setup!$N$60))+$A37/1000)))</f>
        <v/>
      </c>
      <c r="N37">
        <f>IF(OR(Setup!$E$60="",Setup!$G$60="",Setup!$F$60=""),"",IF(AND(Setup!$F$60="Once",N$1&gt;0),"",IF(OR(IF(Setup!$M$60&gt;0,Setup!$G$60+(Setup!$O$60+N$1)*Setup!$M$60,EDATE(Setup!$G$60,(Setup!$O$60+N$1)*Setup!$N$60))&gt;Setup!$P$60,IF(Setup!$M$60&gt;0,Setup!$G$60+(Setup!$O$60+N$1)*Setup!$M$60,EDATE(Setup!$G$60,(Setup!$O$60+N$1)*Setup!$N$60))&lt;Setup!$D$5),"",IF(Setup!$M$60&gt;0,Setup!$G$60+(Setup!$O$60+N$1)*Setup!$M$60,EDATE(Setup!$G$60,(Setup!$O$60+N$1)*Setup!$N$60))+$A37/1000)))</f>
        <v/>
      </c>
      <c r="O37">
        <f>IF(OR(Setup!$E$60="",Setup!$G$60="",Setup!$F$60=""),"",IF(AND(Setup!$F$60="Once",O$1&gt;0),"",IF(OR(IF(Setup!$M$60&gt;0,Setup!$G$60+(Setup!$O$60+O$1)*Setup!$M$60,EDATE(Setup!$G$60,(Setup!$O$60+O$1)*Setup!$N$60))&gt;Setup!$P$60,IF(Setup!$M$60&gt;0,Setup!$G$60+(Setup!$O$60+O$1)*Setup!$M$60,EDATE(Setup!$G$60,(Setup!$O$60+O$1)*Setup!$N$60))&lt;Setup!$D$5),"",IF(Setup!$M$60&gt;0,Setup!$G$60+(Setup!$O$60+O$1)*Setup!$M$60,EDATE(Setup!$G$60,(Setup!$O$60+O$1)*Setup!$N$60))+$A37/1000)))</f>
        <v/>
      </c>
      <c r="P37">
        <f>IF(OR(Setup!$E$60="",Setup!$G$60="",Setup!$F$60=""),"",IF(AND(Setup!$F$60="Once",P$1&gt;0),"",IF(OR(IF(Setup!$M$60&gt;0,Setup!$G$60+(Setup!$O$60+P$1)*Setup!$M$60,EDATE(Setup!$G$60,(Setup!$O$60+P$1)*Setup!$N$60))&gt;Setup!$P$60,IF(Setup!$M$60&gt;0,Setup!$G$60+(Setup!$O$60+P$1)*Setup!$M$60,EDATE(Setup!$G$60,(Setup!$O$60+P$1)*Setup!$N$60))&lt;Setup!$D$5),"",IF(Setup!$M$60&gt;0,Setup!$G$60+(Setup!$O$60+P$1)*Setup!$M$60,EDATE(Setup!$G$60,(Setup!$O$60+P$1)*Setup!$N$60))+$A37/1000)))</f>
        <v/>
      </c>
      <c r="Q37">
        <f>IF(OR(Setup!$E$60="",Setup!$G$60="",Setup!$F$60=""),"",IF(AND(Setup!$F$60="Once",Q$1&gt;0),"",IF(OR(IF(Setup!$M$60&gt;0,Setup!$G$60+(Setup!$O$60+Q$1)*Setup!$M$60,EDATE(Setup!$G$60,(Setup!$O$60+Q$1)*Setup!$N$60))&gt;Setup!$P$60,IF(Setup!$M$60&gt;0,Setup!$G$60+(Setup!$O$60+Q$1)*Setup!$M$60,EDATE(Setup!$G$60,(Setup!$O$60+Q$1)*Setup!$N$60))&lt;Setup!$D$5),"",IF(Setup!$M$60&gt;0,Setup!$G$60+(Setup!$O$60+Q$1)*Setup!$M$60,EDATE(Setup!$G$60,(Setup!$O$60+Q$1)*Setup!$N$60))+$A37/1000)))</f>
        <v/>
      </c>
      <c r="R37">
        <f>IF(OR(Setup!$E$60="",Setup!$G$60="",Setup!$F$60=""),"",IF(AND(Setup!$F$60="Once",R$1&gt;0),"",IF(OR(IF(Setup!$M$60&gt;0,Setup!$G$60+(Setup!$O$60+R$1)*Setup!$M$60,EDATE(Setup!$G$60,(Setup!$O$60+R$1)*Setup!$N$60))&gt;Setup!$P$60,IF(Setup!$M$60&gt;0,Setup!$G$60+(Setup!$O$60+R$1)*Setup!$M$60,EDATE(Setup!$G$60,(Setup!$O$60+R$1)*Setup!$N$60))&lt;Setup!$D$5),"",IF(Setup!$M$60&gt;0,Setup!$G$60+(Setup!$O$60+R$1)*Setup!$M$60,EDATE(Setup!$G$60,(Setup!$O$60+R$1)*Setup!$N$60))+$A37/1000)))</f>
        <v/>
      </c>
      <c r="S37">
        <f>IF(OR(Setup!$E$60="",Setup!$G$60="",Setup!$F$60=""),"",IF(AND(Setup!$F$60="Once",S$1&gt;0),"",IF(OR(IF(Setup!$M$60&gt;0,Setup!$G$60+(Setup!$O$60+S$1)*Setup!$M$60,EDATE(Setup!$G$60,(Setup!$O$60+S$1)*Setup!$N$60))&gt;Setup!$P$60,IF(Setup!$M$60&gt;0,Setup!$G$60+(Setup!$O$60+S$1)*Setup!$M$60,EDATE(Setup!$G$60,(Setup!$O$60+S$1)*Setup!$N$60))&lt;Setup!$D$5),"",IF(Setup!$M$60&gt;0,Setup!$G$60+(Setup!$O$60+S$1)*Setup!$M$60,EDATE(Setup!$G$60,(Setup!$O$60+S$1)*Setup!$N$60))+$A37/1000)))</f>
        <v/>
      </c>
      <c r="T37">
        <f>IF(OR(Setup!$E$60="",Setup!$G$60="",Setup!$F$60=""),"",IF(AND(Setup!$F$60="Once",T$1&gt;0),"",IF(OR(IF(Setup!$M$60&gt;0,Setup!$G$60+(Setup!$O$60+T$1)*Setup!$M$60,EDATE(Setup!$G$60,(Setup!$O$60+T$1)*Setup!$N$60))&gt;Setup!$P$60,IF(Setup!$M$60&gt;0,Setup!$G$60+(Setup!$O$60+T$1)*Setup!$M$60,EDATE(Setup!$G$60,(Setup!$O$60+T$1)*Setup!$N$60))&lt;Setup!$D$5),"",IF(Setup!$M$60&gt;0,Setup!$G$60+(Setup!$O$60+T$1)*Setup!$M$60,EDATE(Setup!$G$60,(Setup!$O$60+T$1)*Setup!$N$60))+$A37/1000)))</f>
        <v/>
      </c>
      <c r="U37">
        <f>IF(OR(Setup!$E$60="",Setup!$G$60="",Setup!$F$60=""),"",IF(AND(Setup!$F$60="Once",U$1&gt;0),"",IF(OR(IF(Setup!$M$60&gt;0,Setup!$G$60+(Setup!$O$60+U$1)*Setup!$M$60,EDATE(Setup!$G$60,(Setup!$O$60+U$1)*Setup!$N$60))&gt;Setup!$P$60,IF(Setup!$M$60&gt;0,Setup!$G$60+(Setup!$O$60+U$1)*Setup!$M$60,EDATE(Setup!$G$60,(Setup!$O$60+U$1)*Setup!$N$60))&lt;Setup!$D$5),"",IF(Setup!$M$60&gt;0,Setup!$G$60+(Setup!$O$60+U$1)*Setup!$M$60,EDATE(Setup!$G$60,(Setup!$O$60+U$1)*Setup!$N$60))+$A37/1000)))</f>
        <v/>
      </c>
      <c r="V37">
        <f>IF(OR(Setup!$E$60="",Setup!$G$60="",Setup!$F$60=""),"",IF(AND(Setup!$F$60="Once",V$1&gt;0),"",IF(OR(IF(Setup!$M$60&gt;0,Setup!$G$60+(Setup!$O$60+V$1)*Setup!$M$60,EDATE(Setup!$G$60,(Setup!$O$60+V$1)*Setup!$N$60))&gt;Setup!$P$60,IF(Setup!$M$60&gt;0,Setup!$G$60+(Setup!$O$60+V$1)*Setup!$M$60,EDATE(Setup!$G$60,(Setup!$O$60+V$1)*Setup!$N$60))&lt;Setup!$D$5),"",IF(Setup!$M$60&gt;0,Setup!$G$60+(Setup!$O$60+V$1)*Setup!$M$60,EDATE(Setup!$G$60,(Setup!$O$60+V$1)*Setup!$N$60))+$A37/1000)))</f>
        <v/>
      </c>
      <c r="W37">
        <f>IF(OR(Setup!$E$60="",Setup!$G$60="",Setup!$F$60=""),"",IF(AND(Setup!$F$60="Once",W$1&gt;0),"",IF(OR(IF(Setup!$M$60&gt;0,Setup!$G$60+(Setup!$O$60+W$1)*Setup!$M$60,EDATE(Setup!$G$60,(Setup!$O$60+W$1)*Setup!$N$60))&gt;Setup!$P$60,IF(Setup!$M$60&gt;0,Setup!$G$60+(Setup!$O$60+W$1)*Setup!$M$60,EDATE(Setup!$G$60,(Setup!$O$60+W$1)*Setup!$N$60))&lt;Setup!$D$5),"",IF(Setup!$M$60&gt;0,Setup!$G$60+(Setup!$O$60+W$1)*Setup!$M$60,EDATE(Setup!$G$60,(Setup!$O$60+W$1)*Setup!$N$60))+$A37/1000)))</f>
        <v/>
      </c>
      <c r="X37">
        <f>IF(OR(Setup!$E$60="",Setup!$G$60="",Setup!$F$60=""),"",IF(AND(Setup!$F$60="Once",X$1&gt;0),"",IF(OR(IF(Setup!$M$60&gt;0,Setup!$G$60+(Setup!$O$60+X$1)*Setup!$M$60,EDATE(Setup!$G$60,(Setup!$O$60+X$1)*Setup!$N$60))&gt;Setup!$P$60,IF(Setup!$M$60&gt;0,Setup!$G$60+(Setup!$O$60+X$1)*Setup!$M$60,EDATE(Setup!$G$60,(Setup!$O$60+X$1)*Setup!$N$60))&lt;Setup!$D$5),"",IF(Setup!$M$60&gt;0,Setup!$G$60+(Setup!$O$60+X$1)*Setup!$M$60,EDATE(Setup!$G$60,(Setup!$O$60+X$1)*Setup!$N$60))+$A37/1000)))</f>
        <v/>
      </c>
      <c r="Y37">
        <f>IF(OR(Setup!$E$60="",Setup!$G$60="",Setup!$F$60=""),"",IF(AND(Setup!$F$60="Once",Y$1&gt;0),"",IF(OR(IF(Setup!$M$60&gt;0,Setup!$G$60+(Setup!$O$60+Y$1)*Setup!$M$60,EDATE(Setup!$G$60,(Setup!$O$60+Y$1)*Setup!$N$60))&gt;Setup!$P$60,IF(Setup!$M$60&gt;0,Setup!$G$60+(Setup!$O$60+Y$1)*Setup!$M$60,EDATE(Setup!$G$60,(Setup!$O$60+Y$1)*Setup!$N$60))&lt;Setup!$D$5),"",IF(Setup!$M$60&gt;0,Setup!$G$60+(Setup!$O$60+Y$1)*Setup!$M$60,EDATE(Setup!$G$60,(Setup!$O$60+Y$1)*Setup!$N$60))+$A37/1000)))</f>
        <v/>
      </c>
      <c r="Z37">
        <f>IF(OR(Setup!$E$60="",Setup!$G$60="",Setup!$F$60=""),"",IF(AND(Setup!$F$60="Once",Z$1&gt;0),"",IF(OR(IF(Setup!$M$60&gt;0,Setup!$G$60+(Setup!$O$60+Z$1)*Setup!$M$60,EDATE(Setup!$G$60,(Setup!$O$60+Z$1)*Setup!$N$60))&gt;Setup!$P$60,IF(Setup!$M$60&gt;0,Setup!$G$60+(Setup!$O$60+Z$1)*Setup!$M$60,EDATE(Setup!$G$60,(Setup!$O$60+Z$1)*Setup!$N$60))&lt;Setup!$D$5),"",IF(Setup!$M$60&gt;0,Setup!$G$60+(Setup!$O$60+Z$1)*Setup!$M$60,EDATE(Setup!$G$60,(Setup!$O$60+Z$1)*Setup!$N$60))+$A37/1000)))</f>
        <v/>
      </c>
      <c r="AA37">
        <f>IF(OR(Setup!$E$60="",Setup!$G$60="",Setup!$F$60=""),"",IF(AND(Setup!$F$60="Once",AA$1&gt;0),"",IF(OR(IF(Setup!$M$60&gt;0,Setup!$G$60+(Setup!$O$60+AA$1)*Setup!$M$60,EDATE(Setup!$G$60,(Setup!$O$60+AA$1)*Setup!$N$60))&gt;Setup!$P$60,IF(Setup!$M$60&gt;0,Setup!$G$60+(Setup!$O$60+AA$1)*Setup!$M$60,EDATE(Setup!$G$60,(Setup!$O$60+AA$1)*Setup!$N$60))&lt;Setup!$D$5),"",IF(Setup!$M$60&gt;0,Setup!$G$60+(Setup!$O$60+AA$1)*Setup!$M$60,EDATE(Setup!$G$60,(Setup!$O$60+AA$1)*Setup!$N$60))+$A37/1000)))</f>
        <v/>
      </c>
      <c r="AB37">
        <f>IF(OR(Setup!$E$60="",Setup!$G$60="",Setup!$F$60=""),"",IF(AND(Setup!$F$60="Once",AB$1&gt;0),"",IF(OR(IF(Setup!$M$60&gt;0,Setup!$G$60+(Setup!$O$60+AB$1)*Setup!$M$60,EDATE(Setup!$G$60,(Setup!$O$60+AB$1)*Setup!$N$60))&gt;Setup!$P$60,IF(Setup!$M$60&gt;0,Setup!$G$60+(Setup!$O$60+AB$1)*Setup!$M$60,EDATE(Setup!$G$60,(Setup!$O$60+AB$1)*Setup!$N$60))&lt;Setup!$D$5),"",IF(Setup!$M$60&gt;0,Setup!$G$60+(Setup!$O$60+AB$1)*Setup!$M$60,EDATE(Setup!$G$60,(Setup!$O$60+AB$1)*Setup!$N$60))+$A37/1000)))</f>
        <v/>
      </c>
      <c r="AC37">
        <f>IF(OR(Setup!$E$60="",Setup!$G$60="",Setup!$F$60=""),"",IF(AND(Setup!$F$60="Once",AC$1&gt;0),"",IF(OR(IF(Setup!$M$60&gt;0,Setup!$G$60+(Setup!$O$60+AC$1)*Setup!$M$60,EDATE(Setup!$G$60,(Setup!$O$60+AC$1)*Setup!$N$60))&gt;Setup!$P$60,IF(Setup!$M$60&gt;0,Setup!$G$60+(Setup!$O$60+AC$1)*Setup!$M$60,EDATE(Setup!$G$60,(Setup!$O$60+AC$1)*Setup!$N$60))&lt;Setup!$D$5),"",IF(Setup!$M$60&gt;0,Setup!$G$60+(Setup!$O$60+AC$1)*Setup!$M$60,EDATE(Setup!$G$60,(Setup!$O$60+AC$1)*Setup!$N$60))+$A37/1000)))</f>
        <v/>
      </c>
      <c r="AD37">
        <f>IF(OR(Setup!$E$60="",Setup!$G$60="",Setup!$F$60=""),"",IF(AND(Setup!$F$60="Once",AD$1&gt;0),"",IF(OR(IF(Setup!$M$60&gt;0,Setup!$G$60+(Setup!$O$60+AD$1)*Setup!$M$60,EDATE(Setup!$G$60,(Setup!$O$60+AD$1)*Setup!$N$60))&gt;Setup!$P$60,IF(Setup!$M$60&gt;0,Setup!$G$60+(Setup!$O$60+AD$1)*Setup!$M$60,EDATE(Setup!$G$60,(Setup!$O$60+AD$1)*Setup!$N$60))&lt;Setup!$D$5),"",IF(Setup!$M$60&gt;0,Setup!$G$60+(Setup!$O$60+AD$1)*Setup!$M$60,EDATE(Setup!$G$60,(Setup!$O$60+AD$1)*Setup!$N$60))+$A37/1000)))</f>
        <v/>
      </c>
      <c r="AE37">
        <f>IF(OR(Setup!$E$60="",Setup!$G$60="",Setup!$F$60=""),"",IF(AND(Setup!$F$60="Once",AE$1&gt;0),"",IF(OR(IF(Setup!$M$60&gt;0,Setup!$G$60+(Setup!$O$60+AE$1)*Setup!$M$60,EDATE(Setup!$G$60,(Setup!$O$60+AE$1)*Setup!$N$60))&gt;Setup!$P$60,IF(Setup!$M$60&gt;0,Setup!$G$60+(Setup!$O$60+AE$1)*Setup!$M$60,EDATE(Setup!$G$60,(Setup!$O$60+AE$1)*Setup!$N$60))&lt;Setup!$D$5),"",IF(Setup!$M$60&gt;0,Setup!$G$60+(Setup!$O$60+AE$1)*Setup!$M$60,EDATE(Setup!$G$60,(Setup!$O$60+AE$1)*Setup!$N$60))+$A37/1000)))</f>
        <v/>
      </c>
      <c r="AF37">
        <f>IF(OR(Setup!$E$60="",Setup!$G$60="",Setup!$F$60=""),"",IF(AND(Setup!$F$60="Once",AF$1&gt;0),"",IF(OR(IF(Setup!$M$60&gt;0,Setup!$G$60+(Setup!$O$60+AF$1)*Setup!$M$60,EDATE(Setup!$G$60,(Setup!$O$60+AF$1)*Setup!$N$60))&gt;Setup!$P$60,IF(Setup!$M$60&gt;0,Setup!$G$60+(Setup!$O$60+AF$1)*Setup!$M$60,EDATE(Setup!$G$60,(Setup!$O$60+AF$1)*Setup!$N$60))&lt;Setup!$D$5),"",IF(Setup!$M$60&gt;0,Setup!$G$60+(Setup!$O$60+AF$1)*Setup!$M$60,EDATE(Setup!$G$60,(Setup!$O$60+AF$1)*Setup!$N$60))+$A37/1000)))</f>
        <v/>
      </c>
      <c r="AG37">
        <f>IF(OR(Setup!$E$60="",Setup!$G$60="",Setup!$F$60=""),"",IF(AND(Setup!$F$60="Once",AG$1&gt;0),"",IF(OR(IF(Setup!$M$60&gt;0,Setup!$G$60+(Setup!$O$60+AG$1)*Setup!$M$60,EDATE(Setup!$G$60,(Setup!$O$60+AG$1)*Setup!$N$60))&gt;Setup!$P$60,IF(Setup!$M$60&gt;0,Setup!$G$60+(Setup!$O$60+AG$1)*Setup!$M$60,EDATE(Setup!$G$60,(Setup!$O$60+AG$1)*Setup!$N$60))&lt;Setup!$D$5),"",IF(Setup!$M$60&gt;0,Setup!$G$60+(Setup!$O$60+AG$1)*Setup!$M$60,EDATE(Setup!$G$60,(Setup!$O$60+AG$1)*Setup!$N$60))+$A37/1000)))</f>
        <v/>
      </c>
      <c r="AH37">
        <f>IF(OR(Setup!$E$60="",Setup!$G$60="",Setup!$F$60=""),"",IF(AND(Setup!$F$60="Once",AH$1&gt;0),"",IF(OR(IF(Setup!$M$60&gt;0,Setup!$G$60+(Setup!$O$60+AH$1)*Setup!$M$60,EDATE(Setup!$G$60,(Setup!$O$60+AH$1)*Setup!$N$60))&gt;Setup!$P$60,IF(Setup!$M$60&gt;0,Setup!$G$60+(Setup!$O$60+AH$1)*Setup!$M$60,EDATE(Setup!$G$60,(Setup!$O$60+AH$1)*Setup!$N$60))&lt;Setup!$D$5),"",IF(Setup!$M$60&gt;0,Setup!$G$60+(Setup!$O$60+AH$1)*Setup!$M$60,EDATE(Setup!$G$60,(Setup!$O$60+AH$1)*Setup!$N$60))+$A37/1000)))</f>
        <v/>
      </c>
      <c r="AI37">
        <f>IF(OR(Setup!$E$60="",Setup!$G$60="",Setup!$F$60=""),"",IF(AND(Setup!$F$60="Once",AI$1&gt;0),"",IF(OR(IF(Setup!$M$60&gt;0,Setup!$G$60+(Setup!$O$60+AI$1)*Setup!$M$60,EDATE(Setup!$G$60,(Setup!$O$60+AI$1)*Setup!$N$60))&gt;Setup!$P$60,IF(Setup!$M$60&gt;0,Setup!$G$60+(Setup!$O$60+AI$1)*Setup!$M$60,EDATE(Setup!$G$60,(Setup!$O$60+AI$1)*Setup!$N$60))&lt;Setup!$D$5),"",IF(Setup!$M$60&gt;0,Setup!$G$60+(Setup!$O$60+AI$1)*Setup!$M$60,EDATE(Setup!$G$60,(Setup!$O$60+AI$1)*Setup!$N$60))+$A37/1000)))</f>
        <v/>
      </c>
      <c r="AJ37">
        <f>IF(OR(Setup!$E$60="",Setup!$G$60="",Setup!$F$60=""),"",IF(AND(Setup!$F$60="Once",AJ$1&gt;0),"",IF(OR(IF(Setup!$M$60&gt;0,Setup!$G$60+(Setup!$O$60+AJ$1)*Setup!$M$60,EDATE(Setup!$G$60,(Setup!$O$60+AJ$1)*Setup!$N$60))&gt;Setup!$P$60,IF(Setup!$M$60&gt;0,Setup!$G$60+(Setup!$O$60+AJ$1)*Setup!$M$60,EDATE(Setup!$G$60,(Setup!$O$60+AJ$1)*Setup!$N$60))&lt;Setup!$D$5),"",IF(Setup!$M$60&gt;0,Setup!$G$60+(Setup!$O$60+AJ$1)*Setup!$M$60,EDATE(Setup!$G$60,(Setup!$O$60+AJ$1)*Setup!$N$60))+$A37/1000)))</f>
        <v/>
      </c>
      <c r="AK37">
        <f>IF(OR(Setup!$E$60="",Setup!$G$60="",Setup!$F$60=""),"",IF(AND(Setup!$F$60="Once",AK$1&gt;0),"",IF(OR(IF(Setup!$M$60&gt;0,Setup!$G$60+(Setup!$O$60+AK$1)*Setup!$M$60,EDATE(Setup!$G$60,(Setup!$O$60+AK$1)*Setup!$N$60))&gt;Setup!$P$60,IF(Setup!$M$60&gt;0,Setup!$G$60+(Setup!$O$60+AK$1)*Setup!$M$60,EDATE(Setup!$G$60,(Setup!$O$60+AK$1)*Setup!$N$60))&lt;Setup!$D$5),"",IF(Setup!$M$60&gt;0,Setup!$G$60+(Setup!$O$60+AK$1)*Setup!$M$60,EDATE(Setup!$G$60,(Setup!$O$60+AK$1)*Setup!$N$60))+$A37/1000)))</f>
        <v/>
      </c>
      <c r="AL37">
        <f>IF(OR(Setup!$E$60="",Setup!$G$60="",Setup!$F$60=""),"",IF(AND(Setup!$F$60="Once",AL$1&gt;0),"",IF(OR(IF(Setup!$M$60&gt;0,Setup!$G$60+(Setup!$O$60+AL$1)*Setup!$M$60,EDATE(Setup!$G$60,(Setup!$O$60+AL$1)*Setup!$N$60))&gt;Setup!$P$60,IF(Setup!$M$60&gt;0,Setup!$G$60+(Setup!$O$60+AL$1)*Setup!$M$60,EDATE(Setup!$G$60,(Setup!$O$60+AL$1)*Setup!$N$60))&lt;Setup!$D$5),"",IF(Setup!$M$60&gt;0,Setup!$G$60+(Setup!$O$60+AL$1)*Setup!$M$60,EDATE(Setup!$G$60,(Setup!$O$60+AL$1)*Setup!$N$60))+$A37/1000)))</f>
        <v/>
      </c>
      <c r="AM37">
        <f>IF(OR(Setup!$E$60="",Setup!$G$60="",Setup!$F$60=""),"",IF(AND(Setup!$F$60="Once",AM$1&gt;0),"",IF(OR(IF(Setup!$M$60&gt;0,Setup!$G$60+(Setup!$O$60+AM$1)*Setup!$M$60,EDATE(Setup!$G$60,(Setup!$O$60+AM$1)*Setup!$N$60))&gt;Setup!$P$60,IF(Setup!$M$60&gt;0,Setup!$G$60+(Setup!$O$60+AM$1)*Setup!$M$60,EDATE(Setup!$G$60,(Setup!$O$60+AM$1)*Setup!$N$60))&lt;Setup!$D$5),"",IF(Setup!$M$60&gt;0,Setup!$G$60+(Setup!$O$60+AM$1)*Setup!$M$60,EDATE(Setup!$G$60,(Setup!$O$60+AM$1)*Setup!$N$60))+$A37/1000)))</f>
        <v/>
      </c>
      <c r="AN37">
        <f>IF(OR(Setup!$E$60="",Setup!$G$60="",Setup!$F$60=""),"",IF(AND(Setup!$F$60="Once",AN$1&gt;0),"",IF(OR(IF(Setup!$M$60&gt;0,Setup!$G$60+(Setup!$O$60+AN$1)*Setup!$M$60,EDATE(Setup!$G$60,(Setup!$O$60+AN$1)*Setup!$N$60))&gt;Setup!$P$60,IF(Setup!$M$60&gt;0,Setup!$G$60+(Setup!$O$60+AN$1)*Setup!$M$60,EDATE(Setup!$G$60,(Setup!$O$60+AN$1)*Setup!$N$60))&lt;Setup!$D$5),"",IF(Setup!$M$60&gt;0,Setup!$G$60+(Setup!$O$60+AN$1)*Setup!$M$60,EDATE(Setup!$G$60,(Setup!$O$60+AN$1)*Setup!$N$60))+$A37/1000)))</f>
        <v/>
      </c>
      <c r="AO37">
        <f>IF(OR(Setup!$E$60="",Setup!$G$60="",Setup!$F$60=""),"",IF(AND(Setup!$F$60="Once",AO$1&gt;0),"",IF(OR(IF(Setup!$M$60&gt;0,Setup!$G$60+(Setup!$O$60+AO$1)*Setup!$M$60,EDATE(Setup!$G$60,(Setup!$O$60+AO$1)*Setup!$N$60))&gt;Setup!$P$60,IF(Setup!$M$60&gt;0,Setup!$G$60+(Setup!$O$60+AO$1)*Setup!$M$60,EDATE(Setup!$G$60,(Setup!$O$60+AO$1)*Setup!$N$60))&lt;Setup!$D$5),"",IF(Setup!$M$60&gt;0,Setup!$G$60+(Setup!$O$60+AO$1)*Setup!$M$60,EDATE(Setup!$G$60,(Setup!$O$60+AO$1)*Setup!$N$60))+$A37/1000)))</f>
        <v/>
      </c>
      <c r="AP37">
        <f>IF(OR(Setup!$E$60="",Setup!$G$60="",Setup!$F$60=""),"",IF(AND(Setup!$F$60="Once",AP$1&gt;0),"",IF(OR(IF(Setup!$M$60&gt;0,Setup!$G$60+(Setup!$O$60+AP$1)*Setup!$M$60,EDATE(Setup!$G$60,(Setup!$O$60+AP$1)*Setup!$N$60))&gt;Setup!$P$60,IF(Setup!$M$60&gt;0,Setup!$G$60+(Setup!$O$60+AP$1)*Setup!$M$60,EDATE(Setup!$G$60,(Setup!$O$60+AP$1)*Setup!$N$60))&lt;Setup!$D$5),"",IF(Setup!$M$60&gt;0,Setup!$G$60+(Setup!$O$60+AP$1)*Setup!$M$60,EDATE(Setup!$G$60,(Setup!$O$60+AP$1)*Setup!$N$60))+$A37/1000)))</f>
        <v/>
      </c>
      <c r="AQ37">
        <f>IF(OR(Setup!$E$60="",Setup!$G$60="",Setup!$F$60=""),"",IF(AND(Setup!$F$60="Once",AQ$1&gt;0),"",IF(OR(IF(Setup!$M$60&gt;0,Setup!$G$60+(Setup!$O$60+AQ$1)*Setup!$M$60,EDATE(Setup!$G$60,(Setup!$O$60+AQ$1)*Setup!$N$60))&gt;Setup!$P$60,IF(Setup!$M$60&gt;0,Setup!$G$60+(Setup!$O$60+AQ$1)*Setup!$M$60,EDATE(Setup!$G$60,(Setup!$O$60+AQ$1)*Setup!$N$60))&lt;Setup!$D$5),"",IF(Setup!$M$60&gt;0,Setup!$G$60+(Setup!$O$60+AQ$1)*Setup!$M$60,EDATE(Setup!$G$60,(Setup!$O$60+AQ$1)*Setup!$N$60))+$A37/1000)))</f>
        <v/>
      </c>
      <c r="AR37">
        <f>IF(OR(Setup!$E$60="",Setup!$G$60="",Setup!$F$60=""),"",IF(AND(Setup!$F$60="Once",AR$1&gt;0),"",IF(OR(IF(Setup!$M$60&gt;0,Setup!$G$60+(Setup!$O$60+AR$1)*Setup!$M$60,EDATE(Setup!$G$60,(Setup!$O$60+AR$1)*Setup!$N$60))&gt;Setup!$P$60,IF(Setup!$M$60&gt;0,Setup!$G$60+(Setup!$O$60+AR$1)*Setup!$M$60,EDATE(Setup!$G$60,(Setup!$O$60+AR$1)*Setup!$N$60))&lt;Setup!$D$5),"",IF(Setup!$M$60&gt;0,Setup!$G$60+(Setup!$O$60+AR$1)*Setup!$M$60,EDATE(Setup!$G$60,(Setup!$O$60+AR$1)*Setup!$N$60))+$A37/1000)))</f>
        <v/>
      </c>
      <c r="AS37">
        <f>IF(OR(Setup!$E$60="",Setup!$G$60="",Setup!$F$60=""),"",IF(AND(Setup!$F$60="Once",AS$1&gt;0),"",IF(OR(IF(Setup!$M$60&gt;0,Setup!$G$60+(Setup!$O$60+AS$1)*Setup!$M$60,EDATE(Setup!$G$60,(Setup!$O$60+AS$1)*Setup!$N$60))&gt;Setup!$P$60,IF(Setup!$M$60&gt;0,Setup!$G$60+(Setup!$O$60+AS$1)*Setup!$M$60,EDATE(Setup!$G$60,(Setup!$O$60+AS$1)*Setup!$N$60))&lt;Setup!$D$5),"",IF(Setup!$M$60&gt;0,Setup!$G$60+(Setup!$O$60+AS$1)*Setup!$M$60,EDATE(Setup!$G$60,(Setup!$O$60+AS$1)*Setup!$N$60))+$A37/1000)))</f>
        <v/>
      </c>
      <c r="AT37">
        <f>IF(OR(Setup!$E$60="",Setup!$G$60="",Setup!$F$60=""),"",IF(AND(Setup!$F$60="Once",AT$1&gt;0),"",IF(OR(IF(Setup!$M$60&gt;0,Setup!$G$60+(Setup!$O$60+AT$1)*Setup!$M$60,EDATE(Setup!$G$60,(Setup!$O$60+AT$1)*Setup!$N$60))&gt;Setup!$P$60,IF(Setup!$M$60&gt;0,Setup!$G$60+(Setup!$O$60+AT$1)*Setup!$M$60,EDATE(Setup!$G$60,(Setup!$O$60+AT$1)*Setup!$N$60))&lt;Setup!$D$5),"",IF(Setup!$M$60&gt;0,Setup!$G$60+(Setup!$O$60+AT$1)*Setup!$M$60,EDATE(Setup!$G$60,(Setup!$O$60+AT$1)*Setup!$N$60))+$A37/1000)))</f>
        <v/>
      </c>
      <c r="AU37">
        <f>IF(OR(Setup!$E$60="",Setup!$G$60="",Setup!$F$60=""),"",IF(AND(Setup!$F$60="Once",AU$1&gt;0),"",IF(OR(IF(Setup!$M$60&gt;0,Setup!$G$60+(Setup!$O$60+AU$1)*Setup!$M$60,EDATE(Setup!$G$60,(Setup!$O$60+AU$1)*Setup!$N$60))&gt;Setup!$P$60,IF(Setup!$M$60&gt;0,Setup!$G$60+(Setup!$O$60+AU$1)*Setup!$M$60,EDATE(Setup!$G$60,(Setup!$O$60+AU$1)*Setup!$N$60))&lt;Setup!$D$5),"",IF(Setup!$M$60&gt;0,Setup!$G$60+(Setup!$O$60+AU$1)*Setup!$M$60,EDATE(Setup!$G$60,(Setup!$O$60+AU$1)*Setup!$N$60))+$A37/1000)))</f>
        <v/>
      </c>
      <c r="AV37">
        <f>IF(OR(Setup!$E$60="",Setup!$G$60="",Setup!$F$60=""),"",IF(AND(Setup!$F$60="Once",AV$1&gt;0),"",IF(OR(IF(Setup!$M$60&gt;0,Setup!$G$60+(Setup!$O$60+AV$1)*Setup!$M$60,EDATE(Setup!$G$60,(Setup!$O$60+AV$1)*Setup!$N$60))&gt;Setup!$P$60,IF(Setup!$M$60&gt;0,Setup!$G$60+(Setup!$O$60+AV$1)*Setup!$M$60,EDATE(Setup!$G$60,(Setup!$O$60+AV$1)*Setup!$N$60))&lt;Setup!$D$5),"",IF(Setup!$M$60&gt;0,Setup!$G$60+(Setup!$O$60+AV$1)*Setup!$M$60,EDATE(Setup!$G$60,(Setup!$O$60+AV$1)*Setup!$N$60))+$A37/1000)))</f>
        <v/>
      </c>
      <c r="AW37">
        <f>IF(OR(Setup!$E$60="",Setup!$G$60="",Setup!$F$60=""),"",IF(AND(Setup!$F$60="Once",AW$1&gt;0),"",IF(OR(IF(Setup!$M$60&gt;0,Setup!$G$60+(Setup!$O$60+AW$1)*Setup!$M$60,EDATE(Setup!$G$60,(Setup!$O$60+AW$1)*Setup!$N$60))&gt;Setup!$P$60,IF(Setup!$M$60&gt;0,Setup!$G$60+(Setup!$O$60+AW$1)*Setup!$M$60,EDATE(Setup!$G$60,(Setup!$O$60+AW$1)*Setup!$N$60))&lt;Setup!$D$5),"",IF(Setup!$M$60&gt;0,Setup!$G$60+(Setup!$O$60+AW$1)*Setup!$M$60,EDATE(Setup!$G$60,(Setup!$O$60+AW$1)*Setup!$N$60))+$A37/1000)))</f>
        <v/>
      </c>
      <c r="AX37">
        <f>IF(OR(Setup!$E$60="",Setup!$G$60="",Setup!$F$60=""),"",IF(AND(Setup!$F$60="Once",AX$1&gt;0),"",IF(OR(IF(Setup!$M$60&gt;0,Setup!$G$60+(Setup!$O$60+AX$1)*Setup!$M$60,EDATE(Setup!$G$60,(Setup!$O$60+AX$1)*Setup!$N$60))&gt;Setup!$P$60,IF(Setup!$M$60&gt;0,Setup!$G$60+(Setup!$O$60+AX$1)*Setup!$M$60,EDATE(Setup!$G$60,(Setup!$O$60+AX$1)*Setup!$N$60))&lt;Setup!$D$5),"",IF(Setup!$M$60&gt;0,Setup!$G$60+(Setup!$O$60+AX$1)*Setup!$M$60,EDATE(Setup!$G$60,(Setup!$O$60+AX$1)*Setup!$N$60))+$A37/1000)))</f>
        <v/>
      </c>
      <c r="AY37">
        <f>IF(OR(Setup!$E$60="",Setup!$G$60="",Setup!$F$60=""),"",IF(AND(Setup!$F$60="Once",AY$1&gt;0),"",IF(OR(IF(Setup!$M$60&gt;0,Setup!$G$60+(Setup!$O$60+AY$1)*Setup!$M$60,EDATE(Setup!$G$60,(Setup!$O$60+AY$1)*Setup!$N$60))&gt;Setup!$P$60,IF(Setup!$M$60&gt;0,Setup!$G$60+(Setup!$O$60+AY$1)*Setup!$M$60,EDATE(Setup!$G$60,(Setup!$O$60+AY$1)*Setup!$N$60))&lt;Setup!$D$5),"",IF(Setup!$M$60&gt;0,Setup!$G$60+(Setup!$O$60+AY$1)*Setup!$M$60,EDATE(Setup!$G$60,(Setup!$O$60+AY$1)*Setup!$N$60))+$A37/1000)))</f>
        <v/>
      </c>
      <c r="AZ37">
        <f>IF(OR(Setup!$E$60="",Setup!$G$60="",Setup!$F$60=""),"",IF(AND(Setup!$F$60="Once",AZ$1&gt;0),"",IF(OR(IF(Setup!$M$60&gt;0,Setup!$G$60+(Setup!$O$60+AZ$1)*Setup!$M$60,EDATE(Setup!$G$60,(Setup!$O$60+AZ$1)*Setup!$N$60))&gt;Setup!$P$60,IF(Setup!$M$60&gt;0,Setup!$G$60+(Setup!$O$60+AZ$1)*Setup!$M$60,EDATE(Setup!$G$60,(Setup!$O$60+AZ$1)*Setup!$N$60))&lt;Setup!$D$5),"",IF(Setup!$M$60&gt;0,Setup!$G$60+(Setup!$O$60+AZ$1)*Setup!$M$60,EDATE(Setup!$G$60,(Setup!$O$60+AZ$1)*Setup!$N$60))+$A37/1000)))</f>
        <v/>
      </c>
      <c r="BA37">
        <f>IF(OR(Setup!$E$60="",Setup!$G$60="",Setup!$F$60=""),"",IF(AND(Setup!$F$60="Once",BA$1&gt;0),"",IF(OR(IF(Setup!$M$60&gt;0,Setup!$G$60+(Setup!$O$60+BA$1)*Setup!$M$60,EDATE(Setup!$G$60,(Setup!$O$60+BA$1)*Setup!$N$60))&gt;Setup!$P$60,IF(Setup!$M$60&gt;0,Setup!$G$60+(Setup!$O$60+BA$1)*Setup!$M$60,EDATE(Setup!$G$60,(Setup!$O$60+BA$1)*Setup!$N$60))&lt;Setup!$D$5),"",IF(Setup!$M$60&gt;0,Setup!$G$60+(Setup!$O$60+BA$1)*Setup!$M$60,EDATE(Setup!$G$60,(Setup!$O$60+BA$1)*Setup!$N$60))+$A37/1000)))</f>
        <v/>
      </c>
      <c r="BB37">
        <f>IF(OR(Setup!$E$60="",Setup!$G$60="",Setup!$F$60=""),"",IF(AND(Setup!$F$60="Once",BB$1&gt;0),"",IF(OR(IF(Setup!$M$60&gt;0,Setup!$G$60+(Setup!$O$60+BB$1)*Setup!$M$60,EDATE(Setup!$G$60,(Setup!$O$60+BB$1)*Setup!$N$60))&gt;Setup!$P$60,IF(Setup!$M$60&gt;0,Setup!$G$60+(Setup!$O$60+BB$1)*Setup!$M$60,EDATE(Setup!$G$60,(Setup!$O$60+BB$1)*Setup!$N$60))&lt;Setup!$D$5),"",IF(Setup!$M$60&gt;0,Setup!$G$60+(Setup!$O$60+BB$1)*Setup!$M$60,EDATE(Setup!$G$60,(Setup!$O$60+BB$1)*Setup!$N$60))+$A37/1000)))</f>
        <v/>
      </c>
    </row>
    <row r="38">
      <c r="A38" t="n">
        <v>37</v>
      </c>
      <c r="B38">
        <f>IF(OR(Setup!$E$61="",Setup!$G$61="",Setup!$F$61=""),"",IF(AND(Setup!$F$61="Once",B$1&gt;0),"",IF(OR(IF(Setup!$M$61&gt;0,Setup!$G$61+(Setup!$O$61+B$1)*Setup!$M$61,EDATE(Setup!$G$61,(Setup!$O$61+B$1)*Setup!$N$61))&gt;Setup!$P$61,IF(Setup!$M$61&gt;0,Setup!$G$61+(Setup!$O$61+B$1)*Setup!$M$61,EDATE(Setup!$G$61,(Setup!$O$61+B$1)*Setup!$N$61))&lt;Setup!$D$5),"",IF(Setup!$M$61&gt;0,Setup!$G$61+(Setup!$O$61+B$1)*Setup!$M$61,EDATE(Setup!$G$61,(Setup!$O$61+B$1)*Setup!$N$61))+$A38/1000)))</f>
        <v/>
      </c>
      <c r="C38">
        <f>IF(OR(Setup!$E$61="",Setup!$G$61="",Setup!$F$61=""),"",IF(AND(Setup!$F$61="Once",C$1&gt;0),"",IF(OR(IF(Setup!$M$61&gt;0,Setup!$G$61+(Setup!$O$61+C$1)*Setup!$M$61,EDATE(Setup!$G$61,(Setup!$O$61+C$1)*Setup!$N$61))&gt;Setup!$P$61,IF(Setup!$M$61&gt;0,Setup!$G$61+(Setup!$O$61+C$1)*Setup!$M$61,EDATE(Setup!$G$61,(Setup!$O$61+C$1)*Setup!$N$61))&lt;Setup!$D$5),"",IF(Setup!$M$61&gt;0,Setup!$G$61+(Setup!$O$61+C$1)*Setup!$M$61,EDATE(Setup!$G$61,(Setup!$O$61+C$1)*Setup!$N$61))+$A38/1000)))</f>
        <v/>
      </c>
      <c r="D38">
        <f>IF(OR(Setup!$E$61="",Setup!$G$61="",Setup!$F$61=""),"",IF(AND(Setup!$F$61="Once",D$1&gt;0),"",IF(OR(IF(Setup!$M$61&gt;0,Setup!$G$61+(Setup!$O$61+D$1)*Setup!$M$61,EDATE(Setup!$G$61,(Setup!$O$61+D$1)*Setup!$N$61))&gt;Setup!$P$61,IF(Setup!$M$61&gt;0,Setup!$G$61+(Setup!$O$61+D$1)*Setup!$M$61,EDATE(Setup!$G$61,(Setup!$O$61+D$1)*Setup!$N$61))&lt;Setup!$D$5),"",IF(Setup!$M$61&gt;0,Setup!$G$61+(Setup!$O$61+D$1)*Setup!$M$61,EDATE(Setup!$G$61,(Setup!$O$61+D$1)*Setup!$N$61))+$A38/1000)))</f>
        <v/>
      </c>
      <c r="E38">
        <f>IF(OR(Setup!$E$61="",Setup!$G$61="",Setup!$F$61=""),"",IF(AND(Setup!$F$61="Once",E$1&gt;0),"",IF(OR(IF(Setup!$M$61&gt;0,Setup!$G$61+(Setup!$O$61+E$1)*Setup!$M$61,EDATE(Setup!$G$61,(Setup!$O$61+E$1)*Setup!$N$61))&gt;Setup!$P$61,IF(Setup!$M$61&gt;0,Setup!$G$61+(Setup!$O$61+E$1)*Setup!$M$61,EDATE(Setup!$G$61,(Setup!$O$61+E$1)*Setup!$N$61))&lt;Setup!$D$5),"",IF(Setup!$M$61&gt;0,Setup!$G$61+(Setup!$O$61+E$1)*Setup!$M$61,EDATE(Setup!$G$61,(Setup!$O$61+E$1)*Setup!$N$61))+$A38/1000)))</f>
        <v/>
      </c>
      <c r="F38">
        <f>IF(OR(Setup!$E$61="",Setup!$G$61="",Setup!$F$61=""),"",IF(AND(Setup!$F$61="Once",F$1&gt;0),"",IF(OR(IF(Setup!$M$61&gt;0,Setup!$G$61+(Setup!$O$61+F$1)*Setup!$M$61,EDATE(Setup!$G$61,(Setup!$O$61+F$1)*Setup!$N$61))&gt;Setup!$P$61,IF(Setup!$M$61&gt;0,Setup!$G$61+(Setup!$O$61+F$1)*Setup!$M$61,EDATE(Setup!$G$61,(Setup!$O$61+F$1)*Setup!$N$61))&lt;Setup!$D$5),"",IF(Setup!$M$61&gt;0,Setup!$G$61+(Setup!$O$61+F$1)*Setup!$M$61,EDATE(Setup!$G$61,(Setup!$O$61+F$1)*Setup!$N$61))+$A38/1000)))</f>
        <v/>
      </c>
      <c r="G38">
        <f>IF(OR(Setup!$E$61="",Setup!$G$61="",Setup!$F$61=""),"",IF(AND(Setup!$F$61="Once",G$1&gt;0),"",IF(OR(IF(Setup!$M$61&gt;0,Setup!$G$61+(Setup!$O$61+G$1)*Setup!$M$61,EDATE(Setup!$G$61,(Setup!$O$61+G$1)*Setup!$N$61))&gt;Setup!$P$61,IF(Setup!$M$61&gt;0,Setup!$G$61+(Setup!$O$61+G$1)*Setup!$M$61,EDATE(Setup!$G$61,(Setup!$O$61+G$1)*Setup!$N$61))&lt;Setup!$D$5),"",IF(Setup!$M$61&gt;0,Setup!$G$61+(Setup!$O$61+G$1)*Setup!$M$61,EDATE(Setup!$G$61,(Setup!$O$61+G$1)*Setup!$N$61))+$A38/1000)))</f>
        <v/>
      </c>
      <c r="H38">
        <f>IF(OR(Setup!$E$61="",Setup!$G$61="",Setup!$F$61=""),"",IF(AND(Setup!$F$61="Once",H$1&gt;0),"",IF(OR(IF(Setup!$M$61&gt;0,Setup!$G$61+(Setup!$O$61+H$1)*Setup!$M$61,EDATE(Setup!$G$61,(Setup!$O$61+H$1)*Setup!$N$61))&gt;Setup!$P$61,IF(Setup!$M$61&gt;0,Setup!$G$61+(Setup!$O$61+H$1)*Setup!$M$61,EDATE(Setup!$G$61,(Setup!$O$61+H$1)*Setup!$N$61))&lt;Setup!$D$5),"",IF(Setup!$M$61&gt;0,Setup!$G$61+(Setup!$O$61+H$1)*Setup!$M$61,EDATE(Setup!$G$61,(Setup!$O$61+H$1)*Setup!$N$61))+$A38/1000)))</f>
        <v/>
      </c>
      <c r="I38">
        <f>IF(OR(Setup!$E$61="",Setup!$G$61="",Setup!$F$61=""),"",IF(AND(Setup!$F$61="Once",I$1&gt;0),"",IF(OR(IF(Setup!$M$61&gt;0,Setup!$G$61+(Setup!$O$61+I$1)*Setup!$M$61,EDATE(Setup!$G$61,(Setup!$O$61+I$1)*Setup!$N$61))&gt;Setup!$P$61,IF(Setup!$M$61&gt;0,Setup!$G$61+(Setup!$O$61+I$1)*Setup!$M$61,EDATE(Setup!$G$61,(Setup!$O$61+I$1)*Setup!$N$61))&lt;Setup!$D$5),"",IF(Setup!$M$61&gt;0,Setup!$G$61+(Setup!$O$61+I$1)*Setup!$M$61,EDATE(Setup!$G$61,(Setup!$O$61+I$1)*Setup!$N$61))+$A38/1000)))</f>
        <v/>
      </c>
      <c r="J38">
        <f>IF(OR(Setup!$E$61="",Setup!$G$61="",Setup!$F$61=""),"",IF(AND(Setup!$F$61="Once",J$1&gt;0),"",IF(OR(IF(Setup!$M$61&gt;0,Setup!$G$61+(Setup!$O$61+J$1)*Setup!$M$61,EDATE(Setup!$G$61,(Setup!$O$61+J$1)*Setup!$N$61))&gt;Setup!$P$61,IF(Setup!$M$61&gt;0,Setup!$G$61+(Setup!$O$61+J$1)*Setup!$M$61,EDATE(Setup!$G$61,(Setup!$O$61+J$1)*Setup!$N$61))&lt;Setup!$D$5),"",IF(Setup!$M$61&gt;0,Setup!$G$61+(Setup!$O$61+J$1)*Setup!$M$61,EDATE(Setup!$G$61,(Setup!$O$61+J$1)*Setup!$N$61))+$A38/1000)))</f>
        <v/>
      </c>
      <c r="K38">
        <f>IF(OR(Setup!$E$61="",Setup!$G$61="",Setup!$F$61=""),"",IF(AND(Setup!$F$61="Once",K$1&gt;0),"",IF(OR(IF(Setup!$M$61&gt;0,Setup!$G$61+(Setup!$O$61+K$1)*Setup!$M$61,EDATE(Setup!$G$61,(Setup!$O$61+K$1)*Setup!$N$61))&gt;Setup!$P$61,IF(Setup!$M$61&gt;0,Setup!$G$61+(Setup!$O$61+K$1)*Setup!$M$61,EDATE(Setup!$G$61,(Setup!$O$61+K$1)*Setup!$N$61))&lt;Setup!$D$5),"",IF(Setup!$M$61&gt;0,Setup!$G$61+(Setup!$O$61+K$1)*Setup!$M$61,EDATE(Setup!$G$61,(Setup!$O$61+K$1)*Setup!$N$61))+$A38/1000)))</f>
        <v/>
      </c>
      <c r="L38">
        <f>IF(OR(Setup!$E$61="",Setup!$G$61="",Setup!$F$61=""),"",IF(AND(Setup!$F$61="Once",L$1&gt;0),"",IF(OR(IF(Setup!$M$61&gt;0,Setup!$G$61+(Setup!$O$61+L$1)*Setup!$M$61,EDATE(Setup!$G$61,(Setup!$O$61+L$1)*Setup!$N$61))&gt;Setup!$P$61,IF(Setup!$M$61&gt;0,Setup!$G$61+(Setup!$O$61+L$1)*Setup!$M$61,EDATE(Setup!$G$61,(Setup!$O$61+L$1)*Setup!$N$61))&lt;Setup!$D$5),"",IF(Setup!$M$61&gt;0,Setup!$G$61+(Setup!$O$61+L$1)*Setup!$M$61,EDATE(Setup!$G$61,(Setup!$O$61+L$1)*Setup!$N$61))+$A38/1000)))</f>
        <v/>
      </c>
      <c r="M38">
        <f>IF(OR(Setup!$E$61="",Setup!$G$61="",Setup!$F$61=""),"",IF(AND(Setup!$F$61="Once",M$1&gt;0),"",IF(OR(IF(Setup!$M$61&gt;0,Setup!$G$61+(Setup!$O$61+M$1)*Setup!$M$61,EDATE(Setup!$G$61,(Setup!$O$61+M$1)*Setup!$N$61))&gt;Setup!$P$61,IF(Setup!$M$61&gt;0,Setup!$G$61+(Setup!$O$61+M$1)*Setup!$M$61,EDATE(Setup!$G$61,(Setup!$O$61+M$1)*Setup!$N$61))&lt;Setup!$D$5),"",IF(Setup!$M$61&gt;0,Setup!$G$61+(Setup!$O$61+M$1)*Setup!$M$61,EDATE(Setup!$G$61,(Setup!$O$61+M$1)*Setup!$N$61))+$A38/1000)))</f>
        <v/>
      </c>
      <c r="N38">
        <f>IF(OR(Setup!$E$61="",Setup!$G$61="",Setup!$F$61=""),"",IF(AND(Setup!$F$61="Once",N$1&gt;0),"",IF(OR(IF(Setup!$M$61&gt;0,Setup!$G$61+(Setup!$O$61+N$1)*Setup!$M$61,EDATE(Setup!$G$61,(Setup!$O$61+N$1)*Setup!$N$61))&gt;Setup!$P$61,IF(Setup!$M$61&gt;0,Setup!$G$61+(Setup!$O$61+N$1)*Setup!$M$61,EDATE(Setup!$G$61,(Setup!$O$61+N$1)*Setup!$N$61))&lt;Setup!$D$5),"",IF(Setup!$M$61&gt;0,Setup!$G$61+(Setup!$O$61+N$1)*Setup!$M$61,EDATE(Setup!$G$61,(Setup!$O$61+N$1)*Setup!$N$61))+$A38/1000)))</f>
        <v/>
      </c>
      <c r="O38">
        <f>IF(OR(Setup!$E$61="",Setup!$G$61="",Setup!$F$61=""),"",IF(AND(Setup!$F$61="Once",O$1&gt;0),"",IF(OR(IF(Setup!$M$61&gt;0,Setup!$G$61+(Setup!$O$61+O$1)*Setup!$M$61,EDATE(Setup!$G$61,(Setup!$O$61+O$1)*Setup!$N$61))&gt;Setup!$P$61,IF(Setup!$M$61&gt;0,Setup!$G$61+(Setup!$O$61+O$1)*Setup!$M$61,EDATE(Setup!$G$61,(Setup!$O$61+O$1)*Setup!$N$61))&lt;Setup!$D$5),"",IF(Setup!$M$61&gt;0,Setup!$G$61+(Setup!$O$61+O$1)*Setup!$M$61,EDATE(Setup!$G$61,(Setup!$O$61+O$1)*Setup!$N$61))+$A38/1000)))</f>
        <v/>
      </c>
      <c r="P38">
        <f>IF(OR(Setup!$E$61="",Setup!$G$61="",Setup!$F$61=""),"",IF(AND(Setup!$F$61="Once",P$1&gt;0),"",IF(OR(IF(Setup!$M$61&gt;0,Setup!$G$61+(Setup!$O$61+P$1)*Setup!$M$61,EDATE(Setup!$G$61,(Setup!$O$61+P$1)*Setup!$N$61))&gt;Setup!$P$61,IF(Setup!$M$61&gt;0,Setup!$G$61+(Setup!$O$61+P$1)*Setup!$M$61,EDATE(Setup!$G$61,(Setup!$O$61+P$1)*Setup!$N$61))&lt;Setup!$D$5),"",IF(Setup!$M$61&gt;0,Setup!$G$61+(Setup!$O$61+P$1)*Setup!$M$61,EDATE(Setup!$G$61,(Setup!$O$61+P$1)*Setup!$N$61))+$A38/1000)))</f>
        <v/>
      </c>
      <c r="Q38">
        <f>IF(OR(Setup!$E$61="",Setup!$G$61="",Setup!$F$61=""),"",IF(AND(Setup!$F$61="Once",Q$1&gt;0),"",IF(OR(IF(Setup!$M$61&gt;0,Setup!$G$61+(Setup!$O$61+Q$1)*Setup!$M$61,EDATE(Setup!$G$61,(Setup!$O$61+Q$1)*Setup!$N$61))&gt;Setup!$P$61,IF(Setup!$M$61&gt;0,Setup!$G$61+(Setup!$O$61+Q$1)*Setup!$M$61,EDATE(Setup!$G$61,(Setup!$O$61+Q$1)*Setup!$N$61))&lt;Setup!$D$5),"",IF(Setup!$M$61&gt;0,Setup!$G$61+(Setup!$O$61+Q$1)*Setup!$M$61,EDATE(Setup!$G$61,(Setup!$O$61+Q$1)*Setup!$N$61))+$A38/1000)))</f>
        <v/>
      </c>
      <c r="R38">
        <f>IF(OR(Setup!$E$61="",Setup!$G$61="",Setup!$F$61=""),"",IF(AND(Setup!$F$61="Once",R$1&gt;0),"",IF(OR(IF(Setup!$M$61&gt;0,Setup!$G$61+(Setup!$O$61+R$1)*Setup!$M$61,EDATE(Setup!$G$61,(Setup!$O$61+R$1)*Setup!$N$61))&gt;Setup!$P$61,IF(Setup!$M$61&gt;0,Setup!$G$61+(Setup!$O$61+R$1)*Setup!$M$61,EDATE(Setup!$G$61,(Setup!$O$61+R$1)*Setup!$N$61))&lt;Setup!$D$5),"",IF(Setup!$M$61&gt;0,Setup!$G$61+(Setup!$O$61+R$1)*Setup!$M$61,EDATE(Setup!$G$61,(Setup!$O$61+R$1)*Setup!$N$61))+$A38/1000)))</f>
        <v/>
      </c>
      <c r="S38">
        <f>IF(OR(Setup!$E$61="",Setup!$G$61="",Setup!$F$61=""),"",IF(AND(Setup!$F$61="Once",S$1&gt;0),"",IF(OR(IF(Setup!$M$61&gt;0,Setup!$G$61+(Setup!$O$61+S$1)*Setup!$M$61,EDATE(Setup!$G$61,(Setup!$O$61+S$1)*Setup!$N$61))&gt;Setup!$P$61,IF(Setup!$M$61&gt;0,Setup!$G$61+(Setup!$O$61+S$1)*Setup!$M$61,EDATE(Setup!$G$61,(Setup!$O$61+S$1)*Setup!$N$61))&lt;Setup!$D$5),"",IF(Setup!$M$61&gt;0,Setup!$G$61+(Setup!$O$61+S$1)*Setup!$M$61,EDATE(Setup!$G$61,(Setup!$O$61+S$1)*Setup!$N$61))+$A38/1000)))</f>
        <v/>
      </c>
      <c r="T38">
        <f>IF(OR(Setup!$E$61="",Setup!$G$61="",Setup!$F$61=""),"",IF(AND(Setup!$F$61="Once",T$1&gt;0),"",IF(OR(IF(Setup!$M$61&gt;0,Setup!$G$61+(Setup!$O$61+T$1)*Setup!$M$61,EDATE(Setup!$G$61,(Setup!$O$61+T$1)*Setup!$N$61))&gt;Setup!$P$61,IF(Setup!$M$61&gt;0,Setup!$G$61+(Setup!$O$61+T$1)*Setup!$M$61,EDATE(Setup!$G$61,(Setup!$O$61+T$1)*Setup!$N$61))&lt;Setup!$D$5),"",IF(Setup!$M$61&gt;0,Setup!$G$61+(Setup!$O$61+T$1)*Setup!$M$61,EDATE(Setup!$G$61,(Setup!$O$61+T$1)*Setup!$N$61))+$A38/1000)))</f>
        <v/>
      </c>
      <c r="U38">
        <f>IF(OR(Setup!$E$61="",Setup!$G$61="",Setup!$F$61=""),"",IF(AND(Setup!$F$61="Once",U$1&gt;0),"",IF(OR(IF(Setup!$M$61&gt;0,Setup!$G$61+(Setup!$O$61+U$1)*Setup!$M$61,EDATE(Setup!$G$61,(Setup!$O$61+U$1)*Setup!$N$61))&gt;Setup!$P$61,IF(Setup!$M$61&gt;0,Setup!$G$61+(Setup!$O$61+U$1)*Setup!$M$61,EDATE(Setup!$G$61,(Setup!$O$61+U$1)*Setup!$N$61))&lt;Setup!$D$5),"",IF(Setup!$M$61&gt;0,Setup!$G$61+(Setup!$O$61+U$1)*Setup!$M$61,EDATE(Setup!$G$61,(Setup!$O$61+U$1)*Setup!$N$61))+$A38/1000)))</f>
        <v/>
      </c>
      <c r="V38">
        <f>IF(OR(Setup!$E$61="",Setup!$G$61="",Setup!$F$61=""),"",IF(AND(Setup!$F$61="Once",V$1&gt;0),"",IF(OR(IF(Setup!$M$61&gt;0,Setup!$G$61+(Setup!$O$61+V$1)*Setup!$M$61,EDATE(Setup!$G$61,(Setup!$O$61+V$1)*Setup!$N$61))&gt;Setup!$P$61,IF(Setup!$M$61&gt;0,Setup!$G$61+(Setup!$O$61+V$1)*Setup!$M$61,EDATE(Setup!$G$61,(Setup!$O$61+V$1)*Setup!$N$61))&lt;Setup!$D$5),"",IF(Setup!$M$61&gt;0,Setup!$G$61+(Setup!$O$61+V$1)*Setup!$M$61,EDATE(Setup!$G$61,(Setup!$O$61+V$1)*Setup!$N$61))+$A38/1000)))</f>
        <v/>
      </c>
      <c r="W38">
        <f>IF(OR(Setup!$E$61="",Setup!$G$61="",Setup!$F$61=""),"",IF(AND(Setup!$F$61="Once",W$1&gt;0),"",IF(OR(IF(Setup!$M$61&gt;0,Setup!$G$61+(Setup!$O$61+W$1)*Setup!$M$61,EDATE(Setup!$G$61,(Setup!$O$61+W$1)*Setup!$N$61))&gt;Setup!$P$61,IF(Setup!$M$61&gt;0,Setup!$G$61+(Setup!$O$61+W$1)*Setup!$M$61,EDATE(Setup!$G$61,(Setup!$O$61+W$1)*Setup!$N$61))&lt;Setup!$D$5),"",IF(Setup!$M$61&gt;0,Setup!$G$61+(Setup!$O$61+W$1)*Setup!$M$61,EDATE(Setup!$G$61,(Setup!$O$61+W$1)*Setup!$N$61))+$A38/1000)))</f>
        <v/>
      </c>
      <c r="X38">
        <f>IF(OR(Setup!$E$61="",Setup!$G$61="",Setup!$F$61=""),"",IF(AND(Setup!$F$61="Once",X$1&gt;0),"",IF(OR(IF(Setup!$M$61&gt;0,Setup!$G$61+(Setup!$O$61+X$1)*Setup!$M$61,EDATE(Setup!$G$61,(Setup!$O$61+X$1)*Setup!$N$61))&gt;Setup!$P$61,IF(Setup!$M$61&gt;0,Setup!$G$61+(Setup!$O$61+X$1)*Setup!$M$61,EDATE(Setup!$G$61,(Setup!$O$61+X$1)*Setup!$N$61))&lt;Setup!$D$5),"",IF(Setup!$M$61&gt;0,Setup!$G$61+(Setup!$O$61+X$1)*Setup!$M$61,EDATE(Setup!$G$61,(Setup!$O$61+X$1)*Setup!$N$61))+$A38/1000)))</f>
        <v/>
      </c>
      <c r="Y38">
        <f>IF(OR(Setup!$E$61="",Setup!$G$61="",Setup!$F$61=""),"",IF(AND(Setup!$F$61="Once",Y$1&gt;0),"",IF(OR(IF(Setup!$M$61&gt;0,Setup!$G$61+(Setup!$O$61+Y$1)*Setup!$M$61,EDATE(Setup!$G$61,(Setup!$O$61+Y$1)*Setup!$N$61))&gt;Setup!$P$61,IF(Setup!$M$61&gt;0,Setup!$G$61+(Setup!$O$61+Y$1)*Setup!$M$61,EDATE(Setup!$G$61,(Setup!$O$61+Y$1)*Setup!$N$61))&lt;Setup!$D$5),"",IF(Setup!$M$61&gt;0,Setup!$G$61+(Setup!$O$61+Y$1)*Setup!$M$61,EDATE(Setup!$G$61,(Setup!$O$61+Y$1)*Setup!$N$61))+$A38/1000)))</f>
        <v/>
      </c>
      <c r="Z38">
        <f>IF(OR(Setup!$E$61="",Setup!$G$61="",Setup!$F$61=""),"",IF(AND(Setup!$F$61="Once",Z$1&gt;0),"",IF(OR(IF(Setup!$M$61&gt;0,Setup!$G$61+(Setup!$O$61+Z$1)*Setup!$M$61,EDATE(Setup!$G$61,(Setup!$O$61+Z$1)*Setup!$N$61))&gt;Setup!$P$61,IF(Setup!$M$61&gt;0,Setup!$G$61+(Setup!$O$61+Z$1)*Setup!$M$61,EDATE(Setup!$G$61,(Setup!$O$61+Z$1)*Setup!$N$61))&lt;Setup!$D$5),"",IF(Setup!$M$61&gt;0,Setup!$G$61+(Setup!$O$61+Z$1)*Setup!$M$61,EDATE(Setup!$G$61,(Setup!$O$61+Z$1)*Setup!$N$61))+$A38/1000)))</f>
        <v/>
      </c>
      <c r="AA38">
        <f>IF(OR(Setup!$E$61="",Setup!$G$61="",Setup!$F$61=""),"",IF(AND(Setup!$F$61="Once",AA$1&gt;0),"",IF(OR(IF(Setup!$M$61&gt;0,Setup!$G$61+(Setup!$O$61+AA$1)*Setup!$M$61,EDATE(Setup!$G$61,(Setup!$O$61+AA$1)*Setup!$N$61))&gt;Setup!$P$61,IF(Setup!$M$61&gt;0,Setup!$G$61+(Setup!$O$61+AA$1)*Setup!$M$61,EDATE(Setup!$G$61,(Setup!$O$61+AA$1)*Setup!$N$61))&lt;Setup!$D$5),"",IF(Setup!$M$61&gt;0,Setup!$G$61+(Setup!$O$61+AA$1)*Setup!$M$61,EDATE(Setup!$G$61,(Setup!$O$61+AA$1)*Setup!$N$61))+$A38/1000)))</f>
        <v/>
      </c>
      <c r="AB38">
        <f>IF(OR(Setup!$E$61="",Setup!$G$61="",Setup!$F$61=""),"",IF(AND(Setup!$F$61="Once",AB$1&gt;0),"",IF(OR(IF(Setup!$M$61&gt;0,Setup!$G$61+(Setup!$O$61+AB$1)*Setup!$M$61,EDATE(Setup!$G$61,(Setup!$O$61+AB$1)*Setup!$N$61))&gt;Setup!$P$61,IF(Setup!$M$61&gt;0,Setup!$G$61+(Setup!$O$61+AB$1)*Setup!$M$61,EDATE(Setup!$G$61,(Setup!$O$61+AB$1)*Setup!$N$61))&lt;Setup!$D$5),"",IF(Setup!$M$61&gt;0,Setup!$G$61+(Setup!$O$61+AB$1)*Setup!$M$61,EDATE(Setup!$G$61,(Setup!$O$61+AB$1)*Setup!$N$61))+$A38/1000)))</f>
        <v/>
      </c>
      <c r="AC38">
        <f>IF(OR(Setup!$E$61="",Setup!$G$61="",Setup!$F$61=""),"",IF(AND(Setup!$F$61="Once",AC$1&gt;0),"",IF(OR(IF(Setup!$M$61&gt;0,Setup!$G$61+(Setup!$O$61+AC$1)*Setup!$M$61,EDATE(Setup!$G$61,(Setup!$O$61+AC$1)*Setup!$N$61))&gt;Setup!$P$61,IF(Setup!$M$61&gt;0,Setup!$G$61+(Setup!$O$61+AC$1)*Setup!$M$61,EDATE(Setup!$G$61,(Setup!$O$61+AC$1)*Setup!$N$61))&lt;Setup!$D$5),"",IF(Setup!$M$61&gt;0,Setup!$G$61+(Setup!$O$61+AC$1)*Setup!$M$61,EDATE(Setup!$G$61,(Setup!$O$61+AC$1)*Setup!$N$61))+$A38/1000)))</f>
        <v/>
      </c>
      <c r="AD38">
        <f>IF(OR(Setup!$E$61="",Setup!$G$61="",Setup!$F$61=""),"",IF(AND(Setup!$F$61="Once",AD$1&gt;0),"",IF(OR(IF(Setup!$M$61&gt;0,Setup!$G$61+(Setup!$O$61+AD$1)*Setup!$M$61,EDATE(Setup!$G$61,(Setup!$O$61+AD$1)*Setup!$N$61))&gt;Setup!$P$61,IF(Setup!$M$61&gt;0,Setup!$G$61+(Setup!$O$61+AD$1)*Setup!$M$61,EDATE(Setup!$G$61,(Setup!$O$61+AD$1)*Setup!$N$61))&lt;Setup!$D$5),"",IF(Setup!$M$61&gt;0,Setup!$G$61+(Setup!$O$61+AD$1)*Setup!$M$61,EDATE(Setup!$G$61,(Setup!$O$61+AD$1)*Setup!$N$61))+$A38/1000)))</f>
        <v/>
      </c>
      <c r="AE38">
        <f>IF(OR(Setup!$E$61="",Setup!$G$61="",Setup!$F$61=""),"",IF(AND(Setup!$F$61="Once",AE$1&gt;0),"",IF(OR(IF(Setup!$M$61&gt;0,Setup!$G$61+(Setup!$O$61+AE$1)*Setup!$M$61,EDATE(Setup!$G$61,(Setup!$O$61+AE$1)*Setup!$N$61))&gt;Setup!$P$61,IF(Setup!$M$61&gt;0,Setup!$G$61+(Setup!$O$61+AE$1)*Setup!$M$61,EDATE(Setup!$G$61,(Setup!$O$61+AE$1)*Setup!$N$61))&lt;Setup!$D$5),"",IF(Setup!$M$61&gt;0,Setup!$G$61+(Setup!$O$61+AE$1)*Setup!$M$61,EDATE(Setup!$G$61,(Setup!$O$61+AE$1)*Setup!$N$61))+$A38/1000)))</f>
        <v/>
      </c>
      <c r="AF38">
        <f>IF(OR(Setup!$E$61="",Setup!$G$61="",Setup!$F$61=""),"",IF(AND(Setup!$F$61="Once",AF$1&gt;0),"",IF(OR(IF(Setup!$M$61&gt;0,Setup!$G$61+(Setup!$O$61+AF$1)*Setup!$M$61,EDATE(Setup!$G$61,(Setup!$O$61+AF$1)*Setup!$N$61))&gt;Setup!$P$61,IF(Setup!$M$61&gt;0,Setup!$G$61+(Setup!$O$61+AF$1)*Setup!$M$61,EDATE(Setup!$G$61,(Setup!$O$61+AF$1)*Setup!$N$61))&lt;Setup!$D$5),"",IF(Setup!$M$61&gt;0,Setup!$G$61+(Setup!$O$61+AF$1)*Setup!$M$61,EDATE(Setup!$G$61,(Setup!$O$61+AF$1)*Setup!$N$61))+$A38/1000)))</f>
        <v/>
      </c>
      <c r="AG38">
        <f>IF(OR(Setup!$E$61="",Setup!$G$61="",Setup!$F$61=""),"",IF(AND(Setup!$F$61="Once",AG$1&gt;0),"",IF(OR(IF(Setup!$M$61&gt;0,Setup!$G$61+(Setup!$O$61+AG$1)*Setup!$M$61,EDATE(Setup!$G$61,(Setup!$O$61+AG$1)*Setup!$N$61))&gt;Setup!$P$61,IF(Setup!$M$61&gt;0,Setup!$G$61+(Setup!$O$61+AG$1)*Setup!$M$61,EDATE(Setup!$G$61,(Setup!$O$61+AG$1)*Setup!$N$61))&lt;Setup!$D$5),"",IF(Setup!$M$61&gt;0,Setup!$G$61+(Setup!$O$61+AG$1)*Setup!$M$61,EDATE(Setup!$G$61,(Setup!$O$61+AG$1)*Setup!$N$61))+$A38/1000)))</f>
        <v/>
      </c>
      <c r="AH38">
        <f>IF(OR(Setup!$E$61="",Setup!$G$61="",Setup!$F$61=""),"",IF(AND(Setup!$F$61="Once",AH$1&gt;0),"",IF(OR(IF(Setup!$M$61&gt;0,Setup!$G$61+(Setup!$O$61+AH$1)*Setup!$M$61,EDATE(Setup!$G$61,(Setup!$O$61+AH$1)*Setup!$N$61))&gt;Setup!$P$61,IF(Setup!$M$61&gt;0,Setup!$G$61+(Setup!$O$61+AH$1)*Setup!$M$61,EDATE(Setup!$G$61,(Setup!$O$61+AH$1)*Setup!$N$61))&lt;Setup!$D$5),"",IF(Setup!$M$61&gt;0,Setup!$G$61+(Setup!$O$61+AH$1)*Setup!$M$61,EDATE(Setup!$G$61,(Setup!$O$61+AH$1)*Setup!$N$61))+$A38/1000)))</f>
        <v/>
      </c>
      <c r="AI38">
        <f>IF(OR(Setup!$E$61="",Setup!$G$61="",Setup!$F$61=""),"",IF(AND(Setup!$F$61="Once",AI$1&gt;0),"",IF(OR(IF(Setup!$M$61&gt;0,Setup!$G$61+(Setup!$O$61+AI$1)*Setup!$M$61,EDATE(Setup!$G$61,(Setup!$O$61+AI$1)*Setup!$N$61))&gt;Setup!$P$61,IF(Setup!$M$61&gt;0,Setup!$G$61+(Setup!$O$61+AI$1)*Setup!$M$61,EDATE(Setup!$G$61,(Setup!$O$61+AI$1)*Setup!$N$61))&lt;Setup!$D$5),"",IF(Setup!$M$61&gt;0,Setup!$G$61+(Setup!$O$61+AI$1)*Setup!$M$61,EDATE(Setup!$G$61,(Setup!$O$61+AI$1)*Setup!$N$61))+$A38/1000)))</f>
        <v/>
      </c>
      <c r="AJ38">
        <f>IF(OR(Setup!$E$61="",Setup!$G$61="",Setup!$F$61=""),"",IF(AND(Setup!$F$61="Once",AJ$1&gt;0),"",IF(OR(IF(Setup!$M$61&gt;0,Setup!$G$61+(Setup!$O$61+AJ$1)*Setup!$M$61,EDATE(Setup!$G$61,(Setup!$O$61+AJ$1)*Setup!$N$61))&gt;Setup!$P$61,IF(Setup!$M$61&gt;0,Setup!$G$61+(Setup!$O$61+AJ$1)*Setup!$M$61,EDATE(Setup!$G$61,(Setup!$O$61+AJ$1)*Setup!$N$61))&lt;Setup!$D$5),"",IF(Setup!$M$61&gt;0,Setup!$G$61+(Setup!$O$61+AJ$1)*Setup!$M$61,EDATE(Setup!$G$61,(Setup!$O$61+AJ$1)*Setup!$N$61))+$A38/1000)))</f>
        <v/>
      </c>
      <c r="AK38">
        <f>IF(OR(Setup!$E$61="",Setup!$G$61="",Setup!$F$61=""),"",IF(AND(Setup!$F$61="Once",AK$1&gt;0),"",IF(OR(IF(Setup!$M$61&gt;0,Setup!$G$61+(Setup!$O$61+AK$1)*Setup!$M$61,EDATE(Setup!$G$61,(Setup!$O$61+AK$1)*Setup!$N$61))&gt;Setup!$P$61,IF(Setup!$M$61&gt;0,Setup!$G$61+(Setup!$O$61+AK$1)*Setup!$M$61,EDATE(Setup!$G$61,(Setup!$O$61+AK$1)*Setup!$N$61))&lt;Setup!$D$5),"",IF(Setup!$M$61&gt;0,Setup!$G$61+(Setup!$O$61+AK$1)*Setup!$M$61,EDATE(Setup!$G$61,(Setup!$O$61+AK$1)*Setup!$N$61))+$A38/1000)))</f>
        <v/>
      </c>
      <c r="AL38">
        <f>IF(OR(Setup!$E$61="",Setup!$G$61="",Setup!$F$61=""),"",IF(AND(Setup!$F$61="Once",AL$1&gt;0),"",IF(OR(IF(Setup!$M$61&gt;0,Setup!$G$61+(Setup!$O$61+AL$1)*Setup!$M$61,EDATE(Setup!$G$61,(Setup!$O$61+AL$1)*Setup!$N$61))&gt;Setup!$P$61,IF(Setup!$M$61&gt;0,Setup!$G$61+(Setup!$O$61+AL$1)*Setup!$M$61,EDATE(Setup!$G$61,(Setup!$O$61+AL$1)*Setup!$N$61))&lt;Setup!$D$5),"",IF(Setup!$M$61&gt;0,Setup!$G$61+(Setup!$O$61+AL$1)*Setup!$M$61,EDATE(Setup!$G$61,(Setup!$O$61+AL$1)*Setup!$N$61))+$A38/1000)))</f>
        <v/>
      </c>
      <c r="AM38">
        <f>IF(OR(Setup!$E$61="",Setup!$G$61="",Setup!$F$61=""),"",IF(AND(Setup!$F$61="Once",AM$1&gt;0),"",IF(OR(IF(Setup!$M$61&gt;0,Setup!$G$61+(Setup!$O$61+AM$1)*Setup!$M$61,EDATE(Setup!$G$61,(Setup!$O$61+AM$1)*Setup!$N$61))&gt;Setup!$P$61,IF(Setup!$M$61&gt;0,Setup!$G$61+(Setup!$O$61+AM$1)*Setup!$M$61,EDATE(Setup!$G$61,(Setup!$O$61+AM$1)*Setup!$N$61))&lt;Setup!$D$5),"",IF(Setup!$M$61&gt;0,Setup!$G$61+(Setup!$O$61+AM$1)*Setup!$M$61,EDATE(Setup!$G$61,(Setup!$O$61+AM$1)*Setup!$N$61))+$A38/1000)))</f>
        <v/>
      </c>
      <c r="AN38">
        <f>IF(OR(Setup!$E$61="",Setup!$G$61="",Setup!$F$61=""),"",IF(AND(Setup!$F$61="Once",AN$1&gt;0),"",IF(OR(IF(Setup!$M$61&gt;0,Setup!$G$61+(Setup!$O$61+AN$1)*Setup!$M$61,EDATE(Setup!$G$61,(Setup!$O$61+AN$1)*Setup!$N$61))&gt;Setup!$P$61,IF(Setup!$M$61&gt;0,Setup!$G$61+(Setup!$O$61+AN$1)*Setup!$M$61,EDATE(Setup!$G$61,(Setup!$O$61+AN$1)*Setup!$N$61))&lt;Setup!$D$5),"",IF(Setup!$M$61&gt;0,Setup!$G$61+(Setup!$O$61+AN$1)*Setup!$M$61,EDATE(Setup!$G$61,(Setup!$O$61+AN$1)*Setup!$N$61))+$A38/1000)))</f>
        <v/>
      </c>
      <c r="AO38">
        <f>IF(OR(Setup!$E$61="",Setup!$G$61="",Setup!$F$61=""),"",IF(AND(Setup!$F$61="Once",AO$1&gt;0),"",IF(OR(IF(Setup!$M$61&gt;0,Setup!$G$61+(Setup!$O$61+AO$1)*Setup!$M$61,EDATE(Setup!$G$61,(Setup!$O$61+AO$1)*Setup!$N$61))&gt;Setup!$P$61,IF(Setup!$M$61&gt;0,Setup!$G$61+(Setup!$O$61+AO$1)*Setup!$M$61,EDATE(Setup!$G$61,(Setup!$O$61+AO$1)*Setup!$N$61))&lt;Setup!$D$5),"",IF(Setup!$M$61&gt;0,Setup!$G$61+(Setup!$O$61+AO$1)*Setup!$M$61,EDATE(Setup!$G$61,(Setup!$O$61+AO$1)*Setup!$N$61))+$A38/1000)))</f>
        <v/>
      </c>
      <c r="AP38">
        <f>IF(OR(Setup!$E$61="",Setup!$G$61="",Setup!$F$61=""),"",IF(AND(Setup!$F$61="Once",AP$1&gt;0),"",IF(OR(IF(Setup!$M$61&gt;0,Setup!$G$61+(Setup!$O$61+AP$1)*Setup!$M$61,EDATE(Setup!$G$61,(Setup!$O$61+AP$1)*Setup!$N$61))&gt;Setup!$P$61,IF(Setup!$M$61&gt;0,Setup!$G$61+(Setup!$O$61+AP$1)*Setup!$M$61,EDATE(Setup!$G$61,(Setup!$O$61+AP$1)*Setup!$N$61))&lt;Setup!$D$5),"",IF(Setup!$M$61&gt;0,Setup!$G$61+(Setup!$O$61+AP$1)*Setup!$M$61,EDATE(Setup!$G$61,(Setup!$O$61+AP$1)*Setup!$N$61))+$A38/1000)))</f>
        <v/>
      </c>
      <c r="AQ38">
        <f>IF(OR(Setup!$E$61="",Setup!$G$61="",Setup!$F$61=""),"",IF(AND(Setup!$F$61="Once",AQ$1&gt;0),"",IF(OR(IF(Setup!$M$61&gt;0,Setup!$G$61+(Setup!$O$61+AQ$1)*Setup!$M$61,EDATE(Setup!$G$61,(Setup!$O$61+AQ$1)*Setup!$N$61))&gt;Setup!$P$61,IF(Setup!$M$61&gt;0,Setup!$G$61+(Setup!$O$61+AQ$1)*Setup!$M$61,EDATE(Setup!$G$61,(Setup!$O$61+AQ$1)*Setup!$N$61))&lt;Setup!$D$5),"",IF(Setup!$M$61&gt;0,Setup!$G$61+(Setup!$O$61+AQ$1)*Setup!$M$61,EDATE(Setup!$G$61,(Setup!$O$61+AQ$1)*Setup!$N$61))+$A38/1000)))</f>
        <v/>
      </c>
      <c r="AR38">
        <f>IF(OR(Setup!$E$61="",Setup!$G$61="",Setup!$F$61=""),"",IF(AND(Setup!$F$61="Once",AR$1&gt;0),"",IF(OR(IF(Setup!$M$61&gt;0,Setup!$G$61+(Setup!$O$61+AR$1)*Setup!$M$61,EDATE(Setup!$G$61,(Setup!$O$61+AR$1)*Setup!$N$61))&gt;Setup!$P$61,IF(Setup!$M$61&gt;0,Setup!$G$61+(Setup!$O$61+AR$1)*Setup!$M$61,EDATE(Setup!$G$61,(Setup!$O$61+AR$1)*Setup!$N$61))&lt;Setup!$D$5),"",IF(Setup!$M$61&gt;0,Setup!$G$61+(Setup!$O$61+AR$1)*Setup!$M$61,EDATE(Setup!$G$61,(Setup!$O$61+AR$1)*Setup!$N$61))+$A38/1000)))</f>
        <v/>
      </c>
      <c r="AS38">
        <f>IF(OR(Setup!$E$61="",Setup!$G$61="",Setup!$F$61=""),"",IF(AND(Setup!$F$61="Once",AS$1&gt;0),"",IF(OR(IF(Setup!$M$61&gt;0,Setup!$G$61+(Setup!$O$61+AS$1)*Setup!$M$61,EDATE(Setup!$G$61,(Setup!$O$61+AS$1)*Setup!$N$61))&gt;Setup!$P$61,IF(Setup!$M$61&gt;0,Setup!$G$61+(Setup!$O$61+AS$1)*Setup!$M$61,EDATE(Setup!$G$61,(Setup!$O$61+AS$1)*Setup!$N$61))&lt;Setup!$D$5),"",IF(Setup!$M$61&gt;0,Setup!$G$61+(Setup!$O$61+AS$1)*Setup!$M$61,EDATE(Setup!$G$61,(Setup!$O$61+AS$1)*Setup!$N$61))+$A38/1000)))</f>
        <v/>
      </c>
      <c r="AT38">
        <f>IF(OR(Setup!$E$61="",Setup!$G$61="",Setup!$F$61=""),"",IF(AND(Setup!$F$61="Once",AT$1&gt;0),"",IF(OR(IF(Setup!$M$61&gt;0,Setup!$G$61+(Setup!$O$61+AT$1)*Setup!$M$61,EDATE(Setup!$G$61,(Setup!$O$61+AT$1)*Setup!$N$61))&gt;Setup!$P$61,IF(Setup!$M$61&gt;0,Setup!$G$61+(Setup!$O$61+AT$1)*Setup!$M$61,EDATE(Setup!$G$61,(Setup!$O$61+AT$1)*Setup!$N$61))&lt;Setup!$D$5),"",IF(Setup!$M$61&gt;0,Setup!$G$61+(Setup!$O$61+AT$1)*Setup!$M$61,EDATE(Setup!$G$61,(Setup!$O$61+AT$1)*Setup!$N$61))+$A38/1000)))</f>
        <v/>
      </c>
      <c r="AU38">
        <f>IF(OR(Setup!$E$61="",Setup!$G$61="",Setup!$F$61=""),"",IF(AND(Setup!$F$61="Once",AU$1&gt;0),"",IF(OR(IF(Setup!$M$61&gt;0,Setup!$G$61+(Setup!$O$61+AU$1)*Setup!$M$61,EDATE(Setup!$G$61,(Setup!$O$61+AU$1)*Setup!$N$61))&gt;Setup!$P$61,IF(Setup!$M$61&gt;0,Setup!$G$61+(Setup!$O$61+AU$1)*Setup!$M$61,EDATE(Setup!$G$61,(Setup!$O$61+AU$1)*Setup!$N$61))&lt;Setup!$D$5),"",IF(Setup!$M$61&gt;0,Setup!$G$61+(Setup!$O$61+AU$1)*Setup!$M$61,EDATE(Setup!$G$61,(Setup!$O$61+AU$1)*Setup!$N$61))+$A38/1000)))</f>
        <v/>
      </c>
      <c r="AV38">
        <f>IF(OR(Setup!$E$61="",Setup!$G$61="",Setup!$F$61=""),"",IF(AND(Setup!$F$61="Once",AV$1&gt;0),"",IF(OR(IF(Setup!$M$61&gt;0,Setup!$G$61+(Setup!$O$61+AV$1)*Setup!$M$61,EDATE(Setup!$G$61,(Setup!$O$61+AV$1)*Setup!$N$61))&gt;Setup!$P$61,IF(Setup!$M$61&gt;0,Setup!$G$61+(Setup!$O$61+AV$1)*Setup!$M$61,EDATE(Setup!$G$61,(Setup!$O$61+AV$1)*Setup!$N$61))&lt;Setup!$D$5),"",IF(Setup!$M$61&gt;0,Setup!$G$61+(Setup!$O$61+AV$1)*Setup!$M$61,EDATE(Setup!$G$61,(Setup!$O$61+AV$1)*Setup!$N$61))+$A38/1000)))</f>
        <v/>
      </c>
      <c r="AW38">
        <f>IF(OR(Setup!$E$61="",Setup!$G$61="",Setup!$F$61=""),"",IF(AND(Setup!$F$61="Once",AW$1&gt;0),"",IF(OR(IF(Setup!$M$61&gt;0,Setup!$G$61+(Setup!$O$61+AW$1)*Setup!$M$61,EDATE(Setup!$G$61,(Setup!$O$61+AW$1)*Setup!$N$61))&gt;Setup!$P$61,IF(Setup!$M$61&gt;0,Setup!$G$61+(Setup!$O$61+AW$1)*Setup!$M$61,EDATE(Setup!$G$61,(Setup!$O$61+AW$1)*Setup!$N$61))&lt;Setup!$D$5),"",IF(Setup!$M$61&gt;0,Setup!$G$61+(Setup!$O$61+AW$1)*Setup!$M$61,EDATE(Setup!$G$61,(Setup!$O$61+AW$1)*Setup!$N$61))+$A38/1000)))</f>
        <v/>
      </c>
      <c r="AX38">
        <f>IF(OR(Setup!$E$61="",Setup!$G$61="",Setup!$F$61=""),"",IF(AND(Setup!$F$61="Once",AX$1&gt;0),"",IF(OR(IF(Setup!$M$61&gt;0,Setup!$G$61+(Setup!$O$61+AX$1)*Setup!$M$61,EDATE(Setup!$G$61,(Setup!$O$61+AX$1)*Setup!$N$61))&gt;Setup!$P$61,IF(Setup!$M$61&gt;0,Setup!$G$61+(Setup!$O$61+AX$1)*Setup!$M$61,EDATE(Setup!$G$61,(Setup!$O$61+AX$1)*Setup!$N$61))&lt;Setup!$D$5),"",IF(Setup!$M$61&gt;0,Setup!$G$61+(Setup!$O$61+AX$1)*Setup!$M$61,EDATE(Setup!$G$61,(Setup!$O$61+AX$1)*Setup!$N$61))+$A38/1000)))</f>
        <v/>
      </c>
      <c r="AY38">
        <f>IF(OR(Setup!$E$61="",Setup!$G$61="",Setup!$F$61=""),"",IF(AND(Setup!$F$61="Once",AY$1&gt;0),"",IF(OR(IF(Setup!$M$61&gt;0,Setup!$G$61+(Setup!$O$61+AY$1)*Setup!$M$61,EDATE(Setup!$G$61,(Setup!$O$61+AY$1)*Setup!$N$61))&gt;Setup!$P$61,IF(Setup!$M$61&gt;0,Setup!$G$61+(Setup!$O$61+AY$1)*Setup!$M$61,EDATE(Setup!$G$61,(Setup!$O$61+AY$1)*Setup!$N$61))&lt;Setup!$D$5),"",IF(Setup!$M$61&gt;0,Setup!$G$61+(Setup!$O$61+AY$1)*Setup!$M$61,EDATE(Setup!$G$61,(Setup!$O$61+AY$1)*Setup!$N$61))+$A38/1000)))</f>
        <v/>
      </c>
      <c r="AZ38">
        <f>IF(OR(Setup!$E$61="",Setup!$G$61="",Setup!$F$61=""),"",IF(AND(Setup!$F$61="Once",AZ$1&gt;0),"",IF(OR(IF(Setup!$M$61&gt;0,Setup!$G$61+(Setup!$O$61+AZ$1)*Setup!$M$61,EDATE(Setup!$G$61,(Setup!$O$61+AZ$1)*Setup!$N$61))&gt;Setup!$P$61,IF(Setup!$M$61&gt;0,Setup!$G$61+(Setup!$O$61+AZ$1)*Setup!$M$61,EDATE(Setup!$G$61,(Setup!$O$61+AZ$1)*Setup!$N$61))&lt;Setup!$D$5),"",IF(Setup!$M$61&gt;0,Setup!$G$61+(Setup!$O$61+AZ$1)*Setup!$M$61,EDATE(Setup!$G$61,(Setup!$O$61+AZ$1)*Setup!$N$61))+$A38/1000)))</f>
        <v/>
      </c>
      <c r="BA38">
        <f>IF(OR(Setup!$E$61="",Setup!$G$61="",Setup!$F$61=""),"",IF(AND(Setup!$F$61="Once",BA$1&gt;0),"",IF(OR(IF(Setup!$M$61&gt;0,Setup!$G$61+(Setup!$O$61+BA$1)*Setup!$M$61,EDATE(Setup!$G$61,(Setup!$O$61+BA$1)*Setup!$N$61))&gt;Setup!$P$61,IF(Setup!$M$61&gt;0,Setup!$G$61+(Setup!$O$61+BA$1)*Setup!$M$61,EDATE(Setup!$G$61,(Setup!$O$61+BA$1)*Setup!$N$61))&lt;Setup!$D$5),"",IF(Setup!$M$61&gt;0,Setup!$G$61+(Setup!$O$61+BA$1)*Setup!$M$61,EDATE(Setup!$G$61,(Setup!$O$61+BA$1)*Setup!$N$61))+$A38/1000)))</f>
        <v/>
      </c>
      <c r="BB38">
        <f>IF(OR(Setup!$E$61="",Setup!$G$61="",Setup!$F$61=""),"",IF(AND(Setup!$F$61="Once",BB$1&gt;0),"",IF(OR(IF(Setup!$M$61&gt;0,Setup!$G$61+(Setup!$O$61+BB$1)*Setup!$M$61,EDATE(Setup!$G$61,(Setup!$O$61+BB$1)*Setup!$N$61))&gt;Setup!$P$61,IF(Setup!$M$61&gt;0,Setup!$G$61+(Setup!$O$61+BB$1)*Setup!$M$61,EDATE(Setup!$G$61,(Setup!$O$61+BB$1)*Setup!$N$61))&lt;Setup!$D$5),"",IF(Setup!$M$61&gt;0,Setup!$G$61+(Setup!$O$61+BB$1)*Setup!$M$61,EDATE(Setup!$G$61,(Setup!$O$61+BB$1)*Setup!$N$61))+$A38/1000)))</f>
        <v/>
      </c>
    </row>
    <row r="39">
      <c r="A39" t="n">
        <v>38</v>
      </c>
      <c r="B39">
        <f>IF(OR(Setup!$E$62="",Setup!$G$62="",Setup!$F$62=""),"",IF(AND(Setup!$F$62="Once",B$1&gt;0),"",IF(OR(IF(Setup!$M$62&gt;0,Setup!$G$62+(Setup!$O$62+B$1)*Setup!$M$62,EDATE(Setup!$G$62,(Setup!$O$62+B$1)*Setup!$N$62))&gt;Setup!$P$62,IF(Setup!$M$62&gt;0,Setup!$G$62+(Setup!$O$62+B$1)*Setup!$M$62,EDATE(Setup!$G$62,(Setup!$O$62+B$1)*Setup!$N$62))&lt;Setup!$D$5),"",IF(Setup!$M$62&gt;0,Setup!$G$62+(Setup!$O$62+B$1)*Setup!$M$62,EDATE(Setup!$G$62,(Setup!$O$62+B$1)*Setup!$N$62))+$A39/1000)))</f>
        <v/>
      </c>
      <c r="C39">
        <f>IF(OR(Setup!$E$62="",Setup!$G$62="",Setup!$F$62=""),"",IF(AND(Setup!$F$62="Once",C$1&gt;0),"",IF(OR(IF(Setup!$M$62&gt;0,Setup!$G$62+(Setup!$O$62+C$1)*Setup!$M$62,EDATE(Setup!$G$62,(Setup!$O$62+C$1)*Setup!$N$62))&gt;Setup!$P$62,IF(Setup!$M$62&gt;0,Setup!$G$62+(Setup!$O$62+C$1)*Setup!$M$62,EDATE(Setup!$G$62,(Setup!$O$62+C$1)*Setup!$N$62))&lt;Setup!$D$5),"",IF(Setup!$M$62&gt;0,Setup!$G$62+(Setup!$O$62+C$1)*Setup!$M$62,EDATE(Setup!$G$62,(Setup!$O$62+C$1)*Setup!$N$62))+$A39/1000)))</f>
        <v/>
      </c>
      <c r="D39">
        <f>IF(OR(Setup!$E$62="",Setup!$G$62="",Setup!$F$62=""),"",IF(AND(Setup!$F$62="Once",D$1&gt;0),"",IF(OR(IF(Setup!$M$62&gt;0,Setup!$G$62+(Setup!$O$62+D$1)*Setup!$M$62,EDATE(Setup!$G$62,(Setup!$O$62+D$1)*Setup!$N$62))&gt;Setup!$P$62,IF(Setup!$M$62&gt;0,Setup!$G$62+(Setup!$O$62+D$1)*Setup!$M$62,EDATE(Setup!$G$62,(Setup!$O$62+D$1)*Setup!$N$62))&lt;Setup!$D$5),"",IF(Setup!$M$62&gt;0,Setup!$G$62+(Setup!$O$62+D$1)*Setup!$M$62,EDATE(Setup!$G$62,(Setup!$O$62+D$1)*Setup!$N$62))+$A39/1000)))</f>
        <v/>
      </c>
      <c r="E39">
        <f>IF(OR(Setup!$E$62="",Setup!$G$62="",Setup!$F$62=""),"",IF(AND(Setup!$F$62="Once",E$1&gt;0),"",IF(OR(IF(Setup!$M$62&gt;0,Setup!$G$62+(Setup!$O$62+E$1)*Setup!$M$62,EDATE(Setup!$G$62,(Setup!$O$62+E$1)*Setup!$N$62))&gt;Setup!$P$62,IF(Setup!$M$62&gt;0,Setup!$G$62+(Setup!$O$62+E$1)*Setup!$M$62,EDATE(Setup!$G$62,(Setup!$O$62+E$1)*Setup!$N$62))&lt;Setup!$D$5),"",IF(Setup!$M$62&gt;0,Setup!$G$62+(Setup!$O$62+E$1)*Setup!$M$62,EDATE(Setup!$G$62,(Setup!$O$62+E$1)*Setup!$N$62))+$A39/1000)))</f>
        <v/>
      </c>
      <c r="F39">
        <f>IF(OR(Setup!$E$62="",Setup!$G$62="",Setup!$F$62=""),"",IF(AND(Setup!$F$62="Once",F$1&gt;0),"",IF(OR(IF(Setup!$M$62&gt;0,Setup!$G$62+(Setup!$O$62+F$1)*Setup!$M$62,EDATE(Setup!$G$62,(Setup!$O$62+F$1)*Setup!$N$62))&gt;Setup!$P$62,IF(Setup!$M$62&gt;0,Setup!$G$62+(Setup!$O$62+F$1)*Setup!$M$62,EDATE(Setup!$G$62,(Setup!$O$62+F$1)*Setup!$N$62))&lt;Setup!$D$5),"",IF(Setup!$M$62&gt;0,Setup!$G$62+(Setup!$O$62+F$1)*Setup!$M$62,EDATE(Setup!$G$62,(Setup!$O$62+F$1)*Setup!$N$62))+$A39/1000)))</f>
        <v/>
      </c>
      <c r="G39">
        <f>IF(OR(Setup!$E$62="",Setup!$G$62="",Setup!$F$62=""),"",IF(AND(Setup!$F$62="Once",G$1&gt;0),"",IF(OR(IF(Setup!$M$62&gt;0,Setup!$G$62+(Setup!$O$62+G$1)*Setup!$M$62,EDATE(Setup!$G$62,(Setup!$O$62+G$1)*Setup!$N$62))&gt;Setup!$P$62,IF(Setup!$M$62&gt;0,Setup!$G$62+(Setup!$O$62+G$1)*Setup!$M$62,EDATE(Setup!$G$62,(Setup!$O$62+G$1)*Setup!$N$62))&lt;Setup!$D$5),"",IF(Setup!$M$62&gt;0,Setup!$G$62+(Setup!$O$62+G$1)*Setup!$M$62,EDATE(Setup!$G$62,(Setup!$O$62+G$1)*Setup!$N$62))+$A39/1000)))</f>
        <v/>
      </c>
      <c r="H39">
        <f>IF(OR(Setup!$E$62="",Setup!$G$62="",Setup!$F$62=""),"",IF(AND(Setup!$F$62="Once",H$1&gt;0),"",IF(OR(IF(Setup!$M$62&gt;0,Setup!$G$62+(Setup!$O$62+H$1)*Setup!$M$62,EDATE(Setup!$G$62,(Setup!$O$62+H$1)*Setup!$N$62))&gt;Setup!$P$62,IF(Setup!$M$62&gt;0,Setup!$G$62+(Setup!$O$62+H$1)*Setup!$M$62,EDATE(Setup!$G$62,(Setup!$O$62+H$1)*Setup!$N$62))&lt;Setup!$D$5),"",IF(Setup!$M$62&gt;0,Setup!$G$62+(Setup!$O$62+H$1)*Setup!$M$62,EDATE(Setup!$G$62,(Setup!$O$62+H$1)*Setup!$N$62))+$A39/1000)))</f>
        <v/>
      </c>
      <c r="I39">
        <f>IF(OR(Setup!$E$62="",Setup!$G$62="",Setup!$F$62=""),"",IF(AND(Setup!$F$62="Once",I$1&gt;0),"",IF(OR(IF(Setup!$M$62&gt;0,Setup!$G$62+(Setup!$O$62+I$1)*Setup!$M$62,EDATE(Setup!$G$62,(Setup!$O$62+I$1)*Setup!$N$62))&gt;Setup!$P$62,IF(Setup!$M$62&gt;0,Setup!$G$62+(Setup!$O$62+I$1)*Setup!$M$62,EDATE(Setup!$G$62,(Setup!$O$62+I$1)*Setup!$N$62))&lt;Setup!$D$5),"",IF(Setup!$M$62&gt;0,Setup!$G$62+(Setup!$O$62+I$1)*Setup!$M$62,EDATE(Setup!$G$62,(Setup!$O$62+I$1)*Setup!$N$62))+$A39/1000)))</f>
        <v/>
      </c>
      <c r="J39">
        <f>IF(OR(Setup!$E$62="",Setup!$G$62="",Setup!$F$62=""),"",IF(AND(Setup!$F$62="Once",J$1&gt;0),"",IF(OR(IF(Setup!$M$62&gt;0,Setup!$G$62+(Setup!$O$62+J$1)*Setup!$M$62,EDATE(Setup!$G$62,(Setup!$O$62+J$1)*Setup!$N$62))&gt;Setup!$P$62,IF(Setup!$M$62&gt;0,Setup!$G$62+(Setup!$O$62+J$1)*Setup!$M$62,EDATE(Setup!$G$62,(Setup!$O$62+J$1)*Setup!$N$62))&lt;Setup!$D$5),"",IF(Setup!$M$62&gt;0,Setup!$G$62+(Setup!$O$62+J$1)*Setup!$M$62,EDATE(Setup!$G$62,(Setup!$O$62+J$1)*Setup!$N$62))+$A39/1000)))</f>
        <v/>
      </c>
      <c r="K39">
        <f>IF(OR(Setup!$E$62="",Setup!$G$62="",Setup!$F$62=""),"",IF(AND(Setup!$F$62="Once",K$1&gt;0),"",IF(OR(IF(Setup!$M$62&gt;0,Setup!$G$62+(Setup!$O$62+K$1)*Setup!$M$62,EDATE(Setup!$G$62,(Setup!$O$62+K$1)*Setup!$N$62))&gt;Setup!$P$62,IF(Setup!$M$62&gt;0,Setup!$G$62+(Setup!$O$62+K$1)*Setup!$M$62,EDATE(Setup!$G$62,(Setup!$O$62+K$1)*Setup!$N$62))&lt;Setup!$D$5),"",IF(Setup!$M$62&gt;0,Setup!$G$62+(Setup!$O$62+K$1)*Setup!$M$62,EDATE(Setup!$G$62,(Setup!$O$62+K$1)*Setup!$N$62))+$A39/1000)))</f>
        <v/>
      </c>
      <c r="L39">
        <f>IF(OR(Setup!$E$62="",Setup!$G$62="",Setup!$F$62=""),"",IF(AND(Setup!$F$62="Once",L$1&gt;0),"",IF(OR(IF(Setup!$M$62&gt;0,Setup!$G$62+(Setup!$O$62+L$1)*Setup!$M$62,EDATE(Setup!$G$62,(Setup!$O$62+L$1)*Setup!$N$62))&gt;Setup!$P$62,IF(Setup!$M$62&gt;0,Setup!$G$62+(Setup!$O$62+L$1)*Setup!$M$62,EDATE(Setup!$G$62,(Setup!$O$62+L$1)*Setup!$N$62))&lt;Setup!$D$5),"",IF(Setup!$M$62&gt;0,Setup!$G$62+(Setup!$O$62+L$1)*Setup!$M$62,EDATE(Setup!$G$62,(Setup!$O$62+L$1)*Setup!$N$62))+$A39/1000)))</f>
        <v/>
      </c>
      <c r="M39">
        <f>IF(OR(Setup!$E$62="",Setup!$G$62="",Setup!$F$62=""),"",IF(AND(Setup!$F$62="Once",M$1&gt;0),"",IF(OR(IF(Setup!$M$62&gt;0,Setup!$G$62+(Setup!$O$62+M$1)*Setup!$M$62,EDATE(Setup!$G$62,(Setup!$O$62+M$1)*Setup!$N$62))&gt;Setup!$P$62,IF(Setup!$M$62&gt;0,Setup!$G$62+(Setup!$O$62+M$1)*Setup!$M$62,EDATE(Setup!$G$62,(Setup!$O$62+M$1)*Setup!$N$62))&lt;Setup!$D$5),"",IF(Setup!$M$62&gt;0,Setup!$G$62+(Setup!$O$62+M$1)*Setup!$M$62,EDATE(Setup!$G$62,(Setup!$O$62+M$1)*Setup!$N$62))+$A39/1000)))</f>
        <v/>
      </c>
      <c r="N39">
        <f>IF(OR(Setup!$E$62="",Setup!$G$62="",Setup!$F$62=""),"",IF(AND(Setup!$F$62="Once",N$1&gt;0),"",IF(OR(IF(Setup!$M$62&gt;0,Setup!$G$62+(Setup!$O$62+N$1)*Setup!$M$62,EDATE(Setup!$G$62,(Setup!$O$62+N$1)*Setup!$N$62))&gt;Setup!$P$62,IF(Setup!$M$62&gt;0,Setup!$G$62+(Setup!$O$62+N$1)*Setup!$M$62,EDATE(Setup!$G$62,(Setup!$O$62+N$1)*Setup!$N$62))&lt;Setup!$D$5),"",IF(Setup!$M$62&gt;0,Setup!$G$62+(Setup!$O$62+N$1)*Setup!$M$62,EDATE(Setup!$G$62,(Setup!$O$62+N$1)*Setup!$N$62))+$A39/1000)))</f>
        <v/>
      </c>
      <c r="O39">
        <f>IF(OR(Setup!$E$62="",Setup!$G$62="",Setup!$F$62=""),"",IF(AND(Setup!$F$62="Once",O$1&gt;0),"",IF(OR(IF(Setup!$M$62&gt;0,Setup!$G$62+(Setup!$O$62+O$1)*Setup!$M$62,EDATE(Setup!$G$62,(Setup!$O$62+O$1)*Setup!$N$62))&gt;Setup!$P$62,IF(Setup!$M$62&gt;0,Setup!$G$62+(Setup!$O$62+O$1)*Setup!$M$62,EDATE(Setup!$G$62,(Setup!$O$62+O$1)*Setup!$N$62))&lt;Setup!$D$5),"",IF(Setup!$M$62&gt;0,Setup!$G$62+(Setup!$O$62+O$1)*Setup!$M$62,EDATE(Setup!$G$62,(Setup!$O$62+O$1)*Setup!$N$62))+$A39/1000)))</f>
        <v/>
      </c>
      <c r="P39">
        <f>IF(OR(Setup!$E$62="",Setup!$G$62="",Setup!$F$62=""),"",IF(AND(Setup!$F$62="Once",P$1&gt;0),"",IF(OR(IF(Setup!$M$62&gt;0,Setup!$G$62+(Setup!$O$62+P$1)*Setup!$M$62,EDATE(Setup!$G$62,(Setup!$O$62+P$1)*Setup!$N$62))&gt;Setup!$P$62,IF(Setup!$M$62&gt;0,Setup!$G$62+(Setup!$O$62+P$1)*Setup!$M$62,EDATE(Setup!$G$62,(Setup!$O$62+P$1)*Setup!$N$62))&lt;Setup!$D$5),"",IF(Setup!$M$62&gt;0,Setup!$G$62+(Setup!$O$62+P$1)*Setup!$M$62,EDATE(Setup!$G$62,(Setup!$O$62+P$1)*Setup!$N$62))+$A39/1000)))</f>
        <v/>
      </c>
      <c r="Q39">
        <f>IF(OR(Setup!$E$62="",Setup!$G$62="",Setup!$F$62=""),"",IF(AND(Setup!$F$62="Once",Q$1&gt;0),"",IF(OR(IF(Setup!$M$62&gt;0,Setup!$G$62+(Setup!$O$62+Q$1)*Setup!$M$62,EDATE(Setup!$G$62,(Setup!$O$62+Q$1)*Setup!$N$62))&gt;Setup!$P$62,IF(Setup!$M$62&gt;0,Setup!$G$62+(Setup!$O$62+Q$1)*Setup!$M$62,EDATE(Setup!$G$62,(Setup!$O$62+Q$1)*Setup!$N$62))&lt;Setup!$D$5),"",IF(Setup!$M$62&gt;0,Setup!$G$62+(Setup!$O$62+Q$1)*Setup!$M$62,EDATE(Setup!$G$62,(Setup!$O$62+Q$1)*Setup!$N$62))+$A39/1000)))</f>
        <v/>
      </c>
      <c r="R39">
        <f>IF(OR(Setup!$E$62="",Setup!$G$62="",Setup!$F$62=""),"",IF(AND(Setup!$F$62="Once",R$1&gt;0),"",IF(OR(IF(Setup!$M$62&gt;0,Setup!$G$62+(Setup!$O$62+R$1)*Setup!$M$62,EDATE(Setup!$G$62,(Setup!$O$62+R$1)*Setup!$N$62))&gt;Setup!$P$62,IF(Setup!$M$62&gt;0,Setup!$G$62+(Setup!$O$62+R$1)*Setup!$M$62,EDATE(Setup!$G$62,(Setup!$O$62+R$1)*Setup!$N$62))&lt;Setup!$D$5),"",IF(Setup!$M$62&gt;0,Setup!$G$62+(Setup!$O$62+R$1)*Setup!$M$62,EDATE(Setup!$G$62,(Setup!$O$62+R$1)*Setup!$N$62))+$A39/1000)))</f>
        <v/>
      </c>
      <c r="S39">
        <f>IF(OR(Setup!$E$62="",Setup!$G$62="",Setup!$F$62=""),"",IF(AND(Setup!$F$62="Once",S$1&gt;0),"",IF(OR(IF(Setup!$M$62&gt;0,Setup!$G$62+(Setup!$O$62+S$1)*Setup!$M$62,EDATE(Setup!$G$62,(Setup!$O$62+S$1)*Setup!$N$62))&gt;Setup!$P$62,IF(Setup!$M$62&gt;0,Setup!$G$62+(Setup!$O$62+S$1)*Setup!$M$62,EDATE(Setup!$G$62,(Setup!$O$62+S$1)*Setup!$N$62))&lt;Setup!$D$5),"",IF(Setup!$M$62&gt;0,Setup!$G$62+(Setup!$O$62+S$1)*Setup!$M$62,EDATE(Setup!$G$62,(Setup!$O$62+S$1)*Setup!$N$62))+$A39/1000)))</f>
        <v/>
      </c>
      <c r="T39">
        <f>IF(OR(Setup!$E$62="",Setup!$G$62="",Setup!$F$62=""),"",IF(AND(Setup!$F$62="Once",T$1&gt;0),"",IF(OR(IF(Setup!$M$62&gt;0,Setup!$G$62+(Setup!$O$62+T$1)*Setup!$M$62,EDATE(Setup!$G$62,(Setup!$O$62+T$1)*Setup!$N$62))&gt;Setup!$P$62,IF(Setup!$M$62&gt;0,Setup!$G$62+(Setup!$O$62+T$1)*Setup!$M$62,EDATE(Setup!$G$62,(Setup!$O$62+T$1)*Setup!$N$62))&lt;Setup!$D$5),"",IF(Setup!$M$62&gt;0,Setup!$G$62+(Setup!$O$62+T$1)*Setup!$M$62,EDATE(Setup!$G$62,(Setup!$O$62+T$1)*Setup!$N$62))+$A39/1000)))</f>
        <v/>
      </c>
      <c r="U39">
        <f>IF(OR(Setup!$E$62="",Setup!$G$62="",Setup!$F$62=""),"",IF(AND(Setup!$F$62="Once",U$1&gt;0),"",IF(OR(IF(Setup!$M$62&gt;0,Setup!$G$62+(Setup!$O$62+U$1)*Setup!$M$62,EDATE(Setup!$G$62,(Setup!$O$62+U$1)*Setup!$N$62))&gt;Setup!$P$62,IF(Setup!$M$62&gt;0,Setup!$G$62+(Setup!$O$62+U$1)*Setup!$M$62,EDATE(Setup!$G$62,(Setup!$O$62+U$1)*Setup!$N$62))&lt;Setup!$D$5),"",IF(Setup!$M$62&gt;0,Setup!$G$62+(Setup!$O$62+U$1)*Setup!$M$62,EDATE(Setup!$G$62,(Setup!$O$62+U$1)*Setup!$N$62))+$A39/1000)))</f>
        <v/>
      </c>
      <c r="V39">
        <f>IF(OR(Setup!$E$62="",Setup!$G$62="",Setup!$F$62=""),"",IF(AND(Setup!$F$62="Once",V$1&gt;0),"",IF(OR(IF(Setup!$M$62&gt;0,Setup!$G$62+(Setup!$O$62+V$1)*Setup!$M$62,EDATE(Setup!$G$62,(Setup!$O$62+V$1)*Setup!$N$62))&gt;Setup!$P$62,IF(Setup!$M$62&gt;0,Setup!$G$62+(Setup!$O$62+V$1)*Setup!$M$62,EDATE(Setup!$G$62,(Setup!$O$62+V$1)*Setup!$N$62))&lt;Setup!$D$5),"",IF(Setup!$M$62&gt;0,Setup!$G$62+(Setup!$O$62+V$1)*Setup!$M$62,EDATE(Setup!$G$62,(Setup!$O$62+V$1)*Setup!$N$62))+$A39/1000)))</f>
        <v/>
      </c>
      <c r="W39">
        <f>IF(OR(Setup!$E$62="",Setup!$G$62="",Setup!$F$62=""),"",IF(AND(Setup!$F$62="Once",W$1&gt;0),"",IF(OR(IF(Setup!$M$62&gt;0,Setup!$G$62+(Setup!$O$62+W$1)*Setup!$M$62,EDATE(Setup!$G$62,(Setup!$O$62+W$1)*Setup!$N$62))&gt;Setup!$P$62,IF(Setup!$M$62&gt;0,Setup!$G$62+(Setup!$O$62+W$1)*Setup!$M$62,EDATE(Setup!$G$62,(Setup!$O$62+W$1)*Setup!$N$62))&lt;Setup!$D$5),"",IF(Setup!$M$62&gt;0,Setup!$G$62+(Setup!$O$62+W$1)*Setup!$M$62,EDATE(Setup!$G$62,(Setup!$O$62+W$1)*Setup!$N$62))+$A39/1000)))</f>
        <v/>
      </c>
      <c r="X39">
        <f>IF(OR(Setup!$E$62="",Setup!$G$62="",Setup!$F$62=""),"",IF(AND(Setup!$F$62="Once",X$1&gt;0),"",IF(OR(IF(Setup!$M$62&gt;0,Setup!$G$62+(Setup!$O$62+X$1)*Setup!$M$62,EDATE(Setup!$G$62,(Setup!$O$62+X$1)*Setup!$N$62))&gt;Setup!$P$62,IF(Setup!$M$62&gt;0,Setup!$G$62+(Setup!$O$62+X$1)*Setup!$M$62,EDATE(Setup!$G$62,(Setup!$O$62+X$1)*Setup!$N$62))&lt;Setup!$D$5),"",IF(Setup!$M$62&gt;0,Setup!$G$62+(Setup!$O$62+X$1)*Setup!$M$62,EDATE(Setup!$G$62,(Setup!$O$62+X$1)*Setup!$N$62))+$A39/1000)))</f>
        <v/>
      </c>
      <c r="Y39">
        <f>IF(OR(Setup!$E$62="",Setup!$G$62="",Setup!$F$62=""),"",IF(AND(Setup!$F$62="Once",Y$1&gt;0),"",IF(OR(IF(Setup!$M$62&gt;0,Setup!$G$62+(Setup!$O$62+Y$1)*Setup!$M$62,EDATE(Setup!$G$62,(Setup!$O$62+Y$1)*Setup!$N$62))&gt;Setup!$P$62,IF(Setup!$M$62&gt;0,Setup!$G$62+(Setup!$O$62+Y$1)*Setup!$M$62,EDATE(Setup!$G$62,(Setup!$O$62+Y$1)*Setup!$N$62))&lt;Setup!$D$5),"",IF(Setup!$M$62&gt;0,Setup!$G$62+(Setup!$O$62+Y$1)*Setup!$M$62,EDATE(Setup!$G$62,(Setup!$O$62+Y$1)*Setup!$N$62))+$A39/1000)))</f>
        <v/>
      </c>
      <c r="Z39">
        <f>IF(OR(Setup!$E$62="",Setup!$G$62="",Setup!$F$62=""),"",IF(AND(Setup!$F$62="Once",Z$1&gt;0),"",IF(OR(IF(Setup!$M$62&gt;0,Setup!$G$62+(Setup!$O$62+Z$1)*Setup!$M$62,EDATE(Setup!$G$62,(Setup!$O$62+Z$1)*Setup!$N$62))&gt;Setup!$P$62,IF(Setup!$M$62&gt;0,Setup!$G$62+(Setup!$O$62+Z$1)*Setup!$M$62,EDATE(Setup!$G$62,(Setup!$O$62+Z$1)*Setup!$N$62))&lt;Setup!$D$5),"",IF(Setup!$M$62&gt;0,Setup!$G$62+(Setup!$O$62+Z$1)*Setup!$M$62,EDATE(Setup!$G$62,(Setup!$O$62+Z$1)*Setup!$N$62))+$A39/1000)))</f>
        <v/>
      </c>
      <c r="AA39">
        <f>IF(OR(Setup!$E$62="",Setup!$G$62="",Setup!$F$62=""),"",IF(AND(Setup!$F$62="Once",AA$1&gt;0),"",IF(OR(IF(Setup!$M$62&gt;0,Setup!$G$62+(Setup!$O$62+AA$1)*Setup!$M$62,EDATE(Setup!$G$62,(Setup!$O$62+AA$1)*Setup!$N$62))&gt;Setup!$P$62,IF(Setup!$M$62&gt;0,Setup!$G$62+(Setup!$O$62+AA$1)*Setup!$M$62,EDATE(Setup!$G$62,(Setup!$O$62+AA$1)*Setup!$N$62))&lt;Setup!$D$5),"",IF(Setup!$M$62&gt;0,Setup!$G$62+(Setup!$O$62+AA$1)*Setup!$M$62,EDATE(Setup!$G$62,(Setup!$O$62+AA$1)*Setup!$N$62))+$A39/1000)))</f>
        <v/>
      </c>
      <c r="AB39">
        <f>IF(OR(Setup!$E$62="",Setup!$G$62="",Setup!$F$62=""),"",IF(AND(Setup!$F$62="Once",AB$1&gt;0),"",IF(OR(IF(Setup!$M$62&gt;0,Setup!$G$62+(Setup!$O$62+AB$1)*Setup!$M$62,EDATE(Setup!$G$62,(Setup!$O$62+AB$1)*Setup!$N$62))&gt;Setup!$P$62,IF(Setup!$M$62&gt;0,Setup!$G$62+(Setup!$O$62+AB$1)*Setup!$M$62,EDATE(Setup!$G$62,(Setup!$O$62+AB$1)*Setup!$N$62))&lt;Setup!$D$5),"",IF(Setup!$M$62&gt;0,Setup!$G$62+(Setup!$O$62+AB$1)*Setup!$M$62,EDATE(Setup!$G$62,(Setup!$O$62+AB$1)*Setup!$N$62))+$A39/1000)))</f>
        <v/>
      </c>
      <c r="AC39">
        <f>IF(OR(Setup!$E$62="",Setup!$G$62="",Setup!$F$62=""),"",IF(AND(Setup!$F$62="Once",AC$1&gt;0),"",IF(OR(IF(Setup!$M$62&gt;0,Setup!$G$62+(Setup!$O$62+AC$1)*Setup!$M$62,EDATE(Setup!$G$62,(Setup!$O$62+AC$1)*Setup!$N$62))&gt;Setup!$P$62,IF(Setup!$M$62&gt;0,Setup!$G$62+(Setup!$O$62+AC$1)*Setup!$M$62,EDATE(Setup!$G$62,(Setup!$O$62+AC$1)*Setup!$N$62))&lt;Setup!$D$5),"",IF(Setup!$M$62&gt;0,Setup!$G$62+(Setup!$O$62+AC$1)*Setup!$M$62,EDATE(Setup!$G$62,(Setup!$O$62+AC$1)*Setup!$N$62))+$A39/1000)))</f>
        <v/>
      </c>
      <c r="AD39">
        <f>IF(OR(Setup!$E$62="",Setup!$G$62="",Setup!$F$62=""),"",IF(AND(Setup!$F$62="Once",AD$1&gt;0),"",IF(OR(IF(Setup!$M$62&gt;0,Setup!$G$62+(Setup!$O$62+AD$1)*Setup!$M$62,EDATE(Setup!$G$62,(Setup!$O$62+AD$1)*Setup!$N$62))&gt;Setup!$P$62,IF(Setup!$M$62&gt;0,Setup!$G$62+(Setup!$O$62+AD$1)*Setup!$M$62,EDATE(Setup!$G$62,(Setup!$O$62+AD$1)*Setup!$N$62))&lt;Setup!$D$5),"",IF(Setup!$M$62&gt;0,Setup!$G$62+(Setup!$O$62+AD$1)*Setup!$M$62,EDATE(Setup!$G$62,(Setup!$O$62+AD$1)*Setup!$N$62))+$A39/1000)))</f>
        <v/>
      </c>
      <c r="AE39">
        <f>IF(OR(Setup!$E$62="",Setup!$G$62="",Setup!$F$62=""),"",IF(AND(Setup!$F$62="Once",AE$1&gt;0),"",IF(OR(IF(Setup!$M$62&gt;0,Setup!$G$62+(Setup!$O$62+AE$1)*Setup!$M$62,EDATE(Setup!$G$62,(Setup!$O$62+AE$1)*Setup!$N$62))&gt;Setup!$P$62,IF(Setup!$M$62&gt;0,Setup!$G$62+(Setup!$O$62+AE$1)*Setup!$M$62,EDATE(Setup!$G$62,(Setup!$O$62+AE$1)*Setup!$N$62))&lt;Setup!$D$5),"",IF(Setup!$M$62&gt;0,Setup!$G$62+(Setup!$O$62+AE$1)*Setup!$M$62,EDATE(Setup!$G$62,(Setup!$O$62+AE$1)*Setup!$N$62))+$A39/1000)))</f>
        <v/>
      </c>
      <c r="AF39">
        <f>IF(OR(Setup!$E$62="",Setup!$G$62="",Setup!$F$62=""),"",IF(AND(Setup!$F$62="Once",AF$1&gt;0),"",IF(OR(IF(Setup!$M$62&gt;0,Setup!$G$62+(Setup!$O$62+AF$1)*Setup!$M$62,EDATE(Setup!$G$62,(Setup!$O$62+AF$1)*Setup!$N$62))&gt;Setup!$P$62,IF(Setup!$M$62&gt;0,Setup!$G$62+(Setup!$O$62+AF$1)*Setup!$M$62,EDATE(Setup!$G$62,(Setup!$O$62+AF$1)*Setup!$N$62))&lt;Setup!$D$5),"",IF(Setup!$M$62&gt;0,Setup!$G$62+(Setup!$O$62+AF$1)*Setup!$M$62,EDATE(Setup!$G$62,(Setup!$O$62+AF$1)*Setup!$N$62))+$A39/1000)))</f>
        <v/>
      </c>
      <c r="AG39">
        <f>IF(OR(Setup!$E$62="",Setup!$G$62="",Setup!$F$62=""),"",IF(AND(Setup!$F$62="Once",AG$1&gt;0),"",IF(OR(IF(Setup!$M$62&gt;0,Setup!$G$62+(Setup!$O$62+AG$1)*Setup!$M$62,EDATE(Setup!$G$62,(Setup!$O$62+AG$1)*Setup!$N$62))&gt;Setup!$P$62,IF(Setup!$M$62&gt;0,Setup!$G$62+(Setup!$O$62+AG$1)*Setup!$M$62,EDATE(Setup!$G$62,(Setup!$O$62+AG$1)*Setup!$N$62))&lt;Setup!$D$5),"",IF(Setup!$M$62&gt;0,Setup!$G$62+(Setup!$O$62+AG$1)*Setup!$M$62,EDATE(Setup!$G$62,(Setup!$O$62+AG$1)*Setup!$N$62))+$A39/1000)))</f>
        <v/>
      </c>
      <c r="AH39">
        <f>IF(OR(Setup!$E$62="",Setup!$G$62="",Setup!$F$62=""),"",IF(AND(Setup!$F$62="Once",AH$1&gt;0),"",IF(OR(IF(Setup!$M$62&gt;0,Setup!$G$62+(Setup!$O$62+AH$1)*Setup!$M$62,EDATE(Setup!$G$62,(Setup!$O$62+AH$1)*Setup!$N$62))&gt;Setup!$P$62,IF(Setup!$M$62&gt;0,Setup!$G$62+(Setup!$O$62+AH$1)*Setup!$M$62,EDATE(Setup!$G$62,(Setup!$O$62+AH$1)*Setup!$N$62))&lt;Setup!$D$5),"",IF(Setup!$M$62&gt;0,Setup!$G$62+(Setup!$O$62+AH$1)*Setup!$M$62,EDATE(Setup!$G$62,(Setup!$O$62+AH$1)*Setup!$N$62))+$A39/1000)))</f>
        <v/>
      </c>
      <c r="AI39">
        <f>IF(OR(Setup!$E$62="",Setup!$G$62="",Setup!$F$62=""),"",IF(AND(Setup!$F$62="Once",AI$1&gt;0),"",IF(OR(IF(Setup!$M$62&gt;0,Setup!$G$62+(Setup!$O$62+AI$1)*Setup!$M$62,EDATE(Setup!$G$62,(Setup!$O$62+AI$1)*Setup!$N$62))&gt;Setup!$P$62,IF(Setup!$M$62&gt;0,Setup!$G$62+(Setup!$O$62+AI$1)*Setup!$M$62,EDATE(Setup!$G$62,(Setup!$O$62+AI$1)*Setup!$N$62))&lt;Setup!$D$5),"",IF(Setup!$M$62&gt;0,Setup!$G$62+(Setup!$O$62+AI$1)*Setup!$M$62,EDATE(Setup!$G$62,(Setup!$O$62+AI$1)*Setup!$N$62))+$A39/1000)))</f>
        <v/>
      </c>
      <c r="AJ39">
        <f>IF(OR(Setup!$E$62="",Setup!$G$62="",Setup!$F$62=""),"",IF(AND(Setup!$F$62="Once",AJ$1&gt;0),"",IF(OR(IF(Setup!$M$62&gt;0,Setup!$G$62+(Setup!$O$62+AJ$1)*Setup!$M$62,EDATE(Setup!$G$62,(Setup!$O$62+AJ$1)*Setup!$N$62))&gt;Setup!$P$62,IF(Setup!$M$62&gt;0,Setup!$G$62+(Setup!$O$62+AJ$1)*Setup!$M$62,EDATE(Setup!$G$62,(Setup!$O$62+AJ$1)*Setup!$N$62))&lt;Setup!$D$5),"",IF(Setup!$M$62&gt;0,Setup!$G$62+(Setup!$O$62+AJ$1)*Setup!$M$62,EDATE(Setup!$G$62,(Setup!$O$62+AJ$1)*Setup!$N$62))+$A39/1000)))</f>
        <v/>
      </c>
      <c r="AK39">
        <f>IF(OR(Setup!$E$62="",Setup!$G$62="",Setup!$F$62=""),"",IF(AND(Setup!$F$62="Once",AK$1&gt;0),"",IF(OR(IF(Setup!$M$62&gt;0,Setup!$G$62+(Setup!$O$62+AK$1)*Setup!$M$62,EDATE(Setup!$G$62,(Setup!$O$62+AK$1)*Setup!$N$62))&gt;Setup!$P$62,IF(Setup!$M$62&gt;0,Setup!$G$62+(Setup!$O$62+AK$1)*Setup!$M$62,EDATE(Setup!$G$62,(Setup!$O$62+AK$1)*Setup!$N$62))&lt;Setup!$D$5),"",IF(Setup!$M$62&gt;0,Setup!$G$62+(Setup!$O$62+AK$1)*Setup!$M$62,EDATE(Setup!$G$62,(Setup!$O$62+AK$1)*Setup!$N$62))+$A39/1000)))</f>
        <v/>
      </c>
      <c r="AL39">
        <f>IF(OR(Setup!$E$62="",Setup!$G$62="",Setup!$F$62=""),"",IF(AND(Setup!$F$62="Once",AL$1&gt;0),"",IF(OR(IF(Setup!$M$62&gt;0,Setup!$G$62+(Setup!$O$62+AL$1)*Setup!$M$62,EDATE(Setup!$G$62,(Setup!$O$62+AL$1)*Setup!$N$62))&gt;Setup!$P$62,IF(Setup!$M$62&gt;0,Setup!$G$62+(Setup!$O$62+AL$1)*Setup!$M$62,EDATE(Setup!$G$62,(Setup!$O$62+AL$1)*Setup!$N$62))&lt;Setup!$D$5),"",IF(Setup!$M$62&gt;0,Setup!$G$62+(Setup!$O$62+AL$1)*Setup!$M$62,EDATE(Setup!$G$62,(Setup!$O$62+AL$1)*Setup!$N$62))+$A39/1000)))</f>
        <v/>
      </c>
      <c r="AM39">
        <f>IF(OR(Setup!$E$62="",Setup!$G$62="",Setup!$F$62=""),"",IF(AND(Setup!$F$62="Once",AM$1&gt;0),"",IF(OR(IF(Setup!$M$62&gt;0,Setup!$G$62+(Setup!$O$62+AM$1)*Setup!$M$62,EDATE(Setup!$G$62,(Setup!$O$62+AM$1)*Setup!$N$62))&gt;Setup!$P$62,IF(Setup!$M$62&gt;0,Setup!$G$62+(Setup!$O$62+AM$1)*Setup!$M$62,EDATE(Setup!$G$62,(Setup!$O$62+AM$1)*Setup!$N$62))&lt;Setup!$D$5),"",IF(Setup!$M$62&gt;0,Setup!$G$62+(Setup!$O$62+AM$1)*Setup!$M$62,EDATE(Setup!$G$62,(Setup!$O$62+AM$1)*Setup!$N$62))+$A39/1000)))</f>
        <v/>
      </c>
      <c r="AN39">
        <f>IF(OR(Setup!$E$62="",Setup!$G$62="",Setup!$F$62=""),"",IF(AND(Setup!$F$62="Once",AN$1&gt;0),"",IF(OR(IF(Setup!$M$62&gt;0,Setup!$G$62+(Setup!$O$62+AN$1)*Setup!$M$62,EDATE(Setup!$G$62,(Setup!$O$62+AN$1)*Setup!$N$62))&gt;Setup!$P$62,IF(Setup!$M$62&gt;0,Setup!$G$62+(Setup!$O$62+AN$1)*Setup!$M$62,EDATE(Setup!$G$62,(Setup!$O$62+AN$1)*Setup!$N$62))&lt;Setup!$D$5),"",IF(Setup!$M$62&gt;0,Setup!$G$62+(Setup!$O$62+AN$1)*Setup!$M$62,EDATE(Setup!$G$62,(Setup!$O$62+AN$1)*Setup!$N$62))+$A39/1000)))</f>
        <v/>
      </c>
      <c r="AO39">
        <f>IF(OR(Setup!$E$62="",Setup!$G$62="",Setup!$F$62=""),"",IF(AND(Setup!$F$62="Once",AO$1&gt;0),"",IF(OR(IF(Setup!$M$62&gt;0,Setup!$G$62+(Setup!$O$62+AO$1)*Setup!$M$62,EDATE(Setup!$G$62,(Setup!$O$62+AO$1)*Setup!$N$62))&gt;Setup!$P$62,IF(Setup!$M$62&gt;0,Setup!$G$62+(Setup!$O$62+AO$1)*Setup!$M$62,EDATE(Setup!$G$62,(Setup!$O$62+AO$1)*Setup!$N$62))&lt;Setup!$D$5),"",IF(Setup!$M$62&gt;0,Setup!$G$62+(Setup!$O$62+AO$1)*Setup!$M$62,EDATE(Setup!$G$62,(Setup!$O$62+AO$1)*Setup!$N$62))+$A39/1000)))</f>
        <v/>
      </c>
      <c r="AP39">
        <f>IF(OR(Setup!$E$62="",Setup!$G$62="",Setup!$F$62=""),"",IF(AND(Setup!$F$62="Once",AP$1&gt;0),"",IF(OR(IF(Setup!$M$62&gt;0,Setup!$G$62+(Setup!$O$62+AP$1)*Setup!$M$62,EDATE(Setup!$G$62,(Setup!$O$62+AP$1)*Setup!$N$62))&gt;Setup!$P$62,IF(Setup!$M$62&gt;0,Setup!$G$62+(Setup!$O$62+AP$1)*Setup!$M$62,EDATE(Setup!$G$62,(Setup!$O$62+AP$1)*Setup!$N$62))&lt;Setup!$D$5),"",IF(Setup!$M$62&gt;0,Setup!$G$62+(Setup!$O$62+AP$1)*Setup!$M$62,EDATE(Setup!$G$62,(Setup!$O$62+AP$1)*Setup!$N$62))+$A39/1000)))</f>
        <v/>
      </c>
      <c r="AQ39">
        <f>IF(OR(Setup!$E$62="",Setup!$G$62="",Setup!$F$62=""),"",IF(AND(Setup!$F$62="Once",AQ$1&gt;0),"",IF(OR(IF(Setup!$M$62&gt;0,Setup!$G$62+(Setup!$O$62+AQ$1)*Setup!$M$62,EDATE(Setup!$G$62,(Setup!$O$62+AQ$1)*Setup!$N$62))&gt;Setup!$P$62,IF(Setup!$M$62&gt;0,Setup!$G$62+(Setup!$O$62+AQ$1)*Setup!$M$62,EDATE(Setup!$G$62,(Setup!$O$62+AQ$1)*Setup!$N$62))&lt;Setup!$D$5),"",IF(Setup!$M$62&gt;0,Setup!$G$62+(Setup!$O$62+AQ$1)*Setup!$M$62,EDATE(Setup!$G$62,(Setup!$O$62+AQ$1)*Setup!$N$62))+$A39/1000)))</f>
        <v/>
      </c>
      <c r="AR39">
        <f>IF(OR(Setup!$E$62="",Setup!$G$62="",Setup!$F$62=""),"",IF(AND(Setup!$F$62="Once",AR$1&gt;0),"",IF(OR(IF(Setup!$M$62&gt;0,Setup!$G$62+(Setup!$O$62+AR$1)*Setup!$M$62,EDATE(Setup!$G$62,(Setup!$O$62+AR$1)*Setup!$N$62))&gt;Setup!$P$62,IF(Setup!$M$62&gt;0,Setup!$G$62+(Setup!$O$62+AR$1)*Setup!$M$62,EDATE(Setup!$G$62,(Setup!$O$62+AR$1)*Setup!$N$62))&lt;Setup!$D$5),"",IF(Setup!$M$62&gt;0,Setup!$G$62+(Setup!$O$62+AR$1)*Setup!$M$62,EDATE(Setup!$G$62,(Setup!$O$62+AR$1)*Setup!$N$62))+$A39/1000)))</f>
        <v/>
      </c>
      <c r="AS39">
        <f>IF(OR(Setup!$E$62="",Setup!$G$62="",Setup!$F$62=""),"",IF(AND(Setup!$F$62="Once",AS$1&gt;0),"",IF(OR(IF(Setup!$M$62&gt;0,Setup!$G$62+(Setup!$O$62+AS$1)*Setup!$M$62,EDATE(Setup!$G$62,(Setup!$O$62+AS$1)*Setup!$N$62))&gt;Setup!$P$62,IF(Setup!$M$62&gt;0,Setup!$G$62+(Setup!$O$62+AS$1)*Setup!$M$62,EDATE(Setup!$G$62,(Setup!$O$62+AS$1)*Setup!$N$62))&lt;Setup!$D$5),"",IF(Setup!$M$62&gt;0,Setup!$G$62+(Setup!$O$62+AS$1)*Setup!$M$62,EDATE(Setup!$G$62,(Setup!$O$62+AS$1)*Setup!$N$62))+$A39/1000)))</f>
        <v/>
      </c>
      <c r="AT39">
        <f>IF(OR(Setup!$E$62="",Setup!$G$62="",Setup!$F$62=""),"",IF(AND(Setup!$F$62="Once",AT$1&gt;0),"",IF(OR(IF(Setup!$M$62&gt;0,Setup!$G$62+(Setup!$O$62+AT$1)*Setup!$M$62,EDATE(Setup!$G$62,(Setup!$O$62+AT$1)*Setup!$N$62))&gt;Setup!$P$62,IF(Setup!$M$62&gt;0,Setup!$G$62+(Setup!$O$62+AT$1)*Setup!$M$62,EDATE(Setup!$G$62,(Setup!$O$62+AT$1)*Setup!$N$62))&lt;Setup!$D$5),"",IF(Setup!$M$62&gt;0,Setup!$G$62+(Setup!$O$62+AT$1)*Setup!$M$62,EDATE(Setup!$G$62,(Setup!$O$62+AT$1)*Setup!$N$62))+$A39/1000)))</f>
        <v/>
      </c>
      <c r="AU39">
        <f>IF(OR(Setup!$E$62="",Setup!$G$62="",Setup!$F$62=""),"",IF(AND(Setup!$F$62="Once",AU$1&gt;0),"",IF(OR(IF(Setup!$M$62&gt;0,Setup!$G$62+(Setup!$O$62+AU$1)*Setup!$M$62,EDATE(Setup!$G$62,(Setup!$O$62+AU$1)*Setup!$N$62))&gt;Setup!$P$62,IF(Setup!$M$62&gt;0,Setup!$G$62+(Setup!$O$62+AU$1)*Setup!$M$62,EDATE(Setup!$G$62,(Setup!$O$62+AU$1)*Setup!$N$62))&lt;Setup!$D$5),"",IF(Setup!$M$62&gt;0,Setup!$G$62+(Setup!$O$62+AU$1)*Setup!$M$62,EDATE(Setup!$G$62,(Setup!$O$62+AU$1)*Setup!$N$62))+$A39/1000)))</f>
        <v/>
      </c>
      <c r="AV39">
        <f>IF(OR(Setup!$E$62="",Setup!$G$62="",Setup!$F$62=""),"",IF(AND(Setup!$F$62="Once",AV$1&gt;0),"",IF(OR(IF(Setup!$M$62&gt;0,Setup!$G$62+(Setup!$O$62+AV$1)*Setup!$M$62,EDATE(Setup!$G$62,(Setup!$O$62+AV$1)*Setup!$N$62))&gt;Setup!$P$62,IF(Setup!$M$62&gt;0,Setup!$G$62+(Setup!$O$62+AV$1)*Setup!$M$62,EDATE(Setup!$G$62,(Setup!$O$62+AV$1)*Setup!$N$62))&lt;Setup!$D$5),"",IF(Setup!$M$62&gt;0,Setup!$G$62+(Setup!$O$62+AV$1)*Setup!$M$62,EDATE(Setup!$G$62,(Setup!$O$62+AV$1)*Setup!$N$62))+$A39/1000)))</f>
        <v/>
      </c>
      <c r="AW39">
        <f>IF(OR(Setup!$E$62="",Setup!$G$62="",Setup!$F$62=""),"",IF(AND(Setup!$F$62="Once",AW$1&gt;0),"",IF(OR(IF(Setup!$M$62&gt;0,Setup!$G$62+(Setup!$O$62+AW$1)*Setup!$M$62,EDATE(Setup!$G$62,(Setup!$O$62+AW$1)*Setup!$N$62))&gt;Setup!$P$62,IF(Setup!$M$62&gt;0,Setup!$G$62+(Setup!$O$62+AW$1)*Setup!$M$62,EDATE(Setup!$G$62,(Setup!$O$62+AW$1)*Setup!$N$62))&lt;Setup!$D$5),"",IF(Setup!$M$62&gt;0,Setup!$G$62+(Setup!$O$62+AW$1)*Setup!$M$62,EDATE(Setup!$G$62,(Setup!$O$62+AW$1)*Setup!$N$62))+$A39/1000)))</f>
        <v/>
      </c>
      <c r="AX39">
        <f>IF(OR(Setup!$E$62="",Setup!$G$62="",Setup!$F$62=""),"",IF(AND(Setup!$F$62="Once",AX$1&gt;0),"",IF(OR(IF(Setup!$M$62&gt;0,Setup!$G$62+(Setup!$O$62+AX$1)*Setup!$M$62,EDATE(Setup!$G$62,(Setup!$O$62+AX$1)*Setup!$N$62))&gt;Setup!$P$62,IF(Setup!$M$62&gt;0,Setup!$G$62+(Setup!$O$62+AX$1)*Setup!$M$62,EDATE(Setup!$G$62,(Setup!$O$62+AX$1)*Setup!$N$62))&lt;Setup!$D$5),"",IF(Setup!$M$62&gt;0,Setup!$G$62+(Setup!$O$62+AX$1)*Setup!$M$62,EDATE(Setup!$G$62,(Setup!$O$62+AX$1)*Setup!$N$62))+$A39/1000)))</f>
        <v/>
      </c>
      <c r="AY39">
        <f>IF(OR(Setup!$E$62="",Setup!$G$62="",Setup!$F$62=""),"",IF(AND(Setup!$F$62="Once",AY$1&gt;0),"",IF(OR(IF(Setup!$M$62&gt;0,Setup!$G$62+(Setup!$O$62+AY$1)*Setup!$M$62,EDATE(Setup!$G$62,(Setup!$O$62+AY$1)*Setup!$N$62))&gt;Setup!$P$62,IF(Setup!$M$62&gt;0,Setup!$G$62+(Setup!$O$62+AY$1)*Setup!$M$62,EDATE(Setup!$G$62,(Setup!$O$62+AY$1)*Setup!$N$62))&lt;Setup!$D$5),"",IF(Setup!$M$62&gt;0,Setup!$G$62+(Setup!$O$62+AY$1)*Setup!$M$62,EDATE(Setup!$G$62,(Setup!$O$62+AY$1)*Setup!$N$62))+$A39/1000)))</f>
        <v/>
      </c>
      <c r="AZ39">
        <f>IF(OR(Setup!$E$62="",Setup!$G$62="",Setup!$F$62=""),"",IF(AND(Setup!$F$62="Once",AZ$1&gt;0),"",IF(OR(IF(Setup!$M$62&gt;0,Setup!$G$62+(Setup!$O$62+AZ$1)*Setup!$M$62,EDATE(Setup!$G$62,(Setup!$O$62+AZ$1)*Setup!$N$62))&gt;Setup!$P$62,IF(Setup!$M$62&gt;0,Setup!$G$62+(Setup!$O$62+AZ$1)*Setup!$M$62,EDATE(Setup!$G$62,(Setup!$O$62+AZ$1)*Setup!$N$62))&lt;Setup!$D$5),"",IF(Setup!$M$62&gt;0,Setup!$G$62+(Setup!$O$62+AZ$1)*Setup!$M$62,EDATE(Setup!$G$62,(Setup!$O$62+AZ$1)*Setup!$N$62))+$A39/1000)))</f>
        <v/>
      </c>
      <c r="BA39">
        <f>IF(OR(Setup!$E$62="",Setup!$G$62="",Setup!$F$62=""),"",IF(AND(Setup!$F$62="Once",BA$1&gt;0),"",IF(OR(IF(Setup!$M$62&gt;0,Setup!$G$62+(Setup!$O$62+BA$1)*Setup!$M$62,EDATE(Setup!$G$62,(Setup!$O$62+BA$1)*Setup!$N$62))&gt;Setup!$P$62,IF(Setup!$M$62&gt;0,Setup!$G$62+(Setup!$O$62+BA$1)*Setup!$M$62,EDATE(Setup!$G$62,(Setup!$O$62+BA$1)*Setup!$N$62))&lt;Setup!$D$5),"",IF(Setup!$M$62&gt;0,Setup!$G$62+(Setup!$O$62+BA$1)*Setup!$M$62,EDATE(Setup!$G$62,(Setup!$O$62+BA$1)*Setup!$N$62))+$A39/1000)))</f>
        <v/>
      </c>
      <c r="BB39">
        <f>IF(OR(Setup!$E$62="",Setup!$G$62="",Setup!$F$62=""),"",IF(AND(Setup!$F$62="Once",BB$1&gt;0),"",IF(OR(IF(Setup!$M$62&gt;0,Setup!$G$62+(Setup!$O$62+BB$1)*Setup!$M$62,EDATE(Setup!$G$62,(Setup!$O$62+BB$1)*Setup!$N$62))&gt;Setup!$P$62,IF(Setup!$M$62&gt;0,Setup!$G$62+(Setup!$O$62+BB$1)*Setup!$M$62,EDATE(Setup!$G$62,(Setup!$O$62+BB$1)*Setup!$N$62))&lt;Setup!$D$5),"",IF(Setup!$M$62&gt;0,Setup!$G$62+(Setup!$O$62+BB$1)*Setup!$M$62,EDATE(Setup!$G$62,(Setup!$O$62+BB$1)*Setup!$N$62))+$A39/1000)))</f>
        <v/>
      </c>
    </row>
    <row r="40">
      <c r="A40" t="n">
        <v>39</v>
      </c>
      <c r="B40">
        <f>IF(OR(Setup!$E$63="",Setup!$G$63="",Setup!$F$63=""),"",IF(AND(Setup!$F$63="Once",B$1&gt;0),"",IF(OR(IF(Setup!$M$63&gt;0,Setup!$G$63+(Setup!$O$63+B$1)*Setup!$M$63,EDATE(Setup!$G$63,(Setup!$O$63+B$1)*Setup!$N$63))&gt;Setup!$P$63,IF(Setup!$M$63&gt;0,Setup!$G$63+(Setup!$O$63+B$1)*Setup!$M$63,EDATE(Setup!$G$63,(Setup!$O$63+B$1)*Setup!$N$63))&lt;Setup!$D$5),"",IF(Setup!$M$63&gt;0,Setup!$G$63+(Setup!$O$63+B$1)*Setup!$M$63,EDATE(Setup!$G$63,(Setup!$O$63+B$1)*Setup!$N$63))+$A40/1000)))</f>
        <v/>
      </c>
      <c r="C40">
        <f>IF(OR(Setup!$E$63="",Setup!$G$63="",Setup!$F$63=""),"",IF(AND(Setup!$F$63="Once",C$1&gt;0),"",IF(OR(IF(Setup!$M$63&gt;0,Setup!$G$63+(Setup!$O$63+C$1)*Setup!$M$63,EDATE(Setup!$G$63,(Setup!$O$63+C$1)*Setup!$N$63))&gt;Setup!$P$63,IF(Setup!$M$63&gt;0,Setup!$G$63+(Setup!$O$63+C$1)*Setup!$M$63,EDATE(Setup!$G$63,(Setup!$O$63+C$1)*Setup!$N$63))&lt;Setup!$D$5),"",IF(Setup!$M$63&gt;0,Setup!$G$63+(Setup!$O$63+C$1)*Setup!$M$63,EDATE(Setup!$G$63,(Setup!$O$63+C$1)*Setup!$N$63))+$A40/1000)))</f>
        <v/>
      </c>
      <c r="D40">
        <f>IF(OR(Setup!$E$63="",Setup!$G$63="",Setup!$F$63=""),"",IF(AND(Setup!$F$63="Once",D$1&gt;0),"",IF(OR(IF(Setup!$M$63&gt;0,Setup!$G$63+(Setup!$O$63+D$1)*Setup!$M$63,EDATE(Setup!$G$63,(Setup!$O$63+D$1)*Setup!$N$63))&gt;Setup!$P$63,IF(Setup!$M$63&gt;0,Setup!$G$63+(Setup!$O$63+D$1)*Setup!$M$63,EDATE(Setup!$G$63,(Setup!$O$63+D$1)*Setup!$N$63))&lt;Setup!$D$5),"",IF(Setup!$M$63&gt;0,Setup!$G$63+(Setup!$O$63+D$1)*Setup!$M$63,EDATE(Setup!$G$63,(Setup!$O$63+D$1)*Setup!$N$63))+$A40/1000)))</f>
        <v/>
      </c>
      <c r="E40">
        <f>IF(OR(Setup!$E$63="",Setup!$G$63="",Setup!$F$63=""),"",IF(AND(Setup!$F$63="Once",E$1&gt;0),"",IF(OR(IF(Setup!$M$63&gt;0,Setup!$G$63+(Setup!$O$63+E$1)*Setup!$M$63,EDATE(Setup!$G$63,(Setup!$O$63+E$1)*Setup!$N$63))&gt;Setup!$P$63,IF(Setup!$M$63&gt;0,Setup!$G$63+(Setup!$O$63+E$1)*Setup!$M$63,EDATE(Setup!$G$63,(Setup!$O$63+E$1)*Setup!$N$63))&lt;Setup!$D$5),"",IF(Setup!$M$63&gt;0,Setup!$G$63+(Setup!$O$63+E$1)*Setup!$M$63,EDATE(Setup!$G$63,(Setup!$O$63+E$1)*Setup!$N$63))+$A40/1000)))</f>
        <v/>
      </c>
      <c r="F40">
        <f>IF(OR(Setup!$E$63="",Setup!$G$63="",Setup!$F$63=""),"",IF(AND(Setup!$F$63="Once",F$1&gt;0),"",IF(OR(IF(Setup!$M$63&gt;0,Setup!$G$63+(Setup!$O$63+F$1)*Setup!$M$63,EDATE(Setup!$G$63,(Setup!$O$63+F$1)*Setup!$N$63))&gt;Setup!$P$63,IF(Setup!$M$63&gt;0,Setup!$G$63+(Setup!$O$63+F$1)*Setup!$M$63,EDATE(Setup!$G$63,(Setup!$O$63+F$1)*Setup!$N$63))&lt;Setup!$D$5),"",IF(Setup!$M$63&gt;0,Setup!$G$63+(Setup!$O$63+F$1)*Setup!$M$63,EDATE(Setup!$G$63,(Setup!$O$63+F$1)*Setup!$N$63))+$A40/1000)))</f>
        <v/>
      </c>
      <c r="G40">
        <f>IF(OR(Setup!$E$63="",Setup!$G$63="",Setup!$F$63=""),"",IF(AND(Setup!$F$63="Once",G$1&gt;0),"",IF(OR(IF(Setup!$M$63&gt;0,Setup!$G$63+(Setup!$O$63+G$1)*Setup!$M$63,EDATE(Setup!$G$63,(Setup!$O$63+G$1)*Setup!$N$63))&gt;Setup!$P$63,IF(Setup!$M$63&gt;0,Setup!$G$63+(Setup!$O$63+G$1)*Setup!$M$63,EDATE(Setup!$G$63,(Setup!$O$63+G$1)*Setup!$N$63))&lt;Setup!$D$5),"",IF(Setup!$M$63&gt;0,Setup!$G$63+(Setup!$O$63+G$1)*Setup!$M$63,EDATE(Setup!$G$63,(Setup!$O$63+G$1)*Setup!$N$63))+$A40/1000)))</f>
        <v/>
      </c>
      <c r="H40">
        <f>IF(OR(Setup!$E$63="",Setup!$G$63="",Setup!$F$63=""),"",IF(AND(Setup!$F$63="Once",H$1&gt;0),"",IF(OR(IF(Setup!$M$63&gt;0,Setup!$G$63+(Setup!$O$63+H$1)*Setup!$M$63,EDATE(Setup!$G$63,(Setup!$O$63+H$1)*Setup!$N$63))&gt;Setup!$P$63,IF(Setup!$M$63&gt;0,Setup!$G$63+(Setup!$O$63+H$1)*Setup!$M$63,EDATE(Setup!$G$63,(Setup!$O$63+H$1)*Setup!$N$63))&lt;Setup!$D$5),"",IF(Setup!$M$63&gt;0,Setup!$G$63+(Setup!$O$63+H$1)*Setup!$M$63,EDATE(Setup!$G$63,(Setup!$O$63+H$1)*Setup!$N$63))+$A40/1000)))</f>
        <v/>
      </c>
      <c r="I40">
        <f>IF(OR(Setup!$E$63="",Setup!$G$63="",Setup!$F$63=""),"",IF(AND(Setup!$F$63="Once",I$1&gt;0),"",IF(OR(IF(Setup!$M$63&gt;0,Setup!$G$63+(Setup!$O$63+I$1)*Setup!$M$63,EDATE(Setup!$G$63,(Setup!$O$63+I$1)*Setup!$N$63))&gt;Setup!$P$63,IF(Setup!$M$63&gt;0,Setup!$G$63+(Setup!$O$63+I$1)*Setup!$M$63,EDATE(Setup!$G$63,(Setup!$O$63+I$1)*Setup!$N$63))&lt;Setup!$D$5),"",IF(Setup!$M$63&gt;0,Setup!$G$63+(Setup!$O$63+I$1)*Setup!$M$63,EDATE(Setup!$G$63,(Setup!$O$63+I$1)*Setup!$N$63))+$A40/1000)))</f>
        <v/>
      </c>
      <c r="J40">
        <f>IF(OR(Setup!$E$63="",Setup!$G$63="",Setup!$F$63=""),"",IF(AND(Setup!$F$63="Once",J$1&gt;0),"",IF(OR(IF(Setup!$M$63&gt;0,Setup!$G$63+(Setup!$O$63+J$1)*Setup!$M$63,EDATE(Setup!$G$63,(Setup!$O$63+J$1)*Setup!$N$63))&gt;Setup!$P$63,IF(Setup!$M$63&gt;0,Setup!$G$63+(Setup!$O$63+J$1)*Setup!$M$63,EDATE(Setup!$G$63,(Setup!$O$63+J$1)*Setup!$N$63))&lt;Setup!$D$5),"",IF(Setup!$M$63&gt;0,Setup!$G$63+(Setup!$O$63+J$1)*Setup!$M$63,EDATE(Setup!$G$63,(Setup!$O$63+J$1)*Setup!$N$63))+$A40/1000)))</f>
        <v/>
      </c>
      <c r="K40">
        <f>IF(OR(Setup!$E$63="",Setup!$G$63="",Setup!$F$63=""),"",IF(AND(Setup!$F$63="Once",K$1&gt;0),"",IF(OR(IF(Setup!$M$63&gt;0,Setup!$G$63+(Setup!$O$63+K$1)*Setup!$M$63,EDATE(Setup!$G$63,(Setup!$O$63+K$1)*Setup!$N$63))&gt;Setup!$P$63,IF(Setup!$M$63&gt;0,Setup!$G$63+(Setup!$O$63+K$1)*Setup!$M$63,EDATE(Setup!$G$63,(Setup!$O$63+K$1)*Setup!$N$63))&lt;Setup!$D$5),"",IF(Setup!$M$63&gt;0,Setup!$G$63+(Setup!$O$63+K$1)*Setup!$M$63,EDATE(Setup!$G$63,(Setup!$O$63+K$1)*Setup!$N$63))+$A40/1000)))</f>
        <v/>
      </c>
      <c r="L40">
        <f>IF(OR(Setup!$E$63="",Setup!$G$63="",Setup!$F$63=""),"",IF(AND(Setup!$F$63="Once",L$1&gt;0),"",IF(OR(IF(Setup!$M$63&gt;0,Setup!$G$63+(Setup!$O$63+L$1)*Setup!$M$63,EDATE(Setup!$G$63,(Setup!$O$63+L$1)*Setup!$N$63))&gt;Setup!$P$63,IF(Setup!$M$63&gt;0,Setup!$G$63+(Setup!$O$63+L$1)*Setup!$M$63,EDATE(Setup!$G$63,(Setup!$O$63+L$1)*Setup!$N$63))&lt;Setup!$D$5),"",IF(Setup!$M$63&gt;0,Setup!$G$63+(Setup!$O$63+L$1)*Setup!$M$63,EDATE(Setup!$G$63,(Setup!$O$63+L$1)*Setup!$N$63))+$A40/1000)))</f>
        <v/>
      </c>
      <c r="M40">
        <f>IF(OR(Setup!$E$63="",Setup!$G$63="",Setup!$F$63=""),"",IF(AND(Setup!$F$63="Once",M$1&gt;0),"",IF(OR(IF(Setup!$M$63&gt;0,Setup!$G$63+(Setup!$O$63+M$1)*Setup!$M$63,EDATE(Setup!$G$63,(Setup!$O$63+M$1)*Setup!$N$63))&gt;Setup!$P$63,IF(Setup!$M$63&gt;0,Setup!$G$63+(Setup!$O$63+M$1)*Setup!$M$63,EDATE(Setup!$G$63,(Setup!$O$63+M$1)*Setup!$N$63))&lt;Setup!$D$5),"",IF(Setup!$M$63&gt;0,Setup!$G$63+(Setup!$O$63+M$1)*Setup!$M$63,EDATE(Setup!$G$63,(Setup!$O$63+M$1)*Setup!$N$63))+$A40/1000)))</f>
        <v/>
      </c>
      <c r="N40">
        <f>IF(OR(Setup!$E$63="",Setup!$G$63="",Setup!$F$63=""),"",IF(AND(Setup!$F$63="Once",N$1&gt;0),"",IF(OR(IF(Setup!$M$63&gt;0,Setup!$G$63+(Setup!$O$63+N$1)*Setup!$M$63,EDATE(Setup!$G$63,(Setup!$O$63+N$1)*Setup!$N$63))&gt;Setup!$P$63,IF(Setup!$M$63&gt;0,Setup!$G$63+(Setup!$O$63+N$1)*Setup!$M$63,EDATE(Setup!$G$63,(Setup!$O$63+N$1)*Setup!$N$63))&lt;Setup!$D$5),"",IF(Setup!$M$63&gt;0,Setup!$G$63+(Setup!$O$63+N$1)*Setup!$M$63,EDATE(Setup!$G$63,(Setup!$O$63+N$1)*Setup!$N$63))+$A40/1000)))</f>
        <v/>
      </c>
      <c r="O40">
        <f>IF(OR(Setup!$E$63="",Setup!$G$63="",Setup!$F$63=""),"",IF(AND(Setup!$F$63="Once",O$1&gt;0),"",IF(OR(IF(Setup!$M$63&gt;0,Setup!$G$63+(Setup!$O$63+O$1)*Setup!$M$63,EDATE(Setup!$G$63,(Setup!$O$63+O$1)*Setup!$N$63))&gt;Setup!$P$63,IF(Setup!$M$63&gt;0,Setup!$G$63+(Setup!$O$63+O$1)*Setup!$M$63,EDATE(Setup!$G$63,(Setup!$O$63+O$1)*Setup!$N$63))&lt;Setup!$D$5),"",IF(Setup!$M$63&gt;0,Setup!$G$63+(Setup!$O$63+O$1)*Setup!$M$63,EDATE(Setup!$G$63,(Setup!$O$63+O$1)*Setup!$N$63))+$A40/1000)))</f>
        <v/>
      </c>
      <c r="P40">
        <f>IF(OR(Setup!$E$63="",Setup!$G$63="",Setup!$F$63=""),"",IF(AND(Setup!$F$63="Once",P$1&gt;0),"",IF(OR(IF(Setup!$M$63&gt;0,Setup!$G$63+(Setup!$O$63+P$1)*Setup!$M$63,EDATE(Setup!$G$63,(Setup!$O$63+P$1)*Setup!$N$63))&gt;Setup!$P$63,IF(Setup!$M$63&gt;0,Setup!$G$63+(Setup!$O$63+P$1)*Setup!$M$63,EDATE(Setup!$G$63,(Setup!$O$63+P$1)*Setup!$N$63))&lt;Setup!$D$5),"",IF(Setup!$M$63&gt;0,Setup!$G$63+(Setup!$O$63+P$1)*Setup!$M$63,EDATE(Setup!$G$63,(Setup!$O$63+P$1)*Setup!$N$63))+$A40/1000)))</f>
        <v/>
      </c>
      <c r="Q40">
        <f>IF(OR(Setup!$E$63="",Setup!$G$63="",Setup!$F$63=""),"",IF(AND(Setup!$F$63="Once",Q$1&gt;0),"",IF(OR(IF(Setup!$M$63&gt;0,Setup!$G$63+(Setup!$O$63+Q$1)*Setup!$M$63,EDATE(Setup!$G$63,(Setup!$O$63+Q$1)*Setup!$N$63))&gt;Setup!$P$63,IF(Setup!$M$63&gt;0,Setup!$G$63+(Setup!$O$63+Q$1)*Setup!$M$63,EDATE(Setup!$G$63,(Setup!$O$63+Q$1)*Setup!$N$63))&lt;Setup!$D$5),"",IF(Setup!$M$63&gt;0,Setup!$G$63+(Setup!$O$63+Q$1)*Setup!$M$63,EDATE(Setup!$G$63,(Setup!$O$63+Q$1)*Setup!$N$63))+$A40/1000)))</f>
        <v/>
      </c>
      <c r="R40">
        <f>IF(OR(Setup!$E$63="",Setup!$G$63="",Setup!$F$63=""),"",IF(AND(Setup!$F$63="Once",R$1&gt;0),"",IF(OR(IF(Setup!$M$63&gt;0,Setup!$G$63+(Setup!$O$63+R$1)*Setup!$M$63,EDATE(Setup!$G$63,(Setup!$O$63+R$1)*Setup!$N$63))&gt;Setup!$P$63,IF(Setup!$M$63&gt;0,Setup!$G$63+(Setup!$O$63+R$1)*Setup!$M$63,EDATE(Setup!$G$63,(Setup!$O$63+R$1)*Setup!$N$63))&lt;Setup!$D$5),"",IF(Setup!$M$63&gt;0,Setup!$G$63+(Setup!$O$63+R$1)*Setup!$M$63,EDATE(Setup!$G$63,(Setup!$O$63+R$1)*Setup!$N$63))+$A40/1000)))</f>
        <v/>
      </c>
      <c r="S40">
        <f>IF(OR(Setup!$E$63="",Setup!$G$63="",Setup!$F$63=""),"",IF(AND(Setup!$F$63="Once",S$1&gt;0),"",IF(OR(IF(Setup!$M$63&gt;0,Setup!$G$63+(Setup!$O$63+S$1)*Setup!$M$63,EDATE(Setup!$G$63,(Setup!$O$63+S$1)*Setup!$N$63))&gt;Setup!$P$63,IF(Setup!$M$63&gt;0,Setup!$G$63+(Setup!$O$63+S$1)*Setup!$M$63,EDATE(Setup!$G$63,(Setup!$O$63+S$1)*Setup!$N$63))&lt;Setup!$D$5),"",IF(Setup!$M$63&gt;0,Setup!$G$63+(Setup!$O$63+S$1)*Setup!$M$63,EDATE(Setup!$G$63,(Setup!$O$63+S$1)*Setup!$N$63))+$A40/1000)))</f>
        <v/>
      </c>
      <c r="T40">
        <f>IF(OR(Setup!$E$63="",Setup!$G$63="",Setup!$F$63=""),"",IF(AND(Setup!$F$63="Once",T$1&gt;0),"",IF(OR(IF(Setup!$M$63&gt;0,Setup!$G$63+(Setup!$O$63+T$1)*Setup!$M$63,EDATE(Setup!$G$63,(Setup!$O$63+T$1)*Setup!$N$63))&gt;Setup!$P$63,IF(Setup!$M$63&gt;0,Setup!$G$63+(Setup!$O$63+T$1)*Setup!$M$63,EDATE(Setup!$G$63,(Setup!$O$63+T$1)*Setup!$N$63))&lt;Setup!$D$5),"",IF(Setup!$M$63&gt;0,Setup!$G$63+(Setup!$O$63+T$1)*Setup!$M$63,EDATE(Setup!$G$63,(Setup!$O$63+T$1)*Setup!$N$63))+$A40/1000)))</f>
        <v/>
      </c>
      <c r="U40">
        <f>IF(OR(Setup!$E$63="",Setup!$G$63="",Setup!$F$63=""),"",IF(AND(Setup!$F$63="Once",U$1&gt;0),"",IF(OR(IF(Setup!$M$63&gt;0,Setup!$G$63+(Setup!$O$63+U$1)*Setup!$M$63,EDATE(Setup!$G$63,(Setup!$O$63+U$1)*Setup!$N$63))&gt;Setup!$P$63,IF(Setup!$M$63&gt;0,Setup!$G$63+(Setup!$O$63+U$1)*Setup!$M$63,EDATE(Setup!$G$63,(Setup!$O$63+U$1)*Setup!$N$63))&lt;Setup!$D$5),"",IF(Setup!$M$63&gt;0,Setup!$G$63+(Setup!$O$63+U$1)*Setup!$M$63,EDATE(Setup!$G$63,(Setup!$O$63+U$1)*Setup!$N$63))+$A40/1000)))</f>
        <v/>
      </c>
      <c r="V40">
        <f>IF(OR(Setup!$E$63="",Setup!$G$63="",Setup!$F$63=""),"",IF(AND(Setup!$F$63="Once",V$1&gt;0),"",IF(OR(IF(Setup!$M$63&gt;0,Setup!$G$63+(Setup!$O$63+V$1)*Setup!$M$63,EDATE(Setup!$G$63,(Setup!$O$63+V$1)*Setup!$N$63))&gt;Setup!$P$63,IF(Setup!$M$63&gt;0,Setup!$G$63+(Setup!$O$63+V$1)*Setup!$M$63,EDATE(Setup!$G$63,(Setup!$O$63+V$1)*Setup!$N$63))&lt;Setup!$D$5),"",IF(Setup!$M$63&gt;0,Setup!$G$63+(Setup!$O$63+V$1)*Setup!$M$63,EDATE(Setup!$G$63,(Setup!$O$63+V$1)*Setup!$N$63))+$A40/1000)))</f>
        <v/>
      </c>
      <c r="W40">
        <f>IF(OR(Setup!$E$63="",Setup!$G$63="",Setup!$F$63=""),"",IF(AND(Setup!$F$63="Once",W$1&gt;0),"",IF(OR(IF(Setup!$M$63&gt;0,Setup!$G$63+(Setup!$O$63+W$1)*Setup!$M$63,EDATE(Setup!$G$63,(Setup!$O$63+W$1)*Setup!$N$63))&gt;Setup!$P$63,IF(Setup!$M$63&gt;0,Setup!$G$63+(Setup!$O$63+W$1)*Setup!$M$63,EDATE(Setup!$G$63,(Setup!$O$63+W$1)*Setup!$N$63))&lt;Setup!$D$5),"",IF(Setup!$M$63&gt;0,Setup!$G$63+(Setup!$O$63+W$1)*Setup!$M$63,EDATE(Setup!$G$63,(Setup!$O$63+W$1)*Setup!$N$63))+$A40/1000)))</f>
        <v/>
      </c>
      <c r="X40">
        <f>IF(OR(Setup!$E$63="",Setup!$G$63="",Setup!$F$63=""),"",IF(AND(Setup!$F$63="Once",X$1&gt;0),"",IF(OR(IF(Setup!$M$63&gt;0,Setup!$G$63+(Setup!$O$63+X$1)*Setup!$M$63,EDATE(Setup!$G$63,(Setup!$O$63+X$1)*Setup!$N$63))&gt;Setup!$P$63,IF(Setup!$M$63&gt;0,Setup!$G$63+(Setup!$O$63+X$1)*Setup!$M$63,EDATE(Setup!$G$63,(Setup!$O$63+X$1)*Setup!$N$63))&lt;Setup!$D$5),"",IF(Setup!$M$63&gt;0,Setup!$G$63+(Setup!$O$63+X$1)*Setup!$M$63,EDATE(Setup!$G$63,(Setup!$O$63+X$1)*Setup!$N$63))+$A40/1000)))</f>
        <v/>
      </c>
      <c r="Y40">
        <f>IF(OR(Setup!$E$63="",Setup!$G$63="",Setup!$F$63=""),"",IF(AND(Setup!$F$63="Once",Y$1&gt;0),"",IF(OR(IF(Setup!$M$63&gt;0,Setup!$G$63+(Setup!$O$63+Y$1)*Setup!$M$63,EDATE(Setup!$G$63,(Setup!$O$63+Y$1)*Setup!$N$63))&gt;Setup!$P$63,IF(Setup!$M$63&gt;0,Setup!$G$63+(Setup!$O$63+Y$1)*Setup!$M$63,EDATE(Setup!$G$63,(Setup!$O$63+Y$1)*Setup!$N$63))&lt;Setup!$D$5),"",IF(Setup!$M$63&gt;0,Setup!$G$63+(Setup!$O$63+Y$1)*Setup!$M$63,EDATE(Setup!$G$63,(Setup!$O$63+Y$1)*Setup!$N$63))+$A40/1000)))</f>
        <v/>
      </c>
      <c r="Z40">
        <f>IF(OR(Setup!$E$63="",Setup!$G$63="",Setup!$F$63=""),"",IF(AND(Setup!$F$63="Once",Z$1&gt;0),"",IF(OR(IF(Setup!$M$63&gt;0,Setup!$G$63+(Setup!$O$63+Z$1)*Setup!$M$63,EDATE(Setup!$G$63,(Setup!$O$63+Z$1)*Setup!$N$63))&gt;Setup!$P$63,IF(Setup!$M$63&gt;0,Setup!$G$63+(Setup!$O$63+Z$1)*Setup!$M$63,EDATE(Setup!$G$63,(Setup!$O$63+Z$1)*Setup!$N$63))&lt;Setup!$D$5),"",IF(Setup!$M$63&gt;0,Setup!$G$63+(Setup!$O$63+Z$1)*Setup!$M$63,EDATE(Setup!$G$63,(Setup!$O$63+Z$1)*Setup!$N$63))+$A40/1000)))</f>
        <v/>
      </c>
      <c r="AA40">
        <f>IF(OR(Setup!$E$63="",Setup!$G$63="",Setup!$F$63=""),"",IF(AND(Setup!$F$63="Once",AA$1&gt;0),"",IF(OR(IF(Setup!$M$63&gt;0,Setup!$G$63+(Setup!$O$63+AA$1)*Setup!$M$63,EDATE(Setup!$G$63,(Setup!$O$63+AA$1)*Setup!$N$63))&gt;Setup!$P$63,IF(Setup!$M$63&gt;0,Setup!$G$63+(Setup!$O$63+AA$1)*Setup!$M$63,EDATE(Setup!$G$63,(Setup!$O$63+AA$1)*Setup!$N$63))&lt;Setup!$D$5),"",IF(Setup!$M$63&gt;0,Setup!$G$63+(Setup!$O$63+AA$1)*Setup!$M$63,EDATE(Setup!$G$63,(Setup!$O$63+AA$1)*Setup!$N$63))+$A40/1000)))</f>
        <v/>
      </c>
      <c r="AB40">
        <f>IF(OR(Setup!$E$63="",Setup!$G$63="",Setup!$F$63=""),"",IF(AND(Setup!$F$63="Once",AB$1&gt;0),"",IF(OR(IF(Setup!$M$63&gt;0,Setup!$G$63+(Setup!$O$63+AB$1)*Setup!$M$63,EDATE(Setup!$G$63,(Setup!$O$63+AB$1)*Setup!$N$63))&gt;Setup!$P$63,IF(Setup!$M$63&gt;0,Setup!$G$63+(Setup!$O$63+AB$1)*Setup!$M$63,EDATE(Setup!$G$63,(Setup!$O$63+AB$1)*Setup!$N$63))&lt;Setup!$D$5),"",IF(Setup!$M$63&gt;0,Setup!$G$63+(Setup!$O$63+AB$1)*Setup!$M$63,EDATE(Setup!$G$63,(Setup!$O$63+AB$1)*Setup!$N$63))+$A40/1000)))</f>
        <v/>
      </c>
      <c r="AC40">
        <f>IF(OR(Setup!$E$63="",Setup!$G$63="",Setup!$F$63=""),"",IF(AND(Setup!$F$63="Once",AC$1&gt;0),"",IF(OR(IF(Setup!$M$63&gt;0,Setup!$G$63+(Setup!$O$63+AC$1)*Setup!$M$63,EDATE(Setup!$G$63,(Setup!$O$63+AC$1)*Setup!$N$63))&gt;Setup!$P$63,IF(Setup!$M$63&gt;0,Setup!$G$63+(Setup!$O$63+AC$1)*Setup!$M$63,EDATE(Setup!$G$63,(Setup!$O$63+AC$1)*Setup!$N$63))&lt;Setup!$D$5),"",IF(Setup!$M$63&gt;0,Setup!$G$63+(Setup!$O$63+AC$1)*Setup!$M$63,EDATE(Setup!$G$63,(Setup!$O$63+AC$1)*Setup!$N$63))+$A40/1000)))</f>
        <v/>
      </c>
      <c r="AD40">
        <f>IF(OR(Setup!$E$63="",Setup!$G$63="",Setup!$F$63=""),"",IF(AND(Setup!$F$63="Once",AD$1&gt;0),"",IF(OR(IF(Setup!$M$63&gt;0,Setup!$G$63+(Setup!$O$63+AD$1)*Setup!$M$63,EDATE(Setup!$G$63,(Setup!$O$63+AD$1)*Setup!$N$63))&gt;Setup!$P$63,IF(Setup!$M$63&gt;0,Setup!$G$63+(Setup!$O$63+AD$1)*Setup!$M$63,EDATE(Setup!$G$63,(Setup!$O$63+AD$1)*Setup!$N$63))&lt;Setup!$D$5),"",IF(Setup!$M$63&gt;0,Setup!$G$63+(Setup!$O$63+AD$1)*Setup!$M$63,EDATE(Setup!$G$63,(Setup!$O$63+AD$1)*Setup!$N$63))+$A40/1000)))</f>
        <v/>
      </c>
      <c r="AE40">
        <f>IF(OR(Setup!$E$63="",Setup!$G$63="",Setup!$F$63=""),"",IF(AND(Setup!$F$63="Once",AE$1&gt;0),"",IF(OR(IF(Setup!$M$63&gt;0,Setup!$G$63+(Setup!$O$63+AE$1)*Setup!$M$63,EDATE(Setup!$G$63,(Setup!$O$63+AE$1)*Setup!$N$63))&gt;Setup!$P$63,IF(Setup!$M$63&gt;0,Setup!$G$63+(Setup!$O$63+AE$1)*Setup!$M$63,EDATE(Setup!$G$63,(Setup!$O$63+AE$1)*Setup!$N$63))&lt;Setup!$D$5),"",IF(Setup!$M$63&gt;0,Setup!$G$63+(Setup!$O$63+AE$1)*Setup!$M$63,EDATE(Setup!$G$63,(Setup!$O$63+AE$1)*Setup!$N$63))+$A40/1000)))</f>
        <v/>
      </c>
      <c r="AF40">
        <f>IF(OR(Setup!$E$63="",Setup!$G$63="",Setup!$F$63=""),"",IF(AND(Setup!$F$63="Once",AF$1&gt;0),"",IF(OR(IF(Setup!$M$63&gt;0,Setup!$G$63+(Setup!$O$63+AF$1)*Setup!$M$63,EDATE(Setup!$G$63,(Setup!$O$63+AF$1)*Setup!$N$63))&gt;Setup!$P$63,IF(Setup!$M$63&gt;0,Setup!$G$63+(Setup!$O$63+AF$1)*Setup!$M$63,EDATE(Setup!$G$63,(Setup!$O$63+AF$1)*Setup!$N$63))&lt;Setup!$D$5),"",IF(Setup!$M$63&gt;0,Setup!$G$63+(Setup!$O$63+AF$1)*Setup!$M$63,EDATE(Setup!$G$63,(Setup!$O$63+AF$1)*Setup!$N$63))+$A40/1000)))</f>
        <v/>
      </c>
      <c r="AG40">
        <f>IF(OR(Setup!$E$63="",Setup!$G$63="",Setup!$F$63=""),"",IF(AND(Setup!$F$63="Once",AG$1&gt;0),"",IF(OR(IF(Setup!$M$63&gt;0,Setup!$G$63+(Setup!$O$63+AG$1)*Setup!$M$63,EDATE(Setup!$G$63,(Setup!$O$63+AG$1)*Setup!$N$63))&gt;Setup!$P$63,IF(Setup!$M$63&gt;0,Setup!$G$63+(Setup!$O$63+AG$1)*Setup!$M$63,EDATE(Setup!$G$63,(Setup!$O$63+AG$1)*Setup!$N$63))&lt;Setup!$D$5),"",IF(Setup!$M$63&gt;0,Setup!$G$63+(Setup!$O$63+AG$1)*Setup!$M$63,EDATE(Setup!$G$63,(Setup!$O$63+AG$1)*Setup!$N$63))+$A40/1000)))</f>
        <v/>
      </c>
      <c r="AH40">
        <f>IF(OR(Setup!$E$63="",Setup!$G$63="",Setup!$F$63=""),"",IF(AND(Setup!$F$63="Once",AH$1&gt;0),"",IF(OR(IF(Setup!$M$63&gt;0,Setup!$G$63+(Setup!$O$63+AH$1)*Setup!$M$63,EDATE(Setup!$G$63,(Setup!$O$63+AH$1)*Setup!$N$63))&gt;Setup!$P$63,IF(Setup!$M$63&gt;0,Setup!$G$63+(Setup!$O$63+AH$1)*Setup!$M$63,EDATE(Setup!$G$63,(Setup!$O$63+AH$1)*Setup!$N$63))&lt;Setup!$D$5),"",IF(Setup!$M$63&gt;0,Setup!$G$63+(Setup!$O$63+AH$1)*Setup!$M$63,EDATE(Setup!$G$63,(Setup!$O$63+AH$1)*Setup!$N$63))+$A40/1000)))</f>
        <v/>
      </c>
      <c r="AI40">
        <f>IF(OR(Setup!$E$63="",Setup!$G$63="",Setup!$F$63=""),"",IF(AND(Setup!$F$63="Once",AI$1&gt;0),"",IF(OR(IF(Setup!$M$63&gt;0,Setup!$G$63+(Setup!$O$63+AI$1)*Setup!$M$63,EDATE(Setup!$G$63,(Setup!$O$63+AI$1)*Setup!$N$63))&gt;Setup!$P$63,IF(Setup!$M$63&gt;0,Setup!$G$63+(Setup!$O$63+AI$1)*Setup!$M$63,EDATE(Setup!$G$63,(Setup!$O$63+AI$1)*Setup!$N$63))&lt;Setup!$D$5),"",IF(Setup!$M$63&gt;0,Setup!$G$63+(Setup!$O$63+AI$1)*Setup!$M$63,EDATE(Setup!$G$63,(Setup!$O$63+AI$1)*Setup!$N$63))+$A40/1000)))</f>
        <v/>
      </c>
      <c r="AJ40">
        <f>IF(OR(Setup!$E$63="",Setup!$G$63="",Setup!$F$63=""),"",IF(AND(Setup!$F$63="Once",AJ$1&gt;0),"",IF(OR(IF(Setup!$M$63&gt;0,Setup!$G$63+(Setup!$O$63+AJ$1)*Setup!$M$63,EDATE(Setup!$G$63,(Setup!$O$63+AJ$1)*Setup!$N$63))&gt;Setup!$P$63,IF(Setup!$M$63&gt;0,Setup!$G$63+(Setup!$O$63+AJ$1)*Setup!$M$63,EDATE(Setup!$G$63,(Setup!$O$63+AJ$1)*Setup!$N$63))&lt;Setup!$D$5),"",IF(Setup!$M$63&gt;0,Setup!$G$63+(Setup!$O$63+AJ$1)*Setup!$M$63,EDATE(Setup!$G$63,(Setup!$O$63+AJ$1)*Setup!$N$63))+$A40/1000)))</f>
        <v/>
      </c>
      <c r="AK40">
        <f>IF(OR(Setup!$E$63="",Setup!$G$63="",Setup!$F$63=""),"",IF(AND(Setup!$F$63="Once",AK$1&gt;0),"",IF(OR(IF(Setup!$M$63&gt;0,Setup!$G$63+(Setup!$O$63+AK$1)*Setup!$M$63,EDATE(Setup!$G$63,(Setup!$O$63+AK$1)*Setup!$N$63))&gt;Setup!$P$63,IF(Setup!$M$63&gt;0,Setup!$G$63+(Setup!$O$63+AK$1)*Setup!$M$63,EDATE(Setup!$G$63,(Setup!$O$63+AK$1)*Setup!$N$63))&lt;Setup!$D$5),"",IF(Setup!$M$63&gt;0,Setup!$G$63+(Setup!$O$63+AK$1)*Setup!$M$63,EDATE(Setup!$G$63,(Setup!$O$63+AK$1)*Setup!$N$63))+$A40/1000)))</f>
        <v/>
      </c>
      <c r="AL40">
        <f>IF(OR(Setup!$E$63="",Setup!$G$63="",Setup!$F$63=""),"",IF(AND(Setup!$F$63="Once",AL$1&gt;0),"",IF(OR(IF(Setup!$M$63&gt;0,Setup!$G$63+(Setup!$O$63+AL$1)*Setup!$M$63,EDATE(Setup!$G$63,(Setup!$O$63+AL$1)*Setup!$N$63))&gt;Setup!$P$63,IF(Setup!$M$63&gt;0,Setup!$G$63+(Setup!$O$63+AL$1)*Setup!$M$63,EDATE(Setup!$G$63,(Setup!$O$63+AL$1)*Setup!$N$63))&lt;Setup!$D$5),"",IF(Setup!$M$63&gt;0,Setup!$G$63+(Setup!$O$63+AL$1)*Setup!$M$63,EDATE(Setup!$G$63,(Setup!$O$63+AL$1)*Setup!$N$63))+$A40/1000)))</f>
        <v/>
      </c>
      <c r="AM40">
        <f>IF(OR(Setup!$E$63="",Setup!$G$63="",Setup!$F$63=""),"",IF(AND(Setup!$F$63="Once",AM$1&gt;0),"",IF(OR(IF(Setup!$M$63&gt;0,Setup!$G$63+(Setup!$O$63+AM$1)*Setup!$M$63,EDATE(Setup!$G$63,(Setup!$O$63+AM$1)*Setup!$N$63))&gt;Setup!$P$63,IF(Setup!$M$63&gt;0,Setup!$G$63+(Setup!$O$63+AM$1)*Setup!$M$63,EDATE(Setup!$G$63,(Setup!$O$63+AM$1)*Setup!$N$63))&lt;Setup!$D$5),"",IF(Setup!$M$63&gt;0,Setup!$G$63+(Setup!$O$63+AM$1)*Setup!$M$63,EDATE(Setup!$G$63,(Setup!$O$63+AM$1)*Setup!$N$63))+$A40/1000)))</f>
        <v/>
      </c>
      <c r="AN40">
        <f>IF(OR(Setup!$E$63="",Setup!$G$63="",Setup!$F$63=""),"",IF(AND(Setup!$F$63="Once",AN$1&gt;0),"",IF(OR(IF(Setup!$M$63&gt;0,Setup!$G$63+(Setup!$O$63+AN$1)*Setup!$M$63,EDATE(Setup!$G$63,(Setup!$O$63+AN$1)*Setup!$N$63))&gt;Setup!$P$63,IF(Setup!$M$63&gt;0,Setup!$G$63+(Setup!$O$63+AN$1)*Setup!$M$63,EDATE(Setup!$G$63,(Setup!$O$63+AN$1)*Setup!$N$63))&lt;Setup!$D$5),"",IF(Setup!$M$63&gt;0,Setup!$G$63+(Setup!$O$63+AN$1)*Setup!$M$63,EDATE(Setup!$G$63,(Setup!$O$63+AN$1)*Setup!$N$63))+$A40/1000)))</f>
        <v/>
      </c>
      <c r="AO40">
        <f>IF(OR(Setup!$E$63="",Setup!$G$63="",Setup!$F$63=""),"",IF(AND(Setup!$F$63="Once",AO$1&gt;0),"",IF(OR(IF(Setup!$M$63&gt;0,Setup!$G$63+(Setup!$O$63+AO$1)*Setup!$M$63,EDATE(Setup!$G$63,(Setup!$O$63+AO$1)*Setup!$N$63))&gt;Setup!$P$63,IF(Setup!$M$63&gt;0,Setup!$G$63+(Setup!$O$63+AO$1)*Setup!$M$63,EDATE(Setup!$G$63,(Setup!$O$63+AO$1)*Setup!$N$63))&lt;Setup!$D$5),"",IF(Setup!$M$63&gt;0,Setup!$G$63+(Setup!$O$63+AO$1)*Setup!$M$63,EDATE(Setup!$G$63,(Setup!$O$63+AO$1)*Setup!$N$63))+$A40/1000)))</f>
        <v/>
      </c>
      <c r="AP40">
        <f>IF(OR(Setup!$E$63="",Setup!$G$63="",Setup!$F$63=""),"",IF(AND(Setup!$F$63="Once",AP$1&gt;0),"",IF(OR(IF(Setup!$M$63&gt;0,Setup!$G$63+(Setup!$O$63+AP$1)*Setup!$M$63,EDATE(Setup!$G$63,(Setup!$O$63+AP$1)*Setup!$N$63))&gt;Setup!$P$63,IF(Setup!$M$63&gt;0,Setup!$G$63+(Setup!$O$63+AP$1)*Setup!$M$63,EDATE(Setup!$G$63,(Setup!$O$63+AP$1)*Setup!$N$63))&lt;Setup!$D$5),"",IF(Setup!$M$63&gt;0,Setup!$G$63+(Setup!$O$63+AP$1)*Setup!$M$63,EDATE(Setup!$G$63,(Setup!$O$63+AP$1)*Setup!$N$63))+$A40/1000)))</f>
        <v/>
      </c>
      <c r="AQ40">
        <f>IF(OR(Setup!$E$63="",Setup!$G$63="",Setup!$F$63=""),"",IF(AND(Setup!$F$63="Once",AQ$1&gt;0),"",IF(OR(IF(Setup!$M$63&gt;0,Setup!$G$63+(Setup!$O$63+AQ$1)*Setup!$M$63,EDATE(Setup!$G$63,(Setup!$O$63+AQ$1)*Setup!$N$63))&gt;Setup!$P$63,IF(Setup!$M$63&gt;0,Setup!$G$63+(Setup!$O$63+AQ$1)*Setup!$M$63,EDATE(Setup!$G$63,(Setup!$O$63+AQ$1)*Setup!$N$63))&lt;Setup!$D$5),"",IF(Setup!$M$63&gt;0,Setup!$G$63+(Setup!$O$63+AQ$1)*Setup!$M$63,EDATE(Setup!$G$63,(Setup!$O$63+AQ$1)*Setup!$N$63))+$A40/1000)))</f>
        <v/>
      </c>
      <c r="AR40">
        <f>IF(OR(Setup!$E$63="",Setup!$G$63="",Setup!$F$63=""),"",IF(AND(Setup!$F$63="Once",AR$1&gt;0),"",IF(OR(IF(Setup!$M$63&gt;0,Setup!$G$63+(Setup!$O$63+AR$1)*Setup!$M$63,EDATE(Setup!$G$63,(Setup!$O$63+AR$1)*Setup!$N$63))&gt;Setup!$P$63,IF(Setup!$M$63&gt;0,Setup!$G$63+(Setup!$O$63+AR$1)*Setup!$M$63,EDATE(Setup!$G$63,(Setup!$O$63+AR$1)*Setup!$N$63))&lt;Setup!$D$5),"",IF(Setup!$M$63&gt;0,Setup!$G$63+(Setup!$O$63+AR$1)*Setup!$M$63,EDATE(Setup!$G$63,(Setup!$O$63+AR$1)*Setup!$N$63))+$A40/1000)))</f>
        <v/>
      </c>
      <c r="AS40">
        <f>IF(OR(Setup!$E$63="",Setup!$G$63="",Setup!$F$63=""),"",IF(AND(Setup!$F$63="Once",AS$1&gt;0),"",IF(OR(IF(Setup!$M$63&gt;0,Setup!$G$63+(Setup!$O$63+AS$1)*Setup!$M$63,EDATE(Setup!$G$63,(Setup!$O$63+AS$1)*Setup!$N$63))&gt;Setup!$P$63,IF(Setup!$M$63&gt;0,Setup!$G$63+(Setup!$O$63+AS$1)*Setup!$M$63,EDATE(Setup!$G$63,(Setup!$O$63+AS$1)*Setup!$N$63))&lt;Setup!$D$5),"",IF(Setup!$M$63&gt;0,Setup!$G$63+(Setup!$O$63+AS$1)*Setup!$M$63,EDATE(Setup!$G$63,(Setup!$O$63+AS$1)*Setup!$N$63))+$A40/1000)))</f>
        <v/>
      </c>
      <c r="AT40">
        <f>IF(OR(Setup!$E$63="",Setup!$G$63="",Setup!$F$63=""),"",IF(AND(Setup!$F$63="Once",AT$1&gt;0),"",IF(OR(IF(Setup!$M$63&gt;0,Setup!$G$63+(Setup!$O$63+AT$1)*Setup!$M$63,EDATE(Setup!$G$63,(Setup!$O$63+AT$1)*Setup!$N$63))&gt;Setup!$P$63,IF(Setup!$M$63&gt;0,Setup!$G$63+(Setup!$O$63+AT$1)*Setup!$M$63,EDATE(Setup!$G$63,(Setup!$O$63+AT$1)*Setup!$N$63))&lt;Setup!$D$5),"",IF(Setup!$M$63&gt;0,Setup!$G$63+(Setup!$O$63+AT$1)*Setup!$M$63,EDATE(Setup!$G$63,(Setup!$O$63+AT$1)*Setup!$N$63))+$A40/1000)))</f>
        <v/>
      </c>
      <c r="AU40">
        <f>IF(OR(Setup!$E$63="",Setup!$G$63="",Setup!$F$63=""),"",IF(AND(Setup!$F$63="Once",AU$1&gt;0),"",IF(OR(IF(Setup!$M$63&gt;0,Setup!$G$63+(Setup!$O$63+AU$1)*Setup!$M$63,EDATE(Setup!$G$63,(Setup!$O$63+AU$1)*Setup!$N$63))&gt;Setup!$P$63,IF(Setup!$M$63&gt;0,Setup!$G$63+(Setup!$O$63+AU$1)*Setup!$M$63,EDATE(Setup!$G$63,(Setup!$O$63+AU$1)*Setup!$N$63))&lt;Setup!$D$5),"",IF(Setup!$M$63&gt;0,Setup!$G$63+(Setup!$O$63+AU$1)*Setup!$M$63,EDATE(Setup!$G$63,(Setup!$O$63+AU$1)*Setup!$N$63))+$A40/1000)))</f>
        <v/>
      </c>
      <c r="AV40">
        <f>IF(OR(Setup!$E$63="",Setup!$G$63="",Setup!$F$63=""),"",IF(AND(Setup!$F$63="Once",AV$1&gt;0),"",IF(OR(IF(Setup!$M$63&gt;0,Setup!$G$63+(Setup!$O$63+AV$1)*Setup!$M$63,EDATE(Setup!$G$63,(Setup!$O$63+AV$1)*Setup!$N$63))&gt;Setup!$P$63,IF(Setup!$M$63&gt;0,Setup!$G$63+(Setup!$O$63+AV$1)*Setup!$M$63,EDATE(Setup!$G$63,(Setup!$O$63+AV$1)*Setup!$N$63))&lt;Setup!$D$5),"",IF(Setup!$M$63&gt;0,Setup!$G$63+(Setup!$O$63+AV$1)*Setup!$M$63,EDATE(Setup!$G$63,(Setup!$O$63+AV$1)*Setup!$N$63))+$A40/1000)))</f>
        <v/>
      </c>
      <c r="AW40">
        <f>IF(OR(Setup!$E$63="",Setup!$G$63="",Setup!$F$63=""),"",IF(AND(Setup!$F$63="Once",AW$1&gt;0),"",IF(OR(IF(Setup!$M$63&gt;0,Setup!$G$63+(Setup!$O$63+AW$1)*Setup!$M$63,EDATE(Setup!$G$63,(Setup!$O$63+AW$1)*Setup!$N$63))&gt;Setup!$P$63,IF(Setup!$M$63&gt;0,Setup!$G$63+(Setup!$O$63+AW$1)*Setup!$M$63,EDATE(Setup!$G$63,(Setup!$O$63+AW$1)*Setup!$N$63))&lt;Setup!$D$5),"",IF(Setup!$M$63&gt;0,Setup!$G$63+(Setup!$O$63+AW$1)*Setup!$M$63,EDATE(Setup!$G$63,(Setup!$O$63+AW$1)*Setup!$N$63))+$A40/1000)))</f>
        <v/>
      </c>
      <c r="AX40">
        <f>IF(OR(Setup!$E$63="",Setup!$G$63="",Setup!$F$63=""),"",IF(AND(Setup!$F$63="Once",AX$1&gt;0),"",IF(OR(IF(Setup!$M$63&gt;0,Setup!$G$63+(Setup!$O$63+AX$1)*Setup!$M$63,EDATE(Setup!$G$63,(Setup!$O$63+AX$1)*Setup!$N$63))&gt;Setup!$P$63,IF(Setup!$M$63&gt;0,Setup!$G$63+(Setup!$O$63+AX$1)*Setup!$M$63,EDATE(Setup!$G$63,(Setup!$O$63+AX$1)*Setup!$N$63))&lt;Setup!$D$5),"",IF(Setup!$M$63&gt;0,Setup!$G$63+(Setup!$O$63+AX$1)*Setup!$M$63,EDATE(Setup!$G$63,(Setup!$O$63+AX$1)*Setup!$N$63))+$A40/1000)))</f>
        <v/>
      </c>
      <c r="AY40">
        <f>IF(OR(Setup!$E$63="",Setup!$G$63="",Setup!$F$63=""),"",IF(AND(Setup!$F$63="Once",AY$1&gt;0),"",IF(OR(IF(Setup!$M$63&gt;0,Setup!$G$63+(Setup!$O$63+AY$1)*Setup!$M$63,EDATE(Setup!$G$63,(Setup!$O$63+AY$1)*Setup!$N$63))&gt;Setup!$P$63,IF(Setup!$M$63&gt;0,Setup!$G$63+(Setup!$O$63+AY$1)*Setup!$M$63,EDATE(Setup!$G$63,(Setup!$O$63+AY$1)*Setup!$N$63))&lt;Setup!$D$5),"",IF(Setup!$M$63&gt;0,Setup!$G$63+(Setup!$O$63+AY$1)*Setup!$M$63,EDATE(Setup!$G$63,(Setup!$O$63+AY$1)*Setup!$N$63))+$A40/1000)))</f>
        <v/>
      </c>
      <c r="AZ40">
        <f>IF(OR(Setup!$E$63="",Setup!$G$63="",Setup!$F$63=""),"",IF(AND(Setup!$F$63="Once",AZ$1&gt;0),"",IF(OR(IF(Setup!$M$63&gt;0,Setup!$G$63+(Setup!$O$63+AZ$1)*Setup!$M$63,EDATE(Setup!$G$63,(Setup!$O$63+AZ$1)*Setup!$N$63))&gt;Setup!$P$63,IF(Setup!$M$63&gt;0,Setup!$G$63+(Setup!$O$63+AZ$1)*Setup!$M$63,EDATE(Setup!$G$63,(Setup!$O$63+AZ$1)*Setup!$N$63))&lt;Setup!$D$5),"",IF(Setup!$M$63&gt;0,Setup!$G$63+(Setup!$O$63+AZ$1)*Setup!$M$63,EDATE(Setup!$G$63,(Setup!$O$63+AZ$1)*Setup!$N$63))+$A40/1000)))</f>
        <v/>
      </c>
      <c r="BA40">
        <f>IF(OR(Setup!$E$63="",Setup!$G$63="",Setup!$F$63=""),"",IF(AND(Setup!$F$63="Once",BA$1&gt;0),"",IF(OR(IF(Setup!$M$63&gt;0,Setup!$G$63+(Setup!$O$63+BA$1)*Setup!$M$63,EDATE(Setup!$G$63,(Setup!$O$63+BA$1)*Setup!$N$63))&gt;Setup!$P$63,IF(Setup!$M$63&gt;0,Setup!$G$63+(Setup!$O$63+BA$1)*Setup!$M$63,EDATE(Setup!$G$63,(Setup!$O$63+BA$1)*Setup!$N$63))&lt;Setup!$D$5),"",IF(Setup!$M$63&gt;0,Setup!$G$63+(Setup!$O$63+BA$1)*Setup!$M$63,EDATE(Setup!$G$63,(Setup!$O$63+BA$1)*Setup!$N$63))+$A40/1000)))</f>
        <v/>
      </c>
      <c r="BB40">
        <f>IF(OR(Setup!$E$63="",Setup!$G$63="",Setup!$F$63=""),"",IF(AND(Setup!$F$63="Once",BB$1&gt;0),"",IF(OR(IF(Setup!$M$63&gt;0,Setup!$G$63+(Setup!$O$63+BB$1)*Setup!$M$63,EDATE(Setup!$G$63,(Setup!$O$63+BB$1)*Setup!$N$63))&gt;Setup!$P$63,IF(Setup!$M$63&gt;0,Setup!$G$63+(Setup!$O$63+BB$1)*Setup!$M$63,EDATE(Setup!$G$63,(Setup!$O$63+BB$1)*Setup!$N$63))&lt;Setup!$D$5),"",IF(Setup!$M$63&gt;0,Setup!$G$63+(Setup!$O$63+BB$1)*Setup!$M$63,EDATE(Setup!$G$63,(Setup!$O$63+BB$1)*Setup!$N$63))+$A40/1000)))</f>
        <v/>
      </c>
    </row>
    <row r="41">
      <c r="A41" t="n">
        <v>40</v>
      </c>
      <c r="B41">
        <f>IF(OR(Setup!$E$64="",Setup!$G$64="",Setup!$F$64=""),"",IF(AND(Setup!$F$64="Once",B$1&gt;0),"",IF(OR(IF(Setup!$M$64&gt;0,Setup!$G$64+(Setup!$O$64+B$1)*Setup!$M$64,EDATE(Setup!$G$64,(Setup!$O$64+B$1)*Setup!$N$64))&gt;Setup!$P$64,IF(Setup!$M$64&gt;0,Setup!$G$64+(Setup!$O$64+B$1)*Setup!$M$64,EDATE(Setup!$G$64,(Setup!$O$64+B$1)*Setup!$N$64))&lt;Setup!$D$5),"",IF(Setup!$M$64&gt;0,Setup!$G$64+(Setup!$O$64+B$1)*Setup!$M$64,EDATE(Setup!$G$64,(Setup!$O$64+B$1)*Setup!$N$64))+$A41/1000)))</f>
        <v/>
      </c>
      <c r="C41">
        <f>IF(OR(Setup!$E$64="",Setup!$G$64="",Setup!$F$64=""),"",IF(AND(Setup!$F$64="Once",C$1&gt;0),"",IF(OR(IF(Setup!$M$64&gt;0,Setup!$G$64+(Setup!$O$64+C$1)*Setup!$M$64,EDATE(Setup!$G$64,(Setup!$O$64+C$1)*Setup!$N$64))&gt;Setup!$P$64,IF(Setup!$M$64&gt;0,Setup!$G$64+(Setup!$O$64+C$1)*Setup!$M$64,EDATE(Setup!$G$64,(Setup!$O$64+C$1)*Setup!$N$64))&lt;Setup!$D$5),"",IF(Setup!$M$64&gt;0,Setup!$G$64+(Setup!$O$64+C$1)*Setup!$M$64,EDATE(Setup!$G$64,(Setup!$O$64+C$1)*Setup!$N$64))+$A41/1000)))</f>
        <v/>
      </c>
      <c r="D41">
        <f>IF(OR(Setup!$E$64="",Setup!$G$64="",Setup!$F$64=""),"",IF(AND(Setup!$F$64="Once",D$1&gt;0),"",IF(OR(IF(Setup!$M$64&gt;0,Setup!$G$64+(Setup!$O$64+D$1)*Setup!$M$64,EDATE(Setup!$G$64,(Setup!$O$64+D$1)*Setup!$N$64))&gt;Setup!$P$64,IF(Setup!$M$64&gt;0,Setup!$G$64+(Setup!$O$64+D$1)*Setup!$M$64,EDATE(Setup!$G$64,(Setup!$O$64+D$1)*Setup!$N$64))&lt;Setup!$D$5),"",IF(Setup!$M$64&gt;0,Setup!$G$64+(Setup!$O$64+D$1)*Setup!$M$64,EDATE(Setup!$G$64,(Setup!$O$64+D$1)*Setup!$N$64))+$A41/1000)))</f>
        <v/>
      </c>
      <c r="E41">
        <f>IF(OR(Setup!$E$64="",Setup!$G$64="",Setup!$F$64=""),"",IF(AND(Setup!$F$64="Once",E$1&gt;0),"",IF(OR(IF(Setup!$M$64&gt;0,Setup!$G$64+(Setup!$O$64+E$1)*Setup!$M$64,EDATE(Setup!$G$64,(Setup!$O$64+E$1)*Setup!$N$64))&gt;Setup!$P$64,IF(Setup!$M$64&gt;0,Setup!$G$64+(Setup!$O$64+E$1)*Setup!$M$64,EDATE(Setup!$G$64,(Setup!$O$64+E$1)*Setup!$N$64))&lt;Setup!$D$5),"",IF(Setup!$M$64&gt;0,Setup!$G$64+(Setup!$O$64+E$1)*Setup!$M$64,EDATE(Setup!$G$64,(Setup!$O$64+E$1)*Setup!$N$64))+$A41/1000)))</f>
        <v/>
      </c>
      <c r="F41">
        <f>IF(OR(Setup!$E$64="",Setup!$G$64="",Setup!$F$64=""),"",IF(AND(Setup!$F$64="Once",F$1&gt;0),"",IF(OR(IF(Setup!$M$64&gt;0,Setup!$G$64+(Setup!$O$64+F$1)*Setup!$M$64,EDATE(Setup!$G$64,(Setup!$O$64+F$1)*Setup!$N$64))&gt;Setup!$P$64,IF(Setup!$M$64&gt;0,Setup!$G$64+(Setup!$O$64+F$1)*Setup!$M$64,EDATE(Setup!$G$64,(Setup!$O$64+F$1)*Setup!$N$64))&lt;Setup!$D$5),"",IF(Setup!$M$64&gt;0,Setup!$G$64+(Setup!$O$64+F$1)*Setup!$M$64,EDATE(Setup!$G$64,(Setup!$O$64+F$1)*Setup!$N$64))+$A41/1000)))</f>
        <v/>
      </c>
      <c r="G41">
        <f>IF(OR(Setup!$E$64="",Setup!$G$64="",Setup!$F$64=""),"",IF(AND(Setup!$F$64="Once",G$1&gt;0),"",IF(OR(IF(Setup!$M$64&gt;0,Setup!$G$64+(Setup!$O$64+G$1)*Setup!$M$64,EDATE(Setup!$G$64,(Setup!$O$64+G$1)*Setup!$N$64))&gt;Setup!$P$64,IF(Setup!$M$64&gt;0,Setup!$G$64+(Setup!$O$64+G$1)*Setup!$M$64,EDATE(Setup!$G$64,(Setup!$O$64+G$1)*Setup!$N$64))&lt;Setup!$D$5),"",IF(Setup!$M$64&gt;0,Setup!$G$64+(Setup!$O$64+G$1)*Setup!$M$64,EDATE(Setup!$G$64,(Setup!$O$64+G$1)*Setup!$N$64))+$A41/1000)))</f>
        <v/>
      </c>
      <c r="H41">
        <f>IF(OR(Setup!$E$64="",Setup!$G$64="",Setup!$F$64=""),"",IF(AND(Setup!$F$64="Once",H$1&gt;0),"",IF(OR(IF(Setup!$M$64&gt;0,Setup!$G$64+(Setup!$O$64+H$1)*Setup!$M$64,EDATE(Setup!$G$64,(Setup!$O$64+H$1)*Setup!$N$64))&gt;Setup!$P$64,IF(Setup!$M$64&gt;0,Setup!$G$64+(Setup!$O$64+H$1)*Setup!$M$64,EDATE(Setup!$G$64,(Setup!$O$64+H$1)*Setup!$N$64))&lt;Setup!$D$5),"",IF(Setup!$M$64&gt;0,Setup!$G$64+(Setup!$O$64+H$1)*Setup!$M$64,EDATE(Setup!$G$64,(Setup!$O$64+H$1)*Setup!$N$64))+$A41/1000)))</f>
        <v/>
      </c>
      <c r="I41">
        <f>IF(OR(Setup!$E$64="",Setup!$G$64="",Setup!$F$64=""),"",IF(AND(Setup!$F$64="Once",I$1&gt;0),"",IF(OR(IF(Setup!$M$64&gt;0,Setup!$G$64+(Setup!$O$64+I$1)*Setup!$M$64,EDATE(Setup!$G$64,(Setup!$O$64+I$1)*Setup!$N$64))&gt;Setup!$P$64,IF(Setup!$M$64&gt;0,Setup!$G$64+(Setup!$O$64+I$1)*Setup!$M$64,EDATE(Setup!$G$64,(Setup!$O$64+I$1)*Setup!$N$64))&lt;Setup!$D$5),"",IF(Setup!$M$64&gt;0,Setup!$G$64+(Setup!$O$64+I$1)*Setup!$M$64,EDATE(Setup!$G$64,(Setup!$O$64+I$1)*Setup!$N$64))+$A41/1000)))</f>
        <v/>
      </c>
      <c r="J41">
        <f>IF(OR(Setup!$E$64="",Setup!$G$64="",Setup!$F$64=""),"",IF(AND(Setup!$F$64="Once",J$1&gt;0),"",IF(OR(IF(Setup!$M$64&gt;0,Setup!$G$64+(Setup!$O$64+J$1)*Setup!$M$64,EDATE(Setup!$G$64,(Setup!$O$64+J$1)*Setup!$N$64))&gt;Setup!$P$64,IF(Setup!$M$64&gt;0,Setup!$G$64+(Setup!$O$64+J$1)*Setup!$M$64,EDATE(Setup!$G$64,(Setup!$O$64+J$1)*Setup!$N$64))&lt;Setup!$D$5),"",IF(Setup!$M$64&gt;0,Setup!$G$64+(Setup!$O$64+J$1)*Setup!$M$64,EDATE(Setup!$G$64,(Setup!$O$64+J$1)*Setup!$N$64))+$A41/1000)))</f>
        <v/>
      </c>
      <c r="K41">
        <f>IF(OR(Setup!$E$64="",Setup!$G$64="",Setup!$F$64=""),"",IF(AND(Setup!$F$64="Once",K$1&gt;0),"",IF(OR(IF(Setup!$M$64&gt;0,Setup!$G$64+(Setup!$O$64+K$1)*Setup!$M$64,EDATE(Setup!$G$64,(Setup!$O$64+K$1)*Setup!$N$64))&gt;Setup!$P$64,IF(Setup!$M$64&gt;0,Setup!$G$64+(Setup!$O$64+K$1)*Setup!$M$64,EDATE(Setup!$G$64,(Setup!$O$64+K$1)*Setup!$N$64))&lt;Setup!$D$5),"",IF(Setup!$M$64&gt;0,Setup!$G$64+(Setup!$O$64+K$1)*Setup!$M$64,EDATE(Setup!$G$64,(Setup!$O$64+K$1)*Setup!$N$64))+$A41/1000)))</f>
        <v/>
      </c>
      <c r="L41">
        <f>IF(OR(Setup!$E$64="",Setup!$G$64="",Setup!$F$64=""),"",IF(AND(Setup!$F$64="Once",L$1&gt;0),"",IF(OR(IF(Setup!$M$64&gt;0,Setup!$G$64+(Setup!$O$64+L$1)*Setup!$M$64,EDATE(Setup!$G$64,(Setup!$O$64+L$1)*Setup!$N$64))&gt;Setup!$P$64,IF(Setup!$M$64&gt;0,Setup!$G$64+(Setup!$O$64+L$1)*Setup!$M$64,EDATE(Setup!$G$64,(Setup!$O$64+L$1)*Setup!$N$64))&lt;Setup!$D$5),"",IF(Setup!$M$64&gt;0,Setup!$G$64+(Setup!$O$64+L$1)*Setup!$M$64,EDATE(Setup!$G$64,(Setup!$O$64+L$1)*Setup!$N$64))+$A41/1000)))</f>
        <v/>
      </c>
      <c r="M41">
        <f>IF(OR(Setup!$E$64="",Setup!$G$64="",Setup!$F$64=""),"",IF(AND(Setup!$F$64="Once",M$1&gt;0),"",IF(OR(IF(Setup!$M$64&gt;0,Setup!$G$64+(Setup!$O$64+M$1)*Setup!$M$64,EDATE(Setup!$G$64,(Setup!$O$64+M$1)*Setup!$N$64))&gt;Setup!$P$64,IF(Setup!$M$64&gt;0,Setup!$G$64+(Setup!$O$64+M$1)*Setup!$M$64,EDATE(Setup!$G$64,(Setup!$O$64+M$1)*Setup!$N$64))&lt;Setup!$D$5),"",IF(Setup!$M$64&gt;0,Setup!$G$64+(Setup!$O$64+M$1)*Setup!$M$64,EDATE(Setup!$G$64,(Setup!$O$64+M$1)*Setup!$N$64))+$A41/1000)))</f>
        <v/>
      </c>
      <c r="N41">
        <f>IF(OR(Setup!$E$64="",Setup!$G$64="",Setup!$F$64=""),"",IF(AND(Setup!$F$64="Once",N$1&gt;0),"",IF(OR(IF(Setup!$M$64&gt;0,Setup!$G$64+(Setup!$O$64+N$1)*Setup!$M$64,EDATE(Setup!$G$64,(Setup!$O$64+N$1)*Setup!$N$64))&gt;Setup!$P$64,IF(Setup!$M$64&gt;0,Setup!$G$64+(Setup!$O$64+N$1)*Setup!$M$64,EDATE(Setup!$G$64,(Setup!$O$64+N$1)*Setup!$N$64))&lt;Setup!$D$5),"",IF(Setup!$M$64&gt;0,Setup!$G$64+(Setup!$O$64+N$1)*Setup!$M$64,EDATE(Setup!$G$64,(Setup!$O$64+N$1)*Setup!$N$64))+$A41/1000)))</f>
        <v/>
      </c>
      <c r="O41">
        <f>IF(OR(Setup!$E$64="",Setup!$G$64="",Setup!$F$64=""),"",IF(AND(Setup!$F$64="Once",O$1&gt;0),"",IF(OR(IF(Setup!$M$64&gt;0,Setup!$G$64+(Setup!$O$64+O$1)*Setup!$M$64,EDATE(Setup!$G$64,(Setup!$O$64+O$1)*Setup!$N$64))&gt;Setup!$P$64,IF(Setup!$M$64&gt;0,Setup!$G$64+(Setup!$O$64+O$1)*Setup!$M$64,EDATE(Setup!$G$64,(Setup!$O$64+O$1)*Setup!$N$64))&lt;Setup!$D$5),"",IF(Setup!$M$64&gt;0,Setup!$G$64+(Setup!$O$64+O$1)*Setup!$M$64,EDATE(Setup!$G$64,(Setup!$O$64+O$1)*Setup!$N$64))+$A41/1000)))</f>
        <v/>
      </c>
      <c r="P41">
        <f>IF(OR(Setup!$E$64="",Setup!$G$64="",Setup!$F$64=""),"",IF(AND(Setup!$F$64="Once",P$1&gt;0),"",IF(OR(IF(Setup!$M$64&gt;0,Setup!$G$64+(Setup!$O$64+P$1)*Setup!$M$64,EDATE(Setup!$G$64,(Setup!$O$64+P$1)*Setup!$N$64))&gt;Setup!$P$64,IF(Setup!$M$64&gt;0,Setup!$G$64+(Setup!$O$64+P$1)*Setup!$M$64,EDATE(Setup!$G$64,(Setup!$O$64+P$1)*Setup!$N$64))&lt;Setup!$D$5),"",IF(Setup!$M$64&gt;0,Setup!$G$64+(Setup!$O$64+P$1)*Setup!$M$64,EDATE(Setup!$G$64,(Setup!$O$64+P$1)*Setup!$N$64))+$A41/1000)))</f>
        <v/>
      </c>
      <c r="Q41">
        <f>IF(OR(Setup!$E$64="",Setup!$G$64="",Setup!$F$64=""),"",IF(AND(Setup!$F$64="Once",Q$1&gt;0),"",IF(OR(IF(Setup!$M$64&gt;0,Setup!$G$64+(Setup!$O$64+Q$1)*Setup!$M$64,EDATE(Setup!$G$64,(Setup!$O$64+Q$1)*Setup!$N$64))&gt;Setup!$P$64,IF(Setup!$M$64&gt;0,Setup!$G$64+(Setup!$O$64+Q$1)*Setup!$M$64,EDATE(Setup!$G$64,(Setup!$O$64+Q$1)*Setup!$N$64))&lt;Setup!$D$5),"",IF(Setup!$M$64&gt;0,Setup!$G$64+(Setup!$O$64+Q$1)*Setup!$M$64,EDATE(Setup!$G$64,(Setup!$O$64+Q$1)*Setup!$N$64))+$A41/1000)))</f>
        <v/>
      </c>
      <c r="R41">
        <f>IF(OR(Setup!$E$64="",Setup!$G$64="",Setup!$F$64=""),"",IF(AND(Setup!$F$64="Once",R$1&gt;0),"",IF(OR(IF(Setup!$M$64&gt;0,Setup!$G$64+(Setup!$O$64+R$1)*Setup!$M$64,EDATE(Setup!$G$64,(Setup!$O$64+R$1)*Setup!$N$64))&gt;Setup!$P$64,IF(Setup!$M$64&gt;0,Setup!$G$64+(Setup!$O$64+R$1)*Setup!$M$64,EDATE(Setup!$G$64,(Setup!$O$64+R$1)*Setup!$N$64))&lt;Setup!$D$5),"",IF(Setup!$M$64&gt;0,Setup!$G$64+(Setup!$O$64+R$1)*Setup!$M$64,EDATE(Setup!$G$64,(Setup!$O$64+R$1)*Setup!$N$64))+$A41/1000)))</f>
        <v/>
      </c>
      <c r="S41">
        <f>IF(OR(Setup!$E$64="",Setup!$G$64="",Setup!$F$64=""),"",IF(AND(Setup!$F$64="Once",S$1&gt;0),"",IF(OR(IF(Setup!$M$64&gt;0,Setup!$G$64+(Setup!$O$64+S$1)*Setup!$M$64,EDATE(Setup!$G$64,(Setup!$O$64+S$1)*Setup!$N$64))&gt;Setup!$P$64,IF(Setup!$M$64&gt;0,Setup!$G$64+(Setup!$O$64+S$1)*Setup!$M$64,EDATE(Setup!$G$64,(Setup!$O$64+S$1)*Setup!$N$64))&lt;Setup!$D$5),"",IF(Setup!$M$64&gt;0,Setup!$G$64+(Setup!$O$64+S$1)*Setup!$M$64,EDATE(Setup!$G$64,(Setup!$O$64+S$1)*Setup!$N$64))+$A41/1000)))</f>
        <v/>
      </c>
      <c r="T41">
        <f>IF(OR(Setup!$E$64="",Setup!$G$64="",Setup!$F$64=""),"",IF(AND(Setup!$F$64="Once",T$1&gt;0),"",IF(OR(IF(Setup!$M$64&gt;0,Setup!$G$64+(Setup!$O$64+T$1)*Setup!$M$64,EDATE(Setup!$G$64,(Setup!$O$64+T$1)*Setup!$N$64))&gt;Setup!$P$64,IF(Setup!$M$64&gt;0,Setup!$G$64+(Setup!$O$64+T$1)*Setup!$M$64,EDATE(Setup!$G$64,(Setup!$O$64+T$1)*Setup!$N$64))&lt;Setup!$D$5),"",IF(Setup!$M$64&gt;0,Setup!$G$64+(Setup!$O$64+T$1)*Setup!$M$64,EDATE(Setup!$G$64,(Setup!$O$64+T$1)*Setup!$N$64))+$A41/1000)))</f>
        <v/>
      </c>
      <c r="U41">
        <f>IF(OR(Setup!$E$64="",Setup!$G$64="",Setup!$F$64=""),"",IF(AND(Setup!$F$64="Once",U$1&gt;0),"",IF(OR(IF(Setup!$M$64&gt;0,Setup!$G$64+(Setup!$O$64+U$1)*Setup!$M$64,EDATE(Setup!$G$64,(Setup!$O$64+U$1)*Setup!$N$64))&gt;Setup!$P$64,IF(Setup!$M$64&gt;0,Setup!$G$64+(Setup!$O$64+U$1)*Setup!$M$64,EDATE(Setup!$G$64,(Setup!$O$64+U$1)*Setup!$N$64))&lt;Setup!$D$5),"",IF(Setup!$M$64&gt;0,Setup!$G$64+(Setup!$O$64+U$1)*Setup!$M$64,EDATE(Setup!$G$64,(Setup!$O$64+U$1)*Setup!$N$64))+$A41/1000)))</f>
        <v/>
      </c>
      <c r="V41">
        <f>IF(OR(Setup!$E$64="",Setup!$G$64="",Setup!$F$64=""),"",IF(AND(Setup!$F$64="Once",V$1&gt;0),"",IF(OR(IF(Setup!$M$64&gt;0,Setup!$G$64+(Setup!$O$64+V$1)*Setup!$M$64,EDATE(Setup!$G$64,(Setup!$O$64+V$1)*Setup!$N$64))&gt;Setup!$P$64,IF(Setup!$M$64&gt;0,Setup!$G$64+(Setup!$O$64+V$1)*Setup!$M$64,EDATE(Setup!$G$64,(Setup!$O$64+V$1)*Setup!$N$64))&lt;Setup!$D$5),"",IF(Setup!$M$64&gt;0,Setup!$G$64+(Setup!$O$64+V$1)*Setup!$M$64,EDATE(Setup!$G$64,(Setup!$O$64+V$1)*Setup!$N$64))+$A41/1000)))</f>
        <v/>
      </c>
      <c r="W41">
        <f>IF(OR(Setup!$E$64="",Setup!$G$64="",Setup!$F$64=""),"",IF(AND(Setup!$F$64="Once",W$1&gt;0),"",IF(OR(IF(Setup!$M$64&gt;0,Setup!$G$64+(Setup!$O$64+W$1)*Setup!$M$64,EDATE(Setup!$G$64,(Setup!$O$64+W$1)*Setup!$N$64))&gt;Setup!$P$64,IF(Setup!$M$64&gt;0,Setup!$G$64+(Setup!$O$64+W$1)*Setup!$M$64,EDATE(Setup!$G$64,(Setup!$O$64+W$1)*Setup!$N$64))&lt;Setup!$D$5),"",IF(Setup!$M$64&gt;0,Setup!$G$64+(Setup!$O$64+W$1)*Setup!$M$64,EDATE(Setup!$G$64,(Setup!$O$64+W$1)*Setup!$N$64))+$A41/1000)))</f>
        <v/>
      </c>
      <c r="X41">
        <f>IF(OR(Setup!$E$64="",Setup!$G$64="",Setup!$F$64=""),"",IF(AND(Setup!$F$64="Once",X$1&gt;0),"",IF(OR(IF(Setup!$M$64&gt;0,Setup!$G$64+(Setup!$O$64+X$1)*Setup!$M$64,EDATE(Setup!$G$64,(Setup!$O$64+X$1)*Setup!$N$64))&gt;Setup!$P$64,IF(Setup!$M$64&gt;0,Setup!$G$64+(Setup!$O$64+X$1)*Setup!$M$64,EDATE(Setup!$G$64,(Setup!$O$64+X$1)*Setup!$N$64))&lt;Setup!$D$5),"",IF(Setup!$M$64&gt;0,Setup!$G$64+(Setup!$O$64+X$1)*Setup!$M$64,EDATE(Setup!$G$64,(Setup!$O$64+X$1)*Setup!$N$64))+$A41/1000)))</f>
        <v/>
      </c>
      <c r="Y41">
        <f>IF(OR(Setup!$E$64="",Setup!$G$64="",Setup!$F$64=""),"",IF(AND(Setup!$F$64="Once",Y$1&gt;0),"",IF(OR(IF(Setup!$M$64&gt;0,Setup!$G$64+(Setup!$O$64+Y$1)*Setup!$M$64,EDATE(Setup!$G$64,(Setup!$O$64+Y$1)*Setup!$N$64))&gt;Setup!$P$64,IF(Setup!$M$64&gt;0,Setup!$G$64+(Setup!$O$64+Y$1)*Setup!$M$64,EDATE(Setup!$G$64,(Setup!$O$64+Y$1)*Setup!$N$64))&lt;Setup!$D$5),"",IF(Setup!$M$64&gt;0,Setup!$G$64+(Setup!$O$64+Y$1)*Setup!$M$64,EDATE(Setup!$G$64,(Setup!$O$64+Y$1)*Setup!$N$64))+$A41/1000)))</f>
        <v/>
      </c>
      <c r="Z41">
        <f>IF(OR(Setup!$E$64="",Setup!$G$64="",Setup!$F$64=""),"",IF(AND(Setup!$F$64="Once",Z$1&gt;0),"",IF(OR(IF(Setup!$M$64&gt;0,Setup!$G$64+(Setup!$O$64+Z$1)*Setup!$M$64,EDATE(Setup!$G$64,(Setup!$O$64+Z$1)*Setup!$N$64))&gt;Setup!$P$64,IF(Setup!$M$64&gt;0,Setup!$G$64+(Setup!$O$64+Z$1)*Setup!$M$64,EDATE(Setup!$G$64,(Setup!$O$64+Z$1)*Setup!$N$64))&lt;Setup!$D$5),"",IF(Setup!$M$64&gt;0,Setup!$G$64+(Setup!$O$64+Z$1)*Setup!$M$64,EDATE(Setup!$G$64,(Setup!$O$64+Z$1)*Setup!$N$64))+$A41/1000)))</f>
        <v/>
      </c>
      <c r="AA41">
        <f>IF(OR(Setup!$E$64="",Setup!$G$64="",Setup!$F$64=""),"",IF(AND(Setup!$F$64="Once",AA$1&gt;0),"",IF(OR(IF(Setup!$M$64&gt;0,Setup!$G$64+(Setup!$O$64+AA$1)*Setup!$M$64,EDATE(Setup!$G$64,(Setup!$O$64+AA$1)*Setup!$N$64))&gt;Setup!$P$64,IF(Setup!$M$64&gt;0,Setup!$G$64+(Setup!$O$64+AA$1)*Setup!$M$64,EDATE(Setup!$G$64,(Setup!$O$64+AA$1)*Setup!$N$64))&lt;Setup!$D$5),"",IF(Setup!$M$64&gt;0,Setup!$G$64+(Setup!$O$64+AA$1)*Setup!$M$64,EDATE(Setup!$G$64,(Setup!$O$64+AA$1)*Setup!$N$64))+$A41/1000)))</f>
        <v/>
      </c>
      <c r="AB41">
        <f>IF(OR(Setup!$E$64="",Setup!$G$64="",Setup!$F$64=""),"",IF(AND(Setup!$F$64="Once",AB$1&gt;0),"",IF(OR(IF(Setup!$M$64&gt;0,Setup!$G$64+(Setup!$O$64+AB$1)*Setup!$M$64,EDATE(Setup!$G$64,(Setup!$O$64+AB$1)*Setup!$N$64))&gt;Setup!$P$64,IF(Setup!$M$64&gt;0,Setup!$G$64+(Setup!$O$64+AB$1)*Setup!$M$64,EDATE(Setup!$G$64,(Setup!$O$64+AB$1)*Setup!$N$64))&lt;Setup!$D$5),"",IF(Setup!$M$64&gt;0,Setup!$G$64+(Setup!$O$64+AB$1)*Setup!$M$64,EDATE(Setup!$G$64,(Setup!$O$64+AB$1)*Setup!$N$64))+$A41/1000)))</f>
        <v/>
      </c>
      <c r="AC41">
        <f>IF(OR(Setup!$E$64="",Setup!$G$64="",Setup!$F$64=""),"",IF(AND(Setup!$F$64="Once",AC$1&gt;0),"",IF(OR(IF(Setup!$M$64&gt;0,Setup!$G$64+(Setup!$O$64+AC$1)*Setup!$M$64,EDATE(Setup!$G$64,(Setup!$O$64+AC$1)*Setup!$N$64))&gt;Setup!$P$64,IF(Setup!$M$64&gt;0,Setup!$G$64+(Setup!$O$64+AC$1)*Setup!$M$64,EDATE(Setup!$G$64,(Setup!$O$64+AC$1)*Setup!$N$64))&lt;Setup!$D$5),"",IF(Setup!$M$64&gt;0,Setup!$G$64+(Setup!$O$64+AC$1)*Setup!$M$64,EDATE(Setup!$G$64,(Setup!$O$64+AC$1)*Setup!$N$64))+$A41/1000)))</f>
        <v/>
      </c>
      <c r="AD41">
        <f>IF(OR(Setup!$E$64="",Setup!$G$64="",Setup!$F$64=""),"",IF(AND(Setup!$F$64="Once",AD$1&gt;0),"",IF(OR(IF(Setup!$M$64&gt;0,Setup!$G$64+(Setup!$O$64+AD$1)*Setup!$M$64,EDATE(Setup!$G$64,(Setup!$O$64+AD$1)*Setup!$N$64))&gt;Setup!$P$64,IF(Setup!$M$64&gt;0,Setup!$G$64+(Setup!$O$64+AD$1)*Setup!$M$64,EDATE(Setup!$G$64,(Setup!$O$64+AD$1)*Setup!$N$64))&lt;Setup!$D$5),"",IF(Setup!$M$64&gt;0,Setup!$G$64+(Setup!$O$64+AD$1)*Setup!$M$64,EDATE(Setup!$G$64,(Setup!$O$64+AD$1)*Setup!$N$64))+$A41/1000)))</f>
        <v/>
      </c>
      <c r="AE41">
        <f>IF(OR(Setup!$E$64="",Setup!$G$64="",Setup!$F$64=""),"",IF(AND(Setup!$F$64="Once",AE$1&gt;0),"",IF(OR(IF(Setup!$M$64&gt;0,Setup!$G$64+(Setup!$O$64+AE$1)*Setup!$M$64,EDATE(Setup!$G$64,(Setup!$O$64+AE$1)*Setup!$N$64))&gt;Setup!$P$64,IF(Setup!$M$64&gt;0,Setup!$G$64+(Setup!$O$64+AE$1)*Setup!$M$64,EDATE(Setup!$G$64,(Setup!$O$64+AE$1)*Setup!$N$64))&lt;Setup!$D$5),"",IF(Setup!$M$64&gt;0,Setup!$G$64+(Setup!$O$64+AE$1)*Setup!$M$64,EDATE(Setup!$G$64,(Setup!$O$64+AE$1)*Setup!$N$64))+$A41/1000)))</f>
        <v/>
      </c>
      <c r="AF41">
        <f>IF(OR(Setup!$E$64="",Setup!$G$64="",Setup!$F$64=""),"",IF(AND(Setup!$F$64="Once",AF$1&gt;0),"",IF(OR(IF(Setup!$M$64&gt;0,Setup!$G$64+(Setup!$O$64+AF$1)*Setup!$M$64,EDATE(Setup!$G$64,(Setup!$O$64+AF$1)*Setup!$N$64))&gt;Setup!$P$64,IF(Setup!$M$64&gt;0,Setup!$G$64+(Setup!$O$64+AF$1)*Setup!$M$64,EDATE(Setup!$G$64,(Setup!$O$64+AF$1)*Setup!$N$64))&lt;Setup!$D$5),"",IF(Setup!$M$64&gt;0,Setup!$G$64+(Setup!$O$64+AF$1)*Setup!$M$64,EDATE(Setup!$G$64,(Setup!$O$64+AF$1)*Setup!$N$64))+$A41/1000)))</f>
        <v/>
      </c>
      <c r="AG41">
        <f>IF(OR(Setup!$E$64="",Setup!$G$64="",Setup!$F$64=""),"",IF(AND(Setup!$F$64="Once",AG$1&gt;0),"",IF(OR(IF(Setup!$M$64&gt;0,Setup!$G$64+(Setup!$O$64+AG$1)*Setup!$M$64,EDATE(Setup!$G$64,(Setup!$O$64+AG$1)*Setup!$N$64))&gt;Setup!$P$64,IF(Setup!$M$64&gt;0,Setup!$G$64+(Setup!$O$64+AG$1)*Setup!$M$64,EDATE(Setup!$G$64,(Setup!$O$64+AG$1)*Setup!$N$64))&lt;Setup!$D$5),"",IF(Setup!$M$64&gt;0,Setup!$G$64+(Setup!$O$64+AG$1)*Setup!$M$64,EDATE(Setup!$G$64,(Setup!$O$64+AG$1)*Setup!$N$64))+$A41/1000)))</f>
        <v/>
      </c>
      <c r="AH41">
        <f>IF(OR(Setup!$E$64="",Setup!$G$64="",Setup!$F$64=""),"",IF(AND(Setup!$F$64="Once",AH$1&gt;0),"",IF(OR(IF(Setup!$M$64&gt;0,Setup!$G$64+(Setup!$O$64+AH$1)*Setup!$M$64,EDATE(Setup!$G$64,(Setup!$O$64+AH$1)*Setup!$N$64))&gt;Setup!$P$64,IF(Setup!$M$64&gt;0,Setup!$G$64+(Setup!$O$64+AH$1)*Setup!$M$64,EDATE(Setup!$G$64,(Setup!$O$64+AH$1)*Setup!$N$64))&lt;Setup!$D$5),"",IF(Setup!$M$64&gt;0,Setup!$G$64+(Setup!$O$64+AH$1)*Setup!$M$64,EDATE(Setup!$G$64,(Setup!$O$64+AH$1)*Setup!$N$64))+$A41/1000)))</f>
        <v/>
      </c>
      <c r="AI41">
        <f>IF(OR(Setup!$E$64="",Setup!$G$64="",Setup!$F$64=""),"",IF(AND(Setup!$F$64="Once",AI$1&gt;0),"",IF(OR(IF(Setup!$M$64&gt;0,Setup!$G$64+(Setup!$O$64+AI$1)*Setup!$M$64,EDATE(Setup!$G$64,(Setup!$O$64+AI$1)*Setup!$N$64))&gt;Setup!$P$64,IF(Setup!$M$64&gt;0,Setup!$G$64+(Setup!$O$64+AI$1)*Setup!$M$64,EDATE(Setup!$G$64,(Setup!$O$64+AI$1)*Setup!$N$64))&lt;Setup!$D$5),"",IF(Setup!$M$64&gt;0,Setup!$G$64+(Setup!$O$64+AI$1)*Setup!$M$64,EDATE(Setup!$G$64,(Setup!$O$64+AI$1)*Setup!$N$64))+$A41/1000)))</f>
        <v/>
      </c>
      <c r="AJ41">
        <f>IF(OR(Setup!$E$64="",Setup!$G$64="",Setup!$F$64=""),"",IF(AND(Setup!$F$64="Once",AJ$1&gt;0),"",IF(OR(IF(Setup!$M$64&gt;0,Setup!$G$64+(Setup!$O$64+AJ$1)*Setup!$M$64,EDATE(Setup!$G$64,(Setup!$O$64+AJ$1)*Setup!$N$64))&gt;Setup!$P$64,IF(Setup!$M$64&gt;0,Setup!$G$64+(Setup!$O$64+AJ$1)*Setup!$M$64,EDATE(Setup!$G$64,(Setup!$O$64+AJ$1)*Setup!$N$64))&lt;Setup!$D$5),"",IF(Setup!$M$64&gt;0,Setup!$G$64+(Setup!$O$64+AJ$1)*Setup!$M$64,EDATE(Setup!$G$64,(Setup!$O$64+AJ$1)*Setup!$N$64))+$A41/1000)))</f>
        <v/>
      </c>
      <c r="AK41">
        <f>IF(OR(Setup!$E$64="",Setup!$G$64="",Setup!$F$64=""),"",IF(AND(Setup!$F$64="Once",AK$1&gt;0),"",IF(OR(IF(Setup!$M$64&gt;0,Setup!$G$64+(Setup!$O$64+AK$1)*Setup!$M$64,EDATE(Setup!$G$64,(Setup!$O$64+AK$1)*Setup!$N$64))&gt;Setup!$P$64,IF(Setup!$M$64&gt;0,Setup!$G$64+(Setup!$O$64+AK$1)*Setup!$M$64,EDATE(Setup!$G$64,(Setup!$O$64+AK$1)*Setup!$N$64))&lt;Setup!$D$5),"",IF(Setup!$M$64&gt;0,Setup!$G$64+(Setup!$O$64+AK$1)*Setup!$M$64,EDATE(Setup!$G$64,(Setup!$O$64+AK$1)*Setup!$N$64))+$A41/1000)))</f>
        <v/>
      </c>
      <c r="AL41">
        <f>IF(OR(Setup!$E$64="",Setup!$G$64="",Setup!$F$64=""),"",IF(AND(Setup!$F$64="Once",AL$1&gt;0),"",IF(OR(IF(Setup!$M$64&gt;0,Setup!$G$64+(Setup!$O$64+AL$1)*Setup!$M$64,EDATE(Setup!$G$64,(Setup!$O$64+AL$1)*Setup!$N$64))&gt;Setup!$P$64,IF(Setup!$M$64&gt;0,Setup!$G$64+(Setup!$O$64+AL$1)*Setup!$M$64,EDATE(Setup!$G$64,(Setup!$O$64+AL$1)*Setup!$N$64))&lt;Setup!$D$5),"",IF(Setup!$M$64&gt;0,Setup!$G$64+(Setup!$O$64+AL$1)*Setup!$M$64,EDATE(Setup!$G$64,(Setup!$O$64+AL$1)*Setup!$N$64))+$A41/1000)))</f>
        <v/>
      </c>
      <c r="AM41">
        <f>IF(OR(Setup!$E$64="",Setup!$G$64="",Setup!$F$64=""),"",IF(AND(Setup!$F$64="Once",AM$1&gt;0),"",IF(OR(IF(Setup!$M$64&gt;0,Setup!$G$64+(Setup!$O$64+AM$1)*Setup!$M$64,EDATE(Setup!$G$64,(Setup!$O$64+AM$1)*Setup!$N$64))&gt;Setup!$P$64,IF(Setup!$M$64&gt;0,Setup!$G$64+(Setup!$O$64+AM$1)*Setup!$M$64,EDATE(Setup!$G$64,(Setup!$O$64+AM$1)*Setup!$N$64))&lt;Setup!$D$5),"",IF(Setup!$M$64&gt;0,Setup!$G$64+(Setup!$O$64+AM$1)*Setup!$M$64,EDATE(Setup!$G$64,(Setup!$O$64+AM$1)*Setup!$N$64))+$A41/1000)))</f>
        <v/>
      </c>
      <c r="AN41">
        <f>IF(OR(Setup!$E$64="",Setup!$G$64="",Setup!$F$64=""),"",IF(AND(Setup!$F$64="Once",AN$1&gt;0),"",IF(OR(IF(Setup!$M$64&gt;0,Setup!$G$64+(Setup!$O$64+AN$1)*Setup!$M$64,EDATE(Setup!$G$64,(Setup!$O$64+AN$1)*Setup!$N$64))&gt;Setup!$P$64,IF(Setup!$M$64&gt;0,Setup!$G$64+(Setup!$O$64+AN$1)*Setup!$M$64,EDATE(Setup!$G$64,(Setup!$O$64+AN$1)*Setup!$N$64))&lt;Setup!$D$5),"",IF(Setup!$M$64&gt;0,Setup!$G$64+(Setup!$O$64+AN$1)*Setup!$M$64,EDATE(Setup!$G$64,(Setup!$O$64+AN$1)*Setup!$N$64))+$A41/1000)))</f>
        <v/>
      </c>
      <c r="AO41">
        <f>IF(OR(Setup!$E$64="",Setup!$G$64="",Setup!$F$64=""),"",IF(AND(Setup!$F$64="Once",AO$1&gt;0),"",IF(OR(IF(Setup!$M$64&gt;0,Setup!$G$64+(Setup!$O$64+AO$1)*Setup!$M$64,EDATE(Setup!$G$64,(Setup!$O$64+AO$1)*Setup!$N$64))&gt;Setup!$P$64,IF(Setup!$M$64&gt;0,Setup!$G$64+(Setup!$O$64+AO$1)*Setup!$M$64,EDATE(Setup!$G$64,(Setup!$O$64+AO$1)*Setup!$N$64))&lt;Setup!$D$5),"",IF(Setup!$M$64&gt;0,Setup!$G$64+(Setup!$O$64+AO$1)*Setup!$M$64,EDATE(Setup!$G$64,(Setup!$O$64+AO$1)*Setup!$N$64))+$A41/1000)))</f>
        <v/>
      </c>
      <c r="AP41">
        <f>IF(OR(Setup!$E$64="",Setup!$G$64="",Setup!$F$64=""),"",IF(AND(Setup!$F$64="Once",AP$1&gt;0),"",IF(OR(IF(Setup!$M$64&gt;0,Setup!$G$64+(Setup!$O$64+AP$1)*Setup!$M$64,EDATE(Setup!$G$64,(Setup!$O$64+AP$1)*Setup!$N$64))&gt;Setup!$P$64,IF(Setup!$M$64&gt;0,Setup!$G$64+(Setup!$O$64+AP$1)*Setup!$M$64,EDATE(Setup!$G$64,(Setup!$O$64+AP$1)*Setup!$N$64))&lt;Setup!$D$5),"",IF(Setup!$M$64&gt;0,Setup!$G$64+(Setup!$O$64+AP$1)*Setup!$M$64,EDATE(Setup!$G$64,(Setup!$O$64+AP$1)*Setup!$N$64))+$A41/1000)))</f>
        <v/>
      </c>
      <c r="AQ41">
        <f>IF(OR(Setup!$E$64="",Setup!$G$64="",Setup!$F$64=""),"",IF(AND(Setup!$F$64="Once",AQ$1&gt;0),"",IF(OR(IF(Setup!$M$64&gt;0,Setup!$G$64+(Setup!$O$64+AQ$1)*Setup!$M$64,EDATE(Setup!$G$64,(Setup!$O$64+AQ$1)*Setup!$N$64))&gt;Setup!$P$64,IF(Setup!$M$64&gt;0,Setup!$G$64+(Setup!$O$64+AQ$1)*Setup!$M$64,EDATE(Setup!$G$64,(Setup!$O$64+AQ$1)*Setup!$N$64))&lt;Setup!$D$5),"",IF(Setup!$M$64&gt;0,Setup!$G$64+(Setup!$O$64+AQ$1)*Setup!$M$64,EDATE(Setup!$G$64,(Setup!$O$64+AQ$1)*Setup!$N$64))+$A41/1000)))</f>
        <v/>
      </c>
      <c r="AR41">
        <f>IF(OR(Setup!$E$64="",Setup!$G$64="",Setup!$F$64=""),"",IF(AND(Setup!$F$64="Once",AR$1&gt;0),"",IF(OR(IF(Setup!$M$64&gt;0,Setup!$G$64+(Setup!$O$64+AR$1)*Setup!$M$64,EDATE(Setup!$G$64,(Setup!$O$64+AR$1)*Setup!$N$64))&gt;Setup!$P$64,IF(Setup!$M$64&gt;0,Setup!$G$64+(Setup!$O$64+AR$1)*Setup!$M$64,EDATE(Setup!$G$64,(Setup!$O$64+AR$1)*Setup!$N$64))&lt;Setup!$D$5),"",IF(Setup!$M$64&gt;0,Setup!$G$64+(Setup!$O$64+AR$1)*Setup!$M$64,EDATE(Setup!$G$64,(Setup!$O$64+AR$1)*Setup!$N$64))+$A41/1000)))</f>
        <v/>
      </c>
      <c r="AS41">
        <f>IF(OR(Setup!$E$64="",Setup!$G$64="",Setup!$F$64=""),"",IF(AND(Setup!$F$64="Once",AS$1&gt;0),"",IF(OR(IF(Setup!$M$64&gt;0,Setup!$G$64+(Setup!$O$64+AS$1)*Setup!$M$64,EDATE(Setup!$G$64,(Setup!$O$64+AS$1)*Setup!$N$64))&gt;Setup!$P$64,IF(Setup!$M$64&gt;0,Setup!$G$64+(Setup!$O$64+AS$1)*Setup!$M$64,EDATE(Setup!$G$64,(Setup!$O$64+AS$1)*Setup!$N$64))&lt;Setup!$D$5),"",IF(Setup!$M$64&gt;0,Setup!$G$64+(Setup!$O$64+AS$1)*Setup!$M$64,EDATE(Setup!$G$64,(Setup!$O$64+AS$1)*Setup!$N$64))+$A41/1000)))</f>
        <v/>
      </c>
      <c r="AT41">
        <f>IF(OR(Setup!$E$64="",Setup!$G$64="",Setup!$F$64=""),"",IF(AND(Setup!$F$64="Once",AT$1&gt;0),"",IF(OR(IF(Setup!$M$64&gt;0,Setup!$G$64+(Setup!$O$64+AT$1)*Setup!$M$64,EDATE(Setup!$G$64,(Setup!$O$64+AT$1)*Setup!$N$64))&gt;Setup!$P$64,IF(Setup!$M$64&gt;0,Setup!$G$64+(Setup!$O$64+AT$1)*Setup!$M$64,EDATE(Setup!$G$64,(Setup!$O$64+AT$1)*Setup!$N$64))&lt;Setup!$D$5),"",IF(Setup!$M$64&gt;0,Setup!$G$64+(Setup!$O$64+AT$1)*Setup!$M$64,EDATE(Setup!$G$64,(Setup!$O$64+AT$1)*Setup!$N$64))+$A41/1000)))</f>
        <v/>
      </c>
      <c r="AU41">
        <f>IF(OR(Setup!$E$64="",Setup!$G$64="",Setup!$F$64=""),"",IF(AND(Setup!$F$64="Once",AU$1&gt;0),"",IF(OR(IF(Setup!$M$64&gt;0,Setup!$G$64+(Setup!$O$64+AU$1)*Setup!$M$64,EDATE(Setup!$G$64,(Setup!$O$64+AU$1)*Setup!$N$64))&gt;Setup!$P$64,IF(Setup!$M$64&gt;0,Setup!$G$64+(Setup!$O$64+AU$1)*Setup!$M$64,EDATE(Setup!$G$64,(Setup!$O$64+AU$1)*Setup!$N$64))&lt;Setup!$D$5),"",IF(Setup!$M$64&gt;0,Setup!$G$64+(Setup!$O$64+AU$1)*Setup!$M$64,EDATE(Setup!$G$64,(Setup!$O$64+AU$1)*Setup!$N$64))+$A41/1000)))</f>
        <v/>
      </c>
      <c r="AV41">
        <f>IF(OR(Setup!$E$64="",Setup!$G$64="",Setup!$F$64=""),"",IF(AND(Setup!$F$64="Once",AV$1&gt;0),"",IF(OR(IF(Setup!$M$64&gt;0,Setup!$G$64+(Setup!$O$64+AV$1)*Setup!$M$64,EDATE(Setup!$G$64,(Setup!$O$64+AV$1)*Setup!$N$64))&gt;Setup!$P$64,IF(Setup!$M$64&gt;0,Setup!$G$64+(Setup!$O$64+AV$1)*Setup!$M$64,EDATE(Setup!$G$64,(Setup!$O$64+AV$1)*Setup!$N$64))&lt;Setup!$D$5),"",IF(Setup!$M$64&gt;0,Setup!$G$64+(Setup!$O$64+AV$1)*Setup!$M$64,EDATE(Setup!$G$64,(Setup!$O$64+AV$1)*Setup!$N$64))+$A41/1000)))</f>
        <v/>
      </c>
      <c r="AW41">
        <f>IF(OR(Setup!$E$64="",Setup!$G$64="",Setup!$F$64=""),"",IF(AND(Setup!$F$64="Once",AW$1&gt;0),"",IF(OR(IF(Setup!$M$64&gt;0,Setup!$G$64+(Setup!$O$64+AW$1)*Setup!$M$64,EDATE(Setup!$G$64,(Setup!$O$64+AW$1)*Setup!$N$64))&gt;Setup!$P$64,IF(Setup!$M$64&gt;0,Setup!$G$64+(Setup!$O$64+AW$1)*Setup!$M$64,EDATE(Setup!$G$64,(Setup!$O$64+AW$1)*Setup!$N$64))&lt;Setup!$D$5),"",IF(Setup!$M$64&gt;0,Setup!$G$64+(Setup!$O$64+AW$1)*Setup!$M$64,EDATE(Setup!$G$64,(Setup!$O$64+AW$1)*Setup!$N$64))+$A41/1000)))</f>
        <v/>
      </c>
      <c r="AX41">
        <f>IF(OR(Setup!$E$64="",Setup!$G$64="",Setup!$F$64=""),"",IF(AND(Setup!$F$64="Once",AX$1&gt;0),"",IF(OR(IF(Setup!$M$64&gt;0,Setup!$G$64+(Setup!$O$64+AX$1)*Setup!$M$64,EDATE(Setup!$G$64,(Setup!$O$64+AX$1)*Setup!$N$64))&gt;Setup!$P$64,IF(Setup!$M$64&gt;0,Setup!$G$64+(Setup!$O$64+AX$1)*Setup!$M$64,EDATE(Setup!$G$64,(Setup!$O$64+AX$1)*Setup!$N$64))&lt;Setup!$D$5),"",IF(Setup!$M$64&gt;0,Setup!$G$64+(Setup!$O$64+AX$1)*Setup!$M$64,EDATE(Setup!$G$64,(Setup!$O$64+AX$1)*Setup!$N$64))+$A41/1000)))</f>
        <v/>
      </c>
      <c r="AY41">
        <f>IF(OR(Setup!$E$64="",Setup!$G$64="",Setup!$F$64=""),"",IF(AND(Setup!$F$64="Once",AY$1&gt;0),"",IF(OR(IF(Setup!$M$64&gt;0,Setup!$G$64+(Setup!$O$64+AY$1)*Setup!$M$64,EDATE(Setup!$G$64,(Setup!$O$64+AY$1)*Setup!$N$64))&gt;Setup!$P$64,IF(Setup!$M$64&gt;0,Setup!$G$64+(Setup!$O$64+AY$1)*Setup!$M$64,EDATE(Setup!$G$64,(Setup!$O$64+AY$1)*Setup!$N$64))&lt;Setup!$D$5),"",IF(Setup!$M$64&gt;0,Setup!$G$64+(Setup!$O$64+AY$1)*Setup!$M$64,EDATE(Setup!$G$64,(Setup!$O$64+AY$1)*Setup!$N$64))+$A41/1000)))</f>
        <v/>
      </c>
      <c r="AZ41">
        <f>IF(OR(Setup!$E$64="",Setup!$G$64="",Setup!$F$64=""),"",IF(AND(Setup!$F$64="Once",AZ$1&gt;0),"",IF(OR(IF(Setup!$M$64&gt;0,Setup!$G$64+(Setup!$O$64+AZ$1)*Setup!$M$64,EDATE(Setup!$G$64,(Setup!$O$64+AZ$1)*Setup!$N$64))&gt;Setup!$P$64,IF(Setup!$M$64&gt;0,Setup!$G$64+(Setup!$O$64+AZ$1)*Setup!$M$64,EDATE(Setup!$G$64,(Setup!$O$64+AZ$1)*Setup!$N$64))&lt;Setup!$D$5),"",IF(Setup!$M$64&gt;0,Setup!$G$64+(Setup!$O$64+AZ$1)*Setup!$M$64,EDATE(Setup!$G$64,(Setup!$O$64+AZ$1)*Setup!$N$64))+$A41/1000)))</f>
        <v/>
      </c>
      <c r="BA41">
        <f>IF(OR(Setup!$E$64="",Setup!$G$64="",Setup!$F$64=""),"",IF(AND(Setup!$F$64="Once",BA$1&gt;0),"",IF(OR(IF(Setup!$M$64&gt;0,Setup!$G$64+(Setup!$O$64+BA$1)*Setup!$M$64,EDATE(Setup!$G$64,(Setup!$O$64+BA$1)*Setup!$N$64))&gt;Setup!$P$64,IF(Setup!$M$64&gt;0,Setup!$G$64+(Setup!$O$64+BA$1)*Setup!$M$64,EDATE(Setup!$G$64,(Setup!$O$64+BA$1)*Setup!$N$64))&lt;Setup!$D$5),"",IF(Setup!$M$64&gt;0,Setup!$G$64+(Setup!$O$64+BA$1)*Setup!$M$64,EDATE(Setup!$G$64,(Setup!$O$64+BA$1)*Setup!$N$64))+$A41/1000)))</f>
        <v/>
      </c>
      <c r="BB41">
        <f>IF(OR(Setup!$E$64="",Setup!$G$64="",Setup!$F$64=""),"",IF(AND(Setup!$F$64="Once",BB$1&gt;0),"",IF(OR(IF(Setup!$M$64&gt;0,Setup!$G$64+(Setup!$O$64+BB$1)*Setup!$M$64,EDATE(Setup!$G$64,(Setup!$O$64+BB$1)*Setup!$N$64))&gt;Setup!$P$64,IF(Setup!$M$64&gt;0,Setup!$G$64+(Setup!$O$64+BB$1)*Setup!$M$64,EDATE(Setup!$G$64,(Setup!$O$64+BB$1)*Setup!$N$64))&lt;Setup!$D$5),"",IF(Setup!$M$64&gt;0,Setup!$G$64+(Setup!$O$64+BB$1)*Setup!$M$64,EDATE(Setup!$G$64,(Setup!$O$64+BB$1)*Setup!$N$64))+$A41/1000)))</f>
        <v/>
      </c>
    </row>
    <row r="42">
      <c r="A42" t="n">
        <v>41</v>
      </c>
      <c r="B42">
        <f>IF(OR(Setup!$E$65="",Setup!$G$65="",Setup!$F$65=""),"",IF(AND(Setup!$F$65="Once",B$1&gt;0),"",IF(OR(IF(Setup!$M$65&gt;0,Setup!$G$65+(Setup!$O$65+B$1)*Setup!$M$65,EDATE(Setup!$G$65,(Setup!$O$65+B$1)*Setup!$N$65))&gt;Setup!$P$65,IF(Setup!$M$65&gt;0,Setup!$G$65+(Setup!$O$65+B$1)*Setup!$M$65,EDATE(Setup!$G$65,(Setup!$O$65+B$1)*Setup!$N$65))&lt;Setup!$D$5),"",IF(Setup!$M$65&gt;0,Setup!$G$65+(Setup!$O$65+B$1)*Setup!$M$65,EDATE(Setup!$G$65,(Setup!$O$65+B$1)*Setup!$N$65))+$A42/1000)))</f>
        <v/>
      </c>
      <c r="C42">
        <f>IF(OR(Setup!$E$65="",Setup!$G$65="",Setup!$F$65=""),"",IF(AND(Setup!$F$65="Once",C$1&gt;0),"",IF(OR(IF(Setup!$M$65&gt;0,Setup!$G$65+(Setup!$O$65+C$1)*Setup!$M$65,EDATE(Setup!$G$65,(Setup!$O$65+C$1)*Setup!$N$65))&gt;Setup!$P$65,IF(Setup!$M$65&gt;0,Setup!$G$65+(Setup!$O$65+C$1)*Setup!$M$65,EDATE(Setup!$G$65,(Setup!$O$65+C$1)*Setup!$N$65))&lt;Setup!$D$5),"",IF(Setup!$M$65&gt;0,Setup!$G$65+(Setup!$O$65+C$1)*Setup!$M$65,EDATE(Setup!$G$65,(Setup!$O$65+C$1)*Setup!$N$65))+$A42/1000)))</f>
        <v/>
      </c>
      <c r="D42">
        <f>IF(OR(Setup!$E$65="",Setup!$G$65="",Setup!$F$65=""),"",IF(AND(Setup!$F$65="Once",D$1&gt;0),"",IF(OR(IF(Setup!$M$65&gt;0,Setup!$G$65+(Setup!$O$65+D$1)*Setup!$M$65,EDATE(Setup!$G$65,(Setup!$O$65+D$1)*Setup!$N$65))&gt;Setup!$P$65,IF(Setup!$M$65&gt;0,Setup!$G$65+(Setup!$O$65+D$1)*Setup!$M$65,EDATE(Setup!$G$65,(Setup!$O$65+D$1)*Setup!$N$65))&lt;Setup!$D$5),"",IF(Setup!$M$65&gt;0,Setup!$G$65+(Setup!$O$65+D$1)*Setup!$M$65,EDATE(Setup!$G$65,(Setup!$O$65+D$1)*Setup!$N$65))+$A42/1000)))</f>
        <v/>
      </c>
      <c r="E42">
        <f>IF(OR(Setup!$E$65="",Setup!$G$65="",Setup!$F$65=""),"",IF(AND(Setup!$F$65="Once",E$1&gt;0),"",IF(OR(IF(Setup!$M$65&gt;0,Setup!$G$65+(Setup!$O$65+E$1)*Setup!$M$65,EDATE(Setup!$G$65,(Setup!$O$65+E$1)*Setup!$N$65))&gt;Setup!$P$65,IF(Setup!$M$65&gt;0,Setup!$G$65+(Setup!$O$65+E$1)*Setup!$M$65,EDATE(Setup!$G$65,(Setup!$O$65+E$1)*Setup!$N$65))&lt;Setup!$D$5),"",IF(Setup!$M$65&gt;0,Setup!$G$65+(Setup!$O$65+E$1)*Setup!$M$65,EDATE(Setup!$G$65,(Setup!$O$65+E$1)*Setup!$N$65))+$A42/1000)))</f>
        <v/>
      </c>
      <c r="F42">
        <f>IF(OR(Setup!$E$65="",Setup!$G$65="",Setup!$F$65=""),"",IF(AND(Setup!$F$65="Once",F$1&gt;0),"",IF(OR(IF(Setup!$M$65&gt;0,Setup!$G$65+(Setup!$O$65+F$1)*Setup!$M$65,EDATE(Setup!$G$65,(Setup!$O$65+F$1)*Setup!$N$65))&gt;Setup!$P$65,IF(Setup!$M$65&gt;0,Setup!$G$65+(Setup!$O$65+F$1)*Setup!$M$65,EDATE(Setup!$G$65,(Setup!$O$65+F$1)*Setup!$N$65))&lt;Setup!$D$5),"",IF(Setup!$M$65&gt;0,Setup!$G$65+(Setup!$O$65+F$1)*Setup!$M$65,EDATE(Setup!$G$65,(Setup!$O$65+F$1)*Setup!$N$65))+$A42/1000)))</f>
        <v/>
      </c>
      <c r="G42">
        <f>IF(OR(Setup!$E$65="",Setup!$G$65="",Setup!$F$65=""),"",IF(AND(Setup!$F$65="Once",G$1&gt;0),"",IF(OR(IF(Setup!$M$65&gt;0,Setup!$G$65+(Setup!$O$65+G$1)*Setup!$M$65,EDATE(Setup!$G$65,(Setup!$O$65+G$1)*Setup!$N$65))&gt;Setup!$P$65,IF(Setup!$M$65&gt;0,Setup!$G$65+(Setup!$O$65+G$1)*Setup!$M$65,EDATE(Setup!$G$65,(Setup!$O$65+G$1)*Setup!$N$65))&lt;Setup!$D$5),"",IF(Setup!$M$65&gt;0,Setup!$G$65+(Setup!$O$65+G$1)*Setup!$M$65,EDATE(Setup!$G$65,(Setup!$O$65+G$1)*Setup!$N$65))+$A42/1000)))</f>
        <v/>
      </c>
      <c r="H42">
        <f>IF(OR(Setup!$E$65="",Setup!$G$65="",Setup!$F$65=""),"",IF(AND(Setup!$F$65="Once",H$1&gt;0),"",IF(OR(IF(Setup!$M$65&gt;0,Setup!$G$65+(Setup!$O$65+H$1)*Setup!$M$65,EDATE(Setup!$G$65,(Setup!$O$65+H$1)*Setup!$N$65))&gt;Setup!$P$65,IF(Setup!$M$65&gt;0,Setup!$G$65+(Setup!$O$65+H$1)*Setup!$M$65,EDATE(Setup!$G$65,(Setup!$O$65+H$1)*Setup!$N$65))&lt;Setup!$D$5),"",IF(Setup!$M$65&gt;0,Setup!$G$65+(Setup!$O$65+H$1)*Setup!$M$65,EDATE(Setup!$G$65,(Setup!$O$65+H$1)*Setup!$N$65))+$A42/1000)))</f>
        <v/>
      </c>
      <c r="I42">
        <f>IF(OR(Setup!$E$65="",Setup!$G$65="",Setup!$F$65=""),"",IF(AND(Setup!$F$65="Once",I$1&gt;0),"",IF(OR(IF(Setup!$M$65&gt;0,Setup!$G$65+(Setup!$O$65+I$1)*Setup!$M$65,EDATE(Setup!$G$65,(Setup!$O$65+I$1)*Setup!$N$65))&gt;Setup!$P$65,IF(Setup!$M$65&gt;0,Setup!$G$65+(Setup!$O$65+I$1)*Setup!$M$65,EDATE(Setup!$G$65,(Setup!$O$65+I$1)*Setup!$N$65))&lt;Setup!$D$5),"",IF(Setup!$M$65&gt;0,Setup!$G$65+(Setup!$O$65+I$1)*Setup!$M$65,EDATE(Setup!$G$65,(Setup!$O$65+I$1)*Setup!$N$65))+$A42/1000)))</f>
        <v/>
      </c>
      <c r="J42">
        <f>IF(OR(Setup!$E$65="",Setup!$G$65="",Setup!$F$65=""),"",IF(AND(Setup!$F$65="Once",J$1&gt;0),"",IF(OR(IF(Setup!$M$65&gt;0,Setup!$G$65+(Setup!$O$65+J$1)*Setup!$M$65,EDATE(Setup!$G$65,(Setup!$O$65+J$1)*Setup!$N$65))&gt;Setup!$P$65,IF(Setup!$M$65&gt;0,Setup!$G$65+(Setup!$O$65+J$1)*Setup!$M$65,EDATE(Setup!$G$65,(Setup!$O$65+J$1)*Setup!$N$65))&lt;Setup!$D$5),"",IF(Setup!$M$65&gt;0,Setup!$G$65+(Setup!$O$65+J$1)*Setup!$M$65,EDATE(Setup!$G$65,(Setup!$O$65+J$1)*Setup!$N$65))+$A42/1000)))</f>
        <v/>
      </c>
      <c r="K42">
        <f>IF(OR(Setup!$E$65="",Setup!$G$65="",Setup!$F$65=""),"",IF(AND(Setup!$F$65="Once",K$1&gt;0),"",IF(OR(IF(Setup!$M$65&gt;0,Setup!$G$65+(Setup!$O$65+K$1)*Setup!$M$65,EDATE(Setup!$G$65,(Setup!$O$65+K$1)*Setup!$N$65))&gt;Setup!$P$65,IF(Setup!$M$65&gt;0,Setup!$G$65+(Setup!$O$65+K$1)*Setup!$M$65,EDATE(Setup!$G$65,(Setup!$O$65+K$1)*Setup!$N$65))&lt;Setup!$D$5),"",IF(Setup!$M$65&gt;0,Setup!$G$65+(Setup!$O$65+K$1)*Setup!$M$65,EDATE(Setup!$G$65,(Setup!$O$65+K$1)*Setup!$N$65))+$A42/1000)))</f>
        <v/>
      </c>
      <c r="L42">
        <f>IF(OR(Setup!$E$65="",Setup!$G$65="",Setup!$F$65=""),"",IF(AND(Setup!$F$65="Once",L$1&gt;0),"",IF(OR(IF(Setup!$M$65&gt;0,Setup!$G$65+(Setup!$O$65+L$1)*Setup!$M$65,EDATE(Setup!$G$65,(Setup!$O$65+L$1)*Setup!$N$65))&gt;Setup!$P$65,IF(Setup!$M$65&gt;0,Setup!$G$65+(Setup!$O$65+L$1)*Setup!$M$65,EDATE(Setup!$G$65,(Setup!$O$65+L$1)*Setup!$N$65))&lt;Setup!$D$5),"",IF(Setup!$M$65&gt;0,Setup!$G$65+(Setup!$O$65+L$1)*Setup!$M$65,EDATE(Setup!$G$65,(Setup!$O$65+L$1)*Setup!$N$65))+$A42/1000)))</f>
        <v/>
      </c>
      <c r="M42">
        <f>IF(OR(Setup!$E$65="",Setup!$G$65="",Setup!$F$65=""),"",IF(AND(Setup!$F$65="Once",M$1&gt;0),"",IF(OR(IF(Setup!$M$65&gt;0,Setup!$G$65+(Setup!$O$65+M$1)*Setup!$M$65,EDATE(Setup!$G$65,(Setup!$O$65+M$1)*Setup!$N$65))&gt;Setup!$P$65,IF(Setup!$M$65&gt;0,Setup!$G$65+(Setup!$O$65+M$1)*Setup!$M$65,EDATE(Setup!$G$65,(Setup!$O$65+M$1)*Setup!$N$65))&lt;Setup!$D$5),"",IF(Setup!$M$65&gt;0,Setup!$G$65+(Setup!$O$65+M$1)*Setup!$M$65,EDATE(Setup!$G$65,(Setup!$O$65+M$1)*Setup!$N$65))+$A42/1000)))</f>
        <v/>
      </c>
      <c r="N42">
        <f>IF(OR(Setup!$E$65="",Setup!$G$65="",Setup!$F$65=""),"",IF(AND(Setup!$F$65="Once",N$1&gt;0),"",IF(OR(IF(Setup!$M$65&gt;0,Setup!$G$65+(Setup!$O$65+N$1)*Setup!$M$65,EDATE(Setup!$G$65,(Setup!$O$65+N$1)*Setup!$N$65))&gt;Setup!$P$65,IF(Setup!$M$65&gt;0,Setup!$G$65+(Setup!$O$65+N$1)*Setup!$M$65,EDATE(Setup!$G$65,(Setup!$O$65+N$1)*Setup!$N$65))&lt;Setup!$D$5),"",IF(Setup!$M$65&gt;0,Setup!$G$65+(Setup!$O$65+N$1)*Setup!$M$65,EDATE(Setup!$G$65,(Setup!$O$65+N$1)*Setup!$N$65))+$A42/1000)))</f>
        <v/>
      </c>
      <c r="O42">
        <f>IF(OR(Setup!$E$65="",Setup!$G$65="",Setup!$F$65=""),"",IF(AND(Setup!$F$65="Once",O$1&gt;0),"",IF(OR(IF(Setup!$M$65&gt;0,Setup!$G$65+(Setup!$O$65+O$1)*Setup!$M$65,EDATE(Setup!$G$65,(Setup!$O$65+O$1)*Setup!$N$65))&gt;Setup!$P$65,IF(Setup!$M$65&gt;0,Setup!$G$65+(Setup!$O$65+O$1)*Setup!$M$65,EDATE(Setup!$G$65,(Setup!$O$65+O$1)*Setup!$N$65))&lt;Setup!$D$5),"",IF(Setup!$M$65&gt;0,Setup!$G$65+(Setup!$O$65+O$1)*Setup!$M$65,EDATE(Setup!$G$65,(Setup!$O$65+O$1)*Setup!$N$65))+$A42/1000)))</f>
        <v/>
      </c>
      <c r="P42">
        <f>IF(OR(Setup!$E$65="",Setup!$G$65="",Setup!$F$65=""),"",IF(AND(Setup!$F$65="Once",P$1&gt;0),"",IF(OR(IF(Setup!$M$65&gt;0,Setup!$G$65+(Setup!$O$65+P$1)*Setup!$M$65,EDATE(Setup!$G$65,(Setup!$O$65+P$1)*Setup!$N$65))&gt;Setup!$P$65,IF(Setup!$M$65&gt;0,Setup!$G$65+(Setup!$O$65+P$1)*Setup!$M$65,EDATE(Setup!$G$65,(Setup!$O$65+P$1)*Setup!$N$65))&lt;Setup!$D$5),"",IF(Setup!$M$65&gt;0,Setup!$G$65+(Setup!$O$65+P$1)*Setup!$M$65,EDATE(Setup!$G$65,(Setup!$O$65+P$1)*Setup!$N$65))+$A42/1000)))</f>
        <v/>
      </c>
      <c r="Q42">
        <f>IF(OR(Setup!$E$65="",Setup!$G$65="",Setup!$F$65=""),"",IF(AND(Setup!$F$65="Once",Q$1&gt;0),"",IF(OR(IF(Setup!$M$65&gt;0,Setup!$G$65+(Setup!$O$65+Q$1)*Setup!$M$65,EDATE(Setup!$G$65,(Setup!$O$65+Q$1)*Setup!$N$65))&gt;Setup!$P$65,IF(Setup!$M$65&gt;0,Setup!$G$65+(Setup!$O$65+Q$1)*Setup!$M$65,EDATE(Setup!$G$65,(Setup!$O$65+Q$1)*Setup!$N$65))&lt;Setup!$D$5),"",IF(Setup!$M$65&gt;0,Setup!$G$65+(Setup!$O$65+Q$1)*Setup!$M$65,EDATE(Setup!$G$65,(Setup!$O$65+Q$1)*Setup!$N$65))+$A42/1000)))</f>
        <v/>
      </c>
      <c r="R42">
        <f>IF(OR(Setup!$E$65="",Setup!$G$65="",Setup!$F$65=""),"",IF(AND(Setup!$F$65="Once",R$1&gt;0),"",IF(OR(IF(Setup!$M$65&gt;0,Setup!$G$65+(Setup!$O$65+R$1)*Setup!$M$65,EDATE(Setup!$G$65,(Setup!$O$65+R$1)*Setup!$N$65))&gt;Setup!$P$65,IF(Setup!$M$65&gt;0,Setup!$G$65+(Setup!$O$65+R$1)*Setup!$M$65,EDATE(Setup!$G$65,(Setup!$O$65+R$1)*Setup!$N$65))&lt;Setup!$D$5),"",IF(Setup!$M$65&gt;0,Setup!$G$65+(Setup!$O$65+R$1)*Setup!$M$65,EDATE(Setup!$G$65,(Setup!$O$65+R$1)*Setup!$N$65))+$A42/1000)))</f>
        <v/>
      </c>
      <c r="S42">
        <f>IF(OR(Setup!$E$65="",Setup!$G$65="",Setup!$F$65=""),"",IF(AND(Setup!$F$65="Once",S$1&gt;0),"",IF(OR(IF(Setup!$M$65&gt;0,Setup!$G$65+(Setup!$O$65+S$1)*Setup!$M$65,EDATE(Setup!$G$65,(Setup!$O$65+S$1)*Setup!$N$65))&gt;Setup!$P$65,IF(Setup!$M$65&gt;0,Setup!$G$65+(Setup!$O$65+S$1)*Setup!$M$65,EDATE(Setup!$G$65,(Setup!$O$65+S$1)*Setup!$N$65))&lt;Setup!$D$5),"",IF(Setup!$M$65&gt;0,Setup!$G$65+(Setup!$O$65+S$1)*Setup!$M$65,EDATE(Setup!$G$65,(Setup!$O$65+S$1)*Setup!$N$65))+$A42/1000)))</f>
        <v/>
      </c>
      <c r="T42">
        <f>IF(OR(Setup!$E$65="",Setup!$G$65="",Setup!$F$65=""),"",IF(AND(Setup!$F$65="Once",T$1&gt;0),"",IF(OR(IF(Setup!$M$65&gt;0,Setup!$G$65+(Setup!$O$65+T$1)*Setup!$M$65,EDATE(Setup!$G$65,(Setup!$O$65+T$1)*Setup!$N$65))&gt;Setup!$P$65,IF(Setup!$M$65&gt;0,Setup!$G$65+(Setup!$O$65+T$1)*Setup!$M$65,EDATE(Setup!$G$65,(Setup!$O$65+T$1)*Setup!$N$65))&lt;Setup!$D$5),"",IF(Setup!$M$65&gt;0,Setup!$G$65+(Setup!$O$65+T$1)*Setup!$M$65,EDATE(Setup!$G$65,(Setup!$O$65+T$1)*Setup!$N$65))+$A42/1000)))</f>
        <v/>
      </c>
      <c r="U42">
        <f>IF(OR(Setup!$E$65="",Setup!$G$65="",Setup!$F$65=""),"",IF(AND(Setup!$F$65="Once",U$1&gt;0),"",IF(OR(IF(Setup!$M$65&gt;0,Setup!$G$65+(Setup!$O$65+U$1)*Setup!$M$65,EDATE(Setup!$G$65,(Setup!$O$65+U$1)*Setup!$N$65))&gt;Setup!$P$65,IF(Setup!$M$65&gt;0,Setup!$G$65+(Setup!$O$65+U$1)*Setup!$M$65,EDATE(Setup!$G$65,(Setup!$O$65+U$1)*Setup!$N$65))&lt;Setup!$D$5),"",IF(Setup!$M$65&gt;0,Setup!$G$65+(Setup!$O$65+U$1)*Setup!$M$65,EDATE(Setup!$G$65,(Setup!$O$65+U$1)*Setup!$N$65))+$A42/1000)))</f>
        <v/>
      </c>
      <c r="V42">
        <f>IF(OR(Setup!$E$65="",Setup!$G$65="",Setup!$F$65=""),"",IF(AND(Setup!$F$65="Once",V$1&gt;0),"",IF(OR(IF(Setup!$M$65&gt;0,Setup!$G$65+(Setup!$O$65+V$1)*Setup!$M$65,EDATE(Setup!$G$65,(Setup!$O$65+V$1)*Setup!$N$65))&gt;Setup!$P$65,IF(Setup!$M$65&gt;0,Setup!$G$65+(Setup!$O$65+V$1)*Setup!$M$65,EDATE(Setup!$G$65,(Setup!$O$65+V$1)*Setup!$N$65))&lt;Setup!$D$5),"",IF(Setup!$M$65&gt;0,Setup!$G$65+(Setup!$O$65+V$1)*Setup!$M$65,EDATE(Setup!$G$65,(Setup!$O$65+V$1)*Setup!$N$65))+$A42/1000)))</f>
        <v/>
      </c>
      <c r="W42">
        <f>IF(OR(Setup!$E$65="",Setup!$G$65="",Setup!$F$65=""),"",IF(AND(Setup!$F$65="Once",W$1&gt;0),"",IF(OR(IF(Setup!$M$65&gt;0,Setup!$G$65+(Setup!$O$65+W$1)*Setup!$M$65,EDATE(Setup!$G$65,(Setup!$O$65+W$1)*Setup!$N$65))&gt;Setup!$P$65,IF(Setup!$M$65&gt;0,Setup!$G$65+(Setup!$O$65+W$1)*Setup!$M$65,EDATE(Setup!$G$65,(Setup!$O$65+W$1)*Setup!$N$65))&lt;Setup!$D$5),"",IF(Setup!$M$65&gt;0,Setup!$G$65+(Setup!$O$65+W$1)*Setup!$M$65,EDATE(Setup!$G$65,(Setup!$O$65+W$1)*Setup!$N$65))+$A42/1000)))</f>
        <v/>
      </c>
      <c r="X42">
        <f>IF(OR(Setup!$E$65="",Setup!$G$65="",Setup!$F$65=""),"",IF(AND(Setup!$F$65="Once",X$1&gt;0),"",IF(OR(IF(Setup!$M$65&gt;0,Setup!$G$65+(Setup!$O$65+X$1)*Setup!$M$65,EDATE(Setup!$G$65,(Setup!$O$65+X$1)*Setup!$N$65))&gt;Setup!$P$65,IF(Setup!$M$65&gt;0,Setup!$G$65+(Setup!$O$65+X$1)*Setup!$M$65,EDATE(Setup!$G$65,(Setup!$O$65+X$1)*Setup!$N$65))&lt;Setup!$D$5),"",IF(Setup!$M$65&gt;0,Setup!$G$65+(Setup!$O$65+X$1)*Setup!$M$65,EDATE(Setup!$G$65,(Setup!$O$65+X$1)*Setup!$N$65))+$A42/1000)))</f>
        <v/>
      </c>
      <c r="Y42">
        <f>IF(OR(Setup!$E$65="",Setup!$G$65="",Setup!$F$65=""),"",IF(AND(Setup!$F$65="Once",Y$1&gt;0),"",IF(OR(IF(Setup!$M$65&gt;0,Setup!$G$65+(Setup!$O$65+Y$1)*Setup!$M$65,EDATE(Setup!$G$65,(Setup!$O$65+Y$1)*Setup!$N$65))&gt;Setup!$P$65,IF(Setup!$M$65&gt;0,Setup!$G$65+(Setup!$O$65+Y$1)*Setup!$M$65,EDATE(Setup!$G$65,(Setup!$O$65+Y$1)*Setup!$N$65))&lt;Setup!$D$5),"",IF(Setup!$M$65&gt;0,Setup!$G$65+(Setup!$O$65+Y$1)*Setup!$M$65,EDATE(Setup!$G$65,(Setup!$O$65+Y$1)*Setup!$N$65))+$A42/1000)))</f>
        <v/>
      </c>
      <c r="Z42">
        <f>IF(OR(Setup!$E$65="",Setup!$G$65="",Setup!$F$65=""),"",IF(AND(Setup!$F$65="Once",Z$1&gt;0),"",IF(OR(IF(Setup!$M$65&gt;0,Setup!$G$65+(Setup!$O$65+Z$1)*Setup!$M$65,EDATE(Setup!$G$65,(Setup!$O$65+Z$1)*Setup!$N$65))&gt;Setup!$P$65,IF(Setup!$M$65&gt;0,Setup!$G$65+(Setup!$O$65+Z$1)*Setup!$M$65,EDATE(Setup!$G$65,(Setup!$O$65+Z$1)*Setup!$N$65))&lt;Setup!$D$5),"",IF(Setup!$M$65&gt;0,Setup!$G$65+(Setup!$O$65+Z$1)*Setup!$M$65,EDATE(Setup!$G$65,(Setup!$O$65+Z$1)*Setup!$N$65))+$A42/1000)))</f>
        <v/>
      </c>
      <c r="AA42">
        <f>IF(OR(Setup!$E$65="",Setup!$G$65="",Setup!$F$65=""),"",IF(AND(Setup!$F$65="Once",AA$1&gt;0),"",IF(OR(IF(Setup!$M$65&gt;0,Setup!$G$65+(Setup!$O$65+AA$1)*Setup!$M$65,EDATE(Setup!$G$65,(Setup!$O$65+AA$1)*Setup!$N$65))&gt;Setup!$P$65,IF(Setup!$M$65&gt;0,Setup!$G$65+(Setup!$O$65+AA$1)*Setup!$M$65,EDATE(Setup!$G$65,(Setup!$O$65+AA$1)*Setup!$N$65))&lt;Setup!$D$5),"",IF(Setup!$M$65&gt;0,Setup!$G$65+(Setup!$O$65+AA$1)*Setup!$M$65,EDATE(Setup!$G$65,(Setup!$O$65+AA$1)*Setup!$N$65))+$A42/1000)))</f>
        <v/>
      </c>
      <c r="AB42">
        <f>IF(OR(Setup!$E$65="",Setup!$G$65="",Setup!$F$65=""),"",IF(AND(Setup!$F$65="Once",AB$1&gt;0),"",IF(OR(IF(Setup!$M$65&gt;0,Setup!$G$65+(Setup!$O$65+AB$1)*Setup!$M$65,EDATE(Setup!$G$65,(Setup!$O$65+AB$1)*Setup!$N$65))&gt;Setup!$P$65,IF(Setup!$M$65&gt;0,Setup!$G$65+(Setup!$O$65+AB$1)*Setup!$M$65,EDATE(Setup!$G$65,(Setup!$O$65+AB$1)*Setup!$N$65))&lt;Setup!$D$5),"",IF(Setup!$M$65&gt;0,Setup!$G$65+(Setup!$O$65+AB$1)*Setup!$M$65,EDATE(Setup!$G$65,(Setup!$O$65+AB$1)*Setup!$N$65))+$A42/1000)))</f>
        <v/>
      </c>
      <c r="AC42">
        <f>IF(OR(Setup!$E$65="",Setup!$G$65="",Setup!$F$65=""),"",IF(AND(Setup!$F$65="Once",AC$1&gt;0),"",IF(OR(IF(Setup!$M$65&gt;0,Setup!$G$65+(Setup!$O$65+AC$1)*Setup!$M$65,EDATE(Setup!$G$65,(Setup!$O$65+AC$1)*Setup!$N$65))&gt;Setup!$P$65,IF(Setup!$M$65&gt;0,Setup!$G$65+(Setup!$O$65+AC$1)*Setup!$M$65,EDATE(Setup!$G$65,(Setup!$O$65+AC$1)*Setup!$N$65))&lt;Setup!$D$5),"",IF(Setup!$M$65&gt;0,Setup!$G$65+(Setup!$O$65+AC$1)*Setup!$M$65,EDATE(Setup!$G$65,(Setup!$O$65+AC$1)*Setup!$N$65))+$A42/1000)))</f>
        <v/>
      </c>
      <c r="AD42">
        <f>IF(OR(Setup!$E$65="",Setup!$G$65="",Setup!$F$65=""),"",IF(AND(Setup!$F$65="Once",AD$1&gt;0),"",IF(OR(IF(Setup!$M$65&gt;0,Setup!$G$65+(Setup!$O$65+AD$1)*Setup!$M$65,EDATE(Setup!$G$65,(Setup!$O$65+AD$1)*Setup!$N$65))&gt;Setup!$P$65,IF(Setup!$M$65&gt;0,Setup!$G$65+(Setup!$O$65+AD$1)*Setup!$M$65,EDATE(Setup!$G$65,(Setup!$O$65+AD$1)*Setup!$N$65))&lt;Setup!$D$5),"",IF(Setup!$M$65&gt;0,Setup!$G$65+(Setup!$O$65+AD$1)*Setup!$M$65,EDATE(Setup!$G$65,(Setup!$O$65+AD$1)*Setup!$N$65))+$A42/1000)))</f>
        <v/>
      </c>
      <c r="AE42">
        <f>IF(OR(Setup!$E$65="",Setup!$G$65="",Setup!$F$65=""),"",IF(AND(Setup!$F$65="Once",AE$1&gt;0),"",IF(OR(IF(Setup!$M$65&gt;0,Setup!$G$65+(Setup!$O$65+AE$1)*Setup!$M$65,EDATE(Setup!$G$65,(Setup!$O$65+AE$1)*Setup!$N$65))&gt;Setup!$P$65,IF(Setup!$M$65&gt;0,Setup!$G$65+(Setup!$O$65+AE$1)*Setup!$M$65,EDATE(Setup!$G$65,(Setup!$O$65+AE$1)*Setup!$N$65))&lt;Setup!$D$5),"",IF(Setup!$M$65&gt;0,Setup!$G$65+(Setup!$O$65+AE$1)*Setup!$M$65,EDATE(Setup!$G$65,(Setup!$O$65+AE$1)*Setup!$N$65))+$A42/1000)))</f>
        <v/>
      </c>
      <c r="AF42">
        <f>IF(OR(Setup!$E$65="",Setup!$G$65="",Setup!$F$65=""),"",IF(AND(Setup!$F$65="Once",AF$1&gt;0),"",IF(OR(IF(Setup!$M$65&gt;0,Setup!$G$65+(Setup!$O$65+AF$1)*Setup!$M$65,EDATE(Setup!$G$65,(Setup!$O$65+AF$1)*Setup!$N$65))&gt;Setup!$P$65,IF(Setup!$M$65&gt;0,Setup!$G$65+(Setup!$O$65+AF$1)*Setup!$M$65,EDATE(Setup!$G$65,(Setup!$O$65+AF$1)*Setup!$N$65))&lt;Setup!$D$5),"",IF(Setup!$M$65&gt;0,Setup!$G$65+(Setup!$O$65+AF$1)*Setup!$M$65,EDATE(Setup!$G$65,(Setup!$O$65+AF$1)*Setup!$N$65))+$A42/1000)))</f>
        <v/>
      </c>
      <c r="AG42">
        <f>IF(OR(Setup!$E$65="",Setup!$G$65="",Setup!$F$65=""),"",IF(AND(Setup!$F$65="Once",AG$1&gt;0),"",IF(OR(IF(Setup!$M$65&gt;0,Setup!$G$65+(Setup!$O$65+AG$1)*Setup!$M$65,EDATE(Setup!$G$65,(Setup!$O$65+AG$1)*Setup!$N$65))&gt;Setup!$P$65,IF(Setup!$M$65&gt;0,Setup!$G$65+(Setup!$O$65+AG$1)*Setup!$M$65,EDATE(Setup!$G$65,(Setup!$O$65+AG$1)*Setup!$N$65))&lt;Setup!$D$5),"",IF(Setup!$M$65&gt;0,Setup!$G$65+(Setup!$O$65+AG$1)*Setup!$M$65,EDATE(Setup!$G$65,(Setup!$O$65+AG$1)*Setup!$N$65))+$A42/1000)))</f>
        <v/>
      </c>
      <c r="AH42">
        <f>IF(OR(Setup!$E$65="",Setup!$G$65="",Setup!$F$65=""),"",IF(AND(Setup!$F$65="Once",AH$1&gt;0),"",IF(OR(IF(Setup!$M$65&gt;0,Setup!$G$65+(Setup!$O$65+AH$1)*Setup!$M$65,EDATE(Setup!$G$65,(Setup!$O$65+AH$1)*Setup!$N$65))&gt;Setup!$P$65,IF(Setup!$M$65&gt;0,Setup!$G$65+(Setup!$O$65+AH$1)*Setup!$M$65,EDATE(Setup!$G$65,(Setup!$O$65+AH$1)*Setup!$N$65))&lt;Setup!$D$5),"",IF(Setup!$M$65&gt;0,Setup!$G$65+(Setup!$O$65+AH$1)*Setup!$M$65,EDATE(Setup!$G$65,(Setup!$O$65+AH$1)*Setup!$N$65))+$A42/1000)))</f>
        <v/>
      </c>
      <c r="AI42">
        <f>IF(OR(Setup!$E$65="",Setup!$G$65="",Setup!$F$65=""),"",IF(AND(Setup!$F$65="Once",AI$1&gt;0),"",IF(OR(IF(Setup!$M$65&gt;0,Setup!$G$65+(Setup!$O$65+AI$1)*Setup!$M$65,EDATE(Setup!$G$65,(Setup!$O$65+AI$1)*Setup!$N$65))&gt;Setup!$P$65,IF(Setup!$M$65&gt;0,Setup!$G$65+(Setup!$O$65+AI$1)*Setup!$M$65,EDATE(Setup!$G$65,(Setup!$O$65+AI$1)*Setup!$N$65))&lt;Setup!$D$5),"",IF(Setup!$M$65&gt;0,Setup!$G$65+(Setup!$O$65+AI$1)*Setup!$M$65,EDATE(Setup!$G$65,(Setup!$O$65+AI$1)*Setup!$N$65))+$A42/1000)))</f>
        <v/>
      </c>
      <c r="AJ42">
        <f>IF(OR(Setup!$E$65="",Setup!$G$65="",Setup!$F$65=""),"",IF(AND(Setup!$F$65="Once",AJ$1&gt;0),"",IF(OR(IF(Setup!$M$65&gt;0,Setup!$G$65+(Setup!$O$65+AJ$1)*Setup!$M$65,EDATE(Setup!$G$65,(Setup!$O$65+AJ$1)*Setup!$N$65))&gt;Setup!$P$65,IF(Setup!$M$65&gt;0,Setup!$G$65+(Setup!$O$65+AJ$1)*Setup!$M$65,EDATE(Setup!$G$65,(Setup!$O$65+AJ$1)*Setup!$N$65))&lt;Setup!$D$5),"",IF(Setup!$M$65&gt;0,Setup!$G$65+(Setup!$O$65+AJ$1)*Setup!$M$65,EDATE(Setup!$G$65,(Setup!$O$65+AJ$1)*Setup!$N$65))+$A42/1000)))</f>
        <v/>
      </c>
      <c r="AK42">
        <f>IF(OR(Setup!$E$65="",Setup!$G$65="",Setup!$F$65=""),"",IF(AND(Setup!$F$65="Once",AK$1&gt;0),"",IF(OR(IF(Setup!$M$65&gt;0,Setup!$G$65+(Setup!$O$65+AK$1)*Setup!$M$65,EDATE(Setup!$G$65,(Setup!$O$65+AK$1)*Setup!$N$65))&gt;Setup!$P$65,IF(Setup!$M$65&gt;0,Setup!$G$65+(Setup!$O$65+AK$1)*Setup!$M$65,EDATE(Setup!$G$65,(Setup!$O$65+AK$1)*Setup!$N$65))&lt;Setup!$D$5),"",IF(Setup!$M$65&gt;0,Setup!$G$65+(Setup!$O$65+AK$1)*Setup!$M$65,EDATE(Setup!$G$65,(Setup!$O$65+AK$1)*Setup!$N$65))+$A42/1000)))</f>
        <v/>
      </c>
      <c r="AL42">
        <f>IF(OR(Setup!$E$65="",Setup!$G$65="",Setup!$F$65=""),"",IF(AND(Setup!$F$65="Once",AL$1&gt;0),"",IF(OR(IF(Setup!$M$65&gt;0,Setup!$G$65+(Setup!$O$65+AL$1)*Setup!$M$65,EDATE(Setup!$G$65,(Setup!$O$65+AL$1)*Setup!$N$65))&gt;Setup!$P$65,IF(Setup!$M$65&gt;0,Setup!$G$65+(Setup!$O$65+AL$1)*Setup!$M$65,EDATE(Setup!$G$65,(Setup!$O$65+AL$1)*Setup!$N$65))&lt;Setup!$D$5),"",IF(Setup!$M$65&gt;0,Setup!$G$65+(Setup!$O$65+AL$1)*Setup!$M$65,EDATE(Setup!$G$65,(Setup!$O$65+AL$1)*Setup!$N$65))+$A42/1000)))</f>
        <v/>
      </c>
      <c r="AM42">
        <f>IF(OR(Setup!$E$65="",Setup!$G$65="",Setup!$F$65=""),"",IF(AND(Setup!$F$65="Once",AM$1&gt;0),"",IF(OR(IF(Setup!$M$65&gt;0,Setup!$G$65+(Setup!$O$65+AM$1)*Setup!$M$65,EDATE(Setup!$G$65,(Setup!$O$65+AM$1)*Setup!$N$65))&gt;Setup!$P$65,IF(Setup!$M$65&gt;0,Setup!$G$65+(Setup!$O$65+AM$1)*Setup!$M$65,EDATE(Setup!$G$65,(Setup!$O$65+AM$1)*Setup!$N$65))&lt;Setup!$D$5),"",IF(Setup!$M$65&gt;0,Setup!$G$65+(Setup!$O$65+AM$1)*Setup!$M$65,EDATE(Setup!$G$65,(Setup!$O$65+AM$1)*Setup!$N$65))+$A42/1000)))</f>
        <v/>
      </c>
      <c r="AN42">
        <f>IF(OR(Setup!$E$65="",Setup!$G$65="",Setup!$F$65=""),"",IF(AND(Setup!$F$65="Once",AN$1&gt;0),"",IF(OR(IF(Setup!$M$65&gt;0,Setup!$G$65+(Setup!$O$65+AN$1)*Setup!$M$65,EDATE(Setup!$G$65,(Setup!$O$65+AN$1)*Setup!$N$65))&gt;Setup!$P$65,IF(Setup!$M$65&gt;0,Setup!$G$65+(Setup!$O$65+AN$1)*Setup!$M$65,EDATE(Setup!$G$65,(Setup!$O$65+AN$1)*Setup!$N$65))&lt;Setup!$D$5),"",IF(Setup!$M$65&gt;0,Setup!$G$65+(Setup!$O$65+AN$1)*Setup!$M$65,EDATE(Setup!$G$65,(Setup!$O$65+AN$1)*Setup!$N$65))+$A42/1000)))</f>
        <v/>
      </c>
      <c r="AO42">
        <f>IF(OR(Setup!$E$65="",Setup!$G$65="",Setup!$F$65=""),"",IF(AND(Setup!$F$65="Once",AO$1&gt;0),"",IF(OR(IF(Setup!$M$65&gt;0,Setup!$G$65+(Setup!$O$65+AO$1)*Setup!$M$65,EDATE(Setup!$G$65,(Setup!$O$65+AO$1)*Setup!$N$65))&gt;Setup!$P$65,IF(Setup!$M$65&gt;0,Setup!$G$65+(Setup!$O$65+AO$1)*Setup!$M$65,EDATE(Setup!$G$65,(Setup!$O$65+AO$1)*Setup!$N$65))&lt;Setup!$D$5),"",IF(Setup!$M$65&gt;0,Setup!$G$65+(Setup!$O$65+AO$1)*Setup!$M$65,EDATE(Setup!$G$65,(Setup!$O$65+AO$1)*Setup!$N$65))+$A42/1000)))</f>
        <v/>
      </c>
      <c r="AP42">
        <f>IF(OR(Setup!$E$65="",Setup!$G$65="",Setup!$F$65=""),"",IF(AND(Setup!$F$65="Once",AP$1&gt;0),"",IF(OR(IF(Setup!$M$65&gt;0,Setup!$G$65+(Setup!$O$65+AP$1)*Setup!$M$65,EDATE(Setup!$G$65,(Setup!$O$65+AP$1)*Setup!$N$65))&gt;Setup!$P$65,IF(Setup!$M$65&gt;0,Setup!$G$65+(Setup!$O$65+AP$1)*Setup!$M$65,EDATE(Setup!$G$65,(Setup!$O$65+AP$1)*Setup!$N$65))&lt;Setup!$D$5),"",IF(Setup!$M$65&gt;0,Setup!$G$65+(Setup!$O$65+AP$1)*Setup!$M$65,EDATE(Setup!$G$65,(Setup!$O$65+AP$1)*Setup!$N$65))+$A42/1000)))</f>
        <v/>
      </c>
      <c r="AQ42">
        <f>IF(OR(Setup!$E$65="",Setup!$G$65="",Setup!$F$65=""),"",IF(AND(Setup!$F$65="Once",AQ$1&gt;0),"",IF(OR(IF(Setup!$M$65&gt;0,Setup!$G$65+(Setup!$O$65+AQ$1)*Setup!$M$65,EDATE(Setup!$G$65,(Setup!$O$65+AQ$1)*Setup!$N$65))&gt;Setup!$P$65,IF(Setup!$M$65&gt;0,Setup!$G$65+(Setup!$O$65+AQ$1)*Setup!$M$65,EDATE(Setup!$G$65,(Setup!$O$65+AQ$1)*Setup!$N$65))&lt;Setup!$D$5),"",IF(Setup!$M$65&gt;0,Setup!$G$65+(Setup!$O$65+AQ$1)*Setup!$M$65,EDATE(Setup!$G$65,(Setup!$O$65+AQ$1)*Setup!$N$65))+$A42/1000)))</f>
        <v/>
      </c>
      <c r="AR42">
        <f>IF(OR(Setup!$E$65="",Setup!$G$65="",Setup!$F$65=""),"",IF(AND(Setup!$F$65="Once",AR$1&gt;0),"",IF(OR(IF(Setup!$M$65&gt;0,Setup!$G$65+(Setup!$O$65+AR$1)*Setup!$M$65,EDATE(Setup!$G$65,(Setup!$O$65+AR$1)*Setup!$N$65))&gt;Setup!$P$65,IF(Setup!$M$65&gt;0,Setup!$G$65+(Setup!$O$65+AR$1)*Setup!$M$65,EDATE(Setup!$G$65,(Setup!$O$65+AR$1)*Setup!$N$65))&lt;Setup!$D$5),"",IF(Setup!$M$65&gt;0,Setup!$G$65+(Setup!$O$65+AR$1)*Setup!$M$65,EDATE(Setup!$G$65,(Setup!$O$65+AR$1)*Setup!$N$65))+$A42/1000)))</f>
        <v/>
      </c>
      <c r="AS42">
        <f>IF(OR(Setup!$E$65="",Setup!$G$65="",Setup!$F$65=""),"",IF(AND(Setup!$F$65="Once",AS$1&gt;0),"",IF(OR(IF(Setup!$M$65&gt;0,Setup!$G$65+(Setup!$O$65+AS$1)*Setup!$M$65,EDATE(Setup!$G$65,(Setup!$O$65+AS$1)*Setup!$N$65))&gt;Setup!$P$65,IF(Setup!$M$65&gt;0,Setup!$G$65+(Setup!$O$65+AS$1)*Setup!$M$65,EDATE(Setup!$G$65,(Setup!$O$65+AS$1)*Setup!$N$65))&lt;Setup!$D$5),"",IF(Setup!$M$65&gt;0,Setup!$G$65+(Setup!$O$65+AS$1)*Setup!$M$65,EDATE(Setup!$G$65,(Setup!$O$65+AS$1)*Setup!$N$65))+$A42/1000)))</f>
        <v/>
      </c>
      <c r="AT42">
        <f>IF(OR(Setup!$E$65="",Setup!$G$65="",Setup!$F$65=""),"",IF(AND(Setup!$F$65="Once",AT$1&gt;0),"",IF(OR(IF(Setup!$M$65&gt;0,Setup!$G$65+(Setup!$O$65+AT$1)*Setup!$M$65,EDATE(Setup!$G$65,(Setup!$O$65+AT$1)*Setup!$N$65))&gt;Setup!$P$65,IF(Setup!$M$65&gt;0,Setup!$G$65+(Setup!$O$65+AT$1)*Setup!$M$65,EDATE(Setup!$G$65,(Setup!$O$65+AT$1)*Setup!$N$65))&lt;Setup!$D$5),"",IF(Setup!$M$65&gt;0,Setup!$G$65+(Setup!$O$65+AT$1)*Setup!$M$65,EDATE(Setup!$G$65,(Setup!$O$65+AT$1)*Setup!$N$65))+$A42/1000)))</f>
        <v/>
      </c>
      <c r="AU42">
        <f>IF(OR(Setup!$E$65="",Setup!$G$65="",Setup!$F$65=""),"",IF(AND(Setup!$F$65="Once",AU$1&gt;0),"",IF(OR(IF(Setup!$M$65&gt;0,Setup!$G$65+(Setup!$O$65+AU$1)*Setup!$M$65,EDATE(Setup!$G$65,(Setup!$O$65+AU$1)*Setup!$N$65))&gt;Setup!$P$65,IF(Setup!$M$65&gt;0,Setup!$G$65+(Setup!$O$65+AU$1)*Setup!$M$65,EDATE(Setup!$G$65,(Setup!$O$65+AU$1)*Setup!$N$65))&lt;Setup!$D$5),"",IF(Setup!$M$65&gt;0,Setup!$G$65+(Setup!$O$65+AU$1)*Setup!$M$65,EDATE(Setup!$G$65,(Setup!$O$65+AU$1)*Setup!$N$65))+$A42/1000)))</f>
        <v/>
      </c>
      <c r="AV42">
        <f>IF(OR(Setup!$E$65="",Setup!$G$65="",Setup!$F$65=""),"",IF(AND(Setup!$F$65="Once",AV$1&gt;0),"",IF(OR(IF(Setup!$M$65&gt;0,Setup!$G$65+(Setup!$O$65+AV$1)*Setup!$M$65,EDATE(Setup!$G$65,(Setup!$O$65+AV$1)*Setup!$N$65))&gt;Setup!$P$65,IF(Setup!$M$65&gt;0,Setup!$G$65+(Setup!$O$65+AV$1)*Setup!$M$65,EDATE(Setup!$G$65,(Setup!$O$65+AV$1)*Setup!$N$65))&lt;Setup!$D$5),"",IF(Setup!$M$65&gt;0,Setup!$G$65+(Setup!$O$65+AV$1)*Setup!$M$65,EDATE(Setup!$G$65,(Setup!$O$65+AV$1)*Setup!$N$65))+$A42/1000)))</f>
        <v/>
      </c>
      <c r="AW42">
        <f>IF(OR(Setup!$E$65="",Setup!$G$65="",Setup!$F$65=""),"",IF(AND(Setup!$F$65="Once",AW$1&gt;0),"",IF(OR(IF(Setup!$M$65&gt;0,Setup!$G$65+(Setup!$O$65+AW$1)*Setup!$M$65,EDATE(Setup!$G$65,(Setup!$O$65+AW$1)*Setup!$N$65))&gt;Setup!$P$65,IF(Setup!$M$65&gt;0,Setup!$G$65+(Setup!$O$65+AW$1)*Setup!$M$65,EDATE(Setup!$G$65,(Setup!$O$65+AW$1)*Setup!$N$65))&lt;Setup!$D$5),"",IF(Setup!$M$65&gt;0,Setup!$G$65+(Setup!$O$65+AW$1)*Setup!$M$65,EDATE(Setup!$G$65,(Setup!$O$65+AW$1)*Setup!$N$65))+$A42/1000)))</f>
        <v/>
      </c>
      <c r="AX42">
        <f>IF(OR(Setup!$E$65="",Setup!$G$65="",Setup!$F$65=""),"",IF(AND(Setup!$F$65="Once",AX$1&gt;0),"",IF(OR(IF(Setup!$M$65&gt;0,Setup!$G$65+(Setup!$O$65+AX$1)*Setup!$M$65,EDATE(Setup!$G$65,(Setup!$O$65+AX$1)*Setup!$N$65))&gt;Setup!$P$65,IF(Setup!$M$65&gt;0,Setup!$G$65+(Setup!$O$65+AX$1)*Setup!$M$65,EDATE(Setup!$G$65,(Setup!$O$65+AX$1)*Setup!$N$65))&lt;Setup!$D$5),"",IF(Setup!$M$65&gt;0,Setup!$G$65+(Setup!$O$65+AX$1)*Setup!$M$65,EDATE(Setup!$G$65,(Setup!$O$65+AX$1)*Setup!$N$65))+$A42/1000)))</f>
        <v/>
      </c>
      <c r="AY42">
        <f>IF(OR(Setup!$E$65="",Setup!$G$65="",Setup!$F$65=""),"",IF(AND(Setup!$F$65="Once",AY$1&gt;0),"",IF(OR(IF(Setup!$M$65&gt;0,Setup!$G$65+(Setup!$O$65+AY$1)*Setup!$M$65,EDATE(Setup!$G$65,(Setup!$O$65+AY$1)*Setup!$N$65))&gt;Setup!$P$65,IF(Setup!$M$65&gt;0,Setup!$G$65+(Setup!$O$65+AY$1)*Setup!$M$65,EDATE(Setup!$G$65,(Setup!$O$65+AY$1)*Setup!$N$65))&lt;Setup!$D$5),"",IF(Setup!$M$65&gt;0,Setup!$G$65+(Setup!$O$65+AY$1)*Setup!$M$65,EDATE(Setup!$G$65,(Setup!$O$65+AY$1)*Setup!$N$65))+$A42/1000)))</f>
        <v/>
      </c>
      <c r="AZ42">
        <f>IF(OR(Setup!$E$65="",Setup!$G$65="",Setup!$F$65=""),"",IF(AND(Setup!$F$65="Once",AZ$1&gt;0),"",IF(OR(IF(Setup!$M$65&gt;0,Setup!$G$65+(Setup!$O$65+AZ$1)*Setup!$M$65,EDATE(Setup!$G$65,(Setup!$O$65+AZ$1)*Setup!$N$65))&gt;Setup!$P$65,IF(Setup!$M$65&gt;0,Setup!$G$65+(Setup!$O$65+AZ$1)*Setup!$M$65,EDATE(Setup!$G$65,(Setup!$O$65+AZ$1)*Setup!$N$65))&lt;Setup!$D$5),"",IF(Setup!$M$65&gt;0,Setup!$G$65+(Setup!$O$65+AZ$1)*Setup!$M$65,EDATE(Setup!$G$65,(Setup!$O$65+AZ$1)*Setup!$N$65))+$A42/1000)))</f>
        <v/>
      </c>
      <c r="BA42">
        <f>IF(OR(Setup!$E$65="",Setup!$G$65="",Setup!$F$65=""),"",IF(AND(Setup!$F$65="Once",BA$1&gt;0),"",IF(OR(IF(Setup!$M$65&gt;0,Setup!$G$65+(Setup!$O$65+BA$1)*Setup!$M$65,EDATE(Setup!$G$65,(Setup!$O$65+BA$1)*Setup!$N$65))&gt;Setup!$P$65,IF(Setup!$M$65&gt;0,Setup!$G$65+(Setup!$O$65+BA$1)*Setup!$M$65,EDATE(Setup!$G$65,(Setup!$O$65+BA$1)*Setup!$N$65))&lt;Setup!$D$5),"",IF(Setup!$M$65&gt;0,Setup!$G$65+(Setup!$O$65+BA$1)*Setup!$M$65,EDATE(Setup!$G$65,(Setup!$O$65+BA$1)*Setup!$N$65))+$A42/1000)))</f>
        <v/>
      </c>
      <c r="BB42">
        <f>IF(OR(Setup!$E$65="",Setup!$G$65="",Setup!$F$65=""),"",IF(AND(Setup!$F$65="Once",BB$1&gt;0),"",IF(OR(IF(Setup!$M$65&gt;0,Setup!$G$65+(Setup!$O$65+BB$1)*Setup!$M$65,EDATE(Setup!$G$65,(Setup!$O$65+BB$1)*Setup!$N$65))&gt;Setup!$P$65,IF(Setup!$M$65&gt;0,Setup!$G$65+(Setup!$O$65+BB$1)*Setup!$M$65,EDATE(Setup!$G$65,(Setup!$O$65+BB$1)*Setup!$N$65))&lt;Setup!$D$5),"",IF(Setup!$M$65&gt;0,Setup!$G$65+(Setup!$O$65+BB$1)*Setup!$M$65,EDATE(Setup!$G$65,(Setup!$O$65+BB$1)*Setup!$N$65))+$A42/1000)))</f>
        <v/>
      </c>
    </row>
    <row r="43">
      <c r="A43" t="n">
        <v>42</v>
      </c>
      <c r="B43">
        <f>IF(OR(Setup!$E$66="",Setup!$G$66="",Setup!$F$66=""),"",IF(AND(Setup!$F$66="Once",B$1&gt;0),"",IF(OR(IF(Setup!$M$66&gt;0,Setup!$G$66+(Setup!$O$66+B$1)*Setup!$M$66,EDATE(Setup!$G$66,(Setup!$O$66+B$1)*Setup!$N$66))&gt;Setup!$P$66,IF(Setup!$M$66&gt;0,Setup!$G$66+(Setup!$O$66+B$1)*Setup!$M$66,EDATE(Setup!$G$66,(Setup!$O$66+B$1)*Setup!$N$66))&lt;Setup!$D$5),"",IF(Setup!$M$66&gt;0,Setup!$G$66+(Setup!$O$66+B$1)*Setup!$M$66,EDATE(Setup!$G$66,(Setup!$O$66+B$1)*Setup!$N$66))+$A43/1000)))</f>
        <v/>
      </c>
      <c r="C43">
        <f>IF(OR(Setup!$E$66="",Setup!$G$66="",Setup!$F$66=""),"",IF(AND(Setup!$F$66="Once",C$1&gt;0),"",IF(OR(IF(Setup!$M$66&gt;0,Setup!$G$66+(Setup!$O$66+C$1)*Setup!$M$66,EDATE(Setup!$G$66,(Setup!$O$66+C$1)*Setup!$N$66))&gt;Setup!$P$66,IF(Setup!$M$66&gt;0,Setup!$G$66+(Setup!$O$66+C$1)*Setup!$M$66,EDATE(Setup!$G$66,(Setup!$O$66+C$1)*Setup!$N$66))&lt;Setup!$D$5),"",IF(Setup!$M$66&gt;0,Setup!$G$66+(Setup!$O$66+C$1)*Setup!$M$66,EDATE(Setup!$G$66,(Setup!$O$66+C$1)*Setup!$N$66))+$A43/1000)))</f>
        <v/>
      </c>
      <c r="D43">
        <f>IF(OR(Setup!$E$66="",Setup!$G$66="",Setup!$F$66=""),"",IF(AND(Setup!$F$66="Once",D$1&gt;0),"",IF(OR(IF(Setup!$M$66&gt;0,Setup!$G$66+(Setup!$O$66+D$1)*Setup!$M$66,EDATE(Setup!$G$66,(Setup!$O$66+D$1)*Setup!$N$66))&gt;Setup!$P$66,IF(Setup!$M$66&gt;0,Setup!$G$66+(Setup!$O$66+D$1)*Setup!$M$66,EDATE(Setup!$G$66,(Setup!$O$66+D$1)*Setup!$N$66))&lt;Setup!$D$5),"",IF(Setup!$M$66&gt;0,Setup!$G$66+(Setup!$O$66+D$1)*Setup!$M$66,EDATE(Setup!$G$66,(Setup!$O$66+D$1)*Setup!$N$66))+$A43/1000)))</f>
        <v/>
      </c>
      <c r="E43">
        <f>IF(OR(Setup!$E$66="",Setup!$G$66="",Setup!$F$66=""),"",IF(AND(Setup!$F$66="Once",E$1&gt;0),"",IF(OR(IF(Setup!$M$66&gt;0,Setup!$G$66+(Setup!$O$66+E$1)*Setup!$M$66,EDATE(Setup!$G$66,(Setup!$O$66+E$1)*Setup!$N$66))&gt;Setup!$P$66,IF(Setup!$M$66&gt;0,Setup!$G$66+(Setup!$O$66+E$1)*Setup!$M$66,EDATE(Setup!$G$66,(Setup!$O$66+E$1)*Setup!$N$66))&lt;Setup!$D$5),"",IF(Setup!$M$66&gt;0,Setup!$G$66+(Setup!$O$66+E$1)*Setup!$M$66,EDATE(Setup!$G$66,(Setup!$O$66+E$1)*Setup!$N$66))+$A43/1000)))</f>
        <v/>
      </c>
      <c r="F43">
        <f>IF(OR(Setup!$E$66="",Setup!$G$66="",Setup!$F$66=""),"",IF(AND(Setup!$F$66="Once",F$1&gt;0),"",IF(OR(IF(Setup!$M$66&gt;0,Setup!$G$66+(Setup!$O$66+F$1)*Setup!$M$66,EDATE(Setup!$G$66,(Setup!$O$66+F$1)*Setup!$N$66))&gt;Setup!$P$66,IF(Setup!$M$66&gt;0,Setup!$G$66+(Setup!$O$66+F$1)*Setup!$M$66,EDATE(Setup!$G$66,(Setup!$O$66+F$1)*Setup!$N$66))&lt;Setup!$D$5),"",IF(Setup!$M$66&gt;0,Setup!$G$66+(Setup!$O$66+F$1)*Setup!$M$66,EDATE(Setup!$G$66,(Setup!$O$66+F$1)*Setup!$N$66))+$A43/1000)))</f>
        <v/>
      </c>
      <c r="G43">
        <f>IF(OR(Setup!$E$66="",Setup!$G$66="",Setup!$F$66=""),"",IF(AND(Setup!$F$66="Once",G$1&gt;0),"",IF(OR(IF(Setup!$M$66&gt;0,Setup!$G$66+(Setup!$O$66+G$1)*Setup!$M$66,EDATE(Setup!$G$66,(Setup!$O$66+G$1)*Setup!$N$66))&gt;Setup!$P$66,IF(Setup!$M$66&gt;0,Setup!$G$66+(Setup!$O$66+G$1)*Setup!$M$66,EDATE(Setup!$G$66,(Setup!$O$66+G$1)*Setup!$N$66))&lt;Setup!$D$5),"",IF(Setup!$M$66&gt;0,Setup!$G$66+(Setup!$O$66+G$1)*Setup!$M$66,EDATE(Setup!$G$66,(Setup!$O$66+G$1)*Setup!$N$66))+$A43/1000)))</f>
        <v/>
      </c>
      <c r="H43">
        <f>IF(OR(Setup!$E$66="",Setup!$G$66="",Setup!$F$66=""),"",IF(AND(Setup!$F$66="Once",H$1&gt;0),"",IF(OR(IF(Setup!$M$66&gt;0,Setup!$G$66+(Setup!$O$66+H$1)*Setup!$M$66,EDATE(Setup!$G$66,(Setup!$O$66+H$1)*Setup!$N$66))&gt;Setup!$P$66,IF(Setup!$M$66&gt;0,Setup!$G$66+(Setup!$O$66+H$1)*Setup!$M$66,EDATE(Setup!$G$66,(Setup!$O$66+H$1)*Setup!$N$66))&lt;Setup!$D$5),"",IF(Setup!$M$66&gt;0,Setup!$G$66+(Setup!$O$66+H$1)*Setup!$M$66,EDATE(Setup!$G$66,(Setup!$O$66+H$1)*Setup!$N$66))+$A43/1000)))</f>
        <v/>
      </c>
      <c r="I43">
        <f>IF(OR(Setup!$E$66="",Setup!$G$66="",Setup!$F$66=""),"",IF(AND(Setup!$F$66="Once",I$1&gt;0),"",IF(OR(IF(Setup!$M$66&gt;0,Setup!$G$66+(Setup!$O$66+I$1)*Setup!$M$66,EDATE(Setup!$G$66,(Setup!$O$66+I$1)*Setup!$N$66))&gt;Setup!$P$66,IF(Setup!$M$66&gt;0,Setup!$G$66+(Setup!$O$66+I$1)*Setup!$M$66,EDATE(Setup!$G$66,(Setup!$O$66+I$1)*Setup!$N$66))&lt;Setup!$D$5),"",IF(Setup!$M$66&gt;0,Setup!$G$66+(Setup!$O$66+I$1)*Setup!$M$66,EDATE(Setup!$G$66,(Setup!$O$66+I$1)*Setup!$N$66))+$A43/1000)))</f>
        <v/>
      </c>
      <c r="J43">
        <f>IF(OR(Setup!$E$66="",Setup!$G$66="",Setup!$F$66=""),"",IF(AND(Setup!$F$66="Once",J$1&gt;0),"",IF(OR(IF(Setup!$M$66&gt;0,Setup!$G$66+(Setup!$O$66+J$1)*Setup!$M$66,EDATE(Setup!$G$66,(Setup!$O$66+J$1)*Setup!$N$66))&gt;Setup!$P$66,IF(Setup!$M$66&gt;0,Setup!$G$66+(Setup!$O$66+J$1)*Setup!$M$66,EDATE(Setup!$G$66,(Setup!$O$66+J$1)*Setup!$N$66))&lt;Setup!$D$5),"",IF(Setup!$M$66&gt;0,Setup!$G$66+(Setup!$O$66+J$1)*Setup!$M$66,EDATE(Setup!$G$66,(Setup!$O$66+J$1)*Setup!$N$66))+$A43/1000)))</f>
        <v/>
      </c>
      <c r="K43">
        <f>IF(OR(Setup!$E$66="",Setup!$G$66="",Setup!$F$66=""),"",IF(AND(Setup!$F$66="Once",K$1&gt;0),"",IF(OR(IF(Setup!$M$66&gt;0,Setup!$G$66+(Setup!$O$66+K$1)*Setup!$M$66,EDATE(Setup!$G$66,(Setup!$O$66+K$1)*Setup!$N$66))&gt;Setup!$P$66,IF(Setup!$M$66&gt;0,Setup!$G$66+(Setup!$O$66+K$1)*Setup!$M$66,EDATE(Setup!$G$66,(Setup!$O$66+K$1)*Setup!$N$66))&lt;Setup!$D$5),"",IF(Setup!$M$66&gt;0,Setup!$G$66+(Setup!$O$66+K$1)*Setup!$M$66,EDATE(Setup!$G$66,(Setup!$O$66+K$1)*Setup!$N$66))+$A43/1000)))</f>
        <v/>
      </c>
      <c r="L43">
        <f>IF(OR(Setup!$E$66="",Setup!$G$66="",Setup!$F$66=""),"",IF(AND(Setup!$F$66="Once",L$1&gt;0),"",IF(OR(IF(Setup!$M$66&gt;0,Setup!$G$66+(Setup!$O$66+L$1)*Setup!$M$66,EDATE(Setup!$G$66,(Setup!$O$66+L$1)*Setup!$N$66))&gt;Setup!$P$66,IF(Setup!$M$66&gt;0,Setup!$G$66+(Setup!$O$66+L$1)*Setup!$M$66,EDATE(Setup!$G$66,(Setup!$O$66+L$1)*Setup!$N$66))&lt;Setup!$D$5),"",IF(Setup!$M$66&gt;0,Setup!$G$66+(Setup!$O$66+L$1)*Setup!$M$66,EDATE(Setup!$G$66,(Setup!$O$66+L$1)*Setup!$N$66))+$A43/1000)))</f>
        <v/>
      </c>
      <c r="M43">
        <f>IF(OR(Setup!$E$66="",Setup!$G$66="",Setup!$F$66=""),"",IF(AND(Setup!$F$66="Once",M$1&gt;0),"",IF(OR(IF(Setup!$M$66&gt;0,Setup!$G$66+(Setup!$O$66+M$1)*Setup!$M$66,EDATE(Setup!$G$66,(Setup!$O$66+M$1)*Setup!$N$66))&gt;Setup!$P$66,IF(Setup!$M$66&gt;0,Setup!$G$66+(Setup!$O$66+M$1)*Setup!$M$66,EDATE(Setup!$G$66,(Setup!$O$66+M$1)*Setup!$N$66))&lt;Setup!$D$5),"",IF(Setup!$M$66&gt;0,Setup!$G$66+(Setup!$O$66+M$1)*Setup!$M$66,EDATE(Setup!$G$66,(Setup!$O$66+M$1)*Setup!$N$66))+$A43/1000)))</f>
        <v/>
      </c>
      <c r="N43">
        <f>IF(OR(Setup!$E$66="",Setup!$G$66="",Setup!$F$66=""),"",IF(AND(Setup!$F$66="Once",N$1&gt;0),"",IF(OR(IF(Setup!$M$66&gt;0,Setup!$G$66+(Setup!$O$66+N$1)*Setup!$M$66,EDATE(Setup!$G$66,(Setup!$O$66+N$1)*Setup!$N$66))&gt;Setup!$P$66,IF(Setup!$M$66&gt;0,Setup!$G$66+(Setup!$O$66+N$1)*Setup!$M$66,EDATE(Setup!$G$66,(Setup!$O$66+N$1)*Setup!$N$66))&lt;Setup!$D$5),"",IF(Setup!$M$66&gt;0,Setup!$G$66+(Setup!$O$66+N$1)*Setup!$M$66,EDATE(Setup!$G$66,(Setup!$O$66+N$1)*Setup!$N$66))+$A43/1000)))</f>
        <v/>
      </c>
      <c r="O43">
        <f>IF(OR(Setup!$E$66="",Setup!$G$66="",Setup!$F$66=""),"",IF(AND(Setup!$F$66="Once",O$1&gt;0),"",IF(OR(IF(Setup!$M$66&gt;0,Setup!$G$66+(Setup!$O$66+O$1)*Setup!$M$66,EDATE(Setup!$G$66,(Setup!$O$66+O$1)*Setup!$N$66))&gt;Setup!$P$66,IF(Setup!$M$66&gt;0,Setup!$G$66+(Setup!$O$66+O$1)*Setup!$M$66,EDATE(Setup!$G$66,(Setup!$O$66+O$1)*Setup!$N$66))&lt;Setup!$D$5),"",IF(Setup!$M$66&gt;0,Setup!$G$66+(Setup!$O$66+O$1)*Setup!$M$66,EDATE(Setup!$G$66,(Setup!$O$66+O$1)*Setup!$N$66))+$A43/1000)))</f>
        <v/>
      </c>
      <c r="P43">
        <f>IF(OR(Setup!$E$66="",Setup!$G$66="",Setup!$F$66=""),"",IF(AND(Setup!$F$66="Once",P$1&gt;0),"",IF(OR(IF(Setup!$M$66&gt;0,Setup!$G$66+(Setup!$O$66+P$1)*Setup!$M$66,EDATE(Setup!$G$66,(Setup!$O$66+P$1)*Setup!$N$66))&gt;Setup!$P$66,IF(Setup!$M$66&gt;0,Setup!$G$66+(Setup!$O$66+P$1)*Setup!$M$66,EDATE(Setup!$G$66,(Setup!$O$66+P$1)*Setup!$N$66))&lt;Setup!$D$5),"",IF(Setup!$M$66&gt;0,Setup!$G$66+(Setup!$O$66+P$1)*Setup!$M$66,EDATE(Setup!$G$66,(Setup!$O$66+P$1)*Setup!$N$66))+$A43/1000)))</f>
        <v/>
      </c>
      <c r="Q43">
        <f>IF(OR(Setup!$E$66="",Setup!$G$66="",Setup!$F$66=""),"",IF(AND(Setup!$F$66="Once",Q$1&gt;0),"",IF(OR(IF(Setup!$M$66&gt;0,Setup!$G$66+(Setup!$O$66+Q$1)*Setup!$M$66,EDATE(Setup!$G$66,(Setup!$O$66+Q$1)*Setup!$N$66))&gt;Setup!$P$66,IF(Setup!$M$66&gt;0,Setup!$G$66+(Setup!$O$66+Q$1)*Setup!$M$66,EDATE(Setup!$G$66,(Setup!$O$66+Q$1)*Setup!$N$66))&lt;Setup!$D$5),"",IF(Setup!$M$66&gt;0,Setup!$G$66+(Setup!$O$66+Q$1)*Setup!$M$66,EDATE(Setup!$G$66,(Setup!$O$66+Q$1)*Setup!$N$66))+$A43/1000)))</f>
        <v/>
      </c>
      <c r="R43">
        <f>IF(OR(Setup!$E$66="",Setup!$G$66="",Setup!$F$66=""),"",IF(AND(Setup!$F$66="Once",R$1&gt;0),"",IF(OR(IF(Setup!$M$66&gt;0,Setup!$G$66+(Setup!$O$66+R$1)*Setup!$M$66,EDATE(Setup!$G$66,(Setup!$O$66+R$1)*Setup!$N$66))&gt;Setup!$P$66,IF(Setup!$M$66&gt;0,Setup!$G$66+(Setup!$O$66+R$1)*Setup!$M$66,EDATE(Setup!$G$66,(Setup!$O$66+R$1)*Setup!$N$66))&lt;Setup!$D$5),"",IF(Setup!$M$66&gt;0,Setup!$G$66+(Setup!$O$66+R$1)*Setup!$M$66,EDATE(Setup!$G$66,(Setup!$O$66+R$1)*Setup!$N$66))+$A43/1000)))</f>
        <v/>
      </c>
      <c r="S43">
        <f>IF(OR(Setup!$E$66="",Setup!$G$66="",Setup!$F$66=""),"",IF(AND(Setup!$F$66="Once",S$1&gt;0),"",IF(OR(IF(Setup!$M$66&gt;0,Setup!$G$66+(Setup!$O$66+S$1)*Setup!$M$66,EDATE(Setup!$G$66,(Setup!$O$66+S$1)*Setup!$N$66))&gt;Setup!$P$66,IF(Setup!$M$66&gt;0,Setup!$G$66+(Setup!$O$66+S$1)*Setup!$M$66,EDATE(Setup!$G$66,(Setup!$O$66+S$1)*Setup!$N$66))&lt;Setup!$D$5),"",IF(Setup!$M$66&gt;0,Setup!$G$66+(Setup!$O$66+S$1)*Setup!$M$66,EDATE(Setup!$G$66,(Setup!$O$66+S$1)*Setup!$N$66))+$A43/1000)))</f>
        <v/>
      </c>
      <c r="T43">
        <f>IF(OR(Setup!$E$66="",Setup!$G$66="",Setup!$F$66=""),"",IF(AND(Setup!$F$66="Once",T$1&gt;0),"",IF(OR(IF(Setup!$M$66&gt;0,Setup!$G$66+(Setup!$O$66+T$1)*Setup!$M$66,EDATE(Setup!$G$66,(Setup!$O$66+T$1)*Setup!$N$66))&gt;Setup!$P$66,IF(Setup!$M$66&gt;0,Setup!$G$66+(Setup!$O$66+T$1)*Setup!$M$66,EDATE(Setup!$G$66,(Setup!$O$66+T$1)*Setup!$N$66))&lt;Setup!$D$5),"",IF(Setup!$M$66&gt;0,Setup!$G$66+(Setup!$O$66+T$1)*Setup!$M$66,EDATE(Setup!$G$66,(Setup!$O$66+T$1)*Setup!$N$66))+$A43/1000)))</f>
        <v/>
      </c>
      <c r="U43">
        <f>IF(OR(Setup!$E$66="",Setup!$G$66="",Setup!$F$66=""),"",IF(AND(Setup!$F$66="Once",U$1&gt;0),"",IF(OR(IF(Setup!$M$66&gt;0,Setup!$G$66+(Setup!$O$66+U$1)*Setup!$M$66,EDATE(Setup!$G$66,(Setup!$O$66+U$1)*Setup!$N$66))&gt;Setup!$P$66,IF(Setup!$M$66&gt;0,Setup!$G$66+(Setup!$O$66+U$1)*Setup!$M$66,EDATE(Setup!$G$66,(Setup!$O$66+U$1)*Setup!$N$66))&lt;Setup!$D$5),"",IF(Setup!$M$66&gt;0,Setup!$G$66+(Setup!$O$66+U$1)*Setup!$M$66,EDATE(Setup!$G$66,(Setup!$O$66+U$1)*Setup!$N$66))+$A43/1000)))</f>
        <v/>
      </c>
      <c r="V43">
        <f>IF(OR(Setup!$E$66="",Setup!$G$66="",Setup!$F$66=""),"",IF(AND(Setup!$F$66="Once",V$1&gt;0),"",IF(OR(IF(Setup!$M$66&gt;0,Setup!$G$66+(Setup!$O$66+V$1)*Setup!$M$66,EDATE(Setup!$G$66,(Setup!$O$66+V$1)*Setup!$N$66))&gt;Setup!$P$66,IF(Setup!$M$66&gt;0,Setup!$G$66+(Setup!$O$66+V$1)*Setup!$M$66,EDATE(Setup!$G$66,(Setup!$O$66+V$1)*Setup!$N$66))&lt;Setup!$D$5),"",IF(Setup!$M$66&gt;0,Setup!$G$66+(Setup!$O$66+V$1)*Setup!$M$66,EDATE(Setup!$G$66,(Setup!$O$66+V$1)*Setup!$N$66))+$A43/1000)))</f>
        <v/>
      </c>
      <c r="W43">
        <f>IF(OR(Setup!$E$66="",Setup!$G$66="",Setup!$F$66=""),"",IF(AND(Setup!$F$66="Once",W$1&gt;0),"",IF(OR(IF(Setup!$M$66&gt;0,Setup!$G$66+(Setup!$O$66+W$1)*Setup!$M$66,EDATE(Setup!$G$66,(Setup!$O$66+W$1)*Setup!$N$66))&gt;Setup!$P$66,IF(Setup!$M$66&gt;0,Setup!$G$66+(Setup!$O$66+W$1)*Setup!$M$66,EDATE(Setup!$G$66,(Setup!$O$66+W$1)*Setup!$N$66))&lt;Setup!$D$5),"",IF(Setup!$M$66&gt;0,Setup!$G$66+(Setup!$O$66+W$1)*Setup!$M$66,EDATE(Setup!$G$66,(Setup!$O$66+W$1)*Setup!$N$66))+$A43/1000)))</f>
        <v/>
      </c>
      <c r="X43">
        <f>IF(OR(Setup!$E$66="",Setup!$G$66="",Setup!$F$66=""),"",IF(AND(Setup!$F$66="Once",X$1&gt;0),"",IF(OR(IF(Setup!$M$66&gt;0,Setup!$G$66+(Setup!$O$66+X$1)*Setup!$M$66,EDATE(Setup!$G$66,(Setup!$O$66+X$1)*Setup!$N$66))&gt;Setup!$P$66,IF(Setup!$M$66&gt;0,Setup!$G$66+(Setup!$O$66+X$1)*Setup!$M$66,EDATE(Setup!$G$66,(Setup!$O$66+X$1)*Setup!$N$66))&lt;Setup!$D$5),"",IF(Setup!$M$66&gt;0,Setup!$G$66+(Setup!$O$66+X$1)*Setup!$M$66,EDATE(Setup!$G$66,(Setup!$O$66+X$1)*Setup!$N$66))+$A43/1000)))</f>
        <v/>
      </c>
      <c r="Y43">
        <f>IF(OR(Setup!$E$66="",Setup!$G$66="",Setup!$F$66=""),"",IF(AND(Setup!$F$66="Once",Y$1&gt;0),"",IF(OR(IF(Setup!$M$66&gt;0,Setup!$G$66+(Setup!$O$66+Y$1)*Setup!$M$66,EDATE(Setup!$G$66,(Setup!$O$66+Y$1)*Setup!$N$66))&gt;Setup!$P$66,IF(Setup!$M$66&gt;0,Setup!$G$66+(Setup!$O$66+Y$1)*Setup!$M$66,EDATE(Setup!$G$66,(Setup!$O$66+Y$1)*Setup!$N$66))&lt;Setup!$D$5),"",IF(Setup!$M$66&gt;0,Setup!$G$66+(Setup!$O$66+Y$1)*Setup!$M$66,EDATE(Setup!$G$66,(Setup!$O$66+Y$1)*Setup!$N$66))+$A43/1000)))</f>
        <v/>
      </c>
      <c r="Z43">
        <f>IF(OR(Setup!$E$66="",Setup!$G$66="",Setup!$F$66=""),"",IF(AND(Setup!$F$66="Once",Z$1&gt;0),"",IF(OR(IF(Setup!$M$66&gt;0,Setup!$G$66+(Setup!$O$66+Z$1)*Setup!$M$66,EDATE(Setup!$G$66,(Setup!$O$66+Z$1)*Setup!$N$66))&gt;Setup!$P$66,IF(Setup!$M$66&gt;0,Setup!$G$66+(Setup!$O$66+Z$1)*Setup!$M$66,EDATE(Setup!$G$66,(Setup!$O$66+Z$1)*Setup!$N$66))&lt;Setup!$D$5),"",IF(Setup!$M$66&gt;0,Setup!$G$66+(Setup!$O$66+Z$1)*Setup!$M$66,EDATE(Setup!$G$66,(Setup!$O$66+Z$1)*Setup!$N$66))+$A43/1000)))</f>
        <v/>
      </c>
      <c r="AA43">
        <f>IF(OR(Setup!$E$66="",Setup!$G$66="",Setup!$F$66=""),"",IF(AND(Setup!$F$66="Once",AA$1&gt;0),"",IF(OR(IF(Setup!$M$66&gt;0,Setup!$G$66+(Setup!$O$66+AA$1)*Setup!$M$66,EDATE(Setup!$G$66,(Setup!$O$66+AA$1)*Setup!$N$66))&gt;Setup!$P$66,IF(Setup!$M$66&gt;0,Setup!$G$66+(Setup!$O$66+AA$1)*Setup!$M$66,EDATE(Setup!$G$66,(Setup!$O$66+AA$1)*Setup!$N$66))&lt;Setup!$D$5),"",IF(Setup!$M$66&gt;0,Setup!$G$66+(Setup!$O$66+AA$1)*Setup!$M$66,EDATE(Setup!$G$66,(Setup!$O$66+AA$1)*Setup!$N$66))+$A43/1000)))</f>
        <v/>
      </c>
      <c r="AB43">
        <f>IF(OR(Setup!$E$66="",Setup!$G$66="",Setup!$F$66=""),"",IF(AND(Setup!$F$66="Once",AB$1&gt;0),"",IF(OR(IF(Setup!$M$66&gt;0,Setup!$G$66+(Setup!$O$66+AB$1)*Setup!$M$66,EDATE(Setup!$G$66,(Setup!$O$66+AB$1)*Setup!$N$66))&gt;Setup!$P$66,IF(Setup!$M$66&gt;0,Setup!$G$66+(Setup!$O$66+AB$1)*Setup!$M$66,EDATE(Setup!$G$66,(Setup!$O$66+AB$1)*Setup!$N$66))&lt;Setup!$D$5),"",IF(Setup!$M$66&gt;0,Setup!$G$66+(Setup!$O$66+AB$1)*Setup!$M$66,EDATE(Setup!$G$66,(Setup!$O$66+AB$1)*Setup!$N$66))+$A43/1000)))</f>
        <v/>
      </c>
      <c r="AC43">
        <f>IF(OR(Setup!$E$66="",Setup!$G$66="",Setup!$F$66=""),"",IF(AND(Setup!$F$66="Once",AC$1&gt;0),"",IF(OR(IF(Setup!$M$66&gt;0,Setup!$G$66+(Setup!$O$66+AC$1)*Setup!$M$66,EDATE(Setup!$G$66,(Setup!$O$66+AC$1)*Setup!$N$66))&gt;Setup!$P$66,IF(Setup!$M$66&gt;0,Setup!$G$66+(Setup!$O$66+AC$1)*Setup!$M$66,EDATE(Setup!$G$66,(Setup!$O$66+AC$1)*Setup!$N$66))&lt;Setup!$D$5),"",IF(Setup!$M$66&gt;0,Setup!$G$66+(Setup!$O$66+AC$1)*Setup!$M$66,EDATE(Setup!$G$66,(Setup!$O$66+AC$1)*Setup!$N$66))+$A43/1000)))</f>
        <v/>
      </c>
      <c r="AD43">
        <f>IF(OR(Setup!$E$66="",Setup!$G$66="",Setup!$F$66=""),"",IF(AND(Setup!$F$66="Once",AD$1&gt;0),"",IF(OR(IF(Setup!$M$66&gt;0,Setup!$G$66+(Setup!$O$66+AD$1)*Setup!$M$66,EDATE(Setup!$G$66,(Setup!$O$66+AD$1)*Setup!$N$66))&gt;Setup!$P$66,IF(Setup!$M$66&gt;0,Setup!$G$66+(Setup!$O$66+AD$1)*Setup!$M$66,EDATE(Setup!$G$66,(Setup!$O$66+AD$1)*Setup!$N$66))&lt;Setup!$D$5),"",IF(Setup!$M$66&gt;0,Setup!$G$66+(Setup!$O$66+AD$1)*Setup!$M$66,EDATE(Setup!$G$66,(Setup!$O$66+AD$1)*Setup!$N$66))+$A43/1000)))</f>
        <v/>
      </c>
      <c r="AE43">
        <f>IF(OR(Setup!$E$66="",Setup!$G$66="",Setup!$F$66=""),"",IF(AND(Setup!$F$66="Once",AE$1&gt;0),"",IF(OR(IF(Setup!$M$66&gt;0,Setup!$G$66+(Setup!$O$66+AE$1)*Setup!$M$66,EDATE(Setup!$G$66,(Setup!$O$66+AE$1)*Setup!$N$66))&gt;Setup!$P$66,IF(Setup!$M$66&gt;0,Setup!$G$66+(Setup!$O$66+AE$1)*Setup!$M$66,EDATE(Setup!$G$66,(Setup!$O$66+AE$1)*Setup!$N$66))&lt;Setup!$D$5),"",IF(Setup!$M$66&gt;0,Setup!$G$66+(Setup!$O$66+AE$1)*Setup!$M$66,EDATE(Setup!$G$66,(Setup!$O$66+AE$1)*Setup!$N$66))+$A43/1000)))</f>
        <v/>
      </c>
      <c r="AF43">
        <f>IF(OR(Setup!$E$66="",Setup!$G$66="",Setup!$F$66=""),"",IF(AND(Setup!$F$66="Once",AF$1&gt;0),"",IF(OR(IF(Setup!$M$66&gt;0,Setup!$G$66+(Setup!$O$66+AF$1)*Setup!$M$66,EDATE(Setup!$G$66,(Setup!$O$66+AF$1)*Setup!$N$66))&gt;Setup!$P$66,IF(Setup!$M$66&gt;0,Setup!$G$66+(Setup!$O$66+AF$1)*Setup!$M$66,EDATE(Setup!$G$66,(Setup!$O$66+AF$1)*Setup!$N$66))&lt;Setup!$D$5),"",IF(Setup!$M$66&gt;0,Setup!$G$66+(Setup!$O$66+AF$1)*Setup!$M$66,EDATE(Setup!$G$66,(Setup!$O$66+AF$1)*Setup!$N$66))+$A43/1000)))</f>
        <v/>
      </c>
      <c r="AG43">
        <f>IF(OR(Setup!$E$66="",Setup!$G$66="",Setup!$F$66=""),"",IF(AND(Setup!$F$66="Once",AG$1&gt;0),"",IF(OR(IF(Setup!$M$66&gt;0,Setup!$G$66+(Setup!$O$66+AG$1)*Setup!$M$66,EDATE(Setup!$G$66,(Setup!$O$66+AG$1)*Setup!$N$66))&gt;Setup!$P$66,IF(Setup!$M$66&gt;0,Setup!$G$66+(Setup!$O$66+AG$1)*Setup!$M$66,EDATE(Setup!$G$66,(Setup!$O$66+AG$1)*Setup!$N$66))&lt;Setup!$D$5),"",IF(Setup!$M$66&gt;0,Setup!$G$66+(Setup!$O$66+AG$1)*Setup!$M$66,EDATE(Setup!$G$66,(Setup!$O$66+AG$1)*Setup!$N$66))+$A43/1000)))</f>
        <v/>
      </c>
      <c r="AH43">
        <f>IF(OR(Setup!$E$66="",Setup!$G$66="",Setup!$F$66=""),"",IF(AND(Setup!$F$66="Once",AH$1&gt;0),"",IF(OR(IF(Setup!$M$66&gt;0,Setup!$G$66+(Setup!$O$66+AH$1)*Setup!$M$66,EDATE(Setup!$G$66,(Setup!$O$66+AH$1)*Setup!$N$66))&gt;Setup!$P$66,IF(Setup!$M$66&gt;0,Setup!$G$66+(Setup!$O$66+AH$1)*Setup!$M$66,EDATE(Setup!$G$66,(Setup!$O$66+AH$1)*Setup!$N$66))&lt;Setup!$D$5),"",IF(Setup!$M$66&gt;0,Setup!$G$66+(Setup!$O$66+AH$1)*Setup!$M$66,EDATE(Setup!$G$66,(Setup!$O$66+AH$1)*Setup!$N$66))+$A43/1000)))</f>
        <v/>
      </c>
      <c r="AI43">
        <f>IF(OR(Setup!$E$66="",Setup!$G$66="",Setup!$F$66=""),"",IF(AND(Setup!$F$66="Once",AI$1&gt;0),"",IF(OR(IF(Setup!$M$66&gt;0,Setup!$G$66+(Setup!$O$66+AI$1)*Setup!$M$66,EDATE(Setup!$G$66,(Setup!$O$66+AI$1)*Setup!$N$66))&gt;Setup!$P$66,IF(Setup!$M$66&gt;0,Setup!$G$66+(Setup!$O$66+AI$1)*Setup!$M$66,EDATE(Setup!$G$66,(Setup!$O$66+AI$1)*Setup!$N$66))&lt;Setup!$D$5),"",IF(Setup!$M$66&gt;0,Setup!$G$66+(Setup!$O$66+AI$1)*Setup!$M$66,EDATE(Setup!$G$66,(Setup!$O$66+AI$1)*Setup!$N$66))+$A43/1000)))</f>
        <v/>
      </c>
      <c r="AJ43">
        <f>IF(OR(Setup!$E$66="",Setup!$G$66="",Setup!$F$66=""),"",IF(AND(Setup!$F$66="Once",AJ$1&gt;0),"",IF(OR(IF(Setup!$M$66&gt;0,Setup!$G$66+(Setup!$O$66+AJ$1)*Setup!$M$66,EDATE(Setup!$G$66,(Setup!$O$66+AJ$1)*Setup!$N$66))&gt;Setup!$P$66,IF(Setup!$M$66&gt;0,Setup!$G$66+(Setup!$O$66+AJ$1)*Setup!$M$66,EDATE(Setup!$G$66,(Setup!$O$66+AJ$1)*Setup!$N$66))&lt;Setup!$D$5),"",IF(Setup!$M$66&gt;0,Setup!$G$66+(Setup!$O$66+AJ$1)*Setup!$M$66,EDATE(Setup!$G$66,(Setup!$O$66+AJ$1)*Setup!$N$66))+$A43/1000)))</f>
        <v/>
      </c>
      <c r="AK43">
        <f>IF(OR(Setup!$E$66="",Setup!$G$66="",Setup!$F$66=""),"",IF(AND(Setup!$F$66="Once",AK$1&gt;0),"",IF(OR(IF(Setup!$M$66&gt;0,Setup!$G$66+(Setup!$O$66+AK$1)*Setup!$M$66,EDATE(Setup!$G$66,(Setup!$O$66+AK$1)*Setup!$N$66))&gt;Setup!$P$66,IF(Setup!$M$66&gt;0,Setup!$G$66+(Setup!$O$66+AK$1)*Setup!$M$66,EDATE(Setup!$G$66,(Setup!$O$66+AK$1)*Setup!$N$66))&lt;Setup!$D$5),"",IF(Setup!$M$66&gt;0,Setup!$G$66+(Setup!$O$66+AK$1)*Setup!$M$66,EDATE(Setup!$G$66,(Setup!$O$66+AK$1)*Setup!$N$66))+$A43/1000)))</f>
        <v/>
      </c>
      <c r="AL43">
        <f>IF(OR(Setup!$E$66="",Setup!$G$66="",Setup!$F$66=""),"",IF(AND(Setup!$F$66="Once",AL$1&gt;0),"",IF(OR(IF(Setup!$M$66&gt;0,Setup!$G$66+(Setup!$O$66+AL$1)*Setup!$M$66,EDATE(Setup!$G$66,(Setup!$O$66+AL$1)*Setup!$N$66))&gt;Setup!$P$66,IF(Setup!$M$66&gt;0,Setup!$G$66+(Setup!$O$66+AL$1)*Setup!$M$66,EDATE(Setup!$G$66,(Setup!$O$66+AL$1)*Setup!$N$66))&lt;Setup!$D$5),"",IF(Setup!$M$66&gt;0,Setup!$G$66+(Setup!$O$66+AL$1)*Setup!$M$66,EDATE(Setup!$G$66,(Setup!$O$66+AL$1)*Setup!$N$66))+$A43/1000)))</f>
        <v/>
      </c>
      <c r="AM43">
        <f>IF(OR(Setup!$E$66="",Setup!$G$66="",Setup!$F$66=""),"",IF(AND(Setup!$F$66="Once",AM$1&gt;0),"",IF(OR(IF(Setup!$M$66&gt;0,Setup!$G$66+(Setup!$O$66+AM$1)*Setup!$M$66,EDATE(Setup!$G$66,(Setup!$O$66+AM$1)*Setup!$N$66))&gt;Setup!$P$66,IF(Setup!$M$66&gt;0,Setup!$G$66+(Setup!$O$66+AM$1)*Setup!$M$66,EDATE(Setup!$G$66,(Setup!$O$66+AM$1)*Setup!$N$66))&lt;Setup!$D$5),"",IF(Setup!$M$66&gt;0,Setup!$G$66+(Setup!$O$66+AM$1)*Setup!$M$66,EDATE(Setup!$G$66,(Setup!$O$66+AM$1)*Setup!$N$66))+$A43/1000)))</f>
        <v/>
      </c>
      <c r="AN43">
        <f>IF(OR(Setup!$E$66="",Setup!$G$66="",Setup!$F$66=""),"",IF(AND(Setup!$F$66="Once",AN$1&gt;0),"",IF(OR(IF(Setup!$M$66&gt;0,Setup!$G$66+(Setup!$O$66+AN$1)*Setup!$M$66,EDATE(Setup!$G$66,(Setup!$O$66+AN$1)*Setup!$N$66))&gt;Setup!$P$66,IF(Setup!$M$66&gt;0,Setup!$G$66+(Setup!$O$66+AN$1)*Setup!$M$66,EDATE(Setup!$G$66,(Setup!$O$66+AN$1)*Setup!$N$66))&lt;Setup!$D$5),"",IF(Setup!$M$66&gt;0,Setup!$G$66+(Setup!$O$66+AN$1)*Setup!$M$66,EDATE(Setup!$G$66,(Setup!$O$66+AN$1)*Setup!$N$66))+$A43/1000)))</f>
        <v/>
      </c>
      <c r="AO43">
        <f>IF(OR(Setup!$E$66="",Setup!$G$66="",Setup!$F$66=""),"",IF(AND(Setup!$F$66="Once",AO$1&gt;0),"",IF(OR(IF(Setup!$M$66&gt;0,Setup!$G$66+(Setup!$O$66+AO$1)*Setup!$M$66,EDATE(Setup!$G$66,(Setup!$O$66+AO$1)*Setup!$N$66))&gt;Setup!$P$66,IF(Setup!$M$66&gt;0,Setup!$G$66+(Setup!$O$66+AO$1)*Setup!$M$66,EDATE(Setup!$G$66,(Setup!$O$66+AO$1)*Setup!$N$66))&lt;Setup!$D$5),"",IF(Setup!$M$66&gt;0,Setup!$G$66+(Setup!$O$66+AO$1)*Setup!$M$66,EDATE(Setup!$G$66,(Setup!$O$66+AO$1)*Setup!$N$66))+$A43/1000)))</f>
        <v/>
      </c>
      <c r="AP43">
        <f>IF(OR(Setup!$E$66="",Setup!$G$66="",Setup!$F$66=""),"",IF(AND(Setup!$F$66="Once",AP$1&gt;0),"",IF(OR(IF(Setup!$M$66&gt;0,Setup!$G$66+(Setup!$O$66+AP$1)*Setup!$M$66,EDATE(Setup!$G$66,(Setup!$O$66+AP$1)*Setup!$N$66))&gt;Setup!$P$66,IF(Setup!$M$66&gt;0,Setup!$G$66+(Setup!$O$66+AP$1)*Setup!$M$66,EDATE(Setup!$G$66,(Setup!$O$66+AP$1)*Setup!$N$66))&lt;Setup!$D$5),"",IF(Setup!$M$66&gt;0,Setup!$G$66+(Setup!$O$66+AP$1)*Setup!$M$66,EDATE(Setup!$G$66,(Setup!$O$66+AP$1)*Setup!$N$66))+$A43/1000)))</f>
        <v/>
      </c>
      <c r="AQ43">
        <f>IF(OR(Setup!$E$66="",Setup!$G$66="",Setup!$F$66=""),"",IF(AND(Setup!$F$66="Once",AQ$1&gt;0),"",IF(OR(IF(Setup!$M$66&gt;0,Setup!$G$66+(Setup!$O$66+AQ$1)*Setup!$M$66,EDATE(Setup!$G$66,(Setup!$O$66+AQ$1)*Setup!$N$66))&gt;Setup!$P$66,IF(Setup!$M$66&gt;0,Setup!$G$66+(Setup!$O$66+AQ$1)*Setup!$M$66,EDATE(Setup!$G$66,(Setup!$O$66+AQ$1)*Setup!$N$66))&lt;Setup!$D$5),"",IF(Setup!$M$66&gt;0,Setup!$G$66+(Setup!$O$66+AQ$1)*Setup!$M$66,EDATE(Setup!$G$66,(Setup!$O$66+AQ$1)*Setup!$N$66))+$A43/1000)))</f>
        <v/>
      </c>
      <c r="AR43">
        <f>IF(OR(Setup!$E$66="",Setup!$G$66="",Setup!$F$66=""),"",IF(AND(Setup!$F$66="Once",AR$1&gt;0),"",IF(OR(IF(Setup!$M$66&gt;0,Setup!$G$66+(Setup!$O$66+AR$1)*Setup!$M$66,EDATE(Setup!$G$66,(Setup!$O$66+AR$1)*Setup!$N$66))&gt;Setup!$P$66,IF(Setup!$M$66&gt;0,Setup!$G$66+(Setup!$O$66+AR$1)*Setup!$M$66,EDATE(Setup!$G$66,(Setup!$O$66+AR$1)*Setup!$N$66))&lt;Setup!$D$5),"",IF(Setup!$M$66&gt;0,Setup!$G$66+(Setup!$O$66+AR$1)*Setup!$M$66,EDATE(Setup!$G$66,(Setup!$O$66+AR$1)*Setup!$N$66))+$A43/1000)))</f>
        <v/>
      </c>
      <c r="AS43">
        <f>IF(OR(Setup!$E$66="",Setup!$G$66="",Setup!$F$66=""),"",IF(AND(Setup!$F$66="Once",AS$1&gt;0),"",IF(OR(IF(Setup!$M$66&gt;0,Setup!$G$66+(Setup!$O$66+AS$1)*Setup!$M$66,EDATE(Setup!$G$66,(Setup!$O$66+AS$1)*Setup!$N$66))&gt;Setup!$P$66,IF(Setup!$M$66&gt;0,Setup!$G$66+(Setup!$O$66+AS$1)*Setup!$M$66,EDATE(Setup!$G$66,(Setup!$O$66+AS$1)*Setup!$N$66))&lt;Setup!$D$5),"",IF(Setup!$M$66&gt;0,Setup!$G$66+(Setup!$O$66+AS$1)*Setup!$M$66,EDATE(Setup!$G$66,(Setup!$O$66+AS$1)*Setup!$N$66))+$A43/1000)))</f>
        <v/>
      </c>
      <c r="AT43">
        <f>IF(OR(Setup!$E$66="",Setup!$G$66="",Setup!$F$66=""),"",IF(AND(Setup!$F$66="Once",AT$1&gt;0),"",IF(OR(IF(Setup!$M$66&gt;0,Setup!$G$66+(Setup!$O$66+AT$1)*Setup!$M$66,EDATE(Setup!$G$66,(Setup!$O$66+AT$1)*Setup!$N$66))&gt;Setup!$P$66,IF(Setup!$M$66&gt;0,Setup!$G$66+(Setup!$O$66+AT$1)*Setup!$M$66,EDATE(Setup!$G$66,(Setup!$O$66+AT$1)*Setup!$N$66))&lt;Setup!$D$5),"",IF(Setup!$M$66&gt;0,Setup!$G$66+(Setup!$O$66+AT$1)*Setup!$M$66,EDATE(Setup!$G$66,(Setup!$O$66+AT$1)*Setup!$N$66))+$A43/1000)))</f>
        <v/>
      </c>
      <c r="AU43">
        <f>IF(OR(Setup!$E$66="",Setup!$G$66="",Setup!$F$66=""),"",IF(AND(Setup!$F$66="Once",AU$1&gt;0),"",IF(OR(IF(Setup!$M$66&gt;0,Setup!$G$66+(Setup!$O$66+AU$1)*Setup!$M$66,EDATE(Setup!$G$66,(Setup!$O$66+AU$1)*Setup!$N$66))&gt;Setup!$P$66,IF(Setup!$M$66&gt;0,Setup!$G$66+(Setup!$O$66+AU$1)*Setup!$M$66,EDATE(Setup!$G$66,(Setup!$O$66+AU$1)*Setup!$N$66))&lt;Setup!$D$5),"",IF(Setup!$M$66&gt;0,Setup!$G$66+(Setup!$O$66+AU$1)*Setup!$M$66,EDATE(Setup!$G$66,(Setup!$O$66+AU$1)*Setup!$N$66))+$A43/1000)))</f>
        <v/>
      </c>
      <c r="AV43">
        <f>IF(OR(Setup!$E$66="",Setup!$G$66="",Setup!$F$66=""),"",IF(AND(Setup!$F$66="Once",AV$1&gt;0),"",IF(OR(IF(Setup!$M$66&gt;0,Setup!$G$66+(Setup!$O$66+AV$1)*Setup!$M$66,EDATE(Setup!$G$66,(Setup!$O$66+AV$1)*Setup!$N$66))&gt;Setup!$P$66,IF(Setup!$M$66&gt;0,Setup!$G$66+(Setup!$O$66+AV$1)*Setup!$M$66,EDATE(Setup!$G$66,(Setup!$O$66+AV$1)*Setup!$N$66))&lt;Setup!$D$5),"",IF(Setup!$M$66&gt;0,Setup!$G$66+(Setup!$O$66+AV$1)*Setup!$M$66,EDATE(Setup!$G$66,(Setup!$O$66+AV$1)*Setup!$N$66))+$A43/1000)))</f>
        <v/>
      </c>
      <c r="AW43">
        <f>IF(OR(Setup!$E$66="",Setup!$G$66="",Setup!$F$66=""),"",IF(AND(Setup!$F$66="Once",AW$1&gt;0),"",IF(OR(IF(Setup!$M$66&gt;0,Setup!$G$66+(Setup!$O$66+AW$1)*Setup!$M$66,EDATE(Setup!$G$66,(Setup!$O$66+AW$1)*Setup!$N$66))&gt;Setup!$P$66,IF(Setup!$M$66&gt;0,Setup!$G$66+(Setup!$O$66+AW$1)*Setup!$M$66,EDATE(Setup!$G$66,(Setup!$O$66+AW$1)*Setup!$N$66))&lt;Setup!$D$5),"",IF(Setup!$M$66&gt;0,Setup!$G$66+(Setup!$O$66+AW$1)*Setup!$M$66,EDATE(Setup!$G$66,(Setup!$O$66+AW$1)*Setup!$N$66))+$A43/1000)))</f>
        <v/>
      </c>
      <c r="AX43">
        <f>IF(OR(Setup!$E$66="",Setup!$G$66="",Setup!$F$66=""),"",IF(AND(Setup!$F$66="Once",AX$1&gt;0),"",IF(OR(IF(Setup!$M$66&gt;0,Setup!$G$66+(Setup!$O$66+AX$1)*Setup!$M$66,EDATE(Setup!$G$66,(Setup!$O$66+AX$1)*Setup!$N$66))&gt;Setup!$P$66,IF(Setup!$M$66&gt;0,Setup!$G$66+(Setup!$O$66+AX$1)*Setup!$M$66,EDATE(Setup!$G$66,(Setup!$O$66+AX$1)*Setup!$N$66))&lt;Setup!$D$5),"",IF(Setup!$M$66&gt;0,Setup!$G$66+(Setup!$O$66+AX$1)*Setup!$M$66,EDATE(Setup!$G$66,(Setup!$O$66+AX$1)*Setup!$N$66))+$A43/1000)))</f>
        <v/>
      </c>
      <c r="AY43">
        <f>IF(OR(Setup!$E$66="",Setup!$G$66="",Setup!$F$66=""),"",IF(AND(Setup!$F$66="Once",AY$1&gt;0),"",IF(OR(IF(Setup!$M$66&gt;0,Setup!$G$66+(Setup!$O$66+AY$1)*Setup!$M$66,EDATE(Setup!$G$66,(Setup!$O$66+AY$1)*Setup!$N$66))&gt;Setup!$P$66,IF(Setup!$M$66&gt;0,Setup!$G$66+(Setup!$O$66+AY$1)*Setup!$M$66,EDATE(Setup!$G$66,(Setup!$O$66+AY$1)*Setup!$N$66))&lt;Setup!$D$5),"",IF(Setup!$M$66&gt;0,Setup!$G$66+(Setup!$O$66+AY$1)*Setup!$M$66,EDATE(Setup!$G$66,(Setup!$O$66+AY$1)*Setup!$N$66))+$A43/1000)))</f>
        <v/>
      </c>
      <c r="AZ43">
        <f>IF(OR(Setup!$E$66="",Setup!$G$66="",Setup!$F$66=""),"",IF(AND(Setup!$F$66="Once",AZ$1&gt;0),"",IF(OR(IF(Setup!$M$66&gt;0,Setup!$G$66+(Setup!$O$66+AZ$1)*Setup!$M$66,EDATE(Setup!$G$66,(Setup!$O$66+AZ$1)*Setup!$N$66))&gt;Setup!$P$66,IF(Setup!$M$66&gt;0,Setup!$G$66+(Setup!$O$66+AZ$1)*Setup!$M$66,EDATE(Setup!$G$66,(Setup!$O$66+AZ$1)*Setup!$N$66))&lt;Setup!$D$5),"",IF(Setup!$M$66&gt;0,Setup!$G$66+(Setup!$O$66+AZ$1)*Setup!$M$66,EDATE(Setup!$G$66,(Setup!$O$66+AZ$1)*Setup!$N$66))+$A43/1000)))</f>
        <v/>
      </c>
      <c r="BA43">
        <f>IF(OR(Setup!$E$66="",Setup!$G$66="",Setup!$F$66=""),"",IF(AND(Setup!$F$66="Once",BA$1&gt;0),"",IF(OR(IF(Setup!$M$66&gt;0,Setup!$G$66+(Setup!$O$66+BA$1)*Setup!$M$66,EDATE(Setup!$G$66,(Setup!$O$66+BA$1)*Setup!$N$66))&gt;Setup!$P$66,IF(Setup!$M$66&gt;0,Setup!$G$66+(Setup!$O$66+BA$1)*Setup!$M$66,EDATE(Setup!$G$66,(Setup!$O$66+BA$1)*Setup!$N$66))&lt;Setup!$D$5),"",IF(Setup!$M$66&gt;0,Setup!$G$66+(Setup!$O$66+BA$1)*Setup!$M$66,EDATE(Setup!$G$66,(Setup!$O$66+BA$1)*Setup!$N$66))+$A43/1000)))</f>
        <v/>
      </c>
      <c r="BB43">
        <f>IF(OR(Setup!$E$66="",Setup!$G$66="",Setup!$F$66=""),"",IF(AND(Setup!$F$66="Once",BB$1&gt;0),"",IF(OR(IF(Setup!$M$66&gt;0,Setup!$G$66+(Setup!$O$66+BB$1)*Setup!$M$66,EDATE(Setup!$G$66,(Setup!$O$66+BB$1)*Setup!$N$66))&gt;Setup!$P$66,IF(Setup!$M$66&gt;0,Setup!$G$66+(Setup!$O$66+BB$1)*Setup!$M$66,EDATE(Setup!$G$66,(Setup!$O$66+BB$1)*Setup!$N$66))&lt;Setup!$D$5),"",IF(Setup!$M$66&gt;0,Setup!$G$66+(Setup!$O$66+BB$1)*Setup!$M$66,EDATE(Setup!$G$66,(Setup!$O$66+BB$1)*Setup!$N$66))+$A43/1000)))</f>
        <v/>
      </c>
    </row>
    <row r="44">
      <c r="A44" t="n">
        <v>43</v>
      </c>
      <c r="B44">
        <f>IF(OR(Setup!$E$67="",Setup!$G$67="",Setup!$F$67=""),"",IF(AND(Setup!$F$67="Once",B$1&gt;0),"",IF(OR(IF(Setup!$M$67&gt;0,Setup!$G$67+(Setup!$O$67+B$1)*Setup!$M$67,EDATE(Setup!$G$67,(Setup!$O$67+B$1)*Setup!$N$67))&gt;Setup!$P$67,IF(Setup!$M$67&gt;0,Setup!$G$67+(Setup!$O$67+B$1)*Setup!$M$67,EDATE(Setup!$G$67,(Setup!$O$67+B$1)*Setup!$N$67))&lt;Setup!$D$5),"",IF(Setup!$M$67&gt;0,Setup!$G$67+(Setup!$O$67+B$1)*Setup!$M$67,EDATE(Setup!$G$67,(Setup!$O$67+B$1)*Setup!$N$67))+$A44/1000)))</f>
        <v/>
      </c>
      <c r="C44">
        <f>IF(OR(Setup!$E$67="",Setup!$G$67="",Setup!$F$67=""),"",IF(AND(Setup!$F$67="Once",C$1&gt;0),"",IF(OR(IF(Setup!$M$67&gt;0,Setup!$G$67+(Setup!$O$67+C$1)*Setup!$M$67,EDATE(Setup!$G$67,(Setup!$O$67+C$1)*Setup!$N$67))&gt;Setup!$P$67,IF(Setup!$M$67&gt;0,Setup!$G$67+(Setup!$O$67+C$1)*Setup!$M$67,EDATE(Setup!$G$67,(Setup!$O$67+C$1)*Setup!$N$67))&lt;Setup!$D$5),"",IF(Setup!$M$67&gt;0,Setup!$G$67+(Setup!$O$67+C$1)*Setup!$M$67,EDATE(Setup!$G$67,(Setup!$O$67+C$1)*Setup!$N$67))+$A44/1000)))</f>
        <v/>
      </c>
      <c r="D44">
        <f>IF(OR(Setup!$E$67="",Setup!$G$67="",Setup!$F$67=""),"",IF(AND(Setup!$F$67="Once",D$1&gt;0),"",IF(OR(IF(Setup!$M$67&gt;0,Setup!$G$67+(Setup!$O$67+D$1)*Setup!$M$67,EDATE(Setup!$G$67,(Setup!$O$67+D$1)*Setup!$N$67))&gt;Setup!$P$67,IF(Setup!$M$67&gt;0,Setup!$G$67+(Setup!$O$67+D$1)*Setup!$M$67,EDATE(Setup!$G$67,(Setup!$O$67+D$1)*Setup!$N$67))&lt;Setup!$D$5),"",IF(Setup!$M$67&gt;0,Setup!$G$67+(Setup!$O$67+D$1)*Setup!$M$67,EDATE(Setup!$G$67,(Setup!$O$67+D$1)*Setup!$N$67))+$A44/1000)))</f>
        <v/>
      </c>
      <c r="E44">
        <f>IF(OR(Setup!$E$67="",Setup!$G$67="",Setup!$F$67=""),"",IF(AND(Setup!$F$67="Once",E$1&gt;0),"",IF(OR(IF(Setup!$M$67&gt;0,Setup!$G$67+(Setup!$O$67+E$1)*Setup!$M$67,EDATE(Setup!$G$67,(Setup!$O$67+E$1)*Setup!$N$67))&gt;Setup!$P$67,IF(Setup!$M$67&gt;0,Setup!$G$67+(Setup!$O$67+E$1)*Setup!$M$67,EDATE(Setup!$G$67,(Setup!$O$67+E$1)*Setup!$N$67))&lt;Setup!$D$5),"",IF(Setup!$M$67&gt;0,Setup!$G$67+(Setup!$O$67+E$1)*Setup!$M$67,EDATE(Setup!$G$67,(Setup!$O$67+E$1)*Setup!$N$67))+$A44/1000)))</f>
        <v/>
      </c>
      <c r="F44">
        <f>IF(OR(Setup!$E$67="",Setup!$G$67="",Setup!$F$67=""),"",IF(AND(Setup!$F$67="Once",F$1&gt;0),"",IF(OR(IF(Setup!$M$67&gt;0,Setup!$G$67+(Setup!$O$67+F$1)*Setup!$M$67,EDATE(Setup!$G$67,(Setup!$O$67+F$1)*Setup!$N$67))&gt;Setup!$P$67,IF(Setup!$M$67&gt;0,Setup!$G$67+(Setup!$O$67+F$1)*Setup!$M$67,EDATE(Setup!$G$67,(Setup!$O$67+F$1)*Setup!$N$67))&lt;Setup!$D$5),"",IF(Setup!$M$67&gt;0,Setup!$G$67+(Setup!$O$67+F$1)*Setup!$M$67,EDATE(Setup!$G$67,(Setup!$O$67+F$1)*Setup!$N$67))+$A44/1000)))</f>
        <v/>
      </c>
      <c r="G44">
        <f>IF(OR(Setup!$E$67="",Setup!$G$67="",Setup!$F$67=""),"",IF(AND(Setup!$F$67="Once",G$1&gt;0),"",IF(OR(IF(Setup!$M$67&gt;0,Setup!$G$67+(Setup!$O$67+G$1)*Setup!$M$67,EDATE(Setup!$G$67,(Setup!$O$67+G$1)*Setup!$N$67))&gt;Setup!$P$67,IF(Setup!$M$67&gt;0,Setup!$G$67+(Setup!$O$67+G$1)*Setup!$M$67,EDATE(Setup!$G$67,(Setup!$O$67+G$1)*Setup!$N$67))&lt;Setup!$D$5),"",IF(Setup!$M$67&gt;0,Setup!$G$67+(Setup!$O$67+G$1)*Setup!$M$67,EDATE(Setup!$G$67,(Setup!$O$67+G$1)*Setup!$N$67))+$A44/1000)))</f>
        <v/>
      </c>
      <c r="H44">
        <f>IF(OR(Setup!$E$67="",Setup!$G$67="",Setup!$F$67=""),"",IF(AND(Setup!$F$67="Once",H$1&gt;0),"",IF(OR(IF(Setup!$M$67&gt;0,Setup!$G$67+(Setup!$O$67+H$1)*Setup!$M$67,EDATE(Setup!$G$67,(Setup!$O$67+H$1)*Setup!$N$67))&gt;Setup!$P$67,IF(Setup!$M$67&gt;0,Setup!$G$67+(Setup!$O$67+H$1)*Setup!$M$67,EDATE(Setup!$G$67,(Setup!$O$67+H$1)*Setup!$N$67))&lt;Setup!$D$5),"",IF(Setup!$M$67&gt;0,Setup!$G$67+(Setup!$O$67+H$1)*Setup!$M$67,EDATE(Setup!$G$67,(Setup!$O$67+H$1)*Setup!$N$67))+$A44/1000)))</f>
        <v/>
      </c>
      <c r="I44">
        <f>IF(OR(Setup!$E$67="",Setup!$G$67="",Setup!$F$67=""),"",IF(AND(Setup!$F$67="Once",I$1&gt;0),"",IF(OR(IF(Setup!$M$67&gt;0,Setup!$G$67+(Setup!$O$67+I$1)*Setup!$M$67,EDATE(Setup!$G$67,(Setup!$O$67+I$1)*Setup!$N$67))&gt;Setup!$P$67,IF(Setup!$M$67&gt;0,Setup!$G$67+(Setup!$O$67+I$1)*Setup!$M$67,EDATE(Setup!$G$67,(Setup!$O$67+I$1)*Setup!$N$67))&lt;Setup!$D$5),"",IF(Setup!$M$67&gt;0,Setup!$G$67+(Setup!$O$67+I$1)*Setup!$M$67,EDATE(Setup!$G$67,(Setup!$O$67+I$1)*Setup!$N$67))+$A44/1000)))</f>
        <v/>
      </c>
      <c r="J44">
        <f>IF(OR(Setup!$E$67="",Setup!$G$67="",Setup!$F$67=""),"",IF(AND(Setup!$F$67="Once",J$1&gt;0),"",IF(OR(IF(Setup!$M$67&gt;0,Setup!$G$67+(Setup!$O$67+J$1)*Setup!$M$67,EDATE(Setup!$G$67,(Setup!$O$67+J$1)*Setup!$N$67))&gt;Setup!$P$67,IF(Setup!$M$67&gt;0,Setup!$G$67+(Setup!$O$67+J$1)*Setup!$M$67,EDATE(Setup!$G$67,(Setup!$O$67+J$1)*Setup!$N$67))&lt;Setup!$D$5),"",IF(Setup!$M$67&gt;0,Setup!$G$67+(Setup!$O$67+J$1)*Setup!$M$67,EDATE(Setup!$G$67,(Setup!$O$67+J$1)*Setup!$N$67))+$A44/1000)))</f>
        <v/>
      </c>
      <c r="K44">
        <f>IF(OR(Setup!$E$67="",Setup!$G$67="",Setup!$F$67=""),"",IF(AND(Setup!$F$67="Once",K$1&gt;0),"",IF(OR(IF(Setup!$M$67&gt;0,Setup!$G$67+(Setup!$O$67+K$1)*Setup!$M$67,EDATE(Setup!$G$67,(Setup!$O$67+K$1)*Setup!$N$67))&gt;Setup!$P$67,IF(Setup!$M$67&gt;0,Setup!$G$67+(Setup!$O$67+K$1)*Setup!$M$67,EDATE(Setup!$G$67,(Setup!$O$67+K$1)*Setup!$N$67))&lt;Setup!$D$5),"",IF(Setup!$M$67&gt;0,Setup!$G$67+(Setup!$O$67+K$1)*Setup!$M$67,EDATE(Setup!$G$67,(Setup!$O$67+K$1)*Setup!$N$67))+$A44/1000)))</f>
        <v/>
      </c>
      <c r="L44">
        <f>IF(OR(Setup!$E$67="",Setup!$G$67="",Setup!$F$67=""),"",IF(AND(Setup!$F$67="Once",L$1&gt;0),"",IF(OR(IF(Setup!$M$67&gt;0,Setup!$G$67+(Setup!$O$67+L$1)*Setup!$M$67,EDATE(Setup!$G$67,(Setup!$O$67+L$1)*Setup!$N$67))&gt;Setup!$P$67,IF(Setup!$M$67&gt;0,Setup!$G$67+(Setup!$O$67+L$1)*Setup!$M$67,EDATE(Setup!$G$67,(Setup!$O$67+L$1)*Setup!$N$67))&lt;Setup!$D$5),"",IF(Setup!$M$67&gt;0,Setup!$G$67+(Setup!$O$67+L$1)*Setup!$M$67,EDATE(Setup!$G$67,(Setup!$O$67+L$1)*Setup!$N$67))+$A44/1000)))</f>
        <v/>
      </c>
      <c r="M44">
        <f>IF(OR(Setup!$E$67="",Setup!$G$67="",Setup!$F$67=""),"",IF(AND(Setup!$F$67="Once",M$1&gt;0),"",IF(OR(IF(Setup!$M$67&gt;0,Setup!$G$67+(Setup!$O$67+M$1)*Setup!$M$67,EDATE(Setup!$G$67,(Setup!$O$67+M$1)*Setup!$N$67))&gt;Setup!$P$67,IF(Setup!$M$67&gt;0,Setup!$G$67+(Setup!$O$67+M$1)*Setup!$M$67,EDATE(Setup!$G$67,(Setup!$O$67+M$1)*Setup!$N$67))&lt;Setup!$D$5),"",IF(Setup!$M$67&gt;0,Setup!$G$67+(Setup!$O$67+M$1)*Setup!$M$67,EDATE(Setup!$G$67,(Setup!$O$67+M$1)*Setup!$N$67))+$A44/1000)))</f>
        <v/>
      </c>
      <c r="N44">
        <f>IF(OR(Setup!$E$67="",Setup!$G$67="",Setup!$F$67=""),"",IF(AND(Setup!$F$67="Once",N$1&gt;0),"",IF(OR(IF(Setup!$M$67&gt;0,Setup!$G$67+(Setup!$O$67+N$1)*Setup!$M$67,EDATE(Setup!$G$67,(Setup!$O$67+N$1)*Setup!$N$67))&gt;Setup!$P$67,IF(Setup!$M$67&gt;0,Setup!$G$67+(Setup!$O$67+N$1)*Setup!$M$67,EDATE(Setup!$G$67,(Setup!$O$67+N$1)*Setup!$N$67))&lt;Setup!$D$5),"",IF(Setup!$M$67&gt;0,Setup!$G$67+(Setup!$O$67+N$1)*Setup!$M$67,EDATE(Setup!$G$67,(Setup!$O$67+N$1)*Setup!$N$67))+$A44/1000)))</f>
        <v/>
      </c>
      <c r="O44">
        <f>IF(OR(Setup!$E$67="",Setup!$G$67="",Setup!$F$67=""),"",IF(AND(Setup!$F$67="Once",O$1&gt;0),"",IF(OR(IF(Setup!$M$67&gt;0,Setup!$G$67+(Setup!$O$67+O$1)*Setup!$M$67,EDATE(Setup!$G$67,(Setup!$O$67+O$1)*Setup!$N$67))&gt;Setup!$P$67,IF(Setup!$M$67&gt;0,Setup!$G$67+(Setup!$O$67+O$1)*Setup!$M$67,EDATE(Setup!$G$67,(Setup!$O$67+O$1)*Setup!$N$67))&lt;Setup!$D$5),"",IF(Setup!$M$67&gt;0,Setup!$G$67+(Setup!$O$67+O$1)*Setup!$M$67,EDATE(Setup!$G$67,(Setup!$O$67+O$1)*Setup!$N$67))+$A44/1000)))</f>
        <v/>
      </c>
      <c r="P44">
        <f>IF(OR(Setup!$E$67="",Setup!$G$67="",Setup!$F$67=""),"",IF(AND(Setup!$F$67="Once",P$1&gt;0),"",IF(OR(IF(Setup!$M$67&gt;0,Setup!$G$67+(Setup!$O$67+P$1)*Setup!$M$67,EDATE(Setup!$G$67,(Setup!$O$67+P$1)*Setup!$N$67))&gt;Setup!$P$67,IF(Setup!$M$67&gt;0,Setup!$G$67+(Setup!$O$67+P$1)*Setup!$M$67,EDATE(Setup!$G$67,(Setup!$O$67+P$1)*Setup!$N$67))&lt;Setup!$D$5),"",IF(Setup!$M$67&gt;0,Setup!$G$67+(Setup!$O$67+P$1)*Setup!$M$67,EDATE(Setup!$G$67,(Setup!$O$67+P$1)*Setup!$N$67))+$A44/1000)))</f>
        <v/>
      </c>
      <c r="Q44">
        <f>IF(OR(Setup!$E$67="",Setup!$G$67="",Setup!$F$67=""),"",IF(AND(Setup!$F$67="Once",Q$1&gt;0),"",IF(OR(IF(Setup!$M$67&gt;0,Setup!$G$67+(Setup!$O$67+Q$1)*Setup!$M$67,EDATE(Setup!$G$67,(Setup!$O$67+Q$1)*Setup!$N$67))&gt;Setup!$P$67,IF(Setup!$M$67&gt;0,Setup!$G$67+(Setup!$O$67+Q$1)*Setup!$M$67,EDATE(Setup!$G$67,(Setup!$O$67+Q$1)*Setup!$N$67))&lt;Setup!$D$5),"",IF(Setup!$M$67&gt;0,Setup!$G$67+(Setup!$O$67+Q$1)*Setup!$M$67,EDATE(Setup!$G$67,(Setup!$O$67+Q$1)*Setup!$N$67))+$A44/1000)))</f>
        <v/>
      </c>
      <c r="R44">
        <f>IF(OR(Setup!$E$67="",Setup!$G$67="",Setup!$F$67=""),"",IF(AND(Setup!$F$67="Once",R$1&gt;0),"",IF(OR(IF(Setup!$M$67&gt;0,Setup!$G$67+(Setup!$O$67+R$1)*Setup!$M$67,EDATE(Setup!$G$67,(Setup!$O$67+R$1)*Setup!$N$67))&gt;Setup!$P$67,IF(Setup!$M$67&gt;0,Setup!$G$67+(Setup!$O$67+R$1)*Setup!$M$67,EDATE(Setup!$G$67,(Setup!$O$67+R$1)*Setup!$N$67))&lt;Setup!$D$5),"",IF(Setup!$M$67&gt;0,Setup!$G$67+(Setup!$O$67+R$1)*Setup!$M$67,EDATE(Setup!$G$67,(Setup!$O$67+R$1)*Setup!$N$67))+$A44/1000)))</f>
        <v/>
      </c>
      <c r="S44">
        <f>IF(OR(Setup!$E$67="",Setup!$G$67="",Setup!$F$67=""),"",IF(AND(Setup!$F$67="Once",S$1&gt;0),"",IF(OR(IF(Setup!$M$67&gt;0,Setup!$G$67+(Setup!$O$67+S$1)*Setup!$M$67,EDATE(Setup!$G$67,(Setup!$O$67+S$1)*Setup!$N$67))&gt;Setup!$P$67,IF(Setup!$M$67&gt;0,Setup!$G$67+(Setup!$O$67+S$1)*Setup!$M$67,EDATE(Setup!$G$67,(Setup!$O$67+S$1)*Setup!$N$67))&lt;Setup!$D$5),"",IF(Setup!$M$67&gt;0,Setup!$G$67+(Setup!$O$67+S$1)*Setup!$M$67,EDATE(Setup!$G$67,(Setup!$O$67+S$1)*Setup!$N$67))+$A44/1000)))</f>
        <v/>
      </c>
      <c r="T44">
        <f>IF(OR(Setup!$E$67="",Setup!$G$67="",Setup!$F$67=""),"",IF(AND(Setup!$F$67="Once",T$1&gt;0),"",IF(OR(IF(Setup!$M$67&gt;0,Setup!$G$67+(Setup!$O$67+T$1)*Setup!$M$67,EDATE(Setup!$G$67,(Setup!$O$67+T$1)*Setup!$N$67))&gt;Setup!$P$67,IF(Setup!$M$67&gt;0,Setup!$G$67+(Setup!$O$67+T$1)*Setup!$M$67,EDATE(Setup!$G$67,(Setup!$O$67+T$1)*Setup!$N$67))&lt;Setup!$D$5),"",IF(Setup!$M$67&gt;0,Setup!$G$67+(Setup!$O$67+T$1)*Setup!$M$67,EDATE(Setup!$G$67,(Setup!$O$67+T$1)*Setup!$N$67))+$A44/1000)))</f>
        <v/>
      </c>
      <c r="U44">
        <f>IF(OR(Setup!$E$67="",Setup!$G$67="",Setup!$F$67=""),"",IF(AND(Setup!$F$67="Once",U$1&gt;0),"",IF(OR(IF(Setup!$M$67&gt;0,Setup!$G$67+(Setup!$O$67+U$1)*Setup!$M$67,EDATE(Setup!$G$67,(Setup!$O$67+U$1)*Setup!$N$67))&gt;Setup!$P$67,IF(Setup!$M$67&gt;0,Setup!$G$67+(Setup!$O$67+U$1)*Setup!$M$67,EDATE(Setup!$G$67,(Setup!$O$67+U$1)*Setup!$N$67))&lt;Setup!$D$5),"",IF(Setup!$M$67&gt;0,Setup!$G$67+(Setup!$O$67+U$1)*Setup!$M$67,EDATE(Setup!$G$67,(Setup!$O$67+U$1)*Setup!$N$67))+$A44/1000)))</f>
        <v/>
      </c>
      <c r="V44">
        <f>IF(OR(Setup!$E$67="",Setup!$G$67="",Setup!$F$67=""),"",IF(AND(Setup!$F$67="Once",V$1&gt;0),"",IF(OR(IF(Setup!$M$67&gt;0,Setup!$G$67+(Setup!$O$67+V$1)*Setup!$M$67,EDATE(Setup!$G$67,(Setup!$O$67+V$1)*Setup!$N$67))&gt;Setup!$P$67,IF(Setup!$M$67&gt;0,Setup!$G$67+(Setup!$O$67+V$1)*Setup!$M$67,EDATE(Setup!$G$67,(Setup!$O$67+V$1)*Setup!$N$67))&lt;Setup!$D$5),"",IF(Setup!$M$67&gt;0,Setup!$G$67+(Setup!$O$67+V$1)*Setup!$M$67,EDATE(Setup!$G$67,(Setup!$O$67+V$1)*Setup!$N$67))+$A44/1000)))</f>
        <v/>
      </c>
      <c r="W44">
        <f>IF(OR(Setup!$E$67="",Setup!$G$67="",Setup!$F$67=""),"",IF(AND(Setup!$F$67="Once",W$1&gt;0),"",IF(OR(IF(Setup!$M$67&gt;0,Setup!$G$67+(Setup!$O$67+W$1)*Setup!$M$67,EDATE(Setup!$G$67,(Setup!$O$67+W$1)*Setup!$N$67))&gt;Setup!$P$67,IF(Setup!$M$67&gt;0,Setup!$G$67+(Setup!$O$67+W$1)*Setup!$M$67,EDATE(Setup!$G$67,(Setup!$O$67+W$1)*Setup!$N$67))&lt;Setup!$D$5),"",IF(Setup!$M$67&gt;0,Setup!$G$67+(Setup!$O$67+W$1)*Setup!$M$67,EDATE(Setup!$G$67,(Setup!$O$67+W$1)*Setup!$N$67))+$A44/1000)))</f>
        <v/>
      </c>
      <c r="X44">
        <f>IF(OR(Setup!$E$67="",Setup!$G$67="",Setup!$F$67=""),"",IF(AND(Setup!$F$67="Once",X$1&gt;0),"",IF(OR(IF(Setup!$M$67&gt;0,Setup!$G$67+(Setup!$O$67+X$1)*Setup!$M$67,EDATE(Setup!$G$67,(Setup!$O$67+X$1)*Setup!$N$67))&gt;Setup!$P$67,IF(Setup!$M$67&gt;0,Setup!$G$67+(Setup!$O$67+X$1)*Setup!$M$67,EDATE(Setup!$G$67,(Setup!$O$67+X$1)*Setup!$N$67))&lt;Setup!$D$5),"",IF(Setup!$M$67&gt;0,Setup!$G$67+(Setup!$O$67+X$1)*Setup!$M$67,EDATE(Setup!$G$67,(Setup!$O$67+X$1)*Setup!$N$67))+$A44/1000)))</f>
        <v/>
      </c>
      <c r="Y44">
        <f>IF(OR(Setup!$E$67="",Setup!$G$67="",Setup!$F$67=""),"",IF(AND(Setup!$F$67="Once",Y$1&gt;0),"",IF(OR(IF(Setup!$M$67&gt;0,Setup!$G$67+(Setup!$O$67+Y$1)*Setup!$M$67,EDATE(Setup!$G$67,(Setup!$O$67+Y$1)*Setup!$N$67))&gt;Setup!$P$67,IF(Setup!$M$67&gt;0,Setup!$G$67+(Setup!$O$67+Y$1)*Setup!$M$67,EDATE(Setup!$G$67,(Setup!$O$67+Y$1)*Setup!$N$67))&lt;Setup!$D$5),"",IF(Setup!$M$67&gt;0,Setup!$G$67+(Setup!$O$67+Y$1)*Setup!$M$67,EDATE(Setup!$G$67,(Setup!$O$67+Y$1)*Setup!$N$67))+$A44/1000)))</f>
        <v/>
      </c>
      <c r="Z44">
        <f>IF(OR(Setup!$E$67="",Setup!$G$67="",Setup!$F$67=""),"",IF(AND(Setup!$F$67="Once",Z$1&gt;0),"",IF(OR(IF(Setup!$M$67&gt;0,Setup!$G$67+(Setup!$O$67+Z$1)*Setup!$M$67,EDATE(Setup!$G$67,(Setup!$O$67+Z$1)*Setup!$N$67))&gt;Setup!$P$67,IF(Setup!$M$67&gt;0,Setup!$G$67+(Setup!$O$67+Z$1)*Setup!$M$67,EDATE(Setup!$G$67,(Setup!$O$67+Z$1)*Setup!$N$67))&lt;Setup!$D$5),"",IF(Setup!$M$67&gt;0,Setup!$G$67+(Setup!$O$67+Z$1)*Setup!$M$67,EDATE(Setup!$G$67,(Setup!$O$67+Z$1)*Setup!$N$67))+$A44/1000)))</f>
        <v/>
      </c>
      <c r="AA44">
        <f>IF(OR(Setup!$E$67="",Setup!$G$67="",Setup!$F$67=""),"",IF(AND(Setup!$F$67="Once",AA$1&gt;0),"",IF(OR(IF(Setup!$M$67&gt;0,Setup!$G$67+(Setup!$O$67+AA$1)*Setup!$M$67,EDATE(Setup!$G$67,(Setup!$O$67+AA$1)*Setup!$N$67))&gt;Setup!$P$67,IF(Setup!$M$67&gt;0,Setup!$G$67+(Setup!$O$67+AA$1)*Setup!$M$67,EDATE(Setup!$G$67,(Setup!$O$67+AA$1)*Setup!$N$67))&lt;Setup!$D$5),"",IF(Setup!$M$67&gt;0,Setup!$G$67+(Setup!$O$67+AA$1)*Setup!$M$67,EDATE(Setup!$G$67,(Setup!$O$67+AA$1)*Setup!$N$67))+$A44/1000)))</f>
        <v/>
      </c>
      <c r="AB44">
        <f>IF(OR(Setup!$E$67="",Setup!$G$67="",Setup!$F$67=""),"",IF(AND(Setup!$F$67="Once",AB$1&gt;0),"",IF(OR(IF(Setup!$M$67&gt;0,Setup!$G$67+(Setup!$O$67+AB$1)*Setup!$M$67,EDATE(Setup!$G$67,(Setup!$O$67+AB$1)*Setup!$N$67))&gt;Setup!$P$67,IF(Setup!$M$67&gt;0,Setup!$G$67+(Setup!$O$67+AB$1)*Setup!$M$67,EDATE(Setup!$G$67,(Setup!$O$67+AB$1)*Setup!$N$67))&lt;Setup!$D$5),"",IF(Setup!$M$67&gt;0,Setup!$G$67+(Setup!$O$67+AB$1)*Setup!$M$67,EDATE(Setup!$G$67,(Setup!$O$67+AB$1)*Setup!$N$67))+$A44/1000)))</f>
        <v/>
      </c>
      <c r="AC44">
        <f>IF(OR(Setup!$E$67="",Setup!$G$67="",Setup!$F$67=""),"",IF(AND(Setup!$F$67="Once",AC$1&gt;0),"",IF(OR(IF(Setup!$M$67&gt;0,Setup!$G$67+(Setup!$O$67+AC$1)*Setup!$M$67,EDATE(Setup!$G$67,(Setup!$O$67+AC$1)*Setup!$N$67))&gt;Setup!$P$67,IF(Setup!$M$67&gt;0,Setup!$G$67+(Setup!$O$67+AC$1)*Setup!$M$67,EDATE(Setup!$G$67,(Setup!$O$67+AC$1)*Setup!$N$67))&lt;Setup!$D$5),"",IF(Setup!$M$67&gt;0,Setup!$G$67+(Setup!$O$67+AC$1)*Setup!$M$67,EDATE(Setup!$G$67,(Setup!$O$67+AC$1)*Setup!$N$67))+$A44/1000)))</f>
        <v/>
      </c>
      <c r="AD44">
        <f>IF(OR(Setup!$E$67="",Setup!$G$67="",Setup!$F$67=""),"",IF(AND(Setup!$F$67="Once",AD$1&gt;0),"",IF(OR(IF(Setup!$M$67&gt;0,Setup!$G$67+(Setup!$O$67+AD$1)*Setup!$M$67,EDATE(Setup!$G$67,(Setup!$O$67+AD$1)*Setup!$N$67))&gt;Setup!$P$67,IF(Setup!$M$67&gt;0,Setup!$G$67+(Setup!$O$67+AD$1)*Setup!$M$67,EDATE(Setup!$G$67,(Setup!$O$67+AD$1)*Setup!$N$67))&lt;Setup!$D$5),"",IF(Setup!$M$67&gt;0,Setup!$G$67+(Setup!$O$67+AD$1)*Setup!$M$67,EDATE(Setup!$G$67,(Setup!$O$67+AD$1)*Setup!$N$67))+$A44/1000)))</f>
        <v/>
      </c>
      <c r="AE44">
        <f>IF(OR(Setup!$E$67="",Setup!$G$67="",Setup!$F$67=""),"",IF(AND(Setup!$F$67="Once",AE$1&gt;0),"",IF(OR(IF(Setup!$M$67&gt;0,Setup!$G$67+(Setup!$O$67+AE$1)*Setup!$M$67,EDATE(Setup!$G$67,(Setup!$O$67+AE$1)*Setup!$N$67))&gt;Setup!$P$67,IF(Setup!$M$67&gt;0,Setup!$G$67+(Setup!$O$67+AE$1)*Setup!$M$67,EDATE(Setup!$G$67,(Setup!$O$67+AE$1)*Setup!$N$67))&lt;Setup!$D$5),"",IF(Setup!$M$67&gt;0,Setup!$G$67+(Setup!$O$67+AE$1)*Setup!$M$67,EDATE(Setup!$G$67,(Setup!$O$67+AE$1)*Setup!$N$67))+$A44/1000)))</f>
        <v/>
      </c>
      <c r="AF44">
        <f>IF(OR(Setup!$E$67="",Setup!$G$67="",Setup!$F$67=""),"",IF(AND(Setup!$F$67="Once",AF$1&gt;0),"",IF(OR(IF(Setup!$M$67&gt;0,Setup!$G$67+(Setup!$O$67+AF$1)*Setup!$M$67,EDATE(Setup!$G$67,(Setup!$O$67+AF$1)*Setup!$N$67))&gt;Setup!$P$67,IF(Setup!$M$67&gt;0,Setup!$G$67+(Setup!$O$67+AF$1)*Setup!$M$67,EDATE(Setup!$G$67,(Setup!$O$67+AF$1)*Setup!$N$67))&lt;Setup!$D$5),"",IF(Setup!$M$67&gt;0,Setup!$G$67+(Setup!$O$67+AF$1)*Setup!$M$67,EDATE(Setup!$G$67,(Setup!$O$67+AF$1)*Setup!$N$67))+$A44/1000)))</f>
        <v/>
      </c>
      <c r="AG44">
        <f>IF(OR(Setup!$E$67="",Setup!$G$67="",Setup!$F$67=""),"",IF(AND(Setup!$F$67="Once",AG$1&gt;0),"",IF(OR(IF(Setup!$M$67&gt;0,Setup!$G$67+(Setup!$O$67+AG$1)*Setup!$M$67,EDATE(Setup!$G$67,(Setup!$O$67+AG$1)*Setup!$N$67))&gt;Setup!$P$67,IF(Setup!$M$67&gt;0,Setup!$G$67+(Setup!$O$67+AG$1)*Setup!$M$67,EDATE(Setup!$G$67,(Setup!$O$67+AG$1)*Setup!$N$67))&lt;Setup!$D$5),"",IF(Setup!$M$67&gt;0,Setup!$G$67+(Setup!$O$67+AG$1)*Setup!$M$67,EDATE(Setup!$G$67,(Setup!$O$67+AG$1)*Setup!$N$67))+$A44/1000)))</f>
        <v/>
      </c>
      <c r="AH44">
        <f>IF(OR(Setup!$E$67="",Setup!$G$67="",Setup!$F$67=""),"",IF(AND(Setup!$F$67="Once",AH$1&gt;0),"",IF(OR(IF(Setup!$M$67&gt;0,Setup!$G$67+(Setup!$O$67+AH$1)*Setup!$M$67,EDATE(Setup!$G$67,(Setup!$O$67+AH$1)*Setup!$N$67))&gt;Setup!$P$67,IF(Setup!$M$67&gt;0,Setup!$G$67+(Setup!$O$67+AH$1)*Setup!$M$67,EDATE(Setup!$G$67,(Setup!$O$67+AH$1)*Setup!$N$67))&lt;Setup!$D$5),"",IF(Setup!$M$67&gt;0,Setup!$G$67+(Setup!$O$67+AH$1)*Setup!$M$67,EDATE(Setup!$G$67,(Setup!$O$67+AH$1)*Setup!$N$67))+$A44/1000)))</f>
        <v/>
      </c>
      <c r="AI44">
        <f>IF(OR(Setup!$E$67="",Setup!$G$67="",Setup!$F$67=""),"",IF(AND(Setup!$F$67="Once",AI$1&gt;0),"",IF(OR(IF(Setup!$M$67&gt;0,Setup!$G$67+(Setup!$O$67+AI$1)*Setup!$M$67,EDATE(Setup!$G$67,(Setup!$O$67+AI$1)*Setup!$N$67))&gt;Setup!$P$67,IF(Setup!$M$67&gt;0,Setup!$G$67+(Setup!$O$67+AI$1)*Setup!$M$67,EDATE(Setup!$G$67,(Setup!$O$67+AI$1)*Setup!$N$67))&lt;Setup!$D$5),"",IF(Setup!$M$67&gt;0,Setup!$G$67+(Setup!$O$67+AI$1)*Setup!$M$67,EDATE(Setup!$G$67,(Setup!$O$67+AI$1)*Setup!$N$67))+$A44/1000)))</f>
        <v/>
      </c>
      <c r="AJ44">
        <f>IF(OR(Setup!$E$67="",Setup!$G$67="",Setup!$F$67=""),"",IF(AND(Setup!$F$67="Once",AJ$1&gt;0),"",IF(OR(IF(Setup!$M$67&gt;0,Setup!$G$67+(Setup!$O$67+AJ$1)*Setup!$M$67,EDATE(Setup!$G$67,(Setup!$O$67+AJ$1)*Setup!$N$67))&gt;Setup!$P$67,IF(Setup!$M$67&gt;0,Setup!$G$67+(Setup!$O$67+AJ$1)*Setup!$M$67,EDATE(Setup!$G$67,(Setup!$O$67+AJ$1)*Setup!$N$67))&lt;Setup!$D$5),"",IF(Setup!$M$67&gt;0,Setup!$G$67+(Setup!$O$67+AJ$1)*Setup!$M$67,EDATE(Setup!$G$67,(Setup!$O$67+AJ$1)*Setup!$N$67))+$A44/1000)))</f>
        <v/>
      </c>
      <c r="AK44">
        <f>IF(OR(Setup!$E$67="",Setup!$G$67="",Setup!$F$67=""),"",IF(AND(Setup!$F$67="Once",AK$1&gt;0),"",IF(OR(IF(Setup!$M$67&gt;0,Setup!$G$67+(Setup!$O$67+AK$1)*Setup!$M$67,EDATE(Setup!$G$67,(Setup!$O$67+AK$1)*Setup!$N$67))&gt;Setup!$P$67,IF(Setup!$M$67&gt;0,Setup!$G$67+(Setup!$O$67+AK$1)*Setup!$M$67,EDATE(Setup!$G$67,(Setup!$O$67+AK$1)*Setup!$N$67))&lt;Setup!$D$5),"",IF(Setup!$M$67&gt;0,Setup!$G$67+(Setup!$O$67+AK$1)*Setup!$M$67,EDATE(Setup!$G$67,(Setup!$O$67+AK$1)*Setup!$N$67))+$A44/1000)))</f>
        <v/>
      </c>
      <c r="AL44">
        <f>IF(OR(Setup!$E$67="",Setup!$G$67="",Setup!$F$67=""),"",IF(AND(Setup!$F$67="Once",AL$1&gt;0),"",IF(OR(IF(Setup!$M$67&gt;0,Setup!$G$67+(Setup!$O$67+AL$1)*Setup!$M$67,EDATE(Setup!$G$67,(Setup!$O$67+AL$1)*Setup!$N$67))&gt;Setup!$P$67,IF(Setup!$M$67&gt;0,Setup!$G$67+(Setup!$O$67+AL$1)*Setup!$M$67,EDATE(Setup!$G$67,(Setup!$O$67+AL$1)*Setup!$N$67))&lt;Setup!$D$5),"",IF(Setup!$M$67&gt;0,Setup!$G$67+(Setup!$O$67+AL$1)*Setup!$M$67,EDATE(Setup!$G$67,(Setup!$O$67+AL$1)*Setup!$N$67))+$A44/1000)))</f>
        <v/>
      </c>
      <c r="AM44">
        <f>IF(OR(Setup!$E$67="",Setup!$G$67="",Setup!$F$67=""),"",IF(AND(Setup!$F$67="Once",AM$1&gt;0),"",IF(OR(IF(Setup!$M$67&gt;0,Setup!$G$67+(Setup!$O$67+AM$1)*Setup!$M$67,EDATE(Setup!$G$67,(Setup!$O$67+AM$1)*Setup!$N$67))&gt;Setup!$P$67,IF(Setup!$M$67&gt;0,Setup!$G$67+(Setup!$O$67+AM$1)*Setup!$M$67,EDATE(Setup!$G$67,(Setup!$O$67+AM$1)*Setup!$N$67))&lt;Setup!$D$5),"",IF(Setup!$M$67&gt;0,Setup!$G$67+(Setup!$O$67+AM$1)*Setup!$M$67,EDATE(Setup!$G$67,(Setup!$O$67+AM$1)*Setup!$N$67))+$A44/1000)))</f>
        <v/>
      </c>
      <c r="AN44">
        <f>IF(OR(Setup!$E$67="",Setup!$G$67="",Setup!$F$67=""),"",IF(AND(Setup!$F$67="Once",AN$1&gt;0),"",IF(OR(IF(Setup!$M$67&gt;0,Setup!$G$67+(Setup!$O$67+AN$1)*Setup!$M$67,EDATE(Setup!$G$67,(Setup!$O$67+AN$1)*Setup!$N$67))&gt;Setup!$P$67,IF(Setup!$M$67&gt;0,Setup!$G$67+(Setup!$O$67+AN$1)*Setup!$M$67,EDATE(Setup!$G$67,(Setup!$O$67+AN$1)*Setup!$N$67))&lt;Setup!$D$5),"",IF(Setup!$M$67&gt;0,Setup!$G$67+(Setup!$O$67+AN$1)*Setup!$M$67,EDATE(Setup!$G$67,(Setup!$O$67+AN$1)*Setup!$N$67))+$A44/1000)))</f>
        <v/>
      </c>
      <c r="AO44">
        <f>IF(OR(Setup!$E$67="",Setup!$G$67="",Setup!$F$67=""),"",IF(AND(Setup!$F$67="Once",AO$1&gt;0),"",IF(OR(IF(Setup!$M$67&gt;0,Setup!$G$67+(Setup!$O$67+AO$1)*Setup!$M$67,EDATE(Setup!$G$67,(Setup!$O$67+AO$1)*Setup!$N$67))&gt;Setup!$P$67,IF(Setup!$M$67&gt;0,Setup!$G$67+(Setup!$O$67+AO$1)*Setup!$M$67,EDATE(Setup!$G$67,(Setup!$O$67+AO$1)*Setup!$N$67))&lt;Setup!$D$5),"",IF(Setup!$M$67&gt;0,Setup!$G$67+(Setup!$O$67+AO$1)*Setup!$M$67,EDATE(Setup!$G$67,(Setup!$O$67+AO$1)*Setup!$N$67))+$A44/1000)))</f>
        <v/>
      </c>
      <c r="AP44">
        <f>IF(OR(Setup!$E$67="",Setup!$G$67="",Setup!$F$67=""),"",IF(AND(Setup!$F$67="Once",AP$1&gt;0),"",IF(OR(IF(Setup!$M$67&gt;0,Setup!$G$67+(Setup!$O$67+AP$1)*Setup!$M$67,EDATE(Setup!$G$67,(Setup!$O$67+AP$1)*Setup!$N$67))&gt;Setup!$P$67,IF(Setup!$M$67&gt;0,Setup!$G$67+(Setup!$O$67+AP$1)*Setup!$M$67,EDATE(Setup!$G$67,(Setup!$O$67+AP$1)*Setup!$N$67))&lt;Setup!$D$5),"",IF(Setup!$M$67&gt;0,Setup!$G$67+(Setup!$O$67+AP$1)*Setup!$M$67,EDATE(Setup!$G$67,(Setup!$O$67+AP$1)*Setup!$N$67))+$A44/1000)))</f>
        <v/>
      </c>
      <c r="AQ44">
        <f>IF(OR(Setup!$E$67="",Setup!$G$67="",Setup!$F$67=""),"",IF(AND(Setup!$F$67="Once",AQ$1&gt;0),"",IF(OR(IF(Setup!$M$67&gt;0,Setup!$G$67+(Setup!$O$67+AQ$1)*Setup!$M$67,EDATE(Setup!$G$67,(Setup!$O$67+AQ$1)*Setup!$N$67))&gt;Setup!$P$67,IF(Setup!$M$67&gt;0,Setup!$G$67+(Setup!$O$67+AQ$1)*Setup!$M$67,EDATE(Setup!$G$67,(Setup!$O$67+AQ$1)*Setup!$N$67))&lt;Setup!$D$5),"",IF(Setup!$M$67&gt;0,Setup!$G$67+(Setup!$O$67+AQ$1)*Setup!$M$67,EDATE(Setup!$G$67,(Setup!$O$67+AQ$1)*Setup!$N$67))+$A44/1000)))</f>
        <v/>
      </c>
      <c r="AR44">
        <f>IF(OR(Setup!$E$67="",Setup!$G$67="",Setup!$F$67=""),"",IF(AND(Setup!$F$67="Once",AR$1&gt;0),"",IF(OR(IF(Setup!$M$67&gt;0,Setup!$G$67+(Setup!$O$67+AR$1)*Setup!$M$67,EDATE(Setup!$G$67,(Setup!$O$67+AR$1)*Setup!$N$67))&gt;Setup!$P$67,IF(Setup!$M$67&gt;0,Setup!$G$67+(Setup!$O$67+AR$1)*Setup!$M$67,EDATE(Setup!$G$67,(Setup!$O$67+AR$1)*Setup!$N$67))&lt;Setup!$D$5),"",IF(Setup!$M$67&gt;0,Setup!$G$67+(Setup!$O$67+AR$1)*Setup!$M$67,EDATE(Setup!$G$67,(Setup!$O$67+AR$1)*Setup!$N$67))+$A44/1000)))</f>
        <v/>
      </c>
      <c r="AS44">
        <f>IF(OR(Setup!$E$67="",Setup!$G$67="",Setup!$F$67=""),"",IF(AND(Setup!$F$67="Once",AS$1&gt;0),"",IF(OR(IF(Setup!$M$67&gt;0,Setup!$G$67+(Setup!$O$67+AS$1)*Setup!$M$67,EDATE(Setup!$G$67,(Setup!$O$67+AS$1)*Setup!$N$67))&gt;Setup!$P$67,IF(Setup!$M$67&gt;0,Setup!$G$67+(Setup!$O$67+AS$1)*Setup!$M$67,EDATE(Setup!$G$67,(Setup!$O$67+AS$1)*Setup!$N$67))&lt;Setup!$D$5),"",IF(Setup!$M$67&gt;0,Setup!$G$67+(Setup!$O$67+AS$1)*Setup!$M$67,EDATE(Setup!$G$67,(Setup!$O$67+AS$1)*Setup!$N$67))+$A44/1000)))</f>
        <v/>
      </c>
      <c r="AT44">
        <f>IF(OR(Setup!$E$67="",Setup!$G$67="",Setup!$F$67=""),"",IF(AND(Setup!$F$67="Once",AT$1&gt;0),"",IF(OR(IF(Setup!$M$67&gt;0,Setup!$G$67+(Setup!$O$67+AT$1)*Setup!$M$67,EDATE(Setup!$G$67,(Setup!$O$67+AT$1)*Setup!$N$67))&gt;Setup!$P$67,IF(Setup!$M$67&gt;0,Setup!$G$67+(Setup!$O$67+AT$1)*Setup!$M$67,EDATE(Setup!$G$67,(Setup!$O$67+AT$1)*Setup!$N$67))&lt;Setup!$D$5),"",IF(Setup!$M$67&gt;0,Setup!$G$67+(Setup!$O$67+AT$1)*Setup!$M$67,EDATE(Setup!$G$67,(Setup!$O$67+AT$1)*Setup!$N$67))+$A44/1000)))</f>
        <v/>
      </c>
      <c r="AU44">
        <f>IF(OR(Setup!$E$67="",Setup!$G$67="",Setup!$F$67=""),"",IF(AND(Setup!$F$67="Once",AU$1&gt;0),"",IF(OR(IF(Setup!$M$67&gt;0,Setup!$G$67+(Setup!$O$67+AU$1)*Setup!$M$67,EDATE(Setup!$G$67,(Setup!$O$67+AU$1)*Setup!$N$67))&gt;Setup!$P$67,IF(Setup!$M$67&gt;0,Setup!$G$67+(Setup!$O$67+AU$1)*Setup!$M$67,EDATE(Setup!$G$67,(Setup!$O$67+AU$1)*Setup!$N$67))&lt;Setup!$D$5),"",IF(Setup!$M$67&gt;0,Setup!$G$67+(Setup!$O$67+AU$1)*Setup!$M$67,EDATE(Setup!$G$67,(Setup!$O$67+AU$1)*Setup!$N$67))+$A44/1000)))</f>
        <v/>
      </c>
      <c r="AV44">
        <f>IF(OR(Setup!$E$67="",Setup!$G$67="",Setup!$F$67=""),"",IF(AND(Setup!$F$67="Once",AV$1&gt;0),"",IF(OR(IF(Setup!$M$67&gt;0,Setup!$G$67+(Setup!$O$67+AV$1)*Setup!$M$67,EDATE(Setup!$G$67,(Setup!$O$67+AV$1)*Setup!$N$67))&gt;Setup!$P$67,IF(Setup!$M$67&gt;0,Setup!$G$67+(Setup!$O$67+AV$1)*Setup!$M$67,EDATE(Setup!$G$67,(Setup!$O$67+AV$1)*Setup!$N$67))&lt;Setup!$D$5),"",IF(Setup!$M$67&gt;0,Setup!$G$67+(Setup!$O$67+AV$1)*Setup!$M$67,EDATE(Setup!$G$67,(Setup!$O$67+AV$1)*Setup!$N$67))+$A44/1000)))</f>
        <v/>
      </c>
      <c r="AW44">
        <f>IF(OR(Setup!$E$67="",Setup!$G$67="",Setup!$F$67=""),"",IF(AND(Setup!$F$67="Once",AW$1&gt;0),"",IF(OR(IF(Setup!$M$67&gt;0,Setup!$G$67+(Setup!$O$67+AW$1)*Setup!$M$67,EDATE(Setup!$G$67,(Setup!$O$67+AW$1)*Setup!$N$67))&gt;Setup!$P$67,IF(Setup!$M$67&gt;0,Setup!$G$67+(Setup!$O$67+AW$1)*Setup!$M$67,EDATE(Setup!$G$67,(Setup!$O$67+AW$1)*Setup!$N$67))&lt;Setup!$D$5),"",IF(Setup!$M$67&gt;0,Setup!$G$67+(Setup!$O$67+AW$1)*Setup!$M$67,EDATE(Setup!$G$67,(Setup!$O$67+AW$1)*Setup!$N$67))+$A44/1000)))</f>
        <v/>
      </c>
      <c r="AX44">
        <f>IF(OR(Setup!$E$67="",Setup!$G$67="",Setup!$F$67=""),"",IF(AND(Setup!$F$67="Once",AX$1&gt;0),"",IF(OR(IF(Setup!$M$67&gt;0,Setup!$G$67+(Setup!$O$67+AX$1)*Setup!$M$67,EDATE(Setup!$G$67,(Setup!$O$67+AX$1)*Setup!$N$67))&gt;Setup!$P$67,IF(Setup!$M$67&gt;0,Setup!$G$67+(Setup!$O$67+AX$1)*Setup!$M$67,EDATE(Setup!$G$67,(Setup!$O$67+AX$1)*Setup!$N$67))&lt;Setup!$D$5),"",IF(Setup!$M$67&gt;0,Setup!$G$67+(Setup!$O$67+AX$1)*Setup!$M$67,EDATE(Setup!$G$67,(Setup!$O$67+AX$1)*Setup!$N$67))+$A44/1000)))</f>
        <v/>
      </c>
      <c r="AY44">
        <f>IF(OR(Setup!$E$67="",Setup!$G$67="",Setup!$F$67=""),"",IF(AND(Setup!$F$67="Once",AY$1&gt;0),"",IF(OR(IF(Setup!$M$67&gt;0,Setup!$G$67+(Setup!$O$67+AY$1)*Setup!$M$67,EDATE(Setup!$G$67,(Setup!$O$67+AY$1)*Setup!$N$67))&gt;Setup!$P$67,IF(Setup!$M$67&gt;0,Setup!$G$67+(Setup!$O$67+AY$1)*Setup!$M$67,EDATE(Setup!$G$67,(Setup!$O$67+AY$1)*Setup!$N$67))&lt;Setup!$D$5),"",IF(Setup!$M$67&gt;0,Setup!$G$67+(Setup!$O$67+AY$1)*Setup!$M$67,EDATE(Setup!$G$67,(Setup!$O$67+AY$1)*Setup!$N$67))+$A44/1000)))</f>
        <v/>
      </c>
      <c r="AZ44">
        <f>IF(OR(Setup!$E$67="",Setup!$G$67="",Setup!$F$67=""),"",IF(AND(Setup!$F$67="Once",AZ$1&gt;0),"",IF(OR(IF(Setup!$M$67&gt;0,Setup!$G$67+(Setup!$O$67+AZ$1)*Setup!$M$67,EDATE(Setup!$G$67,(Setup!$O$67+AZ$1)*Setup!$N$67))&gt;Setup!$P$67,IF(Setup!$M$67&gt;0,Setup!$G$67+(Setup!$O$67+AZ$1)*Setup!$M$67,EDATE(Setup!$G$67,(Setup!$O$67+AZ$1)*Setup!$N$67))&lt;Setup!$D$5),"",IF(Setup!$M$67&gt;0,Setup!$G$67+(Setup!$O$67+AZ$1)*Setup!$M$67,EDATE(Setup!$G$67,(Setup!$O$67+AZ$1)*Setup!$N$67))+$A44/1000)))</f>
        <v/>
      </c>
      <c r="BA44">
        <f>IF(OR(Setup!$E$67="",Setup!$G$67="",Setup!$F$67=""),"",IF(AND(Setup!$F$67="Once",BA$1&gt;0),"",IF(OR(IF(Setup!$M$67&gt;0,Setup!$G$67+(Setup!$O$67+BA$1)*Setup!$M$67,EDATE(Setup!$G$67,(Setup!$O$67+BA$1)*Setup!$N$67))&gt;Setup!$P$67,IF(Setup!$M$67&gt;0,Setup!$G$67+(Setup!$O$67+BA$1)*Setup!$M$67,EDATE(Setup!$G$67,(Setup!$O$67+BA$1)*Setup!$N$67))&lt;Setup!$D$5),"",IF(Setup!$M$67&gt;0,Setup!$G$67+(Setup!$O$67+BA$1)*Setup!$M$67,EDATE(Setup!$G$67,(Setup!$O$67+BA$1)*Setup!$N$67))+$A44/1000)))</f>
        <v/>
      </c>
      <c r="BB44">
        <f>IF(OR(Setup!$E$67="",Setup!$G$67="",Setup!$F$67=""),"",IF(AND(Setup!$F$67="Once",BB$1&gt;0),"",IF(OR(IF(Setup!$M$67&gt;0,Setup!$G$67+(Setup!$O$67+BB$1)*Setup!$M$67,EDATE(Setup!$G$67,(Setup!$O$67+BB$1)*Setup!$N$67))&gt;Setup!$P$67,IF(Setup!$M$67&gt;0,Setup!$G$67+(Setup!$O$67+BB$1)*Setup!$M$67,EDATE(Setup!$G$67,(Setup!$O$67+BB$1)*Setup!$N$67))&lt;Setup!$D$5),"",IF(Setup!$M$67&gt;0,Setup!$G$67+(Setup!$O$67+BB$1)*Setup!$M$67,EDATE(Setup!$G$67,(Setup!$O$67+BB$1)*Setup!$N$67))+$A44/1000)))</f>
        <v/>
      </c>
    </row>
    <row r="45">
      <c r="A45" t="n">
        <v>44</v>
      </c>
      <c r="B45">
        <f>IF(OR(Setup!$E$68="",Setup!$G$68="",Setup!$F$68=""),"",IF(AND(Setup!$F$68="Once",B$1&gt;0),"",IF(OR(IF(Setup!$M$68&gt;0,Setup!$G$68+(Setup!$O$68+B$1)*Setup!$M$68,EDATE(Setup!$G$68,(Setup!$O$68+B$1)*Setup!$N$68))&gt;Setup!$P$68,IF(Setup!$M$68&gt;0,Setup!$G$68+(Setup!$O$68+B$1)*Setup!$M$68,EDATE(Setup!$G$68,(Setup!$O$68+B$1)*Setup!$N$68))&lt;Setup!$D$5),"",IF(Setup!$M$68&gt;0,Setup!$G$68+(Setup!$O$68+B$1)*Setup!$M$68,EDATE(Setup!$G$68,(Setup!$O$68+B$1)*Setup!$N$68))+$A45/1000)))</f>
        <v/>
      </c>
      <c r="C45">
        <f>IF(OR(Setup!$E$68="",Setup!$G$68="",Setup!$F$68=""),"",IF(AND(Setup!$F$68="Once",C$1&gt;0),"",IF(OR(IF(Setup!$M$68&gt;0,Setup!$G$68+(Setup!$O$68+C$1)*Setup!$M$68,EDATE(Setup!$G$68,(Setup!$O$68+C$1)*Setup!$N$68))&gt;Setup!$P$68,IF(Setup!$M$68&gt;0,Setup!$G$68+(Setup!$O$68+C$1)*Setup!$M$68,EDATE(Setup!$G$68,(Setup!$O$68+C$1)*Setup!$N$68))&lt;Setup!$D$5),"",IF(Setup!$M$68&gt;0,Setup!$G$68+(Setup!$O$68+C$1)*Setup!$M$68,EDATE(Setup!$G$68,(Setup!$O$68+C$1)*Setup!$N$68))+$A45/1000)))</f>
        <v/>
      </c>
      <c r="D45">
        <f>IF(OR(Setup!$E$68="",Setup!$G$68="",Setup!$F$68=""),"",IF(AND(Setup!$F$68="Once",D$1&gt;0),"",IF(OR(IF(Setup!$M$68&gt;0,Setup!$G$68+(Setup!$O$68+D$1)*Setup!$M$68,EDATE(Setup!$G$68,(Setup!$O$68+D$1)*Setup!$N$68))&gt;Setup!$P$68,IF(Setup!$M$68&gt;0,Setup!$G$68+(Setup!$O$68+D$1)*Setup!$M$68,EDATE(Setup!$G$68,(Setup!$O$68+D$1)*Setup!$N$68))&lt;Setup!$D$5),"",IF(Setup!$M$68&gt;0,Setup!$G$68+(Setup!$O$68+D$1)*Setup!$M$68,EDATE(Setup!$G$68,(Setup!$O$68+D$1)*Setup!$N$68))+$A45/1000)))</f>
        <v/>
      </c>
      <c r="E45">
        <f>IF(OR(Setup!$E$68="",Setup!$G$68="",Setup!$F$68=""),"",IF(AND(Setup!$F$68="Once",E$1&gt;0),"",IF(OR(IF(Setup!$M$68&gt;0,Setup!$G$68+(Setup!$O$68+E$1)*Setup!$M$68,EDATE(Setup!$G$68,(Setup!$O$68+E$1)*Setup!$N$68))&gt;Setup!$P$68,IF(Setup!$M$68&gt;0,Setup!$G$68+(Setup!$O$68+E$1)*Setup!$M$68,EDATE(Setup!$G$68,(Setup!$O$68+E$1)*Setup!$N$68))&lt;Setup!$D$5),"",IF(Setup!$M$68&gt;0,Setup!$G$68+(Setup!$O$68+E$1)*Setup!$M$68,EDATE(Setup!$G$68,(Setup!$O$68+E$1)*Setup!$N$68))+$A45/1000)))</f>
        <v/>
      </c>
      <c r="F45">
        <f>IF(OR(Setup!$E$68="",Setup!$G$68="",Setup!$F$68=""),"",IF(AND(Setup!$F$68="Once",F$1&gt;0),"",IF(OR(IF(Setup!$M$68&gt;0,Setup!$G$68+(Setup!$O$68+F$1)*Setup!$M$68,EDATE(Setup!$G$68,(Setup!$O$68+F$1)*Setup!$N$68))&gt;Setup!$P$68,IF(Setup!$M$68&gt;0,Setup!$G$68+(Setup!$O$68+F$1)*Setup!$M$68,EDATE(Setup!$G$68,(Setup!$O$68+F$1)*Setup!$N$68))&lt;Setup!$D$5),"",IF(Setup!$M$68&gt;0,Setup!$G$68+(Setup!$O$68+F$1)*Setup!$M$68,EDATE(Setup!$G$68,(Setup!$O$68+F$1)*Setup!$N$68))+$A45/1000)))</f>
        <v/>
      </c>
      <c r="G45">
        <f>IF(OR(Setup!$E$68="",Setup!$G$68="",Setup!$F$68=""),"",IF(AND(Setup!$F$68="Once",G$1&gt;0),"",IF(OR(IF(Setup!$M$68&gt;0,Setup!$G$68+(Setup!$O$68+G$1)*Setup!$M$68,EDATE(Setup!$G$68,(Setup!$O$68+G$1)*Setup!$N$68))&gt;Setup!$P$68,IF(Setup!$M$68&gt;0,Setup!$G$68+(Setup!$O$68+G$1)*Setup!$M$68,EDATE(Setup!$G$68,(Setup!$O$68+G$1)*Setup!$N$68))&lt;Setup!$D$5),"",IF(Setup!$M$68&gt;0,Setup!$G$68+(Setup!$O$68+G$1)*Setup!$M$68,EDATE(Setup!$G$68,(Setup!$O$68+G$1)*Setup!$N$68))+$A45/1000)))</f>
        <v/>
      </c>
      <c r="H45">
        <f>IF(OR(Setup!$E$68="",Setup!$G$68="",Setup!$F$68=""),"",IF(AND(Setup!$F$68="Once",H$1&gt;0),"",IF(OR(IF(Setup!$M$68&gt;0,Setup!$G$68+(Setup!$O$68+H$1)*Setup!$M$68,EDATE(Setup!$G$68,(Setup!$O$68+H$1)*Setup!$N$68))&gt;Setup!$P$68,IF(Setup!$M$68&gt;0,Setup!$G$68+(Setup!$O$68+H$1)*Setup!$M$68,EDATE(Setup!$G$68,(Setup!$O$68+H$1)*Setup!$N$68))&lt;Setup!$D$5),"",IF(Setup!$M$68&gt;0,Setup!$G$68+(Setup!$O$68+H$1)*Setup!$M$68,EDATE(Setup!$G$68,(Setup!$O$68+H$1)*Setup!$N$68))+$A45/1000)))</f>
        <v/>
      </c>
      <c r="I45">
        <f>IF(OR(Setup!$E$68="",Setup!$G$68="",Setup!$F$68=""),"",IF(AND(Setup!$F$68="Once",I$1&gt;0),"",IF(OR(IF(Setup!$M$68&gt;0,Setup!$G$68+(Setup!$O$68+I$1)*Setup!$M$68,EDATE(Setup!$G$68,(Setup!$O$68+I$1)*Setup!$N$68))&gt;Setup!$P$68,IF(Setup!$M$68&gt;0,Setup!$G$68+(Setup!$O$68+I$1)*Setup!$M$68,EDATE(Setup!$G$68,(Setup!$O$68+I$1)*Setup!$N$68))&lt;Setup!$D$5),"",IF(Setup!$M$68&gt;0,Setup!$G$68+(Setup!$O$68+I$1)*Setup!$M$68,EDATE(Setup!$G$68,(Setup!$O$68+I$1)*Setup!$N$68))+$A45/1000)))</f>
        <v/>
      </c>
      <c r="J45">
        <f>IF(OR(Setup!$E$68="",Setup!$G$68="",Setup!$F$68=""),"",IF(AND(Setup!$F$68="Once",J$1&gt;0),"",IF(OR(IF(Setup!$M$68&gt;0,Setup!$G$68+(Setup!$O$68+J$1)*Setup!$M$68,EDATE(Setup!$G$68,(Setup!$O$68+J$1)*Setup!$N$68))&gt;Setup!$P$68,IF(Setup!$M$68&gt;0,Setup!$G$68+(Setup!$O$68+J$1)*Setup!$M$68,EDATE(Setup!$G$68,(Setup!$O$68+J$1)*Setup!$N$68))&lt;Setup!$D$5),"",IF(Setup!$M$68&gt;0,Setup!$G$68+(Setup!$O$68+J$1)*Setup!$M$68,EDATE(Setup!$G$68,(Setup!$O$68+J$1)*Setup!$N$68))+$A45/1000)))</f>
        <v/>
      </c>
      <c r="K45">
        <f>IF(OR(Setup!$E$68="",Setup!$G$68="",Setup!$F$68=""),"",IF(AND(Setup!$F$68="Once",K$1&gt;0),"",IF(OR(IF(Setup!$M$68&gt;0,Setup!$G$68+(Setup!$O$68+K$1)*Setup!$M$68,EDATE(Setup!$G$68,(Setup!$O$68+K$1)*Setup!$N$68))&gt;Setup!$P$68,IF(Setup!$M$68&gt;0,Setup!$G$68+(Setup!$O$68+K$1)*Setup!$M$68,EDATE(Setup!$G$68,(Setup!$O$68+K$1)*Setup!$N$68))&lt;Setup!$D$5),"",IF(Setup!$M$68&gt;0,Setup!$G$68+(Setup!$O$68+K$1)*Setup!$M$68,EDATE(Setup!$G$68,(Setup!$O$68+K$1)*Setup!$N$68))+$A45/1000)))</f>
        <v/>
      </c>
      <c r="L45">
        <f>IF(OR(Setup!$E$68="",Setup!$G$68="",Setup!$F$68=""),"",IF(AND(Setup!$F$68="Once",L$1&gt;0),"",IF(OR(IF(Setup!$M$68&gt;0,Setup!$G$68+(Setup!$O$68+L$1)*Setup!$M$68,EDATE(Setup!$G$68,(Setup!$O$68+L$1)*Setup!$N$68))&gt;Setup!$P$68,IF(Setup!$M$68&gt;0,Setup!$G$68+(Setup!$O$68+L$1)*Setup!$M$68,EDATE(Setup!$G$68,(Setup!$O$68+L$1)*Setup!$N$68))&lt;Setup!$D$5),"",IF(Setup!$M$68&gt;0,Setup!$G$68+(Setup!$O$68+L$1)*Setup!$M$68,EDATE(Setup!$G$68,(Setup!$O$68+L$1)*Setup!$N$68))+$A45/1000)))</f>
        <v/>
      </c>
      <c r="M45">
        <f>IF(OR(Setup!$E$68="",Setup!$G$68="",Setup!$F$68=""),"",IF(AND(Setup!$F$68="Once",M$1&gt;0),"",IF(OR(IF(Setup!$M$68&gt;0,Setup!$G$68+(Setup!$O$68+M$1)*Setup!$M$68,EDATE(Setup!$G$68,(Setup!$O$68+M$1)*Setup!$N$68))&gt;Setup!$P$68,IF(Setup!$M$68&gt;0,Setup!$G$68+(Setup!$O$68+M$1)*Setup!$M$68,EDATE(Setup!$G$68,(Setup!$O$68+M$1)*Setup!$N$68))&lt;Setup!$D$5),"",IF(Setup!$M$68&gt;0,Setup!$G$68+(Setup!$O$68+M$1)*Setup!$M$68,EDATE(Setup!$G$68,(Setup!$O$68+M$1)*Setup!$N$68))+$A45/1000)))</f>
        <v/>
      </c>
      <c r="N45">
        <f>IF(OR(Setup!$E$68="",Setup!$G$68="",Setup!$F$68=""),"",IF(AND(Setup!$F$68="Once",N$1&gt;0),"",IF(OR(IF(Setup!$M$68&gt;0,Setup!$G$68+(Setup!$O$68+N$1)*Setup!$M$68,EDATE(Setup!$G$68,(Setup!$O$68+N$1)*Setup!$N$68))&gt;Setup!$P$68,IF(Setup!$M$68&gt;0,Setup!$G$68+(Setup!$O$68+N$1)*Setup!$M$68,EDATE(Setup!$G$68,(Setup!$O$68+N$1)*Setup!$N$68))&lt;Setup!$D$5),"",IF(Setup!$M$68&gt;0,Setup!$G$68+(Setup!$O$68+N$1)*Setup!$M$68,EDATE(Setup!$G$68,(Setup!$O$68+N$1)*Setup!$N$68))+$A45/1000)))</f>
        <v/>
      </c>
      <c r="O45">
        <f>IF(OR(Setup!$E$68="",Setup!$G$68="",Setup!$F$68=""),"",IF(AND(Setup!$F$68="Once",O$1&gt;0),"",IF(OR(IF(Setup!$M$68&gt;0,Setup!$G$68+(Setup!$O$68+O$1)*Setup!$M$68,EDATE(Setup!$G$68,(Setup!$O$68+O$1)*Setup!$N$68))&gt;Setup!$P$68,IF(Setup!$M$68&gt;0,Setup!$G$68+(Setup!$O$68+O$1)*Setup!$M$68,EDATE(Setup!$G$68,(Setup!$O$68+O$1)*Setup!$N$68))&lt;Setup!$D$5),"",IF(Setup!$M$68&gt;0,Setup!$G$68+(Setup!$O$68+O$1)*Setup!$M$68,EDATE(Setup!$G$68,(Setup!$O$68+O$1)*Setup!$N$68))+$A45/1000)))</f>
        <v/>
      </c>
      <c r="P45">
        <f>IF(OR(Setup!$E$68="",Setup!$G$68="",Setup!$F$68=""),"",IF(AND(Setup!$F$68="Once",P$1&gt;0),"",IF(OR(IF(Setup!$M$68&gt;0,Setup!$G$68+(Setup!$O$68+P$1)*Setup!$M$68,EDATE(Setup!$G$68,(Setup!$O$68+P$1)*Setup!$N$68))&gt;Setup!$P$68,IF(Setup!$M$68&gt;0,Setup!$G$68+(Setup!$O$68+P$1)*Setup!$M$68,EDATE(Setup!$G$68,(Setup!$O$68+P$1)*Setup!$N$68))&lt;Setup!$D$5),"",IF(Setup!$M$68&gt;0,Setup!$G$68+(Setup!$O$68+P$1)*Setup!$M$68,EDATE(Setup!$G$68,(Setup!$O$68+P$1)*Setup!$N$68))+$A45/1000)))</f>
        <v/>
      </c>
      <c r="Q45">
        <f>IF(OR(Setup!$E$68="",Setup!$G$68="",Setup!$F$68=""),"",IF(AND(Setup!$F$68="Once",Q$1&gt;0),"",IF(OR(IF(Setup!$M$68&gt;0,Setup!$G$68+(Setup!$O$68+Q$1)*Setup!$M$68,EDATE(Setup!$G$68,(Setup!$O$68+Q$1)*Setup!$N$68))&gt;Setup!$P$68,IF(Setup!$M$68&gt;0,Setup!$G$68+(Setup!$O$68+Q$1)*Setup!$M$68,EDATE(Setup!$G$68,(Setup!$O$68+Q$1)*Setup!$N$68))&lt;Setup!$D$5),"",IF(Setup!$M$68&gt;0,Setup!$G$68+(Setup!$O$68+Q$1)*Setup!$M$68,EDATE(Setup!$G$68,(Setup!$O$68+Q$1)*Setup!$N$68))+$A45/1000)))</f>
        <v/>
      </c>
      <c r="R45">
        <f>IF(OR(Setup!$E$68="",Setup!$G$68="",Setup!$F$68=""),"",IF(AND(Setup!$F$68="Once",R$1&gt;0),"",IF(OR(IF(Setup!$M$68&gt;0,Setup!$G$68+(Setup!$O$68+R$1)*Setup!$M$68,EDATE(Setup!$G$68,(Setup!$O$68+R$1)*Setup!$N$68))&gt;Setup!$P$68,IF(Setup!$M$68&gt;0,Setup!$G$68+(Setup!$O$68+R$1)*Setup!$M$68,EDATE(Setup!$G$68,(Setup!$O$68+R$1)*Setup!$N$68))&lt;Setup!$D$5),"",IF(Setup!$M$68&gt;0,Setup!$G$68+(Setup!$O$68+R$1)*Setup!$M$68,EDATE(Setup!$G$68,(Setup!$O$68+R$1)*Setup!$N$68))+$A45/1000)))</f>
        <v/>
      </c>
      <c r="S45">
        <f>IF(OR(Setup!$E$68="",Setup!$G$68="",Setup!$F$68=""),"",IF(AND(Setup!$F$68="Once",S$1&gt;0),"",IF(OR(IF(Setup!$M$68&gt;0,Setup!$G$68+(Setup!$O$68+S$1)*Setup!$M$68,EDATE(Setup!$G$68,(Setup!$O$68+S$1)*Setup!$N$68))&gt;Setup!$P$68,IF(Setup!$M$68&gt;0,Setup!$G$68+(Setup!$O$68+S$1)*Setup!$M$68,EDATE(Setup!$G$68,(Setup!$O$68+S$1)*Setup!$N$68))&lt;Setup!$D$5),"",IF(Setup!$M$68&gt;0,Setup!$G$68+(Setup!$O$68+S$1)*Setup!$M$68,EDATE(Setup!$G$68,(Setup!$O$68+S$1)*Setup!$N$68))+$A45/1000)))</f>
        <v/>
      </c>
      <c r="T45">
        <f>IF(OR(Setup!$E$68="",Setup!$G$68="",Setup!$F$68=""),"",IF(AND(Setup!$F$68="Once",T$1&gt;0),"",IF(OR(IF(Setup!$M$68&gt;0,Setup!$G$68+(Setup!$O$68+T$1)*Setup!$M$68,EDATE(Setup!$G$68,(Setup!$O$68+T$1)*Setup!$N$68))&gt;Setup!$P$68,IF(Setup!$M$68&gt;0,Setup!$G$68+(Setup!$O$68+T$1)*Setup!$M$68,EDATE(Setup!$G$68,(Setup!$O$68+T$1)*Setup!$N$68))&lt;Setup!$D$5),"",IF(Setup!$M$68&gt;0,Setup!$G$68+(Setup!$O$68+T$1)*Setup!$M$68,EDATE(Setup!$G$68,(Setup!$O$68+T$1)*Setup!$N$68))+$A45/1000)))</f>
        <v/>
      </c>
      <c r="U45">
        <f>IF(OR(Setup!$E$68="",Setup!$G$68="",Setup!$F$68=""),"",IF(AND(Setup!$F$68="Once",U$1&gt;0),"",IF(OR(IF(Setup!$M$68&gt;0,Setup!$G$68+(Setup!$O$68+U$1)*Setup!$M$68,EDATE(Setup!$G$68,(Setup!$O$68+U$1)*Setup!$N$68))&gt;Setup!$P$68,IF(Setup!$M$68&gt;0,Setup!$G$68+(Setup!$O$68+U$1)*Setup!$M$68,EDATE(Setup!$G$68,(Setup!$O$68+U$1)*Setup!$N$68))&lt;Setup!$D$5),"",IF(Setup!$M$68&gt;0,Setup!$G$68+(Setup!$O$68+U$1)*Setup!$M$68,EDATE(Setup!$G$68,(Setup!$O$68+U$1)*Setup!$N$68))+$A45/1000)))</f>
        <v/>
      </c>
      <c r="V45">
        <f>IF(OR(Setup!$E$68="",Setup!$G$68="",Setup!$F$68=""),"",IF(AND(Setup!$F$68="Once",V$1&gt;0),"",IF(OR(IF(Setup!$M$68&gt;0,Setup!$G$68+(Setup!$O$68+V$1)*Setup!$M$68,EDATE(Setup!$G$68,(Setup!$O$68+V$1)*Setup!$N$68))&gt;Setup!$P$68,IF(Setup!$M$68&gt;0,Setup!$G$68+(Setup!$O$68+V$1)*Setup!$M$68,EDATE(Setup!$G$68,(Setup!$O$68+V$1)*Setup!$N$68))&lt;Setup!$D$5),"",IF(Setup!$M$68&gt;0,Setup!$G$68+(Setup!$O$68+V$1)*Setup!$M$68,EDATE(Setup!$G$68,(Setup!$O$68+V$1)*Setup!$N$68))+$A45/1000)))</f>
        <v/>
      </c>
      <c r="W45">
        <f>IF(OR(Setup!$E$68="",Setup!$G$68="",Setup!$F$68=""),"",IF(AND(Setup!$F$68="Once",W$1&gt;0),"",IF(OR(IF(Setup!$M$68&gt;0,Setup!$G$68+(Setup!$O$68+W$1)*Setup!$M$68,EDATE(Setup!$G$68,(Setup!$O$68+W$1)*Setup!$N$68))&gt;Setup!$P$68,IF(Setup!$M$68&gt;0,Setup!$G$68+(Setup!$O$68+W$1)*Setup!$M$68,EDATE(Setup!$G$68,(Setup!$O$68+W$1)*Setup!$N$68))&lt;Setup!$D$5),"",IF(Setup!$M$68&gt;0,Setup!$G$68+(Setup!$O$68+W$1)*Setup!$M$68,EDATE(Setup!$G$68,(Setup!$O$68+W$1)*Setup!$N$68))+$A45/1000)))</f>
        <v/>
      </c>
      <c r="X45">
        <f>IF(OR(Setup!$E$68="",Setup!$G$68="",Setup!$F$68=""),"",IF(AND(Setup!$F$68="Once",X$1&gt;0),"",IF(OR(IF(Setup!$M$68&gt;0,Setup!$G$68+(Setup!$O$68+X$1)*Setup!$M$68,EDATE(Setup!$G$68,(Setup!$O$68+X$1)*Setup!$N$68))&gt;Setup!$P$68,IF(Setup!$M$68&gt;0,Setup!$G$68+(Setup!$O$68+X$1)*Setup!$M$68,EDATE(Setup!$G$68,(Setup!$O$68+X$1)*Setup!$N$68))&lt;Setup!$D$5),"",IF(Setup!$M$68&gt;0,Setup!$G$68+(Setup!$O$68+X$1)*Setup!$M$68,EDATE(Setup!$G$68,(Setup!$O$68+X$1)*Setup!$N$68))+$A45/1000)))</f>
        <v/>
      </c>
      <c r="Y45">
        <f>IF(OR(Setup!$E$68="",Setup!$G$68="",Setup!$F$68=""),"",IF(AND(Setup!$F$68="Once",Y$1&gt;0),"",IF(OR(IF(Setup!$M$68&gt;0,Setup!$G$68+(Setup!$O$68+Y$1)*Setup!$M$68,EDATE(Setup!$G$68,(Setup!$O$68+Y$1)*Setup!$N$68))&gt;Setup!$P$68,IF(Setup!$M$68&gt;0,Setup!$G$68+(Setup!$O$68+Y$1)*Setup!$M$68,EDATE(Setup!$G$68,(Setup!$O$68+Y$1)*Setup!$N$68))&lt;Setup!$D$5),"",IF(Setup!$M$68&gt;0,Setup!$G$68+(Setup!$O$68+Y$1)*Setup!$M$68,EDATE(Setup!$G$68,(Setup!$O$68+Y$1)*Setup!$N$68))+$A45/1000)))</f>
        <v/>
      </c>
      <c r="Z45">
        <f>IF(OR(Setup!$E$68="",Setup!$G$68="",Setup!$F$68=""),"",IF(AND(Setup!$F$68="Once",Z$1&gt;0),"",IF(OR(IF(Setup!$M$68&gt;0,Setup!$G$68+(Setup!$O$68+Z$1)*Setup!$M$68,EDATE(Setup!$G$68,(Setup!$O$68+Z$1)*Setup!$N$68))&gt;Setup!$P$68,IF(Setup!$M$68&gt;0,Setup!$G$68+(Setup!$O$68+Z$1)*Setup!$M$68,EDATE(Setup!$G$68,(Setup!$O$68+Z$1)*Setup!$N$68))&lt;Setup!$D$5),"",IF(Setup!$M$68&gt;0,Setup!$G$68+(Setup!$O$68+Z$1)*Setup!$M$68,EDATE(Setup!$G$68,(Setup!$O$68+Z$1)*Setup!$N$68))+$A45/1000)))</f>
        <v/>
      </c>
      <c r="AA45">
        <f>IF(OR(Setup!$E$68="",Setup!$G$68="",Setup!$F$68=""),"",IF(AND(Setup!$F$68="Once",AA$1&gt;0),"",IF(OR(IF(Setup!$M$68&gt;0,Setup!$G$68+(Setup!$O$68+AA$1)*Setup!$M$68,EDATE(Setup!$G$68,(Setup!$O$68+AA$1)*Setup!$N$68))&gt;Setup!$P$68,IF(Setup!$M$68&gt;0,Setup!$G$68+(Setup!$O$68+AA$1)*Setup!$M$68,EDATE(Setup!$G$68,(Setup!$O$68+AA$1)*Setup!$N$68))&lt;Setup!$D$5),"",IF(Setup!$M$68&gt;0,Setup!$G$68+(Setup!$O$68+AA$1)*Setup!$M$68,EDATE(Setup!$G$68,(Setup!$O$68+AA$1)*Setup!$N$68))+$A45/1000)))</f>
        <v/>
      </c>
      <c r="AB45">
        <f>IF(OR(Setup!$E$68="",Setup!$G$68="",Setup!$F$68=""),"",IF(AND(Setup!$F$68="Once",AB$1&gt;0),"",IF(OR(IF(Setup!$M$68&gt;0,Setup!$G$68+(Setup!$O$68+AB$1)*Setup!$M$68,EDATE(Setup!$G$68,(Setup!$O$68+AB$1)*Setup!$N$68))&gt;Setup!$P$68,IF(Setup!$M$68&gt;0,Setup!$G$68+(Setup!$O$68+AB$1)*Setup!$M$68,EDATE(Setup!$G$68,(Setup!$O$68+AB$1)*Setup!$N$68))&lt;Setup!$D$5),"",IF(Setup!$M$68&gt;0,Setup!$G$68+(Setup!$O$68+AB$1)*Setup!$M$68,EDATE(Setup!$G$68,(Setup!$O$68+AB$1)*Setup!$N$68))+$A45/1000)))</f>
        <v/>
      </c>
      <c r="AC45">
        <f>IF(OR(Setup!$E$68="",Setup!$G$68="",Setup!$F$68=""),"",IF(AND(Setup!$F$68="Once",AC$1&gt;0),"",IF(OR(IF(Setup!$M$68&gt;0,Setup!$G$68+(Setup!$O$68+AC$1)*Setup!$M$68,EDATE(Setup!$G$68,(Setup!$O$68+AC$1)*Setup!$N$68))&gt;Setup!$P$68,IF(Setup!$M$68&gt;0,Setup!$G$68+(Setup!$O$68+AC$1)*Setup!$M$68,EDATE(Setup!$G$68,(Setup!$O$68+AC$1)*Setup!$N$68))&lt;Setup!$D$5),"",IF(Setup!$M$68&gt;0,Setup!$G$68+(Setup!$O$68+AC$1)*Setup!$M$68,EDATE(Setup!$G$68,(Setup!$O$68+AC$1)*Setup!$N$68))+$A45/1000)))</f>
        <v/>
      </c>
      <c r="AD45">
        <f>IF(OR(Setup!$E$68="",Setup!$G$68="",Setup!$F$68=""),"",IF(AND(Setup!$F$68="Once",AD$1&gt;0),"",IF(OR(IF(Setup!$M$68&gt;0,Setup!$G$68+(Setup!$O$68+AD$1)*Setup!$M$68,EDATE(Setup!$G$68,(Setup!$O$68+AD$1)*Setup!$N$68))&gt;Setup!$P$68,IF(Setup!$M$68&gt;0,Setup!$G$68+(Setup!$O$68+AD$1)*Setup!$M$68,EDATE(Setup!$G$68,(Setup!$O$68+AD$1)*Setup!$N$68))&lt;Setup!$D$5),"",IF(Setup!$M$68&gt;0,Setup!$G$68+(Setup!$O$68+AD$1)*Setup!$M$68,EDATE(Setup!$G$68,(Setup!$O$68+AD$1)*Setup!$N$68))+$A45/1000)))</f>
        <v/>
      </c>
      <c r="AE45">
        <f>IF(OR(Setup!$E$68="",Setup!$G$68="",Setup!$F$68=""),"",IF(AND(Setup!$F$68="Once",AE$1&gt;0),"",IF(OR(IF(Setup!$M$68&gt;0,Setup!$G$68+(Setup!$O$68+AE$1)*Setup!$M$68,EDATE(Setup!$G$68,(Setup!$O$68+AE$1)*Setup!$N$68))&gt;Setup!$P$68,IF(Setup!$M$68&gt;0,Setup!$G$68+(Setup!$O$68+AE$1)*Setup!$M$68,EDATE(Setup!$G$68,(Setup!$O$68+AE$1)*Setup!$N$68))&lt;Setup!$D$5),"",IF(Setup!$M$68&gt;0,Setup!$G$68+(Setup!$O$68+AE$1)*Setup!$M$68,EDATE(Setup!$G$68,(Setup!$O$68+AE$1)*Setup!$N$68))+$A45/1000)))</f>
        <v/>
      </c>
      <c r="AF45">
        <f>IF(OR(Setup!$E$68="",Setup!$G$68="",Setup!$F$68=""),"",IF(AND(Setup!$F$68="Once",AF$1&gt;0),"",IF(OR(IF(Setup!$M$68&gt;0,Setup!$G$68+(Setup!$O$68+AF$1)*Setup!$M$68,EDATE(Setup!$G$68,(Setup!$O$68+AF$1)*Setup!$N$68))&gt;Setup!$P$68,IF(Setup!$M$68&gt;0,Setup!$G$68+(Setup!$O$68+AF$1)*Setup!$M$68,EDATE(Setup!$G$68,(Setup!$O$68+AF$1)*Setup!$N$68))&lt;Setup!$D$5),"",IF(Setup!$M$68&gt;0,Setup!$G$68+(Setup!$O$68+AF$1)*Setup!$M$68,EDATE(Setup!$G$68,(Setup!$O$68+AF$1)*Setup!$N$68))+$A45/1000)))</f>
        <v/>
      </c>
      <c r="AG45">
        <f>IF(OR(Setup!$E$68="",Setup!$G$68="",Setup!$F$68=""),"",IF(AND(Setup!$F$68="Once",AG$1&gt;0),"",IF(OR(IF(Setup!$M$68&gt;0,Setup!$G$68+(Setup!$O$68+AG$1)*Setup!$M$68,EDATE(Setup!$G$68,(Setup!$O$68+AG$1)*Setup!$N$68))&gt;Setup!$P$68,IF(Setup!$M$68&gt;0,Setup!$G$68+(Setup!$O$68+AG$1)*Setup!$M$68,EDATE(Setup!$G$68,(Setup!$O$68+AG$1)*Setup!$N$68))&lt;Setup!$D$5),"",IF(Setup!$M$68&gt;0,Setup!$G$68+(Setup!$O$68+AG$1)*Setup!$M$68,EDATE(Setup!$G$68,(Setup!$O$68+AG$1)*Setup!$N$68))+$A45/1000)))</f>
        <v/>
      </c>
      <c r="AH45">
        <f>IF(OR(Setup!$E$68="",Setup!$G$68="",Setup!$F$68=""),"",IF(AND(Setup!$F$68="Once",AH$1&gt;0),"",IF(OR(IF(Setup!$M$68&gt;0,Setup!$G$68+(Setup!$O$68+AH$1)*Setup!$M$68,EDATE(Setup!$G$68,(Setup!$O$68+AH$1)*Setup!$N$68))&gt;Setup!$P$68,IF(Setup!$M$68&gt;0,Setup!$G$68+(Setup!$O$68+AH$1)*Setup!$M$68,EDATE(Setup!$G$68,(Setup!$O$68+AH$1)*Setup!$N$68))&lt;Setup!$D$5),"",IF(Setup!$M$68&gt;0,Setup!$G$68+(Setup!$O$68+AH$1)*Setup!$M$68,EDATE(Setup!$G$68,(Setup!$O$68+AH$1)*Setup!$N$68))+$A45/1000)))</f>
        <v/>
      </c>
      <c r="AI45">
        <f>IF(OR(Setup!$E$68="",Setup!$G$68="",Setup!$F$68=""),"",IF(AND(Setup!$F$68="Once",AI$1&gt;0),"",IF(OR(IF(Setup!$M$68&gt;0,Setup!$G$68+(Setup!$O$68+AI$1)*Setup!$M$68,EDATE(Setup!$G$68,(Setup!$O$68+AI$1)*Setup!$N$68))&gt;Setup!$P$68,IF(Setup!$M$68&gt;0,Setup!$G$68+(Setup!$O$68+AI$1)*Setup!$M$68,EDATE(Setup!$G$68,(Setup!$O$68+AI$1)*Setup!$N$68))&lt;Setup!$D$5),"",IF(Setup!$M$68&gt;0,Setup!$G$68+(Setup!$O$68+AI$1)*Setup!$M$68,EDATE(Setup!$G$68,(Setup!$O$68+AI$1)*Setup!$N$68))+$A45/1000)))</f>
        <v/>
      </c>
      <c r="AJ45">
        <f>IF(OR(Setup!$E$68="",Setup!$G$68="",Setup!$F$68=""),"",IF(AND(Setup!$F$68="Once",AJ$1&gt;0),"",IF(OR(IF(Setup!$M$68&gt;0,Setup!$G$68+(Setup!$O$68+AJ$1)*Setup!$M$68,EDATE(Setup!$G$68,(Setup!$O$68+AJ$1)*Setup!$N$68))&gt;Setup!$P$68,IF(Setup!$M$68&gt;0,Setup!$G$68+(Setup!$O$68+AJ$1)*Setup!$M$68,EDATE(Setup!$G$68,(Setup!$O$68+AJ$1)*Setup!$N$68))&lt;Setup!$D$5),"",IF(Setup!$M$68&gt;0,Setup!$G$68+(Setup!$O$68+AJ$1)*Setup!$M$68,EDATE(Setup!$G$68,(Setup!$O$68+AJ$1)*Setup!$N$68))+$A45/1000)))</f>
        <v/>
      </c>
      <c r="AK45">
        <f>IF(OR(Setup!$E$68="",Setup!$G$68="",Setup!$F$68=""),"",IF(AND(Setup!$F$68="Once",AK$1&gt;0),"",IF(OR(IF(Setup!$M$68&gt;0,Setup!$G$68+(Setup!$O$68+AK$1)*Setup!$M$68,EDATE(Setup!$G$68,(Setup!$O$68+AK$1)*Setup!$N$68))&gt;Setup!$P$68,IF(Setup!$M$68&gt;0,Setup!$G$68+(Setup!$O$68+AK$1)*Setup!$M$68,EDATE(Setup!$G$68,(Setup!$O$68+AK$1)*Setup!$N$68))&lt;Setup!$D$5),"",IF(Setup!$M$68&gt;0,Setup!$G$68+(Setup!$O$68+AK$1)*Setup!$M$68,EDATE(Setup!$G$68,(Setup!$O$68+AK$1)*Setup!$N$68))+$A45/1000)))</f>
        <v/>
      </c>
      <c r="AL45">
        <f>IF(OR(Setup!$E$68="",Setup!$G$68="",Setup!$F$68=""),"",IF(AND(Setup!$F$68="Once",AL$1&gt;0),"",IF(OR(IF(Setup!$M$68&gt;0,Setup!$G$68+(Setup!$O$68+AL$1)*Setup!$M$68,EDATE(Setup!$G$68,(Setup!$O$68+AL$1)*Setup!$N$68))&gt;Setup!$P$68,IF(Setup!$M$68&gt;0,Setup!$G$68+(Setup!$O$68+AL$1)*Setup!$M$68,EDATE(Setup!$G$68,(Setup!$O$68+AL$1)*Setup!$N$68))&lt;Setup!$D$5),"",IF(Setup!$M$68&gt;0,Setup!$G$68+(Setup!$O$68+AL$1)*Setup!$M$68,EDATE(Setup!$G$68,(Setup!$O$68+AL$1)*Setup!$N$68))+$A45/1000)))</f>
        <v/>
      </c>
      <c r="AM45">
        <f>IF(OR(Setup!$E$68="",Setup!$G$68="",Setup!$F$68=""),"",IF(AND(Setup!$F$68="Once",AM$1&gt;0),"",IF(OR(IF(Setup!$M$68&gt;0,Setup!$G$68+(Setup!$O$68+AM$1)*Setup!$M$68,EDATE(Setup!$G$68,(Setup!$O$68+AM$1)*Setup!$N$68))&gt;Setup!$P$68,IF(Setup!$M$68&gt;0,Setup!$G$68+(Setup!$O$68+AM$1)*Setup!$M$68,EDATE(Setup!$G$68,(Setup!$O$68+AM$1)*Setup!$N$68))&lt;Setup!$D$5),"",IF(Setup!$M$68&gt;0,Setup!$G$68+(Setup!$O$68+AM$1)*Setup!$M$68,EDATE(Setup!$G$68,(Setup!$O$68+AM$1)*Setup!$N$68))+$A45/1000)))</f>
        <v/>
      </c>
      <c r="AN45">
        <f>IF(OR(Setup!$E$68="",Setup!$G$68="",Setup!$F$68=""),"",IF(AND(Setup!$F$68="Once",AN$1&gt;0),"",IF(OR(IF(Setup!$M$68&gt;0,Setup!$G$68+(Setup!$O$68+AN$1)*Setup!$M$68,EDATE(Setup!$G$68,(Setup!$O$68+AN$1)*Setup!$N$68))&gt;Setup!$P$68,IF(Setup!$M$68&gt;0,Setup!$G$68+(Setup!$O$68+AN$1)*Setup!$M$68,EDATE(Setup!$G$68,(Setup!$O$68+AN$1)*Setup!$N$68))&lt;Setup!$D$5),"",IF(Setup!$M$68&gt;0,Setup!$G$68+(Setup!$O$68+AN$1)*Setup!$M$68,EDATE(Setup!$G$68,(Setup!$O$68+AN$1)*Setup!$N$68))+$A45/1000)))</f>
        <v/>
      </c>
      <c r="AO45">
        <f>IF(OR(Setup!$E$68="",Setup!$G$68="",Setup!$F$68=""),"",IF(AND(Setup!$F$68="Once",AO$1&gt;0),"",IF(OR(IF(Setup!$M$68&gt;0,Setup!$G$68+(Setup!$O$68+AO$1)*Setup!$M$68,EDATE(Setup!$G$68,(Setup!$O$68+AO$1)*Setup!$N$68))&gt;Setup!$P$68,IF(Setup!$M$68&gt;0,Setup!$G$68+(Setup!$O$68+AO$1)*Setup!$M$68,EDATE(Setup!$G$68,(Setup!$O$68+AO$1)*Setup!$N$68))&lt;Setup!$D$5),"",IF(Setup!$M$68&gt;0,Setup!$G$68+(Setup!$O$68+AO$1)*Setup!$M$68,EDATE(Setup!$G$68,(Setup!$O$68+AO$1)*Setup!$N$68))+$A45/1000)))</f>
        <v/>
      </c>
      <c r="AP45">
        <f>IF(OR(Setup!$E$68="",Setup!$G$68="",Setup!$F$68=""),"",IF(AND(Setup!$F$68="Once",AP$1&gt;0),"",IF(OR(IF(Setup!$M$68&gt;0,Setup!$G$68+(Setup!$O$68+AP$1)*Setup!$M$68,EDATE(Setup!$G$68,(Setup!$O$68+AP$1)*Setup!$N$68))&gt;Setup!$P$68,IF(Setup!$M$68&gt;0,Setup!$G$68+(Setup!$O$68+AP$1)*Setup!$M$68,EDATE(Setup!$G$68,(Setup!$O$68+AP$1)*Setup!$N$68))&lt;Setup!$D$5),"",IF(Setup!$M$68&gt;0,Setup!$G$68+(Setup!$O$68+AP$1)*Setup!$M$68,EDATE(Setup!$G$68,(Setup!$O$68+AP$1)*Setup!$N$68))+$A45/1000)))</f>
        <v/>
      </c>
      <c r="AQ45">
        <f>IF(OR(Setup!$E$68="",Setup!$G$68="",Setup!$F$68=""),"",IF(AND(Setup!$F$68="Once",AQ$1&gt;0),"",IF(OR(IF(Setup!$M$68&gt;0,Setup!$G$68+(Setup!$O$68+AQ$1)*Setup!$M$68,EDATE(Setup!$G$68,(Setup!$O$68+AQ$1)*Setup!$N$68))&gt;Setup!$P$68,IF(Setup!$M$68&gt;0,Setup!$G$68+(Setup!$O$68+AQ$1)*Setup!$M$68,EDATE(Setup!$G$68,(Setup!$O$68+AQ$1)*Setup!$N$68))&lt;Setup!$D$5),"",IF(Setup!$M$68&gt;0,Setup!$G$68+(Setup!$O$68+AQ$1)*Setup!$M$68,EDATE(Setup!$G$68,(Setup!$O$68+AQ$1)*Setup!$N$68))+$A45/1000)))</f>
        <v/>
      </c>
      <c r="AR45">
        <f>IF(OR(Setup!$E$68="",Setup!$G$68="",Setup!$F$68=""),"",IF(AND(Setup!$F$68="Once",AR$1&gt;0),"",IF(OR(IF(Setup!$M$68&gt;0,Setup!$G$68+(Setup!$O$68+AR$1)*Setup!$M$68,EDATE(Setup!$G$68,(Setup!$O$68+AR$1)*Setup!$N$68))&gt;Setup!$P$68,IF(Setup!$M$68&gt;0,Setup!$G$68+(Setup!$O$68+AR$1)*Setup!$M$68,EDATE(Setup!$G$68,(Setup!$O$68+AR$1)*Setup!$N$68))&lt;Setup!$D$5),"",IF(Setup!$M$68&gt;0,Setup!$G$68+(Setup!$O$68+AR$1)*Setup!$M$68,EDATE(Setup!$G$68,(Setup!$O$68+AR$1)*Setup!$N$68))+$A45/1000)))</f>
        <v/>
      </c>
      <c r="AS45">
        <f>IF(OR(Setup!$E$68="",Setup!$G$68="",Setup!$F$68=""),"",IF(AND(Setup!$F$68="Once",AS$1&gt;0),"",IF(OR(IF(Setup!$M$68&gt;0,Setup!$G$68+(Setup!$O$68+AS$1)*Setup!$M$68,EDATE(Setup!$G$68,(Setup!$O$68+AS$1)*Setup!$N$68))&gt;Setup!$P$68,IF(Setup!$M$68&gt;0,Setup!$G$68+(Setup!$O$68+AS$1)*Setup!$M$68,EDATE(Setup!$G$68,(Setup!$O$68+AS$1)*Setup!$N$68))&lt;Setup!$D$5),"",IF(Setup!$M$68&gt;0,Setup!$G$68+(Setup!$O$68+AS$1)*Setup!$M$68,EDATE(Setup!$G$68,(Setup!$O$68+AS$1)*Setup!$N$68))+$A45/1000)))</f>
        <v/>
      </c>
      <c r="AT45">
        <f>IF(OR(Setup!$E$68="",Setup!$G$68="",Setup!$F$68=""),"",IF(AND(Setup!$F$68="Once",AT$1&gt;0),"",IF(OR(IF(Setup!$M$68&gt;0,Setup!$G$68+(Setup!$O$68+AT$1)*Setup!$M$68,EDATE(Setup!$G$68,(Setup!$O$68+AT$1)*Setup!$N$68))&gt;Setup!$P$68,IF(Setup!$M$68&gt;0,Setup!$G$68+(Setup!$O$68+AT$1)*Setup!$M$68,EDATE(Setup!$G$68,(Setup!$O$68+AT$1)*Setup!$N$68))&lt;Setup!$D$5),"",IF(Setup!$M$68&gt;0,Setup!$G$68+(Setup!$O$68+AT$1)*Setup!$M$68,EDATE(Setup!$G$68,(Setup!$O$68+AT$1)*Setup!$N$68))+$A45/1000)))</f>
        <v/>
      </c>
      <c r="AU45">
        <f>IF(OR(Setup!$E$68="",Setup!$G$68="",Setup!$F$68=""),"",IF(AND(Setup!$F$68="Once",AU$1&gt;0),"",IF(OR(IF(Setup!$M$68&gt;0,Setup!$G$68+(Setup!$O$68+AU$1)*Setup!$M$68,EDATE(Setup!$G$68,(Setup!$O$68+AU$1)*Setup!$N$68))&gt;Setup!$P$68,IF(Setup!$M$68&gt;0,Setup!$G$68+(Setup!$O$68+AU$1)*Setup!$M$68,EDATE(Setup!$G$68,(Setup!$O$68+AU$1)*Setup!$N$68))&lt;Setup!$D$5),"",IF(Setup!$M$68&gt;0,Setup!$G$68+(Setup!$O$68+AU$1)*Setup!$M$68,EDATE(Setup!$G$68,(Setup!$O$68+AU$1)*Setup!$N$68))+$A45/1000)))</f>
        <v/>
      </c>
      <c r="AV45">
        <f>IF(OR(Setup!$E$68="",Setup!$G$68="",Setup!$F$68=""),"",IF(AND(Setup!$F$68="Once",AV$1&gt;0),"",IF(OR(IF(Setup!$M$68&gt;0,Setup!$G$68+(Setup!$O$68+AV$1)*Setup!$M$68,EDATE(Setup!$G$68,(Setup!$O$68+AV$1)*Setup!$N$68))&gt;Setup!$P$68,IF(Setup!$M$68&gt;0,Setup!$G$68+(Setup!$O$68+AV$1)*Setup!$M$68,EDATE(Setup!$G$68,(Setup!$O$68+AV$1)*Setup!$N$68))&lt;Setup!$D$5),"",IF(Setup!$M$68&gt;0,Setup!$G$68+(Setup!$O$68+AV$1)*Setup!$M$68,EDATE(Setup!$G$68,(Setup!$O$68+AV$1)*Setup!$N$68))+$A45/1000)))</f>
        <v/>
      </c>
      <c r="AW45">
        <f>IF(OR(Setup!$E$68="",Setup!$G$68="",Setup!$F$68=""),"",IF(AND(Setup!$F$68="Once",AW$1&gt;0),"",IF(OR(IF(Setup!$M$68&gt;0,Setup!$G$68+(Setup!$O$68+AW$1)*Setup!$M$68,EDATE(Setup!$G$68,(Setup!$O$68+AW$1)*Setup!$N$68))&gt;Setup!$P$68,IF(Setup!$M$68&gt;0,Setup!$G$68+(Setup!$O$68+AW$1)*Setup!$M$68,EDATE(Setup!$G$68,(Setup!$O$68+AW$1)*Setup!$N$68))&lt;Setup!$D$5),"",IF(Setup!$M$68&gt;0,Setup!$G$68+(Setup!$O$68+AW$1)*Setup!$M$68,EDATE(Setup!$G$68,(Setup!$O$68+AW$1)*Setup!$N$68))+$A45/1000)))</f>
        <v/>
      </c>
      <c r="AX45">
        <f>IF(OR(Setup!$E$68="",Setup!$G$68="",Setup!$F$68=""),"",IF(AND(Setup!$F$68="Once",AX$1&gt;0),"",IF(OR(IF(Setup!$M$68&gt;0,Setup!$G$68+(Setup!$O$68+AX$1)*Setup!$M$68,EDATE(Setup!$G$68,(Setup!$O$68+AX$1)*Setup!$N$68))&gt;Setup!$P$68,IF(Setup!$M$68&gt;0,Setup!$G$68+(Setup!$O$68+AX$1)*Setup!$M$68,EDATE(Setup!$G$68,(Setup!$O$68+AX$1)*Setup!$N$68))&lt;Setup!$D$5),"",IF(Setup!$M$68&gt;0,Setup!$G$68+(Setup!$O$68+AX$1)*Setup!$M$68,EDATE(Setup!$G$68,(Setup!$O$68+AX$1)*Setup!$N$68))+$A45/1000)))</f>
        <v/>
      </c>
      <c r="AY45">
        <f>IF(OR(Setup!$E$68="",Setup!$G$68="",Setup!$F$68=""),"",IF(AND(Setup!$F$68="Once",AY$1&gt;0),"",IF(OR(IF(Setup!$M$68&gt;0,Setup!$G$68+(Setup!$O$68+AY$1)*Setup!$M$68,EDATE(Setup!$G$68,(Setup!$O$68+AY$1)*Setup!$N$68))&gt;Setup!$P$68,IF(Setup!$M$68&gt;0,Setup!$G$68+(Setup!$O$68+AY$1)*Setup!$M$68,EDATE(Setup!$G$68,(Setup!$O$68+AY$1)*Setup!$N$68))&lt;Setup!$D$5),"",IF(Setup!$M$68&gt;0,Setup!$G$68+(Setup!$O$68+AY$1)*Setup!$M$68,EDATE(Setup!$G$68,(Setup!$O$68+AY$1)*Setup!$N$68))+$A45/1000)))</f>
        <v/>
      </c>
      <c r="AZ45">
        <f>IF(OR(Setup!$E$68="",Setup!$G$68="",Setup!$F$68=""),"",IF(AND(Setup!$F$68="Once",AZ$1&gt;0),"",IF(OR(IF(Setup!$M$68&gt;0,Setup!$G$68+(Setup!$O$68+AZ$1)*Setup!$M$68,EDATE(Setup!$G$68,(Setup!$O$68+AZ$1)*Setup!$N$68))&gt;Setup!$P$68,IF(Setup!$M$68&gt;0,Setup!$G$68+(Setup!$O$68+AZ$1)*Setup!$M$68,EDATE(Setup!$G$68,(Setup!$O$68+AZ$1)*Setup!$N$68))&lt;Setup!$D$5),"",IF(Setup!$M$68&gt;0,Setup!$G$68+(Setup!$O$68+AZ$1)*Setup!$M$68,EDATE(Setup!$G$68,(Setup!$O$68+AZ$1)*Setup!$N$68))+$A45/1000)))</f>
        <v/>
      </c>
      <c r="BA45">
        <f>IF(OR(Setup!$E$68="",Setup!$G$68="",Setup!$F$68=""),"",IF(AND(Setup!$F$68="Once",BA$1&gt;0),"",IF(OR(IF(Setup!$M$68&gt;0,Setup!$G$68+(Setup!$O$68+BA$1)*Setup!$M$68,EDATE(Setup!$G$68,(Setup!$O$68+BA$1)*Setup!$N$68))&gt;Setup!$P$68,IF(Setup!$M$68&gt;0,Setup!$G$68+(Setup!$O$68+BA$1)*Setup!$M$68,EDATE(Setup!$G$68,(Setup!$O$68+BA$1)*Setup!$N$68))&lt;Setup!$D$5),"",IF(Setup!$M$68&gt;0,Setup!$G$68+(Setup!$O$68+BA$1)*Setup!$M$68,EDATE(Setup!$G$68,(Setup!$O$68+BA$1)*Setup!$N$68))+$A45/1000)))</f>
        <v/>
      </c>
      <c r="BB45">
        <f>IF(OR(Setup!$E$68="",Setup!$G$68="",Setup!$F$68=""),"",IF(AND(Setup!$F$68="Once",BB$1&gt;0),"",IF(OR(IF(Setup!$M$68&gt;0,Setup!$G$68+(Setup!$O$68+BB$1)*Setup!$M$68,EDATE(Setup!$G$68,(Setup!$O$68+BB$1)*Setup!$N$68))&gt;Setup!$P$68,IF(Setup!$M$68&gt;0,Setup!$G$68+(Setup!$O$68+BB$1)*Setup!$M$68,EDATE(Setup!$G$68,(Setup!$O$68+BB$1)*Setup!$N$68))&lt;Setup!$D$5),"",IF(Setup!$M$68&gt;0,Setup!$G$68+(Setup!$O$68+BB$1)*Setup!$M$68,EDATE(Setup!$G$68,(Setup!$O$68+BB$1)*Setup!$N$68))+$A45/1000)))</f>
        <v/>
      </c>
    </row>
    <row r="46">
      <c r="A46" t="n">
        <v>45</v>
      </c>
      <c r="B46">
        <f>IF(OR(Setup!$E$69="",Setup!$G$69="",Setup!$F$69=""),"",IF(AND(Setup!$F$69="Once",B$1&gt;0),"",IF(OR(IF(Setup!$M$69&gt;0,Setup!$G$69+(Setup!$O$69+B$1)*Setup!$M$69,EDATE(Setup!$G$69,(Setup!$O$69+B$1)*Setup!$N$69))&gt;Setup!$P$69,IF(Setup!$M$69&gt;0,Setup!$G$69+(Setup!$O$69+B$1)*Setup!$M$69,EDATE(Setup!$G$69,(Setup!$O$69+B$1)*Setup!$N$69))&lt;Setup!$D$5),"",IF(Setup!$M$69&gt;0,Setup!$G$69+(Setup!$O$69+B$1)*Setup!$M$69,EDATE(Setup!$G$69,(Setup!$O$69+B$1)*Setup!$N$69))+$A46/1000)))</f>
        <v/>
      </c>
      <c r="C46">
        <f>IF(OR(Setup!$E$69="",Setup!$G$69="",Setup!$F$69=""),"",IF(AND(Setup!$F$69="Once",C$1&gt;0),"",IF(OR(IF(Setup!$M$69&gt;0,Setup!$G$69+(Setup!$O$69+C$1)*Setup!$M$69,EDATE(Setup!$G$69,(Setup!$O$69+C$1)*Setup!$N$69))&gt;Setup!$P$69,IF(Setup!$M$69&gt;0,Setup!$G$69+(Setup!$O$69+C$1)*Setup!$M$69,EDATE(Setup!$G$69,(Setup!$O$69+C$1)*Setup!$N$69))&lt;Setup!$D$5),"",IF(Setup!$M$69&gt;0,Setup!$G$69+(Setup!$O$69+C$1)*Setup!$M$69,EDATE(Setup!$G$69,(Setup!$O$69+C$1)*Setup!$N$69))+$A46/1000)))</f>
        <v/>
      </c>
      <c r="D46">
        <f>IF(OR(Setup!$E$69="",Setup!$G$69="",Setup!$F$69=""),"",IF(AND(Setup!$F$69="Once",D$1&gt;0),"",IF(OR(IF(Setup!$M$69&gt;0,Setup!$G$69+(Setup!$O$69+D$1)*Setup!$M$69,EDATE(Setup!$G$69,(Setup!$O$69+D$1)*Setup!$N$69))&gt;Setup!$P$69,IF(Setup!$M$69&gt;0,Setup!$G$69+(Setup!$O$69+D$1)*Setup!$M$69,EDATE(Setup!$G$69,(Setup!$O$69+D$1)*Setup!$N$69))&lt;Setup!$D$5),"",IF(Setup!$M$69&gt;0,Setup!$G$69+(Setup!$O$69+D$1)*Setup!$M$69,EDATE(Setup!$G$69,(Setup!$O$69+D$1)*Setup!$N$69))+$A46/1000)))</f>
        <v/>
      </c>
      <c r="E46">
        <f>IF(OR(Setup!$E$69="",Setup!$G$69="",Setup!$F$69=""),"",IF(AND(Setup!$F$69="Once",E$1&gt;0),"",IF(OR(IF(Setup!$M$69&gt;0,Setup!$G$69+(Setup!$O$69+E$1)*Setup!$M$69,EDATE(Setup!$G$69,(Setup!$O$69+E$1)*Setup!$N$69))&gt;Setup!$P$69,IF(Setup!$M$69&gt;0,Setup!$G$69+(Setup!$O$69+E$1)*Setup!$M$69,EDATE(Setup!$G$69,(Setup!$O$69+E$1)*Setup!$N$69))&lt;Setup!$D$5),"",IF(Setup!$M$69&gt;0,Setup!$G$69+(Setup!$O$69+E$1)*Setup!$M$69,EDATE(Setup!$G$69,(Setup!$O$69+E$1)*Setup!$N$69))+$A46/1000)))</f>
        <v/>
      </c>
      <c r="F46">
        <f>IF(OR(Setup!$E$69="",Setup!$G$69="",Setup!$F$69=""),"",IF(AND(Setup!$F$69="Once",F$1&gt;0),"",IF(OR(IF(Setup!$M$69&gt;0,Setup!$G$69+(Setup!$O$69+F$1)*Setup!$M$69,EDATE(Setup!$G$69,(Setup!$O$69+F$1)*Setup!$N$69))&gt;Setup!$P$69,IF(Setup!$M$69&gt;0,Setup!$G$69+(Setup!$O$69+F$1)*Setup!$M$69,EDATE(Setup!$G$69,(Setup!$O$69+F$1)*Setup!$N$69))&lt;Setup!$D$5),"",IF(Setup!$M$69&gt;0,Setup!$G$69+(Setup!$O$69+F$1)*Setup!$M$69,EDATE(Setup!$G$69,(Setup!$O$69+F$1)*Setup!$N$69))+$A46/1000)))</f>
        <v/>
      </c>
      <c r="G46">
        <f>IF(OR(Setup!$E$69="",Setup!$G$69="",Setup!$F$69=""),"",IF(AND(Setup!$F$69="Once",G$1&gt;0),"",IF(OR(IF(Setup!$M$69&gt;0,Setup!$G$69+(Setup!$O$69+G$1)*Setup!$M$69,EDATE(Setup!$G$69,(Setup!$O$69+G$1)*Setup!$N$69))&gt;Setup!$P$69,IF(Setup!$M$69&gt;0,Setup!$G$69+(Setup!$O$69+G$1)*Setup!$M$69,EDATE(Setup!$G$69,(Setup!$O$69+G$1)*Setup!$N$69))&lt;Setup!$D$5),"",IF(Setup!$M$69&gt;0,Setup!$G$69+(Setup!$O$69+G$1)*Setup!$M$69,EDATE(Setup!$G$69,(Setup!$O$69+G$1)*Setup!$N$69))+$A46/1000)))</f>
        <v/>
      </c>
      <c r="H46">
        <f>IF(OR(Setup!$E$69="",Setup!$G$69="",Setup!$F$69=""),"",IF(AND(Setup!$F$69="Once",H$1&gt;0),"",IF(OR(IF(Setup!$M$69&gt;0,Setup!$G$69+(Setup!$O$69+H$1)*Setup!$M$69,EDATE(Setup!$G$69,(Setup!$O$69+H$1)*Setup!$N$69))&gt;Setup!$P$69,IF(Setup!$M$69&gt;0,Setup!$G$69+(Setup!$O$69+H$1)*Setup!$M$69,EDATE(Setup!$G$69,(Setup!$O$69+H$1)*Setup!$N$69))&lt;Setup!$D$5),"",IF(Setup!$M$69&gt;0,Setup!$G$69+(Setup!$O$69+H$1)*Setup!$M$69,EDATE(Setup!$G$69,(Setup!$O$69+H$1)*Setup!$N$69))+$A46/1000)))</f>
        <v/>
      </c>
      <c r="I46">
        <f>IF(OR(Setup!$E$69="",Setup!$G$69="",Setup!$F$69=""),"",IF(AND(Setup!$F$69="Once",I$1&gt;0),"",IF(OR(IF(Setup!$M$69&gt;0,Setup!$G$69+(Setup!$O$69+I$1)*Setup!$M$69,EDATE(Setup!$G$69,(Setup!$O$69+I$1)*Setup!$N$69))&gt;Setup!$P$69,IF(Setup!$M$69&gt;0,Setup!$G$69+(Setup!$O$69+I$1)*Setup!$M$69,EDATE(Setup!$G$69,(Setup!$O$69+I$1)*Setup!$N$69))&lt;Setup!$D$5),"",IF(Setup!$M$69&gt;0,Setup!$G$69+(Setup!$O$69+I$1)*Setup!$M$69,EDATE(Setup!$G$69,(Setup!$O$69+I$1)*Setup!$N$69))+$A46/1000)))</f>
        <v/>
      </c>
      <c r="J46">
        <f>IF(OR(Setup!$E$69="",Setup!$G$69="",Setup!$F$69=""),"",IF(AND(Setup!$F$69="Once",J$1&gt;0),"",IF(OR(IF(Setup!$M$69&gt;0,Setup!$G$69+(Setup!$O$69+J$1)*Setup!$M$69,EDATE(Setup!$G$69,(Setup!$O$69+J$1)*Setup!$N$69))&gt;Setup!$P$69,IF(Setup!$M$69&gt;0,Setup!$G$69+(Setup!$O$69+J$1)*Setup!$M$69,EDATE(Setup!$G$69,(Setup!$O$69+J$1)*Setup!$N$69))&lt;Setup!$D$5),"",IF(Setup!$M$69&gt;0,Setup!$G$69+(Setup!$O$69+J$1)*Setup!$M$69,EDATE(Setup!$G$69,(Setup!$O$69+J$1)*Setup!$N$69))+$A46/1000)))</f>
        <v/>
      </c>
      <c r="K46">
        <f>IF(OR(Setup!$E$69="",Setup!$G$69="",Setup!$F$69=""),"",IF(AND(Setup!$F$69="Once",K$1&gt;0),"",IF(OR(IF(Setup!$M$69&gt;0,Setup!$G$69+(Setup!$O$69+K$1)*Setup!$M$69,EDATE(Setup!$G$69,(Setup!$O$69+K$1)*Setup!$N$69))&gt;Setup!$P$69,IF(Setup!$M$69&gt;0,Setup!$G$69+(Setup!$O$69+K$1)*Setup!$M$69,EDATE(Setup!$G$69,(Setup!$O$69+K$1)*Setup!$N$69))&lt;Setup!$D$5),"",IF(Setup!$M$69&gt;0,Setup!$G$69+(Setup!$O$69+K$1)*Setup!$M$69,EDATE(Setup!$G$69,(Setup!$O$69+K$1)*Setup!$N$69))+$A46/1000)))</f>
        <v/>
      </c>
      <c r="L46">
        <f>IF(OR(Setup!$E$69="",Setup!$G$69="",Setup!$F$69=""),"",IF(AND(Setup!$F$69="Once",L$1&gt;0),"",IF(OR(IF(Setup!$M$69&gt;0,Setup!$G$69+(Setup!$O$69+L$1)*Setup!$M$69,EDATE(Setup!$G$69,(Setup!$O$69+L$1)*Setup!$N$69))&gt;Setup!$P$69,IF(Setup!$M$69&gt;0,Setup!$G$69+(Setup!$O$69+L$1)*Setup!$M$69,EDATE(Setup!$G$69,(Setup!$O$69+L$1)*Setup!$N$69))&lt;Setup!$D$5),"",IF(Setup!$M$69&gt;0,Setup!$G$69+(Setup!$O$69+L$1)*Setup!$M$69,EDATE(Setup!$G$69,(Setup!$O$69+L$1)*Setup!$N$69))+$A46/1000)))</f>
        <v/>
      </c>
      <c r="M46">
        <f>IF(OR(Setup!$E$69="",Setup!$G$69="",Setup!$F$69=""),"",IF(AND(Setup!$F$69="Once",M$1&gt;0),"",IF(OR(IF(Setup!$M$69&gt;0,Setup!$G$69+(Setup!$O$69+M$1)*Setup!$M$69,EDATE(Setup!$G$69,(Setup!$O$69+M$1)*Setup!$N$69))&gt;Setup!$P$69,IF(Setup!$M$69&gt;0,Setup!$G$69+(Setup!$O$69+M$1)*Setup!$M$69,EDATE(Setup!$G$69,(Setup!$O$69+M$1)*Setup!$N$69))&lt;Setup!$D$5),"",IF(Setup!$M$69&gt;0,Setup!$G$69+(Setup!$O$69+M$1)*Setup!$M$69,EDATE(Setup!$G$69,(Setup!$O$69+M$1)*Setup!$N$69))+$A46/1000)))</f>
        <v/>
      </c>
      <c r="N46">
        <f>IF(OR(Setup!$E$69="",Setup!$G$69="",Setup!$F$69=""),"",IF(AND(Setup!$F$69="Once",N$1&gt;0),"",IF(OR(IF(Setup!$M$69&gt;0,Setup!$G$69+(Setup!$O$69+N$1)*Setup!$M$69,EDATE(Setup!$G$69,(Setup!$O$69+N$1)*Setup!$N$69))&gt;Setup!$P$69,IF(Setup!$M$69&gt;0,Setup!$G$69+(Setup!$O$69+N$1)*Setup!$M$69,EDATE(Setup!$G$69,(Setup!$O$69+N$1)*Setup!$N$69))&lt;Setup!$D$5),"",IF(Setup!$M$69&gt;0,Setup!$G$69+(Setup!$O$69+N$1)*Setup!$M$69,EDATE(Setup!$G$69,(Setup!$O$69+N$1)*Setup!$N$69))+$A46/1000)))</f>
        <v/>
      </c>
      <c r="O46">
        <f>IF(OR(Setup!$E$69="",Setup!$G$69="",Setup!$F$69=""),"",IF(AND(Setup!$F$69="Once",O$1&gt;0),"",IF(OR(IF(Setup!$M$69&gt;0,Setup!$G$69+(Setup!$O$69+O$1)*Setup!$M$69,EDATE(Setup!$G$69,(Setup!$O$69+O$1)*Setup!$N$69))&gt;Setup!$P$69,IF(Setup!$M$69&gt;0,Setup!$G$69+(Setup!$O$69+O$1)*Setup!$M$69,EDATE(Setup!$G$69,(Setup!$O$69+O$1)*Setup!$N$69))&lt;Setup!$D$5),"",IF(Setup!$M$69&gt;0,Setup!$G$69+(Setup!$O$69+O$1)*Setup!$M$69,EDATE(Setup!$G$69,(Setup!$O$69+O$1)*Setup!$N$69))+$A46/1000)))</f>
        <v/>
      </c>
      <c r="P46">
        <f>IF(OR(Setup!$E$69="",Setup!$G$69="",Setup!$F$69=""),"",IF(AND(Setup!$F$69="Once",P$1&gt;0),"",IF(OR(IF(Setup!$M$69&gt;0,Setup!$G$69+(Setup!$O$69+P$1)*Setup!$M$69,EDATE(Setup!$G$69,(Setup!$O$69+P$1)*Setup!$N$69))&gt;Setup!$P$69,IF(Setup!$M$69&gt;0,Setup!$G$69+(Setup!$O$69+P$1)*Setup!$M$69,EDATE(Setup!$G$69,(Setup!$O$69+P$1)*Setup!$N$69))&lt;Setup!$D$5),"",IF(Setup!$M$69&gt;0,Setup!$G$69+(Setup!$O$69+P$1)*Setup!$M$69,EDATE(Setup!$G$69,(Setup!$O$69+P$1)*Setup!$N$69))+$A46/1000)))</f>
        <v/>
      </c>
      <c r="Q46">
        <f>IF(OR(Setup!$E$69="",Setup!$G$69="",Setup!$F$69=""),"",IF(AND(Setup!$F$69="Once",Q$1&gt;0),"",IF(OR(IF(Setup!$M$69&gt;0,Setup!$G$69+(Setup!$O$69+Q$1)*Setup!$M$69,EDATE(Setup!$G$69,(Setup!$O$69+Q$1)*Setup!$N$69))&gt;Setup!$P$69,IF(Setup!$M$69&gt;0,Setup!$G$69+(Setup!$O$69+Q$1)*Setup!$M$69,EDATE(Setup!$G$69,(Setup!$O$69+Q$1)*Setup!$N$69))&lt;Setup!$D$5),"",IF(Setup!$M$69&gt;0,Setup!$G$69+(Setup!$O$69+Q$1)*Setup!$M$69,EDATE(Setup!$G$69,(Setup!$O$69+Q$1)*Setup!$N$69))+$A46/1000)))</f>
        <v/>
      </c>
      <c r="R46">
        <f>IF(OR(Setup!$E$69="",Setup!$G$69="",Setup!$F$69=""),"",IF(AND(Setup!$F$69="Once",R$1&gt;0),"",IF(OR(IF(Setup!$M$69&gt;0,Setup!$G$69+(Setup!$O$69+R$1)*Setup!$M$69,EDATE(Setup!$G$69,(Setup!$O$69+R$1)*Setup!$N$69))&gt;Setup!$P$69,IF(Setup!$M$69&gt;0,Setup!$G$69+(Setup!$O$69+R$1)*Setup!$M$69,EDATE(Setup!$G$69,(Setup!$O$69+R$1)*Setup!$N$69))&lt;Setup!$D$5),"",IF(Setup!$M$69&gt;0,Setup!$G$69+(Setup!$O$69+R$1)*Setup!$M$69,EDATE(Setup!$G$69,(Setup!$O$69+R$1)*Setup!$N$69))+$A46/1000)))</f>
        <v/>
      </c>
      <c r="S46">
        <f>IF(OR(Setup!$E$69="",Setup!$G$69="",Setup!$F$69=""),"",IF(AND(Setup!$F$69="Once",S$1&gt;0),"",IF(OR(IF(Setup!$M$69&gt;0,Setup!$G$69+(Setup!$O$69+S$1)*Setup!$M$69,EDATE(Setup!$G$69,(Setup!$O$69+S$1)*Setup!$N$69))&gt;Setup!$P$69,IF(Setup!$M$69&gt;0,Setup!$G$69+(Setup!$O$69+S$1)*Setup!$M$69,EDATE(Setup!$G$69,(Setup!$O$69+S$1)*Setup!$N$69))&lt;Setup!$D$5),"",IF(Setup!$M$69&gt;0,Setup!$G$69+(Setup!$O$69+S$1)*Setup!$M$69,EDATE(Setup!$G$69,(Setup!$O$69+S$1)*Setup!$N$69))+$A46/1000)))</f>
        <v/>
      </c>
      <c r="T46">
        <f>IF(OR(Setup!$E$69="",Setup!$G$69="",Setup!$F$69=""),"",IF(AND(Setup!$F$69="Once",T$1&gt;0),"",IF(OR(IF(Setup!$M$69&gt;0,Setup!$G$69+(Setup!$O$69+T$1)*Setup!$M$69,EDATE(Setup!$G$69,(Setup!$O$69+T$1)*Setup!$N$69))&gt;Setup!$P$69,IF(Setup!$M$69&gt;0,Setup!$G$69+(Setup!$O$69+T$1)*Setup!$M$69,EDATE(Setup!$G$69,(Setup!$O$69+T$1)*Setup!$N$69))&lt;Setup!$D$5),"",IF(Setup!$M$69&gt;0,Setup!$G$69+(Setup!$O$69+T$1)*Setup!$M$69,EDATE(Setup!$G$69,(Setup!$O$69+T$1)*Setup!$N$69))+$A46/1000)))</f>
        <v/>
      </c>
      <c r="U46">
        <f>IF(OR(Setup!$E$69="",Setup!$G$69="",Setup!$F$69=""),"",IF(AND(Setup!$F$69="Once",U$1&gt;0),"",IF(OR(IF(Setup!$M$69&gt;0,Setup!$G$69+(Setup!$O$69+U$1)*Setup!$M$69,EDATE(Setup!$G$69,(Setup!$O$69+U$1)*Setup!$N$69))&gt;Setup!$P$69,IF(Setup!$M$69&gt;0,Setup!$G$69+(Setup!$O$69+U$1)*Setup!$M$69,EDATE(Setup!$G$69,(Setup!$O$69+U$1)*Setup!$N$69))&lt;Setup!$D$5),"",IF(Setup!$M$69&gt;0,Setup!$G$69+(Setup!$O$69+U$1)*Setup!$M$69,EDATE(Setup!$G$69,(Setup!$O$69+U$1)*Setup!$N$69))+$A46/1000)))</f>
        <v/>
      </c>
      <c r="V46">
        <f>IF(OR(Setup!$E$69="",Setup!$G$69="",Setup!$F$69=""),"",IF(AND(Setup!$F$69="Once",V$1&gt;0),"",IF(OR(IF(Setup!$M$69&gt;0,Setup!$G$69+(Setup!$O$69+V$1)*Setup!$M$69,EDATE(Setup!$G$69,(Setup!$O$69+V$1)*Setup!$N$69))&gt;Setup!$P$69,IF(Setup!$M$69&gt;0,Setup!$G$69+(Setup!$O$69+V$1)*Setup!$M$69,EDATE(Setup!$G$69,(Setup!$O$69+V$1)*Setup!$N$69))&lt;Setup!$D$5),"",IF(Setup!$M$69&gt;0,Setup!$G$69+(Setup!$O$69+V$1)*Setup!$M$69,EDATE(Setup!$G$69,(Setup!$O$69+V$1)*Setup!$N$69))+$A46/1000)))</f>
        <v/>
      </c>
      <c r="W46">
        <f>IF(OR(Setup!$E$69="",Setup!$G$69="",Setup!$F$69=""),"",IF(AND(Setup!$F$69="Once",W$1&gt;0),"",IF(OR(IF(Setup!$M$69&gt;0,Setup!$G$69+(Setup!$O$69+W$1)*Setup!$M$69,EDATE(Setup!$G$69,(Setup!$O$69+W$1)*Setup!$N$69))&gt;Setup!$P$69,IF(Setup!$M$69&gt;0,Setup!$G$69+(Setup!$O$69+W$1)*Setup!$M$69,EDATE(Setup!$G$69,(Setup!$O$69+W$1)*Setup!$N$69))&lt;Setup!$D$5),"",IF(Setup!$M$69&gt;0,Setup!$G$69+(Setup!$O$69+W$1)*Setup!$M$69,EDATE(Setup!$G$69,(Setup!$O$69+W$1)*Setup!$N$69))+$A46/1000)))</f>
        <v/>
      </c>
      <c r="X46">
        <f>IF(OR(Setup!$E$69="",Setup!$G$69="",Setup!$F$69=""),"",IF(AND(Setup!$F$69="Once",X$1&gt;0),"",IF(OR(IF(Setup!$M$69&gt;0,Setup!$G$69+(Setup!$O$69+X$1)*Setup!$M$69,EDATE(Setup!$G$69,(Setup!$O$69+X$1)*Setup!$N$69))&gt;Setup!$P$69,IF(Setup!$M$69&gt;0,Setup!$G$69+(Setup!$O$69+X$1)*Setup!$M$69,EDATE(Setup!$G$69,(Setup!$O$69+X$1)*Setup!$N$69))&lt;Setup!$D$5),"",IF(Setup!$M$69&gt;0,Setup!$G$69+(Setup!$O$69+X$1)*Setup!$M$69,EDATE(Setup!$G$69,(Setup!$O$69+X$1)*Setup!$N$69))+$A46/1000)))</f>
        <v/>
      </c>
      <c r="Y46">
        <f>IF(OR(Setup!$E$69="",Setup!$G$69="",Setup!$F$69=""),"",IF(AND(Setup!$F$69="Once",Y$1&gt;0),"",IF(OR(IF(Setup!$M$69&gt;0,Setup!$G$69+(Setup!$O$69+Y$1)*Setup!$M$69,EDATE(Setup!$G$69,(Setup!$O$69+Y$1)*Setup!$N$69))&gt;Setup!$P$69,IF(Setup!$M$69&gt;0,Setup!$G$69+(Setup!$O$69+Y$1)*Setup!$M$69,EDATE(Setup!$G$69,(Setup!$O$69+Y$1)*Setup!$N$69))&lt;Setup!$D$5),"",IF(Setup!$M$69&gt;0,Setup!$G$69+(Setup!$O$69+Y$1)*Setup!$M$69,EDATE(Setup!$G$69,(Setup!$O$69+Y$1)*Setup!$N$69))+$A46/1000)))</f>
        <v/>
      </c>
      <c r="Z46">
        <f>IF(OR(Setup!$E$69="",Setup!$G$69="",Setup!$F$69=""),"",IF(AND(Setup!$F$69="Once",Z$1&gt;0),"",IF(OR(IF(Setup!$M$69&gt;0,Setup!$G$69+(Setup!$O$69+Z$1)*Setup!$M$69,EDATE(Setup!$G$69,(Setup!$O$69+Z$1)*Setup!$N$69))&gt;Setup!$P$69,IF(Setup!$M$69&gt;0,Setup!$G$69+(Setup!$O$69+Z$1)*Setup!$M$69,EDATE(Setup!$G$69,(Setup!$O$69+Z$1)*Setup!$N$69))&lt;Setup!$D$5),"",IF(Setup!$M$69&gt;0,Setup!$G$69+(Setup!$O$69+Z$1)*Setup!$M$69,EDATE(Setup!$G$69,(Setup!$O$69+Z$1)*Setup!$N$69))+$A46/1000)))</f>
        <v/>
      </c>
      <c r="AA46">
        <f>IF(OR(Setup!$E$69="",Setup!$G$69="",Setup!$F$69=""),"",IF(AND(Setup!$F$69="Once",AA$1&gt;0),"",IF(OR(IF(Setup!$M$69&gt;0,Setup!$G$69+(Setup!$O$69+AA$1)*Setup!$M$69,EDATE(Setup!$G$69,(Setup!$O$69+AA$1)*Setup!$N$69))&gt;Setup!$P$69,IF(Setup!$M$69&gt;0,Setup!$G$69+(Setup!$O$69+AA$1)*Setup!$M$69,EDATE(Setup!$G$69,(Setup!$O$69+AA$1)*Setup!$N$69))&lt;Setup!$D$5),"",IF(Setup!$M$69&gt;0,Setup!$G$69+(Setup!$O$69+AA$1)*Setup!$M$69,EDATE(Setup!$G$69,(Setup!$O$69+AA$1)*Setup!$N$69))+$A46/1000)))</f>
        <v/>
      </c>
      <c r="AB46">
        <f>IF(OR(Setup!$E$69="",Setup!$G$69="",Setup!$F$69=""),"",IF(AND(Setup!$F$69="Once",AB$1&gt;0),"",IF(OR(IF(Setup!$M$69&gt;0,Setup!$G$69+(Setup!$O$69+AB$1)*Setup!$M$69,EDATE(Setup!$G$69,(Setup!$O$69+AB$1)*Setup!$N$69))&gt;Setup!$P$69,IF(Setup!$M$69&gt;0,Setup!$G$69+(Setup!$O$69+AB$1)*Setup!$M$69,EDATE(Setup!$G$69,(Setup!$O$69+AB$1)*Setup!$N$69))&lt;Setup!$D$5),"",IF(Setup!$M$69&gt;0,Setup!$G$69+(Setup!$O$69+AB$1)*Setup!$M$69,EDATE(Setup!$G$69,(Setup!$O$69+AB$1)*Setup!$N$69))+$A46/1000)))</f>
        <v/>
      </c>
      <c r="AC46">
        <f>IF(OR(Setup!$E$69="",Setup!$G$69="",Setup!$F$69=""),"",IF(AND(Setup!$F$69="Once",AC$1&gt;0),"",IF(OR(IF(Setup!$M$69&gt;0,Setup!$G$69+(Setup!$O$69+AC$1)*Setup!$M$69,EDATE(Setup!$G$69,(Setup!$O$69+AC$1)*Setup!$N$69))&gt;Setup!$P$69,IF(Setup!$M$69&gt;0,Setup!$G$69+(Setup!$O$69+AC$1)*Setup!$M$69,EDATE(Setup!$G$69,(Setup!$O$69+AC$1)*Setup!$N$69))&lt;Setup!$D$5),"",IF(Setup!$M$69&gt;0,Setup!$G$69+(Setup!$O$69+AC$1)*Setup!$M$69,EDATE(Setup!$G$69,(Setup!$O$69+AC$1)*Setup!$N$69))+$A46/1000)))</f>
        <v/>
      </c>
      <c r="AD46">
        <f>IF(OR(Setup!$E$69="",Setup!$G$69="",Setup!$F$69=""),"",IF(AND(Setup!$F$69="Once",AD$1&gt;0),"",IF(OR(IF(Setup!$M$69&gt;0,Setup!$G$69+(Setup!$O$69+AD$1)*Setup!$M$69,EDATE(Setup!$G$69,(Setup!$O$69+AD$1)*Setup!$N$69))&gt;Setup!$P$69,IF(Setup!$M$69&gt;0,Setup!$G$69+(Setup!$O$69+AD$1)*Setup!$M$69,EDATE(Setup!$G$69,(Setup!$O$69+AD$1)*Setup!$N$69))&lt;Setup!$D$5),"",IF(Setup!$M$69&gt;0,Setup!$G$69+(Setup!$O$69+AD$1)*Setup!$M$69,EDATE(Setup!$G$69,(Setup!$O$69+AD$1)*Setup!$N$69))+$A46/1000)))</f>
        <v/>
      </c>
      <c r="AE46">
        <f>IF(OR(Setup!$E$69="",Setup!$G$69="",Setup!$F$69=""),"",IF(AND(Setup!$F$69="Once",AE$1&gt;0),"",IF(OR(IF(Setup!$M$69&gt;0,Setup!$G$69+(Setup!$O$69+AE$1)*Setup!$M$69,EDATE(Setup!$G$69,(Setup!$O$69+AE$1)*Setup!$N$69))&gt;Setup!$P$69,IF(Setup!$M$69&gt;0,Setup!$G$69+(Setup!$O$69+AE$1)*Setup!$M$69,EDATE(Setup!$G$69,(Setup!$O$69+AE$1)*Setup!$N$69))&lt;Setup!$D$5),"",IF(Setup!$M$69&gt;0,Setup!$G$69+(Setup!$O$69+AE$1)*Setup!$M$69,EDATE(Setup!$G$69,(Setup!$O$69+AE$1)*Setup!$N$69))+$A46/1000)))</f>
        <v/>
      </c>
      <c r="AF46">
        <f>IF(OR(Setup!$E$69="",Setup!$G$69="",Setup!$F$69=""),"",IF(AND(Setup!$F$69="Once",AF$1&gt;0),"",IF(OR(IF(Setup!$M$69&gt;0,Setup!$G$69+(Setup!$O$69+AF$1)*Setup!$M$69,EDATE(Setup!$G$69,(Setup!$O$69+AF$1)*Setup!$N$69))&gt;Setup!$P$69,IF(Setup!$M$69&gt;0,Setup!$G$69+(Setup!$O$69+AF$1)*Setup!$M$69,EDATE(Setup!$G$69,(Setup!$O$69+AF$1)*Setup!$N$69))&lt;Setup!$D$5),"",IF(Setup!$M$69&gt;0,Setup!$G$69+(Setup!$O$69+AF$1)*Setup!$M$69,EDATE(Setup!$G$69,(Setup!$O$69+AF$1)*Setup!$N$69))+$A46/1000)))</f>
        <v/>
      </c>
      <c r="AG46">
        <f>IF(OR(Setup!$E$69="",Setup!$G$69="",Setup!$F$69=""),"",IF(AND(Setup!$F$69="Once",AG$1&gt;0),"",IF(OR(IF(Setup!$M$69&gt;0,Setup!$G$69+(Setup!$O$69+AG$1)*Setup!$M$69,EDATE(Setup!$G$69,(Setup!$O$69+AG$1)*Setup!$N$69))&gt;Setup!$P$69,IF(Setup!$M$69&gt;0,Setup!$G$69+(Setup!$O$69+AG$1)*Setup!$M$69,EDATE(Setup!$G$69,(Setup!$O$69+AG$1)*Setup!$N$69))&lt;Setup!$D$5),"",IF(Setup!$M$69&gt;0,Setup!$G$69+(Setup!$O$69+AG$1)*Setup!$M$69,EDATE(Setup!$G$69,(Setup!$O$69+AG$1)*Setup!$N$69))+$A46/1000)))</f>
        <v/>
      </c>
      <c r="AH46">
        <f>IF(OR(Setup!$E$69="",Setup!$G$69="",Setup!$F$69=""),"",IF(AND(Setup!$F$69="Once",AH$1&gt;0),"",IF(OR(IF(Setup!$M$69&gt;0,Setup!$G$69+(Setup!$O$69+AH$1)*Setup!$M$69,EDATE(Setup!$G$69,(Setup!$O$69+AH$1)*Setup!$N$69))&gt;Setup!$P$69,IF(Setup!$M$69&gt;0,Setup!$G$69+(Setup!$O$69+AH$1)*Setup!$M$69,EDATE(Setup!$G$69,(Setup!$O$69+AH$1)*Setup!$N$69))&lt;Setup!$D$5),"",IF(Setup!$M$69&gt;0,Setup!$G$69+(Setup!$O$69+AH$1)*Setup!$M$69,EDATE(Setup!$G$69,(Setup!$O$69+AH$1)*Setup!$N$69))+$A46/1000)))</f>
        <v/>
      </c>
      <c r="AI46">
        <f>IF(OR(Setup!$E$69="",Setup!$G$69="",Setup!$F$69=""),"",IF(AND(Setup!$F$69="Once",AI$1&gt;0),"",IF(OR(IF(Setup!$M$69&gt;0,Setup!$G$69+(Setup!$O$69+AI$1)*Setup!$M$69,EDATE(Setup!$G$69,(Setup!$O$69+AI$1)*Setup!$N$69))&gt;Setup!$P$69,IF(Setup!$M$69&gt;0,Setup!$G$69+(Setup!$O$69+AI$1)*Setup!$M$69,EDATE(Setup!$G$69,(Setup!$O$69+AI$1)*Setup!$N$69))&lt;Setup!$D$5),"",IF(Setup!$M$69&gt;0,Setup!$G$69+(Setup!$O$69+AI$1)*Setup!$M$69,EDATE(Setup!$G$69,(Setup!$O$69+AI$1)*Setup!$N$69))+$A46/1000)))</f>
        <v/>
      </c>
      <c r="AJ46">
        <f>IF(OR(Setup!$E$69="",Setup!$G$69="",Setup!$F$69=""),"",IF(AND(Setup!$F$69="Once",AJ$1&gt;0),"",IF(OR(IF(Setup!$M$69&gt;0,Setup!$G$69+(Setup!$O$69+AJ$1)*Setup!$M$69,EDATE(Setup!$G$69,(Setup!$O$69+AJ$1)*Setup!$N$69))&gt;Setup!$P$69,IF(Setup!$M$69&gt;0,Setup!$G$69+(Setup!$O$69+AJ$1)*Setup!$M$69,EDATE(Setup!$G$69,(Setup!$O$69+AJ$1)*Setup!$N$69))&lt;Setup!$D$5),"",IF(Setup!$M$69&gt;0,Setup!$G$69+(Setup!$O$69+AJ$1)*Setup!$M$69,EDATE(Setup!$G$69,(Setup!$O$69+AJ$1)*Setup!$N$69))+$A46/1000)))</f>
        <v/>
      </c>
      <c r="AK46">
        <f>IF(OR(Setup!$E$69="",Setup!$G$69="",Setup!$F$69=""),"",IF(AND(Setup!$F$69="Once",AK$1&gt;0),"",IF(OR(IF(Setup!$M$69&gt;0,Setup!$G$69+(Setup!$O$69+AK$1)*Setup!$M$69,EDATE(Setup!$G$69,(Setup!$O$69+AK$1)*Setup!$N$69))&gt;Setup!$P$69,IF(Setup!$M$69&gt;0,Setup!$G$69+(Setup!$O$69+AK$1)*Setup!$M$69,EDATE(Setup!$G$69,(Setup!$O$69+AK$1)*Setup!$N$69))&lt;Setup!$D$5),"",IF(Setup!$M$69&gt;0,Setup!$G$69+(Setup!$O$69+AK$1)*Setup!$M$69,EDATE(Setup!$G$69,(Setup!$O$69+AK$1)*Setup!$N$69))+$A46/1000)))</f>
        <v/>
      </c>
      <c r="AL46">
        <f>IF(OR(Setup!$E$69="",Setup!$G$69="",Setup!$F$69=""),"",IF(AND(Setup!$F$69="Once",AL$1&gt;0),"",IF(OR(IF(Setup!$M$69&gt;0,Setup!$G$69+(Setup!$O$69+AL$1)*Setup!$M$69,EDATE(Setup!$G$69,(Setup!$O$69+AL$1)*Setup!$N$69))&gt;Setup!$P$69,IF(Setup!$M$69&gt;0,Setup!$G$69+(Setup!$O$69+AL$1)*Setup!$M$69,EDATE(Setup!$G$69,(Setup!$O$69+AL$1)*Setup!$N$69))&lt;Setup!$D$5),"",IF(Setup!$M$69&gt;0,Setup!$G$69+(Setup!$O$69+AL$1)*Setup!$M$69,EDATE(Setup!$G$69,(Setup!$O$69+AL$1)*Setup!$N$69))+$A46/1000)))</f>
        <v/>
      </c>
      <c r="AM46">
        <f>IF(OR(Setup!$E$69="",Setup!$G$69="",Setup!$F$69=""),"",IF(AND(Setup!$F$69="Once",AM$1&gt;0),"",IF(OR(IF(Setup!$M$69&gt;0,Setup!$G$69+(Setup!$O$69+AM$1)*Setup!$M$69,EDATE(Setup!$G$69,(Setup!$O$69+AM$1)*Setup!$N$69))&gt;Setup!$P$69,IF(Setup!$M$69&gt;0,Setup!$G$69+(Setup!$O$69+AM$1)*Setup!$M$69,EDATE(Setup!$G$69,(Setup!$O$69+AM$1)*Setup!$N$69))&lt;Setup!$D$5),"",IF(Setup!$M$69&gt;0,Setup!$G$69+(Setup!$O$69+AM$1)*Setup!$M$69,EDATE(Setup!$G$69,(Setup!$O$69+AM$1)*Setup!$N$69))+$A46/1000)))</f>
        <v/>
      </c>
      <c r="AN46">
        <f>IF(OR(Setup!$E$69="",Setup!$G$69="",Setup!$F$69=""),"",IF(AND(Setup!$F$69="Once",AN$1&gt;0),"",IF(OR(IF(Setup!$M$69&gt;0,Setup!$G$69+(Setup!$O$69+AN$1)*Setup!$M$69,EDATE(Setup!$G$69,(Setup!$O$69+AN$1)*Setup!$N$69))&gt;Setup!$P$69,IF(Setup!$M$69&gt;0,Setup!$G$69+(Setup!$O$69+AN$1)*Setup!$M$69,EDATE(Setup!$G$69,(Setup!$O$69+AN$1)*Setup!$N$69))&lt;Setup!$D$5),"",IF(Setup!$M$69&gt;0,Setup!$G$69+(Setup!$O$69+AN$1)*Setup!$M$69,EDATE(Setup!$G$69,(Setup!$O$69+AN$1)*Setup!$N$69))+$A46/1000)))</f>
        <v/>
      </c>
      <c r="AO46">
        <f>IF(OR(Setup!$E$69="",Setup!$G$69="",Setup!$F$69=""),"",IF(AND(Setup!$F$69="Once",AO$1&gt;0),"",IF(OR(IF(Setup!$M$69&gt;0,Setup!$G$69+(Setup!$O$69+AO$1)*Setup!$M$69,EDATE(Setup!$G$69,(Setup!$O$69+AO$1)*Setup!$N$69))&gt;Setup!$P$69,IF(Setup!$M$69&gt;0,Setup!$G$69+(Setup!$O$69+AO$1)*Setup!$M$69,EDATE(Setup!$G$69,(Setup!$O$69+AO$1)*Setup!$N$69))&lt;Setup!$D$5),"",IF(Setup!$M$69&gt;0,Setup!$G$69+(Setup!$O$69+AO$1)*Setup!$M$69,EDATE(Setup!$G$69,(Setup!$O$69+AO$1)*Setup!$N$69))+$A46/1000)))</f>
        <v/>
      </c>
      <c r="AP46">
        <f>IF(OR(Setup!$E$69="",Setup!$G$69="",Setup!$F$69=""),"",IF(AND(Setup!$F$69="Once",AP$1&gt;0),"",IF(OR(IF(Setup!$M$69&gt;0,Setup!$G$69+(Setup!$O$69+AP$1)*Setup!$M$69,EDATE(Setup!$G$69,(Setup!$O$69+AP$1)*Setup!$N$69))&gt;Setup!$P$69,IF(Setup!$M$69&gt;0,Setup!$G$69+(Setup!$O$69+AP$1)*Setup!$M$69,EDATE(Setup!$G$69,(Setup!$O$69+AP$1)*Setup!$N$69))&lt;Setup!$D$5),"",IF(Setup!$M$69&gt;0,Setup!$G$69+(Setup!$O$69+AP$1)*Setup!$M$69,EDATE(Setup!$G$69,(Setup!$O$69+AP$1)*Setup!$N$69))+$A46/1000)))</f>
        <v/>
      </c>
      <c r="AQ46">
        <f>IF(OR(Setup!$E$69="",Setup!$G$69="",Setup!$F$69=""),"",IF(AND(Setup!$F$69="Once",AQ$1&gt;0),"",IF(OR(IF(Setup!$M$69&gt;0,Setup!$G$69+(Setup!$O$69+AQ$1)*Setup!$M$69,EDATE(Setup!$G$69,(Setup!$O$69+AQ$1)*Setup!$N$69))&gt;Setup!$P$69,IF(Setup!$M$69&gt;0,Setup!$G$69+(Setup!$O$69+AQ$1)*Setup!$M$69,EDATE(Setup!$G$69,(Setup!$O$69+AQ$1)*Setup!$N$69))&lt;Setup!$D$5),"",IF(Setup!$M$69&gt;0,Setup!$G$69+(Setup!$O$69+AQ$1)*Setup!$M$69,EDATE(Setup!$G$69,(Setup!$O$69+AQ$1)*Setup!$N$69))+$A46/1000)))</f>
        <v/>
      </c>
      <c r="AR46">
        <f>IF(OR(Setup!$E$69="",Setup!$G$69="",Setup!$F$69=""),"",IF(AND(Setup!$F$69="Once",AR$1&gt;0),"",IF(OR(IF(Setup!$M$69&gt;0,Setup!$G$69+(Setup!$O$69+AR$1)*Setup!$M$69,EDATE(Setup!$G$69,(Setup!$O$69+AR$1)*Setup!$N$69))&gt;Setup!$P$69,IF(Setup!$M$69&gt;0,Setup!$G$69+(Setup!$O$69+AR$1)*Setup!$M$69,EDATE(Setup!$G$69,(Setup!$O$69+AR$1)*Setup!$N$69))&lt;Setup!$D$5),"",IF(Setup!$M$69&gt;0,Setup!$G$69+(Setup!$O$69+AR$1)*Setup!$M$69,EDATE(Setup!$G$69,(Setup!$O$69+AR$1)*Setup!$N$69))+$A46/1000)))</f>
        <v/>
      </c>
      <c r="AS46">
        <f>IF(OR(Setup!$E$69="",Setup!$G$69="",Setup!$F$69=""),"",IF(AND(Setup!$F$69="Once",AS$1&gt;0),"",IF(OR(IF(Setup!$M$69&gt;0,Setup!$G$69+(Setup!$O$69+AS$1)*Setup!$M$69,EDATE(Setup!$G$69,(Setup!$O$69+AS$1)*Setup!$N$69))&gt;Setup!$P$69,IF(Setup!$M$69&gt;0,Setup!$G$69+(Setup!$O$69+AS$1)*Setup!$M$69,EDATE(Setup!$G$69,(Setup!$O$69+AS$1)*Setup!$N$69))&lt;Setup!$D$5),"",IF(Setup!$M$69&gt;0,Setup!$G$69+(Setup!$O$69+AS$1)*Setup!$M$69,EDATE(Setup!$G$69,(Setup!$O$69+AS$1)*Setup!$N$69))+$A46/1000)))</f>
        <v/>
      </c>
      <c r="AT46">
        <f>IF(OR(Setup!$E$69="",Setup!$G$69="",Setup!$F$69=""),"",IF(AND(Setup!$F$69="Once",AT$1&gt;0),"",IF(OR(IF(Setup!$M$69&gt;0,Setup!$G$69+(Setup!$O$69+AT$1)*Setup!$M$69,EDATE(Setup!$G$69,(Setup!$O$69+AT$1)*Setup!$N$69))&gt;Setup!$P$69,IF(Setup!$M$69&gt;0,Setup!$G$69+(Setup!$O$69+AT$1)*Setup!$M$69,EDATE(Setup!$G$69,(Setup!$O$69+AT$1)*Setup!$N$69))&lt;Setup!$D$5),"",IF(Setup!$M$69&gt;0,Setup!$G$69+(Setup!$O$69+AT$1)*Setup!$M$69,EDATE(Setup!$G$69,(Setup!$O$69+AT$1)*Setup!$N$69))+$A46/1000)))</f>
        <v/>
      </c>
      <c r="AU46">
        <f>IF(OR(Setup!$E$69="",Setup!$G$69="",Setup!$F$69=""),"",IF(AND(Setup!$F$69="Once",AU$1&gt;0),"",IF(OR(IF(Setup!$M$69&gt;0,Setup!$G$69+(Setup!$O$69+AU$1)*Setup!$M$69,EDATE(Setup!$G$69,(Setup!$O$69+AU$1)*Setup!$N$69))&gt;Setup!$P$69,IF(Setup!$M$69&gt;0,Setup!$G$69+(Setup!$O$69+AU$1)*Setup!$M$69,EDATE(Setup!$G$69,(Setup!$O$69+AU$1)*Setup!$N$69))&lt;Setup!$D$5),"",IF(Setup!$M$69&gt;0,Setup!$G$69+(Setup!$O$69+AU$1)*Setup!$M$69,EDATE(Setup!$G$69,(Setup!$O$69+AU$1)*Setup!$N$69))+$A46/1000)))</f>
        <v/>
      </c>
      <c r="AV46">
        <f>IF(OR(Setup!$E$69="",Setup!$G$69="",Setup!$F$69=""),"",IF(AND(Setup!$F$69="Once",AV$1&gt;0),"",IF(OR(IF(Setup!$M$69&gt;0,Setup!$G$69+(Setup!$O$69+AV$1)*Setup!$M$69,EDATE(Setup!$G$69,(Setup!$O$69+AV$1)*Setup!$N$69))&gt;Setup!$P$69,IF(Setup!$M$69&gt;0,Setup!$G$69+(Setup!$O$69+AV$1)*Setup!$M$69,EDATE(Setup!$G$69,(Setup!$O$69+AV$1)*Setup!$N$69))&lt;Setup!$D$5),"",IF(Setup!$M$69&gt;0,Setup!$G$69+(Setup!$O$69+AV$1)*Setup!$M$69,EDATE(Setup!$G$69,(Setup!$O$69+AV$1)*Setup!$N$69))+$A46/1000)))</f>
        <v/>
      </c>
      <c r="AW46">
        <f>IF(OR(Setup!$E$69="",Setup!$G$69="",Setup!$F$69=""),"",IF(AND(Setup!$F$69="Once",AW$1&gt;0),"",IF(OR(IF(Setup!$M$69&gt;0,Setup!$G$69+(Setup!$O$69+AW$1)*Setup!$M$69,EDATE(Setup!$G$69,(Setup!$O$69+AW$1)*Setup!$N$69))&gt;Setup!$P$69,IF(Setup!$M$69&gt;0,Setup!$G$69+(Setup!$O$69+AW$1)*Setup!$M$69,EDATE(Setup!$G$69,(Setup!$O$69+AW$1)*Setup!$N$69))&lt;Setup!$D$5),"",IF(Setup!$M$69&gt;0,Setup!$G$69+(Setup!$O$69+AW$1)*Setup!$M$69,EDATE(Setup!$G$69,(Setup!$O$69+AW$1)*Setup!$N$69))+$A46/1000)))</f>
        <v/>
      </c>
      <c r="AX46">
        <f>IF(OR(Setup!$E$69="",Setup!$G$69="",Setup!$F$69=""),"",IF(AND(Setup!$F$69="Once",AX$1&gt;0),"",IF(OR(IF(Setup!$M$69&gt;0,Setup!$G$69+(Setup!$O$69+AX$1)*Setup!$M$69,EDATE(Setup!$G$69,(Setup!$O$69+AX$1)*Setup!$N$69))&gt;Setup!$P$69,IF(Setup!$M$69&gt;0,Setup!$G$69+(Setup!$O$69+AX$1)*Setup!$M$69,EDATE(Setup!$G$69,(Setup!$O$69+AX$1)*Setup!$N$69))&lt;Setup!$D$5),"",IF(Setup!$M$69&gt;0,Setup!$G$69+(Setup!$O$69+AX$1)*Setup!$M$69,EDATE(Setup!$G$69,(Setup!$O$69+AX$1)*Setup!$N$69))+$A46/1000)))</f>
        <v/>
      </c>
      <c r="AY46">
        <f>IF(OR(Setup!$E$69="",Setup!$G$69="",Setup!$F$69=""),"",IF(AND(Setup!$F$69="Once",AY$1&gt;0),"",IF(OR(IF(Setup!$M$69&gt;0,Setup!$G$69+(Setup!$O$69+AY$1)*Setup!$M$69,EDATE(Setup!$G$69,(Setup!$O$69+AY$1)*Setup!$N$69))&gt;Setup!$P$69,IF(Setup!$M$69&gt;0,Setup!$G$69+(Setup!$O$69+AY$1)*Setup!$M$69,EDATE(Setup!$G$69,(Setup!$O$69+AY$1)*Setup!$N$69))&lt;Setup!$D$5),"",IF(Setup!$M$69&gt;0,Setup!$G$69+(Setup!$O$69+AY$1)*Setup!$M$69,EDATE(Setup!$G$69,(Setup!$O$69+AY$1)*Setup!$N$69))+$A46/1000)))</f>
        <v/>
      </c>
      <c r="AZ46">
        <f>IF(OR(Setup!$E$69="",Setup!$G$69="",Setup!$F$69=""),"",IF(AND(Setup!$F$69="Once",AZ$1&gt;0),"",IF(OR(IF(Setup!$M$69&gt;0,Setup!$G$69+(Setup!$O$69+AZ$1)*Setup!$M$69,EDATE(Setup!$G$69,(Setup!$O$69+AZ$1)*Setup!$N$69))&gt;Setup!$P$69,IF(Setup!$M$69&gt;0,Setup!$G$69+(Setup!$O$69+AZ$1)*Setup!$M$69,EDATE(Setup!$G$69,(Setup!$O$69+AZ$1)*Setup!$N$69))&lt;Setup!$D$5),"",IF(Setup!$M$69&gt;0,Setup!$G$69+(Setup!$O$69+AZ$1)*Setup!$M$69,EDATE(Setup!$G$69,(Setup!$O$69+AZ$1)*Setup!$N$69))+$A46/1000)))</f>
        <v/>
      </c>
      <c r="BA46">
        <f>IF(OR(Setup!$E$69="",Setup!$G$69="",Setup!$F$69=""),"",IF(AND(Setup!$F$69="Once",BA$1&gt;0),"",IF(OR(IF(Setup!$M$69&gt;0,Setup!$G$69+(Setup!$O$69+BA$1)*Setup!$M$69,EDATE(Setup!$G$69,(Setup!$O$69+BA$1)*Setup!$N$69))&gt;Setup!$P$69,IF(Setup!$M$69&gt;0,Setup!$G$69+(Setup!$O$69+BA$1)*Setup!$M$69,EDATE(Setup!$G$69,(Setup!$O$69+BA$1)*Setup!$N$69))&lt;Setup!$D$5),"",IF(Setup!$M$69&gt;0,Setup!$G$69+(Setup!$O$69+BA$1)*Setup!$M$69,EDATE(Setup!$G$69,(Setup!$O$69+BA$1)*Setup!$N$69))+$A46/1000)))</f>
        <v/>
      </c>
      <c r="BB46">
        <f>IF(OR(Setup!$E$69="",Setup!$G$69="",Setup!$F$69=""),"",IF(AND(Setup!$F$69="Once",BB$1&gt;0),"",IF(OR(IF(Setup!$M$69&gt;0,Setup!$G$69+(Setup!$O$69+BB$1)*Setup!$M$69,EDATE(Setup!$G$69,(Setup!$O$69+BB$1)*Setup!$N$69))&gt;Setup!$P$69,IF(Setup!$M$69&gt;0,Setup!$G$69+(Setup!$O$69+BB$1)*Setup!$M$69,EDATE(Setup!$G$69,(Setup!$O$69+BB$1)*Setup!$N$69))&lt;Setup!$D$5),"",IF(Setup!$M$69&gt;0,Setup!$G$69+(Setup!$O$69+BB$1)*Setup!$M$69,EDATE(Setup!$G$69,(Setup!$O$69+BB$1)*Setup!$N$69))+$A46/1000)))</f>
        <v/>
      </c>
    </row>
    <row r="47">
      <c r="A47" t="n">
        <v>46</v>
      </c>
      <c r="B47">
        <f>IF(OR(Setup!$E$70="",Setup!$G$70="",Setup!$F$70=""),"",IF(AND(Setup!$F$70="Once",B$1&gt;0),"",IF(OR(IF(Setup!$M$70&gt;0,Setup!$G$70+(Setup!$O$70+B$1)*Setup!$M$70,EDATE(Setup!$G$70,(Setup!$O$70+B$1)*Setup!$N$70))&gt;Setup!$P$70,IF(Setup!$M$70&gt;0,Setup!$G$70+(Setup!$O$70+B$1)*Setup!$M$70,EDATE(Setup!$G$70,(Setup!$O$70+B$1)*Setup!$N$70))&lt;Setup!$D$5),"",IF(Setup!$M$70&gt;0,Setup!$G$70+(Setup!$O$70+B$1)*Setup!$M$70,EDATE(Setup!$G$70,(Setup!$O$70+B$1)*Setup!$N$70))+$A47/1000)))</f>
        <v/>
      </c>
      <c r="C47">
        <f>IF(OR(Setup!$E$70="",Setup!$G$70="",Setup!$F$70=""),"",IF(AND(Setup!$F$70="Once",C$1&gt;0),"",IF(OR(IF(Setup!$M$70&gt;0,Setup!$G$70+(Setup!$O$70+C$1)*Setup!$M$70,EDATE(Setup!$G$70,(Setup!$O$70+C$1)*Setup!$N$70))&gt;Setup!$P$70,IF(Setup!$M$70&gt;0,Setup!$G$70+(Setup!$O$70+C$1)*Setup!$M$70,EDATE(Setup!$G$70,(Setup!$O$70+C$1)*Setup!$N$70))&lt;Setup!$D$5),"",IF(Setup!$M$70&gt;0,Setup!$G$70+(Setup!$O$70+C$1)*Setup!$M$70,EDATE(Setup!$G$70,(Setup!$O$70+C$1)*Setup!$N$70))+$A47/1000)))</f>
        <v/>
      </c>
      <c r="D47">
        <f>IF(OR(Setup!$E$70="",Setup!$G$70="",Setup!$F$70=""),"",IF(AND(Setup!$F$70="Once",D$1&gt;0),"",IF(OR(IF(Setup!$M$70&gt;0,Setup!$G$70+(Setup!$O$70+D$1)*Setup!$M$70,EDATE(Setup!$G$70,(Setup!$O$70+D$1)*Setup!$N$70))&gt;Setup!$P$70,IF(Setup!$M$70&gt;0,Setup!$G$70+(Setup!$O$70+D$1)*Setup!$M$70,EDATE(Setup!$G$70,(Setup!$O$70+D$1)*Setup!$N$70))&lt;Setup!$D$5),"",IF(Setup!$M$70&gt;0,Setup!$G$70+(Setup!$O$70+D$1)*Setup!$M$70,EDATE(Setup!$G$70,(Setup!$O$70+D$1)*Setup!$N$70))+$A47/1000)))</f>
        <v/>
      </c>
      <c r="E47">
        <f>IF(OR(Setup!$E$70="",Setup!$G$70="",Setup!$F$70=""),"",IF(AND(Setup!$F$70="Once",E$1&gt;0),"",IF(OR(IF(Setup!$M$70&gt;0,Setup!$G$70+(Setup!$O$70+E$1)*Setup!$M$70,EDATE(Setup!$G$70,(Setup!$O$70+E$1)*Setup!$N$70))&gt;Setup!$P$70,IF(Setup!$M$70&gt;0,Setup!$G$70+(Setup!$O$70+E$1)*Setup!$M$70,EDATE(Setup!$G$70,(Setup!$O$70+E$1)*Setup!$N$70))&lt;Setup!$D$5),"",IF(Setup!$M$70&gt;0,Setup!$G$70+(Setup!$O$70+E$1)*Setup!$M$70,EDATE(Setup!$G$70,(Setup!$O$70+E$1)*Setup!$N$70))+$A47/1000)))</f>
        <v/>
      </c>
      <c r="F47">
        <f>IF(OR(Setup!$E$70="",Setup!$G$70="",Setup!$F$70=""),"",IF(AND(Setup!$F$70="Once",F$1&gt;0),"",IF(OR(IF(Setup!$M$70&gt;0,Setup!$G$70+(Setup!$O$70+F$1)*Setup!$M$70,EDATE(Setup!$G$70,(Setup!$O$70+F$1)*Setup!$N$70))&gt;Setup!$P$70,IF(Setup!$M$70&gt;0,Setup!$G$70+(Setup!$O$70+F$1)*Setup!$M$70,EDATE(Setup!$G$70,(Setup!$O$70+F$1)*Setup!$N$70))&lt;Setup!$D$5),"",IF(Setup!$M$70&gt;0,Setup!$G$70+(Setup!$O$70+F$1)*Setup!$M$70,EDATE(Setup!$G$70,(Setup!$O$70+F$1)*Setup!$N$70))+$A47/1000)))</f>
        <v/>
      </c>
      <c r="G47">
        <f>IF(OR(Setup!$E$70="",Setup!$G$70="",Setup!$F$70=""),"",IF(AND(Setup!$F$70="Once",G$1&gt;0),"",IF(OR(IF(Setup!$M$70&gt;0,Setup!$G$70+(Setup!$O$70+G$1)*Setup!$M$70,EDATE(Setup!$G$70,(Setup!$O$70+G$1)*Setup!$N$70))&gt;Setup!$P$70,IF(Setup!$M$70&gt;0,Setup!$G$70+(Setup!$O$70+G$1)*Setup!$M$70,EDATE(Setup!$G$70,(Setup!$O$70+G$1)*Setup!$N$70))&lt;Setup!$D$5),"",IF(Setup!$M$70&gt;0,Setup!$G$70+(Setup!$O$70+G$1)*Setup!$M$70,EDATE(Setup!$G$70,(Setup!$O$70+G$1)*Setup!$N$70))+$A47/1000)))</f>
        <v/>
      </c>
      <c r="H47">
        <f>IF(OR(Setup!$E$70="",Setup!$G$70="",Setup!$F$70=""),"",IF(AND(Setup!$F$70="Once",H$1&gt;0),"",IF(OR(IF(Setup!$M$70&gt;0,Setup!$G$70+(Setup!$O$70+H$1)*Setup!$M$70,EDATE(Setup!$G$70,(Setup!$O$70+H$1)*Setup!$N$70))&gt;Setup!$P$70,IF(Setup!$M$70&gt;0,Setup!$G$70+(Setup!$O$70+H$1)*Setup!$M$70,EDATE(Setup!$G$70,(Setup!$O$70+H$1)*Setup!$N$70))&lt;Setup!$D$5),"",IF(Setup!$M$70&gt;0,Setup!$G$70+(Setup!$O$70+H$1)*Setup!$M$70,EDATE(Setup!$G$70,(Setup!$O$70+H$1)*Setup!$N$70))+$A47/1000)))</f>
        <v/>
      </c>
      <c r="I47">
        <f>IF(OR(Setup!$E$70="",Setup!$G$70="",Setup!$F$70=""),"",IF(AND(Setup!$F$70="Once",I$1&gt;0),"",IF(OR(IF(Setup!$M$70&gt;0,Setup!$G$70+(Setup!$O$70+I$1)*Setup!$M$70,EDATE(Setup!$G$70,(Setup!$O$70+I$1)*Setup!$N$70))&gt;Setup!$P$70,IF(Setup!$M$70&gt;0,Setup!$G$70+(Setup!$O$70+I$1)*Setup!$M$70,EDATE(Setup!$G$70,(Setup!$O$70+I$1)*Setup!$N$70))&lt;Setup!$D$5),"",IF(Setup!$M$70&gt;0,Setup!$G$70+(Setup!$O$70+I$1)*Setup!$M$70,EDATE(Setup!$G$70,(Setup!$O$70+I$1)*Setup!$N$70))+$A47/1000)))</f>
        <v/>
      </c>
      <c r="J47">
        <f>IF(OR(Setup!$E$70="",Setup!$G$70="",Setup!$F$70=""),"",IF(AND(Setup!$F$70="Once",J$1&gt;0),"",IF(OR(IF(Setup!$M$70&gt;0,Setup!$G$70+(Setup!$O$70+J$1)*Setup!$M$70,EDATE(Setup!$G$70,(Setup!$O$70+J$1)*Setup!$N$70))&gt;Setup!$P$70,IF(Setup!$M$70&gt;0,Setup!$G$70+(Setup!$O$70+J$1)*Setup!$M$70,EDATE(Setup!$G$70,(Setup!$O$70+J$1)*Setup!$N$70))&lt;Setup!$D$5),"",IF(Setup!$M$70&gt;0,Setup!$G$70+(Setup!$O$70+J$1)*Setup!$M$70,EDATE(Setup!$G$70,(Setup!$O$70+J$1)*Setup!$N$70))+$A47/1000)))</f>
        <v/>
      </c>
      <c r="K47">
        <f>IF(OR(Setup!$E$70="",Setup!$G$70="",Setup!$F$70=""),"",IF(AND(Setup!$F$70="Once",K$1&gt;0),"",IF(OR(IF(Setup!$M$70&gt;0,Setup!$G$70+(Setup!$O$70+K$1)*Setup!$M$70,EDATE(Setup!$G$70,(Setup!$O$70+K$1)*Setup!$N$70))&gt;Setup!$P$70,IF(Setup!$M$70&gt;0,Setup!$G$70+(Setup!$O$70+K$1)*Setup!$M$70,EDATE(Setup!$G$70,(Setup!$O$70+K$1)*Setup!$N$70))&lt;Setup!$D$5),"",IF(Setup!$M$70&gt;0,Setup!$G$70+(Setup!$O$70+K$1)*Setup!$M$70,EDATE(Setup!$G$70,(Setup!$O$70+K$1)*Setup!$N$70))+$A47/1000)))</f>
        <v/>
      </c>
      <c r="L47">
        <f>IF(OR(Setup!$E$70="",Setup!$G$70="",Setup!$F$70=""),"",IF(AND(Setup!$F$70="Once",L$1&gt;0),"",IF(OR(IF(Setup!$M$70&gt;0,Setup!$G$70+(Setup!$O$70+L$1)*Setup!$M$70,EDATE(Setup!$G$70,(Setup!$O$70+L$1)*Setup!$N$70))&gt;Setup!$P$70,IF(Setup!$M$70&gt;0,Setup!$G$70+(Setup!$O$70+L$1)*Setup!$M$70,EDATE(Setup!$G$70,(Setup!$O$70+L$1)*Setup!$N$70))&lt;Setup!$D$5),"",IF(Setup!$M$70&gt;0,Setup!$G$70+(Setup!$O$70+L$1)*Setup!$M$70,EDATE(Setup!$G$70,(Setup!$O$70+L$1)*Setup!$N$70))+$A47/1000)))</f>
        <v/>
      </c>
      <c r="M47">
        <f>IF(OR(Setup!$E$70="",Setup!$G$70="",Setup!$F$70=""),"",IF(AND(Setup!$F$70="Once",M$1&gt;0),"",IF(OR(IF(Setup!$M$70&gt;0,Setup!$G$70+(Setup!$O$70+M$1)*Setup!$M$70,EDATE(Setup!$G$70,(Setup!$O$70+M$1)*Setup!$N$70))&gt;Setup!$P$70,IF(Setup!$M$70&gt;0,Setup!$G$70+(Setup!$O$70+M$1)*Setup!$M$70,EDATE(Setup!$G$70,(Setup!$O$70+M$1)*Setup!$N$70))&lt;Setup!$D$5),"",IF(Setup!$M$70&gt;0,Setup!$G$70+(Setup!$O$70+M$1)*Setup!$M$70,EDATE(Setup!$G$70,(Setup!$O$70+M$1)*Setup!$N$70))+$A47/1000)))</f>
        <v/>
      </c>
      <c r="N47">
        <f>IF(OR(Setup!$E$70="",Setup!$G$70="",Setup!$F$70=""),"",IF(AND(Setup!$F$70="Once",N$1&gt;0),"",IF(OR(IF(Setup!$M$70&gt;0,Setup!$G$70+(Setup!$O$70+N$1)*Setup!$M$70,EDATE(Setup!$G$70,(Setup!$O$70+N$1)*Setup!$N$70))&gt;Setup!$P$70,IF(Setup!$M$70&gt;0,Setup!$G$70+(Setup!$O$70+N$1)*Setup!$M$70,EDATE(Setup!$G$70,(Setup!$O$70+N$1)*Setup!$N$70))&lt;Setup!$D$5),"",IF(Setup!$M$70&gt;0,Setup!$G$70+(Setup!$O$70+N$1)*Setup!$M$70,EDATE(Setup!$G$70,(Setup!$O$70+N$1)*Setup!$N$70))+$A47/1000)))</f>
        <v/>
      </c>
      <c r="O47">
        <f>IF(OR(Setup!$E$70="",Setup!$G$70="",Setup!$F$70=""),"",IF(AND(Setup!$F$70="Once",O$1&gt;0),"",IF(OR(IF(Setup!$M$70&gt;0,Setup!$G$70+(Setup!$O$70+O$1)*Setup!$M$70,EDATE(Setup!$G$70,(Setup!$O$70+O$1)*Setup!$N$70))&gt;Setup!$P$70,IF(Setup!$M$70&gt;0,Setup!$G$70+(Setup!$O$70+O$1)*Setup!$M$70,EDATE(Setup!$G$70,(Setup!$O$70+O$1)*Setup!$N$70))&lt;Setup!$D$5),"",IF(Setup!$M$70&gt;0,Setup!$G$70+(Setup!$O$70+O$1)*Setup!$M$70,EDATE(Setup!$G$70,(Setup!$O$70+O$1)*Setup!$N$70))+$A47/1000)))</f>
        <v/>
      </c>
      <c r="P47">
        <f>IF(OR(Setup!$E$70="",Setup!$G$70="",Setup!$F$70=""),"",IF(AND(Setup!$F$70="Once",P$1&gt;0),"",IF(OR(IF(Setup!$M$70&gt;0,Setup!$G$70+(Setup!$O$70+P$1)*Setup!$M$70,EDATE(Setup!$G$70,(Setup!$O$70+P$1)*Setup!$N$70))&gt;Setup!$P$70,IF(Setup!$M$70&gt;0,Setup!$G$70+(Setup!$O$70+P$1)*Setup!$M$70,EDATE(Setup!$G$70,(Setup!$O$70+P$1)*Setup!$N$70))&lt;Setup!$D$5),"",IF(Setup!$M$70&gt;0,Setup!$G$70+(Setup!$O$70+P$1)*Setup!$M$70,EDATE(Setup!$G$70,(Setup!$O$70+P$1)*Setup!$N$70))+$A47/1000)))</f>
        <v/>
      </c>
      <c r="Q47">
        <f>IF(OR(Setup!$E$70="",Setup!$G$70="",Setup!$F$70=""),"",IF(AND(Setup!$F$70="Once",Q$1&gt;0),"",IF(OR(IF(Setup!$M$70&gt;0,Setup!$G$70+(Setup!$O$70+Q$1)*Setup!$M$70,EDATE(Setup!$G$70,(Setup!$O$70+Q$1)*Setup!$N$70))&gt;Setup!$P$70,IF(Setup!$M$70&gt;0,Setup!$G$70+(Setup!$O$70+Q$1)*Setup!$M$70,EDATE(Setup!$G$70,(Setup!$O$70+Q$1)*Setup!$N$70))&lt;Setup!$D$5),"",IF(Setup!$M$70&gt;0,Setup!$G$70+(Setup!$O$70+Q$1)*Setup!$M$70,EDATE(Setup!$G$70,(Setup!$O$70+Q$1)*Setup!$N$70))+$A47/1000)))</f>
        <v/>
      </c>
      <c r="R47">
        <f>IF(OR(Setup!$E$70="",Setup!$G$70="",Setup!$F$70=""),"",IF(AND(Setup!$F$70="Once",R$1&gt;0),"",IF(OR(IF(Setup!$M$70&gt;0,Setup!$G$70+(Setup!$O$70+R$1)*Setup!$M$70,EDATE(Setup!$G$70,(Setup!$O$70+R$1)*Setup!$N$70))&gt;Setup!$P$70,IF(Setup!$M$70&gt;0,Setup!$G$70+(Setup!$O$70+R$1)*Setup!$M$70,EDATE(Setup!$G$70,(Setup!$O$70+R$1)*Setup!$N$70))&lt;Setup!$D$5),"",IF(Setup!$M$70&gt;0,Setup!$G$70+(Setup!$O$70+R$1)*Setup!$M$70,EDATE(Setup!$G$70,(Setup!$O$70+R$1)*Setup!$N$70))+$A47/1000)))</f>
        <v/>
      </c>
      <c r="S47">
        <f>IF(OR(Setup!$E$70="",Setup!$G$70="",Setup!$F$70=""),"",IF(AND(Setup!$F$70="Once",S$1&gt;0),"",IF(OR(IF(Setup!$M$70&gt;0,Setup!$G$70+(Setup!$O$70+S$1)*Setup!$M$70,EDATE(Setup!$G$70,(Setup!$O$70+S$1)*Setup!$N$70))&gt;Setup!$P$70,IF(Setup!$M$70&gt;0,Setup!$G$70+(Setup!$O$70+S$1)*Setup!$M$70,EDATE(Setup!$G$70,(Setup!$O$70+S$1)*Setup!$N$70))&lt;Setup!$D$5),"",IF(Setup!$M$70&gt;0,Setup!$G$70+(Setup!$O$70+S$1)*Setup!$M$70,EDATE(Setup!$G$70,(Setup!$O$70+S$1)*Setup!$N$70))+$A47/1000)))</f>
        <v/>
      </c>
      <c r="T47">
        <f>IF(OR(Setup!$E$70="",Setup!$G$70="",Setup!$F$70=""),"",IF(AND(Setup!$F$70="Once",T$1&gt;0),"",IF(OR(IF(Setup!$M$70&gt;0,Setup!$G$70+(Setup!$O$70+T$1)*Setup!$M$70,EDATE(Setup!$G$70,(Setup!$O$70+T$1)*Setup!$N$70))&gt;Setup!$P$70,IF(Setup!$M$70&gt;0,Setup!$G$70+(Setup!$O$70+T$1)*Setup!$M$70,EDATE(Setup!$G$70,(Setup!$O$70+T$1)*Setup!$N$70))&lt;Setup!$D$5),"",IF(Setup!$M$70&gt;0,Setup!$G$70+(Setup!$O$70+T$1)*Setup!$M$70,EDATE(Setup!$G$70,(Setup!$O$70+T$1)*Setup!$N$70))+$A47/1000)))</f>
        <v/>
      </c>
      <c r="U47">
        <f>IF(OR(Setup!$E$70="",Setup!$G$70="",Setup!$F$70=""),"",IF(AND(Setup!$F$70="Once",U$1&gt;0),"",IF(OR(IF(Setup!$M$70&gt;0,Setup!$G$70+(Setup!$O$70+U$1)*Setup!$M$70,EDATE(Setup!$G$70,(Setup!$O$70+U$1)*Setup!$N$70))&gt;Setup!$P$70,IF(Setup!$M$70&gt;0,Setup!$G$70+(Setup!$O$70+U$1)*Setup!$M$70,EDATE(Setup!$G$70,(Setup!$O$70+U$1)*Setup!$N$70))&lt;Setup!$D$5),"",IF(Setup!$M$70&gt;0,Setup!$G$70+(Setup!$O$70+U$1)*Setup!$M$70,EDATE(Setup!$G$70,(Setup!$O$70+U$1)*Setup!$N$70))+$A47/1000)))</f>
        <v/>
      </c>
      <c r="V47">
        <f>IF(OR(Setup!$E$70="",Setup!$G$70="",Setup!$F$70=""),"",IF(AND(Setup!$F$70="Once",V$1&gt;0),"",IF(OR(IF(Setup!$M$70&gt;0,Setup!$G$70+(Setup!$O$70+V$1)*Setup!$M$70,EDATE(Setup!$G$70,(Setup!$O$70+V$1)*Setup!$N$70))&gt;Setup!$P$70,IF(Setup!$M$70&gt;0,Setup!$G$70+(Setup!$O$70+V$1)*Setup!$M$70,EDATE(Setup!$G$70,(Setup!$O$70+V$1)*Setup!$N$70))&lt;Setup!$D$5),"",IF(Setup!$M$70&gt;0,Setup!$G$70+(Setup!$O$70+V$1)*Setup!$M$70,EDATE(Setup!$G$70,(Setup!$O$70+V$1)*Setup!$N$70))+$A47/1000)))</f>
        <v/>
      </c>
      <c r="W47">
        <f>IF(OR(Setup!$E$70="",Setup!$G$70="",Setup!$F$70=""),"",IF(AND(Setup!$F$70="Once",W$1&gt;0),"",IF(OR(IF(Setup!$M$70&gt;0,Setup!$G$70+(Setup!$O$70+W$1)*Setup!$M$70,EDATE(Setup!$G$70,(Setup!$O$70+W$1)*Setup!$N$70))&gt;Setup!$P$70,IF(Setup!$M$70&gt;0,Setup!$G$70+(Setup!$O$70+W$1)*Setup!$M$70,EDATE(Setup!$G$70,(Setup!$O$70+W$1)*Setup!$N$70))&lt;Setup!$D$5),"",IF(Setup!$M$70&gt;0,Setup!$G$70+(Setup!$O$70+W$1)*Setup!$M$70,EDATE(Setup!$G$70,(Setup!$O$70+W$1)*Setup!$N$70))+$A47/1000)))</f>
        <v/>
      </c>
      <c r="X47">
        <f>IF(OR(Setup!$E$70="",Setup!$G$70="",Setup!$F$70=""),"",IF(AND(Setup!$F$70="Once",X$1&gt;0),"",IF(OR(IF(Setup!$M$70&gt;0,Setup!$G$70+(Setup!$O$70+X$1)*Setup!$M$70,EDATE(Setup!$G$70,(Setup!$O$70+X$1)*Setup!$N$70))&gt;Setup!$P$70,IF(Setup!$M$70&gt;0,Setup!$G$70+(Setup!$O$70+X$1)*Setup!$M$70,EDATE(Setup!$G$70,(Setup!$O$70+X$1)*Setup!$N$70))&lt;Setup!$D$5),"",IF(Setup!$M$70&gt;0,Setup!$G$70+(Setup!$O$70+X$1)*Setup!$M$70,EDATE(Setup!$G$70,(Setup!$O$70+X$1)*Setup!$N$70))+$A47/1000)))</f>
        <v/>
      </c>
      <c r="Y47">
        <f>IF(OR(Setup!$E$70="",Setup!$G$70="",Setup!$F$70=""),"",IF(AND(Setup!$F$70="Once",Y$1&gt;0),"",IF(OR(IF(Setup!$M$70&gt;0,Setup!$G$70+(Setup!$O$70+Y$1)*Setup!$M$70,EDATE(Setup!$G$70,(Setup!$O$70+Y$1)*Setup!$N$70))&gt;Setup!$P$70,IF(Setup!$M$70&gt;0,Setup!$G$70+(Setup!$O$70+Y$1)*Setup!$M$70,EDATE(Setup!$G$70,(Setup!$O$70+Y$1)*Setup!$N$70))&lt;Setup!$D$5),"",IF(Setup!$M$70&gt;0,Setup!$G$70+(Setup!$O$70+Y$1)*Setup!$M$70,EDATE(Setup!$G$70,(Setup!$O$70+Y$1)*Setup!$N$70))+$A47/1000)))</f>
        <v/>
      </c>
      <c r="Z47">
        <f>IF(OR(Setup!$E$70="",Setup!$G$70="",Setup!$F$70=""),"",IF(AND(Setup!$F$70="Once",Z$1&gt;0),"",IF(OR(IF(Setup!$M$70&gt;0,Setup!$G$70+(Setup!$O$70+Z$1)*Setup!$M$70,EDATE(Setup!$G$70,(Setup!$O$70+Z$1)*Setup!$N$70))&gt;Setup!$P$70,IF(Setup!$M$70&gt;0,Setup!$G$70+(Setup!$O$70+Z$1)*Setup!$M$70,EDATE(Setup!$G$70,(Setup!$O$70+Z$1)*Setup!$N$70))&lt;Setup!$D$5),"",IF(Setup!$M$70&gt;0,Setup!$G$70+(Setup!$O$70+Z$1)*Setup!$M$70,EDATE(Setup!$G$70,(Setup!$O$70+Z$1)*Setup!$N$70))+$A47/1000)))</f>
        <v/>
      </c>
      <c r="AA47">
        <f>IF(OR(Setup!$E$70="",Setup!$G$70="",Setup!$F$70=""),"",IF(AND(Setup!$F$70="Once",AA$1&gt;0),"",IF(OR(IF(Setup!$M$70&gt;0,Setup!$G$70+(Setup!$O$70+AA$1)*Setup!$M$70,EDATE(Setup!$G$70,(Setup!$O$70+AA$1)*Setup!$N$70))&gt;Setup!$P$70,IF(Setup!$M$70&gt;0,Setup!$G$70+(Setup!$O$70+AA$1)*Setup!$M$70,EDATE(Setup!$G$70,(Setup!$O$70+AA$1)*Setup!$N$70))&lt;Setup!$D$5),"",IF(Setup!$M$70&gt;0,Setup!$G$70+(Setup!$O$70+AA$1)*Setup!$M$70,EDATE(Setup!$G$70,(Setup!$O$70+AA$1)*Setup!$N$70))+$A47/1000)))</f>
        <v/>
      </c>
      <c r="AB47">
        <f>IF(OR(Setup!$E$70="",Setup!$G$70="",Setup!$F$70=""),"",IF(AND(Setup!$F$70="Once",AB$1&gt;0),"",IF(OR(IF(Setup!$M$70&gt;0,Setup!$G$70+(Setup!$O$70+AB$1)*Setup!$M$70,EDATE(Setup!$G$70,(Setup!$O$70+AB$1)*Setup!$N$70))&gt;Setup!$P$70,IF(Setup!$M$70&gt;0,Setup!$G$70+(Setup!$O$70+AB$1)*Setup!$M$70,EDATE(Setup!$G$70,(Setup!$O$70+AB$1)*Setup!$N$70))&lt;Setup!$D$5),"",IF(Setup!$M$70&gt;0,Setup!$G$70+(Setup!$O$70+AB$1)*Setup!$M$70,EDATE(Setup!$G$70,(Setup!$O$70+AB$1)*Setup!$N$70))+$A47/1000)))</f>
        <v/>
      </c>
      <c r="AC47">
        <f>IF(OR(Setup!$E$70="",Setup!$G$70="",Setup!$F$70=""),"",IF(AND(Setup!$F$70="Once",AC$1&gt;0),"",IF(OR(IF(Setup!$M$70&gt;0,Setup!$G$70+(Setup!$O$70+AC$1)*Setup!$M$70,EDATE(Setup!$G$70,(Setup!$O$70+AC$1)*Setup!$N$70))&gt;Setup!$P$70,IF(Setup!$M$70&gt;0,Setup!$G$70+(Setup!$O$70+AC$1)*Setup!$M$70,EDATE(Setup!$G$70,(Setup!$O$70+AC$1)*Setup!$N$70))&lt;Setup!$D$5),"",IF(Setup!$M$70&gt;0,Setup!$G$70+(Setup!$O$70+AC$1)*Setup!$M$70,EDATE(Setup!$G$70,(Setup!$O$70+AC$1)*Setup!$N$70))+$A47/1000)))</f>
        <v/>
      </c>
      <c r="AD47">
        <f>IF(OR(Setup!$E$70="",Setup!$G$70="",Setup!$F$70=""),"",IF(AND(Setup!$F$70="Once",AD$1&gt;0),"",IF(OR(IF(Setup!$M$70&gt;0,Setup!$G$70+(Setup!$O$70+AD$1)*Setup!$M$70,EDATE(Setup!$G$70,(Setup!$O$70+AD$1)*Setup!$N$70))&gt;Setup!$P$70,IF(Setup!$M$70&gt;0,Setup!$G$70+(Setup!$O$70+AD$1)*Setup!$M$70,EDATE(Setup!$G$70,(Setup!$O$70+AD$1)*Setup!$N$70))&lt;Setup!$D$5),"",IF(Setup!$M$70&gt;0,Setup!$G$70+(Setup!$O$70+AD$1)*Setup!$M$70,EDATE(Setup!$G$70,(Setup!$O$70+AD$1)*Setup!$N$70))+$A47/1000)))</f>
        <v/>
      </c>
      <c r="AE47">
        <f>IF(OR(Setup!$E$70="",Setup!$G$70="",Setup!$F$70=""),"",IF(AND(Setup!$F$70="Once",AE$1&gt;0),"",IF(OR(IF(Setup!$M$70&gt;0,Setup!$G$70+(Setup!$O$70+AE$1)*Setup!$M$70,EDATE(Setup!$G$70,(Setup!$O$70+AE$1)*Setup!$N$70))&gt;Setup!$P$70,IF(Setup!$M$70&gt;0,Setup!$G$70+(Setup!$O$70+AE$1)*Setup!$M$70,EDATE(Setup!$G$70,(Setup!$O$70+AE$1)*Setup!$N$70))&lt;Setup!$D$5),"",IF(Setup!$M$70&gt;0,Setup!$G$70+(Setup!$O$70+AE$1)*Setup!$M$70,EDATE(Setup!$G$70,(Setup!$O$70+AE$1)*Setup!$N$70))+$A47/1000)))</f>
        <v/>
      </c>
      <c r="AF47">
        <f>IF(OR(Setup!$E$70="",Setup!$G$70="",Setup!$F$70=""),"",IF(AND(Setup!$F$70="Once",AF$1&gt;0),"",IF(OR(IF(Setup!$M$70&gt;0,Setup!$G$70+(Setup!$O$70+AF$1)*Setup!$M$70,EDATE(Setup!$G$70,(Setup!$O$70+AF$1)*Setup!$N$70))&gt;Setup!$P$70,IF(Setup!$M$70&gt;0,Setup!$G$70+(Setup!$O$70+AF$1)*Setup!$M$70,EDATE(Setup!$G$70,(Setup!$O$70+AF$1)*Setup!$N$70))&lt;Setup!$D$5),"",IF(Setup!$M$70&gt;0,Setup!$G$70+(Setup!$O$70+AF$1)*Setup!$M$70,EDATE(Setup!$G$70,(Setup!$O$70+AF$1)*Setup!$N$70))+$A47/1000)))</f>
        <v/>
      </c>
      <c r="AG47">
        <f>IF(OR(Setup!$E$70="",Setup!$G$70="",Setup!$F$70=""),"",IF(AND(Setup!$F$70="Once",AG$1&gt;0),"",IF(OR(IF(Setup!$M$70&gt;0,Setup!$G$70+(Setup!$O$70+AG$1)*Setup!$M$70,EDATE(Setup!$G$70,(Setup!$O$70+AG$1)*Setup!$N$70))&gt;Setup!$P$70,IF(Setup!$M$70&gt;0,Setup!$G$70+(Setup!$O$70+AG$1)*Setup!$M$70,EDATE(Setup!$G$70,(Setup!$O$70+AG$1)*Setup!$N$70))&lt;Setup!$D$5),"",IF(Setup!$M$70&gt;0,Setup!$G$70+(Setup!$O$70+AG$1)*Setup!$M$70,EDATE(Setup!$G$70,(Setup!$O$70+AG$1)*Setup!$N$70))+$A47/1000)))</f>
        <v/>
      </c>
      <c r="AH47">
        <f>IF(OR(Setup!$E$70="",Setup!$G$70="",Setup!$F$70=""),"",IF(AND(Setup!$F$70="Once",AH$1&gt;0),"",IF(OR(IF(Setup!$M$70&gt;0,Setup!$G$70+(Setup!$O$70+AH$1)*Setup!$M$70,EDATE(Setup!$G$70,(Setup!$O$70+AH$1)*Setup!$N$70))&gt;Setup!$P$70,IF(Setup!$M$70&gt;0,Setup!$G$70+(Setup!$O$70+AH$1)*Setup!$M$70,EDATE(Setup!$G$70,(Setup!$O$70+AH$1)*Setup!$N$70))&lt;Setup!$D$5),"",IF(Setup!$M$70&gt;0,Setup!$G$70+(Setup!$O$70+AH$1)*Setup!$M$70,EDATE(Setup!$G$70,(Setup!$O$70+AH$1)*Setup!$N$70))+$A47/1000)))</f>
        <v/>
      </c>
      <c r="AI47">
        <f>IF(OR(Setup!$E$70="",Setup!$G$70="",Setup!$F$70=""),"",IF(AND(Setup!$F$70="Once",AI$1&gt;0),"",IF(OR(IF(Setup!$M$70&gt;0,Setup!$G$70+(Setup!$O$70+AI$1)*Setup!$M$70,EDATE(Setup!$G$70,(Setup!$O$70+AI$1)*Setup!$N$70))&gt;Setup!$P$70,IF(Setup!$M$70&gt;0,Setup!$G$70+(Setup!$O$70+AI$1)*Setup!$M$70,EDATE(Setup!$G$70,(Setup!$O$70+AI$1)*Setup!$N$70))&lt;Setup!$D$5),"",IF(Setup!$M$70&gt;0,Setup!$G$70+(Setup!$O$70+AI$1)*Setup!$M$70,EDATE(Setup!$G$70,(Setup!$O$70+AI$1)*Setup!$N$70))+$A47/1000)))</f>
        <v/>
      </c>
      <c r="AJ47">
        <f>IF(OR(Setup!$E$70="",Setup!$G$70="",Setup!$F$70=""),"",IF(AND(Setup!$F$70="Once",AJ$1&gt;0),"",IF(OR(IF(Setup!$M$70&gt;0,Setup!$G$70+(Setup!$O$70+AJ$1)*Setup!$M$70,EDATE(Setup!$G$70,(Setup!$O$70+AJ$1)*Setup!$N$70))&gt;Setup!$P$70,IF(Setup!$M$70&gt;0,Setup!$G$70+(Setup!$O$70+AJ$1)*Setup!$M$70,EDATE(Setup!$G$70,(Setup!$O$70+AJ$1)*Setup!$N$70))&lt;Setup!$D$5),"",IF(Setup!$M$70&gt;0,Setup!$G$70+(Setup!$O$70+AJ$1)*Setup!$M$70,EDATE(Setup!$G$70,(Setup!$O$70+AJ$1)*Setup!$N$70))+$A47/1000)))</f>
        <v/>
      </c>
      <c r="AK47">
        <f>IF(OR(Setup!$E$70="",Setup!$G$70="",Setup!$F$70=""),"",IF(AND(Setup!$F$70="Once",AK$1&gt;0),"",IF(OR(IF(Setup!$M$70&gt;0,Setup!$G$70+(Setup!$O$70+AK$1)*Setup!$M$70,EDATE(Setup!$G$70,(Setup!$O$70+AK$1)*Setup!$N$70))&gt;Setup!$P$70,IF(Setup!$M$70&gt;0,Setup!$G$70+(Setup!$O$70+AK$1)*Setup!$M$70,EDATE(Setup!$G$70,(Setup!$O$70+AK$1)*Setup!$N$70))&lt;Setup!$D$5),"",IF(Setup!$M$70&gt;0,Setup!$G$70+(Setup!$O$70+AK$1)*Setup!$M$70,EDATE(Setup!$G$70,(Setup!$O$70+AK$1)*Setup!$N$70))+$A47/1000)))</f>
        <v/>
      </c>
      <c r="AL47">
        <f>IF(OR(Setup!$E$70="",Setup!$G$70="",Setup!$F$70=""),"",IF(AND(Setup!$F$70="Once",AL$1&gt;0),"",IF(OR(IF(Setup!$M$70&gt;0,Setup!$G$70+(Setup!$O$70+AL$1)*Setup!$M$70,EDATE(Setup!$G$70,(Setup!$O$70+AL$1)*Setup!$N$70))&gt;Setup!$P$70,IF(Setup!$M$70&gt;0,Setup!$G$70+(Setup!$O$70+AL$1)*Setup!$M$70,EDATE(Setup!$G$70,(Setup!$O$70+AL$1)*Setup!$N$70))&lt;Setup!$D$5),"",IF(Setup!$M$70&gt;0,Setup!$G$70+(Setup!$O$70+AL$1)*Setup!$M$70,EDATE(Setup!$G$70,(Setup!$O$70+AL$1)*Setup!$N$70))+$A47/1000)))</f>
        <v/>
      </c>
      <c r="AM47">
        <f>IF(OR(Setup!$E$70="",Setup!$G$70="",Setup!$F$70=""),"",IF(AND(Setup!$F$70="Once",AM$1&gt;0),"",IF(OR(IF(Setup!$M$70&gt;0,Setup!$G$70+(Setup!$O$70+AM$1)*Setup!$M$70,EDATE(Setup!$G$70,(Setup!$O$70+AM$1)*Setup!$N$70))&gt;Setup!$P$70,IF(Setup!$M$70&gt;0,Setup!$G$70+(Setup!$O$70+AM$1)*Setup!$M$70,EDATE(Setup!$G$70,(Setup!$O$70+AM$1)*Setup!$N$70))&lt;Setup!$D$5),"",IF(Setup!$M$70&gt;0,Setup!$G$70+(Setup!$O$70+AM$1)*Setup!$M$70,EDATE(Setup!$G$70,(Setup!$O$70+AM$1)*Setup!$N$70))+$A47/1000)))</f>
        <v/>
      </c>
      <c r="AN47">
        <f>IF(OR(Setup!$E$70="",Setup!$G$70="",Setup!$F$70=""),"",IF(AND(Setup!$F$70="Once",AN$1&gt;0),"",IF(OR(IF(Setup!$M$70&gt;0,Setup!$G$70+(Setup!$O$70+AN$1)*Setup!$M$70,EDATE(Setup!$G$70,(Setup!$O$70+AN$1)*Setup!$N$70))&gt;Setup!$P$70,IF(Setup!$M$70&gt;0,Setup!$G$70+(Setup!$O$70+AN$1)*Setup!$M$70,EDATE(Setup!$G$70,(Setup!$O$70+AN$1)*Setup!$N$70))&lt;Setup!$D$5),"",IF(Setup!$M$70&gt;0,Setup!$G$70+(Setup!$O$70+AN$1)*Setup!$M$70,EDATE(Setup!$G$70,(Setup!$O$70+AN$1)*Setup!$N$70))+$A47/1000)))</f>
        <v/>
      </c>
      <c r="AO47">
        <f>IF(OR(Setup!$E$70="",Setup!$G$70="",Setup!$F$70=""),"",IF(AND(Setup!$F$70="Once",AO$1&gt;0),"",IF(OR(IF(Setup!$M$70&gt;0,Setup!$G$70+(Setup!$O$70+AO$1)*Setup!$M$70,EDATE(Setup!$G$70,(Setup!$O$70+AO$1)*Setup!$N$70))&gt;Setup!$P$70,IF(Setup!$M$70&gt;0,Setup!$G$70+(Setup!$O$70+AO$1)*Setup!$M$70,EDATE(Setup!$G$70,(Setup!$O$70+AO$1)*Setup!$N$70))&lt;Setup!$D$5),"",IF(Setup!$M$70&gt;0,Setup!$G$70+(Setup!$O$70+AO$1)*Setup!$M$70,EDATE(Setup!$G$70,(Setup!$O$70+AO$1)*Setup!$N$70))+$A47/1000)))</f>
        <v/>
      </c>
      <c r="AP47">
        <f>IF(OR(Setup!$E$70="",Setup!$G$70="",Setup!$F$70=""),"",IF(AND(Setup!$F$70="Once",AP$1&gt;0),"",IF(OR(IF(Setup!$M$70&gt;0,Setup!$G$70+(Setup!$O$70+AP$1)*Setup!$M$70,EDATE(Setup!$G$70,(Setup!$O$70+AP$1)*Setup!$N$70))&gt;Setup!$P$70,IF(Setup!$M$70&gt;0,Setup!$G$70+(Setup!$O$70+AP$1)*Setup!$M$70,EDATE(Setup!$G$70,(Setup!$O$70+AP$1)*Setup!$N$70))&lt;Setup!$D$5),"",IF(Setup!$M$70&gt;0,Setup!$G$70+(Setup!$O$70+AP$1)*Setup!$M$70,EDATE(Setup!$G$70,(Setup!$O$70+AP$1)*Setup!$N$70))+$A47/1000)))</f>
        <v/>
      </c>
      <c r="AQ47">
        <f>IF(OR(Setup!$E$70="",Setup!$G$70="",Setup!$F$70=""),"",IF(AND(Setup!$F$70="Once",AQ$1&gt;0),"",IF(OR(IF(Setup!$M$70&gt;0,Setup!$G$70+(Setup!$O$70+AQ$1)*Setup!$M$70,EDATE(Setup!$G$70,(Setup!$O$70+AQ$1)*Setup!$N$70))&gt;Setup!$P$70,IF(Setup!$M$70&gt;0,Setup!$G$70+(Setup!$O$70+AQ$1)*Setup!$M$70,EDATE(Setup!$G$70,(Setup!$O$70+AQ$1)*Setup!$N$70))&lt;Setup!$D$5),"",IF(Setup!$M$70&gt;0,Setup!$G$70+(Setup!$O$70+AQ$1)*Setup!$M$70,EDATE(Setup!$G$70,(Setup!$O$70+AQ$1)*Setup!$N$70))+$A47/1000)))</f>
        <v/>
      </c>
      <c r="AR47">
        <f>IF(OR(Setup!$E$70="",Setup!$G$70="",Setup!$F$70=""),"",IF(AND(Setup!$F$70="Once",AR$1&gt;0),"",IF(OR(IF(Setup!$M$70&gt;0,Setup!$G$70+(Setup!$O$70+AR$1)*Setup!$M$70,EDATE(Setup!$G$70,(Setup!$O$70+AR$1)*Setup!$N$70))&gt;Setup!$P$70,IF(Setup!$M$70&gt;0,Setup!$G$70+(Setup!$O$70+AR$1)*Setup!$M$70,EDATE(Setup!$G$70,(Setup!$O$70+AR$1)*Setup!$N$70))&lt;Setup!$D$5),"",IF(Setup!$M$70&gt;0,Setup!$G$70+(Setup!$O$70+AR$1)*Setup!$M$70,EDATE(Setup!$G$70,(Setup!$O$70+AR$1)*Setup!$N$70))+$A47/1000)))</f>
        <v/>
      </c>
      <c r="AS47">
        <f>IF(OR(Setup!$E$70="",Setup!$G$70="",Setup!$F$70=""),"",IF(AND(Setup!$F$70="Once",AS$1&gt;0),"",IF(OR(IF(Setup!$M$70&gt;0,Setup!$G$70+(Setup!$O$70+AS$1)*Setup!$M$70,EDATE(Setup!$G$70,(Setup!$O$70+AS$1)*Setup!$N$70))&gt;Setup!$P$70,IF(Setup!$M$70&gt;0,Setup!$G$70+(Setup!$O$70+AS$1)*Setup!$M$70,EDATE(Setup!$G$70,(Setup!$O$70+AS$1)*Setup!$N$70))&lt;Setup!$D$5),"",IF(Setup!$M$70&gt;0,Setup!$G$70+(Setup!$O$70+AS$1)*Setup!$M$70,EDATE(Setup!$G$70,(Setup!$O$70+AS$1)*Setup!$N$70))+$A47/1000)))</f>
        <v/>
      </c>
      <c r="AT47">
        <f>IF(OR(Setup!$E$70="",Setup!$G$70="",Setup!$F$70=""),"",IF(AND(Setup!$F$70="Once",AT$1&gt;0),"",IF(OR(IF(Setup!$M$70&gt;0,Setup!$G$70+(Setup!$O$70+AT$1)*Setup!$M$70,EDATE(Setup!$G$70,(Setup!$O$70+AT$1)*Setup!$N$70))&gt;Setup!$P$70,IF(Setup!$M$70&gt;0,Setup!$G$70+(Setup!$O$70+AT$1)*Setup!$M$70,EDATE(Setup!$G$70,(Setup!$O$70+AT$1)*Setup!$N$70))&lt;Setup!$D$5),"",IF(Setup!$M$70&gt;0,Setup!$G$70+(Setup!$O$70+AT$1)*Setup!$M$70,EDATE(Setup!$G$70,(Setup!$O$70+AT$1)*Setup!$N$70))+$A47/1000)))</f>
        <v/>
      </c>
      <c r="AU47">
        <f>IF(OR(Setup!$E$70="",Setup!$G$70="",Setup!$F$70=""),"",IF(AND(Setup!$F$70="Once",AU$1&gt;0),"",IF(OR(IF(Setup!$M$70&gt;0,Setup!$G$70+(Setup!$O$70+AU$1)*Setup!$M$70,EDATE(Setup!$G$70,(Setup!$O$70+AU$1)*Setup!$N$70))&gt;Setup!$P$70,IF(Setup!$M$70&gt;0,Setup!$G$70+(Setup!$O$70+AU$1)*Setup!$M$70,EDATE(Setup!$G$70,(Setup!$O$70+AU$1)*Setup!$N$70))&lt;Setup!$D$5),"",IF(Setup!$M$70&gt;0,Setup!$G$70+(Setup!$O$70+AU$1)*Setup!$M$70,EDATE(Setup!$G$70,(Setup!$O$70+AU$1)*Setup!$N$70))+$A47/1000)))</f>
        <v/>
      </c>
      <c r="AV47">
        <f>IF(OR(Setup!$E$70="",Setup!$G$70="",Setup!$F$70=""),"",IF(AND(Setup!$F$70="Once",AV$1&gt;0),"",IF(OR(IF(Setup!$M$70&gt;0,Setup!$G$70+(Setup!$O$70+AV$1)*Setup!$M$70,EDATE(Setup!$G$70,(Setup!$O$70+AV$1)*Setup!$N$70))&gt;Setup!$P$70,IF(Setup!$M$70&gt;0,Setup!$G$70+(Setup!$O$70+AV$1)*Setup!$M$70,EDATE(Setup!$G$70,(Setup!$O$70+AV$1)*Setup!$N$70))&lt;Setup!$D$5),"",IF(Setup!$M$70&gt;0,Setup!$G$70+(Setup!$O$70+AV$1)*Setup!$M$70,EDATE(Setup!$G$70,(Setup!$O$70+AV$1)*Setup!$N$70))+$A47/1000)))</f>
        <v/>
      </c>
      <c r="AW47">
        <f>IF(OR(Setup!$E$70="",Setup!$G$70="",Setup!$F$70=""),"",IF(AND(Setup!$F$70="Once",AW$1&gt;0),"",IF(OR(IF(Setup!$M$70&gt;0,Setup!$G$70+(Setup!$O$70+AW$1)*Setup!$M$70,EDATE(Setup!$G$70,(Setup!$O$70+AW$1)*Setup!$N$70))&gt;Setup!$P$70,IF(Setup!$M$70&gt;0,Setup!$G$70+(Setup!$O$70+AW$1)*Setup!$M$70,EDATE(Setup!$G$70,(Setup!$O$70+AW$1)*Setup!$N$70))&lt;Setup!$D$5),"",IF(Setup!$M$70&gt;0,Setup!$G$70+(Setup!$O$70+AW$1)*Setup!$M$70,EDATE(Setup!$G$70,(Setup!$O$70+AW$1)*Setup!$N$70))+$A47/1000)))</f>
        <v/>
      </c>
      <c r="AX47">
        <f>IF(OR(Setup!$E$70="",Setup!$G$70="",Setup!$F$70=""),"",IF(AND(Setup!$F$70="Once",AX$1&gt;0),"",IF(OR(IF(Setup!$M$70&gt;0,Setup!$G$70+(Setup!$O$70+AX$1)*Setup!$M$70,EDATE(Setup!$G$70,(Setup!$O$70+AX$1)*Setup!$N$70))&gt;Setup!$P$70,IF(Setup!$M$70&gt;0,Setup!$G$70+(Setup!$O$70+AX$1)*Setup!$M$70,EDATE(Setup!$G$70,(Setup!$O$70+AX$1)*Setup!$N$70))&lt;Setup!$D$5),"",IF(Setup!$M$70&gt;0,Setup!$G$70+(Setup!$O$70+AX$1)*Setup!$M$70,EDATE(Setup!$G$70,(Setup!$O$70+AX$1)*Setup!$N$70))+$A47/1000)))</f>
        <v/>
      </c>
      <c r="AY47">
        <f>IF(OR(Setup!$E$70="",Setup!$G$70="",Setup!$F$70=""),"",IF(AND(Setup!$F$70="Once",AY$1&gt;0),"",IF(OR(IF(Setup!$M$70&gt;0,Setup!$G$70+(Setup!$O$70+AY$1)*Setup!$M$70,EDATE(Setup!$G$70,(Setup!$O$70+AY$1)*Setup!$N$70))&gt;Setup!$P$70,IF(Setup!$M$70&gt;0,Setup!$G$70+(Setup!$O$70+AY$1)*Setup!$M$70,EDATE(Setup!$G$70,(Setup!$O$70+AY$1)*Setup!$N$70))&lt;Setup!$D$5),"",IF(Setup!$M$70&gt;0,Setup!$G$70+(Setup!$O$70+AY$1)*Setup!$M$70,EDATE(Setup!$G$70,(Setup!$O$70+AY$1)*Setup!$N$70))+$A47/1000)))</f>
        <v/>
      </c>
      <c r="AZ47">
        <f>IF(OR(Setup!$E$70="",Setup!$G$70="",Setup!$F$70=""),"",IF(AND(Setup!$F$70="Once",AZ$1&gt;0),"",IF(OR(IF(Setup!$M$70&gt;0,Setup!$G$70+(Setup!$O$70+AZ$1)*Setup!$M$70,EDATE(Setup!$G$70,(Setup!$O$70+AZ$1)*Setup!$N$70))&gt;Setup!$P$70,IF(Setup!$M$70&gt;0,Setup!$G$70+(Setup!$O$70+AZ$1)*Setup!$M$70,EDATE(Setup!$G$70,(Setup!$O$70+AZ$1)*Setup!$N$70))&lt;Setup!$D$5),"",IF(Setup!$M$70&gt;0,Setup!$G$70+(Setup!$O$70+AZ$1)*Setup!$M$70,EDATE(Setup!$G$70,(Setup!$O$70+AZ$1)*Setup!$N$70))+$A47/1000)))</f>
        <v/>
      </c>
      <c r="BA47">
        <f>IF(OR(Setup!$E$70="",Setup!$G$70="",Setup!$F$70=""),"",IF(AND(Setup!$F$70="Once",BA$1&gt;0),"",IF(OR(IF(Setup!$M$70&gt;0,Setup!$G$70+(Setup!$O$70+BA$1)*Setup!$M$70,EDATE(Setup!$G$70,(Setup!$O$70+BA$1)*Setup!$N$70))&gt;Setup!$P$70,IF(Setup!$M$70&gt;0,Setup!$G$70+(Setup!$O$70+BA$1)*Setup!$M$70,EDATE(Setup!$G$70,(Setup!$O$70+BA$1)*Setup!$N$70))&lt;Setup!$D$5),"",IF(Setup!$M$70&gt;0,Setup!$G$70+(Setup!$O$70+BA$1)*Setup!$M$70,EDATE(Setup!$G$70,(Setup!$O$70+BA$1)*Setup!$N$70))+$A47/1000)))</f>
        <v/>
      </c>
      <c r="BB47">
        <f>IF(OR(Setup!$E$70="",Setup!$G$70="",Setup!$F$70=""),"",IF(AND(Setup!$F$70="Once",BB$1&gt;0),"",IF(OR(IF(Setup!$M$70&gt;0,Setup!$G$70+(Setup!$O$70+BB$1)*Setup!$M$70,EDATE(Setup!$G$70,(Setup!$O$70+BB$1)*Setup!$N$70))&gt;Setup!$P$70,IF(Setup!$M$70&gt;0,Setup!$G$70+(Setup!$O$70+BB$1)*Setup!$M$70,EDATE(Setup!$G$70,(Setup!$O$70+BB$1)*Setup!$N$70))&lt;Setup!$D$5),"",IF(Setup!$M$70&gt;0,Setup!$G$70+(Setup!$O$70+BB$1)*Setup!$M$70,EDATE(Setup!$G$70,(Setup!$O$70+BB$1)*Setup!$N$70))+$A47/1000)))</f>
        <v/>
      </c>
    </row>
    <row r="48">
      <c r="A48" t="n">
        <v>47</v>
      </c>
      <c r="B48">
        <f>IF(OR(Setup!$E$71="",Setup!$G$71="",Setup!$F$71=""),"",IF(AND(Setup!$F$71="Once",B$1&gt;0),"",IF(OR(IF(Setup!$M$71&gt;0,Setup!$G$71+(Setup!$O$71+B$1)*Setup!$M$71,EDATE(Setup!$G$71,(Setup!$O$71+B$1)*Setup!$N$71))&gt;Setup!$P$71,IF(Setup!$M$71&gt;0,Setup!$G$71+(Setup!$O$71+B$1)*Setup!$M$71,EDATE(Setup!$G$71,(Setup!$O$71+B$1)*Setup!$N$71))&lt;Setup!$D$5),"",IF(Setup!$M$71&gt;0,Setup!$G$71+(Setup!$O$71+B$1)*Setup!$M$71,EDATE(Setup!$G$71,(Setup!$O$71+B$1)*Setup!$N$71))+$A48/1000)))</f>
        <v/>
      </c>
      <c r="C48">
        <f>IF(OR(Setup!$E$71="",Setup!$G$71="",Setup!$F$71=""),"",IF(AND(Setup!$F$71="Once",C$1&gt;0),"",IF(OR(IF(Setup!$M$71&gt;0,Setup!$G$71+(Setup!$O$71+C$1)*Setup!$M$71,EDATE(Setup!$G$71,(Setup!$O$71+C$1)*Setup!$N$71))&gt;Setup!$P$71,IF(Setup!$M$71&gt;0,Setup!$G$71+(Setup!$O$71+C$1)*Setup!$M$71,EDATE(Setup!$G$71,(Setup!$O$71+C$1)*Setup!$N$71))&lt;Setup!$D$5),"",IF(Setup!$M$71&gt;0,Setup!$G$71+(Setup!$O$71+C$1)*Setup!$M$71,EDATE(Setup!$G$71,(Setup!$O$71+C$1)*Setup!$N$71))+$A48/1000)))</f>
        <v/>
      </c>
      <c r="D48">
        <f>IF(OR(Setup!$E$71="",Setup!$G$71="",Setup!$F$71=""),"",IF(AND(Setup!$F$71="Once",D$1&gt;0),"",IF(OR(IF(Setup!$M$71&gt;0,Setup!$G$71+(Setup!$O$71+D$1)*Setup!$M$71,EDATE(Setup!$G$71,(Setup!$O$71+D$1)*Setup!$N$71))&gt;Setup!$P$71,IF(Setup!$M$71&gt;0,Setup!$G$71+(Setup!$O$71+D$1)*Setup!$M$71,EDATE(Setup!$G$71,(Setup!$O$71+D$1)*Setup!$N$71))&lt;Setup!$D$5),"",IF(Setup!$M$71&gt;0,Setup!$G$71+(Setup!$O$71+D$1)*Setup!$M$71,EDATE(Setup!$G$71,(Setup!$O$71+D$1)*Setup!$N$71))+$A48/1000)))</f>
        <v/>
      </c>
      <c r="E48">
        <f>IF(OR(Setup!$E$71="",Setup!$G$71="",Setup!$F$71=""),"",IF(AND(Setup!$F$71="Once",E$1&gt;0),"",IF(OR(IF(Setup!$M$71&gt;0,Setup!$G$71+(Setup!$O$71+E$1)*Setup!$M$71,EDATE(Setup!$G$71,(Setup!$O$71+E$1)*Setup!$N$71))&gt;Setup!$P$71,IF(Setup!$M$71&gt;0,Setup!$G$71+(Setup!$O$71+E$1)*Setup!$M$71,EDATE(Setup!$G$71,(Setup!$O$71+E$1)*Setup!$N$71))&lt;Setup!$D$5),"",IF(Setup!$M$71&gt;0,Setup!$G$71+(Setup!$O$71+E$1)*Setup!$M$71,EDATE(Setup!$G$71,(Setup!$O$71+E$1)*Setup!$N$71))+$A48/1000)))</f>
        <v/>
      </c>
      <c r="F48">
        <f>IF(OR(Setup!$E$71="",Setup!$G$71="",Setup!$F$71=""),"",IF(AND(Setup!$F$71="Once",F$1&gt;0),"",IF(OR(IF(Setup!$M$71&gt;0,Setup!$G$71+(Setup!$O$71+F$1)*Setup!$M$71,EDATE(Setup!$G$71,(Setup!$O$71+F$1)*Setup!$N$71))&gt;Setup!$P$71,IF(Setup!$M$71&gt;0,Setup!$G$71+(Setup!$O$71+F$1)*Setup!$M$71,EDATE(Setup!$G$71,(Setup!$O$71+F$1)*Setup!$N$71))&lt;Setup!$D$5),"",IF(Setup!$M$71&gt;0,Setup!$G$71+(Setup!$O$71+F$1)*Setup!$M$71,EDATE(Setup!$G$71,(Setup!$O$71+F$1)*Setup!$N$71))+$A48/1000)))</f>
        <v/>
      </c>
      <c r="G48">
        <f>IF(OR(Setup!$E$71="",Setup!$G$71="",Setup!$F$71=""),"",IF(AND(Setup!$F$71="Once",G$1&gt;0),"",IF(OR(IF(Setup!$M$71&gt;0,Setup!$G$71+(Setup!$O$71+G$1)*Setup!$M$71,EDATE(Setup!$G$71,(Setup!$O$71+G$1)*Setup!$N$71))&gt;Setup!$P$71,IF(Setup!$M$71&gt;0,Setup!$G$71+(Setup!$O$71+G$1)*Setup!$M$71,EDATE(Setup!$G$71,(Setup!$O$71+G$1)*Setup!$N$71))&lt;Setup!$D$5),"",IF(Setup!$M$71&gt;0,Setup!$G$71+(Setup!$O$71+G$1)*Setup!$M$71,EDATE(Setup!$G$71,(Setup!$O$71+G$1)*Setup!$N$71))+$A48/1000)))</f>
        <v/>
      </c>
      <c r="H48">
        <f>IF(OR(Setup!$E$71="",Setup!$G$71="",Setup!$F$71=""),"",IF(AND(Setup!$F$71="Once",H$1&gt;0),"",IF(OR(IF(Setup!$M$71&gt;0,Setup!$G$71+(Setup!$O$71+H$1)*Setup!$M$71,EDATE(Setup!$G$71,(Setup!$O$71+H$1)*Setup!$N$71))&gt;Setup!$P$71,IF(Setup!$M$71&gt;0,Setup!$G$71+(Setup!$O$71+H$1)*Setup!$M$71,EDATE(Setup!$G$71,(Setup!$O$71+H$1)*Setup!$N$71))&lt;Setup!$D$5),"",IF(Setup!$M$71&gt;0,Setup!$G$71+(Setup!$O$71+H$1)*Setup!$M$71,EDATE(Setup!$G$71,(Setup!$O$71+H$1)*Setup!$N$71))+$A48/1000)))</f>
        <v/>
      </c>
      <c r="I48">
        <f>IF(OR(Setup!$E$71="",Setup!$G$71="",Setup!$F$71=""),"",IF(AND(Setup!$F$71="Once",I$1&gt;0),"",IF(OR(IF(Setup!$M$71&gt;0,Setup!$G$71+(Setup!$O$71+I$1)*Setup!$M$71,EDATE(Setup!$G$71,(Setup!$O$71+I$1)*Setup!$N$71))&gt;Setup!$P$71,IF(Setup!$M$71&gt;0,Setup!$G$71+(Setup!$O$71+I$1)*Setup!$M$71,EDATE(Setup!$G$71,(Setup!$O$71+I$1)*Setup!$N$71))&lt;Setup!$D$5),"",IF(Setup!$M$71&gt;0,Setup!$G$71+(Setup!$O$71+I$1)*Setup!$M$71,EDATE(Setup!$G$71,(Setup!$O$71+I$1)*Setup!$N$71))+$A48/1000)))</f>
        <v/>
      </c>
      <c r="J48">
        <f>IF(OR(Setup!$E$71="",Setup!$G$71="",Setup!$F$71=""),"",IF(AND(Setup!$F$71="Once",J$1&gt;0),"",IF(OR(IF(Setup!$M$71&gt;0,Setup!$G$71+(Setup!$O$71+J$1)*Setup!$M$71,EDATE(Setup!$G$71,(Setup!$O$71+J$1)*Setup!$N$71))&gt;Setup!$P$71,IF(Setup!$M$71&gt;0,Setup!$G$71+(Setup!$O$71+J$1)*Setup!$M$71,EDATE(Setup!$G$71,(Setup!$O$71+J$1)*Setup!$N$71))&lt;Setup!$D$5),"",IF(Setup!$M$71&gt;0,Setup!$G$71+(Setup!$O$71+J$1)*Setup!$M$71,EDATE(Setup!$G$71,(Setup!$O$71+J$1)*Setup!$N$71))+$A48/1000)))</f>
        <v/>
      </c>
      <c r="K48">
        <f>IF(OR(Setup!$E$71="",Setup!$G$71="",Setup!$F$71=""),"",IF(AND(Setup!$F$71="Once",K$1&gt;0),"",IF(OR(IF(Setup!$M$71&gt;0,Setup!$G$71+(Setup!$O$71+K$1)*Setup!$M$71,EDATE(Setup!$G$71,(Setup!$O$71+K$1)*Setup!$N$71))&gt;Setup!$P$71,IF(Setup!$M$71&gt;0,Setup!$G$71+(Setup!$O$71+K$1)*Setup!$M$71,EDATE(Setup!$G$71,(Setup!$O$71+K$1)*Setup!$N$71))&lt;Setup!$D$5),"",IF(Setup!$M$71&gt;0,Setup!$G$71+(Setup!$O$71+K$1)*Setup!$M$71,EDATE(Setup!$G$71,(Setup!$O$71+K$1)*Setup!$N$71))+$A48/1000)))</f>
        <v/>
      </c>
      <c r="L48">
        <f>IF(OR(Setup!$E$71="",Setup!$G$71="",Setup!$F$71=""),"",IF(AND(Setup!$F$71="Once",L$1&gt;0),"",IF(OR(IF(Setup!$M$71&gt;0,Setup!$G$71+(Setup!$O$71+L$1)*Setup!$M$71,EDATE(Setup!$G$71,(Setup!$O$71+L$1)*Setup!$N$71))&gt;Setup!$P$71,IF(Setup!$M$71&gt;0,Setup!$G$71+(Setup!$O$71+L$1)*Setup!$M$71,EDATE(Setup!$G$71,(Setup!$O$71+L$1)*Setup!$N$71))&lt;Setup!$D$5),"",IF(Setup!$M$71&gt;0,Setup!$G$71+(Setup!$O$71+L$1)*Setup!$M$71,EDATE(Setup!$G$71,(Setup!$O$71+L$1)*Setup!$N$71))+$A48/1000)))</f>
        <v/>
      </c>
      <c r="M48">
        <f>IF(OR(Setup!$E$71="",Setup!$G$71="",Setup!$F$71=""),"",IF(AND(Setup!$F$71="Once",M$1&gt;0),"",IF(OR(IF(Setup!$M$71&gt;0,Setup!$G$71+(Setup!$O$71+M$1)*Setup!$M$71,EDATE(Setup!$G$71,(Setup!$O$71+M$1)*Setup!$N$71))&gt;Setup!$P$71,IF(Setup!$M$71&gt;0,Setup!$G$71+(Setup!$O$71+M$1)*Setup!$M$71,EDATE(Setup!$G$71,(Setup!$O$71+M$1)*Setup!$N$71))&lt;Setup!$D$5),"",IF(Setup!$M$71&gt;0,Setup!$G$71+(Setup!$O$71+M$1)*Setup!$M$71,EDATE(Setup!$G$71,(Setup!$O$71+M$1)*Setup!$N$71))+$A48/1000)))</f>
        <v/>
      </c>
      <c r="N48">
        <f>IF(OR(Setup!$E$71="",Setup!$G$71="",Setup!$F$71=""),"",IF(AND(Setup!$F$71="Once",N$1&gt;0),"",IF(OR(IF(Setup!$M$71&gt;0,Setup!$G$71+(Setup!$O$71+N$1)*Setup!$M$71,EDATE(Setup!$G$71,(Setup!$O$71+N$1)*Setup!$N$71))&gt;Setup!$P$71,IF(Setup!$M$71&gt;0,Setup!$G$71+(Setup!$O$71+N$1)*Setup!$M$71,EDATE(Setup!$G$71,(Setup!$O$71+N$1)*Setup!$N$71))&lt;Setup!$D$5),"",IF(Setup!$M$71&gt;0,Setup!$G$71+(Setup!$O$71+N$1)*Setup!$M$71,EDATE(Setup!$G$71,(Setup!$O$71+N$1)*Setup!$N$71))+$A48/1000)))</f>
        <v/>
      </c>
      <c r="O48">
        <f>IF(OR(Setup!$E$71="",Setup!$G$71="",Setup!$F$71=""),"",IF(AND(Setup!$F$71="Once",O$1&gt;0),"",IF(OR(IF(Setup!$M$71&gt;0,Setup!$G$71+(Setup!$O$71+O$1)*Setup!$M$71,EDATE(Setup!$G$71,(Setup!$O$71+O$1)*Setup!$N$71))&gt;Setup!$P$71,IF(Setup!$M$71&gt;0,Setup!$G$71+(Setup!$O$71+O$1)*Setup!$M$71,EDATE(Setup!$G$71,(Setup!$O$71+O$1)*Setup!$N$71))&lt;Setup!$D$5),"",IF(Setup!$M$71&gt;0,Setup!$G$71+(Setup!$O$71+O$1)*Setup!$M$71,EDATE(Setup!$G$71,(Setup!$O$71+O$1)*Setup!$N$71))+$A48/1000)))</f>
        <v/>
      </c>
      <c r="P48">
        <f>IF(OR(Setup!$E$71="",Setup!$G$71="",Setup!$F$71=""),"",IF(AND(Setup!$F$71="Once",P$1&gt;0),"",IF(OR(IF(Setup!$M$71&gt;0,Setup!$G$71+(Setup!$O$71+P$1)*Setup!$M$71,EDATE(Setup!$G$71,(Setup!$O$71+P$1)*Setup!$N$71))&gt;Setup!$P$71,IF(Setup!$M$71&gt;0,Setup!$G$71+(Setup!$O$71+P$1)*Setup!$M$71,EDATE(Setup!$G$71,(Setup!$O$71+P$1)*Setup!$N$71))&lt;Setup!$D$5),"",IF(Setup!$M$71&gt;0,Setup!$G$71+(Setup!$O$71+P$1)*Setup!$M$71,EDATE(Setup!$G$71,(Setup!$O$71+P$1)*Setup!$N$71))+$A48/1000)))</f>
        <v/>
      </c>
      <c r="Q48">
        <f>IF(OR(Setup!$E$71="",Setup!$G$71="",Setup!$F$71=""),"",IF(AND(Setup!$F$71="Once",Q$1&gt;0),"",IF(OR(IF(Setup!$M$71&gt;0,Setup!$G$71+(Setup!$O$71+Q$1)*Setup!$M$71,EDATE(Setup!$G$71,(Setup!$O$71+Q$1)*Setup!$N$71))&gt;Setup!$P$71,IF(Setup!$M$71&gt;0,Setup!$G$71+(Setup!$O$71+Q$1)*Setup!$M$71,EDATE(Setup!$G$71,(Setup!$O$71+Q$1)*Setup!$N$71))&lt;Setup!$D$5),"",IF(Setup!$M$71&gt;0,Setup!$G$71+(Setup!$O$71+Q$1)*Setup!$M$71,EDATE(Setup!$G$71,(Setup!$O$71+Q$1)*Setup!$N$71))+$A48/1000)))</f>
        <v/>
      </c>
      <c r="R48">
        <f>IF(OR(Setup!$E$71="",Setup!$G$71="",Setup!$F$71=""),"",IF(AND(Setup!$F$71="Once",R$1&gt;0),"",IF(OR(IF(Setup!$M$71&gt;0,Setup!$G$71+(Setup!$O$71+R$1)*Setup!$M$71,EDATE(Setup!$G$71,(Setup!$O$71+R$1)*Setup!$N$71))&gt;Setup!$P$71,IF(Setup!$M$71&gt;0,Setup!$G$71+(Setup!$O$71+R$1)*Setup!$M$71,EDATE(Setup!$G$71,(Setup!$O$71+R$1)*Setup!$N$71))&lt;Setup!$D$5),"",IF(Setup!$M$71&gt;0,Setup!$G$71+(Setup!$O$71+R$1)*Setup!$M$71,EDATE(Setup!$G$71,(Setup!$O$71+R$1)*Setup!$N$71))+$A48/1000)))</f>
        <v/>
      </c>
      <c r="S48">
        <f>IF(OR(Setup!$E$71="",Setup!$G$71="",Setup!$F$71=""),"",IF(AND(Setup!$F$71="Once",S$1&gt;0),"",IF(OR(IF(Setup!$M$71&gt;0,Setup!$G$71+(Setup!$O$71+S$1)*Setup!$M$71,EDATE(Setup!$G$71,(Setup!$O$71+S$1)*Setup!$N$71))&gt;Setup!$P$71,IF(Setup!$M$71&gt;0,Setup!$G$71+(Setup!$O$71+S$1)*Setup!$M$71,EDATE(Setup!$G$71,(Setup!$O$71+S$1)*Setup!$N$71))&lt;Setup!$D$5),"",IF(Setup!$M$71&gt;0,Setup!$G$71+(Setup!$O$71+S$1)*Setup!$M$71,EDATE(Setup!$G$71,(Setup!$O$71+S$1)*Setup!$N$71))+$A48/1000)))</f>
        <v/>
      </c>
      <c r="T48">
        <f>IF(OR(Setup!$E$71="",Setup!$G$71="",Setup!$F$71=""),"",IF(AND(Setup!$F$71="Once",T$1&gt;0),"",IF(OR(IF(Setup!$M$71&gt;0,Setup!$G$71+(Setup!$O$71+T$1)*Setup!$M$71,EDATE(Setup!$G$71,(Setup!$O$71+T$1)*Setup!$N$71))&gt;Setup!$P$71,IF(Setup!$M$71&gt;0,Setup!$G$71+(Setup!$O$71+T$1)*Setup!$M$71,EDATE(Setup!$G$71,(Setup!$O$71+T$1)*Setup!$N$71))&lt;Setup!$D$5),"",IF(Setup!$M$71&gt;0,Setup!$G$71+(Setup!$O$71+T$1)*Setup!$M$71,EDATE(Setup!$G$71,(Setup!$O$71+T$1)*Setup!$N$71))+$A48/1000)))</f>
        <v/>
      </c>
      <c r="U48">
        <f>IF(OR(Setup!$E$71="",Setup!$G$71="",Setup!$F$71=""),"",IF(AND(Setup!$F$71="Once",U$1&gt;0),"",IF(OR(IF(Setup!$M$71&gt;0,Setup!$G$71+(Setup!$O$71+U$1)*Setup!$M$71,EDATE(Setup!$G$71,(Setup!$O$71+U$1)*Setup!$N$71))&gt;Setup!$P$71,IF(Setup!$M$71&gt;0,Setup!$G$71+(Setup!$O$71+U$1)*Setup!$M$71,EDATE(Setup!$G$71,(Setup!$O$71+U$1)*Setup!$N$71))&lt;Setup!$D$5),"",IF(Setup!$M$71&gt;0,Setup!$G$71+(Setup!$O$71+U$1)*Setup!$M$71,EDATE(Setup!$G$71,(Setup!$O$71+U$1)*Setup!$N$71))+$A48/1000)))</f>
        <v/>
      </c>
      <c r="V48">
        <f>IF(OR(Setup!$E$71="",Setup!$G$71="",Setup!$F$71=""),"",IF(AND(Setup!$F$71="Once",V$1&gt;0),"",IF(OR(IF(Setup!$M$71&gt;0,Setup!$G$71+(Setup!$O$71+V$1)*Setup!$M$71,EDATE(Setup!$G$71,(Setup!$O$71+V$1)*Setup!$N$71))&gt;Setup!$P$71,IF(Setup!$M$71&gt;0,Setup!$G$71+(Setup!$O$71+V$1)*Setup!$M$71,EDATE(Setup!$G$71,(Setup!$O$71+V$1)*Setup!$N$71))&lt;Setup!$D$5),"",IF(Setup!$M$71&gt;0,Setup!$G$71+(Setup!$O$71+V$1)*Setup!$M$71,EDATE(Setup!$G$71,(Setup!$O$71+V$1)*Setup!$N$71))+$A48/1000)))</f>
        <v/>
      </c>
      <c r="W48">
        <f>IF(OR(Setup!$E$71="",Setup!$G$71="",Setup!$F$71=""),"",IF(AND(Setup!$F$71="Once",W$1&gt;0),"",IF(OR(IF(Setup!$M$71&gt;0,Setup!$G$71+(Setup!$O$71+W$1)*Setup!$M$71,EDATE(Setup!$G$71,(Setup!$O$71+W$1)*Setup!$N$71))&gt;Setup!$P$71,IF(Setup!$M$71&gt;0,Setup!$G$71+(Setup!$O$71+W$1)*Setup!$M$71,EDATE(Setup!$G$71,(Setup!$O$71+W$1)*Setup!$N$71))&lt;Setup!$D$5),"",IF(Setup!$M$71&gt;0,Setup!$G$71+(Setup!$O$71+W$1)*Setup!$M$71,EDATE(Setup!$G$71,(Setup!$O$71+W$1)*Setup!$N$71))+$A48/1000)))</f>
        <v/>
      </c>
      <c r="X48">
        <f>IF(OR(Setup!$E$71="",Setup!$G$71="",Setup!$F$71=""),"",IF(AND(Setup!$F$71="Once",X$1&gt;0),"",IF(OR(IF(Setup!$M$71&gt;0,Setup!$G$71+(Setup!$O$71+X$1)*Setup!$M$71,EDATE(Setup!$G$71,(Setup!$O$71+X$1)*Setup!$N$71))&gt;Setup!$P$71,IF(Setup!$M$71&gt;0,Setup!$G$71+(Setup!$O$71+X$1)*Setup!$M$71,EDATE(Setup!$G$71,(Setup!$O$71+X$1)*Setup!$N$71))&lt;Setup!$D$5),"",IF(Setup!$M$71&gt;0,Setup!$G$71+(Setup!$O$71+X$1)*Setup!$M$71,EDATE(Setup!$G$71,(Setup!$O$71+X$1)*Setup!$N$71))+$A48/1000)))</f>
        <v/>
      </c>
      <c r="Y48">
        <f>IF(OR(Setup!$E$71="",Setup!$G$71="",Setup!$F$71=""),"",IF(AND(Setup!$F$71="Once",Y$1&gt;0),"",IF(OR(IF(Setup!$M$71&gt;0,Setup!$G$71+(Setup!$O$71+Y$1)*Setup!$M$71,EDATE(Setup!$G$71,(Setup!$O$71+Y$1)*Setup!$N$71))&gt;Setup!$P$71,IF(Setup!$M$71&gt;0,Setup!$G$71+(Setup!$O$71+Y$1)*Setup!$M$71,EDATE(Setup!$G$71,(Setup!$O$71+Y$1)*Setup!$N$71))&lt;Setup!$D$5),"",IF(Setup!$M$71&gt;0,Setup!$G$71+(Setup!$O$71+Y$1)*Setup!$M$71,EDATE(Setup!$G$71,(Setup!$O$71+Y$1)*Setup!$N$71))+$A48/1000)))</f>
        <v/>
      </c>
      <c r="Z48">
        <f>IF(OR(Setup!$E$71="",Setup!$G$71="",Setup!$F$71=""),"",IF(AND(Setup!$F$71="Once",Z$1&gt;0),"",IF(OR(IF(Setup!$M$71&gt;0,Setup!$G$71+(Setup!$O$71+Z$1)*Setup!$M$71,EDATE(Setup!$G$71,(Setup!$O$71+Z$1)*Setup!$N$71))&gt;Setup!$P$71,IF(Setup!$M$71&gt;0,Setup!$G$71+(Setup!$O$71+Z$1)*Setup!$M$71,EDATE(Setup!$G$71,(Setup!$O$71+Z$1)*Setup!$N$71))&lt;Setup!$D$5),"",IF(Setup!$M$71&gt;0,Setup!$G$71+(Setup!$O$71+Z$1)*Setup!$M$71,EDATE(Setup!$G$71,(Setup!$O$71+Z$1)*Setup!$N$71))+$A48/1000)))</f>
        <v/>
      </c>
      <c r="AA48">
        <f>IF(OR(Setup!$E$71="",Setup!$G$71="",Setup!$F$71=""),"",IF(AND(Setup!$F$71="Once",AA$1&gt;0),"",IF(OR(IF(Setup!$M$71&gt;0,Setup!$G$71+(Setup!$O$71+AA$1)*Setup!$M$71,EDATE(Setup!$G$71,(Setup!$O$71+AA$1)*Setup!$N$71))&gt;Setup!$P$71,IF(Setup!$M$71&gt;0,Setup!$G$71+(Setup!$O$71+AA$1)*Setup!$M$71,EDATE(Setup!$G$71,(Setup!$O$71+AA$1)*Setup!$N$71))&lt;Setup!$D$5),"",IF(Setup!$M$71&gt;0,Setup!$G$71+(Setup!$O$71+AA$1)*Setup!$M$71,EDATE(Setup!$G$71,(Setup!$O$71+AA$1)*Setup!$N$71))+$A48/1000)))</f>
        <v/>
      </c>
      <c r="AB48">
        <f>IF(OR(Setup!$E$71="",Setup!$G$71="",Setup!$F$71=""),"",IF(AND(Setup!$F$71="Once",AB$1&gt;0),"",IF(OR(IF(Setup!$M$71&gt;0,Setup!$G$71+(Setup!$O$71+AB$1)*Setup!$M$71,EDATE(Setup!$G$71,(Setup!$O$71+AB$1)*Setup!$N$71))&gt;Setup!$P$71,IF(Setup!$M$71&gt;0,Setup!$G$71+(Setup!$O$71+AB$1)*Setup!$M$71,EDATE(Setup!$G$71,(Setup!$O$71+AB$1)*Setup!$N$71))&lt;Setup!$D$5),"",IF(Setup!$M$71&gt;0,Setup!$G$71+(Setup!$O$71+AB$1)*Setup!$M$71,EDATE(Setup!$G$71,(Setup!$O$71+AB$1)*Setup!$N$71))+$A48/1000)))</f>
        <v/>
      </c>
      <c r="AC48">
        <f>IF(OR(Setup!$E$71="",Setup!$G$71="",Setup!$F$71=""),"",IF(AND(Setup!$F$71="Once",AC$1&gt;0),"",IF(OR(IF(Setup!$M$71&gt;0,Setup!$G$71+(Setup!$O$71+AC$1)*Setup!$M$71,EDATE(Setup!$G$71,(Setup!$O$71+AC$1)*Setup!$N$71))&gt;Setup!$P$71,IF(Setup!$M$71&gt;0,Setup!$G$71+(Setup!$O$71+AC$1)*Setup!$M$71,EDATE(Setup!$G$71,(Setup!$O$71+AC$1)*Setup!$N$71))&lt;Setup!$D$5),"",IF(Setup!$M$71&gt;0,Setup!$G$71+(Setup!$O$71+AC$1)*Setup!$M$71,EDATE(Setup!$G$71,(Setup!$O$71+AC$1)*Setup!$N$71))+$A48/1000)))</f>
        <v/>
      </c>
      <c r="AD48">
        <f>IF(OR(Setup!$E$71="",Setup!$G$71="",Setup!$F$71=""),"",IF(AND(Setup!$F$71="Once",AD$1&gt;0),"",IF(OR(IF(Setup!$M$71&gt;0,Setup!$G$71+(Setup!$O$71+AD$1)*Setup!$M$71,EDATE(Setup!$G$71,(Setup!$O$71+AD$1)*Setup!$N$71))&gt;Setup!$P$71,IF(Setup!$M$71&gt;0,Setup!$G$71+(Setup!$O$71+AD$1)*Setup!$M$71,EDATE(Setup!$G$71,(Setup!$O$71+AD$1)*Setup!$N$71))&lt;Setup!$D$5),"",IF(Setup!$M$71&gt;0,Setup!$G$71+(Setup!$O$71+AD$1)*Setup!$M$71,EDATE(Setup!$G$71,(Setup!$O$71+AD$1)*Setup!$N$71))+$A48/1000)))</f>
        <v/>
      </c>
      <c r="AE48">
        <f>IF(OR(Setup!$E$71="",Setup!$G$71="",Setup!$F$71=""),"",IF(AND(Setup!$F$71="Once",AE$1&gt;0),"",IF(OR(IF(Setup!$M$71&gt;0,Setup!$G$71+(Setup!$O$71+AE$1)*Setup!$M$71,EDATE(Setup!$G$71,(Setup!$O$71+AE$1)*Setup!$N$71))&gt;Setup!$P$71,IF(Setup!$M$71&gt;0,Setup!$G$71+(Setup!$O$71+AE$1)*Setup!$M$71,EDATE(Setup!$G$71,(Setup!$O$71+AE$1)*Setup!$N$71))&lt;Setup!$D$5),"",IF(Setup!$M$71&gt;0,Setup!$G$71+(Setup!$O$71+AE$1)*Setup!$M$71,EDATE(Setup!$G$71,(Setup!$O$71+AE$1)*Setup!$N$71))+$A48/1000)))</f>
        <v/>
      </c>
      <c r="AF48">
        <f>IF(OR(Setup!$E$71="",Setup!$G$71="",Setup!$F$71=""),"",IF(AND(Setup!$F$71="Once",AF$1&gt;0),"",IF(OR(IF(Setup!$M$71&gt;0,Setup!$G$71+(Setup!$O$71+AF$1)*Setup!$M$71,EDATE(Setup!$G$71,(Setup!$O$71+AF$1)*Setup!$N$71))&gt;Setup!$P$71,IF(Setup!$M$71&gt;0,Setup!$G$71+(Setup!$O$71+AF$1)*Setup!$M$71,EDATE(Setup!$G$71,(Setup!$O$71+AF$1)*Setup!$N$71))&lt;Setup!$D$5),"",IF(Setup!$M$71&gt;0,Setup!$G$71+(Setup!$O$71+AF$1)*Setup!$M$71,EDATE(Setup!$G$71,(Setup!$O$71+AF$1)*Setup!$N$71))+$A48/1000)))</f>
        <v/>
      </c>
      <c r="AG48">
        <f>IF(OR(Setup!$E$71="",Setup!$G$71="",Setup!$F$71=""),"",IF(AND(Setup!$F$71="Once",AG$1&gt;0),"",IF(OR(IF(Setup!$M$71&gt;0,Setup!$G$71+(Setup!$O$71+AG$1)*Setup!$M$71,EDATE(Setup!$G$71,(Setup!$O$71+AG$1)*Setup!$N$71))&gt;Setup!$P$71,IF(Setup!$M$71&gt;0,Setup!$G$71+(Setup!$O$71+AG$1)*Setup!$M$71,EDATE(Setup!$G$71,(Setup!$O$71+AG$1)*Setup!$N$71))&lt;Setup!$D$5),"",IF(Setup!$M$71&gt;0,Setup!$G$71+(Setup!$O$71+AG$1)*Setup!$M$71,EDATE(Setup!$G$71,(Setup!$O$71+AG$1)*Setup!$N$71))+$A48/1000)))</f>
        <v/>
      </c>
      <c r="AH48">
        <f>IF(OR(Setup!$E$71="",Setup!$G$71="",Setup!$F$71=""),"",IF(AND(Setup!$F$71="Once",AH$1&gt;0),"",IF(OR(IF(Setup!$M$71&gt;0,Setup!$G$71+(Setup!$O$71+AH$1)*Setup!$M$71,EDATE(Setup!$G$71,(Setup!$O$71+AH$1)*Setup!$N$71))&gt;Setup!$P$71,IF(Setup!$M$71&gt;0,Setup!$G$71+(Setup!$O$71+AH$1)*Setup!$M$71,EDATE(Setup!$G$71,(Setup!$O$71+AH$1)*Setup!$N$71))&lt;Setup!$D$5),"",IF(Setup!$M$71&gt;0,Setup!$G$71+(Setup!$O$71+AH$1)*Setup!$M$71,EDATE(Setup!$G$71,(Setup!$O$71+AH$1)*Setup!$N$71))+$A48/1000)))</f>
        <v/>
      </c>
      <c r="AI48">
        <f>IF(OR(Setup!$E$71="",Setup!$G$71="",Setup!$F$71=""),"",IF(AND(Setup!$F$71="Once",AI$1&gt;0),"",IF(OR(IF(Setup!$M$71&gt;0,Setup!$G$71+(Setup!$O$71+AI$1)*Setup!$M$71,EDATE(Setup!$G$71,(Setup!$O$71+AI$1)*Setup!$N$71))&gt;Setup!$P$71,IF(Setup!$M$71&gt;0,Setup!$G$71+(Setup!$O$71+AI$1)*Setup!$M$71,EDATE(Setup!$G$71,(Setup!$O$71+AI$1)*Setup!$N$71))&lt;Setup!$D$5),"",IF(Setup!$M$71&gt;0,Setup!$G$71+(Setup!$O$71+AI$1)*Setup!$M$71,EDATE(Setup!$G$71,(Setup!$O$71+AI$1)*Setup!$N$71))+$A48/1000)))</f>
        <v/>
      </c>
      <c r="AJ48">
        <f>IF(OR(Setup!$E$71="",Setup!$G$71="",Setup!$F$71=""),"",IF(AND(Setup!$F$71="Once",AJ$1&gt;0),"",IF(OR(IF(Setup!$M$71&gt;0,Setup!$G$71+(Setup!$O$71+AJ$1)*Setup!$M$71,EDATE(Setup!$G$71,(Setup!$O$71+AJ$1)*Setup!$N$71))&gt;Setup!$P$71,IF(Setup!$M$71&gt;0,Setup!$G$71+(Setup!$O$71+AJ$1)*Setup!$M$71,EDATE(Setup!$G$71,(Setup!$O$71+AJ$1)*Setup!$N$71))&lt;Setup!$D$5),"",IF(Setup!$M$71&gt;0,Setup!$G$71+(Setup!$O$71+AJ$1)*Setup!$M$71,EDATE(Setup!$G$71,(Setup!$O$71+AJ$1)*Setup!$N$71))+$A48/1000)))</f>
        <v/>
      </c>
      <c r="AK48">
        <f>IF(OR(Setup!$E$71="",Setup!$G$71="",Setup!$F$71=""),"",IF(AND(Setup!$F$71="Once",AK$1&gt;0),"",IF(OR(IF(Setup!$M$71&gt;0,Setup!$G$71+(Setup!$O$71+AK$1)*Setup!$M$71,EDATE(Setup!$G$71,(Setup!$O$71+AK$1)*Setup!$N$71))&gt;Setup!$P$71,IF(Setup!$M$71&gt;0,Setup!$G$71+(Setup!$O$71+AK$1)*Setup!$M$71,EDATE(Setup!$G$71,(Setup!$O$71+AK$1)*Setup!$N$71))&lt;Setup!$D$5),"",IF(Setup!$M$71&gt;0,Setup!$G$71+(Setup!$O$71+AK$1)*Setup!$M$71,EDATE(Setup!$G$71,(Setup!$O$71+AK$1)*Setup!$N$71))+$A48/1000)))</f>
        <v/>
      </c>
      <c r="AL48">
        <f>IF(OR(Setup!$E$71="",Setup!$G$71="",Setup!$F$71=""),"",IF(AND(Setup!$F$71="Once",AL$1&gt;0),"",IF(OR(IF(Setup!$M$71&gt;0,Setup!$G$71+(Setup!$O$71+AL$1)*Setup!$M$71,EDATE(Setup!$G$71,(Setup!$O$71+AL$1)*Setup!$N$71))&gt;Setup!$P$71,IF(Setup!$M$71&gt;0,Setup!$G$71+(Setup!$O$71+AL$1)*Setup!$M$71,EDATE(Setup!$G$71,(Setup!$O$71+AL$1)*Setup!$N$71))&lt;Setup!$D$5),"",IF(Setup!$M$71&gt;0,Setup!$G$71+(Setup!$O$71+AL$1)*Setup!$M$71,EDATE(Setup!$G$71,(Setup!$O$71+AL$1)*Setup!$N$71))+$A48/1000)))</f>
        <v/>
      </c>
      <c r="AM48">
        <f>IF(OR(Setup!$E$71="",Setup!$G$71="",Setup!$F$71=""),"",IF(AND(Setup!$F$71="Once",AM$1&gt;0),"",IF(OR(IF(Setup!$M$71&gt;0,Setup!$G$71+(Setup!$O$71+AM$1)*Setup!$M$71,EDATE(Setup!$G$71,(Setup!$O$71+AM$1)*Setup!$N$71))&gt;Setup!$P$71,IF(Setup!$M$71&gt;0,Setup!$G$71+(Setup!$O$71+AM$1)*Setup!$M$71,EDATE(Setup!$G$71,(Setup!$O$71+AM$1)*Setup!$N$71))&lt;Setup!$D$5),"",IF(Setup!$M$71&gt;0,Setup!$G$71+(Setup!$O$71+AM$1)*Setup!$M$71,EDATE(Setup!$G$71,(Setup!$O$71+AM$1)*Setup!$N$71))+$A48/1000)))</f>
        <v/>
      </c>
      <c r="AN48">
        <f>IF(OR(Setup!$E$71="",Setup!$G$71="",Setup!$F$71=""),"",IF(AND(Setup!$F$71="Once",AN$1&gt;0),"",IF(OR(IF(Setup!$M$71&gt;0,Setup!$G$71+(Setup!$O$71+AN$1)*Setup!$M$71,EDATE(Setup!$G$71,(Setup!$O$71+AN$1)*Setup!$N$71))&gt;Setup!$P$71,IF(Setup!$M$71&gt;0,Setup!$G$71+(Setup!$O$71+AN$1)*Setup!$M$71,EDATE(Setup!$G$71,(Setup!$O$71+AN$1)*Setup!$N$71))&lt;Setup!$D$5),"",IF(Setup!$M$71&gt;0,Setup!$G$71+(Setup!$O$71+AN$1)*Setup!$M$71,EDATE(Setup!$G$71,(Setup!$O$71+AN$1)*Setup!$N$71))+$A48/1000)))</f>
        <v/>
      </c>
      <c r="AO48">
        <f>IF(OR(Setup!$E$71="",Setup!$G$71="",Setup!$F$71=""),"",IF(AND(Setup!$F$71="Once",AO$1&gt;0),"",IF(OR(IF(Setup!$M$71&gt;0,Setup!$G$71+(Setup!$O$71+AO$1)*Setup!$M$71,EDATE(Setup!$G$71,(Setup!$O$71+AO$1)*Setup!$N$71))&gt;Setup!$P$71,IF(Setup!$M$71&gt;0,Setup!$G$71+(Setup!$O$71+AO$1)*Setup!$M$71,EDATE(Setup!$G$71,(Setup!$O$71+AO$1)*Setup!$N$71))&lt;Setup!$D$5),"",IF(Setup!$M$71&gt;0,Setup!$G$71+(Setup!$O$71+AO$1)*Setup!$M$71,EDATE(Setup!$G$71,(Setup!$O$71+AO$1)*Setup!$N$71))+$A48/1000)))</f>
        <v/>
      </c>
      <c r="AP48">
        <f>IF(OR(Setup!$E$71="",Setup!$G$71="",Setup!$F$71=""),"",IF(AND(Setup!$F$71="Once",AP$1&gt;0),"",IF(OR(IF(Setup!$M$71&gt;0,Setup!$G$71+(Setup!$O$71+AP$1)*Setup!$M$71,EDATE(Setup!$G$71,(Setup!$O$71+AP$1)*Setup!$N$71))&gt;Setup!$P$71,IF(Setup!$M$71&gt;0,Setup!$G$71+(Setup!$O$71+AP$1)*Setup!$M$71,EDATE(Setup!$G$71,(Setup!$O$71+AP$1)*Setup!$N$71))&lt;Setup!$D$5),"",IF(Setup!$M$71&gt;0,Setup!$G$71+(Setup!$O$71+AP$1)*Setup!$M$71,EDATE(Setup!$G$71,(Setup!$O$71+AP$1)*Setup!$N$71))+$A48/1000)))</f>
        <v/>
      </c>
      <c r="AQ48">
        <f>IF(OR(Setup!$E$71="",Setup!$G$71="",Setup!$F$71=""),"",IF(AND(Setup!$F$71="Once",AQ$1&gt;0),"",IF(OR(IF(Setup!$M$71&gt;0,Setup!$G$71+(Setup!$O$71+AQ$1)*Setup!$M$71,EDATE(Setup!$G$71,(Setup!$O$71+AQ$1)*Setup!$N$71))&gt;Setup!$P$71,IF(Setup!$M$71&gt;0,Setup!$G$71+(Setup!$O$71+AQ$1)*Setup!$M$71,EDATE(Setup!$G$71,(Setup!$O$71+AQ$1)*Setup!$N$71))&lt;Setup!$D$5),"",IF(Setup!$M$71&gt;0,Setup!$G$71+(Setup!$O$71+AQ$1)*Setup!$M$71,EDATE(Setup!$G$71,(Setup!$O$71+AQ$1)*Setup!$N$71))+$A48/1000)))</f>
        <v/>
      </c>
      <c r="AR48">
        <f>IF(OR(Setup!$E$71="",Setup!$G$71="",Setup!$F$71=""),"",IF(AND(Setup!$F$71="Once",AR$1&gt;0),"",IF(OR(IF(Setup!$M$71&gt;0,Setup!$G$71+(Setup!$O$71+AR$1)*Setup!$M$71,EDATE(Setup!$G$71,(Setup!$O$71+AR$1)*Setup!$N$71))&gt;Setup!$P$71,IF(Setup!$M$71&gt;0,Setup!$G$71+(Setup!$O$71+AR$1)*Setup!$M$71,EDATE(Setup!$G$71,(Setup!$O$71+AR$1)*Setup!$N$71))&lt;Setup!$D$5),"",IF(Setup!$M$71&gt;0,Setup!$G$71+(Setup!$O$71+AR$1)*Setup!$M$71,EDATE(Setup!$G$71,(Setup!$O$71+AR$1)*Setup!$N$71))+$A48/1000)))</f>
        <v/>
      </c>
      <c r="AS48">
        <f>IF(OR(Setup!$E$71="",Setup!$G$71="",Setup!$F$71=""),"",IF(AND(Setup!$F$71="Once",AS$1&gt;0),"",IF(OR(IF(Setup!$M$71&gt;0,Setup!$G$71+(Setup!$O$71+AS$1)*Setup!$M$71,EDATE(Setup!$G$71,(Setup!$O$71+AS$1)*Setup!$N$71))&gt;Setup!$P$71,IF(Setup!$M$71&gt;0,Setup!$G$71+(Setup!$O$71+AS$1)*Setup!$M$71,EDATE(Setup!$G$71,(Setup!$O$71+AS$1)*Setup!$N$71))&lt;Setup!$D$5),"",IF(Setup!$M$71&gt;0,Setup!$G$71+(Setup!$O$71+AS$1)*Setup!$M$71,EDATE(Setup!$G$71,(Setup!$O$71+AS$1)*Setup!$N$71))+$A48/1000)))</f>
        <v/>
      </c>
      <c r="AT48">
        <f>IF(OR(Setup!$E$71="",Setup!$G$71="",Setup!$F$71=""),"",IF(AND(Setup!$F$71="Once",AT$1&gt;0),"",IF(OR(IF(Setup!$M$71&gt;0,Setup!$G$71+(Setup!$O$71+AT$1)*Setup!$M$71,EDATE(Setup!$G$71,(Setup!$O$71+AT$1)*Setup!$N$71))&gt;Setup!$P$71,IF(Setup!$M$71&gt;0,Setup!$G$71+(Setup!$O$71+AT$1)*Setup!$M$71,EDATE(Setup!$G$71,(Setup!$O$71+AT$1)*Setup!$N$71))&lt;Setup!$D$5),"",IF(Setup!$M$71&gt;0,Setup!$G$71+(Setup!$O$71+AT$1)*Setup!$M$71,EDATE(Setup!$G$71,(Setup!$O$71+AT$1)*Setup!$N$71))+$A48/1000)))</f>
        <v/>
      </c>
      <c r="AU48">
        <f>IF(OR(Setup!$E$71="",Setup!$G$71="",Setup!$F$71=""),"",IF(AND(Setup!$F$71="Once",AU$1&gt;0),"",IF(OR(IF(Setup!$M$71&gt;0,Setup!$G$71+(Setup!$O$71+AU$1)*Setup!$M$71,EDATE(Setup!$G$71,(Setup!$O$71+AU$1)*Setup!$N$71))&gt;Setup!$P$71,IF(Setup!$M$71&gt;0,Setup!$G$71+(Setup!$O$71+AU$1)*Setup!$M$71,EDATE(Setup!$G$71,(Setup!$O$71+AU$1)*Setup!$N$71))&lt;Setup!$D$5),"",IF(Setup!$M$71&gt;0,Setup!$G$71+(Setup!$O$71+AU$1)*Setup!$M$71,EDATE(Setup!$G$71,(Setup!$O$71+AU$1)*Setup!$N$71))+$A48/1000)))</f>
        <v/>
      </c>
      <c r="AV48">
        <f>IF(OR(Setup!$E$71="",Setup!$G$71="",Setup!$F$71=""),"",IF(AND(Setup!$F$71="Once",AV$1&gt;0),"",IF(OR(IF(Setup!$M$71&gt;0,Setup!$G$71+(Setup!$O$71+AV$1)*Setup!$M$71,EDATE(Setup!$G$71,(Setup!$O$71+AV$1)*Setup!$N$71))&gt;Setup!$P$71,IF(Setup!$M$71&gt;0,Setup!$G$71+(Setup!$O$71+AV$1)*Setup!$M$71,EDATE(Setup!$G$71,(Setup!$O$71+AV$1)*Setup!$N$71))&lt;Setup!$D$5),"",IF(Setup!$M$71&gt;0,Setup!$G$71+(Setup!$O$71+AV$1)*Setup!$M$71,EDATE(Setup!$G$71,(Setup!$O$71+AV$1)*Setup!$N$71))+$A48/1000)))</f>
        <v/>
      </c>
      <c r="AW48">
        <f>IF(OR(Setup!$E$71="",Setup!$G$71="",Setup!$F$71=""),"",IF(AND(Setup!$F$71="Once",AW$1&gt;0),"",IF(OR(IF(Setup!$M$71&gt;0,Setup!$G$71+(Setup!$O$71+AW$1)*Setup!$M$71,EDATE(Setup!$G$71,(Setup!$O$71+AW$1)*Setup!$N$71))&gt;Setup!$P$71,IF(Setup!$M$71&gt;0,Setup!$G$71+(Setup!$O$71+AW$1)*Setup!$M$71,EDATE(Setup!$G$71,(Setup!$O$71+AW$1)*Setup!$N$71))&lt;Setup!$D$5),"",IF(Setup!$M$71&gt;0,Setup!$G$71+(Setup!$O$71+AW$1)*Setup!$M$71,EDATE(Setup!$G$71,(Setup!$O$71+AW$1)*Setup!$N$71))+$A48/1000)))</f>
        <v/>
      </c>
      <c r="AX48">
        <f>IF(OR(Setup!$E$71="",Setup!$G$71="",Setup!$F$71=""),"",IF(AND(Setup!$F$71="Once",AX$1&gt;0),"",IF(OR(IF(Setup!$M$71&gt;0,Setup!$G$71+(Setup!$O$71+AX$1)*Setup!$M$71,EDATE(Setup!$G$71,(Setup!$O$71+AX$1)*Setup!$N$71))&gt;Setup!$P$71,IF(Setup!$M$71&gt;0,Setup!$G$71+(Setup!$O$71+AX$1)*Setup!$M$71,EDATE(Setup!$G$71,(Setup!$O$71+AX$1)*Setup!$N$71))&lt;Setup!$D$5),"",IF(Setup!$M$71&gt;0,Setup!$G$71+(Setup!$O$71+AX$1)*Setup!$M$71,EDATE(Setup!$G$71,(Setup!$O$71+AX$1)*Setup!$N$71))+$A48/1000)))</f>
        <v/>
      </c>
      <c r="AY48">
        <f>IF(OR(Setup!$E$71="",Setup!$G$71="",Setup!$F$71=""),"",IF(AND(Setup!$F$71="Once",AY$1&gt;0),"",IF(OR(IF(Setup!$M$71&gt;0,Setup!$G$71+(Setup!$O$71+AY$1)*Setup!$M$71,EDATE(Setup!$G$71,(Setup!$O$71+AY$1)*Setup!$N$71))&gt;Setup!$P$71,IF(Setup!$M$71&gt;0,Setup!$G$71+(Setup!$O$71+AY$1)*Setup!$M$71,EDATE(Setup!$G$71,(Setup!$O$71+AY$1)*Setup!$N$71))&lt;Setup!$D$5),"",IF(Setup!$M$71&gt;0,Setup!$G$71+(Setup!$O$71+AY$1)*Setup!$M$71,EDATE(Setup!$G$71,(Setup!$O$71+AY$1)*Setup!$N$71))+$A48/1000)))</f>
        <v/>
      </c>
      <c r="AZ48">
        <f>IF(OR(Setup!$E$71="",Setup!$G$71="",Setup!$F$71=""),"",IF(AND(Setup!$F$71="Once",AZ$1&gt;0),"",IF(OR(IF(Setup!$M$71&gt;0,Setup!$G$71+(Setup!$O$71+AZ$1)*Setup!$M$71,EDATE(Setup!$G$71,(Setup!$O$71+AZ$1)*Setup!$N$71))&gt;Setup!$P$71,IF(Setup!$M$71&gt;0,Setup!$G$71+(Setup!$O$71+AZ$1)*Setup!$M$71,EDATE(Setup!$G$71,(Setup!$O$71+AZ$1)*Setup!$N$71))&lt;Setup!$D$5),"",IF(Setup!$M$71&gt;0,Setup!$G$71+(Setup!$O$71+AZ$1)*Setup!$M$71,EDATE(Setup!$G$71,(Setup!$O$71+AZ$1)*Setup!$N$71))+$A48/1000)))</f>
        <v/>
      </c>
      <c r="BA48">
        <f>IF(OR(Setup!$E$71="",Setup!$G$71="",Setup!$F$71=""),"",IF(AND(Setup!$F$71="Once",BA$1&gt;0),"",IF(OR(IF(Setup!$M$71&gt;0,Setup!$G$71+(Setup!$O$71+BA$1)*Setup!$M$71,EDATE(Setup!$G$71,(Setup!$O$71+BA$1)*Setup!$N$71))&gt;Setup!$P$71,IF(Setup!$M$71&gt;0,Setup!$G$71+(Setup!$O$71+BA$1)*Setup!$M$71,EDATE(Setup!$G$71,(Setup!$O$71+BA$1)*Setup!$N$71))&lt;Setup!$D$5),"",IF(Setup!$M$71&gt;0,Setup!$G$71+(Setup!$O$71+BA$1)*Setup!$M$71,EDATE(Setup!$G$71,(Setup!$O$71+BA$1)*Setup!$N$71))+$A48/1000)))</f>
        <v/>
      </c>
      <c r="BB48">
        <f>IF(OR(Setup!$E$71="",Setup!$G$71="",Setup!$F$71=""),"",IF(AND(Setup!$F$71="Once",BB$1&gt;0),"",IF(OR(IF(Setup!$M$71&gt;0,Setup!$G$71+(Setup!$O$71+BB$1)*Setup!$M$71,EDATE(Setup!$G$71,(Setup!$O$71+BB$1)*Setup!$N$71))&gt;Setup!$P$71,IF(Setup!$M$71&gt;0,Setup!$G$71+(Setup!$O$71+BB$1)*Setup!$M$71,EDATE(Setup!$G$71,(Setup!$O$71+BB$1)*Setup!$N$71))&lt;Setup!$D$5),"",IF(Setup!$M$71&gt;0,Setup!$G$71+(Setup!$O$71+BB$1)*Setup!$M$71,EDATE(Setup!$G$71,(Setup!$O$71+BB$1)*Setup!$N$71))+$A48/1000)))</f>
        <v/>
      </c>
    </row>
    <row r="49">
      <c r="A49" t="n">
        <v>48</v>
      </c>
      <c r="B49">
        <f>IF(OR(Setup!$E$72="",Setup!$G$72="",Setup!$F$72=""),"",IF(AND(Setup!$F$72="Once",B$1&gt;0),"",IF(OR(IF(Setup!$M$72&gt;0,Setup!$G$72+(Setup!$O$72+B$1)*Setup!$M$72,EDATE(Setup!$G$72,(Setup!$O$72+B$1)*Setup!$N$72))&gt;Setup!$P$72,IF(Setup!$M$72&gt;0,Setup!$G$72+(Setup!$O$72+B$1)*Setup!$M$72,EDATE(Setup!$G$72,(Setup!$O$72+B$1)*Setup!$N$72))&lt;Setup!$D$5),"",IF(Setup!$M$72&gt;0,Setup!$G$72+(Setup!$O$72+B$1)*Setup!$M$72,EDATE(Setup!$G$72,(Setup!$O$72+B$1)*Setup!$N$72))+$A49/1000)))</f>
        <v/>
      </c>
      <c r="C49">
        <f>IF(OR(Setup!$E$72="",Setup!$G$72="",Setup!$F$72=""),"",IF(AND(Setup!$F$72="Once",C$1&gt;0),"",IF(OR(IF(Setup!$M$72&gt;0,Setup!$G$72+(Setup!$O$72+C$1)*Setup!$M$72,EDATE(Setup!$G$72,(Setup!$O$72+C$1)*Setup!$N$72))&gt;Setup!$P$72,IF(Setup!$M$72&gt;0,Setup!$G$72+(Setup!$O$72+C$1)*Setup!$M$72,EDATE(Setup!$G$72,(Setup!$O$72+C$1)*Setup!$N$72))&lt;Setup!$D$5),"",IF(Setup!$M$72&gt;0,Setup!$G$72+(Setup!$O$72+C$1)*Setup!$M$72,EDATE(Setup!$G$72,(Setup!$O$72+C$1)*Setup!$N$72))+$A49/1000)))</f>
        <v/>
      </c>
      <c r="D49">
        <f>IF(OR(Setup!$E$72="",Setup!$G$72="",Setup!$F$72=""),"",IF(AND(Setup!$F$72="Once",D$1&gt;0),"",IF(OR(IF(Setup!$M$72&gt;0,Setup!$G$72+(Setup!$O$72+D$1)*Setup!$M$72,EDATE(Setup!$G$72,(Setup!$O$72+D$1)*Setup!$N$72))&gt;Setup!$P$72,IF(Setup!$M$72&gt;0,Setup!$G$72+(Setup!$O$72+D$1)*Setup!$M$72,EDATE(Setup!$G$72,(Setup!$O$72+D$1)*Setup!$N$72))&lt;Setup!$D$5),"",IF(Setup!$M$72&gt;0,Setup!$G$72+(Setup!$O$72+D$1)*Setup!$M$72,EDATE(Setup!$G$72,(Setup!$O$72+D$1)*Setup!$N$72))+$A49/1000)))</f>
        <v/>
      </c>
      <c r="E49">
        <f>IF(OR(Setup!$E$72="",Setup!$G$72="",Setup!$F$72=""),"",IF(AND(Setup!$F$72="Once",E$1&gt;0),"",IF(OR(IF(Setup!$M$72&gt;0,Setup!$G$72+(Setup!$O$72+E$1)*Setup!$M$72,EDATE(Setup!$G$72,(Setup!$O$72+E$1)*Setup!$N$72))&gt;Setup!$P$72,IF(Setup!$M$72&gt;0,Setup!$G$72+(Setup!$O$72+E$1)*Setup!$M$72,EDATE(Setup!$G$72,(Setup!$O$72+E$1)*Setup!$N$72))&lt;Setup!$D$5),"",IF(Setup!$M$72&gt;0,Setup!$G$72+(Setup!$O$72+E$1)*Setup!$M$72,EDATE(Setup!$G$72,(Setup!$O$72+E$1)*Setup!$N$72))+$A49/1000)))</f>
        <v/>
      </c>
      <c r="F49">
        <f>IF(OR(Setup!$E$72="",Setup!$G$72="",Setup!$F$72=""),"",IF(AND(Setup!$F$72="Once",F$1&gt;0),"",IF(OR(IF(Setup!$M$72&gt;0,Setup!$G$72+(Setup!$O$72+F$1)*Setup!$M$72,EDATE(Setup!$G$72,(Setup!$O$72+F$1)*Setup!$N$72))&gt;Setup!$P$72,IF(Setup!$M$72&gt;0,Setup!$G$72+(Setup!$O$72+F$1)*Setup!$M$72,EDATE(Setup!$G$72,(Setup!$O$72+F$1)*Setup!$N$72))&lt;Setup!$D$5),"",IF(Setup!$M$72&gt;0,Setup!$G$72+(Setup!$O$72+F$1)*Setup!$M$72,EDATE(Setup!$G$72,(Setup!$O$72+F$1)*Setup!$N$72))+$A49/1000)))</f>
        <v/>
      </c>
      <c r="G49">
        <f>IF(OR(Setup!$E$72="",Setup!$G$72="",Setup!$F$72=""),"",IF(AND(Setup!$F$72="Once",G$1&gt;0),"",IF(OR(IF(Setup!$M$72&gt;0,Setup!$G$72+(Setup!$O$72+G$1)*Setup!$M$72,EDATE(Setup!$G$72,(Setup!$O$72+G$1)*Setup!$N$72))&gt;Setup!$P$72,IF(Setup!$M$72&gt;0,Setup!$G$72+(Setup!$O$72+G$1)*Setup!$M$72,EDATE(Setup!$G$72,(Setup!$O$72+G$1)*Setup!$N$72))&lt;Setup!$D$5),"",IF(Setup!$M$72&gt;0,Setup!$G$72+(Setup!$O$72+G$1)*Setup!$M$72,EDATE(Setup!$G$72,(Setup!$O$72+G$1)*Setup!$N$72))+$A49/1000)))</f>
        <v/>
      </c>
      <c r="H49">
        <f>IF(OR(Setup!$E$72="",Setup!$G$72="",Setup!$F$72=""),"",IF(AND(Setup!$F$72="Once",H$1&gt;0),"",IF(OR(IF(Setup!$M$72&gt;0,Setup!$G$72+(Setup!$O$72+H$1)*Setup!$M$72,EDATE(Setup!$G$72,(Setup!$O$72+H$1)*Setup!$N$72))&gt;Setup!$P$72,IF(Setup!$M$72&gt;0,Setup!$G$72+(Setup!$O$72+H$1)*Setup!$M$72,EDATE(Setup!$G$72,(Setup!$O$72+H$1)*Setup!$N$72))&lt;Setup!$D$5),"",IF(Setup!$M$72&gt;0,Setup!$G$72+(Setup!$O$72+H$1)*Setup!$M$72,EDATE(Setup!$G$72,(Setup!$O$72+H$1)*Setup!$N$72))+$A49/1000)))</f>
        <v/>
      </c>
      <c r="I49">
        <f>IF(OR(Setup!$E$72="",Setup!$G$72="",Setup!$F$72=""),"",IF(AND(Setup!$F$72="Once",I$1&gt;0),"",IF(OR(IF(Setup!$M$72&gt;0,Setup!$G$72+(Setup!$O$72+I$1)*Setup!$M$72,EDATE(Setup!$G$72,(Setup!$O$72+I$1)*Setup!$N$72))&gt;Setup!$P$72,IF(Setup!$M$72&gt;0,Setup!$G$72+(Setup!$O$72+I$1)*Setup!$M$72,EDATE(Setup!$G$72,(Setup!$O$72+I$1)*Setup!$N$72))&lt;Setup!$D$5),"",IF(Setup!$M$72&gt;0,Setup!$G$72+(Setup!$O$72+I$1)*Setup!$M$72,EDATE(Setup!$G$72,(Setup!$O$72+I$1)*Setup!$N$72))+$A49/1000)))</f>
        <v/>
      </c>
      <c r="J49">
        <f>IF(OR(Setup!$E$72="",Setup!$G$72="",Setup!$F$72=""),"",IF(AND(Setup!$F$72="Once",J$1&gt;0),"",IF(OR(IF(Setup!$M$72&gt;0,Setup!$G$72+(Setup!$O$72+J$1)*Setup!$M$72,EDATE(Setup!$G$72,(Setup!$O$72+J$1)*Setup!$N$72))&gt;Setup!$P$72,IF(Setup!$M$72&gt;0,Setup!$G$72+(Setup!$O$72+J$1)*Setup!$M$72,EDATE(Setup!$G$72,(Setup!$O$72+J$1)*Setup!$N$72))&lt;Setup!$D$5),"",IF(Setup!$M$72&gt;0,Setup!$G$72+(Setup!$O$72+J$1)*Setup!$M$72,EDATE(Setup!$G$72,(Setup!$O$72+J$1)*Setup!$N$72))+$A49/1000)))</f>
        <v/>
      </c>
      <c r="K49">
        <f>IF(OR(Setup!$E$72="",Setup!$G$72="",Setup!$F$72=""),"",IF(AND(Setup!$F$72="Once",K$1&gt;0),"",IF(OR(IF(Setup!$M$72&gt;0,Setup!$G$72+(Setup!$O$72+K$1)*Setup!$M$72,EDATE(Setup!$G$72,(Setup!$O$72+K$1)*Setup!$N$72))&gt;Setup!$P$72,IF(Setup!$M$72&gt;0,Setup!$G$72+(Setup!$O$72+K$1)*Setup!$M$72,EDATE(Setup!$G$72,(Setup!$O$72+K$1)*Setup!$N$72))&lt;Setup!$D$5),"",IF(Setup!$M$72&gt;0,Setup!$G$72+(Setup!$O$72+K$1)*Setup!$M$72,EDATE(Setup!$G$72,(Setup!$O$72+K$1)*Setup!$N$72))+$A49/1000)))</f>
        <v/>
      </c>
      <c r="L49">
        <f>IF(OR(Setup!$E$72="",Setup!$G$72="",Setup!$F$72=""),"",IF(AND(Setup!$F$72="Once",L$1&gt;0),"",IF(OR(IF(Setup!$M$72&gt;0,Setup!$G$72+(Setup!$O$72+L$1)*Setup!$M$72,EDATE(Setup!$G$72,(Setup!$O$72+L$1)*Setup!$N$72))&gt;Setup!$P$72,IF(Setup!$M$72&gt;0,Setup!$G$72+(Setup!$O$72+L$1)*Setup!$M$72,EDATE(Setup!$G$72,(Setup!$O$72+L$1)*Setup!$N$72))&lt;Setup!$D$5),"",IF(Setup!$M$72&gt;0,Setup!$G$72+(Setup!$O$72+L$1)*Setup!$M$72,EDATE(Setup!$G$72,(Setup!$O$72+L$1)*Setup!$N$72))+$A49/1000)))</f>
        <v/>
      </c>
      <c r="M49">
        <f>IF(OR(Setup!$E$72="",Setup!$G$72="",Setup!$F$72=""),"",IF(AND(Setup!$F$72="Once",M$1&gt;0),"",IF(OR(IF(Setup!$M$72&gt;0,Setup!$G$72+(Setup!$O$72+M$1)*Setup!$M$72,EDATE(Setup!$G$72,(Setup!$O$72+M$1)*Setup!$N$72))&gt;Setup!$P$72,IF(Setup!$M$72&gt;0,Setup!$G$72+(Setup!$O$72+M$1)*Setup!$M$72,EDATE(Setup!$G$72,(Setup!$O$72+M$1)*Setup!$N$72))&lt;Setup!$D$5),"",IF(Setup!$M$72&gt;0,Setup!$G$72+(Setup!$O$72+M$1)*Setup!$M$72,EDATE(Setup!$G$72,(Setup!$O$72+M$1)*Setup!$N$72))+$A49/1000)))</f>
        <v/>
      </c>
      <c r="N49">
        <f>IF(OR(Setup!$E$72="",Setup!$G$72="",Setup!$F$72=""),"",IF(AND(Setup!$F$72="Once",N$1&gt;0),"",IF(OR(IF(Setup!$M$72&gt;0,Setup!$G$72+(Setup!$O$72+N$1)*Setup!$M$72,EDATE(Setup!$G$72,(Setup!$O$72+N$1)*Setup!$N$72))&gt;Setup!$P$72,IF(Setup!$M$72&gt;0,Setup!$G$72+(Setup!$O$72+N$1)*Setup!$M$72,EDATE(Setup!$G$72,(Setup!$O$72+N$1)*Setup!$N$72))&lt;Setup!$D$5),"",IF(Setup!$M$72&gt;0,Setup!$G$72+(Setup!$O$72+N$1)*Setup!$M$72,EDATE(Setup!$G$72,(Setup!$O$72+N$1)*Setup!$N$72))+$A49/1000)))</f>
        <v/>
      </c>
      <c r="O49">
        <f>IF(OR(Setup!$E$72="",Setup!$G$72="",Setup!$F$72=""),"",IF(AND(Setup!$F$72="Once",O$1&gt;0),"",IF(OR(IF(Setup!$M$72&gt;0,Setup!$G$72+(Setup!$O$72+O$1)*Setup!$M$72,EDATE(Setup!$G$72,(Setup!$O$72+O$1)*Setup!$N$72))&gt;Setup!$P$72,IF(Setup!$M$72&gt;0,Setup!$G$72+(Setup!$O$72+O$1)*Setup!$M$72,EDATE(Setup!$G$72,(Setup!$O$72+O$1)*Setup!$N$72))&lt;Setup!$D$5),"",IF(Setup!$M$72&gt;0,Setup!$G$72+(Setup!$O$72+O$1)*Setup!$M$72,EDATE(Setup!$G$72,(Setup!$O$72+O$1)*Setup!$N$72))+$A49/1000)))</f>
        <v/>
      </c>
      <c r="P49">
        <f>IF(OR(Setup!$E$72="",Setup!$G$72="",Setup!$F$72=""),"",IF(AND(Setup!$F$72="Once",P$1&gt;0),"",IF(OR(IF(Setup!$M$72&gt;0,Setup!$G$72+(Setup!$O$72+P$1)*Setup!$M$72,EDATE(Setup!$G$72,(Setup!$O$72+P$1)*Setup!$N$72))&gt;Setup!$P$72,IF(Setup!$M$72&gt;0,Setup!$G$72+(Setup!$O$72+P$1)*Setup!$M$72,EDATE(Setup!$G$72,(Setup!$O$72+P$1)*Setup!$N$72))&lt;Setup!$D$5),"",IF(Setup!$M$72&gt;0,Setup!$G$72+(Setup!$O$72+P$1)*Setup!$M$72,EDATE(Setup!$G$72,(Setup!$O$72+P$1)*Setup!$N$72))+$A49/1000)))</f>
        <v/>
      </c>
      <c r="Q49">
        <f>IF(OR(Setup!$E$72="",Setup!$G$72="",Setup!$F$72=""),"",IF(AND(Setup!$F$72="Once",Q$1&gt;0),"",IF(OR(IF(Setup!$M$72&gt;0,Setup!$G$72+(Setup!$O$72+Q$1)*Setup!$M$72,EDATE(Setup!$G$72,(Setup!$O$72+Q$1)*Setup!$N$72))&gt;Setup!$P$72,IF(Setup!$M$72&gt;0,Setup!$G$72+(Setup!$O$72+Q$1)*Setup!$M$72,EDATE(Setup!$G$72,(Setup!$O$72+Q$1)*Setup!$N$72))&lt;Setup!$D$5),"",IF(Setup!$M$72&gt;0,Setup!$G$72+(Setup!$O$72+Q$1)*Setup!$M$72,EDATE(Setup!$G$72,(Setup!$O$72+Q$1)*Setup!$N$72))+$A49/1000)))</f>
        <v/>
      </c>
      <c r="R49">
        <f>IF(OR(Setup!$E$72="",Setup!$G$72="",Setup!$F$72=""),"",IF(AND(Setup!$F$72="Once",R$1&gt;0),"",IF(OR(IF(Setup!$M$72&gt;0,Setup!$G$72+(Setup!$O$72+R$1)*Setup!$M$72,EDATE(Setup!$G$72,(Setup!$O$72+R$1)*Setup!$N$72))&gt;Setup!$P$72,IF(Setup!$M$72&gt;0,Setup!$G$72+(Setup!$O$72+R$1)*Setup!$M$72,EDATE(Setup!$G$72,(Setup!$O$72+R$1)*Setup!$N$72))&lt;Setup!$D$5),"",IF(Setup!$M$72&gt;0,Setup!$G$72+(Setup!$O$72+R$1)*Setup!$M$72,EDATE(Setup!$G$72,(Setup!$O$72+R$1)*Setup!$N$72))+$A49/1000)))</f>
        <v/>
      </c>
      <c r="S49">
        <f>IF(OR(Setup!$E$72="",Setup!$G$72="",Setup!$F$72=""),"",IF(AND(Setup!$F$72="Once",S$1&gt;0),"",IF(OR(IF(Setup!$M$72&gt;0,Setup!$G$72+(Setup!$O$72+S$1)*Setup!$M$72,EDATE(Setup!$G$72,(Setup!$O$72+S$1)*Setup!$N$72))&gt;Setup!$P$72,IF(Setup!$M$72&gt;0,Setup!$G$72+(Setup!$O$72+S$1)*Setup!$M$72,EDATE(Setup!$G$72,(Setup!$O$72+S$1)*Setup!$N$72))&lt;Setup!$D$5),"",IF(Setup!$M$72&gt;0,Setup!$G$72+(Setup!$O$72+S$1)*Setup!$M$72,EDATE(Setup!$G$72,(Setup!$O$72+S$1)*Setup!$N$72))+$A49/1000)))</f>
        <v/>
      </c>
      <c r="T49">
        <f>IF(OR(Setup!$E$72="",Setup!$G$72="",Setup!$F$72=""),"",IF(AND(Setup!$F$72="Once",T$1&gt;0),"",IF(OR(IF(Setup!$M$72&gt;0,Setup!$G$72+(Setup!$O$72+T$1)*Setup!$M$72,EDATE(Setup!$G$72,(Setup!$O$72+T$1)*Setup!$N$72))&gt;Setup!$P$72,IF(Setup!$M$72&gt;0,Setup!$G$72+(Setup!$O$72+T$1)*Setup!$M$72,EDATE(Setup!$G$72,(Setup!$O$72+T$1)*Setup!$N$72))&lt;Setup!$D$5),"",IF(Setup!$M$72&gt;0,Setup!$G$72+(Setup!$O$72+T$1)*Setup!$M$72,EDATE(Setup!$G$72,(Setup!$O$72+T$1)*Setup!$N$72))+$A49/1000)))</f>
        <v/>
      </c>
      <c r="U49">
        <f>IF(OR(Setup!$E$72="",Setup!$G$72="",Setup!$F$72=""),"",IF(AND(Setup!$F$72="Once",U$1&gt;0),"",IF(OR(IF(Setup!$M$72&gt;0,Setup!$G$72+(Setup!$O$72+U$1)*Setup!$M$72,EDATE(Setup!$G$72,(Setup!$O$72+U$1)*Setup!$N$72))&gt;Setup!$P$72,IF(Setup!$M$72&gt;0,Setup!$G$72+(Setup!$O$72+U$1)*Setup!$M$72,EDATE(Setup!$G$72,(Setup!$O$72+U$1)*Setup!$N$72))&lt;Setup!$D$5),"",IF(Setup!$M$72&gt;0,Setup!$G$72+(Setup!$O$72+U$1)*Setup!$M$72,EDATE(Setup!$G$72,(Setup!$O$72+U$1)*Setup!$N$72))+$A49/1000)))</f>
        <v/>
      </c>
      <c r="V49">
        <f>IF(OR(Setup!$E$72="",Setup!$G$72="",Setup!$F$72=""),"",IF(AND(Setup!$F$72="Once",V$1&gt;0),"",IF(OR(IF(Setup!$M$72&gt;0,Setup!$G$72+(Setup!$O$72+V$1)*Setup!$M$72,EDATE(Setup!$G$72,(Setup!$O$72+V$1)*Setup!$N$72))&gt;Setup!$P$72,IF(Setup!$M$72&gt;0,Setup!$G$72+(Setup!$O$72+V$1)*Setup!$M$72,EDATE(Setup!$G$72,(Setup!$O$72+V$1)*Setup!$N$72))&lt;Setup!$D$5),"",IF(Setup!$M$72&gt;0,Setup!$G$72+(Setup!$O$72+V$1)*Setup!$M$72,EDATE(Setup!$G$72,(Setup!$O$72+V$1)*Setup!$N$72))+$A49/1000)))</f>
        <v/>
      </c>
      <c r="W49">
        <f>IF(OR(Setup!$E$72="",Setup!$G$72="",Setup!$F$72=""),"",IF(AND(Setup!$F$72="Once",W$1&gt;0),"",IF(OR(IF(Setup!$M$72&gt;0,Setup!$G$72+(Setup!$O$72+W$1)*Setup!$M$72,EDATE(Setup!$G$72,(Setup!$O$72+W$1)*Setup!$N$72))&gt;Setup!$P$72,IF(Setup!$M$72&gt;0,Setup!$G$72+(Setup!$O$72+W$1)*Setup!$M$72,EDATE(Setup!$G$72,(Setup!$O$72+W$1)*Setup!$N$72))&lt;Setup!$D$5),"",IF(Setup!$M$72&gt;0,Setup!$G$72+(Setup!$O$72+W$1)*Setup!$M$72,EDATE(Setup!$G$72,(Setup!$O$72+W$1)*Setup!$N$72))+$A49/1000)))</f>
        <v/>
      </c>
      <c r="X49">
        <f>IF(OR(Setup!$E$72="",Setup!$G$72="",Setup!$F$72=""),"",IF(AND(Setup!$F$72="Once",X$1&gt;0),"",IF(OR(IF(Setup!$M$72&gt;0,Setup!$G$72+(Setup!$O$72+X$1)*Setup!$M$72,EDATE(Setup!$G$72,(Setup!$O$72+X$1)*Setup!$N$72))&gt;Setup!$P$72,IF(Setup!$M$72&gt;0,Setup!$G$72+(Setup!$O$72+X$1)*Setup!$M$72,EDATE(Setup!$G$72,(Setup!$O$72+X$1)*Setup!$N$72))&lt;Setup!$D$5),"",IF(Setup!$M$72&gt;0,Setup!$G$72+(Setup!$O$72+X$1)*Setup!$M$72,EDATE(Setup!$G$72,(Setup!$O$72+X$1)*Setup!$N$72))+$A49/1000)))</f>
        <v/>
      </c>
      <c r="Y49">
        <f>IF(OR(Setup!$E$72="",Setup!$G$72="",Setup!$F$72=""),"",IF(AND(Setup!$F$72="Once",Y$1&gt;0),"",IF(OR(IF(Setup!$M$72&gt;0,Setup!$G$72+(Setup!$O$72+Y$1)*Setup!$M$72,EDATE(Setup!$G$72,(Setup!$O$72+Y$1)*Setup!$N$72))&gt;Setup!$P$72,IF(Setup!$M$72&gt;0,Setup!$G$72+(Setup!$O$72+Y$1)*Setup!$M$72,EDATE(Setup!$G$72,(Setup!$O$72+Y$1)*Setup!$N$72))&lt;Setup!$D$5),"",IF(Setup!$M$72&gt;0,Setup!$G$72+(Setup!$O$72+Y$1)*Setup!$M$72,EDATE(Setup!$G$72,(Setup!$O$72+Y$1)*Setup!$N$72))+$A49/1000)))</f>
        <v/>
      </c>
      <c r="Z49">
        <f>IF(OR(Setup!$E$72="",Setup!$G$72="",Setup!$F$72=""),"",IF(AND(Setup!$F$72="Once",Z$1&gt;0),"",IF(OR(IF(Setup!$M$72&gt;0,Setup!$G$72+(Setup!$O$72+Z$1)*Setup!$M$72,EDATE(Setup!$G$72,(Setup!$O$72+Z$1)*Setup!$N$72))&gt;Setup!$P$72,IF(Setup!$M$72&gt;0,Setup!$G$72+(Setup!$O$72+Z$1)*Setup!$M$72,EDATE(Setup!$G$72,(Setup!$O$72+Z$1)*Setup!$N$72))&lt;Setup!$D$5),"",IF(Setup!$M$72&gt;0,Setup!$G$72+(Setup!$O$72+Z$1)*Setup!$M$72,EDATE(Setup!$G$72,(Setup!$O$72+Z$1)*Setup!$N$72))+$A49/1000)))</f>
        <v/>
      </c>
      <c r="AA49">
        <f>IF(OR(Setup!$E$72="",Setup!$G$72="",Setup!$F$72=""),"",IF(AND(Setup!$F$72="Once",AA$1&gt;0),"",IF(OR(IF(Setup!$M$72&gt;0,Setup!$G$72+(Setup!$O$72+AA$1)*Setup!$M$72,EDATE(Setup!$G$72,(Setup!$O$72+AA$1)*Setup!$N$72))&gt;Setup!$P$72,IF(Setup!$M$72&gt;0,Setup!$G$72+(Setup!$O$72+AA$1)*Setup!$M$72,EDATE(Setup!$G$72,(Setup!$O$72+AA$1)*Setup!$N$72))&lt;Setup!$D$5),"",IF(Setup!$M$72&gt;0,Setup!$G$72+(Setup!$O$72+AA$1)*Setup!$M$72,EDATE(Setup!$G$72,(Setup!$O$72+AA$1)*Setup!$N$72))+$A49/1000)))</f>
        <v/>
      </c>
      <c r="AB49">
        <f>IF(OR(Setup!$E$72="",Setup!$G$72="",Setup!$F$72=""),"",IF(AND(Setup!$F$72="Once",AB$1&gt;0),"",IF(OR(IF(Setup!$M$72&gt;0,Setup!$G$72+(Setup!$O$72+AB$1)*Setup!$M$72,EDATE(Setup!$G$72,(Setup!$O$72+AB$1)*Setup!$N$72))&gt;Setup!$P$72,IF(Setup!$M$72&gt;0,Setup!$G$72+(Setup!$O$72+AB$1)*Setup!$M$72,EDATE(Setup!$G$72,(Setup!$O$72+AB$1)*Setup!$N$72))&lt;Setup!$D$5),"",IF(Setup!$M$72&gt;0,Setup!$G$72+(Setup!$O$72+AB$1)*Setup!$M$72,EDATE(Setup!$G$72,(Setup!$O$72+AB$1)*Setup!$N$72))+$A49/1000)))</f>
        <v/>
      </c>
      <c r="AC49">
        <f>IF(OR(Setup!$E$72="",Setup!$G$72="",Setup!$F$72=""),"",IF(AND(Setup!$F$72="Once",AC$1&gt;0),"",IF(OR(IF(Setup!$M$72&gt;0,Setup!$G$72+(Setup!$O$72+AC$1)*Setup!$M$72,EDATE(Setup!$G$72,(Setup!$O$72+AC$1)*Setup!$N$72))&gt;Setup!$P$72,IF(Setup!$M$72&gt;0,Setup!$G$72+(Setup!$O$72+AC$1)*Setup!$M$72,EDATE(Setup!$G$72,(Setup!$O$72+AC$1)*Setup!$N$72))&lt;Setup!$D$5),"",IF(Setup!$M$72&gt;0,Setup!$G$72+(Setup!$O$72+AC$1)*Setup!$M$72,EDATE(Setup!$G$72,(Setup!$O$72+AC$1)*Setup!$N$72))+$A49/1000)))</f>
        <v/>
      </c>
      <c r="AD49">
        <f>IF(OR(Setup!$E$72="",Setup!$G$72="",Setup!$F$72=""),"",IF(AND(Setup!$F$72="Once",AD$1&gt;0),"",IF(OR(IF(Setup!$M$72&gt;0,Setup!$G$72+(Setup!$O$72+AD$1)*Setup!$M$72,EDATE(Setup!$G$72,(Setup!$O$72+AD$1)*Setup!$N$72))&gt;Setup!$P$72,IF(Setup!$M$72&gt;0,Setup!$G$72+(Setup!$O$72+AD$1)*Setup!$M$72,EDATE(Setup!$G$72,(Setup!$O$72+AD$1)*Setup!$N$72))&lt;Setup!$D$5),"",IF(Setup!$M$72&gt;0,Setup!$G$72+(Setup!$O$72+AD$1)*Setup!$M$72,EDATE(Setup!$G$72,(Setup!$O$72+AD$1)*Setup!$N$72))+$A49/1000)))</f>
        <v/>
      </c>
      <c r="AE49">
        <f>IF(OR(Setup!$E$72="",Setup!$G$72="",Setup!$F$72=""),"",IF(AND(Setup!$F$72="Once",AE$1&gt;0),"",IF(OR(IF(Setup!$M$72&gt;0,Setup!$G$72+(Setup!$O$72+AE$1)*Setup!$M$72,EDATE(Setup!$G$72,(Setup!$O$72+AE$1)*Setup!$N$72))&gt;Setup!$P$72,IF(Setup!$M$72&gt;0,Setup!$G$72+(Setup!$O$72+AE$1)*Setup!$M$72,EDATE(Setup!$G$72,(Setup!$O$72+AE$1)*Setup!$N$72))&lt;Setup!$D$5),"",IF(Setup!$M$72&gt;0,Setup!$G$72+(Setup!$O$72+AE$1)*Setup!$M$72,EDATE(Setup!$G$72,(Setup!$O$72+AE$1)*Setup!$N$72))+$A49/1000)))</f>
        <v/>
      </c>
      <c r="AF49">
        <f>IF(OR(Setup!$E$72="",Setup!$G$72="",Setup!$F$72=""),"",IF(AND(Setup!$F$72="Once",AF$1&gt;0),"",IF(OR(IF(Setup!$M$72&gt;0,Setup!$G$72+(Setup!$O$72+AF$1)*Setup!$M$72,EDATE(Setup!$G$72,(Setup!$O$72+AF$1)*Setup!$N$72))&gt;Setup!$P$72,IF(Setup!$M$72&gt;0,Setup!$G$72+(Setup!$O$72+AF$1)*Setup!$M$72,EDATE(Setup!$G$72,(Setup!$O$72+AF$1)*Setup!$N$72))&lt;Setup!$D$5),"",IF(Setup!$M$72&gt;0,Setup!$G$72+(Setup!$O$72+AF$1)*Setup!$M$72,EDATE(Setup!$G$72,(Setup!$O$72+AF$1)*Setup!$N$72))+$A49/1000)))</f>
        <v/>
      </c>
      <c r="AG49">
        <f>IF(OR(Setup!$E$72="",Setup!$G$72="",Setup!$F$72=""),"",IF(AND(Setup!$F$72="Once",AG$1&gt;0),"",IF(OR(IF(Setup!$M$72&gt;0,Setup!$G$72+(Setup!$O$72+AG$1)*Setup!$M$72,EDATE(Setup!$G$72,(Setup!$O$72+AG$1)*Setup!$N$72))&gt;Setup!$P$72,IF(Setup!$M$72&gt;0,Setup!$G$72+(Setup!$O$72+AG$1)*Setup!$M$72,EDATE(Setup!$G$72,(Setup!$O$72+AG$1)*Setup!$N$72))&lt;Setup!$D$5),"",IF(Setup!$M$72&gt;0,Setup!$G$72+(Setup!$O$72+AG$1)*Setup!$M$72,EDATE(Setup!$G$72,(Setup!$O$72+AG$1)*Setup!$N$72))+$A49/1000)))</f>
        <v/>
      </c>
      <c r="AH49">
        <f>IF(OR(Setup!$E$72="",Setup!$G$72="",Setup!$F$72=""),"",IF(AND(Setup!$F$72="Once",AH$1&gt;0),"",IF(OR(IF(Setup!$M$72&gt;0,Setup!$G$72+(Setup!$O$72+AH$1)*Setup!$M$72,EDATE(Setup!$G$72,(Setup!$O$72+AH$1)*Setup!$N$72))&gt;Setup!$P$72,IF(Setup!$M$72&gt;0,Setup!$G$72+(Setup!$O$72+AH$1)*Setup!$M$72,EDATE(Setup!$G$72,(Setup!$O$72+AH$1)*Setup!$N$72))&lt;Setup!$D$5),"",IF(Setup!$M$72&gt;0,Setup!$G$72+(Setup!$O$72+AH$1)*Setup!$M$72,EDATE(Setup!$G$72,(Setup!$O$72+AH$1)*Setup!$N$72))+$A49/1000)))</f>
        <v/>
      </c>
      <c r="AI49">
        <f>IF(OR(Setup!$E$72="",Setup!$G$72="",Setup!$F$72=""),"",IF(AND(Setup!$F$72="Once",AI$1&gt;0),"",IF(OR(IF(Setup!$M$72&gt;0,Setup!$G$72+(Setup!$O$72+AI$1)*Setup!$M$72,EDATE(Setup!$G$72,(Setup!$O$72+AI$1)*Setup!$N$72))&gt;Setup!$P$72,IF(Setup!$M$72&gt;0,Setup!$G$72+(Setup!$O$72+AI$1)*Setup!$M$72,EDATE(Setup!$G$72,(Setup!$O$72+AI$1)*Setup!$N$72))&lt;Setup!$D$5),"",IF(Setup!$M$72&gt;0,Setup!$G$72+(Setup!$O$72+AI$1)*Setup!$M$72,EDATE(Setup!$G$72,(Setup!$O$72+AI$1)*Setup!$N$72))+$A49/1000)))</f>
        <v/>
      </c>
      <c r="AJ49">
        <f>IF(OR(Setup!$E$72="",Setup!$G$72="",Setup!$F$72=""),"",IF(AND(Setup!$F$72="Once",AJ$1&gt;0),"",IF(OR(IF(Setup!$M$72&gt;0,Setup!$G$72+(Setup!$O$72+AJ$1)*Setup!$M$72,EDATE(Setup!$G$72,(Setup!$O$72+AJ$1)*Setup!$N$72))&gt;Setup!$P$72,IF(Setup!$M$72&gt;0,Setup!$G$72+(Setup!$O$72+AJ$1)*Setup!$M$72,EDATE(Setup!$G$72,(Setup!$O$72+AJ$1)*Setup!$N$72))&lt;Setup!$D$5),"",IF(Setup!$M$72&gt;0,Setup!$G$72+(Setup!$O$72+AJ$1)*Setup!$M$72,EDATE(Setup!$G$72,(Setup!$O$72+AJ$1)*Setup!$N$72))+$A49/1000)))</f>
        <v/>
      </c>
      <c r="AK49">
        <f>IF(OR(Setup!$E$72="",Setup!$G$72="",Setup!$F$72=""),"",IF(AND(Setup!$F$72="Once",AK$1&gt;0),"",IF(OR(IF(Setup!$M$72&gt;0,Setup!$G$72+(Setup!$O$72+AK$1)*Setup!$M$72,EDATE(Setup!$G$72,(Setup!$O$72+AK$1)*Setup!$N$72))&gt;Setup!$P$72,IF(Setup!$M$72&gt;0,Setup!$G$72+(Setup!$O$72+AK$1)*Setup!$M$72,EDATE(Setup!$G$72,(Setup!$O$72+AK$1)*Setup!$N$72))&lt;Setup!$D$5),"",IF(Setup!$M$72&gt;0,Setup!$G$72+(Setup!$O$72+AK$1)*Setup!$M$72,EDATE(Setup!$G$72,(Setup!$O$72+AK$1)*Setup!$N$72))+$A49/1000)))</f>
        <v/>
      </c>
      <c r="AL49">
        <f>IF(OR(Setup!$E$72="",Setup!$G$72="",Setup!$F$72=""),"",IF(AND(Setup!$F$72="Once",AL$1&gt;0),"",IF(OR(IF(Setup!$M$72&gt;0,Setup!$G$72+(Setup!$O$72+AL$1)*Setup!$M$72,EDATE(Setup!$G$72,(Setup!$O$72+AL$1)*Setup!$N$72))&gt;Setup!$P$72,IF(Setup!$M$72&gt;0,Setup!$G$72+(Setup!$O$72+AL$1)*Setup!$M$72,EDATE(Setup!$G$72,(Setup!$O$72+AL$1)*Setup!$N$72))&lt;Setup!$D$5),"",IF(Setup!$M$72&gt;0,Setup!$G$72+(Setup!$O$72+AL$1)*Setup!$M$72,EDATE(Setup!$G$72,(Setup!$O$72+AL$1)*Setup!$N$72))+$A49/1000)))</f>
        <v/>
      </c>
      <c r="AM49">
        <f>IF(OR(Setup!$E$72="",Setup!$G$72="",Setup!$F$72=""),"",IF(AND(Setup!$F$72="Once",AM$1&gt;0),"",IF(OR(IF(Setup!$M$72&gt;0,Setup!$G$72+(Setup!$O$72+AM$1)*Setup!$M$72,EDATE(Setup!$G$72,(Setup!$O$72+AM$1)*Setup!$N$72))&gt;Setup!$P$72,IF(Setup!$M$72&gt;0,Setup!$G$72+(Setup!$O$72+AM$1)*Setup!$M$72,EDATE(Setup!$G$72,(Setup!$O$72+AM$1)*Setup!$N$72))&lt;Setup!$D$5),"",IF(Setup!$M$72&gt;0,Setup!$G$72+(Setup!$O$72+AM$1)*Setup!$M$72,EDATE(Setup!$G$72,(Setup!$O$72+AM$1)*Setup!$N$72))+$A49/1000)))</f>
        <v/>
      </c>
      <c r="AN49">
        <f>IF(OR(Setup!$E$72="",Setup!$G$72="",Setup!$F$72=""),"",IF(AND(Setup!$F$72="Once",AN$1&gt;0),"",IF(OR(IF(Setup!$M$72&gt;0,Setup!$G$72+(Setup!$O$72+AN$1)*Setup!$M$72,EDATE(Setup!$G$72,(Setup!$O$72+AN$1)*Setup!$N$72))&gt;Setup!$P$72,IF(Setup!$M$72&gt;0,Setup!$G$72+(Setup!$O$72+AN$1)*Setup!$M$72,EDATE(Setup!$G$72,(Setup!$O$72+AN$1)*Setup!$N$72))&lt;Setup!$D$5),"",IF(Setup!$M$72&gt;0,Setup!$G$72+(Setup!$O$72+AN$1)*Setup!$M$72,EDATE(Setup!$G$72,(Setup!$O$72+AN$1)*Setup!$N$72))+$A49/1000)))</f>
        <v/>
      </c>
      <c r="AO49">
        <f>IF(OR(Setup!$E$72="",Setup!$G$72="",Setup!$F$72=""),"",IF(AND(Setup!$F$72="Once",AO$1&gt;0),"",IF(OR(IF(Setup!$M$72&gt;0,Setup!$G$72+(Setup!$O$72+AO$1)*Setup!$M$72,EDATE(Setup!$G$72,(Setup!$O$72+AO$1)*Setup!$N$72))&gt;Setup!$P$72,IF(Setup!$M$72&gt;0,Setup!$G$72+(Setup!$O$72+AO$1)*Setup!$M$72,EDATE(Setup!$G$72,(Setup!$O$72+AO$1)*Setup!$N$72))&lt;Setup!$D$5),"",IF(Setup!$M$72&gt;0,Setup!$G$72+(Setup!$O$72+AO$1)*Setup!$M$72,EDATE(Setup!$G$72,(Setup!$O$72+AO$1)*Setup!$N$72))+$A49/1000)))</f>
        <v/>
      </c>
      <c r="AP49">
        <f>IF(OR(Setup!$E$72="",Setup!$G$72="",Setup!$F$72=""),"",IF(AND(Setup!$F$72="Once",AP$1&gt;0),"",IF(OR(IF(Setup!$M$72&gt;0,Setup!$G$72+(Setup!$O$72+AP$1)*Setup!$M$72,EDATE(Setup!$G$72,(Setup!$O$72+AP$1)*Setup!$N$72))&gt;Setup!$P$72,IF(Setup!$M$72&gt;0,Setup!$G$72+(Setup!$O$72+AP$1)*Setup!$M$72,EDATE(Setup!$G$72,(Setup!$O$72+AP$1)*Setup!$N$72))&lt;Setup!$D$5),"",IF(Setup!$M$72&gt;0,Setup!$G$72+(Setup!$O$72+AP$1)*Setup!$M$72,EDATE(Setup!$G$72,(Setup!$O$72+AP$1)*Setup!$N$72))+$A49/1000)))</f>
        <v/>
      </c>
      <c r="AQ49">
        <f>IF(OR(Setup!$E$72="",Setup!$G$72="",Setup!$F$72=""),"",IF(AND(Setup!$F$72="Once",AQ$1&gt;0),"",IF(OR(IF(Setup!$M$72&gt;0,Setup!$G$72+(Setup!$O$72+AQ$1)*Setup!$M$72,EDATE(Setup!$G$72,(Setup!$O$72+AQ$1)*Setup!$N$72))&gt;Setup!$P$72,IF(Setup!$M$72&gt;0,Setup!$G$72+(Setup!$O$72+AQ$1)*Setup!$M$72,EDATE(Setup!$G$72,(Setup!$O$72+AQ$1)*Setup!$N$72))&lt;Setup!$D$5),"",IF(Setup!$M$72&gt;0,Setup!$G$72+(Setup!$O$72+AQ$1)*Setup!$M$72,EDATE(Setup!$G$72,(Setup!$O$72+AQ$1)*Setup!$N$72))+$A49/1000)))</f>
        <v/>
      </c>
      <c r="AR49">
        <f>IF(OR(Setup!$E$72="",Setup!$G$72="",Setup!$F$72=""),"",IF(AND(Setup!$F$72="Once",AR$1&gt;0),"",IF(OR(IF(Setup!$M$72&gt;0,Setup!$G$72+(Setup!$O$72+AR$1)*Setup!$M$72,EDATE(Setup!$G$72,(Setup!$O$72+AR$1)*Setup!$N$72))&gt;Setup!$P$72,IF(Setup!$M$72&gt;0,Setup!$G$72+(Setup!$O$72+AR$1)*Setup!$M$72,EDATE(Setup!$G$72,(Setup!$O$72+AR$1)*Setup!$N$72))&lt;Setup!$D$5),"",IF(Setup!$M$72&gt;0,Setup!$G$72+(Setup!$O$72+AR$1)*Setup!$M$72,EDATE(Setup!$G$72,(Setup!$O$72+AR$1)*Setup!$N$72))+$A49/1000)))</f>
        <v/>
      </c>
      <c r="AS49">
        <f>IF(OR(Setup!$E$72="",Setup!$G$72="",Setup!$F$72=""),"",IF(AND(Setup!$F$72="Once",AS$1&gt;0),"",IF(OR(IF(Setup!$M$72&gt;0,Setup!$G$72+(Setup!$O$72+AS$1)*Setup!$M$72,EDATE(Setup!$G$72,(Setup!$O$72+AS$1)*Setup!$N$72))&gt;Setup!$P$72,IF(Setup!$M$72&gt;0,Setup!$G$72+(Setup!$O$72+AS$1)*Setup!$M$72,EDATE(Setup!$G$72,(Setup!$O$72+AS$1)*Setup!$N$72))&lt;Setup!$D$5),"",IF(Setup!$M$72&gt;0,Setup!$G$72+(Setup!$O$72+AS$1)*Setup!$M$72,EDATE(Setup!$G$72,(Setup!$O$72+AS$1)*Setup!$N$72))+$A49/1000)))</f>
        <v/>
      </c>
      <c r="AT49">
        <f>IF(OR(Setup!$E$72="",Setup!$G$72="",Setup!$F$72=""),"",IF(AND(Setup!$F$72="Once",AT$1&gt;0),"",IF(OR(IF(Setup!$M$72&gt;0,Setup!$G$72+(Setup!$O$72+AT$1)*Setup!$M$72,EDATE(Setup!$G$72,(Setup!$O$72+AT$1)*Setup!$N$72))&gt;Setup!$P$72,IF(Setup!$M$72&gt;0,Setup!$G$72+(Setup!$O$72+AT$1)*Setup!$M$72,EDATE(Setup!$G$72,(Setup!$O$72+AT$1)*Setup!$N$72))&lt;Setup!$D$5),"",IF(Setup!$M$72&gt;0,Setup!$G$72+(Setup!$O$72+AT$1)*Setup!$M$72,EDATE(Setup!$G$72,(Setup!$O$72+AT$1)*Setup!$N$72))+$A49/1000)))</f>
        <v/>
      </c>
      <c r="AU49">
        <f>IF(OR(Setup!$E$72="",Setup!$G$72="",Setup!$F$72=""),"",IF(AND(Setup!$F$72="Once",AU$1&gt;0),"",IF(OR(IF(Setup!$M$72&gt;0,Setup!$G$72+(Setup!$O$72+AU$1)*Setup!$M$72,EDATE(Setup!$G$72,(Setup!$O$72+AU$1)*Setup!$N$72))&gt;Setup!$P$72,IF(Setup!$M$72&gt;0,Setup!$G$72+(Setup!$O$72+AU$1)*Setup!$M$72,EDATE(Setup!$G$72,(Setup!$O$72+AU$1)*Setup!$N$72))&lt;Setup!$D$5),"",IF(Setup!$M$72&gt;0,Setup!$G$72+(Setup!$O$72+AU$1)*Setup!$M$72,EDATE(Setup!$G$72,(Setup!$O$72+AU$1)*Setup!$N$72))+$A49/1000)))</f>
        <v/>
      </c>
      <c r="AV49">
        <f>IF(OR(Setup!$E$72="",Setup!$G$72="",Setup!$F$72=""),"",IF(AND(Setup!$F$72="Once",AV$1&gt;0),"",IF(OR(IF(Setup!$M$72&gt;0,Setup!$G$72+(Setup!$O$72+AV$1)*Setup!$M$72,EDATE(Setup!$G$72,(Setup!$O$72+AV$1)*Setup!$N$72))&gt;Setup!$P$72,IF(Setup!$M$72&gt;0,Setup!$G$72+(Setup!$O$72+AV$1)*Setup!$M$72,EDATE(Setup!$G$72,(Setup!$O$72+AV$1)*Setup!$N$72))&lt;Setup!$D$5),"",IF(Setup!$M$72&gt;0,Setup!$G$72+(Setup!$O$72+AV$1)*Setup!$M$72,EDATE(Setup!$G$72,(Setup!$O$72+AV$1)*Setup!$N$72))+$A49/1000)))</f>
        <v/>
      </c>
      <c r="AW49">
        <f>IF(OR(Setup!$E$72="",Setup!$G$72="",Setup!$F$72=""),"",IF(AND(Setup!$F$72="Once",AW$1&gt;0),"",IF(OR(IF(Setup!$M$72&gt;0,Setup!$G$72+(Setup!$O$72+AW$1)*Setup!$M$72,EDATE(Setup!$G$72,(Setup!$O$72+AW$1)*Setup!$N$72))&gt;Setup!$P$72,IF(Setup!$M$72&gt;0,Setup!$G$72+(Setup!$O$72+AW$1)*Setup!$M$72,EDATE(Setup!$G$72,(Setup!$O$72+AW$1)*Setup!$N$72))&lt;Setup!$D$5),"",IF(Setup!$M$72&gt;0,Setup!$G$72+(Setup!$O$72+AW$1)*Setup!$M$72,EDATE(Setup!$G$72,(Setup!$O$72+AW$1)*Setup!$N$72))+$A49/1000)))</f>
        <v/>
      </c>
      <c r="AX49">
        <f>IF(OR(Setup!$E$72="",Setup!$G$72="",Setup!$F$72=""),"",IF(AND(Setup!$F$72="Once",AX$1&gt;0),"",IF(OR(IF(Setup!$M$72&gt;0,Setup!$G$72+(Setup!$O$72+AX$1)*Setup!$M$72,EDATE(Setup!$G$72,(Setup!$O$72+AX$1)*Setup!$N$72))&gt;Setup!$P$72,IF(Setup!$M$72&gt;0,Setup!$G$72+(Setup!$O$72+AX$1)*Setup!$M$72,EDATE(Setup!$G$72,(Setup!$O$72+AX$1)*Setup!$N$72))&lt;Setup!$D$5),"",IF(Setup!$M$72&gt;0,Setup!$G$72+(Setup!$O$72+AX$1)*Setup!$M$72,EDATE(Setup!$G$72,(Setup!$O$72+AX$1)*Setup!$N$72))+$A49/1000)))</f>
        <v/>
      </c>
      <c r="AY49">
        <f>IF(OR(Setup!$E$72="",Setup!$G$72="",Setup!$F$72=""),"",IF(AND(Setup!$F$72="Once",AY$1&gt;0),"",IF(OR(IF(Setup!$M$72&gt;0,Setup!$G$72+(Setup!$O$72+AY$1)*Setup!$M$72,EDATE(Setup!$G$72,(Setup!$O$72+AY$1)*Setup!$N$72))&gt;Setup!$P$72,IF(Setup!$M$72&gt;0,Setup!$G$72+(Setup!$O$72+AY$1)*Setup!$M$72,EDATE(Setup!$G$72,(Setup!$O$72+AY$1)*Setup!$N$72))&lt;Setup!$D$5),"",IF(Setup!$M$72&gt;0,Setup!$G$72+(Setup!$O$72+AY$1)*Setup!$M$72,EDATE(Setup!$G$72,(Setup!$O$72+AY$1)*Setup!$N$72))+$A49/1000)))</f>
        <v/>
      </c>
      <c r="AZ49">
        <f>IF(OR(Setup!$E$72="",Setup!$G$72="",Setup!$F$72=""),"",IF(AND(Setup!$F$72="Once",AZ$1&gt;0),"",IF(OR(IF(Setup!$M$72&gt;0,Setup!$G$72+(Setup!$O$72+AZ$1)*Setup!$M$72,EDATE(Setup!$G$72,(Setup!$O$72+AZ$1)*Setup!$N$72))&gt;Setup!$P$72,IF(Setup!$M$72&gt;0,Setup!$G$72+(Setup!$O$72+AZ$1)*Setup!$M$72,EDATE(Setup!$G$72,(Setup!$O$72+AZ$1)*Setup!$N$72))&lt;Setup!$D$5),"",IF(Setup!$M$72&gt;0,Setup!$G$72+(Setup!$O$72+AZ$1)*Setup!$M$72,EDATE(Setup!$G$72,(Setup!$O$72+AZ$1)*Setup!$N$72))+$A49/1000)))</f>
        <v/>
      </c>
      <c r="BA49">
        <f>IF(OR(Setup!$E$72="",Setup!$G$72="",Setup!$F$72=""),"",IF(AND(Setup!$F$72="Once",BA$1&gt;0),"",IF(OR(IF(Setup!$M$72&gt;0,Setup!$G$72+(Setup!$O$72+BA$1)*Setup!$M$72,EDATE(Setup!$G$72,(Setup!$O$72+BA$1)*Setup!$N$72))&gt;Setup!$P$72,IF(Setup!$M$72&gt;0,Setup!$G$72+(Setup!$O$72+BA$1)*Setup!$M$72,EDATE(Setup!$G$72,(Setup!$O$72+BA$1)*Setup!$N$72))&lt;Setup!$D$5),"",IF(Setup!$M$72&gt;0,Setup!$G$72+(Setup!$O$72+BA$1)*Setup!$M$72,EDATE(Setup!$G$72,(Setup!$O$72+BA$1)*Setup!$N$72))+$A49/1000)))</f>
        <v/>
      </c>
      <c r="BB49">
        <f>IF(OR(Setup!$E$72="",Setup!$G$72="",Setup!$F$72=""),"",IF(AND(Setup!$F$72="Once",BB$1&gt;0),"",IF(OR(IF(Setup!$M$72&gt;0,Setup!$G$72+(Setup!$O$72+BB$1)*Setup!$M$72,EDATE(Setup!$G$72,(Setup!$O$72+BB$1)*Setup!$N$72))&gt;Setup!$P$72,IF(Setup!$M$72&gt;0,Setup!$G$72+(Setup!$O$72+BB$1)*Setup!$M$72,EDATE(Setup!$G$72,(Setup!$O$72+BB$1)*Setup!$N$72))&lt;Setup!$D$5),"",IF(Setup!$M$72&gt;0,Setup!$G$72+(Setup!$O$72+BB$1)*Setup!$M$72,EDATE(Setup!$G$72,(Setup!$O$72+BB$1)*Setup!$N$72))+$A49/1000)))</f>
        <v/>
      </c>
    </row>
    <row r="50">
      <c r="A50" t="n">
        <v>49</v>
      </c>
      <c r="B50">
        <f>IF(OR(Setup!$E$73="",Setup!$G$73="",Setup!$F$73=""),"",IF(AND(Setup!$F$73="Once",B$1&gt;0),"",IF(OR(IF(Setup!$M$73&gt;0,Setup!$G$73+(Setup!$O$73+B$1)*Setup!$M$73,EDATE(Setup!$G$73,(Setup!$O$73+B$1)*Setup!$N$73))&gt;Setup!$P$73,IF(Setup!$M$73&gt;0,Setup!$G$73+(Setup!$O$73+B$1)*Setup!$M$73,EDATE(Setup!$G$73,(Setup!$O$73+B$1)*Setup!$N$73))&lt;Setup!$D$5),"",IF(Setup!$M$73&gt;0,Setup!$G$73+(Setup!$O$73+B$1)*Setup!$M$73,EDATE(Setup!$G$73,(Setup!$O$73+B$1)*Setup!$N$73))+$A50/1000)))</f>
        <v/>
      </c>
      <c r="C50">
        <f>IF(OR(Setup!$E$73="",Setup!$G$73="",Setup!$F$73=""),"",IF(AND(Setup!$F$73="Once",C$1&gt;0),"",IF(OR(IF(Setup!$M$73&gt;0,Setup!$G$73+(Setup!$O$73+C$1)*Setup!$M$73,EDATE(Setup!$G$73,(Setup!$O$73+C$1)*Setup!$N$73))&gt;Setup!$P$73,IF(Setup!$M$73&gt;0,Setup!$G$73+(Setup!$O$73+C$1)*Setup!$M$73,EDATE(Setup!$G$73,(Setup!$O$73+C$1)*Setup!$N$73))&lt;Setup!$D$5),"",IF(Setup!$M$73&gt;0,Setup!$G$73+(Setup!$O$73+C$1)*Setup!$M$73,EDATE(Setup!$G$73,(Setup!$O$73+C$1)*Setup!$N$73))+$A50/1000)))</f>
        <v/>
      </c>
      <c r="D50">
        <f>IF(OR(Setup!$E$73="",Setup!$G$73="",Setup!$F$73=""),"",IF(AND(Setup!$F$73="Once",D$1&gt;0),"",IF(OR(IF(Setup!$M$73&gt;0,Setup!$G$73+(Setup!$O$73+D$1)*Setup!$M$73,EDATE(Setup!$G$73,(Setup!$O$73+D$1)*Setup!$N$73))&gt;Setup!$P$73,IF(Setup!$M$73&gt;0,Setup!$G$73+(Setup!$O$73+D$1)*Setup!$M$73,EDATE(Setup!$G$73,(Setup!$O$73+D$1)*Setup!$N$73))&lt;Setup!$D$5),"",IF(Setup!$M$73&gt;0,Setup!$G$73+(Setup!$O$73+D$1)*Setup!$M$73,EDATE(Setup!$G$73,(Setup!$O$73+D$1)*Setup!$N$73))+$A50/1000)))</f>
        <v/>
      </c>
      <c r="E50">
        <f>IF(OR(Setup!$E$73="",Setup!$G$73="",Setup!$F$73=""),"",IF(AND(Setup!$F$73="Once",E$1&gt;0),"",IF(OR(IF(Setup!$M$73&gt;0,Setup!$G$73+(Setup!$O$73+E$1)*Setup!$M$73,EDATE(Setup!$G$73,(Setup!$O$73+E$1)*Setup!$N$73))&gt;Setup!$P$73,IF(Setup!$M$73&gt;0,Setup!$G$73+(Setup!$O$73+E$1)*Setup!$M$73,EDATE(Setup!$G$73,(Setup!$O$73+E$1)*Setup!$N$73))&lt;Setup!$D$5),"",IF(Setup!$M$73&gt;0,Setup!$G$73+(Setup!$O$73+E$1)*Setup!$M$73,EDATE(Setup!$G$73,(Setup!$O$73+E$1)*Setup!$N$73))+$A50/1000)))</f>
        <v/>
      </c>
      <c r="F50">
        <f>IF(OR(Setup!$E$73="",Setup!$G$73="",Setup!$F$73=""),"",IF(AND(Setup!$F$73="Once",F$1&gt;0),"",IF(OR(IF(Setup!$M$73&gt;0,Setup!$G$73+(Setup!$O$73+F$1)*Setup!$M$73,EDATE(Setup!$G$73,(Setup!$O$73+F$1)*Setup!$N$73))&gt;Setup!$P$73,IF(Setup!$M$73&gt;0,Setup!$G$73+(Setup!$O$73+F$1)*Setup!$M$73,EDATE(Setup!$G$73,(Setup!$O$73+F$1)*Setup!$N$73))&lt;Setup!$D$5),"",IF(Setup!$M$73&gt;0,Setup!$G$73+(Setup!$O$73+F$1)*Setup!$M$73,EDATE(Setup!$G$73,(Setup!$O$73+F$1)*Setup!$N$73))+$A50/1000)))</f>
        <v/>
      </c>
      <c r="G50">
        <f>IF(OR(Setup!$E$73="",Setup!$G$73="",Setup!$F$73=""),"",IF(AND(Setup!$F$73="Once",G$1&gt;0),"",IF(OR(IF(Setup!$M$73&gt;0,Setup!$G$73+(Setup!$O$73+G$1)*Setup!$M$73,EDATE(Setup!$G$73,(Setup!$O$73+G$1)*Setup!$N$73))&gt;Setup!$P$73,IF(Setup!$M$73&gt;0,Setup!$G$73+(Setup!$O$73+G$1)*Setup!$M$73,EDATE(Setup!$G$73,(Setup!$O$73+G$1)*Setup!$N$73))&lt;Setup!$D$5),"",IF(Setup!$M$73&gt;0,Setup!$G$73+(Setup!$O$73+G$1)*Setup!$M$73,EDATE(Setup!$G$73,(Setup!$O$73+G$1)*Setup!$N$73))+$A50/1000)))</f>
        <v/>
      </c>
      <c r="H50">
        <f>IF(OR(Setup!$E$73="",Setup!$G$73="",Setup!$F$73=""),"",IF(AND(Setup!$F$73="Once",H$1&gt;0),"",IF(OR(IF(Setup!$M$73&gt;0,Setup!$G$73+(Setup!$O$73+H$1)*Setup!$M$73,EDATE(Setup!$G$73,(Setup!$O$73+H$1)*Setup!$N$73))&gt;Setup!$P$73,IF(Setup!$M$73&gt;0,Setup!$G$73+(Setup!$O$73+H$1)*Setup!$M$73,EDATE(Setup!$G$73,(Setup!$O$73+H$1)*Setup!$N$73))&lt;Setup!$D$5),"",IF(Setup!$M$73&gt;0,Setup!$G$73+(Setup!$O$73+H$1)*Setup!$M$73,EDATE(Setup!$G$73,(Setup!$O$73+H$1)*Setup!$N$73))+$A50/1000)))</f>
        <v/>
      </c>
      <c r="I50">
        <f>IF(OR(Setup!$E$73="",Setup!$G$73="",Setup!$F$73=""),"",IF(AND(Setup!$F$73="Once",I$1&gt;0),"",IF(OR(IF(Setup!$M$73&gt;0,Setup!$G$73+(Setup!$O$73+I$1)*Setup!$M$73,EDATE(Setup!$G$73,(Setup!$O$73+I$1)*Setup!$N$73))&gt;Setup!$P$73,IF(Setup!$M$73&gt;0,Setup!$G$73+(Setup!$O$73+I$1)*Setup!$M$73,EDATE(Setup!$G$73,(Setup!$O$73+I$1)*Setup!$N$73))&lt;Setup!$D$5),"",IF(Setup!$M$73&gt;0,Setup!$G$73+(Setup!$O$73+I$1)*Setup!$M$73,EDATE(Setup!$G$73,(Setup!$O$73+I$1)*Setup!$N$73))+$A50/1000)))</f>
        <v/>
      </c>
      <c r="J50">
        <f>IF(OR(Setup!$E$73="",Setup!$G$73="",Setup!$F$73=""),"",IF(AND(Setup!$F$73="Once",J$1&gt;0),"",IF(OR(IF(Setup!$M$73&gt;0,Setup!$G$73+(Setup!$O$73+J$1)*Setup!$M$73,EDATE(Setup!$G$73,(Setup!$O$73+J$1)*Setup!$N$73))&gt;Setup!$P$73,IF(Setup!$M$73&gt;0,Setup!$G$73+(Setup!$O$73+J$1)*Setup!$M$73,EDATE(Setup!$G$73,(Setup!$O$73+J$1)*Setup!$N$73))&lt;Setup!$D$5),"",IF(Setup!$M$73&gt;0,Setup!$G$73+(Setup!$O$73+J$1)*Setup!$M$73,EDATE(Setup!$G$73,(Setup!$O$73+J$1)*Setup!$N$73))+$A50/1000)))</f>
        <v/>
      </c>
      <c r="K50">
        <f>IF(OR(Setup!$E$73="",Setup!$G$73="",Setup!$F$73=""),"",IF(AND(Setup!$F$73="Once",K$1&gt;0),"",IF(OR(IF(Setup!$M$73&gt;0,Setup!$G$73+(Setup!$O$73+K$1)*Setup!$M$73,EDATE(Setup!$G$73,(Setup!$O$73+K$1)*Setup!$N$73))&gt;Setup!$P$73,IF(Setup!$M$73&gt;0,Setup!$G$73+(Setup!$O$73+K$1)*Setup!$M$73,EDATE(Setup!$G$73,(Setup!$O$73+K$1)*Setup!$N$73))&lt;Setup!$D$5),"",IF(Setup!$M$73&gt;0,Setup!$G$73+(Setup!$O$73+K$1)*Setup!$M$73,EDATE(Setup!$G$73,(Setup!$O$73+K$1)*Setup!$N$73))+$A50/1000)))</f>
        <v/>
      </c>
      <c r="L50">
        <f>IF(OR(Setup!$E$73="",Setup!$G$73="",Setup!$F$73=""),"",IF(AND(Setup!$F$73="Once",L$1&gt;0),"",IF(OR(IF(Setup!$M$73&gt;0,Setup!$G$73+(Setup!$O$73+L$1)*Setup!$M$73,EDATE(Setup!$G$73,(Setup!$O$73+L$1)*Setup!$N$73))&gt;Setup!$P$73,IF(Setup!$M$73&gt;0,Setup!$G$73+(Setup!$O$73+L$1)*Setup!$M$73,EDATE(Setup!$G$73,(Setup!$O$73+L$1)*Setup!$N$73))&lt;Setup!$D$5),"",IF(Setup!$M$73&gt;0,Setup!$G$73+(Setup!$O$73+L$1)*Setup!$M$73,EDATE(Setup!$G$73,(Setup!$O$73+L$1)*Setup!$N$73))+$A50/1000)))</f>
        <v/>
      </c>
      <c r="M50">
        <f>IF(OR(Setup!$E$73="",Setup!$G$73="",Setup!$F$73=""),"",IF(AND(Setup!$F$73="Once",M$1&gt;0),"",IF(OR(IF(Setup!$M$73&gt;0,Setup!$G$73+(Setup!$O$73+M$1)*Setup!$M$73,EDATE(Setup!$G$73,(Setup!$O$73+M$1)*Setup!$N$73))&gt;Setup!$P$73,IF(Setup!$M$73&gt;0,Setup!$G$73+(Setup!$O$73+M$1)*Setup!$M$73,EDATE(Setup!$G$73,(Setup!$O$73+M$1)*Setup!$N$73))&lt;Setup!$D$5),"",IF(Setup!$M$73&gt;0,Setup!$G$73+(Setup!$O$73+M$1)*Setup!$M$73,EDATE(Setup!$G$73,(Setup!$O$73+M$1)*Setup!$N$73))+$A50/1000)))</f>
        <v/>
      </c>
      <c r="N50">
        <f>IF(OR(Setup!$E$73="",Setup!$G$73="",Setup!$F$73=""),"",IF(AND(Setup!$F$73="Once",N$1&gt;0),"",IF(OR(IF(Setup!$M$73&gt;0,Setup!$G$73+(Setup!$O$73+N$1)*Setup!$M$73,EDATE(Setup!$G$73,(Setup!$O$73+N$1)*Setup!$N$73))&gt;Setup!$P$73,IF(Setup!$M$73&gt;0,Setup!$G$73+(Setup!$O$73+N$1)*Setup!$M$73,EDATE(Setup!$G$73,(Setup!$O$73+N$1)*Setup!$N$73))&lt;Setup!$D$5),"",IF(Setup!$M$73&gt;0,Setup!$G$73+(Setup!$O$73+N$1)*Setup!$M$73,EDATE(Setup!$G$73,(Setup!$O$73+N$1)*Setup!$N$73))+$A50/1000)))</f>
        <v/>
      </c>
      <c r="O50">
        <f>IF(OR(Setup!$E$73="",Setup!$G$73="",Setup!$F$73=""),"",IF(AND(Setup!$F$73="Once",O$1&gt;0),"",IF(OR(IF(Setup!$M$73&gt;0,Setup!$G$73+(Setup!$O$73+O$1)*Setup!$M$73,EDATE(Setup!$G$73,(Setup!$O$73+O$1)*Setup!$N$73))&gt;Setup!$P$73,IF(Setup!$M$73&gt;0,Setup!$G$73+(Setup!$O$73+O$1)*Setup!$M$73,EDATE(Setup!$G$73,(Setup!$O$73+O$1)*Setup!$N$73))&lt;Setup!$D$5),"",IF(Setup!$M$73&gt;0,Setup!$G$73+(Setup!$O$73+O$1)*Setup!$M$73,EDATE(Setup!$G$73,(Setup!$O$73+O$1)*Setup!$N$73))+$A50/1000)))</f>
        <v/>
      </c>
      <c r="P50">
        <f>IF(OR(Setup!$E$73="",Setup!$G$73="",Setup!$F$73=""),"",IF(AND(Setup!$F$73="Once",P$1&gt;0),"",IF(OR(IF(Setup!$M$73&gt;0,Setup!$G$73+(Setup!$O$73+P$1)*Setup!$M$73,EDATE(Setup!$G$73,(Setup!$O$73+P$1)*Setup!$N$73))&gt;Setup!$P$73,IF(Setup!$M$73&gt;0,Setup!$G$73+(Setup!$O$73+P$1)*Setup!$M$73,EDATE(Setup!$G$73,(Setup!$O$73+P$1)*Setup!$N$73))&lt;Setup!$D$5),"",IF(Setup!$M$73&gt;0,Setup!$G$73+(Setup!$O$73+P$1)*Setup!$M$73,EDATE(Setup!$G$73,(Setup!$O$73+P$1)*Setup!$N$73))+$A50/1000)))</f>
        <v/>
      </c>
      <c r="Q50">
        <f>IF(OR(Setup!$E$73="",Setup!$G$73="",Setup!$F$73=""),"",IF(AND(Setup!$F$73="Once",Q$1&gt;0),"",IF(OR(IF(Setup!$M$73&gt;0,Setup!$G$73+(Setup!$O$73+Q$1)*Setup!$M$73,EDATE(Setup!$G$73,(Setup!$O$73+Q$1)*Setup!$N$73))&gt;Setup!$P$73,IF(Setup!$M$73&gt;0,Setup!$G$73+(Setup!$O$73+Q$1)*Setup!$M$73,EDATE(Setup!$G$73,(Setup!$O$73+Q$1)*Setup!$N$73))&lt;Setup!$D$5),"",IF(Setup!$M$73&gt;0,Setup!$G$73+(Setup!$O$73+Q$1)*Setup!$M$73,EDATE(Setup!$G$73,(Setup!$O$73+Q$1)*Setup!$N$73))+$A50/1000)))</f>
        <v/>
      </c>
      <c r="R50">
        <f>IF(OR(Setup!$E$73="",Setup!$G$73="",Setup!$F$73=""),"",IF(AND(Setup!$F$73="Once",R$1&gt;0),"",IF(OR(IF(Setup!$M$73&gt;0,Setup!$G$73+(Setup!$O$73+R$1)*Setup!$M$73,EDATE(Setup!$G$73,(Setup!$O$73+R$1)*Setup!$N$73))&gt;Setup!$P$73,IF(Setup!$M$73&gt;0,Setup!$G$73+(Setup!$O$73+R$1)*Setup!$M$73,EDATE(Setup!$G$73,(Setup!$O$73+R$1)*Setup!$N$73))&lt;Setup!$D$5),"",IF(Setup!$M$73&gt;0,Setup!$G$73+(Setup!$O$73+R$1)*Setup!$M$73,EDATE(Setup!$G$73,(Setup!$O$73+R$1)*Setup!$N$73))+$A50/1000)))</f>
        <v/>
      </c>
      <c r="S50">
        <f>IF(OR(Setup!$E$73="",Setup!$G$73="",Setup!$F$73=""),"",IF(AND(Setup!$F$73="Once",S$1&gt;0),"",IF(OR(IF(Setup!$M$73&gt;0,Setup!$G$73+(Setup!$O$73+S$1)*Setup!$M$73,EDATE(Setup!$G$73,(Setup!$O$73+S$1)*Setup!$N$73))&gt;Setup!$P$73,IF(Setup!$M$73&gt;0,Setup!$G$73+(Setup!$O$73+S$1)*Setup!$M$73,EDATE(Setup!$G$73,(Setup!$O$73+S$1)*Setup!$N$73))&lt;Setup!$D$5),"",IF(Setup!$M$73&gt;0,Setup!$G$73+(Setup!$O$73+S$1)*Setup!$M$73,EDATE(Setup!$G$73,(Setup!$O$73+S$1)*Setup!$N$73))+$A50/1000)))</f>
        <v/>
      </c>
      <c r="T50">
        <f>IF(OR(Setup!$E$73="",Setup!$G$73="",Setup!$F$73=""),"",IF(AND(Setup!$F$73="Once",T$1&gt;0),"",IF(OR(IF(Setup!$M$73&gt;0,Setup!$G$73+(Setup!$O$73+T$1)*Setup!$M$73,EDATE(Setup!$G$73,(Setup!$O$73+T$1)*Setup!$N$73))&gt;Setup!$P$73,IF(Setup!$M$73&gt;0,Setup!$G$73+(Setup!$O$73+T$1)*Setup!$M$73,EDATE(Setup!$G$73,(Setup!$O$73+T$1)*Setup!$N$73))&lt;Setup!$D$5),"",IF(Setup!$M$73&gt;0,Setup!$G$73+(Setup!$O$73+T$1)*Setup!$M$73,EDATE(Setup!$G$73,(Setup!$O$73+T$1)*Setup!$N$73))+$A50/1000)))</f>
        <v/>
      </c>
      <c r="U50">
        <f>IF(OR(Setup!$E$73="",Setup!$G$73="",Setup!$F$73=""),"",IF(AND(Setup!$F$73="Once",U$1&gt;0),"",IF(OR(IF(Setup!$M$73&gt;0,Setup!$G$73+(Setup!$O$73+U$1)*Setup!$M$73,EDATE(Setup!$G$73,(Setup!$O$73+U$1)*Setup!$N$73))&gt;Setup!$P$73,IF(Setup!$M$73&gt;0,Setup!$G$73+(Setup!$O$73+U$1)*Setup!$M$73,EDATE(Setup!$G$73,(Setup!$O$73+U$1)*Setup!$N$73))&lt;Setup!$D$5),"",IF(Setup!$M$73&gt;0,Setup!$G$73+(Setup!$O$73+U$1)*Setup!$M$73,EDATE(Setup!$G$73,(Setup!$O$73+U$1)*Setup!$N$73))+$A50/1000)))</f>
        <v/>
      </c>
      <c r="V50">
        <f>IF(OR(Setup!$E$73="",Setup!$G$73="",Setup!$F$73=""),"",IF(AND(Setup!$F$73="Once",V$1&gt;0),"",IF(OR(IF(Setup!$M$73&gt;0,Setup!$G$73+(Setup!$O$73+V$1)*Setup!$M$73,EDATE(Setup!$G$73,(Setup!$O$73+V$1)*Setup!$N$73))&gt;Setup!$P$73,IF(Setup!$M$73&gt;0,Setup!$G$73+(Setup!$O$73+V$1)*Setup!$M$73,EDATE(Setup!$G$73,(Setup!$O$73+V$1)*Setup!$N$73))&lt;Setup!$D$5),"",IF(Setup!$M$73&gt;0,Setup!$G$73+(Setup!$O$73+V$1)*Setup!$M$73,EDATE(Setup!$G$73,(Setup!$O$73+V$1)*Setup!$N$73))+$A50/1000)))</f>
        <v/>
      </c>
      <c r="W50">
        <f>IF(OR(Setup!$E$73="",Setup!$G$73="",Setup!$F$73=""),"",IF(AND(Setup!$F$73="Once",W$1&gt;0),"",IF(OR(IF(Setup!$M$73&gt;0,Setup!$G$73+(Setup!$O$73+W$1)*Setup!$M$73,EDATE(Setup!$G$73,(Setup!$O$73+W$1)*Setup!$N$73))&gt;Setup!$P$73,IF(Setup!$M$73&gt;0,Setup!$G$73+(Setup!$O$73+W$1)*Setup!$M$73,EDATE(Setup!$G$73,(Setup!$O$73+W$1)*Setup!$N$73))&lt;Setup!$D$5),"",IF(Setup!$M$73&gt;0,Setup!$G$73+(Setup!$O$73+W$1)*Setup!$M$73,EDATE(Setup!$G$73,(Setup!$O$73+W$1)*Setup!$N$73))+$A50/1000)))</f>
        <v/>
      </c>
      <c r="X50">
        <f>IF(OR(Setup!$E$73="",Setup!$G$73="",Setup!$F$73=""),"",IF(AND(Setup!$F$73="Once",X$1&gt;0),"",IF(OR(IF(Setup!$M$73&gt;0,Setup!$G$73+(Setup!$O$73+X$1)*Setup!$M$73,EDATE(Setup!$G$73,(Setup!$O$73+X$1)*Setup!$N$73))&gt;Setup!$P$73,IF(Setup!$M$73&gt;0,Setup!$G$73+(Setup!$O$73+X$1)*Setup!$M$73,EDATE(Setup!$G$73,(Setup!$O$73+X$1)*Setup!$N$73))&lt;Setup!$D$5),"",IF(Setup!$M$73&gt;0,Setup!$G$73+(Setup!$O$73+X$1)*Setup!$M$73,EDATE(Setup!$G$73,(Setup!$O$73+X$1)*Setup!$N$73))+$A50/1000)))</f>
        <v/>
      </c>
      <c r="Y50">
        <f>IF(OR(Setup!$E$73="",Setup!$G$73="",Setup!$F$73=""),"",IF(AND(Setup!$F$73="Once",Y$1&gt;0),"",IF(OR(IF(Setup!$M$73&gt;0,Setup!$G$73+(Setup!$O$73+Y$1)*Setup!$M$73,EDATE(Setup!$G$73,(Setup!$O$73+Y$1)*Setup!$N$73))&gt;Setup!$P$73,IF(Setup!$M$73&gt;0,Setup!$G$73+(Setup!$O$73+Y$1)*Setup!$M$73,EDATE(Setup!$G$73,(Setup!$O$73+Y$1)*Setup!$N$73))&lt;Setup!$D$5),"",IF(Setup!$M$73&gt;0,Setup!$G$73+(Setup!$O$73+Y$1)*Setup!$M$73,EDATE(Setup!$G$73,(Setup!$O$73+Y$1)*Setup!$N$73))+$A50/1000)))</f>
        <v/>
      </c>
      <c r="Z50">
        <f>IF(OR(Setup!$E$73="",Setup!$G$73="",Setup!$F$73=""),"",IF(AND(Setup!$F$73="Once",Z$1&gt;0),"",IF(OR(IF(Setup!$M$73&gt;0,Setup!$G$73+(Setup!$O$73+Z$1)*Setup!$M$73,EDATE(Setup!$G$73,(Setup!$O$73+Z$1)*Setup!$N$73))&gt;Setup!$P$73,IF(Setup!$M$73&gt;0,Setup!$G$73+(Setup!$O$73+Z$1)*Setup!$M$73,EDATE(Setup!$G$73,(Setup!$O$73+Z$1)*Setup!$N$73))&lt;Setup!$D$5),"",IF(Setup!$M$73&gt;0,Setup!$G$73+(Setup!$O$73+Z$1)*Setup!$M$73,EDATE(Setup!$G$73,(Setup!$O$73+Z$1)*Setup!$N$73))+$A50/1000)))</f>
        <v/>
      </c>
      <c r="AA50">
        <f>IF(OR(Setup!$E$73="",Setup!$G$73="",Setup!$F$73=""),"",IF(AND(Setup!$F$73="Once",AA$1&gt;0),"",IF(OR(IF(Setup!$M$73&gt;0,Setup!$G$73+(Setup!$O$73+AA$1)*Setup!$M$73,EDATE(Setup!$G$73,(Setup!$O$73+AA$1)*Setup!$N$73))&gt;Setup!$P$73,IF(Setup!$M$73&gt;0,Setup!$G$73+(Setup!$O$73+AA$1)*Setup!$M$73,EDATE(Setup!$G$73,(Setup!$O$73+AA$1)*Setup!$N$73))&lt;Setup!$D$5),"",IF(Setup!$M$73&gt;0,Setup!$G$73+(Setup!$O$73+AA$1)*Setup!$M$73,EDATE(Setup!$G$73,(Setup!$O$73+AA$1)*Setup!$N$73))+$A50/1000)))</f>
        <v/>
      </c>
      <c r="AB50">
        <f>IF(OR(Setup!$E$73="",Setup!$G$73="",Setup!$F$73=""),"",IF(AND(Setup!$F$73="Once",AB$1&gt;0),"",IF(OR(IF(Setup!$M$73&gt;0,Setup!$G$73+(Setup!$O$73+AB$1)*Setup!$M$73,EDATE(Setup!$G$73,(Setup!$O$73+AB$1)*Setup!$N$73))&gt;Setup!$P$73,IF(Setup!$M$73&gt;0,Setup!$G$73+(Setup!$O$73+AB$1)*Setup!$M$73,EDATE(Setup!$G$73,(Setup!$O$73+AB$1)*Setup!$N$73))&lt;Setup!$D$5),"",IF(Setup!$M$73&gt;0,Setup!$G$73+(Setup!$O$73+AB$1)*Setup!$M$73,EDATE(Setup!$G$73,(Setup!$O$73+AB$1)*Setup!$N$73))+$A50/1000)))</f>
        <v/>
      </c>
      <c r="AC50">
        <f>IF(OR(Setup!$E$73="",Setup!$G$73="",Setup!$F$73=""),"",IF(AND(Setup!$F$73="Once",AC$1&gt;0),"",IF(OR(IF(Setup!$M$73&gt;0,Setup!$G$73+(Setup!$O$73+AC$1)*Setup!$M$73,EDATE(Setup!$G$73,(Setup!$O$73+AC$1)*Setup!$N$73))&gt;Setup!$P$73,IF(Setup!$M$73&gt;0,Setup!$G$73+(Setup!$O$73+AC$1)*Setup!$M$73,EDATE(Setup!$G$73,(Setup!$O$73+AC$1)*Setup!$N$73))&lt;Setup!$D$5),"",IF(Setup!$M$73&gt;0,Setup!$G$73+(Setup!$O$73+AC$1)*Setup!$M$73,EDATE(Setup!$G$73,(Setup!$O$73+AC$1)*Setup!$N$73))+$A50/1000)))</f>
        <v/>
      </c>
      <c r="AD50">
        <f>IF(OR(Setup!$E$73="",Setup!$G$73="",Setup!$F$73=""),"",IF(AND(Setup!$F$73="Once",AD$1&gt;0),"",IF(OR(IF(Setup!$M$73&gt;0,Setup!$G$73+(Setup!$O$73+AD$1)*Setup!$M$73,EDATE(Setup!$G$73,(Setup!$O$73+AD$1)*Setup!$N$73))&gt;Setup!$P$73,IF(Setup!$M$73&gt;0,Setup!$G$73+(Setup!$O$73+AD$1)*Setup!$M$73,EDATE(Setup!$G$73,(Setup!$O$73+AD$1)*Setup!$N$73))&lt;Setup!$D$5),"",IF(Setup!$M$73&gt;0,Setup!$G$73+(Setup!$O$73+AD$1)*Setup!$M$73,EDATE(Setup!$G$73,(Setup!$O$73+AD$1)*Setup!$N$73))+$A50/1000)))</f>
        <v/>
      </c>
      <c r="AE50">
        <f>IF(OR(Setup!$E$73="",Setup!$G$73="",Setup!$F$73=""),"",IF(AND(Setup!$F$73="Once",AE$1&gt;0),"",IF(OR(IF(Setup!$M$73&gt;0,Setup!$G$73+(Setup!$O$73+AE$1)*Setup!$M$73,EDATE(Setup!$G$73,(Setup!$O$73+AE$1)*Setup!$N$73))&gt;Setup!$P$73,IF(Setup!$M$73&gt;0,Setup!$G$73+(Setup!$O$73+AE$1)*Setup!$M$73,EDATE(Setup!$G$73,(Setup!$O$73+AE$1)*Setup!$N$73))&lt;Setup!$D$5),"",IF(Setup!$M$73&gt;0,Setup!$G$73+(Setup!$O$73+AE$1)*Setup!$M$73,EDATE(Setup!$G$73,(Setup!$O$73+AE$1)*Setup!$N$73))+$A50/1000)))</f>
        <v/>
      </c>
      <c r="AF50">
        <f>IF(OR(Setup!$E$73="",Setup!$G$73="",Setup!$F$73=""),"",IF(AND(Setup!$F$73="Once",AF$1&gt;0),"",IF(OR(IF(Setup!$M$73&gt;0,Setup!$G$73+(Setup!$O$73+AF$1)*Setup!$M$73,EDATE(Setup!$G$73,(Setup!$O$73+AF$1)*Setup!$N$73))&gt;Setup!$P$73,IF(Setup!$M$73&gt;0,Setup!$G$73+(Setup!$O$73+AF$1)*Setup!$M$73,EDATE(Setup!$G$73,(Setup!$O$73+AF$1)*Setup!$N$73))&lt;Setup!$D$5),"",IF(Setup!$M$73&gt;0,Setup!$G$73+(Setup!$O$73+AF$1)*Setup!$M$73,EDATE(Setup!$G$73,(Setup!$O$73+AF$1)*Setup!$N$73))+$A50/1000)))</f>
        <v/>
      </c>
      <c r="AG50">
        <f>IF(OR(Setup!$E$73="",Setup!$G$73="",Setup!$F$73=""),"",IF(AND(Setup!$F$73="Once",AG$1&gt;0),"",IF(OR(IF(Setup!$M$73&gt;0,Setup!$G$73+(Setup!$O$73+AG$1)*Setup!$M$73,EDATE(Setup!$G$73,(Setup!$O$73+AG$1)*Setup!$N$73))&gt;Setup!$P$73,IF(Setup!$M$73&gt;0,Setup!$G$73+(Setup!$O$73+AG$1)*Setup!$M$73,EDATE(Setup!$G$73,(Setup!$O$73+AG$1)*Setup!$N$73))&lt;Setup!$D$5),"",IF(Setup!$M$73&gt;0,Setup!$G$73+(Setup!$O$73+AG$1)*Setup!$M$73,EDATE(Setup!$G$73,(Setup!$O$73+AG$1)*Setup!$N$73))+$A50/1000)))</f>
        <v/>
      </c>
      <c r="AH50">
        <f>IF(OR(Setup!$E$73="",Setup!$G$73="",Setup!$F$73=""),"",IF(AND(Setup!$F$73="Once",AH$1&gt;0),"",IF(OR(IF(Setup!$M$73&gt;0,Setup!$G$73+(Setup!$O$73+AH$1)*Setup!$M$73,EDATE(Setup!$G$73,(Setup!$O$73+AH$1)*Setup!$N$73))&gt;Setup!$P$73,IF(Setup!$M$73&gt;0,Setup!$G$73+(Setup!$O$73+AH$1)*Setup!$M$73,EDATE(Setup!$G$73,(Setup!$O$73+AH$1)*Setup!$N$73))&lt;Setup!$D$5),"",IF(Setup!$M$73&gt;0,Setup!$G$73+(Setup!$O$73+AH$1)*Setup!$M$73,EDATE(Setup!$G$73,(Setup!$O$73+AH$1)*Setup!$N$73))+$A50/1000)))</f>
        <v/>
      </c>
      <c r="AI50">
        <f>IF(OR(Setup!$E$73="",Setup!$G$73="",Setup!$F$73=""),"",IF(AND(Setup!$F$73="Once",AI$1&gt;0),"",IF(OR(IF(Setup!$M$73&gt;0,Setup!$G$73+(Setup!$O$73+AI$1)*Setup!$M$73,EDATE(Setup!$G$73,(Setup!$O$73+AI$1)*Setup!$N$73))&gt;Setup!$P$73,IF(Setup!$M$73&gt;0,Setup!$G$73+(Setup!$O$73+AI$1)*Setup!$M$73,EDATE(Setup!$G$73,(Setup!$O$73+AI$1)*Setup!$N$73))&lt;Setup!$D$5),"",IF(Setup!$M$73&gt;0,Setup!$G$73+(Setup!$O$73+AI$1)*Setup!$M$73,EDATE(Setup!$G$73,(Setup!$O$73+AI$1)*Setup!$N$73))+$A50/1000)))</f>
        <v/>
      </c>
      <c r="AJ50">
        <f>IF(OR(Setup!$E$73="",Setup!$G$73="",Setup!$F$73=""),"",IF(AND(Setup!$F$73="Once",AJ$1&gt;0),"",IF(OR(IF(Setup!$M$73&gt;0,Setup!$G$73+(Setup!$O$73+AJ$1)*Setup!$M$73,EDATE(Setup!$G$73,(Setup!$O$73+AJ$1)*Setup!$N$73))&gt;Setup!$P$73,IF(Setup!$M$73&gt;0,Setup!$G$73+(Setup!$O$73+AJ$1)*Setup!$M$73,EDATE(Setup!$G$73,(Setup!$O$73+AJ$1)*Setup!$N$73))&lt;Setup!$D$5),"",IF(Setup!$M$73&gt;0,Setup!$G$73+(Setup!$O$73+AJ$1)*Setup!$M$73,EDATE(Setup!$G$73,(Setup!$O$73+AJ$1)*Setup!$N$73))+$A50/1000)))</f>
        <v/>
      </c>
      <c r="AK50">
        <f>IF(OR(Setup!$E$73="",Setup!$G$73="",Setup!$F$73=""),"",IF(AND(Setup!$F$73="Once",AK$1&gt;0),"",IF(OR(IF(Setup!$M$73&gt;0,Setup!$G$73+(Setup!$O$73+AK$1)*Setup!$M$73,EDATE(Setup!$G$73,(Setup!$O$73+AK$1)*Setup!$N$73))&gt;Setup!$P$73,IF(Setup!$M$73&gt;0,Setup!$G$73+(Setup!$O$73+AK$1)*Setup!$M$73,EDATE(Setup!$G$73,(Setup!$O$73+AK$1)*Setup!$N$73))&lt;Setup!$D$5),"",IF(Setup!$M$73&gt;0,Setup!$G$73+(Setup!$O$73+AK$1)*Setup!$M$73,EDATE(Setup!$G$73,(Setup!$O$73+AK$1)*Setup!$N$73))+$A50/1000)))</f>
        <v/>
      </c>
      <c r="AL50">
        <f>IF(OR(Setup!$E$73="",Setup!$G$73="",Setup!$F$73=""),"",IF(AND(Setup!$F$73="Once",AL$1&gt;0),"",IF(OR(IF(Setup!$M$73&gt;0,Setup!$G$73+(Setup!$O$73+AL$1)*Setup!$M$73,EDATE(Setup!$G$73,(Setup!$O$73+AL$1)*Setup!$N$73))&gt;Setup!$P$73,IF(Setup!$M$73&gt;0,Setup!$G$73+(Setup!$O$73+AL$1)*Setup!$M$73,EDATE(Setup!$G$73,(Setup!$O$73+AL$1)*Setup!$N$73))&lt;Setup!$D$5),"",IF(Setup!$M$73&gt;0,Setup!$G$73+(Setup!$O$73+AL$1)*Setup!$M$73,EDATE(Setup!$G$73,(Setup!$O$73+AL$1)*Setup!$N$73))+$A50/1000)))</f>
        <v/>
      </c>
      <c r="AM50">
        <f>IF(OR(Setup!$E$73="",Setup!$G$73="",Setup!$F$73=""),"",IF(AND(Setup!$F$73="Once",AM$1&gt;0),"",IF(OR(IF(Setup!$M$73&gt;0,Setup!$G$73+(Setup!$O$73+AM$1)*Setup!$M$73,EDATE(Setup!$G$73,(Setup!$O$73+AM$1)*Setup!$N$73))&gt;Setup!$P$73,IF(Setup!$M$73&gt;0,Setup!$G$73+(Setup!$O$73+AM$1)*Setup!$M$73,EDATE(Setup!$G$73,(Setup!$O$73+AM$1)*Setup!$N$73))&lt;Setup!$D$5),"",IF(Setup!$M$73&gt;0,Setup!$G$73+(Setup!$O$73+AM$1)*Setup!$M$73,EDATE(Setup!$G$73,(Setup!$O$73+AM$1)*Setup!$N$73))+$A50/1000)))</f>
        <v/>
      </c>
      <c r="AN50">
        <f>IF(OR(Setup!$E$73="",Setup!$G$73="",Setup!$F$73=""),"",IF(AND(Setup!$F$73="Once",AN$1&gt;0),"",IF(OR(IF(Setup!$M$73&gt;0,Setup!$G$73+(Setup!$O$73+AN$1)*Setup!$M$73,EDATE(Setup!$G$73,(Setup!$O$73+AN$1)*Setup!$N$73))&gt;Setup!$P$73,IF(Setup!$M$73&gt;0,Setup!$G$73+(Setup!$O$73+AN$1)*Setup!$M$73,EDATE(Setup!$G$73,(Setup!$O$73+AN$1)*Setup!$N$73))&lt;Setup!$D$5),"",IF(Setup!$M$73&gt;0,Setup!$G$73+(Setup!$O$73+AN$1)*Setup!$M$73,EDATE(Setup!$G$73,(Setup!$O$73+AN$1)*Setup!$N$73))+$A50/1000)))</f>
        <v/>
      </c>
      <c r="AO50">
        <f>IF(OR(Setup!$E$73="",Setup!$G$73="",Setup!$F$73=""),"",IF(AND(Setup!$F$73="Once",AO$1&gt;0),"",IF(OR(IF(Setup!$M$73&gt;0,Setup!$G$73+(Setup!$O$73+AO$1)*Setup!$M$73,EDATE(Setup!$G$73,(Setup!$O$73+AO$1)*Setup!$N$73))&gt;Setup!$P$73,IF(Setup!$M$73&gt;0,Setup!$G$73+(Setup!$O$73+AO$1)*Setup!$M$73,EDATE(Setup!$G$73,(Setup!$O$73+AO$1)*Setup!$N$73))&lt;Setup!$D$5),"",IF(Setup!$M$73&gt;0,Setup!$G$73+(Setup!$O$73+AO$1)*Setup!$M$73,EDATE(Setup!$G$73,(Setup!$O$73+AO$1)*Setup!$N$73))+$A50/1000)))</f>
        <v/>
      </c>
      <c r="AP50">
        <f>IF(OR(Setup!$E$73="",Setup!$G$73="",Setup!$F$73=""),"",IF(AND(Setup!$F$73="Once",AP$1&gt;0),"",IF(OR(IF(Setup!$M$73&gt;0,Setup!$G$73+(Setup!$O$73+AP$1)*Setup!$M$73,EDATE(Setup!$G$73,(Setup!$O$73+AP$1)*Setup!$N$73))&gt;Setup!$P$73,IF(Setup!$M$73&gt;0,Setup!$G$73+(Setup!$O$73+AP$1)*Setup!$M$73,EDATE(Setup!$G$73,(Setup!$O$73+AP$1)*Setup!$N$73))&lt;Setup!$D$5),"",IF(Setup!$M$73&gt;0,Setup!$G$73+(Setup!$O$73+AP$1)*Setup!$M$73,EDATE(Setup!$G$73,(Setup!$O$73+AP$1)*Setup!$N$73))+$A50/1000)))</f>
        <v/>
      </c>
      <c r="AQ50">
        <f>IF(OR(Setup!$E$73="",Setup!$G$73="",Setup!$F$73=""),"",IF(AND(Setup!$F$73="Once",AQ$1&gt;0),"",IF(OR(IF(Setup!$M$73&gt;0,Setup!$G$73+(Setup!$O$73+AQ$1)*Setup!$M$73,EDATE(Setup!$G$73,(Setup!$O$73+AQ$1)*Setup!$N$73))&gt;Setup!$P$73,IF(Setup!$M$73&gt;0,Setup!$G$73+(Setup!$O$73+AQ$1)*Setup!$M$73,EDATE(Setup!$G$73,(Setup!$O$73+AQ$1)*Setup!$N$73))&lt;Setup!$D$5),"",IF(Setup!$M$73&gt;0,Setup!$G$73+(Setup!$O$73+AQ$1)*Setup!$M$73,EDATE(Setup!$G$73,(Setup!$O$73+AQ$1)*Setup!$N$73))+$A50/1000)))</f>
        <v/>
      </c>
      <c r="AR50">
        <f>IF(OR(Setup!$E$73="",Setup!$G$73="",Setup!$F$73=""),"",IF(AND(Setup!$F$73="Once",AR$1&gt;0),"",IF(OR(IF(Setup!$M$73&gt;0,Setup!$G$73+(Setup!$O$73+AR$1)*Setup!$M$73,EDATE(Setup!$G$73,(Setup!$O$73+AR$1)*Setup!$N$73))&gt;Setup!$P$73,IF(Setup!$M$73&gt;0,Setup!$G$73+(Setup!$O$73+AR$1)*Setup!$M$73,EDATE(Setup!$G$73,(Setup!$O$73+AR$1)*Setup!$N$73))&lt;Setup!$D$5),"",IF(Setup!$M$73&gt;0,Setup!$G$73+(Setup!$O$73+AR$1)*Setup!$M$73,EDATE(Setup!$G$73,(Setup!$O$73+AR$1)*Setup!$N$73))+$A50/1000)))</f>
        <v/>
      </c>
      <c r="AS50">
        <f>IF(OR(Setup!$E$73="",Setup!$G$73="",Setup!$F$73=""),"",IF(AND(Setup!$F$73="Once",AS$1&gt;0),"",IF(OR(IF(Setup!$M$73&gt;0,Setup!$G$73+(Setup!$O$73+AS$1)*Setup!$M$73,EDATE(Setup!$G$73,(Setup!$O$73+AS$1)*Setup!$N$73))&gt;Setup!$P$73,IF(Setup!$M$73&gt;0,Setup!$G$73+(Setup!$O$73+AS$1)*Setup!$M$73,EDATE(Setup!$G$73,(Setup!$O$73+AS$1)*Setup!$N$73))&lt;Setup!$D$5),"",IF(Setup!$M$73&gt;0,Setup!$G$73+(Setup!$O$73+AS$1)*Setup!$M$73,EDATE(Setup!$G$73,(Setup!$O$73+AS$1)*Setup!$N$73))+$A50/1000)))</f>
        <v/>
      </c>
      <c r="AT50">
        <f>IF(OR(Setup!$E$73="",Setup!$G$73="",Setup!$F$73=""),"",IF(AND(Setup!$F$73="Once",AT$1&gt;0),"",IF(OR(IF(Setup!$M$73&gt;0,Setup!$G$73+(Setup!$O$73+AT$1)*Setup!$M$73,EDATE(Setup!$G$73,(Setup!$O$73+AT$1)*Setup!$N$73))&gt;Setup!$P$73,IF(Setup!$M$73&gt;0,Setup!$G$73+(Setup!$O$73+AT$1)*Setup!$M$73,EDATE(Setup!$G$73,(Setup!$O$73+AT$1)*Setup!$N$73))&lt;Setup!$D$5),"",IF(Setup!$M$73&gt;0,Setup!$G$73+(Setup!$O$73+AT$1)*Setup!$M$73,EDATE(Setup!$G$73,(Setup!$O$73+AT$1)*Setup!$N$73))+$A50/1000)))</f>
        <v/>
      </c>
      <c r="AU50">
        <f>IF(OR(Setup!$E$73="",Setup!$G$73="",Setup!$F$73=""),"",IF(AND(Setup!$F$73="Once",AU$1&gt;0),"",IF(OR(IF(Setup!$M$73&gt;0,Setup!$G$73+(Setup!$O$73+AU$1)*Setup!$M$73,EDATE(Setup!$G$73,(Setup!$O$73+AU$1)*Setup!$N$73))&gt;Setup!$P$73,IF(Setup!$M$73&gt;0,Setup!$G$73+(Setup!$O$73+AU$1)*Setup!$M$73,EDATE(Setup!$G$73,(Setup!$O$73+AU$1)*Setup!$N$73))&lt;Setup!$D$5),"",IF(Setup!$M$73&gt;0,Setup!$G$73+(Setup!$O$73+AU$1)*Setup!$M$73,EDATE(Setup!$G$73,(Setup!$O$73+AU$1)*Setup!$N$73))+$A50/1000)))</f>
        <v/>
      </c>
      <c r="AV50">
        <f>IF(OR(Setup!$E$73="",Setup!$G$73="",Setup!$F$73=""),"",IF(AND(Setup!$F$73="Once",AV$1&gt;0),"",IF(OR(IF(Setup!$M$73&gt;0,Setup!$G$73+(Setup!$O$73+AV$1)*Setup!$M$73,EDATE(Setup!$G$73,(Setup!$O$73+AV$1)*Setup!$N$73))&gt;Setup!$P$73,IF(Setup!$M$73&gt;0,Setup!$G$73+(Setup!$O$73+AV$1)*Setup!$M$73,EDATE(Setup!$G$73,(Setup!$O$73+AV$1)*Setup!$N$73))&lt;Setup!$D$5),"",IF(Setup!$M$73&gt;0,Setup!$G$73+(Setup!$O$73+AV$1)*Setup!$M$73,EDATE(Setup!$G$73,(Setup!$O$73+AV$1)*Setup!$N$73))+$A50/1000)))</f>
        <v/>
      </c>
      <c r="AW50">
        <f>IF(OR(Setup!$E$73="",Setup!$G$73="",Setup!$F$73=""),"",IF(AND(Setup!$F$73="Once",AW$1&gt;0),"",IF(OR(IF(Setup!$M$73&gt;0,Setup!$G$73+(Setup!$O$73+AW$1)*Setup!$M$73,EDATE(Setup!$G$73,(Setup!$O$73+AW$1)*Setup!$N$73))&gt;Setup!$P$73,IF(Setup!$M$73&gt;0,Setup!$G$73+(Setup!$O$73+AW$1)*Setup!$M$73,EDATE(Setup!$G$73,(Setup!$O$73+AW$1)*Setup!$N$73))&lt;Setup!$D$5),"",IF(Setup!$M$73&gt;0,Setup!$G$73+(Setup!$O$73+AW$1)*Setup!$M$73,EDATE(Setup!$G$73,(Setup!$O$73+AW$1)*Setup!$N$73))+$A50/1000)))</f>
        <v/>
      </c>
      <c r="AX50">
        <f>IF(OR(Setup!$E$73="",Setup!$G$73="",Setup!$F$73=""),"",IF(AND(Setup!$F$73="Once",AX$1&gt;0),"",IF(OR(IF(Setup!$M$73&gt;0,Setup!$G$73+(Setup!$O$73+AX$1)*Setup!$M$73,EDATE(Setup!$G$73,(Setup!$O$73+AX$1)*Setup!$N$73))&gt;Setup!$P$73,IF(Setup!$M$73&gt;0,Setup!$G$73+(Setup!$O$73+AX$1)*Setup!$M$73,EDATE(Setup!$G$73,(Setup!$O$73+AX$1)*Setup!$N$73))&lt;Setup!$D$5),"",IF(Setup!$M$73&gt;0,Setup!$G$73+(Setup!$O$73+AX$1)*Setup!$M$73,EDATE(Setup!$G$73,(Setup!$O$73+AX$1)*Setup!$N$73))+$A50/1000)))</f>
        <v/>
      </c>
      <c r="AY50">
        <f>IF(OR(Setup!$E$73="",Setup!$G$73="",Setup!$F$73=""),"",IF(AND(Setup!$F$73="Once",AY$1&gt;0),"",IF(OR(IF(Setup!$M$73&gt;0,Setup!$G$73+(Setup!$O$73+AY$1)*Setup!$M$73,EDATE(Setup!$G$73,(Setup!$O$73+AY$1)*Setup!$N$73))&gt;Setup!$P$73,IF(Setup!$M$73&gt;0,Setup!$G$73+(Setup!$O$73+AY$1)*Setup!$M$73,EDATE(Setup!$G$73,(Setup!$O$73+AY$1)*Setup!$N$73))&lt;Setup!$D$5),"",IF(Setup!$M$73&gt;0,Setup!$G$73+(Setup!$O$73+AY$1)*Setup!$M$73,EDATE(Setup!$G$73,(Setup!$O$73+AY$1)*Setup!$N$73))+$A50/1000)))</f>
        <v/>
      </c>
      <c r="AZ50">
        <f>IF(OR(Setup!$E$73="",Setup!$G$73="",Setup!$F$73=""),"",IF(AND(Setup!$F$73="Once",AZ$1&gt;0),"",IF(OR(IF(Setup!$M$73&gt;0,Setup!$G$73+(Setup!$O$73+AZ$1)*Setup!$M$73,EDATE(Setup!$G$73,(Setup!$O$73+AZ$1)*Setup!$N$73))&gt;Setup!$P$73,IF(Setup!$M$73&gt;0,Setup!$G$73+(Setup!$O$73+AZ$1)*Setup!$M$73,EDATE(Setup!$G$73,(Setup!$O$73+AZ$1)*Setup!$N$73))&lt;Setup!$D$5),"",IF(Setup!$M$73&gt;0,Setup!$G$73+(Setup!$O$73+AZ$1)*Setup!$M$73,EDATE(Setup!$G$73,(Setup!$O$73+AZ$1)*Setup!$N$73))+$A50/1000)))</f>
        <v/>
      </c>
      <c r="BA50">
        <f>IF(OR(Setup!$E$73="",Setup!$G$73="",Setup!$F$73=""),"",IF(AND(Setup!$F$73="Once",BA$1&gt;0),"",IF(OR(IF(Setup!$M$73&gt;0,Setup!$G$73+(Setup!$O$73+BA$1)*Setup!$M$73,EDATE(Setup!$G$73,(Setup!$O$73+BA$1)*Setup!$N$73))&gt;Setup!$P$73,IF(Setup!$M$73&gt;0,Setup!$G$73+(Setup!$O$73+BA$1)*Setup!$M$73,EDATE(Setup!$G$73,(Setup!$O$73+BA$1)*Setup!$N$73))&lt;Setup!$D$5),"",IF(Setup!$M$73&gt;0,Setup!$G$73+(Setup!$O$73+BA$1)*Setup!$M$73,EDATE(Setup!$G$73,(Setup!$O$73+BA$1)*Setup!$N$73))+$A50/1000)))</f>
        <v/>
      </c>
      <c r="BB50">
        <f>IF(OR(Setup!$E$73="",Setup!$G$73="",Setup!$F$73=""),"",IF(AND(Setup!$F$73="Once",BB$1&gt;0),"",IF(OR(IF(Setup!$M$73&gt;0,Setup!$G$73+(Setup!$O$73+BB$1)*Setup!$M$73,EDATE(Setup!$G$73,(Setup!$O$73+BB$1)*Setup!$N$73))&gt;Setup!$P$73,IF(Setup!$M$73&gt;0,Setup!$G$73+(Setup!$O$73+BB$1)*Setup!$M$73,EDATE(Setup!$G$73,(Setup!$O$73+BB$1)*Setup!$N$73))&lt;Setup!$D$5),"",IF(Setup!$M$73&gt;0,Setup!$G$73+(Setup!$O$73+BB$1)*Setup!$M$73,EDATE(Setup!$G$73,(Setup!$O$73+BB$1)*Setup!$N$73))+$A50/1000)))</f>
        <v/>
      </c>
    </row>
    <row r="51">
      <c r="A51" t="n">
        <v>50</v>
      </c>
      <c r="B51">
        <f>IF(OR(Setup!$E$74="",Setup!$G$74="",Setup!$F$74=""),"",IF(AND(Setup!$F$74="Once",B$1&gt;0),"",IF(OR(IF(Setup!$M$74&gt;0,Setup!$G$74+(Setup!$O$74+B$1)*Setup!$M$74,EDATE(Setup!$G$74,(Setup!$O$74+B$1)*Setup!$N$74))&gt;Setup!$P$74,IF(Setup!$M$74&gt;0,Setup!$G$74+(Setup!$O$74+B$1)*Setup!$M$74,EDATE(Setup!$G$74,(Setup!$O$74+B$1)*Setup!$N$74))&lt;Setup!$D$5),"",IF(Setup!$M$74&gt;0,Setup!$G$74+(Setup!$O$74+B$1)*Setup!$M$74,EDATE(Setup!$G$74,(Setup!$O$74+B$1)*Setup!$N$74))+$A51/1000)))</f>
        <v/>
      </c>
      <c r="C51">
        <f>IF(OR(Setup!$E$74="",Setup!$G$74="",Setup!$F$74=""),"",IF(AND(Setup!$F$74="Once",C$1&gt;0),"",IF(OR(IF(Setup!$M$74&gt;0,Setup!$G$74+(Setup!$O$74+C$1)*Setup!$M$74,EDATE(Setup!$G$74,(Setup!$O$74+C$1)*Setup!$N$74))&gt;Setup!$P$74,IF(Setup!$M$74&gt;0,Setup!$G$74+(Setup!$O$74+C$1)*Setup!$M$74,EDATE(Setup!$G$74,(Setup!$O$74+C$1)*Setup!$N$74))&lt;Setup!$D$5),"",IF(Setup!$M$74&gt;0,Setup!$G$74+(Setup!$O$74+C$1)*Setup!$M$74,EDATE(Setup!$G$74,(Setup!$O$74+C$1)*Setup!$N$74))+$A51/1000)))</f>
        <v/>
      </c>
      <c r="D51">
        <f>IF(OR(Setup!$E$74="",Setup!$G$74="",Setup!$F$74=""),"",IF(AND(Setup!$F$74="Once",D$1&gt;0),"",IF(OR(IF(Setup!$M$74&gt;0,Setup!$G$74+(Setup!$O$74+D$1)*Setup!$M$74,EDATE(Setup!$G$74,(Setup!$O$74+D$1)*Setup!$N$74))&gt;Setup!$P$74,IF(Setup!$M$74&gt;0,Setup!$G$74+(Setup!$O$74+D$1)*Setup!$M$74,EDATE(Setup!$G$74,(Setup!$O$74+D$1)*Setup!$N$74))&lt;Setup!$D$5),"",IF(Setup!$M$74&gt;0,Setup!$G$74+(Setup!$O$74+D$1)*Setup!$M$74,EDATE(Setup!$G$74,(Setup!$O$74+D$1)*Setup!$N$74))+$A51/1000)))</f>
        <v/>
      </c>
      <c r="E51">
        <f>IF(OR(Setup!$E$74="",Setup!$G$74="",Setup!$F$74=""),"",IF(AND(Setup!$F$74="Once",E$1&gt;0),"",IF(OR(IF(Setup!$M$74&gt;0,Setup!$G$74+(Setup!$O$74+E$1)*Setup!$M$74,EDATE(Setup!$G$74,(Setup!$O$74+E$1)*Setup!$N$74))&gt;Setup!$P$74,IF(Setup!$M$74&gt;0,Setup!$G$74+(Setup!$O$74+E$1)*Setup!$M$74,EDATE(Setup!$G$74,(Setup!$O$74+E$1)*Setup!$N$74))&lt;Setup!$D$5),"",IF(Setup!$M$74&gt;0,Setup!$G$74+(Setup!$O$74+E$1)*Setup!$M$74,EDATE(Setup!$G$74,(Setup!$O$74+E$1)*Setup!$N$74))+$A51/1000)))</f>
        <v/>
      </c>
      <c r="F51">
        <f>IF(OR(Setup!$E$74="",Setup!$G$74="",Setup!$F$74=""),"",IF(AND(Setup!$F$74="Once",F$1&gt;0),"",IF(OR(IF(Setup!$M$74&gt;0,Setup!$G$74+(Setup!$O$74+F$1)*Setup!$M$74,EDATE(Setup!$G$74,(Setup!$O$74+F$1)*Setup!$N$74))&gt;Setup!$P$74,IF(Setup!$M$74&gt;0,Setup!$G$74+(Setup!$O$74+F$1)*Setup!$M$74,EDATE(Setup!$G$74,(Setup!$O$74+F$1)*Setup!$N$74))&lt;Setup!$D$5),"",IF(Setup!$M$74&gt;0,Setup!$G$74+(Setup!$O$74+F$1)*Setup!$M$74,EDATE(Setup!$G$74,(Setup!$O$74+F$1)*Setup!$N$74))+$A51/1000)))</f>
        <v/>
      </c>
      <c r="G51">
        <f>IF(OR(Setup!$E$74="",Setup!$G$74="",Setup!$F$74=""),"",IF(AND(Setup!$F$74="Once",G$1&gt;0),"",IF(OR(IF(Setup!$M$74&gt;0,Setup!$G$74+(Setup!$O$74+G$1)*Setup!$M$74,EDATE(Setup!$G$74,(Setup!$O$74+G$1)*Setup!$N$74))&gt;Setup!$P$74,IF(Setup!$M$74&gt;0,Setup!$G$74+(Setup!$O$74+G$1)*Setup!$M$74,EDATE(Setup!$G$74,(Setup!$O$74+G$1)*Setup!$N$74))&lt;Setup!$D$5),"",IF(Setup!$M$74&gt;0,Setup!$G$74+(Setup!$O$74+G$1)*Setup!$M$74,EDATE(Setup!$G$74,(Setup!$O$74+G$1)*Setup!$N$74))+$A51/1000)))</f>
        <v/>
      </c>
      <c r="H51">
        <f>IF(OR(Setup!$E$74="",Setup!$G$74="",Setup!$F$74=""),"",IF(AND(Setup!$F$74="Once",H$1&gt;0),"",IF(OR(IF(Setup!$M$74&gt;0,Setup!$G$74+(Setup!$O$74+H$1)*Setup!$M$74,EDATE(Setup!$G$74,(Setup!$O$74+H$1)*Setup!$N$74))&gt;Setup!$P$74,IF(Setup!$M$74&gt;0,Setup!$G$74+(Setup!$O$74+H$1)*Setup!$M$74,EDATE(Setup!$G$74,(Setup!$O$74+H$1)*Setup!$N$74))&lt;Setup!$D$5),"",IF(Setup!$M$74&gt;0,Setup!$G$74+(Setup!$O$74+H$1)*Setup!$M$74,EDATE(Setup!$G$74,(Setup!$O$74+H$1)*Setup!$N$74))+$A51/1000)))</f>
        <v/>
      </c>
      <c r="I51">
        <f>IF(OR(Setup!$E$74="",Setup!$G$74="",Setup!$F$74=""),"",IF(AND(Setup!$F$74="Once",I$1&gt;0),"",IF(OR(IF(Setup!$M$74&gt;0,Setup!$G$74+(Setup!$O$74+I$1)*Setup!$M$74,EDATE(Setup!$G$74,(Setup!$O$74+I$1)*Setup!$N$74))&gt;Setup!$P$74,IF(Setup!$M$74&gt;0,Setup!$G$74+(Setup!$O$74+I$1)*Setup!$M$74,EDATE(Setup!$G$74,(Setup!$O$74+I$1)*Setup!$N$74))&lt;Setup!$D$5),"",IF(Setup!$M$74&gt;0,Setup!$G$74+(Setup!$O$74+I$1)*Setup!$M$74,EDATE(Setup!$G$74,(Setup!$O$74+I$1)*Setup!$N$74))+$A51/1000)))</f>
        <v/>
      </c>
      <c r="J51">
        <f>IF(OR(Setup!$E$74="",Setup!$G$74="",Setup!$F$74=""),"",IF(AND(Setup!$F$74="Once",J$1&gt;0),"",IF(OR(IF(Setup!$M$74&gt;0,Setup!$G$74+(Setup!$O$74+J$1)*Setup!$M$74,EDATE(Setup!$G$74,(Setup!$O$74+J$1)*Setup!$N$74))&gt;Setup!$P$74,IF(Setup!$M$74&gt;0,Setup!$G$74+(Setup!$O$74+J$1)*Setup!$M$74,EDATE(Setup!$G$74,(Setup!$O$74+J$1)*Setup!$N$74))&lt;Setup!$D$5),"",IF(Setup!$M$74&gt;0,Setup!$G$74+(Setup!$O$74+J$1)*Setup!$M$74,EDATE(Setup!$G$74,(Setup!$O$74+J$1)*Setup!$N$74))+$A51/1000)))</f>
        <v/>
      </c>
      <c r="K51">
        <f>IF(OR(Setup!$E$74="",Setup!$G$74="",Setup!$F$74=""),"",IF(AND(Setup!$F$74="Once",K$1&gt;0),"",IF(OR(IF(Setup!$M$74&gt;0,Setup!$G$74+(Setup!$O$74+K$1)*Setup!$M$74,EDATE(Setup!$G$74,(Setup!$O$74+K$1)*Setup!$N$74))&gt;Setup!$P$74,IF(Setup!$M$74&gt;0,Setup!$G$74+(Setup!$O$74+K$1)*Setup!$M$74,EDATE(Setup!$G$74,(Setup!$O$74+K$1)*Setup!$N$74))&lt;Setup!$D$5),"",IF(Setup!$M$74&gt;0,Setup!$G$74+(Setup!$O$74+K$1)*Setup!$M$74,EDATE(Setup!$G$74,(Setup!$O$74+K$1)*Setup!$N$74))+$A51/1000)))</f>
        <v/>
      </c>
      <c r="L51">
        <f>IF(OR(Setup!$E$74="",Setup!$G$74="",Setup!$F$74=""),"",IF(AND(Setup!$F$74="Once",L$1&gt;0),"",IF(OR(IF(Setup!$M$74&gt;0,Setup!$G$74+(Setup!$O$74+L$1)*Setup!$M$74,EDATE(Setup!$G$74,(Setup!$O$74+L$1)*Setup!$N$74))&gt;Setup!$P$74,IF(Setup!$M$74&gt;0,Setup!$G$74+(Setup!$O$74+L$1)*Setup!$M$74,EDATE(Setup!$G$74,(Setup!$O$74+L$1)*Setup!$N$74))&lt;Setup!$D$5),"",IF(Setup!$M$74&gt;0,Setup!$G$74+(Setup!$O$74+L$1)*Setup!$M$74,EDATE(Setup!$G$74,(Setup!$O$74+L$1)*Setup!$N$74))+$A51/1000)))</f>
        <v/>
      </c>
      <c r="M51">
        <f>IF(OR(Setup!$E$74="",Setup!$G$74="",Setup!$F$74=""),"",IF(AND(Setup!$F$74="Once",M$1&gt;0),"",IF(OR(IF(Setup!$M$74&gt;0,Setup!$G$74+(Setup!$O$74+M$1)*Setup!$M$74,EDATE(Setup!$G$74,(Setup!$O$74+M$1)*Setup!$N$74))&gt;Setup!$P$74,IF(Setup!$M$74&gt;0,Setup!$G$74+(Setup!$O$74+M$1)*Setup!$M$74,EDATE(Setup!$G$74,(Setup!$O$74+M$1)*Setup!$N$74))&lt;Setup!$D$5),"",IF(Setup!$M$74&gt;0,Setup!$G$74+(Setup!$O$74+M$1)*Setup!$M$74,EDATE(Setup!$G$74,(Setup!$O$74+M$1)*Setup!$N$74))+$A51/1000)))</f>
        <v/>
      </c>
      <c r="N51">
        <f>IF(OR(Setup!$E$74="",Setup!$G$74="",Setup!$F$74=""),"",IF(AND(Setup!$F$74="Once",N$1&gt;0),"",IF(OR(IF(Setup!$M$74&gt;0,Setup!$G$74+(Setup!$O$74+N$1)*Setup!$M$74,EDATE(Setup!$G$74,(Setup!$O$74+N$1)*Setup!$N$74))&gt;Setup!$P$74,IF(Setup!$M$74&gt;0,Setup!$G$74+(Setup!$O$74+N$1)*Setup!$M$74,EDATE(Setup!$G$74,(Setup!$O$74+N$1)*Setup!$N$74))&lt;Setup!$D$5),"",IF(Setup!$M$74&gt;0,Setup!$G$74+(Setup!$O$74+N$1)*Setup!$M$74,EDATE(Setup!$G$74,(Setup!$O$74+N$1)*Setup!$N$74))+$A51/1000)))</f>
        <v/>
      </c>
      <c r="O51">
        <f>IF(OR(Setup!$E$74="",Setup!$G$74="",Setup!$F$74=""),"",IF(AND(Setup!$F$74="Once",O$1&gt;0),"",IF(OR(IF(Setup!$M$74&gt;0,Setup!$G$74+(Setup!$O$74+O$1)*Setup!$M$74,EDATE(Setup!$G$74,(Setup!$O$74+O$1)*Setup!$N$74))&gt;Setup!$P$74,IF(Setup!$M$74&gt;0,Setup!$G$74+(Setup!$O$74+O$1)*Setup!$M$74,EDATE(Setup!$G$74,(Setup!$O$74+O$1)*Setup!$N$74))&lt;Setup!$D$5),"",IF(Setup!$M$74&gt;0,Setup!$G$74+(Setup!$O$74+O$1)*Setup!$M$74,EDATE(Setup!$G$74,(Setup!$O$74+O$1)*Setup!$N$74))+$A51/1000)))</f>
        <v/>
      </c>
      <c r="P51">
        <f>IF(OR(Setup!$E$74="",Setup!$G$74="",Setup!$F$74=""),"",IF(AND(Setup!$F$74="Once",P$1&gt;0),"",IF(OR(IF(Setup!$M$74&gt;0,Setup!$G$74+(Setup!$O$74+P$1)*Setup!$M$74,EDATE(Setup!$G$74,(Setup!$O$74+P$1)*Setup!$N$74))&gt;Setup!$P$74,IF(Setup!$M$74&gt;0,Setup!$G$74+(Setup!$O$74+P$1)*Setup!$M$74,EDATE(Setup!$G$74,(Setup!$O$74+P$1)*Setup!$N$74))&lt;Setup!$D$5),"",IF(Setup!$M$74&gt;0,Setup!$G$74+(Setup!$O$74+P$1)*Setup!$M$74,EDATE(Setup!$G$74,(Setup!$O$74+P$1)*Setup!$N$74))+$A51/1000)))</f>
        <v/>
      </c>
      <c r="Q51">
        <f>IF(OR(Setup!$E$74="",Setup!$G$74="",Setup!$F$74=""),"",IF(AND(Setup!$F$74="Once",Q$1&gt;0),"",IF(OR(IF(Setup!$M$74&gt;0,Setup!$G$74+(Setup!$O$74+Q$1)*Setup!$M$74,EDATE(Setup!$G$74,(Setup!$O$74+Q$1)*Setup!$N$74))&gt;Setup!$P$74,IF(Setup!$M$74&gt;0,Setup!$G$74+(Setup!$O$74+Q$1)*Setup!$M$74,EDATE(Setup!$G$74,(Setup!$O$74+Q$1)*Setup!$N$74))&lt;Setup!$D$5),"",IF(Setup!$M$74&gt;0,Setup!$G$74+(Setup!$O$74+Q$1)*Setup!$M$74,EDATE(Setup!$G$74,(Setup!$O$74+Q$1)*Setup!$N$74))+$A51/1000)))</f>
        <v/>
      </c>
      <c r="R51">
        <f>IF(OR(Setup!$E$74="",Setup!$G$74="",Setup!$F$74=""),"",IF(AND(Setup!$F$74="Once",R$1&gt;0),"",IF(OR(IF(Setup!$M$74&gt;0,Setup!$G$74+(Setup!$O$74+R$1)*Setup!$M$74,EDATE(Setup!$G$74,(Setup!$O$74+R$1)*Setup!$N$74))&gt;Setup!$P$74,IF(Setup!$M$74&gt;0,Setup!$G$74+(Setup!$O$74+R$1)*Setup!$M$74,EDATE(Setup!$G$74,(Setup!$O$74+R$1)*Setup!$N$74))&lt;Setup!$D$5),"",IF(Setup!$M$74&gt;0,Setup!$G$74+(Setup!$O$74+R$1)*Setup!$M$74,EDATE(Setup!$G$74,(Setup!$O$74+R$1)*Setup!$N$74))+$A51/1000)))</f>
        <v/>
      </c>
      <c r="S51">
        <f>IF(OR(Setup!$E$74="",Setup!$G$74="",Setup!$F$74=""),"",IF(AND(Setup!$F$74="Once",S$1&gt;0),"",IF(OR(IF(Setup!$M$74&gt;0,Setup!$G$74+(Setup!$O$74+S$1)*Setup!$M$74,EDATE(Setup!$G$74,(Setup!$O$74+S$1)*Setup!$N$74))&gt;Setup!$P$74,IF(Setup!$M$74&gt;0,Setup!$G$74+(Setup!$O$74+S$1)*Setup!$M$74,EDATE(Setup!$G$74,(Setup!$O$74+S$1)*Setup!$N$74))&lt;Setup!$D$5),"",IF(Setup!$M$74&gt;0,Setup!$G$74+(Setup!$O$74+S$1)*Setup!$M$74,EDATE(Setup!$G$74,(Setup!$O$74+S$1)*Setup!$N$74))+$A51/1000)))</f>
        <v/>
      </c>
      <c r="T51">
        <f>IF(OR(Setup!$E$74="",Setup!$G$74="",Setup!$F$74=""),"",IF(AND(Setup!$F$74="Once",T$1&gt;0),"",IF(OR(IF(Setup!$M$74&gt;0,Setup!$G$74+(Setup!$O$74+T$1)*Setup!$M$74,EDATE(Setup!$G$74,(Setup!$O$74+T$1)*Setup!$N$74))&gt;Setup!$P$74,IF(Setup!$M$74&gt;0,Setup!$G$74+(Setup!$O$74+T$1)*Setup!$M$74,EDATE(Setup!$G$74,(Setup!$O$74+T$1)*Setup!$N$74))&lt;Setup!$D$5),"",IF(Setup!$M$74&gt;0,Setup!$G$74+(Setup!$O$74+T$1)*Setup!$M$74,EDATE(Setup!$G$74,(Setup!$O$74+T$1)*Setup!$N$74))+$A51/1000)))</f>
        <v/>
      </c>
      <c r="U51">
        <f>IF(OR(Setup!$E$74="",Setup!$G$74="",Setup!$F$74=""),"",IF(AND(Setup!$F$74="Once",U$1&gt;0),"",IF(OR(IF(Setup!$M$74&gt;0,Setup!$G$74+(Setup!$O$74+U$1)*Setup!$M$74,EDATE(Setup!$G$74,(Setup!$O$74+U$1)*Setup!$N$74))&gt;Setup!$P$74,IF(Setup!$M$74&gt;0,Setup!$G$74+(Setup!$O$74+U$1)*Setup!$M$74,EDATE(Setup!$G$74,(Setup!$O$74+U$1)*Setup!$N$74))&lt;Setup!$D$5),"",IF(Setup!$M$74&gt;0,Setup!$G$74+(Setup!$O$74+U$1)*Setup!$M$74,EDATE(Setup!$G$74,(Setup!$O$74+U$1)*Setup!$N$74))+$A51/1000)))</f>
        <v/>
      </c>
      <c r="V51">
        <f>IF(OR(Setup!$E$74="",Setup!$G$74="",Setup!$F$74=""),"",IF(AND(Setup!$F$74="Once",V$1&gt;0),"",IF(OR(IF(Setup!$M$74&gt;0,Setup!$G$74+(Setup!$O$74+V$1)*Setup!$M$74,EDATE(Setup!$G$74,(Setup!$O$74+V$1)*Setup!$N$74))&gt;Setup!$P$74,IF(Setup!$M$74&gt;0,Setup!$G$74+(Setup!$O$74+V$1)*Setup!$M$74,EDATE(Setup!$G$74,(Setup!$O$74+V$1)*Setup!$N$74))&lt;Setup!$D$5),"",IF(Setup!$M$74&gt;0,Setup!$G$74+(Setup!$O$74+V$1)*Setup!$M$74,EDATE(Setup!$G$74,(Setup!$O$74+V$1)*Setup!$N$74))+$A51/1000)))</f>
        <v/>
      </c>
      <c r="W51">
        <f>IF(OR(Setup!$E$74="",Setup!$G$74="",Setup!$F$74=""),"",IF(AND(Setup!$F$74="Once",W$1&gt;0),"",IF(OR(IF(Setup!$M$74&gt;0,Setup!$G$74+(Setup!$O$74+W$1)*Setup!$M$74,EDATE(Setup!$G$74,(Setup!$O$74+W$1)*Setup!$N$74))&gt;Setup!$P$74,IF(Setup!$M$74&gt;0,Setup!$G$74+(Setup!$O$74+W$1)*Setup!$M$74,EDATE(Setup!$G$74,(Setup!$O$74+W$1)*Setup!$N$74))&lt;Setup!$D$5),"",IF(Setup!$M$74&gt;0,Setup!$G$74+(Setup!$O$74+W$1)*Setup!$M$74,EDATE(Setup!$G$74,(Setup!$O$74+W$1)*Setup!$N$74))+$A51/1000)))</f>
        <v/>
      </c>
      <c r="X51">
        <f>IF(OR(Setup!$E$74="",Setup!$G$74="",Setup!$F$74=""),"",IF(AND(Setup!$F$74="Once",X$1&gt;0),"",IF(OR(IF(Setup!$M$74&gt;0,Setup!$G$74+(Setup!$O$74+X$1)*Setup!$M$74,EDATE(Setup!$G$74,(Setup!$O$74+X$1)*Setup!$N$74))&gt;Setup!$P$74,IF(Setup!$M$74&gt;0,Setup!$G$74+(Setup!$O$74+X$1)*Setup!$M$74,EDATE(Setup!$G$74,(Setup!$O$74+X$1)*Setup!$N$74))&lt;Setup!$D$5),"",IF(Setup!$M$74&gt;0,Setup!$G$74+(Setup!$O$74+X$1)*Setup!$M$74,EDATE(Setup!$G$74,(Setup!$O$74+X$1)*Setup!$N$74))+$A51/1000)))</f>
        <v/>
      </c>
      <c r="Y51">
        <f>IF(OR(Setup!$E$74="",Setup!$G$74="",Setup!$F$74=""),"",IF(AND(Setup!$F$74="Once",Y$1&gt;0),"",IF(OR(IF(Setup!$M$74&gt;0,Setup!$G$74+(Setup!$O$74+Y$1)*Setup!$M$74,EDATE(Setup!$G$74,(Setup!$O$74+Y$1)*Setup!$N$74))&gt;Setup!$P$74,IF(Setup!$M$74&gt;0,Setup!$G$74+(Setup!$O$74+Y$1)*Setup!$M$74,EDATE(Setup!$G$74,(Setup!$O$74+Y$1)*Setup!$N$74))&lt;Setup!$D$5),"",IF(Setup!$M$74&gt;0,Setup!$G$74+(Setup!$O$74+Y$1)*Setup!$M$74,EDATE(Setup!$G$74,(Setup!$O$74+Y$1)*Setup!$N$74))+$A51/1000)))</f>
        <v/>
      </c>
      <c r="Z51">
        <f>IF(OR(Setup!$E$74="",Setup!$G$74="",Setup!$F$74=""),"",IF(AND(Setup!$F$74="Once",Z$1&gt;0),"",IF(OR(IF(Setup!$M$74&gt;0,Setup!$G$74+(Setup!$O$74+Z$1)*Setup!$M$74,EDATE(Setup!$G$74,(Setup!$O$74+Z$1)*Setup!$N$74))&gt;Setup!$P$74,IF(Setup!$M$74&gt;0,Setup!$G$74+(Setup!$O$74+Z$1)*Setup!$M$74,EDATE(Setup!$G$74,(Setup!$O$74+Z$1)*Setup!$N$74))&lt;Setup!$D$5),"",IF(Setup!$M$74&gt;0,Setup!$G$74+(Setup!$O$74+Z$1)*Setup!$M$74,EDATE(Setup!$G$74,(Setup!$O$74+Z$1)*Setup!$N$74))+$A51/1000)))</f>
        <v/>
      </c>
      <c r="AA51">
        <f>IF(OR(Setup!$E$74="",Setup!$G$74="",Setup!$F$74=""),"",IF(AND(Setup!$F$74="Once",AA$1&gt;0),"",IF(OR(IF(Setup!$M$74&gt;0,Setup!$G$74+(Setup!$O$74+AA$1)*Setup!$M$74,EDATE(Setup!$G$74,(Setup!$O$74+AA$1)*Setup!$N$74))&gt;Setup!$P$74,IF(Setup!$M$74&gt;0,Setup!$G$74+(Setup!$O$74+AA$1)*Setup!$M$74,EDATE(Setup!$G$74,(Setup!$O$74+AA$1)*Setup!$N$74))&lt;Setup!$D$5),"",IF(Setup!$M$74&gt;0,Setup!$G$74+(Setup!$O$74+AA$1)*Setup!$M$74,EDATE(Setup!$G$74,(Setup!$O$74+AA$1)*Setup!$N$74))+$A51/1000)))</f>
        <v/>
      </c>
      <c r="AB51">
        <f>IF(OR(Setup!$E$74="",Setup!$G$74="",Setup!$F$74=""),"",IF(AND(Setup!$F$74="Once",AB$1&gt;0),"",IF(OR(IF(Setup!$M$74&gt;0,Setup!$G$74+(Setup!$O$74+AB$1)*Setup!$M$74,EDATE(Setup!$G$74,(Setup!$O$74+AB$1)*Setup!$N$74))&gt;Setup!$P$74,IF(Setup!$M$74&gt;0,Setup!$G$74+(Setup!$O$74+AB$1)*Setup!$M$74,EDATE(Setup!$G$74,(Setup!$O$74+AB$1)*Setup!$N$74))&lt;Setup!$D$5),"",IF(Setup!$M$74&gt;0,Setup!$G$74+(Setup!$O$74+AB$1)*Setup!$M$74,EDATE(Setup!$G$74,(Setup!$O$74+AB$1)*Setup!$N$74))+$A51/1000)))</f>
        <v/>
      </c>
      <c r="AC51">
        <f>IF(OR(Setup!$E$74="",Setup!$G$74="",Setup!$F$74=""),"",IF(AND(Setup!$F$74="Once",AC$1&gt;0),"",IF(OR(IF(Setup!$M$74&gt;0,Setup!$G$74+(Setup!$O$74+AC$1)*Setup!$M$74,EDATE(Setup!$G$74,(Setup!$O$74+AC$1)*Setup!$N$74))&gt;Setup!$P$74,IF(Setup!$M$74&gt;0,Setup!$G$74+(Setup!$O$74+AC$1)*Setup!$M$74,EDATE(Setup!$G$74,(Setup!$O$74+AC$1)*Setup!$N$74))&lt;Setup!$D$5),"",IF(Setup!$M$74&gt;0,Setup!$G$74+(Setup!$O$74+AC$1)*Setup!$M$74,EDATE(Setup!$G$74,(Setup!$O$74+AC$1)*Setup!$N$74))+$A51/1000)))</f>
        <v/>
      </c>
      <c r="AD51">
        <f>IF(OR(Setup!$E$74="",Setup!$G$74="",Setup!$F$74=""),"",IF(AND(Setup!$F$74="Once",AD$1&gt;0),"",IF(OR(IF(Setup!$M$74&gt;0,Setup!$G$74+(Setup!$O$74+AD$1)*Setup!$M$74,EDATE(Setup!$G$74,(Setup!$O$74+AD$1)*Setup!$N$74))&gt;Setup!$P$74,IF(Setup!$M$74&gt;0,Setup!$G$74+(Setup!$O$74+AD$1)*Setup!$M$74,EDATE(Setup!$G$74,(Setup!$O$74+AD$1)*Setup!$N$74))&lt;Setup!$D$5),"",IF(Setup!$M$74&gt;0,Setup!$G$74+(Setup!$O$74+AD$1)*Setup!$M$74,EDATE(Setup!$G$74,(Setup!$O$74+AD$1)*Setup!$N$74))+$A51/1000)))</f>
        <v/>
      </c>
      <c r="AE51">
        <f>IF(OR(Setup!$E$74="",Setup!$G$74="",Setup!$F$74=""),"",IF(AND(Setup!$F$74="Once",AE$1&gt;0),"",IF(OR(IF(Setup!$M$74&gt;0,Setup!$G$74+(Setup!$O$74+AE$1)*Setup!$M$74,EDATE(Setup!$G$74,(Setup!$O$74+AE$1)*Setup!$N$74))&gt;Setup!$P$74,IF(Setup!$M$74&gt;0,Setup!$G$74+(Setup!$O$74+AE$1)*Setup!$M$74,EDATE(Setup!$G$74,(Setup!$O$74+AE$1)*Setup!$N$74))&lt;Setup!$D$5),"",IF(Setup!$M$74&gt;0,Setup!$G$74+(Setup!$O$74+AE$1)*Setup!$M$74,EDATE(Setup!$G$74,(Setup!$O$74+AE$1)*Setup!$N$74))+$A51/1000)))</f>
        <v/>
      </c>
      <c r="AF51">
        <f>IF(OR(Setup!$E$74="",Setup!$G$74="",Setup!$F$74=""),"",IF(AND(Setup!$F$74="Once",AF$1&gt;0),"",IF(OR(IF(Setup!$M$74&gt;0,Setup!$G$74+(Setup!$O$74+AF$1)*Setup!$M$74,EDATE(Setup!$G$74,(Setup!$O$74+AF$1)*Setup!$N$74))&gt;Setup!$P$74,IF(Setup!$M$74&gt;0,Setup!$G$74+(Setup!$O$74+AF$1)*Setup!$M$74,EDATE(Setup!$G$74,(Setup!$O$74+AF$1)*Setup!$N$74))&lt;Setup!$D$5),"",IF(Setup!$M$74&gt;0,Setup!$G$74+(Setup!$O$74+AF$1)*Setup!$M$74,EDATE(Setup!$G$74,(Setup!$O$74+AF$1)*Setup!$N$74))+$A51/1000)))</f>
        <v/>
      </c>
      <c r="AG51">
        <f>IF(OR(Setup!$E$74="",Setup!$G$74="",Setup!$F$74=""),"",IF(AND(Setup!$F$74="Once",AG$1&gt;0),"",IF(OR(IF(Setup!$M$74&gt;0,Setup!$G$74+(Setup!$O$74+AG$1)*Setup!$M$74,EDATE(Setup!$G$74,(Setup!$O$74+AG$1)*Setup!$N$74))&gt;Setup!$P$74,IF(Setup!$M$74&gt;0,Setup!$G$74+(Setup!$O$74+AG$1)*Setup!$M$74,EDATE(Setup!$G$74,(Setup!$O$74+AG$1)*Setup!$N$74))&lt;Setup!$D$5),"",IF(Setup!$M$74&gt;0,Setup!$G$74+(Setup!$O$74+AG$1)*Setup!$M$74,EDATE(Setup!$G$74,(Setup!$O$74+AG$1)*Setup!$N$74))+$A51/1000)))</f>
        <v/>
      </c>
      <c r="AH51">
        <f>IF(OR(Setup!$E$74="",Setup!$G$74="",Setup!$F$74=""),"",IF(AND(Setup!$F$74="Once",AH$1&gt;0),"",IF(OR(IF(Setup!$M$74&gt;0,Setup!$G$74+(Setup!$O$74+AH$1)*Setup!$M$74,EDATE(Setup!$G$74,(Setup!$O$74+AH$1)*Setup!$N$74))&gt;Setup!$P$74,IF(Setup!$M$74&gt;0,Setup!$G$74+(Setup!$O$74+AH$1)*Setup!$M$74,EDATE(Setup!$G$74,(Setup!$O$74+AH$1)*Setup!$N$74))&lt;Setup!$D$5),"",IF(Setup!$M$74&gt;0,Setup!$G$74+(Setup!$O$74+AH$1)*Setup!$M$74,EDATE(Setup!$G$74,(Setup!$O$74+AH$1)*Setup!$N$74))+$A51/1000)))</f>
        <v/>
      </c>
      <c r="AI51">
        <f>IF(OR(Setup!$E$74="",Setup!$G$74="",Setup!$F$74=""),"",IF(AND(Setup!$F$74="Once",AI$1&gt;0),"",IF(OR(IF(Setup!$M$74&gt;0,Setup!$G$74+(Setup!$O$74+AI$1)*Setup!$M$74,EDATE(Setup!$G$74,(Setup!$O$74+AI$1)*Setup!$N$74))&gt;Setup!$P$74,IF(Setup!$M$74&gt;0,Setup!$G$74+(Setup!$O$74+AI$1)*Setup!$M$74,EDATE(Setup!$G$74,(Setup!$O$74+AI$1)*Setup!$N$74))&lt;Setup!$D$5),"",IF(Setup!$M$74&gt;0,Setup!$G$74+(Setup!$O$74+AI$1)*Setup!$M$74,EDATE(Setup!$G$74,(Setup!$O$74+AI$1)*Setup!$N$74))+$A51/1000)))</f>
        <v/>
      </c>
      <c r="AJ51">
        <f>IF(OR(Setup!$E$74="",Setup!$G$74="",Setup!$F$74=""),"",IF(AND(Setup!$F$74="Once",AJ$1&gt;0),"",IF(OR(IF(Setup!$M$74&gt;0,Setup!$G$74+(Setup!$O$74+AJ$1)*Setup!$M$74,EDATE(Setup!$G$74,(Setup!$O$74+AJ$1)*Setup!$N$74))&gt;Setup!$P$74,IF(Setup!$M$74&gt;0,Setup!$G$74+(Setup!$O$74+AJ$1)*Setup!$M$74,EDATE(Setup!$G$74,(Setup!$O$74+AJ$1)*Setup!$N$74))&lt;Setup!$D$5),"",IF(Setup!$M$74&gt;0,Setup!$G$74+(Setup!$O$74+AJ$1)*Setup!$M$74,EDATE(Setup!$G$74,(Setup!$O$74+AJ$1)*Setup!$N$74))+$A51/1000)))</f>
        <v/>
      </c>
      <c r="AK51">
        <f>IF(OR(Setup!$E$74="",Setup!$G$74="",Setup!$F$74=""),"",IF(AND(Setup!$F$74="Once",AK$1&gt;0),"",IF(OR(IF(Setup!$M$74&gt;0,Setup!$G$74+(Setup!$O$74+AK$1)*Setup!$M$74,EDATE(Setup!$G$74,(Setup!$O$74+AK$1)*Setup!$N$74))&gt;Setup!$P$74,IF(Setup!$M$74&gt;0,Setup!$G$74+(Setup!$O$74+AK$1)*Setup!$M$74,EDATE(Setup!$G$74,(Setup!$O$74+AK$1)*Setup!$N$74))&lt;Setup!$D$5),"",IF(Setup!$M$74&gt;0,Setup!$G$74+(Setup!$O$74+AK$1)*Setup!$M$74,EDATE(Setup!$G$74,(Setup!$O$74+AK$1)*Setup!$N$74))+$A51/1000)))</f>
        <v/>
      </c>
      <c r="AL51">
        <f>IF(OR(Setup!$E$74="",Setup!$G$74="",Setup!$F$74=""),"",IF(AND(Setup!$F$74="Once",AL$1&gt;0),"",IF(OR(IF(Setup!$M$74&gt;0,Setup!$G$74+(Setup!$O$74+AL$1)*Setup!$M$74,EDATE(Setup!$G$74,(Setup!$O$74+AL$1)*Setup!$N$74))&gt;Setup!$P$74,IF(Setup!$M$74&gt;0,Setup!$G$74+(Setup!$O$74+AL$1)*Setup!$M$74,EDATE(Setup!$G$74,(Setup!$O$74+AL$1)*Setup!$N$74))&lt;Setup!$D$5),"",IF(Setup!$M$74&gt;0,Setup!$G$74+(Setup!$O$74+AL$1)*Setup!$M$74,EDATE(Setup!$G$74,(Setup!$O$74+AL$1)*Setup!$N$74))+$A51/1000)))</f>
        <v/>
      </c>
      <c r="AM51">
        <f>IF(OR(Setup!$E$74="",Setup!$G$74="",Setup!$F$74=""),"",IF(AND(Setup!$F$74="Once",AM$1&gt;0),"",IF(OR(IF(Setup!$M$74&gt;0,Setup!$G$74+(Setup!$O$74+AM$1)*Setup!$M$74,EDATE(Setup!$G$74,(Setup!$O$74+AM$1)*Setup!$N$74))&gt;Setup!$P$74,IF(Setup!$M$74&gt;0,Setup!$G$74+(Setup!$O$74+AM$1)*Setup!$M$74,EDATE(Setup!$G$74,(Setup!$O$74+AM$1)*Setup!$N$74))&lt;Setup!$D$5),"",IF(Setup!$M$74&gt;0,Setup!$G$74+(Setup!$O$74+AM$1)*Setup!$M$74,EDATE(Setup!$G$74,(Setup!$O$74+AM$1)*Setup!$N$74))+$A51/1000)))</f>
        <v/>
      </c>
      <c r="AN51">
        <f>IF(OR(Setup!$E$74="",Setup!$G$74="",Setup!$F$74=""),"",IF(AND(Setup!$F$74="Once",AN$1&gt;0),"",IF(OR(IF(Setup!$M$74&gt;0,Setup!$G$74+(Setup!$O$74+AN$1)*Setup!$M$74,EDATE(Setup!$G$74,(Setup!$O$74+AN$1)*Setup!$N$74))&gt;Setup!$P$74,IF(Setup!$M$74&gt;0,Setup!$G$74+(Setup!$O$74+AN$1)*Setup!$M$74,EDATE(Setup!$G$74,(Setup!$O$74+AN$1)*Setup!$N$74))&lt;Setup!$D$5),"",IF(Setup!$M$74&gt;0,Setup!$G$74+(Setup!$O$74+AN$1)*Setup!$M$74,EDATE(Setup!$G$74,(Setup!$O$74+AN$1)*Setup!$N$74))+$A51/1000)))</f>
        <v/>
      </c>
      <c r="AO51">
        <f>IF(OR(Setup!$E$74="",Setup!$G$74="",Setup!$F$74=""),"",IF(AND(Setup!$F$74="Once",AO$1&gt;0),"",IF(OR(IF(Setup!$M$74&gt;0,Setup!$G$74+(Setup!$O$74+AO$1)*Setup!$M$74,EDATE(Setup!$G$74,(Setup!$O$74+AO$1)*Setup!$N$74))&gt;Setup!$P$74,IF(Setup!$M$74&gt;0,Setup!$G$74+(Setup!$O$74+AO$1)*Setup!$M$74,EDATE(Setup!$G$74,(Setup!$O$74+AO$1)*Setup!$N$74))&lt;Setup!$D$5),"",IF(Setup!$M$74&gt;0,Setup!$G$74+(Setup!$O$74+AO$1)*Setup!$M$74,EDATE(Setup!$G$74,(Setup!$O$74+AO$1)*Setup!$N$74))+$A51/1000)))</f>
        <v/>
      </c>
      <c r="AP51">
        <f>IF(OR(Setup!$E$74="",Setup!$G$74="",Setup!$F$74=""),"",IF(AND(Setup!$F$74="Once",AP$1&gt;0),"",IF(OR(IF(Setup!$M$74&gt;0,Setup!$G$74+(Setup!$O$74+AP$1)*Setup!$M$74,EDATE(Setup!$G$74,(Setup!$O$74+AP$1)*Setup!$N$74))&gt;Setup!$P$74,IF(Setup!$M$74&gt;0,Setup!$G$74+(Setup!$O$74+AP$1)*Setup!$M$74,EDATE(Setup!$G$74,(Setup!$O$74+AP$1)*Setup!$N$74))&lt;Setup!$D$5),"",IF(Setup!$M$74&gt;0,Setup!$G$74+(Setup!$O$74+AP$1)*Setup!$M$74,EDATE(Setup!$G$74,(Setup!$O$74+AP$1)*Setup!$N$74))+$A51/1000)))</f>
        <v/>
      </c>
      <c r="AQ51">
        <f>IF(OR(Setup!$E$74="",Setup!$G$74="",Setup!$F$74=""),"",IF(AND(Setup!$F$74="Once",AQ$1&gt;0),"",IF(OR(IF(Setup!$M$74&gt;0,Setup!$G$74+(Setup!$O$74+AQ$1)*Setup!$M$74,EDATE(Setup!$G$74,(Setup!$O$74+AQ$1)*Setup!$N$74))&gt;Setup!$P$74,IF(Setup!$M$74&gt;0,Setup!$G$74+(Setup!$O$74+AQ$1)*Setup!$M$74,EDATE(Setup!$G$74,(Setup!$O$74+AQ$1)*Setup!$N$74))&lt;Setup!$D$5),"",IF(Setup!$M$74&gt;0,Setup!$G$74+(Setup!$O$74+AQ$1)*Setup!$M$74,EDATE(Setup!$G$74,(Setup!$O$74+AQ$1)*Setup!$N$74))+$A51/1000)))</f>
        <v/>
      </c>
      <c r="AR51">
        <f>IF(OR(Setup!$E$74="",Setup!$G$74="",Setup!$F$74=""),"",IF(AND(Setup!$F$74="Once",AR$1&gt;0),"",IF(OR(IF(Setup!$M$74&gt;0,Setup!$G$74+(Setup!$O$74+AR$1)*Setup!$M$74,EDATE(Setup!$G$74,(Setup!$O$74+AR$1)*Setup!$N$74))&gt;Setup!$P$74,IF(Setup!$M$74&gt;0,Setup!$G$74+(Setup!$O$74+AR$1)*Setup!$M$74,EDATE(Setup!$G$74,(Setup!$O$74+AR$1)*Setup!$N$74))&lt;Setup!$D$5),"",IF(Setup!$M$74&gt;0,Setup!$G$74+(Setup!$O$74+AR$1)*Setup!$M$74,EDATE(Setup!$G$74,(Setup!$O$74+AR$1)*Setup!$N$74))+$A51/1000)))</f>
        <v/>
      </c>
      <c r="AS51">
        <f>IF(OR(Setup!$E$74="",Setup!$G$74="",Setup!$F$74=""),"",IF(AND(Setup!$F$74="Once",AS$1&gt;0),"",IF(OR(IF(Setup!$M$74&gt;0,Setup!$G$74+(Setup!$O$74+AS$1)*Setup!$M$74,EDATE(Setup!$G$74,(Setup!$O$74+AS$1)*Setup!$N$74))&gt;Setup!$P$74,IF(Setup!$M$74&gt;0,Setup!$G$74+(Setup!$O$74+AS$1)*Setup!$M$74,EDATE(Setup!$G$74,(Setup!$O$74+AS$1)*Setup!$N$74))&lt;Setup!$D$5),"",IF(Setup!$M$74&gt;0,Setup!$G$74+(Setup!$O$74+AS$1)*Setup!$M$74,EDATE(Setup!$G$74,(Setup!$O$74+AS$1)*Setup!$N$74))+$A51/1000)))</f>
        <v/>
      </c>
      <c r="AT51">
        <f>IF(OR(Setup!$E$74="",Setup!$G$74="",Setup!$F$74=""),"",IF(AND(Setup!$F$74="Once",AT$1&gt;0),"",IF(OR(IF(Setup!$M$74&gt;0,Setup!$G$74+(Setup!$O$74+AT$1)*Setup!$M$74,EDATE(Setup!$G$74,(Setup!$O$74+AT$1)*Setup!$N$74))&gt;Setup!$P$74,IF(Setup!$M$74&gt;0,Setup!$G$74+(Setup!$O$74+AT$1)*Setup!$M$74,EDATE(Setup!$G$74,(Setup!$O$74+AT$1)*Setup!$N$74))&lt;Setup!$D$5),"",IF(Setup!$M$74&gt;0,Setup!$G$74+(Setup!$O$74+AT$1)*Setup!$M$74,EDATE(Setup!$G$74,(Setup!$O$74+AT$1)*Setup!$N$74))+$A51/1000)))</f>
        <v/>
      </c>
      <c r="AU51">
        <f>IF(OR(Setup!$E$74="",Setup!$G$74="",Setup!$F$74=""),"",IF(AND(Setup!$F$74="Once",AU$1&gt;0),"",IF(OR(IF(Setup!$M$74&gt;0,Setup!$G$74+(Setup!$O$74+AU$1)*Setup!$M$74,EDATE(Setup!$G$74,(Setup!$O$74+AU$1)*Setup!$N$74))&gt;Setup!$P$74,IF(Setup!$M$74&gt;0,Setup!$G$74+(Setup!$O$74+AU$1)*Setup!$M$74,EDATE(Setup!$G$74,(Setup!$O$74+AU$1)*Setup!$N$74))&lt;Setup!$D$5),"",IF(Setup!$M$74&gt;0,Setup!$G$74+(Setup!$O$74+AU$1)*Setup!$M$74,EDATE(Setup!$G$74,(Setup!$O$74+AU$1)*Setup!$N$74))+$A51/1000)))</f>
        <v/>
      </c>
      <c r="AV51">
        <f>IF(OR(Setup!$E$74="",Setup!$G$74="",Setup!$F$74=""),"",IF(AND(Setup!$F$74="Once",AV$1&gt;0),"",IF(OR(IF(Setup!$M$74&gt;0,Setup!$G$74+(Setup!$O$74+AV$1)*Setup!$M$74,EDATE(Setup!$G$74,(Setup!$O$74+AV$1)*Setup!$N$74))&gt;Setup!$P$74,IF(Setup!$M$74&gt;0,Setup!$G$74+(Setup!$O$74+AV$1)*Setup!$M$74,EDATE(Setup!$G$74,(Setup!$O$74+AV$1)*Setup!$N$74))&lt;Setup!$D$5),"",IF(Setup!$M$74&gt;0,Setup!$G$74+(Setup!$O$74+AV$1)*Setup!$M$74,EDATE(Setup!$G$74,(Setup!$O$74+AV$1)*Setup!$N$74))+$A51/1000)))</f>
        <v/>
      </c>
      <c r="AW51">
        <f>IF(OR(Setup!$E$74="",Setup!$G$74="",Setup!$F$74=""),"",IF(AND(Setup!$F$74="Once",AW$1&gt;0),"",IF(OR(IF(Setup!$M$74&gt;0,Setup!$G$74+(Setup!$O$74+AW$1)*Setup!$M$74,EDATE(Setup!$G$74,(Setup!$O$74+AW$1)*Setup!$N$74))&gt;Setup!$P$74,IF(Setup!$M$74&gt;0,Setup!$G$74+(Setup!$O$74+AW$1)*Setup!$M$74,EDATE(Setup!$G$74,(Setup!$O$74+AW$1)*Setup!$N$74))&lt;Setup!$D$5),"",IF(Setup!$M$74&gt;0,Setup!$G$74+(Setup!$O$74+AW$1)*Setup!$M$74,EDATE(Setup!$G$74,(Setup!$O$74+AW$1)*Setup!$N$74))+$A51/1000)))</f>
        <v/>
      </c>
      <c r="AX51">
        <f>IF(OR(Setup!$E$74="",Setup!$G$74="",Setup!$F$74=""),"",IF(AND(Setup!$F$74="Once",AX$1&gt;0),"",IF(OR(IF(Setup!$M$74&gt;0,Setup!$G$74+(Setup!$O$74+AX$1)*Setup!$M$74,EDATE(Setup!$G$74,(Setup!$O$74+AX$1)*Setup!$N$74))&gt;Setup!$P$74,IF(Setup!$M$74&gt;0,Setup!$G$74+(Setup!$O$74+AX$1)*Setup!$M$74,EDATE(Setup!$G$74,(Setup!$O$74+AX$1)*Setup!$N$74))&lt;Setup!$D$5),"",IF(Setup!$M$74&gt;0,Setup!$G$74+(Setup!$O$74+AX$1)*Setup!$M$74,EDATE(Setup!$G$74,(Setup!$O$74+AX$1)*Setup!$N$74))+$A51/1000)))</f>
        <v/>
      </c>
      <c r="AY51">
        <f>IF(OR(Setup!$E$74="",Setup!$G$74="",Setup!$F$74=""),"",IF(AND(Setup!$F$74="Once",AY$1&gt;0),"",IF(OR(IF(Setup!$M$74&gt;0,Setup!$G$74+(Setup!$O$74+AY$1)*Setup!$M$74,EDATE(Setup!$G$74,(Setup!$O$74+AY$1)*Setup!$N$74))&gt;Setup!$P$74,IF(Setup!$M$74&gt;0,Setup!$G$74+(Setup!$O$74+AY$1)*Setup!$M$74,EDATE(Setup!$G$74,(Setup!$O$74+AY$1)*Setup!$N$74))&lt;Setup!$D$5),"",IF(Setup!$M$74&gt;0,Setup!$G$74+(Setup!$O$74+AY$1)*Setup!$M$74,EDATE(Setup!$G$74,(Setup!$O$74+AY$1)*Setup!$N$74))+$A51/1000)))</f>
        <v/>
      </c>
      <c r="AZ51">
        <f>IF(OR(Setup!$E$74="",Setup!$G$74="",Setup!$F$74=""),"",IF(AND(Setup!$F$74="Once",AZ$1&gt;0),"",IF(OR(IF(Setup!$M$74&gt;0,Setup!$G$74+(Setup!$O$74+AZ$1)*Setup!$M$74,EDATE(Setup!$G$74,(Setup!$O$74+AZ$1)*Setup!$N$74))&gt;Setup!$P$74,IF(Setup!$M$74&gt;0,Setup!$G$74+(Setup!$O$74+AZ$1)*Setup!$M$74,EDATE(Setup!$G$74,(Setup!$O$74+AZ$1)*Setup!$N$74))&lt;Setup!$D$5),"",IF(Setup!$M$74&gt;0,Setup!$G$74+(Setup!$O$74+AZ$1)*Setup!$M$74,EDATE(Setup!$G$74,(Setup!$O$74+AZ$1)*Setup!$N$74))+$A51/1000)))</f>
        <v/>
      </c>
      <c r="BA51">
        <f>IF(OR(Setup!$E$74="",Setup!$G$74="",Setup!$F$74=""),"",IF(AND(Setup!$F$74="Once",BA$1&gt;0),"",IF(OR(IF(Setup!$M$74&gt;0,Setup!$G$74+(Setup!$O$74+BA$1)*Setup!$M$74,EDATE(Setup!$G$74,(Setup!$O$74+BA$1)*Setup!$N$74))&gt;Setup!$P$74,IF(Setup!$M$74&gt;0,Setup!$G$74+(Setup!$O$74+BA$1)*Setup!$M$74,EDATE(Setup!$G$74,(Setup!$O$74+BA$1)*Setup!$N$74))&lt;Setup!$D$5),"",IF(Setup!$M$74&gt;0,Setup!$G$74+(Setup!$O$74+BA$1)*Setup!$M$74,EDATE(Setup!$G$74,(Setup!$O$74+BA$1)*Setup!$N$74))+$A51/1000)))</f>
        <v/>
      </c>
      <c r="BB51">
        <f>IF(OR(Setup!$E$74="",Setup!$G$74="",Setup!$F$74=""),"",IF(AND(Setup!$F$74="Once",BB$1&gt;0),"",IF(OR(IF(Setup!$M$74&gt;0,Setup!$G$74+(Setup!$O$74+BB$1)*Setup!$M$74,EDATE(Setup!$G$74,(Setup!$O$74+BB$1)*Setup!$N$74))&gt;Setup!$P$74,IF(Setup!$M$74&gt;0,Setup!$G$74+(Setup!$O$74+BB$1)*Setup!$M$74,EDATE(Setup!$G$74,(Setup!$O$74+BB$1)*Setup!$N$74))&lt;Setup!$D$5),"",IF(Setup!$M$74&gt;0,Setup!$G$74+(Setup!$O$74+BB$1)*Setup!$M$74,EDATE(Setup!$G$74,(Setup!$O$74+BB$1)*Setup!$N$74))+$A51/1000)))</f>
        <v/>
      </c>
    </row>
    <row r="52">
      <c r="A52" t="n">
        <v>51</v>
      </c>
      <c r="B52">
        <f>IF(OR(Setup!$E$75="",Setup!$G$75="",Setup!$F$75=""),"",IF(AND(Setup!$F$75="Once",B$1&gt;0),"",IF(OR(IF(Setup!$M$75&gt;0,Setup!$G$75+(Setup!$O$75+B$1)*Setup!$M$75,EDATE(Setup!$G$75,(Setup!$O$75+B$1)*Setup!$N$75))&gt;Setup!$P$75,IF(Setup!$M$75&gt;0,Setup!$G$75+(Setup!$O$75+B$1)*Setup!$M$75,EDATE(Setup!$G$75,(Setup!$O$75+B$1)*Setup!$N$75))&lt;Setup!$D$5),"",IF(Setup!$M$75&gt;0,Setup!$G$75+(Setup!$O$75+B$1)*Setup!$M$75,EDATE(Setup!$G$75,(Setup!$O$75+B$1)*Setup!$N$75))+$A52/1000)))</f>
        <v/>
      </c>
      <c r="C52">
        <f>IF(OR(Setup!$E$75="",Setup!$G$75="",Setup!$F$75=""),"",IF(AND(Setup!$F$75="Once",C$1&gt;0),"",IF(OR(IF(Setup!$M$75&gt;0,Setup!$G$75+(Setup!$O$75+C$1)*Setup!$M$75,EDATE(Setup!$G$75,(Setup!$O$75+C$1)*Setup!$N$75))&gt;Setup!$P$75,IF(Setup!$M$75&gt;0,Setup!$G$75+(Setup!$O$75+C$1)*Setup!$M$75,EDATE(Setup!$G$75,(Setup!$O$75+C$1)*Setup!$N$75))&lt;Setup!$D$5),"",IF(Setup!$M$75&gt;0,Setup!$G$75+(Setup!$O$75+C$1)*Setup!$M$75,EDATE(Setup!$G$75,(Setup!$O$75+C$1)*Setup!$N$75))+$A52/1000)))</f>
        <v/>
      </c>
      <c r="D52">
        <f>IF(OR(Setup!$E$75="",Setup!$G$75="",Setup!$F$75=""),"",IF(AND(Setup!$F$75="Once",D$1&gt;0),"",IF(OR(IF(Setup!$M$75&gt;0,Setup!$G$75+(Setup!$O$75+D$1)*Setup!$M$75,EDATE(Setup!$G$75,(Setup!$O$75+D$1)*Setup!$N$75))&gt;Setup!$P$75,IF(Setup!$M$75&gt;0,Setup!$G$75+(Setup!$O$75+D$1)*Setup!$M$75,EDATE(Setup!$G$75,(Setup!$O$75+D$1)*Setup!$N$75))&lt;Setup!$D$5),"",IF(Setup!$M$75&gt;0,Setup!$G$75+(Setup!$O$75+D$1)*Setup!$M$75,EDATE(Setup!$G$75,(Setup!$O$75+D$1)*Setup!$N$75))+$A52/1000)))</f>
        <v/>
      </c>
      <c r="E52">
        <f>IF(OR(Setup!$E$75="",Setup!$G$75="",Setup!$F$75=""),"",IF(AND(Setup!$F$75="Once",E$1&gt;0),"",IF(OR(IF(Setup!$M$75&gt;0,Setup!$G$75+(Setup!$O$75+E$1)*Setup!$M$75,EDATE(Setup!$G$75,(Setup!$O$75+E$1)*Setup!$N$75))&gt;Setup!$P$75,IF(Setup!$M$75&gt;0,Setup!$G$75+(Setup!$O$75+E$1)*Setup!$M$75,EDATE(Setup!$G$75,(Setup!$O$75+E$1)*Setup!$N$75))&lt;Setup!$D$5),"",IF(Setup!$M$75&gt;0,Setup!$G$75+(Setup!$O$75+E$1)*Setup!$M$75,EDATE(Setup!$G$75,(Setup!$O$75+E$1)*Setup!$N$75))+$A52/1000)))</f>
        <v/>
      </c>
      <c r="F52">
        <f>IF(OR(Setup!$E$75="",Setup!$G$75="",Setup!$F$75=""),"",IF(AND(Setup!$F$75="Once",F$1&gt;0),"",IF(OR(IF(Setup!$M$75&gt;0,Setup!$G$75+(Setup!$O$75+F$1)*Setup!$M$75,EDATE(Setup!$G$75,(Setup!$O$75+F$1)*Setup!$N$75))&gt;Setup!$P$75,IF(Setup!$M$75&gt;0,Setup!$G$75+(Setup!$O$75+F$1)*Setup!$M$75,EDATE(Setup!$G$75,(Setup!$O$75+F$1)*Setup!$N$75))&lt;Setup!$D$5),"",IF(Setup!$M$75&gt;0,Setup!$G$75+(Setup!$O$75+F$1)*Setup!$M$75,EDATE(Setup!$G$75,(Setup!$O$75+F$1)*Setup!$N$75))+$A52/1000)))</f>
        <v/>
      </c>
      <c r="G52">
        <f>IF(OR(Setup!$E$75="",Setup!$G$75="",Setup!$F$75=""),"",IF(AND(Setup!$F$75="Once",G$1&gt;0),"",IF(OR(IF(Setup!$M$75&gt;0,Setup!$G$75+(Setup!$O$75+G$1)*Setup!$M$75,EDATE(Setup!$G$75,(Setup!$O$75+G$1)*Setup!$N$75))&gt;Setup!$P$75,IF(Setup!$M$75&gt;0,Setup!$G$75+(Setup!$O$75+G$1)*Setup!$M$75,EDATE(Setup!$G$75,(Setup!$O$75+G$1)*Setup!$N$75))&lt;Setup!$D$5),"",IF(Setup!$M$75&gt;0,Setup!$G$75+(Setup!$O$75+G$1)*Setup!$M$75,EDATE(Setup!$G$75,(Setup!$O$75+G$1)*Setup!$N$75))+$A52/1000)))</f>
        <v/>
      </c>
      <c r="H52">
        <f>IF(OR(Setup!$E$75="",Setup!$G$75="",Setup!$F$75=""),"",IF(AND(Setup!$F$75="Once",H$1&gt;0),"",IF(OR(IF(Setup!$M$75&gt;0,Setup!$G$75+(Setup!$O$75+H$1)*Setup!$M$75,EDATE(Setup!$G$75,(Setup!$O$75+H$1)*Setup!$N$75))&gt;Setup!$P$75,IF(Setup!$M$75&gt;0,Setup!$G$75+(Setup!$O$75+H$1)*Setup!$M$75,EDATE(Setup!$G$75,(Setup!$O$75+H$1)*Setup!$N$75))&lt;Setup!$D$5),"",IF(Setup!$M$75&gt;0,Setup!$G$75+(Setup!$O$75+H$1)*Setup!$M$75,EDATE(Setup!$G$75,(Setup!$O$75+H$1)*Setup!$N$75))+$A52/1000)))</f>
        <v/>
      </c>
      <c r="I52">
        <f>IF(OR(Setup!$E$75="",Setup!$G$75="",Setup!$F$75=""),"",IF(AND(Setup!$F$75="Once",I$1&gt;0),"",IF(OR(IF(Setup!$M$75&gt;0,Setup!$G$75+(Setup!$O$75+I$1)*Setup!$M$75,EDATE(Setup!$G$75,(Setup!$O$75+I$1)*Setup!$N$75))&gt;Setup!$P$75,IF(Setup!$M$75&gt;0,Setup!$G$75+(Setup!$O$75+I$1)*Setup!$M$75,EDATE(Setup!$G$75,(Setup!$O$75+I$1)*Setup!$N$75))&lt;Setup!$D$5),"",IF(Setup!$M$75&gt;0,Setup!$G$75+(Setup!$O$75+I$1)*Setup!$M$75,EDATE(Setup!$G$75,(Setup!$O$75+I$1)*Setup!$N$75))+$A52/1000)))</f>
        <v/>
      </c>
      <c r="J52">
        <f>IF(OR(Setup!$E$75="",Setup!$G$75="",Setup!$F$75=""),"",IF(AND(Setup!$F$75="Once",J$1&gt;0),"",IF(OR(IF(Setup!$M$75&gt;0,Setup!$G$75+(Setup!$O$75+J$1)*Setup!$M$75,EDATE(Setup!$G$75,(Setup!$O$75+J$1)*Setup!$N$75))&gt;Setup!$P$75,IF(Setup!$M$75&gt;0,Setup!$G$75+(Setup!$O$75+J$1)*Setup!$M$75,EDATE(Setup!$G$75,(Setup!$O$75+J$1)*Setup!$N$75))&lt;Setup!$D$5),"",IF(Setup!$M$75&gt;0,Setup!$G$75+(Setup!$O$75+J$1)*Setup!$M$75,EDATE(Setup!$G$75,(Setup!$O$75+J$1)*Setup!$N$75))+$A52/1000)))</f>
        <v/>
      </c>
      <c r="K52">
        <f>IF(OR(Setup!$E$75="",Setup!$G$75="",Setup!$F$75=""),"",IF(AND(Setup!$F$75="Once",K$1&gt;0),"",IF(OR(IF(Setup!$M$75&gt;0,Setup!$G$75+(Setup!$O$75+K$1)*Setup!$M$75,EDATE(Setup!$G$75,(Setup!$O$75+K$1)*Setup!$N$75))&gt;Setup!$P$75,IF(Setup!$M$75&gt;0,Setup!$G$75+(Setup!$O$75+K$1)*Setup!$M$75,EDATE(Setup!$G$75,(Setup!$O$75+K$1)*Setup!$N$75))&lt;Setup!$D$5),"",IF(Setup!$M$75&gt;0,Setup!$G$75+(Setup!$O$75+K$1)*Setup!$M$75,EDATE(Setup!$G$75,(Setup!$O$75+K$1)*Setup!$N$75))+$A52/1000)))</f>
        <v/>
      </c>
      <c r="L52">
        <f>IF(OR(Setup!$E$75="",Setup!$G$75="",Setup!$F$75=""),"",IF(AND(Setup!$F$75="Once",L$1&gt;0),"",IF(OR(IF(Setup!$M$75&gt;0,Setup!$G$75+(Setup!$O$75+L$1)*Setup!$M$75,EDATE(Setup!$G$75,(Setup!$O$75+L$1)*Setup!$N$75))&gt;Setup!$P$75,IF(Setup!$M$75&gt;0,Setup!$G$75+(Setup!$O$75+L$1)*Setup!$M$75,EDATE(Setup!$G$75,(Setup!$O$75+L$1)*Setup!$N$75))&lt;Setup!$D$5),"",IF(Setup!$M$75&gt;0,Setup!$G$75+(Setup!$O$75+L$1)*Setup!$M$75,EDATE(Setup!$G$75,(Setup!$O$75+L$1)*Setup!$N$75))+$A52/1000)))</f>
        <v/>
      </c>
      <c r="M52">
        <f>IF(OR(Setup!$E$75="",Setup!$G$75="",Setup!$F$75=""),"",IF(AND(Setup!$F$75="Once",M$1&gt;0),"",IF(OR(IF(Setup!$M$75&gt;0,Setup!$G$75+(Setup!$O$75+M$1)*Setup!$M$75,EDATE(Setup!$G$75,(Setup!$O$75+M$1)*Setup!$N$75))&gt;Setup!$P$75,IF(Setup!$M$75&gt;0,Setup!$G$75+(Setup!$O$75+M$1)*Setup!$M$75,EDATE(Setup!$G$75,(Setup!$O$75+M$1)*Setup!$N$75))&lt;Setup!$D$5),"",IF(Setup!$M$75&gt;0,Setup!$G$75+(Setup!$O$75+M$1)*Setup!$M$75,EDATE(Setup!$G$75,(Setup!$O$75+M$1)*Setup!$N$75))+$A52/1000)))</f>
        <v/>
      </c>
      <c r="N52">
        <f>IF(OR(Setup!$E$75="",Setup!$G$75="",Setup!$F$75=""),"",IF(AND(Setup!$F$75="Once",N$1&gt;0),"",IF(OR(IF(Setup!$M$75&gt;0,Setup!$G$75+(Setup!$O$75+N$1)*Setup!$M$75,EDATE(Setup!$G$75,(Setup!$O$75+N$1)*Setup!$N$75))&gt;Setup!$P$75,IF(Setup!$M$75&gt;0,Setup!$G$75+(Setup!$O$75+N$1)*Setup!$M$75,EDATE(Setup!$G$75,(Setup!$O$75+N$1)*Setup!$N$75))&lt;Setup!$D$5),"",IF(Setup!$M$75&gt;0,Setup!$G$75+(Setup!$O$75+N$1)*Setup!$M$75,EDATE(Setup!$G$75,(Setup!$O$75+N$1)*Setup!$N$75))+$A52/1000)))</f>
        <v/>
      </c>
      <c r="O52">
        <f>IF(OR(Setup!$E$75="",Setup!$G$75="",Setup!$F$75=""),"",IF(AND(Setup!$F$75="Once",O$1&gt;0),"",IF(OR(IF(Setup!$M$75&gt;0,Setup!$G$75+(Setup!$O$75+O$1)*Setup!$M$75,EDATE(Setup!$G$75,(Setup!$O$75+O$1)*Setup!$N$75))&gt;Setup!$P$75,IF(Setup!$M$75&gt;0,Setup!$G$75+(Setup!$O$75+O$1)*Setup!$M$75,EDATE(Setup!$G$75,(Setup!$O$75+O$1)*Setup!$N$75))&lt;Setup!$D$5),"",IF(Setup!$M$75&gt;0,Setup!$G$75+(Setup!$O$75+O$1)*Setup!$M$75,EDATE(Setup!$G$75,(Setup!$O$75+O$1)*Setup!$N$75))+$A52/1000)))</f>
        <v/>
      </c>
      <c r="P52">
        <f>IF(OR(Setup!$E$75="",Setup!$G$75="",Setup!$F$75=""),"",IF(AND(Setup!$F$75="Once",P$1&gt;0),"",IF(OR(IF(Setup!$M$75&gt;0,Setup!$G$75+(Setup!$O$75+P$1)*Setup!$M$75,EDATE(Setup!$G$75,(Setup!$O$75+P$1)*Setup!$N$75))&gt;Setup!$P$75,IF(Setup!$M$75&gt;0,Setup!$G$75+(Setup!$O$75+P$1)*Setup!$M$75,EDATE(Setup!$G$75,(Setup!$O$75+P$1)*Setup!$N$75))&lt;Setup!$D$5),"",IF(Setup!$M$75&gt;0,Setup!$G$75+(Setup!$O$75+P$1)*Setup!$M$75,EDATE(Setup!$G$75,(Setup!$O$75+P$1)*Setup!$N$75))+$A52/1000)))</f>
        <v/>
      </c>
      <c r="Q52">
        <f>IF(OR(Setup!$E$75="",Setup!$G$75="",Setup!$F$75=""),"",IF(AND(Setup!$F$75="Once",Q$1&gt;0),"",IF(OR(IF(Setup!$M$75&gt;0,Setup!$G$75+(Setup!$O$75+Q$1)*Setup!$M$75,EDATE(Setup!$G$75,(Setup!$O$75+Q$1)*Setup!$N$75))&gt;Setup!$P$75,IF(Setup!$M$75&gt;0,Setup!$G$75+(Setup!$O$75+Q$1)*Setup!$M$75,EDATE(Setup!$G$75,(Setup!$O$75+Q$1)*Setup!$N$75))&lt;Setup!$D$5),"",IF(Setup!$M$75&gt;0,Setup!$G$75+(Setup!$O$75+Q$1)*Setup!$M$75,EDATE(Setup!$G$75,(Setup!$O$75+Q$1)*Setup!$N$75))+$A52/1000)))</f>
        <v/>
      </c>
      <c r="R52">
        <f>IF(OR(Setup!$E$75="",Setup!$G$75="",Setup!$F$75=""),"",IF(AND(Setup!$F$75="Once",R$1&gt;0),"",IF(OR(IF(Setup!$M$75&gt;0,Setup!$G$75+(Setup!$O$75+R$1)*Setup!$M$75,EDATE(Setup!$G$75,(Setup!$O$75+R$1)*Setup!$N$75))&gt;Setup!$P$75,IF(Setup!$M$75&gt;0,Setup!$G$75+(Setup!$O$75+R$1)*Setup!$M$75,EDATE(Setup!$G$75,(Setup!$O$75+R$1)*Setup!$N$75))&lt;Setup!$D$5),"",IF(Setup!$M$75&gt;0,Setup!$G$75+(Setup!$O$75+R$1)*Setup!$M$75,EDATE(Setup!$G$75,(Setup!$O$75+R$1)*Setup!$N$75))+$A52/1000)))</f>
        <v/>
      </c>
      <c r="S52">
        <f>IF(OR(Setup!$E$75="",Setup!$G$75="",Setup!$F$75=""),"",IF(AND(Setup!$F$75="Once",S$1&gt;0),"",IF(OR(IF(Setup!$M$75&gt;0,Setup!$G$75+(Setup!$O$75+S$1)*Setup!$M$75,EDATE(Setup!$G$75,(Setup!$O$75+S$1)*Setup!$N$75))&gt;Setup!$P$75,IF(Setup!$M$75&gt;0,Setup!$G$75+(Setup!$O$75+S$1)*Setup!$M$75,EDATE(Setup!$G$75,(Setup!$O$75+S$1)*Setup!$N$75))&lt;Setup!$D$5),"",IF(Setup!$M$75&gt;0,Setup!$G$75+(Setup!$O$75+S$1)*Setup!$M$75,EDATE(Setup!$G$75,(Setup!$O$75+S$1)*Setup!$N$75))+$A52/1000)))</f>
        <v/>
      </c>
      <c r="T52">
        <f>IF(OR(Setup!$E$75="",Setup!$G$75="",Setup!$F$75=""),"",IF(AND(Setup!$F$75="Once",T$1&gt;0),"",IF(OR(IF(Setup!$M$75&gt;0,Setup!$G$75+(Setup!$O$75+T$1)*Setup!$M$75,EDATE(Setup!$G$75,(Setup!$O$75+T$1)*Setup!$N$75))&gt;Setup!$P$75,IF(Setup!$M$75&gt;0,Setup!$G$75+(Setup!$O$75+T$1)*Setup!$M$75,EDATE(Setup!$G$75,(Setup!$O$75+T$1)*Setup!$N$75))&lt;Setup!$D$5),"",IF(Setup!$M$75&gt;0,Setup!$G$75+(Setup!$O$75+T$1)*Setup!$M$75,EDATE(Setup!$G$75,(Setup!$O$75+T$1)*Setup!$N$75))+$A52/1000)))</f>
        <v/>
      </c>
      <c r="U52">
        <f>IF(OR(Setup!$E$75="",Setup!$G$75="",Setup!$F$75=""),"",IF(AND(Setup!$F$75="Once",U$1&gt;0),"",IF(OR(IF(Setup!$M$75&gt;0,Setup!$G$75+(Setup!$O$75+U$1)*Setup!$M$75,EDATE(Setup!$G$75,(Setup!$O$75+U$1)*Setup!$N$75))&gt;Setup!$P$75,IF(Setup!$M$75&gt;0,Setup!$G$75+(Setup!$O$75+U$1)*Setup!$M$75,EDATE(Setup!$G$75,(Setup!$O$75+U$1)*Setup!$N$75))&lt;Setup!$D$5),"",IF(Setup!$M$75&gt;0,Setup!$G$75+(Setup!$O$75+U$1)*Setup!$M$75,EDATE(Setup!$G$75,(Setup!$O$75+U$1)*Setup!$N$75))+$A52/1000)))</f>
        <v/>
      </c>
      <c r="V52">
        <f>IF(OR(Setup!$E$75="",Setup!$G$75="",Setup!$F$75=""),"",IF(AND(Setup!$F$75="Once",V$1&gt;0),"",IF(OR(IF(Setup!$M$75&gt;0,Setup!$G$75+(Setup!$O$75+V$1)*Setup!$M$75,EDATE(Setup!$G$75,(Setup!$O$75+V$1)*Setup!$N$75))&gt;Setup!$P$75,IF(Setup!$M$75&gt;0,Setup!$G$75+(Setup!$O$75+V$1)*Setup!$M$75,EDATE(Setup!$G$75,(Setup!$O$75+V$1)*Setup!$N$75))&lt;Setup!$D$5),"",IF(Setup!$M$75&gt;0,Setup!$G$75+(Setup!$O$75+V$1)*Setup!$M$75,EDATE(Setup!$G$75,(Setup!$O$75+V$1)*Setup!$N$75))+$A52/1000)))</f>
        <v/>
      </c>
      <c r="W52">
        <f>IF(OR(Setup!$E$75="",Setup!$G$75="",Setup!$F$75=""),"",IF(AND(Setup!$F$75="Once",W$1&gt;0),"",IF(OR(IF(Setup!$M$75&gt;0,Setup!$G$75+(Setup!$O$75+W$1)*Setup!$M$75,EDATE(Setup!$G$75,(Setup!$O$75+W$1)*Setup!$N$75))&gt;Setup!$P$75,IF(Setup!$M$75&gt;0,Setup!$G$75+(Setup!$O$75+W$1)*Setup!$M$75,EDATE(Setup!$G$75,(Setup!$O$75+W$1)*Setup!$N$75))&lt;Setup!$D$5),"",IF(Setup!$M$75&gt;0,Setup!$G$75+(Setup!$O$75+W$1)*Setup!$M$75,EDATE(Setup!$G$75,(Setup!$O$75+W$1)*Setup!$N$75))+$A52/1000)))</f>
        <v/>
      </c>
      <c r="X52">
        <f>IF(OR(Setup!$E$75="",Setup!$G$75="",Setup!$F$75=""),"",IF(AND(Setup!$F$75="Once",X$1&gt;0),"",IF(OR(IF(Setup!$M$75&gt;0,Setup!$G$75+(Setup!$O$75+X$1)*Setup!$M$75,EDATE(Setup!$G$75,(Setup!$O$75+X$1)*Setup!$N$75))&gt;Setup!$P$75,IF(Setup!$M$75&gt;0,Setup!$G$75+(Setup!$O$75+X$1)*Setup!$M$75,EDATE(Setup!$G$75,(Setup!$O$75+X$1)*Setup!$N$75))&lt;Setup!$D$5),"",IF(Setup!$M$75&gt;0,Setup!$G$75+(Setup!$O$75+X$1)*Setup!$M$75,EDATE(Setup!$G$75,(Setup!$O$75+X$1)*Setup!$N$75))+$A52/1000)))</f>
        <v/>
      </c>
      <c r="Y52">
        <f>IF(OR(Setup!$E$75="",Setup!$G$75="",Setup!$F$75=""),"",IF(AND(Setup!$F$75="Once",Y$1&gt;0),"",IF(OR(IF(Setup!$M$75&gt;0,Setup!$G$75+(Setup!$O$75+Y$1)*Setup!$M$75,EDATE(Setup!$G$75,(Setup!$O$75+Y$1)*Setup!$N$75))&gt;Setup!$P$75,IF(Setup!$M$75&gt;0,Setup!$G$75+(Setup!$O$75+Y$1)*Setup!$M$75,EDATE(Setup!$G$75,(Setup!$O$75+Y$1)*Setup!$N$75))&lt;Setup!$D$5),"",IF(Setup!$M$75&gt;0,Setup!$G$75+(Setup!$O$75+Y$1)*Setup!$M$75,EDATE(Setup!$G$75,(Setup!$O$75+Y$1)*Setup!$N$75))+$A52/1000)))</f>
        <v/>
      </c>
      <c r="Z52">
        <f>IF(OR(Setup!$E$75="",Setup!$G$75="",Setup!$F$75=""),"",IF(AND(Setup!$F$75="Once",Z$1&gt;0),"",IF(OR(IF(Setup!$M$75&gt;0,Setup!$G$75+(Setup!$O$75+Z$1)*Setup!$M$75,EDATE(Setup!$G$75,(Setup!$O$75+Z$1)*Setup!$N$75))&gt;Setup!$P$75,IF(Setup!$M$75&gt;0,Setup!$G$75+(Setup!$O$75+Z$1)*Setup!$M$75,EDATE(Setup!$G$75,(Setup!$O$75+Z$1)*Setup!$N$75))&lt;Setup!$D$5),"",IF(Setup!$M$75&gt;0,Setup!$G$75+(Setup!$O$75+Z$1)*Setup!$M$75,EDATE(Setup!$G$75,(Setup!$O$75+Z$1)*Setup!$N$75))+$A52/1000)))</f>
        <v/>
      </c>
      <c r="AA52">
        <f>IF(OR(Setup!$E$75="",Setup!$G$75="",Setup!$F$75=""),"",IF(AND(Setup!$F$75="Once",AA$1&gt;0),"",IF(OR(IF(Setup!$M$75&gt;0,Setup!$G$75+(Setup!$O$75+AA$1)*Setup!$M$75,EDATE(Setup!$G$75,(Setup!$O$75+AA$1)*Setup!$N$75))&gt;Setup!$P$75,IF(Setup!$M$75&gt;0,Setup!$G$75+(Setup!$O$75+AA$1)*Setup!$M$75,EDATE(Setup!$G$75,(Setup!$O$75+AA$1)*Setup!$N$75))&lt;Setup!$D$5),"",IF(Setup!$M$75&gt;0,Setup!$G$75+(Setup!$O$75+AA$1)*Setup!$M$75,EDATE(Setup!$G$75,(Setup!$O$75+AA$1)*Setup!$N$75))+$A52/1000)))</f>
        <v/>
      </c>
      <c r="AB52">
        <f>IF(OR(Setup!$E$75="",Setup!$G$75="",Setup!$F$75=""),"",IF(AND(Setup!$F$75="Once",AB$1&gt;0),"",IF(OR(IF(Setup!$M$75&gt;0,Setup!$G$75+(Setup!$O$75+AB$1)*Setup!$M$75,EDATE(Setup!$G$75,(Setup!$O$75+AB$1)*Setup!$N$75))&gt;Setup!$P$75,IF(Setup!$M$75&gt;0,Setup!$G$75+(Setup!$O$75+AB$1)*Setup!$M$75,EDATE(Setup!$G$75,(Setup!$O$75+AB$1)*Setup!$N$75))&lt;Setup!$D$5),"",IF(Setup!$M$75&gt;0,Setup!$G$75+(Setup!$O$75+AB$1)*Setup!$M$75,EDATE(Setup!$G$75,(Setup!$O$75+AB$1)*Setup!$N$75))+$A52/1000)))</f>
        <v/>
      </c>
      <c r="AC52">
        <f>IF(OR(Setup!$E$75="",Setup!$G$75="",Setup!$F$75=""),"",IF(AND(Setup!$F$75="Once",AC$1&gt;0),"",IF(OR(IF(Setup!$M$75&gt;0,Setup!$G$75+(Setup!$O$75+AC$1)*Setup!$M$75,EDATE(Setup!$G$75,(Setup!$O$75+AC$1)*Setup!$N$75))&gt;Setup!$P$75,IF(Setup!$M$75&gt;0,Setup!$G$75+(Setup!$O$75+AC$1)*Setup!$M$75,EDATE(Setup!$G$75,(Setup!$O$75+AC$1)*Setup!$N$75))&lt;Setup!$D$5),"",IF(Setup!$M$75&gt;0,Setup!$G$75+(Setup!$O$75+AC$1)*Setup!$M$75,EDATE(Setup!$G$75,(Setup!$O$75+AC$1)*Setup!$N$75))+$A52/1000)))</f>
        <v/>
      </c>
      <c r="AD52">
        <f>IF(OR(Setup!$E$75="",Setup!$G$75="",Setup!$F$75=""),"",IF(AND(Setup!$F$75="Once",AD$1&gt;0),"",IF(OR(IF(Setup!$M$75&gt;0,Setup!$G$75+(Setup!$O$75+AD$1)*Setup!$M$75,EDATE(Setup!$G$75,(Setup!$O$75+AD$1)*Setup!$N$75))&gt;Setup!$P$75,IF(Setup!$M$75&gt;0,Setup!$G$75+(Setup!$O$75+AD$1)*Setup!$M$75,EDATE(Setup!$G$75,(Setup!$O$75+AD$1)*Setup!$N$75))&lt;Setup!$D$5),"",IF(Setup!$M$75&gt;0,Setup!$G$75+(Setup!$O$75+AD$1)*Setup!$M$75,EDATE(Setup!$G$75,(Setup!$O$75+AD$1)*Setup!$N$75))+$A52/1000)))</f>
        <v/>
      </c>
      <c r="AE52">
        <f>IF(OR(Setup!$E$75="",Setup!$G$75="",Setup!$F$75=""),"",IF(AND(Setup!$F$75="Once",AE$1&gt;0),"",IF(OR(IF(Setup!$M$75&gt;0,Setup!$G$75+(Setup!$O$75+AE$1)*Setup!$M$75,EDATE(Setup!$G$75,(Setup!$O$75+AE$1)*Setup!$N$75))&gt;Setup!$P$75,IF(Setup!$M$75&gt;0,Setup!$G$75+(Setup!$O$75+AE$1)*Setup!$M$75,EDATE(Setup!$G$75,(Setup!$O$75+AE$1)*Setup!$N$75))&lt;Setup!$D$5),"",IF(Setup!$M$75&gt;0,Setup!$G$75+(Setup!$O$75+AE$1)*Setup!$M$75,EDATE(Setup!$G$75,(Setup!$O$75+AE$1)*Setup!$N$75))+$A52/1000)))</f>
        <v/>
      </c>
      <c r="AF52">
        <f>IF(OR(Setup!$E$75="",Setup!$G$75="",Setup!$F$75=""),"",IF(AND(Setup!$F$75="Once",AF$1&gt;0),"",IF(OR(IF(Setup!$M$75&gt;0,Setup!$G$75+(Setup!$O$75+AF$1)*Setup!$M$75,EDATE(Setup!$G$75,(Setup!$O$75+AF$1)*Setup!$N$75))&gt;Setup!$P$75,IF(Setup!$M$75&gt;0,Setup!$G$75+(Setup!$O$75+AF$1)*Setup!$M$75,EDATE(Setup!$G$75,(Setup!$O$75+AF$1)*Setup!$N$75))&lt;Setup!$D$5),"",IF(Setup!$M$75&gt;0,Setup!$G$75+(Setup!$O$75+AF$1)*Setup!$M$75,EDATE(Setup!$G$75,(Setup!$O$75+AF$1)*Setup!$N$75))+$A52/1000)))</f>
        <v/>
      </c>
      <c r="AG52">
        <f>IF(OR(Setup!$E$75="",Setup!$G$75="",Setup!$F$75=""),"",IF(AND(Setup!$F$75="Once",AG$1&gt;0),"",IF(OR(IF(Setup!$M$75&gt;0,Setup!$G$75+(Setup!$O$75+AG$1)*Setup!$M$75,EDATE(Setup!$G$75,(Setup!$O$75+AG$1)*Setup!$N$75))&gt;Setup!$P$75,IF(Setup!$M$75&gt;0,Setup!$G$75+(Setup!$O$75+AG$1)*Setup!$M$75,EDATE(Setup!$G$75,(Setup!$O$75+AG$1)*Setup!$N$75))&lt;Setup!$D$5),"",IF(Setup!$M$75&gt;0,Setup!$G$75+(Setup!$O$75+AG$1)*Setup!$M$75,EDATE(Setup!$G$75,(Setup!$O$75+AG$1)*Setup!$N$75))+$A52/1000)))</f>
        <v/>
      </c>
      <c r="AH52">
        <f>IF(OR(Setup!$E$75="",Setup!$G$75="",Setup!$F$75=""),"",IF(AND(Setup!$F$75="Once",AH$1&gt;0),"",IF(OR(IF(Setup!$M$75&gt;0,Setup!$G$75+(Setup!$O$75+AH$1)*Setup!$M$75,EDATE(Setup!$G$75,(Setup!$O$75+AH$1)*Setup!$N$75))&gt;Setup!$P$75,IF(Setup!$M$75&gt;0,Setup!$G$75+(Setup!$O$75+AH$1)*Setup!$M$75,EDATE(Setup!$G$75,(Setup!$O$75+AH$1)*Setup!$N$75))&lt;Setup!$D$5),"",IF(Setup!$M$75&gt;0,Setup!$G$75+(Setup!$O$75+AH$1)*Setup!$M$75,EDATE(Setup!$G$75,(Setup!$O$75+AH$1)*Setup!$N$75))+$A52/1000)))</f>
        <v/>
      </c>
      <c r="AI52">
        <f>IF(OR(Setup!$E$75="",Setup!$G$75="",Setup!$F$75=""),"",IF(AND(Setup!$F$75="Once",AI$1&gt;0),"",IF(OR(IF(Setup!$M$75&gt;0,Setup!$G$75+(Setup!$O$75+AI$1)*Setup!$M$75,EDATE(Setup!$G$75,(Setup!$O$75+AI$1)*Setup!$N$75))&gt;Setup!$P$75,IF(Setup!$M$75&gt;0,Setup!$G$75+(Setup!$O$75+AI$1)*Setup!$M$75,EDATE(Setup!$G$75,(Setup!$O$75+AI$1)*Setup!$N$75))&lt;Setup!$D$5),"",IF(Setup!$M$75&gt;0,Setup!$G$75+(Setup!$O$75+AI$1)*Setup!$M$75,EDATE(Setup!$G$75,(Setup!$O$75+AI$1)*Setup!$N$75))+$A52/1000)))</f>
        <v/>
      </c>
      <c r="AJ52">
        <f>IF(OR(Setup!$E$75="",Setup!$G$75="",Setup!$F$75=""),"",IF(AND(Setup!$F$75="Once",AJ$1&gt;0),"",IF(OR(IF(Setup!$M$75&gt;0,Setup!$G$75+(Setup!$O$75+AJ$1)*Setup!$M$75,EDATE(Setup!$G$75,(Setup!$O$75+AJ$1)*Setup!$N$75))&gt;Setup!$P$75,IF(Setup!$M$75&gt;0,Setup!$G$75+(Setup!$O$75+AJ$1)*Setup!$M$75,EDATE(Setup!$G$75,(Setup!$O$75+AJ$1)*Setup!$N$75))&lt;Setup!$D$5),"",IF(Setup!$M$75&gt;0,Setup!$G$75+(Setup!$O$75+AJ$1)*Setup!$M$75,EDATE(Setup!$G$75,(Setup!$O$75+AJ$1)*Setup!$N$75))+$A52/1000)))</f>
        <v/>
      </c>
      <c r="AK52">
        <f>IF(OR(Setup!$E$75="",Setup!$G$75="",Setup!$F$75=""),"",IF(AND(Setup!$F$75="Once",AK$1&gt;0),"",IF(OR(IF(Setup!$M$75&gt;0,Setup!$G$75+(Setup!$O$75+AK$1)*Setup!$M$75,EDATE(Setup!$G$75,(Setup!$O$75+AK$1)*Setup!$N$75))&gt;Setup!$P$75,IF(Setup!$M$75&gt;0,Setup!$G$75+(Setup!$O$75+AK$1)*Setup!$M$75,EDATE(Setup!$G$75,(Setup!$O$75+AK$1)*Setup!$N$75))&lt;Setup!$D$5),"",IF(Setup!$M$75&gt;0,Setup!$G$75+(Setup!$O$75+AK$1)*Setup!$M$75,EDATE(Setup!$G$75,(Setup!$O$75+AK$1)*Setup!$N$75))+$A52/1000)))</f>
        <v/>
      </c>
      <c r="AL52">
        <f>IF(OR(Setup!$E$75="",Setup!$G$75="",Setup!$F$75=""),"",IF(AND(Setup!$F$75="Once",AL$1&gt;0),"",IF(OR(IF(Setup!$M$75&gt;0,Setup!$G$75+(Setup!$O$75+AL$1)*Setup!$M$75,EDATE(Setup!$G$75,(Setup!$O$75+AL$1)*Setup!$N$75))&gt;Setup!$P$75,IF(Setup!$M$75&gt;0,Setup!$G$75+(Setup!$O$75+AL$1)*Setup!$M$75,EDATE(Setup!$G$75,(Setup!$O$75+AL$1)*Setup!$N$75))&lt;Setup!$D$5),"",IF(Setup!$M$75&gt;0,Setup!$G$75+(Setup!$O$75+AL$1)*Setup!$M$75,EDATE(Setup!$G$75,(Setup!$O$75+AL$1)*Setup!$N$75))+$A52/1000)))</f>
        <v/>
      </c>
      <c r="AM52">
        <f>IF(OR(Setup!$E$75="",Setup!$G$75="",Setup!$F$75=""),"",IF(AND(Setup!$F$75="Once",AM$1&gt;0),"",IF(OR(IF(Setup!$M$75&gt;0,Setup!$G$75+(Setup!$O$75+AM$1)*Setup!$M$75,EDATE(Setup!$G$75,(Setup!$O$75+AM$1)*Setup!$N$75))&gt;Setup!$P$75,IF(Setup!$M$75&gt;0,Setup!$G$75+(Setup!$O$75+AM$1)*Setup!$M$75,EDATE(Setup!$G$75,(Setup!$O$75+AM$1)*Setup!$N$75))&lt;Setup!$D$5),"",IF(Setup!$M$75&gt;0,Setup!$G$75+(Setup!$O$75+AM$1)*Setup!$M$75,EDATE(Setup!$G$75,(Setup!$O$75+AM$1)*Setup!$N$75))+$A52/1000)))</f>
        <v/>
      </c>
      <c r="AN52">
        <f>IF(OR(Setup!$E$75="",Setup!$G$75="",Setup!$F$75=""),"",IF(AND(Setup!$F$75="Once",AN$1&gt;0),"",IF(OR(IF(Setup!$M$75&gt;0,Setup!$G$75+(Setup!$O$75+AN$1)*Setup!$M$75,EDATE(Setup!$G$75,(Setup!$O$75+AN$1)*Setup!$N$75))&gt;Setup!$P$75,IF(Setup!$M$75&gt;0,Setup!$G$75+(Setup!$O$75+AN$1)*Setup!$M$75,EDATE(Setup!$G$75,(Setup!$O$75+AN$1)*Setup!$N$75))&lt;Setup!$D$5),"",IF(Setup!$M$75&gt;0,Setup!$G$75+(Setup!$O$75+AN$1)*Setup!$M$75,EDATE(Setup!$G$75,(Setup!$O$75+AN$1)*Setup!$N$75))+$A52/1000)))</f>
        <v/>
      </c>
      <c r="AO52">
        <f>IF(OR(Setup!$E$75="",Setup!$G$75="",Setup!$F$75=""),"",IF(AND(Setup!$F$75="Once",AO$1&gt;0),"",IF(OR(IF(Setup!$M$75&gt;0,Setup!$G$75+(Setup!$O$75+AO$1)*Setup!$M$75,EDATE(Setup!$G$75,(Setup!$O$75+AO$1)*Setup!$N$75))&gt;Setup!$P$75,IF(Setup!$M$75&gt;0,Setup!$G$75+(Setup!$O$75+AO$1)*Setup!$M$75,EDATE(Setup!$G$75,(Setup!$O$75+AO$1)*Setup!$N$75))&lt;Setup!$D$5),"",IF(Setup!$M$75&gt;0,Setup!$G$75+(Setup!$O$75+AO$1)*Setup!$M$75,EDATE(Setup!$G$75,(Setup!$O$75+AO$1)*Setup!$N$75))+$A52/1000)))</f>
        <v/>
      </c>
      <c r="AP52">
        <f>IF(OR(Setup!$E$75="",Setup!$G$75="",Setup!$F$75=""),"",IF(AND(Setup!$F$75="Once",AP$1&gt;0),"",IF(OR(IF(Setup!$M$75&gt;0,Setup!$G$75+(Setup!$O$75+AP$1)*Setup!$M$75,EDATE(Setup!$G$75,(Setup!$O$75+AP$1)*Setup!$N$75))&gt;Setup!$P$75,IF(Setup!$M$75&gt;0,Setup!$G$75+(Setup!$O$75+AP$1)*Setup!$M$75,EDATE(Setup!$G$75,(Setup!$O$75+AP$1)*Setup!$N$75))&lt;Setup!$D$5),"",IF(Setup!$M$75&gt;0,Setup!$G$75+(Setup!$O$75+AP$1)*Setup!$M$75,EDATE(Setup!$G$75,(Setup!$O$75+AP$1)*Setup!$N$75))+$A52/1000)))</f>
        <v/>
      </c>
      <c r="AQ52">
        <f>IF(OR(Setup!$E$75="",Setup!$G$75="",Setup!$F$75=""),"",IF(AND(Setup!$F$75="Once",AQ$1&gt;0),"",IF(OR(IF(Setup!$M$75&gt;0,Setup!$G$75+(Setup!$O$75+AQ$1)*Setup!$M$75,EDATE(Setup!$G$75,(Setup!$O$75+AQ$1)*Setup!$N$75))&gt;Setup!$P$75,IF(Setup!$M$75&gt;0,Setup!$G$75+(Setup!$O$75+AQ$1)*Setup!$M$75,EDATE(Setup!$G$75,(Setup!$O$75+AQ$1)*Setup!$N$75))&lt;Setup!$D$5),"",IF(Setup!$M$75&gt;0,Setup!$G$75+(Setup!$O$75+AQ$1)*Setup!$M$75,EDATE(Setup!$G$75,(Setup!$O$75+AQ$1)*Setup!$N$75))+$A52/1000)))</f>
        <v/>
      </c>
      <c r="AR52">
        <f>IF(OR(Setup!$E$75="",Setup!$G$75="",Setup!$F$75=""),"",IF(AND(Setup!$F$75="Once",AR$1&gt;0),"",IF(OR(IF(Setup!$M$75&gt;0,Setup!$G$75+(Setup!$O$75+AR$1)*Setup!$M$75,EDATE(Setup!$G$75,(Setup!$O$75+AR$1)*Setup!$N$75))&gt;Setup!$P$75,IF(Setup!$M$75&gt;0,Setup!$G$75+(Setup!$O$75+AR$1)*Setup!$M$75,EDATE(Setup!$G$75,(Setup!$O$75+AR$1)*Setup!$N$75))&lt;Setup!$D$5),"",IF(Setup!$M$75&gt;0,Setup!$G$75+(Setup!$O$75+AR$1)*Setup!$M$75,EDATE(Setup!$G$75,(Setup!$O$75+AR$1)*Setup!$N$75))+$A52/1000)))</f>
        <v/>
      </c>
      <c r="AS52">
        <f>IF(OR(Setup!$E$75="",Setup!$G$75="",Setup!$F$75=""),"",IF(AND(Setup!$F$75="Once",AS$1&gt;0),"",IF(OR(IF(Setup!$M$75&gt;0,Setup!$G$75+(Setup!$O$75+AS$1)*Setup!$M$75,EDATE(Setup!$G$75,(Setup!$O$75+AS$1)*Setup!$N$75))&gt;Setup!$P$75,IF(Setup!$M$75&gt;0,Setup!$G$75+(Setup!$O$75+AS$1)*Setup!$M$75,EDATE(Setup!$G$75,(Setup!$O$75+AS$1)*Setup!$N$75))&lt;Setup!$D$5),"",IF(Setup!$M$75&gt;0,Setup!$G$75+(Setup!$O$75+AS$1)*Setup!$M$75,EDATE(Setup!$G$75,(Setup!$O$75+AS$1)*Setup!$N$75))+$A52/1000)))</f>
        <v/>
      </c>
      <c r="AT52">
        <f>IF(OR(Setup!$E$75="",Setup!$G$75="",Setup!$F$75=""),"",IF(AND(Setup!$F$75="Once",AT$1&gt;0),"",IF(OR(IF(Setup!$M$75&gt;0,Setup!$G$75+(Setup!$O$75+AT$1)*Setup!$M$75,EDATE(Setup!$G$75,(Setup!$O$75+AT$1)*Setup!$N$75))&gt;Setup!$P$75,IF(Setup!$M$75&gt;0,Setup!$G$75+(Setup!$O$75+AT$1)*Setup!$M$75,EDATE(Setup!$G$75,(Setup!$O$75+AT$1)*Setup!$N$75))&lt;Setup!$D$5),"",IF(Setup!$M$75&gt;0,Setup!$G$75+(Setup!$O$75+AT$1)*Setup!$M$75,EDATE(Setup!$G$75,(Setup!$O$75+AT$1)*Setup!$N$75))+$A52/1000)))</f>
        <v/>
      </c>
      <c r="AU52">
        <f>IF(OR(Setup!$E$75="",Setup!$G$75="",Setup!$F$75=""),"",IF(AND(Setup!$F$75="Once",AU$1&gt;0),"",IF(OR(IF(Setup!$M$75&gt;0,Setup!$G$75+(Setup!$O$75+AU$1)*Setup!$M$75,EDATE(Setup!$G$75,(Setup!$O$75+AU$1)*Setup!$N$75))&gt;Setup!$P$75,IF(Setup!$M$75&gt;0,Setup!$G$75+(Setup!$O$75+AU$1)*Setup!$M$75,EDATE(Setup!$G$75,(Setup!$O$75+AU$1)*Setup!$N$75))&lt;Setup!$D$5),"",IF(Setup!$M$75&gt;0,Setup!$G$75+(Setup!$O$75+AU$1)*Setup!$M$75,EDATE(Setup!$G$75,(Setup!$O$75+AU$1)*Setup!$N$75))+$A52/1000)))</f>
        <v/>
      </c>
      <c r="AV52">
        <f>IF(OR(Setup!$E$75="",Setup!$G$75="",Setup!$F$75=""),"",IF(AND(Setup!$F$75="Once",AV$1&gt;0),"",IF(OR(IF(Setup!$M$75&gt;0,Setup!$G$75+(Setup!$O$75+AV$1)*Setup!$M$75,EDATE(Setup!$G$75,(Setup!$O$75+AV$1)*Setup!$N$75))&gt;Setup!$P$75,IF(Setup!$M$75&gt;0,Setup!$G$75+(Setup!$O$75+AV$1)*Setup!$M$75,EDATE(Setup!$G$75,(Setup!$O$75+AV$1)*Setup!$N$75))&lt;Setup!$D$5),"",IF(Setup!$M$75&gt;0,Setup!$G$75+(Setup!$O$75+AV$1)*Setup!$M$75,EDATE(Setup!$G$75,(Setup!$O$75+AV$1)*Setup!$N$75))+$A52/1000)))</f>
        <v/>
      </c>
      <c r="AW52">
        <f>IF(OR(Setup!$E$75="",Setup!$G$75="",Setup!$F$75=""),"",IF(AND(Setup!$F$75="Once",AW$1&gt;0),"",IF(OR(IF(Setup!$M$75&gt;0,Setup!$G$75+(Setup!$O$75+AW$1)*Setup!$M$75,EDATE(Setup!$G$75,(Setup!$O$75+AW$1)*Setup!$N$75))&gt;Setup!$P$75,IF(Setup!$M$75&gt;0,Setup!$G$75+(Setup!$O$75+AW$1)*Setup!$M$75,EDATE(Setup!$G$75,(Setup!$O$75+AW$1)*Setup!$N$75))&lt;Setup!$D$5),"",IF(Setup!$M$75&gt;0,Setup!$G$75+(Setup!$O$75+AW$1)*Setup!$M$75,EDATE(Setup!$G$75,(Setup!$O$75+AW$1)*Setup!$N$75))+$A52/1000)))</f>
        <v/>
      </c>
      <c r="AX52">
        <f>IF(OR(Setup!$E$75="",Setup!$G$75="",Setup!$F$75=""),"",IF(AND(Setup!$F$75="Once",AX$1&gt;0),"",IF(OR(IF(Setup!$M$75&gt;0,Setup!$G$75+(Setup!$O$75+AX$1)*Setup!$M$75,EDATE(Setup!$G$75,(Setup!$O$75+AX$1)*Setup!$N$75))&gt;Setup!$P$75,IF(Setup!$M$75&gt;0,Setup!$G$75+(Setup!$O$75+AX$1)*Setup!$M$75,EDATE(Setup!$G$75,(Setup!$O$75+AX$1)*Setup!$N$75))&lt;Setup!$D$5),"",IF(Setup!$M$75&gt;0,Setup!$G$75+(Setup!$O$75+AX$1)*Setup!$M$75,EDATE(Setup!$G$75,(Setup!$O$75+AX$1)*Setup!$N$75))+$A52/1000)))</f>
        <v/>
      </c>
      <c r="AY52">
        <f>IF(OR(Setup!$E$75="",Setup!$G$75="",Setup!$F$75=""),"",IF(AND(Setup!$F$75="Once",AY$1&gt;0),"",IF(OR(IF(Setup!$M$75&gt;0,Setup!$G$75+(Setup!$O$75+AY$1)*Setup!$M$75,EDATE(Setup!$G$75,(Setup!$O$75+AY$1)*Setup!$N$75))&gt;Setup!$P$75,IF(Setup!$M$75&gt;0,Setup!$G$75+(Setup!$O$75+AY$1)*Setup!$M$75,EDATE(Setup!$G$75,(Setup!$O$75+AY$1)*Setup!$N$75))&lt;Setup!$D$5),"",IF(Setup!$M$75&gt;0,Setup!$G$75+(Setup!$O$75+AY$1)*Setup!$M$75,EDATE(Setup!$G$75,(Setup!$O$75+AY$1)*Setup!$N$75))+$A52/1000)))</f>
        <v/>
      </c>
      <c r="AZ52">
        <f>IF(OR(Setup!$E$75="",Setup!$G$75="",Setup!$F$75=""),"",IF(AND(Setup!$F$75="Once",AZ$1&gt;0),"",IF(OR(IF(Setup!$M$75&gt;0,Setup!$G$75+(Setup!$O$75+AZ$1)*Setup!$M$75,EDATE(Setup!$G$75,(Setup!$O$75+AZ$1)*Setup!$N$75))&gt;Setup!$P$75,IF(Setup!$M$75&gt;0,Setup!$G$75+(Setup!$O$75+AZ$1)*Setup!$M$75,EDATE(Setup!$G$75,(Setup!$O$75+AZ$1)*Setup!$N$75))&lt;Setup!$D$5),"",IF(Setup!$M$75&gt;0,Setup!$G$75+(Setup!$O$75+AZ$1)*Setup!$M$75,EDATE(Setup!$G$75,(Setup!$O$75+AZ$1)*Setup!$N$75))+$A52/1000)))</f>
        <v/>
      </c>
      <c r="BA52">
        <f>IF(OR(Setup!$E$75="",Setup!$G$75="",Setup!$F$75=""),"",IF(AND(Setup!$F$75="Once",BA$1&gt;0),"",IF(OR(IF(Setup!$M$75&gt;0,Setup!$G$75+(Setup!$O$75+BA$1)*Setup!$M$75,EDATE(Setup!$G$75,(Setup!$O$75+BA$1)*Setup!$N$75))&gt;Setup!$P$75,IF(Setup!$M$75&gt;0,Setup!$G$75+(Setup!$O$75+BA$1)*Setup!$M$75,EDATE(Setup!$G$75,(Setup!$O$75+BA$1)*Setup!$N$75))&lt;Setup!$D$5),"",IF(Setup!$M$75&gt;0,Setup!$G$75+(Setup!$O$75+BA$1)*Setup!$M$75,EDATE(Setup!$G$75,(Setup!$O$75+BA$1)*Setup!$N$75))+$A52/1000)))</f>
        <v/>
      </c>
      <c r="BB52">
        <f>IF(OR(Setup!$E$75="",Setup!$G$75="",Setup!$F$75=""),"",IF(AND(Setup!$F$75="Once",BB$1&gt;0),"",IF(OR(IF(Setup!$M$75&gt;0,Setup!$G$75+(Setup!$O$75+BB$1)*Setup!$M$75,EDATE(Setup!$G$75,(Setup!$O$75+BB$1)*Setup!$N$75))&gt;Setup!$P$75,IF(Setup!$M$75&gt;0,Setup!$G$75+(Setup!$O$75+BB$1)*Setup!$M$75,EDATE(Setup!$G$75,(Setup!$O$75+BB$1)*Setup!$N$75))&lt;Setup!$D$5),"",IF(Setup!$M$75&gt;0,Setup!$G$75+(Setup!$O$75+BB$1)*Setup!$M$75,EDATE(Setup!$G$75,(Setup!$O$75+BB$1)*Setup!$N$75))+$A52/1000)))</f>
        <v/>
      </c>
    </row>
    <row r="53">
      <c r="A53" t="n">
        <v>52</v>
      </c>
      <c r="B53">
        <f>IF(OR(Setup!$E$76="",Setup!$G$76="",Setup!$F$76=""),"",IF(AND(Setup!$F$76="Once",B$1&gt;0),"",IF(OR(IF(Setup!$M$76&gt;0,Setup!$G$76+(Setup!$O$76+B$1)*Setup!$M$76,EDATE(Setup!$G$76,(Setup!$O$76+B$1)*Setup!$N$76))&gt;Setup!$P$76,IF(Setup!$M$76&gt;0,Setup!$G$76+(Setup!$O$76+B$1)*Setup!$M$76,EDATE(Setup!$G$76,(Setup!$O$76+B$1)*Setup!$N$76))&lt;Setup!$D$5),"",IF(Setup!$M$76&gt;0,Setup!$G$76+(Setup!$O$76+B$1)*Setup!$M$76,EDATE(Setup!$G$76,(Setup!$O$76+B$1)*Setup!$N$76))+$A53/1000)))</f>
        <v/>
      </c>
      <c r="C53">
        <f>IF(OR(Setup!$E$76="",Setup!$G$76="",Setup!$F$76=""),"",IF(AND(Setup!$F$76="Once",C$1&gt;0),"",IF(OR(IF(Setup!$M$76&gt;0,Setup!$G$76+(Setup!$O$76+C$1)*Setup!$M$76,EDATE(Setup!$G$76,(Setup!$O$76+C$1)*Setup!$N$76))&gt;Setup!$P$76,IF(Setup!$M$76&gt;0,Setup!$G$76+(Setup!$O$76+C$1)*Setup!$M$76,EDATE(Setup!$G$76,(Setup!$O$76+C$1)*Setup!$N$76))&lt;Setup!$D$5),"",IF(Setup!$M$76&gt;0,Setup!$G$76+(Setup!$O$76+C$1)*Setup!$M$76,EDATE(Setup!$G$76,(Setup!$O$76+C$1)*Setup!$N$76))+$A53/1000)))</f>
        <v/>
      </c>
      <c r="D53">
        <f>IF(OR(Setup!$E$76="",Setup!$G$76="",Setup!$F$76=""),"",IF(AND(Setup!$F$76="Once",D$1&gt;0),"",IF(OR(IF(Setup!$M$76&gt;0,Setup!$G$76+(Setup!$O$76+D$1)*Setup!$M$76,EDATE(Setup!$G$76,(Setup!$O$76+D$1)*Setup!$N$76))&gt;Setup!$P$76,IF(Setup!$M$76&gt;0,Setup!$G$76+(Setup!$O$76+D$1)*Setup!$M$76,EDATE(Setup!$G$76,(Setup!$O$76+D$1)*Setup!$N$76))&lt;Setup!$D$5),"",IF(Setup!$M$76&gt;0,Setup!$G$76+(Setup!$O$76+D$1)*Setup!$M$76,EDATE(Setup!$G$76,(Setup!$O$76+D$1)*Setup!$N$76))+$A53/1000)))</f>
        <v/>
      </c>
      <c r="E53">
        <f>IF(OR(Setup!$E$76="",Setup!$G$76="",Setup!$F$76=""),"",IF(AND(Setup!$F$76="Once",E$1&gt;0),"",IF(OR(IF(Setup!$M$76&gt;0,Setup!$G$76+(Setup!$O$76+E$1)*Setup!$M$76,EDATE(Setup!$G$76,(Setup!$O$76+E$1)*Setup!$N$76))&gt;Setup!$P$76,IF(Setup!$M$76&gt;0,Setup!$G$76+(Setup!$O$76+E$1)*Setup!$M$76,EDATE(Setup!$G$76,(Setup!$O$76+E$1)*Setup!$N$76))&lt;Setup!$D$5),"",IF(Setup!$M$76&gt;0,Setup!$G$76+(Setup!$O$76+E$1)*Setup!$M$76,EDATE(Setup!$G$76,(Setup!$O$76+E$1)*Setup!$N$76))+$A53/1000)))</f>
        <v/>
      </c>
      <c r="F53">
        <f>IF(OR(Setup!$E$76="",Setup!$G$76="",Setup!$F$76=""),"",IF(AND(Setup!$F$76="Once",F$1&gt;0),"",IF(OR(IF(Setup!$M$76&gt;0,Setup!$G$76+(Setup!$O$76+F$1)*Setup!$M$76,EDATE(Setup!$G$76,(Setup!$O$76+F$1)*Setup!$N$76))&gt;Setup!$P$76,IF(Setup!$M$76&gt;0,Setup!$G$76+(Setup!$O$76+F$1)*Setup!$M$76,EDATE(Setup!$G$76,(Setup!$O$76+F$1)*Setup!$N$76))&lt;Setup!$D$5),"",IF(Setup!$M$76&gt;0,Setup!$G$76+(Setup!$O$76+F$1)*Setup!$M$76,EDATE(Setup!$G$76,(Setup!$O$76+F$1)*Setup!$N$76))+$A53/1000)))</f>
        <v/>
      </c>
      <c r="G53">
        <f>IF(OR(Setup!$E$76="",Setup!$G$76="",Setup!$F$76=""),"",IF(AND(Setup!$F$76="Once",G$1&gt;0),"",IF(OR(IF(Setup!$M$76&gt;0,Setup!$G$76+(Setup!$O$76+G$1)*Setup!$M$76,EDATE(Setup!$G$76,(Setup!$O$76+G$1)*Setup!$N$76))&gt;Setup!$P$76,IF(Setup!$M$76&gt;0,Setup!$G$76+(Setup!$O$76+G$1)*Setup!$M$76,EDATE(Setup!$G$76,(Setup!$O$76+G$1)*Setup!$N$76))&lt;Setup!$D$5),"",IF(Setup!$M$76&gt;0,Setup!$G$76+(Setup!$O$76+G$1)*Setup!$M$76,EDATE(Setup!$G$76,(Setup!$O$76+G$1)*Setup!$N$76))+$A53/1000)))</f>
        <v/>
      </c>
      <c r="H53">
        <f>IF(OR(Setup!$E$76="",Setup!$G$76="",Setup!$F$76=""),"",IF(AND(Setup!$F$76="Once",H$1&gt;0),"",IF(OR(IF(Setup!$M$76&gt;0,Setup!$G$76+(Setup!$O$76+H$1)*Setup!$M$76,EDATE(Setup!$G$76,(Setup!$O$76+H$1)*Setup!$N$76))&gt;Setup!$P$76,IF(Setup!$M$76&gt;0,Setup!$G$76+(Setup!$O$76+H$1)*Setup!$M$76,EDATE(Setup!$G$76,(Setup!$O$76+H$1)*Setup!$N$76))&lt;Setup!$D$5),"",IF(Setup!$M$76&gt;0,Setup!$G$76+(Setup!$O$76+H$1)*Setup!$M$76,EDATE(Setup!$G$76,(Setup!$O$76+H$1)*Setup!$N$76))+$A53/1000)))</f>
        <v/>
      </c>
      <c r="I53">
        <f>IF(OR(Setup!$E$76="",Setup!$G$76="",Setup!$F$76=""),"",IF(AND(Setup!$F$76="Once",I$1&gt;0),"",IF(OR(IF(Setup!$M$76&gt;0,Setup!$G$76+(Setup!$O$76+I$1)*Setup!$M$76,EDATE(Setup!$G$76,(Setup!$O$76+I$1)*Setup!$N$76))&gt;Setup!$P$76,IF(Setup!$M$76&gt;0,Setup!$G$76+(Setup!$O$76+I$1)*Setup!$M$76,EDATE(Setup!$G$76,(Setup!$O$76+I$1)*Setup!$N$76))&lt;Setup!$D$5),"",IF(Setup!$M$76&gt;0,Setup!$G$76+(Setup!$O$76+I$1)*Setup!$M$76,EDATE(Setup!$G$76,(Setup!$O$76+I$1)*Setup!$N$76))+$A53/1000)))</f>
        <v/>
      </c>
      <c r="J53">
        <f>IF(OR(Setup!$E$76="",Setup!$G$76="",Setup!$F$76=""),"",IF(AND(Setup!$F$76="Once",J$1&gt;0),"",IF(OR(IF(Setup!$M$76&gt;0,Setup!$G$76+(Setup!$O$76+J$1)*Setup!$M$76,EDATE(Setup!$G$76,(Setup!$O$76+J$1)*Setup!$N$76))&gt;Setup!$P$76,IF(Setup!$M$76&gt;0,Setup!$G$76+(Setup!$O$76+J$1)*Setup!$M$76,EDATE(Setup!$G$76,(Setup!$O$76+J$1)*Setup!$N$76))&lt;Setup!$D$5),"",IF(Setup!$M$76&gt;0,Setup!$G$76+(Setup!$O$76+J$1)*Setup!$M$76,EDATE(Setup!$G$76,(Setup!$O$76+J$1)*Setup!$N$76))+$A53/1000)))</f>
        <v/>
      </c>
      <c r="K53">
        <f>IF(OR(Setup!$E$76="",Setup!$G$76="",Setup!$F$76=""),"",IF(AND(Setup!$F$76="Once",K$1&gt;0),"",IF(OR(IF(Setup!$M$76&gt;0,Setup!$G$76+(Setup!$O$76+K$1)*Setup!$M$76,EDATE(Setup!$G$76,(Setup!$O$76+K$1)*Setup!$N$76))&gt;Setup!$P$76,IF(Setup!$M$76&gt;0,Setup!$G$76+(Setup!$O$76+K$1)*Setup!$M$76,EDATE(Setup!$G$76,(Setup!$O$76+K$1)*Setup!$N$76))&lt;Setup!$D$5),"",IF(Setup!$M$76&gt;0,Setup!$G$76+(Setup!$O$76+K$1)*Setup!$M$76,EDATE(Setup!$G$76,(Setup!$O$76+K$1)*Setup!$N$76))+$A53/1000)))</f>
        <v/>
      </c>
      <c r="L53">
        <f>IF(OR(Setup!$E$76="",Setup!$G$76="",Setup!$F$76=""),"",IF(AND(Setup!$F$76="Once",L$1&gt;0),"",IF(OR(IF(Setup!$M$76&gt;0,Setup!$G$76+(Setup!$O$76+L$1)*Setup!$M$76,EDATE(Setup!$G$76,(Setup!$O$76+L$1)*Setup!$N$76))&gt;Setup!$P$76,IF(Setup!$M$76&gt;0,Setup!$G$76+(Setup!$O$76+L$1)*Setup!$M$76,EDATE(Setup!$G$76,(Setup!$O$76+L$1)*Setup!$N$76))&lt;Setup!$D$5),"",IF(Setup!$M$76&gt;0,Setup!$G$76+(Setup!$O$76+L$1)*Setup!$M$76,EDATE(Setup!$G$76,(Setup!$O$76+L$1)*Setup!$N$76))+$A53/1000)))</f>
        <v/>
      </c>
      <c r="M53">
        <f>IF(OR(Setup!$E$76="",Setup!$G$76="",Setup!$F$76=""),"",IF(AND(Setup!$F$76="Once",M$1&gt;0),"",IF(OR(IF(Setup!$M$76&gt;0,Setup!$G$76+(Setup!$O$76+M$1)*Setup!$M$76,EDATE(Setup!$G$76,(Setup!$O$76+M$1)*Setup!$N$76))&gt;Setup!$P$76,IF(Setup!$M$76&gt;0,Setup!$G$76+(Setup!$O$76+M$1)*Setup!$M$76,EDATE(Setup!$G$76,(Setup!$O$76+M$1)*Setup!$N$76))&lt;Setup!$D$5),"",IF(Setup!$M$76&gt;0,Setup!$G$76+(Setup!$O$76+M$1)*Setup!$M$76,EDATE(Setup!$G$76,(Setup!$O$76+M$1)*Setup!$N$76))+$A53/1000)))</f>
        <v/>
      </c>
      <c r="N53">
        <f>IF(OR(Setup!$E$76="",Setup!$G$76="",Setup!$F$76=""),"",IF(AND(Setup!$F$76="Once",N$1&gt;0),"",IF(OR(IF(Setup!$M$76&gt;0,Setup!$G$76+(Setup!$O$76+N$1)*Setup!$M$76,EDATE(Setup!$G$76,(Setup!$O$76+N$1)*Setup!$N$76))&gt;Setup!$P$76,IF(Setup!$M$76&gt;0,Setup!$G$76+(Setup!$O$76+N$1)*Setup!$M$76,EDATE(Setup!$G$76,(Setup!$O$76+N$1)*Setup!$N$76))&lt;Setup!$D$5),"",IF(Setup!$M$76&gt;0,Setup!$G$76+(Setup!$O$76+N$1)*Setup!$M$76,EDATE(Setup!$G$76,(Setup!$O$76+N$1)*Setup!$N$76))+$A53/1000)))</f>
        <v/>
      </c>
      <c r="O53">
        <f>IF(OR(Setup!$E$76="",Setup!$G$76="",Setup!$F$76=""),"",IF(AND(Setup!$F$76="Once",O$1&gt;0),"",IF(OR(IF(Setup!$M$76&gt;0,Setup!$G$76+(Setup!$O$76+O$1)*Setup!$M$76,EDATE(Setup!$G$76,(Setup!$O$76+O$1)*Setup!$N$76))&gt;Setup!$P$76,IF(Setup!$M$76&gt;0,Setup!$G$76+(Setup!$O$76+O$1)*Setup!$M$76,EDATE(Setup!$G$76,(Setup!$O$76+O$1)*Setup!$N$76))&lt;Setup!$D$5),"",IF(Setup!$M$76&gt;0,Setup!$G$76+(Setup!$O$76+O$1)*Setup!$M$76,EDATE(Setup!$G$76,(Setup!$O$76+O$1)*Setup!$N$76))+$A53/1000)))</f>
        <v/>
      </c>
      <c r="P53">
        <f>IF(OR(Setup!$E$76="",Setup!$G$76="",Setup!$F$76=""),"",IF(AND(Setup!$F$76="Once",P$1&gt;0),"",IF(OR(IF(Setup!$M$76&gt;0,Setup!$G$76+(Setup!$O$76+P$1)*Setup!$M$76,EDATE(Setup!$G$76,(Setup!$O$76+P$1)*Setup!$N$76))&gt;Setup!$P$76,IF(Setup!$M$76&gt;0,Setup!$G$76+(Setup!$O$76+P$1)*Setup!$M$76,EDATE(Setup!$G$76,(Setup!$O$76+P$1)*Setup!$N$76))&lt;Setup!$D$5),"",IF(Setup!$M$76&gt;0,Setup!$G$76+(Setup!$O$76+P$1)*Setup!$M$76,EDATE(Setup!$G$76,(Setup!$O$76+P$1)*Setup!$N$76))+$A53/1000)))</f>
        <v/>
      </c>
      <c r="Q53">
        <f>IF(OR(Setup!$E$76="",Setup!$G$76="",Setup!$F$76=""),"",IF(AND(Setup!$F$76="Once",Q$1&gt;0),"",IF(OR(IF(Setup!$M$76&gt;0,Setup!$G$76+(Setup!$O$76+Q$1)*Setup!$M$76,EDATE(Setup!$G$76,(Setup!$O$76+Q$1)*Setup!$N$76))&gt;Setup!$P$76,IF(Setup!$M$76&gt;0,Setup!$G$76+(Setup!$O$76+Q$1)*Setup!$M$76,EDATE(Setup!$G$76,(Setup!$O$76+Q$1)*Setup!$N$76))&lt;Setup!$D$5),"",IF(Setup!$M$76&gt;0,Setup!$G$76+(Setup!$O$76+Q$1)*Setup!$M$76,EDATE(Setup!$G$76,(Setup!$O$76+Q$1)*Setup!$N$76))+$A53/1000)))</f>
        <v/>
      </c>
      <c r="R53">
        <f>IF(OR(Setup!$E$76="",Setup!$G$76="",Setup!$F$76=""),"",IF(AND(Setup!$F$76="Once",R$1&gt;0),"",IF(OR(IF(Setup!$M$76&gt;0,Setup!$G$76+(Setup!$O$76+R$1)*Setup!$M$76,EDATE(Setup!$G$76,(Setup!$O$76+R$1)*Setup!$N$76))&gt;Setup!$P$76,IF(Setup!$M$76&gt;0,Setup!$G$76+(Setup!$O$76+R$1)*Setup!$M$76,EDATE(Setup!$G$76,(Setup!$O$76+R$1)*Setup!$N$76))&lt;Setup!$D$5),"",IF(Setup!$M$76&gt;0,Setup!$G$76+(Setup!$O$76+R$1)*Setup!$M$76,EDATE(Setup!$G$76,(Setup!$O$76+R$1)*Setup!$N$76))+$A53/1000)))</f>
        <v/>
      </c>
      <c r="S53">
        <f>IF(OR(Setup!$E$76="",Setup!$G$76="",Setup!$F$76=""),"",IF(AND(Setup!$F$76="Once",S$1&gt;0),"",IF(OR(IF(Setup!$M$76&gt;0,Setup!$G$76+(Setup!$O$76+S$1)*Setup!$M$76,EDATE(Setup!$G$76,(Setup!$O$76+S$1)*Setup!$N$76))&gt;Setup!$P$76,IF(Setup!$M$76&gt;0,Setup!$G$76+(Setup!$O$76+S$1)*Setup!$M$76,EDATE(Setup!$G$76,(Setup!$O$76+S$1)*Setup!$N$76))&lt;Setup!$D$5),"",IF(Setup!$M$76&gt;0,Setup!$G$76+(Setup!$O$76+S$1)*Setup!$M$76,EDATE(Setup!$G$76,(Setup!$O$76+S$1)*Setup!$N$76))+$A53/1000)))</f>
        <v/>
      </c>
      <c r="T53">
        <f>IF(OR(Setup!$E$76="",Setup!$G$76="",Setup!$F$76=""),"",IF(AND(Setup!$F$76="Once",T$1&gt;0),"",IF(OR(IF(Setup!$M$76&gt;0,Setup!$G$76+(Setup!$O$76+T$1)*Setup!$M$76,EDATE(Setup!$G$76,(Setup!$O$76+T$1)*Setup!$N$76))&gt;Setup!$P$76,IF(Setup!$M$76&gt;0,Setup!$G$76+(Setup!$O$76+T$1)*Setup!$M$76,EDATE(Setup!$G$76,(Setup!$O$76+T$1)*Setup!$N$76))&lt;Setup!$D$5),"",IF(Setup!$M$76&gt;0,Setup!$G$76+(Setup!$O$76+T$1)*Setup!$M$76,EDATE(Setup!$G$76,(Setup!$O$76+T$1)*Setup!$N$76))+$A53/1000)))</f>
        <v/>
      </c>
      <c r="U53">
        <f>IF(OR(Setup!$E$76="",Setup!$G$76="",Setup!$F$76=""),"",IF(AND(Setup!$F$76="Once",U$1&gt;0),"",IF(OR(IF(Setup!$M$76&gt;0,Setup!$G$76+(Setup!$O$76+U$1)*Setup!$M$76,EDATE(Setup!$G$76,(Setup!$O$76+U$1)*Setup!$N$76))&gt;Setup!$P$76,IF(Setup!$M$76&gt;0,Setup!$G$76+(Setup!$O$76+U$1)*Setup!$M$76,EDATE(Setup!$G$76,(Setup!$O$76+U$1)*Setup!$N$76))&lt;Setup!$D$5),"",IF(Setup!$M$76&gt;0,Setup!$G$76+(Setup!$O$76+U$1)*Setup!$M$76,EDATE(Setup!$G$76,(Setup!$O$76+U$1)*Setup!$N$76))+$A53/1000)))</f>
        <v/>
      </c>
      <c r="V53">
        <f>IF(OR(Setup!$E$76="",Setup!$G$76="",Setup!$F$76=""),"",IF(AND(Setup!$F$76="Once",V$1&gt;0),"",IF(OR(IF(Setup!$M$76&gt;0,Setup!$G$76+(Setup!$O$76+V$1)*Setup!$M$76,EDATE(Setup!$G$76,(Setup!$O$76+V$1)*Setup!$N$76))&gt;Setup!$P$76,IF(Setup!$M$76&gt;0,Setup!$G$76+(Setup!$O$76+V$1)*Setup!$M$76,EDATE(Setup!$G$76,(Setup!$O$76+V$1)*Setup!$N$76))&lt;Setup!$D$5),"",IF(Setup!$M$76&gt;0,Setup!$G$76+(Setup!$O$76+V$1)*Setup!$M$76,EDATE(Setup!$G$76,(Setup!$O$76+V$1)*Setup!$N$76))+$A53/1000)))</f>
        <v/>
      </c>
      <c r="W53">
        <f>IF(OR(Setup!$E$76="",Setup!$G$76="",Setup!$F$76=""),"",IF(AND(Setup!$F$76="Once",W$1&gt;0),"",IF(OR(IF(Setup!$M$76&gt;0,Setup!$G$76+(Setup!$O$76+W$1)*Setup!$M$76,EDATE(Setup!$G$76,(Setup!$O$76+W$1)*Setup!$N$76))&gt;Setup!$P$76,IF(Setup!$M$76&gt;0,Setup!$G$76+(Setup!$O$76+W$1)*Setup!$M$76,EDATE(Setup!$G$76,(Setup!$O$76+W$1)*Setup!$N$76))&lt;Setup!$D$5),"",IF(Setup!$M$76&gt;0,Setup!$G$76+(Setup!$O$76+W$1)*Setup!$M$76,EDATE(Setup!$G$76,(Setup!$O$76+W$1)*Setup!$N$76))+$A53/1000)))</f>
        <v/>
      </c>
      <c r="X53">
        <f>IF(OR(Setup!$E$76="",Setup!$G$76="",Setup!$F$76=""),"",IF(AND(Setup!$F$76="Once",X$1&gt;0),"",IF(OR(IF(Setup!$M$76&gt;0,Setup!$G$76+(Setup!$O$76+X$1)*Setup!$M$76,EDATE(Setup!$G$76,(Setup!$O$76+X$1)*Setup!$N$76))&gt;Setup!$P$76,IF(Setup!$M$76&gt;0,Setup!$G$76+(Setup!$O$76+X$1)*Setup!$M$76,EDATE(Setup!$G$76,(Setup!$O$76+X$1)*Setup!$N$76))&lt;Setup!$D$5),"",IF(Setup!$M$76&gt;0,Setup!$G$76+(Setup!$O$76+X$1)*Setup!$M$76,EDATE(Setup!$G$76,(Setup!$O$76+X$1)*Setup!$N$76))+$A53/1000)))</f>
        <v/>
      </c>
      <c r="Y53">
        <f>IF(OR(Setup!$E$76="",Setup!$G$76="",Setup!$F$76=""),"",IF(AND(Setup!$F$76="Once",Y$1&gt;0),"",IF(OR(IF(Setup!$M$76&gt;0,Setup!$G$76+(Setup!$O$76+Y$1)*Setup!$M$76,EDATE(Setup!$G$76,(Setup!$O$76+Y$1)*Setup!$N$76))&gt;Setup!$P$76,IF(Setup!$M$76&gt;0,Setup!$G$76+(Setup!$O$76+Y$1)*Setup!$M$76,EDATE(Setup!$G$76,(Setup!$O$76+Y$1)*Setup!$N$76))&lt;Setup!$D$5),"",IF(Setup!$M$76&gt;0,Setup!$G$76+(Setup!$O$76+Y$1)*Setup!$M$76,EDATE(Setup!$G$76,(Setup!$O$76+Y$1)*Setup!$N$76))+$A53/1000)))</f>
        <v/>
      </c>
      <c r="Z53">
        <f>IF(OR(Setup!$E$76="",Setup!$G$76="",Setup!$F$76=""),"",IF(AND(Setup!$F$76="Once",Z$1&gt;0),"",IF(OR(IF(Setup!$M$76&gt;0,Setup!$G$76+(Setup!$O$76+Z$1)*Setup!$M$76,EDATE(Setup!$G$76,(Setup!$O$76+Z$1)*Setup!$N$76))&gt;Setup!$P$76,IF(Setup!$M$76&gt;0,Setup!$G$76+(Setup!$O$76+Z$1)*Setup!$M$76,EDATE(Setup!$G$76,(Setup!$O$76+Z$1)*Setup!$N$76))&lt;Setup!$D$5),"",IF(Setup!$M$76&gt;0,Setup!$G$76+(Setup!$O$76+Z$1)*Setup!$M$76,EDATE(Setup!$G$76,(Setup!$O$76+Z$1)*Setup!$N$76))+$A53/1000)))</f>
        <v/>
      </c>
      <c r="AA53">
        <f>IF(OR(Setup!$E$76="",Setup!$G$76="",Setup!$F$76=""),"",IF(AND(Setup!$F$76="Once",AA$1&gt;0),"",IF(OR(IF(Setup!$M$76&gt;0,Setup!$G$76+(Setup!$O$76+AA$1)*Setup!$M$76,EDATE(Setup!$G$76,(Setup!$O$76+AA$1)*Setup!$N$76))&gt;Setup!$P$76,IF(Setup!$M$76&gt;0,Setup!$G$76+(Setup!$O$76+AA$1)*Setup!$M$76,EDATE(Setup!$G$76,(Setup!$O$76+AA$1)*Setup!$N$76))&lt;Setup!$D$5),"",IF(Setup!$M$76&gt;0,Setup!$G$76+(Setup!$O$76+AA$1)*Setup!$M$76,EDATE(Setup!$G$76,(Setup!$O$76+AA$1)*Setup!$N$76))+$A53/1000)))</f>
        <v/>
      </c>
      <c r="AB53">
        <f>IF(OR(Setup!$E$76="",Setup!$G$76="",Setup!$F$76=""),"",IF(AND(Setup!$F$76="Once",AB$1&gt;0),"",IF(OR(IF(Setup!$M$76&gt;0,Setup!$G$76+(Setup!$O$76+AB$1)*Setup!$M$76,EDATE(Setup!$G$76,(Setup!$O$76+AB$1)*Setup!$N$76))&gt;Setup!$P$76,IF(Setup!$M$76&gt;0,Setup!$G$76+(Setup!$O$76+AB$1)*Setup!$M$76,EDATE(Setup!$G$76,(Setup!$O$76+AB$1)*Setup!$N$76))&lt;Setup!$D$5),"",IF(Setup!$M$76&gt;0,Setup!$G$76+(Setup!$O$76+AB$1)*Setup!$M$76,EDATE(Setup!$G$76,(Setup!$O$76+AB$1)*Setup!$N$76))+$A53/1000)))</f>
        <v/>
      </c>
      <c r="AC53">
        <f>IF(OR(Setup!$E$76="",Setup!$G$76="",Setup!$F$76=""),"",IF(AND(Setup!$F$76="Once",AC$1&gt;0),"",IF(OR(IF(Setup!$M$76&gt;0,Setup!$G$76+(Setup!$O$76+AC$1)*Setup!$M$76,EDATE(Setup!$G$76,(Setup!$O$76+AC$1)*Setup!$N$76))&gt;Setup!$P$76,IF(Setup!$M$76&gt;0,Setup!$G$76+(Setup!$O$76+AC$1)*Setup!$M$76,EDATE(Setup!$G$76,(Setup!$O$76+AC$1)*Setup!$N$76))&lt;Setup!$D$5),"",IF(Setup!$M$76&gt;0,Setup!$G$76+(Setup!$O$76+AC$1)*Setup!$M$76,EDATE(Setup!$G$76,(Setup!$O$76+AC$1)*Setup!$N$76))+$A53/1000)))</f>
        <v/>
      </c>
      <c r="AD53">
        <f>IF(OR(Setup!$E$76="",Setup!$G$76="",Setup!$F$76=""),"",IF(AND(Setup!$F$76="Once",AD$1&gt;0),"",IF(OR(IF(Setup!$M$76&gt;0,Setup!$G$76+(Setup!$O$76+AD$1)*Setup!$M$76,EDATE(Setup!$G$76,(Setup!$O$76+AD$1)*Setup!$N$76))&gt;Setup!$P$76,IF(Setup!$M$76&gt;0,Setup!$G$76+(Setup!$O$76+AD$1)*Setup!$M$76,EDATE(Setup!$G$76,(Setup!$O$76+AD$1)*Setup!$N$76))&lt;Setup!$D$5),"",IF(Setup!$M$76&gt;0,Setup!$G$76+(Setup!$O$76+AD$1)*Setup!$M$76,EDATE(Setup!$G$76,(Setup!$O$76+AD$1)*Setup!$N$76))+$A53/1000)))</f>
        <v/>
      </c>
      <c r="AE53">
        <f>IF(OR(Setup!$E$76="",Setup!$G$76="",Setup!$F$76=""),"",IF(AND(Setup!$F$76="Once",AE$1&gt;0),"",IF(OR(IF(Setup!$M$76&gt;0,Setup!$G$76+(Setup!$O$76+AE$1)*Setup!$M$76,EDATE(Setup!$G$76,(Setup!$O$76+AE$1)*Setup!$N$76))&gt;Setup!$P$76,IF(Setup!$M$76&gt;0,Setup!$G$76+(Setup!$O$76+AE$1)*Setup!$M$76,EDATE(Setup!$G$76,(Setup!$O$76+AE$1)*Setup!$N$76))&lt;Setup!$D$5),"",IF(Setup!$M$76&gt;0,Setup!$G$76+(Setup!$O$76+AE$1)*Setup!$M$76,EDATE(Setup!$G$76,(Setup!$O$76+AE$1)*Setup!$N$76))+$A53/1000)))</f>
        <v/>
      </c>
      <c r="AF53">
        <f>IF(OR(Setup!$E$76="",Setup!$G$76="",Setup!$F$76=""),"",IF(AND(Setup!$F$76="Once",AF$1&gt;0),"",IF(OR(IF(Setup!$M$76&gt;0,Setup!$G$76+(Setup!$O$76+AF$1)*Setup!$M$76,EDATE(Setup!$G$76,(Setup!$O$76+AF$1)*Setup!$N$76))&gt;Setup!$P$76,IF(Setup!$M$76&gt;0,Setup!$G$76+(Setup!$O$76+AF$1)*Setup!$M$76,EDATE(Setup!$G$76,(Setup!$O$76+AF$1)*Setup!$N$76))&lt;Setup!$D$5),"",IF(Setup!$M$76&gt;0,Setup!$G$76+(Setup!$O$76+AF$1)*Setup!$M$76,EDATE(Setup!$G$76,(Setup!$O$76+AF$1)*Setup!$N$76))+$A53/1000)))</f>
        <v/>
      </c>
      <c r="AG53">
        <f>IF(OR(Setup!$E$76="",Setup!$G$76="",Setup!$F$76=""),"",IF(AND(Setup!$F$76="Once",AG$1&gt;0),"",IF(OR(IF(Setup!$M$76&gt;0,Setup!$G$76+(Setup!$O$76+AG$1)*Setup!$M$76,EDATE(Setup!$G$76,(Setup!$O$76+AG$1)*Setup!$N$76))&gt;Setup!$P$76,IF(Setup!$M$76&gt;0,Setup!$G$76+(Setup!$O$76+AG$1)*Setup!$M$76,EDATE(Setup!$G$76,(Setup!$O$76+AG$1)*Setup!$N$76))&lt;Setup!$D$5),"",IF(Setup!$M$76&gt;0,Setup!$G$76+(Setup!$O$76+AG$1)*Setup!$M$76,EDATE(Setup!$G$76,(Setup!$O$76+AG$1)*Setup!$N$76))+$A53/1000)))</f>
        <v/>
      </c>
      <c r="AH53">
        <f>IF(OR(Setup!$E$76="",Setup!$G$76="",Setup!$F$76=""),"",IF(AND(Setup!$F$76="Once",AH$1&gt;0),"",IF(OR(IF(Setup!$M$76&gt;0,Setup!$G$76+(Setup!$O$76+AH$1)*Setup!$M$76,EDATE(Setup!$G$76,(Setup!$O$76+AH$1)*Setup!$N$76))&gt;Setup!$P$76,IF(Setup!$M$76&gt;0,Setup!$G$76+(Setup!$O$76+AH$1)*Setup!$M$76,EDATE(Setup!$G$76,(Setup!$O$76+AH$1)*Setup!$N$76))&lt;Setup!$D$5),"",IF(Setup!$M$76&gt;0,Setup!$G$76+(Setup!$O$76+AH$1)*Setup!$M$76,EDATE(Setup!$G$76,(Setup!$O$76+AH$1)*Setup!$N$76))+$A53/1000)))</f>
        <v/>
      </c>
      <c r="AI53">
        <f>IF(OR(Setup!$E$76="",Setup!$G$76="",Setup!$F$76=""),"",IF(AND(Setup!$F$76="Once",AI$1&gt;0),"",IF(OR(IF(Setup!$M$76&gt;0,Setup!$G$76+(Setup!$O$76+AI$1)*Setup!$M$76,EDATE(Setup!$G$76,(Setup!$O$76+AI$1)*Setup!$N$76))&gt;Setup!$P$76,IF(Setup!$M$76&gt;0,Setup!$G$76+(Setup!$O$76+AI$1)*Setup!$M$76,EDATE(Setup!$G$76,(Setup!$O$76+AI$1)*Setup!$N$76))&lt;Setup!$D$5),"",IF(Setup!$M$76&gt;0,Setup!$G$76+(Setup!$O$76+AI$1)*Setup!$M$76,EDATE(Setup!$G$76,(Setup!$O$76+AI$1)*Setup!$N$76))+$A53/1000)))</f>
        <v/>
      </c>
      <c r="AJ53">
        <f>IF(OR(Setup!$E$76="",Setup!$G$76="",Setup!$F$76=""),"",IF(AND(Setup!$F$76="Once",AJ$1&gt;0),"",IF(OR(IF(Setup!$M$76&gt;0,Setup!$G$76+(Setup!$O$76+AJ$1)*Setup!$M$76,EDATE(Setup!$G$76,(Setup!$O$76+AJ$1)*Setup!$N$76))&gt;Setup!$P$76,IF(Setup!$M$76&gt;0,Setup!$G$76+(Setup!$O$76+AJ$1)*Setup!$M$76,EDATE(Setup!$G$76,(Setup!$O$76+AJ$1)*Setup!$N$76))&lt;Setup!$D$5),"",IF(Setup!$M$76&gt;0,Setup!$G$76+(Setup!$O$76+AJ$1)*Setup!$M$76,EDATE(Setup!$G$76,(Setup!$O$76+AJ$1)*Setup!$N$76))+$A53/1000)))</f>
        <v/>
      </c>
      <c r="AK53">
        <f>IF(OR(Setup!$E$76="",Setup!$G$76="",Setup!$F$76=""),"",IF(AND(Setup!$F$76="Once",AK$1&gt;0),"",IF(OR(IF(Setup!$M$76&gt;0,Setup!$G$76+(Setup!$O$76+AK$1)*Setup!$M$76,EDATE(Setup!$G$76,(Setup!$O$76+AK$1)*Setup!$N$76))&gt;Setup!$P$76,IF(Setup!$M$76&gt;0,Setup!$G$76+(Setup!$O$76+AK$1)*Setup!$M$76,EDATE(Setup!$G$76,(Setup!$O$76+AK$1)*Setup!$N$76))&lt;Setup!$D$5),"",IF(Setup!$M$76&gt;0,Setup!$G$76+(Setup!$O$76+AK$1)*Setup!$M$76,EDATE(Setup!$G$76,(Setup!$O$76+AK$1)*Setup!$N$76))+$A53/1000)))</f>
        <v/>
      </c>
      <c r="AL53">
        <f>IF(OR(Setup!$E$76="",Setup!$G$76="",Setup!$F$76=""),"",IF(AND(Setup!$F$76="Once",AL$1&gt;0),"",IF(OR(IF(Setup!$M$76&gt;0,Setup!$G$76+(Setup!$O$76+AL$1)*Setup!$M$76,EDATE(Setup!$G$76,(Setup!$O$76+AL$1)*Setup!$N$76))&gt;Setup!$P$76,IF(Setup!$M$76&gt;0,Setup!$G$76+(Setup!$O$76+AL$1)*Setup!$M$76,EDATE(Setup!$G$76,(Setup!$O$76+AL$1)*Setup!$N$76))&lt;Setup!$D$5),"",IF(Setup!$M$76&gt;0,Setup!$G$76+(Setup!$O$76+AL$1)*Setup!$M$76,EDATE(Setup!$G$76,(Setup!$O$76+AL$1)*Setup!$N$76))+$A53/1000)))</f>
        <v/>
      </c>
      <c r="AM53">
        <f>IF(OR(Setup!$E$76="",Setup!$G$76="",Setup!$F$76=""),"",IF(AND(Setup!$F$76="Once",AM$1&gt;0),"",IF(OR(IF(Setup!$M$76&gt;0,Setup!$G$76+(Setup!$O$76+AM$1)*Setup!$M$76,EDATE(Setup!$G$76,(Setup!$O$76+AM$1)*Setup!$N$76))&gt;Setup!$P$76,IF(Setup!$M$76&gt;0,Setup!$G$76+(Setup!$O$76+AM$1)*Setup!$M$76,EDATE(Setup!$G$76,(Setup!$O$76+AM$1)*Setup!$N$76))&lt;Setup!$D$5),"",IF(Setup!$M$76&gt;0,Setup!$G$76+(Setup!$O$76+AM$1)*Setup!$M$76,EDATE(Setup!$G$76,(Setup!$O$76+AM$1)*Setup!$N$76))+$A53/1000)))</f>
        <v/>
      </c>
      <c r="AN53">
        <f>IF(OR(Setup!$E$76="",Setup!$G$76="",Setup!$F$76=""),"",IF(AND(Setup!$F$76="Once",AN$1&gt;0),"",IF(OR(IF(Setup!$M$76&gt;0,Setup!$G$76+(Setup!$O$76+AN$1)*Setup!$M$76,EDATE(Setup!$G$76,(Setup!$O$76+AN$1)*Setup!$N$76))&gt;Setup!$P$76,IF(Setup!$M$76&gt;0,Setup!$G$76+(Setup!$O$76+AN$1)*Setup!$M$76,EDATE(Setup!$G$76,(Setup!$O$76+AN$1)*Setup!$N$76))&lt;Setup!$D$5),"",IF(Setup!$M$76&gt;0,Setup!$G$76+(Setup!$O$76+AN$1)*Setup!$M$76,EDATE(Setup!$G$76,(Setup!$O$76+AN$1)*Setup!$N$76))+$A53/1000)))</f>
        <v/>
      </c>
      <c r="AO53">
        <f>IF(OR(Setup!$E$76="",Setup!$G$76="",Setup!$F$76=""),"",IF(AND(Setup!$F$76="Once",AO$1&gt;0),"",IF(OR(IF(Setup!$M$76&gt;0,Setup!$G$76+(Setup!$O$76+AO$1)*Setup!$M$76,EDATE(Setup!$G$76,(Setup!$O$76+AO$1)*Setup!$N$76))&gt;Setup!$P$76,IF(Setup!$M$76&gt;0,Setup!$G$76+(Setup!$O$76+AO$1)*Setup!$M$76,EDATE(Setup!$G$76,(Setup!$O$76+AO$1)*Setup!$N$76))&lt;Setup!$D$5),"",IF(Setup!$M$76&gt;0,Setup!$G$76+(Setup!$O$76+AO$1)*Setup!$M$76,EDATE(Setup!$G$76,(Setup!$O$76+AO$1)*Setup!$N$76))+$A53/1000)))</f>
        <v/>
      </c>
      <c r="AP53">
        <f>IF(OR(Setup!$E$76="",Setup!$G$76="",Setup!$F$76=""),"",IF(AND(Setup!$F$76="Once",AP$1&gt;0),"",IF(OR(IF(Setup!$M$76&gt;0,Setup!$G$76+(Setup!$O$76+AP$1)*Setup!$M$76,EDATE(Setup!$G$76,(Setup!$O$76+AP$1)*Setup!$N$76))&gt;Setup!$P$76,IF(Setup!$M$76&gt;0,Setup!$G$76+(Setup!$O$76+AP$1)*Setup!$M$76,EDATE(Setup!$G$76,(Setup!$O$76+AP$1)*Setup!$N$76))&lt;Setup!$D$5),"",IF(Setup!$M$76&gt;0,Setup!$G$76+(Setup!$O$76+AP$1)*Setup!$M$76,EDATE(Setup!$G$76,(Setup!$O$76+AP$1)*Setup!$N$76))+$A53/1000)))</f>
        <v/>
      </c>
      <c r="AQ53">
        <f>IF(OR(Setup!$E$76="",Setup!$G$76="",Setup!$F$76=""),"",IF(AND(Setup!$F$76="Once",AQ$1&gt;0),"",IF(OR(IF(Setup!$M$76&gt;0,Setup!$G$76+(Setup!$O$76+AQ$1)*Setup!$M$76,EDATE(Setup!$G$76,(Setup!$O$76+AQ$1)*Setup!$N$76))&gt;Setup!$P$76,IF(Setup!$M$76&gt;0,Setup!$G$76+(Setup!$O$76+AQ$1)*Setup!$M$76,EDATE(Setup!$G$76,(Setup!$O$76+AQ$1)*Setup!$N$76))&lt;Setup!$D$5),"",IF(Setup!$M$76&gt;0,Setup!$G$76+(Setup!$O$76+AQ$1)*Setup!$M$76,EDATE(Setup!$G$76,(Setup!$O$76+AQ$1)*Setup!$N$76))+$A53/1000)))</f>
        <v/>
      </c>
      <c r="AR53">
        <f>IF(OR(Setup!$E$76="",Setup!$G$76="",Setup!$F$76=""),"",IF(AND(Setup!$F$76="Once",AR$1&gt;0),"",IF(OR(IF(Setup!$M$76&gt;0,Setup!$G$76+(Setup!$O$76+AR$1)*Setup!$M$76,EDATE(Setup!$G$76,(Setup!$O$76+AR$1)*Setup!$N$76))&gt;Setup!$P$76,IF(Setup!$M$76&gt;0,Setup!$G$76+(Setup!$O$76+AR$1)*Setup!$M$76,EDATE(Setup!$G$76,(Setup!$O$76+AR$1)*Setup!$N$76))&lt;Setup!$D$5),"",IF(Setup!$M$76&gt;0,Setup!$G$76+(Setup!$O$76+AR$1)*Setup!$M$76,EDATE(Setup!$G$76,(Setup!$O$76+AR$1)*Setup!$N$76))+$A53/1000)))</f>
        <v/>
      </c>
      <c r="AS53">
        <f>IF(OR(Setup!$E$76="",Setup!$G$76="",Setup!$F$76=""),"",IF(AND(Setup!$F$76="Once",AS$1&gt;0),"",IF(OR(IF(Setup!$M$76&gt;0,Setup!$G$76+(Setup!$O$76+AS$1)*Setup!$M$76,EDATE(Setup!$G$76,(Setup!$O$76+AS$1)*Setup!$N$76))&gt;Setup!$P$76,IF(Setup!$M$76&gt;0,Setup!$G$76+(Setup!$O$76+AS$1)*Setup!$M$76,EDATE(Setup!$G$76,(Setup!$O$76+AS$1)*Setup!$N$76))&lt;Setup!$D$5),"",IF(Setup!$M$76&gt;0,Setup!$G$76+(Setup!$O$76+AS$1)*Setup!$M$76,EDATE(Setup!$G$76,(Setup!$O$76+AS$1)*Setup!$N$76))+$A53/1000)))</f>
        <v/>
      </c>
      <c r="AT53">
        <f>IF(OR(Setup!$E$76="",Setup!$G$76="",Setup!$F$76=""),"",IF(AND(Setup!$F$76="Once",AT$1&gt;0),"",IF(OR(IF(Setup!$M$76&gt;0,Setup!$G$76+(Setup!$O$76+AT$1)*Setup!$M$76,EDATE(Setup!$G$76,(Setup!$O$76+AT$1)*Setup!$N$76))&gt;Setup!$P$76,IF(Setup!$M$76&gt;0,Setup!$G$76+(Setup!$O$76+AT$1)*Setup!$M$76,EDATE(Setup!$G$76,(Setup!$O$76+AT$1)*Setup!$N$76))&lt;Setup!$D$5),"",IF(Setup!$M$76&gt;0,Setup!$G$76+(Setup!$O$76+AT$1)*Setup!$M$76,EDATE(Setup!$G$76,(Setup!$O$76+AT$1)*Setup!$N$76))+$A53/1000)))</f>
        <v/>
      </c>
      <c r="AU53">
        <f>IF(OR(Setup!$E$76="",Setup!$G$76="",Setup!$F$76=""),"",IF(AND(Setup!$F$76="Once",AU$1&gt;0),"",IF(OR(IF(Setup!$M$76&gt;0,Setup!$G$76+(Setup!$O$76+AU$1)*Setup!$M$76,EDATE(Setup!$G$76,(Setup!$O$76+AU$1)*Setup!$N$76))&gt;Setup!$P$76,IF(Setup!$M$76&gt;0,Setup!$G$76+(Setup!$O$76+AU$1)*Setup!$M$76,EDATE(Setup!$G$76,(Setup!$O$76+AU$1)*Setup!$N$76))&lt;Setup!$D$5),"",IF(Setup!$M$76&gt;0,Setup!$G$76+(Setup!$O$76+AU$1)*Setup!$M$76,EDATE(Setup!$G$76,(Setup!$O$76+AU$1)*Setup!$N$76))+$A53/1000)))</f>
        <v/>
      </c>
      <c r="AV53">
        <f>IF(OR(Setup!$E$76="",Setup!$G$76="",Setup!$F$76=""),"",IF(AND(Setup!$F$76="Once",AV$1&gt;0),"",IF(OR(IF(Setup!$M$76&gt;0,Setup!$G$76+(Setup!$O$76+AV$1)*Setup!$M$76,EDATE(Setup!$G$76,(Setup!$O$76+AV$1)*Setup!$N$76))&gt;Setup!$P$76,IF(Setup!$M$76&gt;0,Setup!$G$76+(Setup!$O$76+AV$1)*Setup!$M$76,EDATE(Setup!$G$76,(Setup!$O$76+AV$1)*Setup!$N$76))&lt;Setup!$D$5),"",IF(Setup!$M$76&gt;0,Setup!$G$76+(Setup!$O$76+AV$1)*Setup!$M$76,EDATE(Setup!$G$76,(Setup!$O$76+AV$1)*Setup!$N$76))+$A53/1000)))</f>
        <v/>
      </c>
      <c r="AW53">
        <f>IF(OR(Setup!$E$76="",Setup!$G$76="",Setup!$F$76=""),"",IF(AND(Setup!$F$76="Once",AW$1&gt;0),"",IF(OR(IF(Setup!$M$76&gt;0,Setup!$G$76+(Setup!$O$76+AW$1)*Setup!$M$76,EDATE(Setup!$G$76,(Setup!$O$76+AW$1)*Setup!$N$76))&gt;Setup!$P$76,IF(Setup!$M$76&gt;0,Setup!$G$76+(Setup!$O$76+AW$1)*Setup!$M$76,EDATE(Setup!$G$76,(Setup!$O$76+AW$1)*Setup!$N$76))&lt;Setup!$D$5),"",IF(Setup!$M$76&gt;0,Setup!$G$76+(Setup!$O$76+AW$1)*Setup!$M$76,EDATE(Setup!$G$76,(Setup!$O$76+AW$1)*Setup!$N$76))+$A53/1000)))</f>
        <v/>
      </c>
      <c r="AX53">
        <f>IF(OR(Setup!$E$76="",Setup!$G$76="",Setup!$F$76=""),"",IF(AND(Setup!$F$76="Once",AX$1&gt;0),"",IF(OR(IF(Setup!$M$76&gt;0,Setup!$G$76+(Setup!$O$76+AX$1)*Setup!$M$76,EDATE(Setup!$G$76,(Setup!$O$76+AX$1)*Setup!$N$76))&gt;Setup!$P$76,IF(Setup!$M$76&gt;0,Setup!$G$76+(Setup!$O$76+AX$1)*Setup!$M$76,EDATE(Setup!$G$76,(Setup!$O$76+AX$1)*Setup!$N$76))&lt;Setup!$D$5),"",IF(Setup!$M$76&gt;0,Setup!$G$76+(Setup!$O$76+AX$1)*Setup!$M$76,EDATE(Setup!$G$76,(Setup!$O$76+AX$1)*Setup!$N$76))+$A53/1000)))</f>
        <v/>
      </c>
      <c r="AY53">
        <f>IF(OR(Setup!$E$76="",Setup!$G$76="",Setup!$F$76=""),"",IF(AND(Setup!$F$76="Once",AY$1&gt;0),"",IF(OR(IF(Setup!$M$76&gt;0,Setup!$G$76+(Setup!$O$76+AY$1)*Setup!$M$76,EDATE(Setup!$G$76,(Setup!$O$76+AY$1)*Setup!$N$76))&gt;Setup!$P$76,IF(Setup!$M$76&gt;0,Setup!$G$76+(Setup!$O$76+AY$1)*Setup!$M$76,EDATE(Setup!$G$76,(Setup!$O$76+AY$1)*Setup!$N$76))&lt;Setup!$D$5),"",IF(Setup!$M$76&gt;0,Setup!$G$76+(Setup!$O$76+AY$1)*Setup!$M$76,EDATE(Setup!$G$76,(Setup!$O$76+AY$1)*Setup!$N$76))+$A53/1000)))</f>
        <v/>
      </c>
      <c r="AZ53">
        <f>IF(OR(Setup!$E$76="",Setup!$G$76="",Setup!$F$76=""),"",IF(AND(Setup!$F$76="Once",AZ$1&gt;0),"",IF(OR(IF(Setup!$M$76&gt;0,Setup!$G$76+(Setup!$O$76+AZ$1)*Setup!$M$76,EDATE(Setup!$G$76,(Setup!$O$76+AZ$1)*Setup!$N$76))&gt;Setup!$P$76,IF(Setup!$M$76&gt;0,Setup!$G$76+(Setup!$O$76+AZ$1)*Setup!$M$76,EDATE(Setup!$G$76,(Setup!$O$76+AZ$1)*Setup!$N$76))&lt;Setup!$D$5),"",IF(Setup!$M$76&gt;0,Setup!$G$76+(Setup!$O$76+AZ$1)*Setup!$M$76,EDATE(Setup!$G$76,(Setup!$O$76+AZ$1)*Setup!$N$76))+$A53/1000)))</f>
        <v/>
      </c>
      <c r="BA53">
        <f>IF(OR(Setup!$E$76="",Setup!$G$76="",Setup!$F$76=""),"",IF(AND(Setup!$F$76="Once",BA$1&gt;0),"",IF(OR(IF(Setup!$M$76&gt;0,Setup!$G$76+(Setup!$O$76+BA$1)*Setup!$M$76,EDATE(Setup!$G$76,(Setup!$O$76+BA$1)*Setup!$N$76))&gt;Setup!$P$76,IF(Setup!$M$76&gt;0,Setup!$G$76+(Setup!$O$76+BA$1)*Setup!$M$76,EDATE(Setup!$G$76,(Setup!$O$76+BA$1)*Setup!$N$76))&lt;Setup!$D$5),"",IF(Setup!$M$76&gt;0,Setup!$G$76+(Setup!$O$76+BA$1)*Setup!$M$76,EDATE(Setup!$G$76,(Setup!$O$76+BA$1)*Setup!$N$76))+$A53/1000)))</f>
        <v/>
      </c>
      <c r="BB53">
        <f>IF(OR(Setup!$E$76="",Setup!$G$76="",Setup!$F$76=""),"",IF(AND(Setup!$F$76="Once",BB$1&gt;0),"",IF(OR(IF(Setup!$M$76&gt;0,Setup!$G$76+(Setup!$O$76+BB$1)*Setup!$M$76,EDATE(Setup!$G$76,(Setup!$O$76+BB$1)*Setup!$N$76))&gt;Setup!$P$76,IF(Setup!$M$76&gt;0,Setup!$G$76+(Setup!$O$76+BB$1)*Setup!$M$76,EDATE(Setup!$G$76,(Setup!$O$76+BB$1)*Setup!$N$76))&lt;Setup!$D$5),"",IF(Setup!$M$76&gt;0,Setup!$G$76+(Setup!$O$76+BB$1)*Setup!$M$76,EDATE(Setup!$G$76,(Setup!$O$76+BB$1)*Setup!$N$76))+$A53/1000)))</f>
        <v/>
      </c>
    </row>
    <row r="54">
      <c r="A54" t="n">
        <v>53</v>
      </c>
      <c r="B54">
        <f>IF(OR(Setup!$E$77="",Setup!$G$77="",Setup!$F$77=""),"",IF(AND(Setup!$F$77="Once",B$1&gt;0),"",IF(OR(IF(Setup!$M$77&gt;0,Setup!$G$77+(Setup!$O$77+B$1)*Setup!$M$77,EDATE(Setup!$G$77,(Setup!$O$77+B$1)*Setup!$N$77))&gt;Setup!$P$77,IF(Setup!$M$77&gt;0,Setup!$G$77+(Setup!$O$77+B$1)*Setup!$M$77,EDATE(Setup!$G$77,(Setup!$O$77+B$1)*Setup!$N$77))&lt;Setup!$D$5),"",IF(Setup!$M$77&gt;0,Setup!$G$77+(Setup!$O$77+B$1)*Setup!$M$77,EDATE(Setup!$G$77,(Setup!$O$77+B$1)*Setup!$N$77))+$A54/1000)))</f>
        <v/>
      </c>
      <c r="C54">
        <f>IF(OR(Setup!$E$77="",Setup!$G$77="",Setup!$F$77=""),"",IF(AND(Setup!$F$77="Once",C$1&gt;0),"",IF(OR(IF(Setup!$M$77&gt;0,Setup!$G$77+(Setup!$O$77+C$1)*Setup!$M$77,EDATE(Setup!$G$77,(Setup!$O$77+C$1)*Setup!$N$77))&gt;Setup!$P$77,IF(Setup!$M$77&gt;0,Setup!$G$77+(Setup!$O$77+C$1)*Setup!$M$77,EDATE(Setup!$G$77,(Setup!$O$77+C$1)*Setup!$N$77))&lt;Setup!$D$5),"",IF(Setup!$M$77&gt;0,Setup!$G$77+(Setup!$O$77+C$1)*Setup!$M$77,EDATE(Setup!$G$77,(Setup!$O$77+C$1)*Setup!$N$77))+$A54/1000)))</f>
        <v/>
      </c>
      <c r="D54">
        <f>IF(OR(Setup!$E$77="",Setup!$G$77="",Setup!$F$77=""),"",IF(AND(Setup!$F$77="Once",D$1&gt;0),"",IF(OR(IF(Setup!$M$77&gt;0,Setup!$G$77+(Setup!$O$77+D$1)*Setup!$M$77,EDATE(Setup!$G$77,(Setup!$O$77+D$1)*Setup!$N$77))&gt;Setup!$P$77,IF(Setup!$M$77&gt;0,Setup!$G$77+(Setup!$O$77+D$1)*Setup!$M$77,EDATE(Setup!$G$77,(Setup!$O$77+D$1)*Setup!$N$77))&lt;Setup!$D$5),"",IF(Setup!$M$77&gt;0,Setup!$G$77+(Setup!$O$77+D$1)*Setup!$M$77,EDATE(Setup!$G$77,(Setup!$O$77+D$1)*Setup!$N$77))+$A54/1000)))</f>
        <v/>
      </c>
      <c r="E54">
        <f>IF(OR(Setup!$E$77="",Setup!$G$77="",Setup!$F$77=""),"",IF(AND(Setup!$F$77="Once",E$1&gt;0),"",IF(OR(IF(Setup!$M$77&gt;0,Setup!$G$77+(Setup!$O$77+E$1)*Setup!$M$77,EDATE(Setup!$G$77,(Setup!$O$77+E$1)*Setup!$N$77))&gt;Setup!$P$77,IF(Setup!$M$77&gt;0,Setup!$G$77+(Setup!$O$77+E$1)*Setup!$M$77,EDATE(Setup!$G$77,(Setup!$O$77+E$1)*Setup!$N$77))&lt;Setup!$D$5),"",IF(Setup!$M$77&gt;0,Setup!$G$77+(Setup!$O$77+E$1)*Setup!$M$77,EDATE(Setup!$G$77,(Setup!$O$77+E$1)*Setup!$N$77))+$A54/1000)))</f>
        <v/>
      </c>
      <c r="F54">
        <f>IF(OR(Setup!$E$77="",Setup!$G$77="",Setup!$F$77=""),"",IF(AND(Setup!$F$77="Once",F$1&gt;0),"",IF(OR(IF(Setup!$M$77&gt;0,Setup!$G$77+(Setup!$O$77+F$1)*Setup!$M$77,EDATE(Setup!$G$77,(Setup!$O$77+F$1)*Setup!$N$77))&gt;Setup!$P$77,IF(Setup!$M$77&gt;0,Setup!$G$77+(Setup!$O$77+F$1)*Setup!$M$77,EDATE(Setup!$G$77,(Setup!$O$77+F$1)*Setup!$N$77))&lt;Setup!$D$5),"",IF(Setup!$M$77&gt;0,Setup!$G$77+(Setup!$O$77+F$1)*Setup!$M$77,EDATE(Setup!$G$77,(Setup!$O$77+F$1)*Setup!$N$77))+$A54/1000)))</f>
        <v/>
      </c>
      <c r="G54">
        <f>IF(OR(Setup!$E$77="",Setup!$G$77="",Setup!$F$77=""),"",IF(AND(Setup!$F$77="Once",G$1&gt;0),"",IF(OR(IF(Setup!$M$77&gt;0,Setup!$G$77+(Setup!$O$77+G$1)*Setup!$M$77,EDATE(Setup!$G$77,(Setup!$O$77+G$1)*Setup!$N$77))&gt;Setup!$P$77,IF(Setup!$M$77&gt;0,Setup!$G$77+(Setup!$O$77+G$1)*Setup!$M$77,EDATE(Setup!$G$77,(Setup!$O$77+G$1)*Setup!$N$77))&lt;Setup!$D$5),"",IF(Setup!$M$77&gt;0,Setup!$G$77+(Setup!$O$77+G$1)*Setup!$M$77,EDATE(Setup!$G$77,(Setup!$O$77+G$1)*Setup!$N$77))+$A54/1000)))</f>
        <v/>
      </c>
      <c r="H54">
        <f>IF(OR(Setup!$E$77="",Setup!$G$77="",Setup!$F$77=""),"",IF(AND(Setup!$F$77="Once",H$1&gt;0),"",IF(OR(IF(Setup!$M$77&gt;0,Setup!$G$77+(Setup!$O$77+H$1)*Setup!$M$77,EDATE(Setup!$G$77,(Setup!$O$77+H$1)*Setup!$N$77))&gt;Setup!$P$77,IF(Setup!$M$77&gt;0,Setup!$G$77+(Setup!$O$77+H$1)*Setup!$M$77,EDATE(Setup!$G$77,(Setup!$O$77+H$1)*Setup!$N$77))&lt;Setup!$D$5),"",IF(Setup!$M$77&gt;0,Setup!$G$77+(Setup!$O$77+H$1)*Setup!$M$77,EDATE(Setup!$G$77,(Setup!$O$77+H$1)*Setup!$N$77))+$A54/1000)))</f>
        <v/>
      </c>
      <c r="I54">
        <f>IF(OR(Setup!$E$77="",Setup!$G$77="",Setup!$F$77=""),"",IF(AND(Setup!$F$77="Once",I$1&gt;0),"",IF(OR(IF(Setup!$M$77&gt;0,Setup!$G$77+(Setup!$O$77+I$1)*Setup!$M$77,EDATE(Setup!$G$77,(Setup!$O$77+I$1)*Setup!$N$77))&gt;Setup!$P$77,IF(Setup!$M$77&gt;0,Setup!$G$77+(Setup!$O$77+I$1)*Setup!$M$77,EDATE(Setup!$G$77,(Setup!$O$77+I$1)*Setup!$N$77))&lt;Setup!$D$5),"",IF(Setup!$M$77&gt;0,Setup!$G$77+(Setup!$O$77+I$1)*Setup!$M$77,EDATE(Setup!$G$77,(Setup!$O$77+I$1)*Setup!$N$77))+$A54/1000)))</f>
        <v/>
      </c>
      <c r="J54">
        <f>IF(OR(Setup!$E$77="",Setup!$G$77="",Setup!$F$77=""),"",IF(AND(Setup!$F$77="Once",J$1&gt;0),"",IF(OR(IF(Setup!$M$77&gt;0,Setup!$G$77+(Setup!$O$77+J$1)*Setup!$M$77,EDATE(Setup!$G$77,(Setup!$O$77+J$1)*Setup!$N$77))&gt;Setup!$P$77,IF(Setup!$M$77&gt;0,Setup!$G$77+(Setup!$O$77+J$1)*Setup!$M$77,EDATE(Setup!$G$77,(Setup!$O$77+J$1)*Setup!$N$77))&lt;Setup!$D$5),"",IF(Setup!$M$77&gt;0,Setup!$G$77+(Setup!$O$77+J$1)*Setup!$M$77,EDATE(Setup!$G$77,(Setup!$O$77+J$1)*Setup!$N$77))+$A54/1000)))</f>
        <v/>
      </c>
      <c r="K54">
        <f>IF(OR(Setup!$E$77="",Setup!$G$77="",Setup!$F$77=""),"",IF(AND(Setup!$F$77="Once",K$1&gt;0),"",IF(OR(IF(Setup!$M$77&gt;0,Setup!$G$77+(Setup!$O$77+K$1)*Setup!$M$77,EDATE(Setup!$G$77,(Setup!$O$77+K$1)*Setup!$N$77))&gt;Setup!$P$77,IF(Setup!$M$77&gt;0,Setup!$G$77+(Setup!$O$77+K$1)*Setup!$M$77,EDATE(Setup!$G$77,(Setup!$O$77+K$1)*Setup!$N$77))&lt;Setup!$D$5),"",IF(Setup!$M$77&gt;0,Setup!$G$77+(Setup!$O$77+K$1)*Setup!$M$77,EDATE(Setup!$G$77,(Setup!$O$77+K$1)*Setup!$N$77))+$A54/1000)))</f>
        <v/>
      </c>
      <c r="L54">
        <f>IF(OR(Setup!$E$77="",Setup!$G$77="",Setup!$F$77=""),"",IF(AND(Setup!$F$77="Once",L$1&gt;0),"",IF(OR(IF(Setup!$M$77&gt;0,Setup!$G$77+(Setup!$O$77+L$1)*Setup!$M$77,EDATE(Setup!$G$77,(Setup!$O$77+L$1)*Setup!$N$77))&gt;Setup!$P$77,IF(Setup!$M$77&gt;0,Setup!$G$77+(Setup!$O$77+L$1)*Setup!$M$77,EDATE(Setup!$G$77,(Setup!$O$77+L$1)*Setup!$N$77))&lt;Setup!$D$5),"",IF(Setup!$M$77&gt;0,Setup!$G$77+(Setup!$O$77+L$1)*Setup!$M$77,EDATE(Setup!$G$77,(Setup!$O$77+L$1)*Setup!$N$77))+$A54/1000)))</f>
        <v/>
      </c>
      <c r="M54">
        <f>IF(OR(Setup!$E$77="",Setup!$G$77="",Setup!$F$77=""),"",IF(AND(Setup!$F$77="Once",M$1&gt;0),"",IF(OR(IF(Setup!$M$77&gt;0,Setup!$G$77+(Setup!$O$77+M$1)*Setup!$M$77,EDATE(Setup!$G$77,(Setup!$O$77+M$1)*Setup!$N$77))&gt;Setup!$P$77,IF(Setup!$M$77&gt;0,Setup!$G$77+(Setup!$O$77+M$1)*Setup!$M$77,EDATE(Setup!$G$77,(Setup!$O$77+M$1)*Setup!$N$77))&lt;Setup!$D$5),"",IF(Setup!$M$77&gt;0,Setup!$G$77+(Setup!$O$77+M$1)*Setup!$M$77,EDATE(Setup!$G$77,(Setup!$O$77+M$1)*Setup!$N$77))+$A54/1000)))</f>
        <v/>
      </c>
      <c r="N54">
        <f>IF(OR(Setup!$E$77="",Setup!$G$77="",Setup!$F$77=""),"",IF(AND(Setup!$F$77="Once",N$1&gt;0),"",IF(OR(IF(Setup!$M$77&gt;0,Setup!$G$77+(Setup!$O$77+N$1)*Setup!$M$77,EDATE(Setup!$G$77,(Setup!$O$77+N$1)*Setup!$N$77))&gt;Setup!$P$77,IF(Setup!$M$77&gt;0,Setup!$G$77+(Setup!$O$77+N$1)*Setup!$M$77,EDATE(Setup!$G$77,(Setup!$O$77+N$1)*Setup!$N$77))&lt;Setup!$D$5),"",IF(Setup!$M$77&gt;0,Setup!$G$77+(Setup!$O$77+N$1)*Setup!$M$77,EDATE(Setup!$G$77,(Setup!$O$77+N$1)*Setup!$N$77))+$A54/1000)))</f>
        <v/>
      </c>
      <c r="O54">
        <f>IF(OR(Setup!$E$77="",Setup!$G$77="",Setup!$F$77=""),"",IF(AND(Setup!$F$77="Once",O$1&gt;0),"",IF(OR(IF(Setup!$M$77&gt;0,Setup!$G$77+(Setup!$O$77+O$1)*Setup!$M$77,EDATE(Setup!$G$77,(Setup!$O$77+O$1)*Setup!$N$77))&gt;Setup!$P$77,IF(Setup!$M$77&gt;0,Setup!$G$77+(Setup!$O$77+O$1)*Setup!$M$77,EDATE(Setup!$G$77,(Setup!$O$77+O$1)*Setup!$N$77))&lt;Setup!$D$5),"",IF(Setup!$M$77&gt;0,Setup!$G$77+(Setup!$O$77+O$1)*Setup!$M$77,EDATE(Setup!$G$77,(Setup!$O$77+O$1)*Setup!$N$77))+$A54/1000)))</f>
        <v/>
      </c>
      <c r="P54">
        <f>IF(OR(Setup!$E$77="",Setup!$G$77="",Setup!$F$77=""),"",IF(AND(Setup!$F$77="Once",P$1&gt;0),"",IF(OR(IF(Setup!$M$77&gt;0,Setup!$G$77+(Setup!$O$77+P$1)*Setup!$M$77,EDATE(Setup!$G$77,(Setup!$O$77+P$1)*Setup!$N$77))&gt;Setup!$P$77,IF(Setup!$M$77&gt;0,Setup!$G$77+(Setup!$O$77+P$1)*Setup!$M$77,EDATE(Setup!$G$77,(Setup!$O$77+P$1)*Setup!$N$77))&lt;Setup!$D$5),"",IF(Setup!$M$77&gt;0,Setup!$G$77+(Setup!$O$77+P$1)*Setup!$M$77,EDATE(Setup!$G$77,(Setup!$O$77+P$1)*Setup!$N$77))+$A54/1000)))</f>
        <v/>
      </c>
      <c r="Q54">
        <f>IF(OR(Setup!$E$77="",Setup!$G$77="",Setup!$F$77=""),"",IF(AND(Setup!$F$77="Once",Q$1&gt;0),"",IF(OR(IF(Setup!$M$77&gt;0,Setup!$G$77+(Setup!$O$77+Q$1)*Setup!$M$77,EDATE(Setup!$G$77,(Setup!$O$77+Q$1)*Setup!$N$77))&gt;Setup!$P$77,IF(Setup!$M$77&gt;0,Setup!$G$77+(Setup!$O$77+Q$1)*Setup!$M$77,EDATE(Setup!$G$77,(Setup!$O$77+Q$1)*Setup!$N$77))&lt;Setup!$D$5),"",IF(Setup!$M$77&gt;0,Setup!$G$77+(Setup!$O$77+Q$1)*Setup!$M$77,EDATE(Setup!$G$77,(Setup!$O$77+Q$1)*Setup!$N$77))+$A54/1000)))</f>
        <v/>
      </c>
      <c r="R54">
        <f>IF(OR(Setup!$E$77="",Setup!$G$77="",Setup!$F$77=""),"",IF(AND(Setup!$F$77="Once",R$1&gt;0),"",IF(OR(IF(Setup!$M$77&gt;0,Setup!$G$77+(Setup!$O$77+R$1)*Setup!$M$77,EDATE(Setup!$G$77,(Setup!$O$77+R$1)*Setup!$N$77))&gt;Setup!$P$77,IF(Setup!$M$77&gt;0,Setup!$G$77+(Setup!$O$77+R$1)*Setup!$M$77,EDATE(Setup!$G$77,(Setup!$O$77+R$1)*Setup!$N$77))&lt;Setup!$D$5),"",IF(Setup!$M$77&gt;0,Setup!$G$77+(Setup!$O$77+R$1)*Setup!$M$77,EDATE(Setup!$G$77,(Setup!$O$77+R$1)*Setup!$N$77))+$A54/1000)))</f>
        <v/>
      </c>
      <c r="S54">
        <f>IF(OR(Setup!$E$77="",Setup!$G$77="",Setup!$F$77=""),"",IF(AND(Setup!$F$77="Once",S$1&gt;0),"",IF(OR(IF(Setup!$M$77&gt;0,Setup!$G$77+(Setup!$O$77+S$1)*Setup!$M$77,EDATE(Setup!$G$77,(Setup!$O$77+S$1)*Setup!$N$77))&gt;Setup!$P$77,IF(Setup!$M$77&gt;0,Setup!$G$77+(Setup!$O$77+S$1)*Setup!$M$77,EDATE(Setup!$G$77,(Setup!$O$77+S$1)*Setup!$N$77))&lt;Setup!$D$5),"",IF(Setup!$M$77&gt;0,Setup!$G$77+(Setup!$O$77+S$1)*Setup!$M$77,EDATE(Setup!$G$77,(Setup!$O$77+S$1)*Setup!$N$77))+$A54/1000)))</f>
        <v/>
      </c>
      <c r="T54">
        <f>IF(OR(Setup!$E$77="",Setup!$G$77="",Setup!$F$77=""),"",IF(AND(Setup!$F$77="Once",T$1&gt;0),"",IF(OR(IF(Setup!$M$77&gt;0,Setup!$G$77+(Setup!$O$77+T$1)*Setup!$M$77,EDATE(Setup!$G$77,(Setup!$O$77+T$1)*Setup!$N$77))&gt;Setup!$P$77,IF(Setup!$M$77&gt;0,Setup!$G$77+(Setup!$O$77+T$1)*Setup!$M$77,EDATE(Setup!$G$77,(Setup!$O$77+T$1)*Setup!$N$77))&lt;Setup!$D$5),"",IF(Setup!$M$77&gt;0,Setup!$G$77+(Setup!$O$77+T$1)*Setup!$M$77,EDATE(Setup!$G$77,(Setup!$O$77+T$1)*Setup!$N$77))+$A54/1000)))</f>
        <v/>
      </c>
      <c r="U54">
        <f>IF(OR(Setup!$E$77="",Setup!$G$77="",Setup!$F$77=""),"",IF(AND(Setup!$F$77="Once",U$1&gt;0),"",IF(OR(IF(Setup!$M$77&gt;0,Setup!$G$77+(Setup!$O$77+U$1)*Setup!$M$77,EDATE(Setup!$G$77,(Setup!$O$77+U$1)*Setup!$N$77))&gt;Setup!$P$77,IF(Setup!$M$77&gt;0,Setup!$G$77+(Setup!$O$77+U$1)*Setup!$M$77,EDATE(Setup!$G$77,(Setup!$O$77+U$1)*Setup!$N$77))&lt;Setup!$D$5),"",IF(Setup!$M$77&gt;0,Setup!$G$77+(Setup!$O$77+U$1)*Setup!$M$77,EDATE(Setup!$G$77,(Setup!$O$77+U$1)*Setup!$N$77))+$A54/1000)))</f>
        <v/>
      </c>
      <c r="V54">
        <f>IF(OR(Setup!$E$77="",Setup!$G$77="",Setup!$F$77=""),"",IF(AND(Setup!$F$77="Once",V$1&gt;0),"",IF(OR(IF(Setup!$M$77&gt;0,Setup!$G$77+(Setup!$O$77+V$1)*Setup!$M$77,EDATE(Setup!$G$77,(Setup!$O$77+V$1)*Setup!$N$77))&gt;Setup!$P$77,IF(Setup!$M$77&gt;0,Setup!$G$77+(Setup!$O$77+V$1)*Setup!$M$77,EDATE(Setup!$G$77,(Setup!$O$77+V$1)*Setup!$N$77))&lt;Setup!$D$5),"",IF(Setup!$M$77&gt;0,Setup!$G$77+(Setup!$O$77+V$1)*Setup!$M$77,EDATE(Setup!$G$77,(Setup!$O$77+V$1)*Setup!$N$77))+$A54/1000)))</f>
        <v/>
      </c>
      <c r="W54">
        <f>IF(OR(Setup!$E$77="",Setup!$G$77="",Setup!$F$77=""),"",IF(AND(Setup!$F$77="Once",W$1&gt;0),"",IF(OR(IF(Setup!$M$77&gt;0,Setup!$G$77+(Setup!$O$77+W$1)*Setup!$M$77,EDATE(Setup!$G$77,(Setup!$O$77+W$1)*Setup!$N$77))&gt;Setup!$P$77,IF(Setup!$M$77&gt;0,Setup!$G$77+(Setup!$O$77+W$1)*Setup!$M$77,EDATE(Setup!$G$77,(Setup!$O$77+W$1)*Setup!$N$77))&lt;Setup!$D$5),"",IF(Setup!$M$77&gt;0,Setup!$G$77+(Setup!$O$77+W$1)*Setup!$M$77,EDATE(Setup!$G$77,(Setup!$O$77+W$1)*Setup!$N$77))+$A54/1000)))</f>
        <v/>
      </c>
      <c r="X54">
        <f>IF(OR(Setup!$E$77="",Setup!$G$77="",Setup!$F$77=""),"",IF(AND(Setup!$F$77="Once",X$1&gt;0),"",IF(OR(IF(Setup!$M$77&gt;0,Setup!$G$77+(Setup!$O$77+X$1)*Setup!$M$77,EDATE(Setup!$G$77,(Setup!$O$77+X$1)*Setup!$N$77))&gt;Setup!$P$77,IF(Setup!$M$77&gt;0,Setup!$G$77+(Setup!$O$77+X$1)*Setup!$M$77,EDATE(Setup!$G$77,(Setup!$O$77+X$1)*Setup!$N$77))&lt;Setup!$D$5),"",IF(Setup!$M$77&gt;0,Setup!$G$77+(Setup!$O$77+X$1)*Setup!$M$77,EDATE(Setup!$G$77,(Setup!$O$77+X$1)*Setup!$N$77))+$A54/1000)))</f>
        <v/>
      </c>
      <c r="Y54">
        <f>IF(OR(Setup!$E$77="",Setup!$G$77="",Setup!$F$77=""),"",IF(AND(Setup!$F$77="Once",Y$1&gt;0),"",IF(OR(IF(Setup!$M$77&gt;0,Setup!$G$77+(Setup!$O$77+Y$1)*Setup!$M$77,EDATE(Setup!$G$77,(Setup!$O$77+Y$1)*Setup!$N$77))&gt;Setup!$P$77,IF(Setup!$M$77&gt;0,Setup!$G$77+(Setup!$O$77+Y$1)*Setup!$M$77,EDATE(Setup!$G$77,(Setup!$O$77+Y$1)*Setup!$N$77))&lt;Setup!$D$5),"",IF(Setup!$M$77&gt;0,Setup!$G$77+(Setup!$O$77+Y$1)*Setup!$M$77,EDATE(Setup!$G$77,(Setup!$O$77+Y$1)*Setup!$N$77))+$A54/1000)))</f>
        <v/>
      </c>
      <c r="Z54">
        <f>IF(OR(Setup!$E$77="",Setup!$G$77="",Setup!$F$77=""),"",IF(AND(Setup!$F$77="Once",Z$1&gt;0),"",IF(OR(IF(Setup!$M$77&gt;0,Setup!$G$77+(Setup!$O$77+Z$1)*Setup!$M$77,EDATE(Setup!$G$77,(Setup!$O$77+Z$1)*Setup!$N$77))&gt;Setup!$P$77,IF(Setup!$M$77&gt;0,Setup!$G$77+(Setup!$O$77+Z$1)*Setup!$M$77,EDATE(Setup!$G$77,(Setup!$O$77+Z$1)*Setup!$N$77))&lt;Setup!$D$5),"",IF(Setup!$M$77&gt;0,Setup!$G$77+(Setup!$O$77+Z$1)*Setup!$M$77,EDATE(Setup!$G$77,(Setup!$O$77+Z$1)*Setup!$N$77))+$A54/1000)))</f>
        <v/>
      </c>
      <c r="AA54">
        <f>IF(OR(Setup!$E$77="",Setup!$G$77="",Setup!$F$77=""),"",IF(AND(Setup!$F$77="Once",AA$1&gt;0),"",IF(OR(IF(Setup!$M$77&gt;0,Setup!$G$77+(Setup!$O$77+AA$1)*Setup!$M$77,EDATE(Setup!$G$77,(Setup!$O$77+AA$1)*Setup!$N$77))&gt;Setup!$P$77,IF(Setup!$M$77&gt;0,Setup!$G$77+(Setup!$O$77+AA$1)*Setup!$M$77,EDATE(Setup!$G$77,(Setup!$O$77+AA$1)*Setup!$N$77))&lt;Setup!$D$5),"",IF(Setup!$M$77&gt;0,Setup!$G$77+(Setup!$O$77+AA$1)*Setup!$M$77,EDATE(Setup!$G$77,(Setup!$O$77+AA$1)*Setup!$N$77))+$A54/1000)))</f>
        <v/>
      </c>
      <c r="AB54">
        <f>IF(OR(Setup!$E$77="",Setup!$G$77="",Setup!$F$77=""),"",IF(AND(Setup!$F$77="Once",AB$1&gt;0),"",IF(OR(IF(Setup!$M$77&gt;0,Setup!$G$77+(Setup!$O$77+AB$1)*Setup!$M$77,EDATE(Setup!$G$77,(Setup!$O$77+AB$1)*Setup!$N$77))&gt;Setup!$P$77,IF(Setup!$M$77&gt;0,Setup!$G$77+(Setup!$O$77+AB$1)*Setup!$M$77,EDATE(Setup!$G$77,(Setup!$O$77+AB$1)*Setup!$N$77))&lt;Setup!$D$5),"",IF(Setup!$M$77&gt;0,Setup!$G$77+(Setup!$O$77+AB$1)*Setup!$M$77,EDATE(Setup!$G$77,(Setup!$O$77+AB$1)*Setup!$N$77))+$A54/1000)))</f>
        <v/>
      </c>
      <c r="AC54">
        <f>IF(OR(Setup!$E$77="",Setup!$G$77="",Setup!$F$77=""),"",IF(AND(Setup!$F$77="Once",AC$1&gt;0),"",IF(OR(IF(Setup!$M$77&gt;0,Setup!$G$77+(Setup!$O$77+AC$1)*Setup!$M$77,EDATE(Setup!$G$77,(Setup!$O$77+AC$1)*Setup!$N$77))&gt;Setup!$P$77,IF(Setup!$M$77&gt;0,Setup!$G$77+(Setup!$O$77+AC$1)*Setup!$M$77,EDATE(Setup!$G$77,(Setup!$O$77+AC$1)*Setup!$N$77))&lt;Setup!$D$5),"",IF(Setup!$M$77&gt;0,Setup!$G$77+(Setup!$O$77+AC$1)*Setup!$M$77,EDATE(Setup!$G$77,(Setup!$O$77+AC$1)*Setup!$N$77))+$A54/1000)))</f>
        <v/>
      </c>
      <c r="AD54">
        <f>IF(OR(Setup!$E$77="",Setup!$G$77="",Setup!$F$77=""),"",IF(AND(Setup!$F$77="Once",AD$1&gt;0),"",IF(OR(IF(Setup!$M$77&gt;0,Setup!$G$77+(Setup!$O$77+AD$1)*Setup!$M$77,EDATE(Setup!$G$77,(Setup!$O$77+AD$1)*Setup!$N$77))&gt;Setup!$P$77,IF(Setup!$M$77&gt;0,Setup!$G$77+(Setup!$O$77+AD$1)*Setup!$M$77,EDATE(Setup!$G$77,(Setup!$O$77+AD$1)*Setup!$N$77))&lt;Setup!$D$5),"",IF(Setup!$M$77&gt;0,Setup!$G$77+(Setup!$O$77+AD$1)*Setup!$M$77,EDATE(Setup!$G$77,(Setup!$O$77+AD$1)*Setup!$N$77))+$A54/1000)))</f>
        <v/>
      </c>
      <c r="AE54">
        <f>IF(OR(Setup!$E$77="",Setup!$G$77="",Setup!$F$77=""),"",IF(AND(Setup!$F$77="Once",AE$1&gt;0),"",IF(OR(IF(Setup!$M$77&gt;0,Setup!$G$77+(Setup!$O$77+AE$1)*Setup!$M$77,EDATE(Setup!$G$77,(Setup!$O$77+AE$1)*Setup!$N$77))&gt;Setup!$P$77,IF(Setup!$M$77&gt;0,Setup!$G$77+(Setup!$O$77+AE$1)*Setup!$M$77,EDATE(Setup!$G$77,(Setup!$O$77+AE$1)*Setup!$N$77))&lt;Setup!$D$5),"",IF(Setup!$M$77&gt;0,Setup!$G$77+(Setup!$O$77+AE$1)*Setup!$M$77,EDATE(Setup!$G$77,(Setup!$O$77+AE$1)*Setup!$N$77))+$A54/1000)))</f>
        <v/>
      </c>
      <c r="AF54">
        <f>IF(OR(Setup!$E$77="",Setup!$G$77="",Setup!$F$77=""),"",IF(AND(Setup!$F$77="Once",AF$1&gt;0),"",IF(OR(IF(Setup!$M$77&gt;0,Setup!$G$77+(Setup!$O$77+AF$1)*Setup!$M$77,EDATE(Setup!$G$77,(Setup!$O$77+AF$1)*Setup!$N$77))&gt;Setup!$P$77,IF(Setup!$M$77&gt;0,Setup!$G$77+(Setup!$O$77+AF$1)*Setup!$M$77,EDATE(Setup!$G$77,(Setup!$O$77+AF$1)*Setup!$N$77))&lt;Setup!$D$5),"",IF(Setup!$M$77&gt;0,Setup!$G$77+(Setup!$O$77+AF$1)*Setup!$M$77,EDATE(Setup!$G$77,(Setup!$O$77+AF$1)*Setup!$N$77))+$A54/1000)))</f>
        <v/>
      </c>
      <c r="AG54">
        <f>IF(OR(Setup!$E$77="",Setup!$G$77="",Setup!$F$77=""),"",IF(AND(Setup!$F$77="Once",AG$1&gt;0),"",IF(OR(IF(Setup!$M$77&gt;0,Setup!$G$77+(Setup!$O$77+AG$1)*Setup!$M$77,EDATE(Setup!$G$77,(Setup!$O$77+AG$1)*Setup!$N$77))&gt;Setup!$P$77,IF(Setup!$M$77&gt;0,Setup!$G$77+(Setup!$O$77+AG$1)*Setup!$M$77,EDATE(Setup!$G$77,(Setup!$O$77+AG$1)*Setup!$N$77))&lt;Setup!$D$5),"",IF(Setup!$M$77&gt;0,Setup!$G$77+(Setup!$O$77+AG$1)*Setup!$M$77,EDATE(Setup!$G$77,(Setup!$O$77+AG$1)*Setup!$N$77))+$A54/1000)))</f>
        <v/>
      </c>
      <c r="AH54">
        <f>IF(OR(Setup!$E$77="",Setup!$G$77="",Setup!$F$77=""),"",IF(AND(Setup!$F$77="Once",AH$1&gt;0),"",IF(OR(IF(Setup!$M$77&gt;0,Setup!$G$77+(Setup!$O$77+AH$1)*Setup!$M$77,EDATE(Setup!$G$77,(Setup!$O$77+AH$1)*Setup!$N$77))&gt;Setup!$P$77,IF(Setup!$M$77&gt;0,Setup!$G$77+(Setup!$O$77+AH$1)*Setup!$M$77,EDATE(Setup!$G$77,(Setup!$O$77+AH$1)*Setup!$N$77))&lt;Setup!$D$5),"",IF(Setup!$M$77&gt;0,Setup!$G$77+(Setup!$O$77+AH$1)*Setup!$M$77,EDATE(Setup!$G$77,(Setup!$O$77+AH$1)*Setup!$N$77))+$A54/1000)))</f>
        <v/>
      </c>
      <c r="AI54">
        <f>IF(OR(Setup!$E$77="",Setup!$G$77="",Setup!$F$77=""),"",IF(AND(Setup!$F$77="Once",AI$1&gt;0),"",IF(OR(IF(Setup!$M$77&gt;0,Setup!$G$77+(Setup!$O$77+AI$1)*Setup!$M$77,EDATE(Setup!$G$77,(Setup!$O$77+AI$1)*Setup!$N$77))&gt;Setup!$P$77,IF(Setup!$M$77&gt;0,Setup!$G$77+(Setup!$O$77+AI$1)*Setup!$M$77,EDATE(Setup!$G$77,(Setup!$O$77+AI$1)*Setup!$N$77))&lt;Setup!$D$5),"",IF(Setup!$M$77&gt;0,Setup!$G$77+(Setup!$O$77+AI$1)*Setup!$M$77,EDATE(Setup!$G$77,(Setup!$O$77+AI$1)*Setup!$N$77))+$A54/1000)))</f>
        <v/>
      </c>
      <c r="AJ54">
        <f>IF(OR(Setup!$E$77="",Setup!$G$77="",Setup!$F$77=""),"",IF(AND(Setup!$F$77="Once",AJ$1&gt;0),"",IF(OR(IF(Setup!$M$77&gt;0,Setup!$G$77+(Setup!$O$77+AJ$1)*Setup!$M$77,EDATE(Setup!$G$77,(Setup!$O$77+AJ$1)*Setup!$N$77))&gt;Setup!$P$77,IF(Setup!$M$77&gt;0,Setup!$G$77+(Setup!$O$77+AJ$1)*Setup!$M$77,EDATE(Setup!$G$77,(Setup!$O$77+AJ$1)*Setup!$N$77))&lt;Setup!$D$5),"",IF(Setup!$M$77&gt;0,Setup!$G$77+(Setup!$O$77+AJ$1)*Setup!$M$77,EDATE(Setup!$G$77,(Setup!$O$77+AJ$1)*Setup!$N$77))+$A54/1000)))</f>
        <v/>
      </c>
      <c r="AK54">
        <f>IF(OR(Setup!$E$77="",Setup!$G$77="",Setup!$F$77=""),"",IF(AND(Setup!$F$77="Once",AK$1&gt;0),"",IF(OR(IF(Setup!$M$77&gt;0,Setup!$G$77+(Setup!$O$77+AK$1)*Setup!$M$77,EDATE(Setup!$G$77,(Setup!$O$77+AK$1)*Setup!$N$77))&gt;Setup!$P$77,IF(Setup!$M$77&gt;0,Setup!$G$77+(Setup!$O$77+AK$1)*Setup!$M$77,EDATE(Setup!$G$77,(Setup!$O$77+AK$1)*Setup!$N$77))&lt;Setup!$D$5),"",IF(Setup!$M$77&gt;0,Setup!$G$77+(Setup!$O$77+AK$1)*Setup!$M$77,EDATE(Setup!$G$77,(Setup!$O$77+AK$1)*Setup!$N$77))+$A54/1000)))</f>
        <v/>
      </c>
      <c r="AL54">
        <f>IF(OR(Setup!$E$77="",Setup!$G$77="",Setup!$F$77=""),"",IF(AND(Setup!$F$77="Once",AL$1&gt;0),"",IF(OR(IF(Setup!$M$77&gt;0,Setup!$G$77+(Setup!$O$77+AL$1)*Setup!$M$77,EDATE(Setup!$G$77,(Setup!$O$77+AL$1)*Setup!$N$77))&gt;Setup!$P$77,IF(Setup!$M$77&gt;0,Setup!$G$77+(Setup!$O$77+AL$1)*Setup!$M$77,EDATE(Setup!$G$77,(Setup!$O$77+AL$1)*Setup!$N$77))&lt;Setup!$D$5),"",IF(Setup!$M$77&gt;0,Setup!$G$77+(Setup!$O$77+AL$1)*Setup!$M$77,EDATE(Setup!$G$77,(Setup!$O$77+AL$1)*Setup!$N$77))+$A54/1000)))</f>
        <v/>
      </c>
      <c r="AM54">
        <f>IF(OR(Setup!$E$77="",Setup!$G$77="",Setup!$F$77=""),"",IF(AND(Setup!$F$77="Once",AM$1&gt;0),"",IF(OR(IF(Setup!$M$77&gt;0,Setup!$G$77+(Setup!$O$77+AM$1)*Setup!$M$77,EDATE(Setup!$G$77,(Setup!$O$77+AM$1)*Setup!$N$77))&gt;Setup!$P$77,IF(Setup!$M$77&gt;0,Setup!$G$77+(Setup!$O$77+AM$1)*Setup!$M$77,EDATE(Setup!$G$77,(Setup!$O$77+AM$1)*Setup!$N$77))&lt;Setup!$D$5),"",IF(Setup!$M$77&gt;0,Setup!$G$77+(Setup!$O$77+AM$1)*Setup!$M$77,EDATE(Setup!$G$77,(Setup!$O$77+AM$1)*Setup!$N$77))+$A54/1000)))</f>
        <v/>
      </c>
      <c r="AN54">
        <f>IF(OR(Setup!$E$77="",Setup!$G$77="",Setup!$F$77=""),"",IF(AND(Setup!$F$77="Once",AN$1&gt;0),"",IF(OR(IF(Setup!$M$77&gt;0,Setup!$G$77+(Setup!$O$77+AN$1)*Setup!$M$77,EDATE(Setup!$G$77,(Setup!$O$77+AN$1)*Setup!$N$77))&gt;Setup!$P$77,IF(Setup!$M$77&gt;0,Setup!$G$77+(Setup!$O$77+AN$1)*Setup!$M$77,EDATE(Setup!$G$77,(Setup!$O$77+AN$1)*Setup!$N$77))&lt;Setup!$D$5),"",IF(Setup!$M$77&gt;0,Setup!$G$77+(Setup!$O$77+AN$1)*Setup!$M$77,EDATE(Setup!$G$77,(Setup!$O$77+AN$1)*Setup!$N$77))+$A54/1000)))</f>
        <v/>
      </c>
      <c r="AO54">
        <f>IF(OR(Setup!$E$77="",Setup!$G$77="",Setup!$F$77=""),"",IF(AND(Setup!$F$77="Once",AO$1&gt;0),"",IF(OR(IF(Setup!$M$77&gt;0,Setup!$G$77+(Setup!$O$77+AO$1)*Setup!$M$77,EDATE(Setup!$G$77,(Setup!$O$77+AO$1)*Setup!$N$77))&gt;Setup!$P$77,IF(Setup!$M$77&gt;0,Setup!$G$77+(Setup!$O$77+AO$1)*Setup!$M$77,EDATE(Setup!$G$77,(Setup!$O$77+AO$1)*Setup!$N$77))&lt;Setup!$D$5),"",IF(Setup!$M$77&gt;0,Setup!$G$77+(Setup!$O$77+AO$1)*Setup!$M$77,EDATE(Setup!$G$77,(Setup!$O$77+AO$1)*Setup!$N$77))+$A54/1000)))</f>
        <v/>
      </c>
      <c r="AP54">
        <f>IF(OR(Setup!$E$77="",Setup!$G$77="",Setup!$F$77=""),"",IF(AND(Setup!$F$77="Once",AP$1&gt;0),"",IF(OR(IF(Setup!$M$77&gt;0,Setup!$G$77+(Setup!$O$77+AP$1)*Setup!$M$77,EDATE(Setup!$G$77,(Setup!$O$77+AP$1)*Setup!$N$77))&gt;Setup!$P$77,IF(Setup!$M$77&gt;0,Setup!$G$77+(Setup!$O$77+AP$1)*Setup!$M$77,EDATE(Setup!$G$77,(Setup!$O$77+AP$1)*Setup!$N$77))&lt;Setup!$D$5),"",IF(Setup!$M$77&gt;0,Setup!$G$77+(Setup!$O$77+AP$1)*Setup!$M$77,EDATE(Setup!$G$77,(Setup!$O$77+AP$1)*Setup!$N$77))+$A54/1000)))</f>
        <v/>
      </c>
      <c r="AQ54">
        <f>IF(OR(Setup!$E$77="",Setup!$G$77="",Setup!$F$77=""),"",IF(AND(Setup!$F$77="Once",AQ$1&gt;0),"",IF(OR(IF(Setup!$M$77&gt;0,Setup!$G$77+(Setup!$O$77+AQ$1)*Setup!$M$77,EDATE(Setup!$G$77,(Setup!$O$77+AQ$1)*Setup!$N$77))&gt;Setup!$P$77,IF(Setup!$M$77&gt;0,Setup!$G$77+(Setup!$O$77+AQ$1)*Setup!$M$77,EDATE(Setup!$G$77,(Setup!$O$77+AQ$1)*Setup!$N$77))&lt;Setup!$D$5),"",IF(Setup!$M$77&gt;0,Setup!$G$77+(Setup!$O$77+AQ$1)*Setup!$M$77,EDATE(Setup!$G$77,(Setup!$O$77+AQ$1)*Setup!$N$77))+$A54/1000)))</f>
        <v/>
      </c>
      <c r="AR54">
        <f>IF(OR(Setup!$E$77="",Setup!$G$77="",Setup!$F$77=""),"",IF(AND(Setup!$F$77="Once",AR$1&gt;0),"",IF(OR(IF(Setup!$M$77&gt;0,Setup!$G$77+(Setup!$O$77+AR$1)*Setup!$M$77,EDATE(Setup!$G$77,(Setup!$O$77+AR$1)*Setup!$N$77))&gt;Setup!$P$77,IF(Setup!$M$77&gt;0,Setup!$G$77+(Setup!$O$77+AR$1)*Setup!$M$77,EDATE(Setup!$G$77,(Setup!$O$77+AR$1)*Setup!$N$77))&lt;Setup!$D$5),"",IF(Setup!$M$77&gt;0,Setup!$G$77+(Setup!$O$77+AR$1)*Setup!$M$77,EDATE(Setup!$G$77,(Setup!$O$77+AR$1)*Setup!$N$77))+$A54/1000)))</f>
        <v/>
      </c>
      <c r="AS54">
        <f>IF(OR(Setup!$E$77="",Setup!$G$77="",Setup!$F$77=""),"",IF(AND(Setup!$F$77="Once",AS$1&gt;0),"",IF(OR(IF(Setup!$M$77&gt;0,Setup!$G$77+(Setup!$O$77+AS$1)*Setup!$M$77,EDATE(Setup!$G$77,(Setup!$O$77+AS$1)*Setup!$N$77))&gt;Setup!$P$77,IF(Setup!$M$77&gt;0,Setup!$G$77+(Setup!$O$77+AS$1)*Setup!$M$77,EDATE(Setup!$G$77,(Setup!$O$77+AS$1)*Setup!$N$77))&lt;Setup!$D$5),"",IF(Setup!$M$77&gt;0,Setup!$G$77+(Setup!$O$77+AS$1)*Setup!$M$77,EDATE(Setup!$G$77,(Setup!$O$77+AS$1)*Setup!$N$77))+$A54/1000)))</f>
        <v/>
      </c>
      <c r="AT54">
        <f>IF(OR(Setup!$E$77="",Setup!$G$77="",Setup!$F$77=""),"",IF(AND(Setup!$F$77="Once",AT$1&gt;0),"",IF(OR(IF(Setup!$M$77&gt;0,Setup!$G$77+(Setup!$O$77+AT$1)*Setup!$M$77,EDATE(Setup!$G$77,(Setup!$O$77+AT$1)*Setup!$N$77))&gt;Setup!$P$77,IF(Setup!$M$77&gt;0,Setup!$G$77+(Setup!$O$77+AT$1)*Setup!$M$77,EDATE(Setup!$G$77,(Setup!$O$77+AT$1)*Setup!$N$77))&lt;Setup!$D$5),"",IF(Setup!$M$77&gt;0,Setup!$G$77+(Setup!$O$77+AT$1)*Setup!$M$77,EDATE(Setup!$G$77,(Setup!$O$77+AT$1)*Setup!$N$77))+$A54/1000)))</f>
        <v/>
      </c>
      <c r="AU54">
        <f>IF(OR(Setup!$E$77="",Setup!$G$77="",Setup!$F$77=""),"",IF(AND(Setup!$F$77="Once",AU$1&gt;0),"",IF(OR(IF(Setup!$M$77&gt;0,Setup!$G$77+(Setup!$O$77+AU$1)*Setup!$M$77,EDATE(Setup!$G$77,(Setup!$O$77+AU$1)*Setup!$N$77))&gt;Setup!$P$77,IF(Setup!$M$77&gt;0,Setup!$G$77+(Setup!$O$77+AU$1)*Setup!$M$77,EDATE(Setup!$G$77,(Setup!$O$77+AU$1)*Setup!$N$77))&lt;Setup!$D$5),"",IF(Setup!$M$77&gt;0,Setup!$G$77+(Setup!$O$77+AU$1)*Setup!$M$77,EDATE(Setup!$G$77,(Setup!$O$77+AU$1)*Setup!$N$77))+$A54/1000)))</f>
        <v/>
      </c>
      <c r="AV54">
        <f>IF(OR(Setup!$E$77="",Setup!$G$77="",Setup!$F$77=""),"",IF(AND(Setup!$F$77="Once",AV$1&gt;0),"",IF(OR(IF(Setup!$M$77&gt;0,Setup!$G$77+(Setup!$O$77+AV$1)*Setup!$M$77,EDATE(Setup!$G$77,(Setup!$O$77+AV$1)*Setup!$N$77))&gt;Setup!$P$77,IF(Setup!$M$77&gt;0,Setup!$G$77+(Setup!$O$77+AV$1)*Setup!$M$77,EDATE(Setup!$G$77,(Setup!$O$77+AV$1)*Setup!$N$77))&lt;Setup!$D$5),"",IF(Setup!$M$77&gt;0,Setup!$G$77+(Setup!$O$77+AV$1)*Setup!$M$77,EDATE(Setup!$G$77,(Setup!$O$77+AV$1)*Setup!$N$77))+$A54/1000)))</f>
        <v/>
      </c>
      <c r="AW54">
        <f>IF(OR(Setup!$E$77="",Setup!$G$77="",Setup!$F$77=""),"",IF(AND(Setup!$F$77="Once",AW$1&gt;0),"",IF(OR(IF(Setup!$M$77&gt;0,Setup!$G$77+(Setup!$O$77+AW$1)*Setup!$M$77,EDATE(Setup!$G$77,(Setup!$O$77+AW$1)*Setup!$N$77))&gt;Setup!$P$77,IF(Setup!$M$77&gt;0,Setup!$G$77+(Setup!$O$77+AW$1)*Setup!$M$77,EDATE(Setup!$G$77,(Setup!$O$77+AW$1)*Setup!$N$77))&lt;Setup!$D$5),"",IF(Setup!$M$77&gt;0,Setup!$G$77+(Setup!$O$77+AW$1)*Setup!$M$77,EDATE(Setup!$G$77,(Setup!$O$77+AW$1)*Setup!$N$77))+$A54/1000)))</f>
        <v/>
      </c>
      <c r="AX54">
        <f>IF(OR(Setup!$E$77="",Setup!$G$77="",Setup!$F$77=""),"",IF(AND(Setup!$F$77="Once",AX$1&gt;0),"",IF(OR(IF(Setup!$M$77&gt;0,Setup!$G$77+(Setup!$O$77+AX$1)*Setup!$M$77,EDATE(Setup!$G$77,(Setup!$O$77+AX$1)*Setup!$N$77))&gt;Setup!$P$77,IF(Setup!$M$77&gt;0,Setup!$G$77+(Setup!$O$77+AX$1)*Setup!$M$77,EDATE(Setup!$G$77,(Setup!$O$77+AX$1)*Setup!$N$77))&lt;Setup!$D$5),"",IF(Setup!$M$77&gt;0,Setup!$G$77+(Setup!$O$77+AX$1)*Setup!$M$77,EDATE(Setup!$G$77,(Setup!$O$77+AX$1)*Setup!$N$77))+$A54/1000)))</f>
        <v/>
      </c>
      <c r="AY54">
        <f>IF(OR(Setup!$E$77="",Setup!$G$77="",Setup!$F$77=""),"",IF(AND(Setup!$F$77="Once",AY$1&gt;0),"",IF(OR(IF(Setup!$M$77&gt;0,Setup!$G$77+(Setup!$O$77+AY$1)*Setup!$M$77,EDATE(Setup!$G$77,(Setup!$O$77+AY$1)*Setup!$N$77))&gt;Setup!$P$77,IF(Setup!$M$77&gt;0,Setup!$G$77+(Setup!$O$77+AY$1)*Setup!$M$77,EDATE(Setup!$G$77,(Setup!$O$77+AY$1)*Setup!$N$77))&lt;Setup!$D$5),"",IF(Setup!$M$77&gt;0,Setup!$G$77+(Setup!$O$77+AY$1)*Setup!$M$77,EDATE(Setup!$G$77,(Setup!$O$77+AY$1)*Setup!$N$77))+$A54/1000)))</f>
        <v/>
      </c>
      <c r="AZ54">
        <f>IF(OR(Setup!$E$77="",Setup!$G$77="",Setup!$F$77=""),"",IF(AND(Setup!$F$77="Once",AZ$1&gt;0),"",IF(OR(IF(Setup!$M$77&gt;0,Setup!$G$77+(Setup!$O$77+AZ$1)*Setup!$M$77,EDATE(Setup!$G$77,(Setup!$O$77+AZ$1)*Setup!$N$77))&gt;Setup!$P$77,IF(Setup!$M$77&gt;0,Setup!$G$77+(Setup!$O$77+AZ$1)*Setup!$M$77,EDATE(Setup!$G$77,(Setup!$O$77+AZ$1)*Setup!$N$77))&lt;Setup!$D$5),"",IF(Setup!$M$77&gt;0,Setup!$G$77+(Setup!$O$77+AZ$1)*Setup!$M$77,EDATE(Setup!$G$77,(Setup!$O$77+AZ$1)*Setup!$N$77))+$A54/1000)))</f>
        <v/>
      </c>
      <c r="BA54">
        <f>IF(OR(Setup!$E$77="",Setup!$G$77="",Setup!$F$77=""),"",IF(AND(Setup!$F$77="Once",BA$1&gt;0),"",IF(OR(IF(Setup!$M$77&gt;0,Setup!$G$77+(Setup!$O$77+BA$1)*Setup!$M$77,EDATE(Setup!$G$77,(Setup!$O$77+BA$1)*Setup!$N$77))&gt;Setup!$P$77,IF(Setup!$M$77&gt;0,Setup!$G$77+(Setup!$O$77+BA$1)*Setup!$M$77,EDATE(Setup!$G$77,(Setup!$O$77+BA$1)*Setup!$N$77))&lt;Setup!$D$5),"",IF(Setup!$M$77&gt;0,Setup!$G$77+(Setup!$O$77+BA$1)*Setup!$M$77,EDATE(Setup!$G$77,(Setup!$O$77+BA$1)*Setup!$N$77))+$A54/1000)))</f>
        <v/>
      </c>
      <c r="BB54">
        <f>IF(OR(Setup!$E$77="",Setup!$G$77="",Setup!$F$77=""),"",IF(AND(Setup!$F$77="Once",BB$1&gt;0),"",IF(OR(IF(Setup!$M$77&gt;0,Setup!$G$77+(Setup!$O$77+BB$1)*Setup!$M$77,EDATE(Setup!$G$77,(Setup!$O$77+BB$1)*Setup!$N$77))&gt;Setup!$P$77,IF(Setup!$M$77&gt;0,Setup!$G$77+(Setup!$O$77+BB$1)*Setup!$M$77,EDATE(Setup!$G$77,(Setup!$O$77+BB$1)*Setup!$N$77))&lt;Setup!$D$5),"",IF(Setup!$M$77&gt;0,Setup!$G$77+(Setup!$O$77+BB$1)*Setup!$M$77,EDATE(Setup!$G$77,(Setup!$O$77+BB$1)*Setup!$N$77))+$A54/1000)))</f>
        <v/>
      </c>
    </row>
    <row r="55">
      <c r="A55" t="n">
        <v>54</v>
      </c>
      <c r="B55">
        <f>IF(OR(Setup!$E$78="",Setup!$G$78="",Setup!$F$78=""),"",IF(AND(Setup!$F$78="Once",B$1&gt;0),"",IF(OR(IF(Setup!$M$78&gt;0,Setup!$G$78+(Setup!$O$78+B$1)*Setup!$M$78,EDATE(Setup!$G$78,(Setup!$O$78+B$1)*Setup!$N$78))&gt;Setup!$P$78,IF(Setup!$M$78&gt;0,Setup!$G$78+(Setup!$O$78+B$1)*Setup!$M$78,EDATE(Setup!$G$78,(Setup!$O$78+B$1)*Setup!$N$78))&lt;Setup!$D$5),"",IF(Setup!$M$78&gt;0,Setup!$G$78+(Setup!$O$78+B$1)*Setup!$M$78,EDATE(Setup!$G$78,(Setup!$O$78+B$1)*Setup!$N$78))+$A55/1000)))</f>
        <v/>
      </c>
      <c r="C55">
        <f>IF(OR(Setup!$E$78="",Setup!$G$78="",Setup!$F$78=""),"",IF(AND(Setup!$F$78="Once",C$1&gt;0),"",IF(OR(IF(Setup!$M$78&gt;0,Setup!$G$78+(Setup!$O$78+C$1)*Setup!$M$78,EDATE(Setup!$G$78,(Setup!$O$78+C$1)*Setup!$N$78))&gt;Setup!$P$78,IF(Setup!$M$78&gt;0,Setup!$G$78+(Setup!$O$78+C$1)*Setup!$M$78,EDATE(Setup!$G$78,(Setup!$O$78+C$1)*Setup!$N$78))&lt;Setup!$D$5),"",IF(Setup!$M$78&gt;0,Setup!$G$78+(Setup!$O$78+C$1)*Setup!$M$78,EDATE(Setup!$G$78,(Setup!$O$78+C$1)*Setup!$N$78))+$A55/1000)))</f>
        <v/>
      </c>
      <c r="D55">
        <f>IF(OR(Setup!$E$78="",Setup!$G$78="",Setup!$F$78=""),"",IF(AND(Setup!$F$78="Once",D$1&gt;0),"",IF(OR(IF(Setup!$M$78&gt;0,Setup!$G$78+(Setup!$O$78+D$1)*Setup!$M$78,EDATE(Setup!$G$78,(Setup!$O$78+D$1)*Setup!$N$78))&gt;Setup!$P$78,IF(Setup!$M$78&gt;0,Setup!$G$78+(Setup!$O$78+D$1)*Setup!$M$78,EDATE(Setup!$G$78,(Setup!$O$78+D$1)*Setup!$N$78))&lt;Setup!$D$5),"",IF(Setup!$M$78&gt;0,Setup!$G$78+(Setup!$O$78+D$1)*Setup!$M$78,EDATE(Setup!$G$78,(Setup!$O$78+D$1)*Setup!$N$78))+$A55/1000)))</f>
        <v/>
      </c>
      <c r="E55">
        <f>IF(OR(Setup!$E$78="",Setup!$G$78="",Setup!$F$78=""),"",IF(AND(Setup!$F$78="Once",E$1&gt;0),"",IF(OR(IF(Setup!$M$78&gt;0,Setup!$G$78+(Setup!$O$78+E$1)*Setup!$M$78,EDATE(Setup!$G$78,(Setup!$O$78+E$1)*Setup!$N$78))&gt;Setup!$P$78,IF(Setup!$M$78&gt;0,Setup!$G$78+(Setup!$O$78+E$1)*Setup!$M$78,EDATE(Setup!$G$78,(Setup!$O$78+E$1)*Setup!$N$78))&lt;Setup!$D$5),"",IF(Setup!$M$78&gt;0,Setup!$G$78+(Setup!$O$78+E$1)*Setup!$M$78,EDATE(Setup!$G$78,(Setup!$O$78+E$1)*Setup!$N$78))+$A55/1000)))</f>
        <v/>
      </c>
      <c r="F55">
        <f>IF(OR(Setup!$E$78="",Setup!$G$78="",Setup!$F$78=""),"",IF(AND(Setup!$F$78="Once",F$1&gt;0),"",IF(OR(IF(Setup!$M$78&gt;0,Setup!$G$78+(Setup!$O$78+F$1)*Setup!$M$78,EDATE(Setup!$G$78,(Setup!$O$78+F$1)*Setup!$N$78))&gt;Setup!$P$78,IF(Setup!$M$78&gt;0,Setup!$G$78+(Setup!$O$78+F$1)*Setup!$M$78,EDATE(Setup!$G$78,(Setup!$O$78+F$1)*Setup!$N$78))&lt;Setup!$D$5),"",IF(Setup!$M$78&gt;0,Setup!$G$78+(Setup!$O$78+F$1)*Setup!$M$78,EDATE(Setup!$G$78,(Setup!$O$78+F$1)*Setup!$N$78))+$A55/1000)))</f>
        <v/>
      </c>
      <c r="G55">
        <f>IF(OR(Setup!$E$78="",Setup!$G$78="",Setup!$F$78=""),"",IF(AND(Setup!$F$78="Once",G$1&gt;0),"",IF(OR(IF(Setup!$M$78&gt;0,Setup!$G$78+(Setup!$O$78+G$1)*Setup!$M$78,EDATE(Setup!$G$78,(Setup!$O$78+G$1)*Setup!$N$78))&gt;Setup!$P$78,IF(Setup!$M$78&gt;0,Setup!$G$78+(Setup!$O$78+G$1)*Setup!$M$78,EDATE(Setup!$G$78,(Setup!$O$78+G$1)*Setup!$N$78))&lt;Setup!$D$5),"",IF(Setup!$M$78&gt;0,Setup!$G$78+(Setup!$O$78+G$1)*Setup!$M$78,EDATE(Setup!$G$78,(Setup!$O$78+G$1)*Setup!$N$78))+$A55/1000)))</f>
        <v/>
      </c>
      <c r="H55">
        <f>IF(OR(Setup!$E$78="",Setup!$G$78="",Setup!$F$78=""),"",IF(AND(Setup!$F$78="Once",H$1&gt;0),"",IF(OR(IF(Setup!$M$78&gt;0,Setup!$G$78+(Setup!$O$78+H$1)*Setup!$M$78,EDATE(Setup!$G$78,(Setup!$O$78+H$1)*Setup!$N$78))&gt;Setup!$P$78,IF(Setup!$M$78&gt;0,Setup!$G$78+(Setup!$O$78+H$1)*Setup!$M$78,EDATE(Setup!$G$78,(Setup!$O$78+H$1)*Setup!$N$78))&lt;Setup!$D$5),"",IF(Setup!$M$78&gt;0,Setup!$G$78+(Setup!$O$78+H$1)*Setup!$M$78,EDATE(Setup!$G$78,(Setup!$O$78+H$1)*Setup!$N$78))+$A55/1000)))</f>
        <v/>
      </c>
      <c r="I55">
        <f>IF(OR(Setup!$E$78="",Setup!$G$78="",Setup!$F$78=""),"",IF(AND(Setup!$F$78="Once",I$1&gt;0),"",IF(OR(IF(Setup!$M$78&gt;0,Setup!$G$78+(Setup!$O$78+I$1)*Setup!$M$78,EDATE(Setup!$G$78,(Setup!$O$78+I$1)*Setup!$N$78))&gt;Setup!$P$78,IF(Setup!$M$78&gt;0,Setup!$G$78+(Setup!$O$78+I$1)*Setup!$M$78,EDATE(Setup!$G$78,(Setup!$O$78+I$1)*Setup!$N$78))&lt;Setup!$D$5),"",IF(Setup!$M$78&gt;0,Setup!$G$78+(Setup!$O$78+I$1)*Setup!$M$78,EDATE(Setup!$G$78,(Setup!$O$78+I$1)*Setup!$N$78))+$A55/1000)))</f>
        <v/>
      </c>
      <c r="J55">
        <f>IF(OR(Setup!$E$78="",Setup!$G$78="",Setup!$F$78=""),"",IF(AND(Setup!$F$78="Once",J$1&gt;0),"",IF(OR(IF(Setup!$M$78&gt;0,Setup!$G$78+(Setup!$O$78+J$1)*Setup!$M$78,EDATE(Setup!$G$78,(Setup!$O$78+J$1)*Setup!$N$78))&gt;Setup!$P$78,IF(Setup!$M$78&gt;0,Setup!$G$78+(Setup!$O$78+J$1)*Setup!$M$78,EDATE(Setup!$G$78,(Setup!$O$78+J$1)*Setup!$N$78))&lt;Setup!$D$5),"",IF(Setup!$M$78&gt;0,Setup!$G$78+(Setup!$O$78+J$1)*Setup!$M$78,EDATE(Setup!$G$78,(Setup!$O$78+J$1)*Setup!$N$78))+$A55/1000)))</f>
        <v/>
      </c>
      <c r="K55">
        <f>IF(OR(Setup!$E$78="",Setup!$G$78="",Setup!$F$78=""),"",IF(AND(Setup!$F$78="Once",K$1&gt;0),"",IF(OR(IF(Setup!$M$78&gt;0,Setup!$G$78+(Setup!$O$78+K$1)*Setup!$M$78,EDATE(Setup!$G$78,(Setup!$O$78+K$1)*Setup!$N$78))&gt;Setup!$P$78,IF(Setup!$M$78&gt;0,Setup!$G$78+(Setup!$O$78+K$1)*Setup!$M$78,EDATE(Setup!$G$78,(Setup!$O$78+K$1)*Setup!$N$78))&lt;Setup!$D$5),"",IF(Setup!$M$78&gt;0,Setup!$G$78+(Setup!$O$78+K$1)*Setup!$M$78,EDATE(Setup!$G$78,(Setup!$O$78+K$1)*Setup!$N$78))+$A55/1000)))</f>
        <v/>
      </c>
      <c r="L55">
        <f>IF(OR(Setup!$E$78="",Setup!$G$78="",Setup!$F$78=""),"",IF(AND(Setup!$F$78="Once",L$1&gt;0),"",IF(OR(IF(Setup!$M$78&gt;0,Setup!$G$78+(Setup!$O$78+L$1)*Setup!$M$78,EDATE(Setup!$G$78,(Setup!$O$78+L$1)*Setup!$N$78))&gt;Setup!$P$78,IF(Setup!$M$78&gt;0,Setup!$G$78+(Setup!$O$78+L$1)*Setup!$M$78,EDATE(Setup!$G$78,(Setup!$O$78+L$1)*Setup!$N$78))&lt;Setup!$D$5),"",IF(Setup!$M$78&gt;0,Setup!$G$78+(Setup!$O$78+L$1)*Setup!$M$78,EDATE(Setup!$G$78,(Setup!$O$78+L$1)*Setup!$N$78))+$A55/1000)))</f>
        <v/>
      </c>
      <c r="M55">
        <f>IF(OR(Setup!$E$78="",Setup!$G$78="",Setup!$F$78=""),"",IF(AND(Setup!$F$78="Once",M$1&gt;0),"",IF(OR(IF(Setup!$M$78&gt;0,Setup!$G$78+(Setup!$O$78+M$1)*Setup!$M$78,EDATE(Setup!$G$78,(Setup!$O$78+M$1)*Setup!$N$78))&gt;Setup!$P$78,IF(Setup!$M$78&gt;0,Setup!$G$78+(Setup!$O$78+M$1)*Setup!$M$78,EDATE(Setup!$G$78,(Setup!$O$78+M$1)*Setup!$N$78))&lt;Setup!$D$5),"",IF(Setup!$M$78&gt;0,Setup!$G$78+(Setup!$O$78+M$1)*Setup!$M$78,EDATE(Setup!$G$78,(Setup!$O$78+M$1)*Setup!$N$78))+$A55/1000)))</f>
        <v/>
      </c>
      <c r="N55">
        <f>IF(OR(Setup!$E$78="",Setup!$G$78="",Setup!$F$78=""),"",IF(AND(Setup!$F$78="Once",N$1&gt;0),"",IF(OR(IF(Setup!$M$78&gt;0,Setup!$G$78+(Setup!$O$78+N$1)*Setup!$M$78,EDATE(Setup!$G$78,(Setup!$O$78+N$1)*Setup!$N$78))&gt;Setup!$P$78,IF(Setup!$M$78&gt;0,Setup!$G$78+(Setup!$O$78+N$1)*Setup!$M$78,EDATE(Setup!$G$78,(Setup!$O$78+N$1)*Setup!$N$78))&lt;Setup!$D$5),"",IF(Setup!$M$78&gt;0,Setup!$G$78+(Setup!$O$78+N$1)*Setup!$M$78,EDATE(Setup!$G$78,(Setup!$O$78+N$1)*Setup!$N$78))+$A55/1000)))</f>
        <v/>
      </c>
      <c r="O55">
        <f>IF(OR(Setup!$E$78="",Setup!$G$78="",Setup!$F$78=""),"",IF(AND(Setup!$F$78="Once",O$1&gt;0),"",IF(OR(IF(Setup!$M$78&gt;0,Setup!$G$78+(Setup!$O$78+O$1)*Setup!$M$78,EDATE(Setup!$G$78,(Setup!$O$78+O$1)*Setup!$N$78))&gt;Setup!$P$78,IF(Setup!$M$78&gt;0,Setup!$G$78+(Setup!$O$78+O$1)*Setup!$M$78,EDATE(Setup!$G$78,(Setup!$O$78+O$1)*Setup!$N$78))&lt;Setup!$D$5),"",IF(Setup!$M$78&gt;0,Setup!$G$78+(Setup!$O$78+O$1)*Setup!$M$78,EDATE(Setup!$G$78,(Setup!$O$78+O$1)*Setup!$N$78))+$A55/1000)))</f>
        <v/>
      </c>
      <c r="P55">
        <f>IF(OR(Setup!$E$78="",Setup!$G$78="",Setup!$F$78=""),"",IF(AND(Setup!$F$78="Once",P$1&gt;0),"",IF(OR(IF(Setup!$M$78&gt;0,Setup!$G$78+(Setup!$O$78+P$1)*Setup!$M$78,EDATE(Setup!$G$78,(Setup!$O$78+P$1)*Setup!$N$78))&gt;Setup!$P$78,IF(Setup!$M$78&gt;0,Setup!$G$78+(Setup!$O$78+P$1)*Setup!$M$78,EDATE(Setup!$G$78,(Setup!$O$78+P$1)*Setup!$N$78))&lt;Setup!$D$5),"",IF(Setup!$M$78&gt;0,Setup!$G$78+(Setup!$O$78+P$1)*Setup!$M$78,EDATE(Setup!$G$78,(Setup!$O$78+P$1)*Setup!$N$78))+$A55/1000)))</f>
        <v/>
      </c>
      <c r="Q55">
        <f>IF(OR(Setup!$E$78="",Setup!$G$78="",Setup!$F$78=""),"",IF(AND(Setup!$F$78="Once",Q$1&gt;0),"",IF(OR(IF(Setup!$M$78&gt;0,Setup!$G$78+(Setup!$O$78+Q$1)*Setup!$M$78,EDATE(Setup!$G$78,(Setup!$O$78+Q$1)*Setup!$N$78))&gt;Setup!$P$78,IF(Setup!$M$78&gt;0,Setup!$G$78+(Setup!$O$78+Q$1)*Setup!$M$78,EDATE(Setup!$G$78,(Setup!$O$78+Q$1)*Setup!$N$78))&lt;Setup!$D$5),"",IF(Setup!$M$78&gt;0,Setup!$G$78+(Setup!$O$78+Q$1)*Setup!$M$78,EDATE(Setup!$G$78,(Setup!$O$78+Q$1)*Setup!$N$78))+$A55/1000)))</f>
        <v/>
      </c>
      <c r="R55">
        <f>IF(OR(Setup!$E$78="",Setup!$G$78="",Setup!$F$78=""),"",IF(AND(Setup!$F$78="Once",R$1&gt;0),"",IF(OR(IF(Setup!$M$78&gt;0,Setup!$G$78+(Setup!$O$78+R$1)*Setup!$M$78,EDATE(Setup!$G$78,(Setup!$O$78+R$1)*Setup!$N$78))&gt;Setup!$P$78,IF(Setup!$M$78&gt;0,Setup!$G$78+(Setup!$O$78+R$1)*Setup!$M$78,EDATE(Setup!$G$78,(Setup!$O$78+R$1)*Setup!$N$78))&lt;Setup!$D$5),"",IF(Setup!$M$78&gt;0,Setup!$G$78+(Setup!$O$78+R$1)*Setup!$M$78,EDATE(Setup!$G$78,(Setup!$O$78+R$1)*Setup!$N$78))+$A55/1000)))</f>
        <v/>
      </c>
      <c r="S55">
        <f>IF(OR(Setup!$E$78="",Setup!$G$78="",Setup!$F$78=""),"",IF(AND(Setup!$F$78="Once",S$1&gt;0),"",IF(OR(IF(Setup!$M$78&gt;0,Setup!$G$78+(Setup!$O$78+S$1)*Setup!$M$78,EDATE(Setup!$G$78,(Setup!$O$78+S$1)*Setup!$N$78))&gt;Setup!$P$78,IF(Setup!$M$78&gt;0,Setup!$G$78+(Setup!$O$78+S$1)*Setup!$M$78,EDATE(Setup!$G$78,(Setup!$O$78+S$1)*Setup!$N$78))&lt;Setup!$D$5),"",IF(Setup!$M$78&gt;0,Setup!$G$78+(Setup!$O$78+S$1)*Setup!$M$78,EDATE(Setup!$G$78,(Setup!$O$78+S$1)*Setup!$N$78))+$A55/1000)))</f>
        <v/>
      </c>
      <c r="T55">
        <f>IF(OR(Setup!$E$78="",Setup!$G$78="",Setup!$F$78=""),"",IF(AND(Setup!$F$78="Once",T$1&gt;0),"",IF(OR(IF(Setup!$M$78&gt;0,Setup!$G$78+(Setup!$O$78+T$1)*Setup!$M$78,EDATE(Setup!$G$78,(Setup!$O$78+T$1)*Setup!$N$78))&gt;Setup!$P$78,IF(Setup!$M$78&gt;0,Setup!$G$78+(Setup!$O$78+T$1)*Setup!$M$78,EDATE(Setup!$G$78,(Setup!$O$78+T$1)*Setup!$N$78))&lt;Setup!$D$5),"",IF(Setup!$M$78&gt;0,Setup!$G$78+(Setup!$O$78+T$1)*Setup!$M$78,EDATE(Setup!$G$78,(Setup!$O$78+T$1)*Setup!$N$78))+$A55/1000)))</f>
        <v/>
      </c>
      <c r="U55">
        <f>IF(OR(Setup!$E$78="",Setup!$G$78="",Setup!$F$78=""),"",IF(AND(Setup!$F$78="Once",U$1&gt;0),"",IF(OR(IF(Setup!$M$78&gt;0,Setup!$G$78+(Setup!$O$78+U$1)*Setup!$M$78,EDATE(Setup!$G$78,(Setup!$O$78+U$1)*Setup!$N$78))&gt;Setup!$P$78,IF(Setup!$M$78&gt;0,Setup!$G$78+(Setup!$O$78+U$1)*Setup!$M$78,EDATE(Setup!$G$78,(Setup!$O$78+U$1)*Setup!$N$78))&lt;Setup!$D$5),"",IF(Setup!$M$78&gt;0,Setup!$G$78+(Setup!$O$78+U$1)*Setup!$M$78,EDATE(Setup!$G$78,(Setup!$O$78+U$1)*Setup!$N$78))+$A55/1000)))</f>
        <v/>
      </c>
      <c r="V55">
        <f>IF(OR(Setup!$E$78="",Setup!$G$78="",Setup!$F$78=""),"",IF(AND(Setup!$F$78="Once",V$1&gt;0),"",IF(OR(IF(Setup!$M$78&gt;0,Setup!$G$78+(Setup!$O$78+V$1)*Setup!$M$78,EDATE(Setup!$G$78,(Setup!$O$78+V$1)*Setup!$N$78))&gt;Setup!$P$78,IF(Setup!$M$78&gt;0,Setup!$G$78+(Setup!$O$78+V$1)*Setup!$M$78,EDATE(Setup!$G$78,(Setup!$O$78+V$1)*Setup!$N$78))&lt;Setup!$D$5),"",IF(Setup!$M$78&gt;0,Setup!$G$78+(Setup!$O$78+V$1)*Setup!$M$78,EDATE(Setup!$G$78,(Setup!$O$78+V$1)*Setup!$N$78))+$A55/1000)))</f>
        <v/>
      </c>
      <c r="W55">
        <f>IF(OR(Setup!$E$78="",Setup!$G$78="",Setup!$F$78=""),"",IF(AND(Setup!$F$78="Once",W$1&gt;0),"",IF(OR(IF(Setup!$M$78&gt;0,Setup!$G$78+(Setup!$O$78+W$1)*Setup!$M$78,EDATE(Setup!$G$78,(Setup!$O$78+W$1)*Setup!$N$78))&gt;Setup!$P$78,IF(Setup!$M$78&gt;0,Setup!$G$78+(Setup!$O$78+W$1)*Setup!$M$78,EDATE(Setup!$G$78,(Setup!$O$78+W$1)*Setup!$N$78))&lt;Setup!$D$5),"",IF(Setup!$M$78&gt;0,Setup!$G$78+(Setup!$O$78+W$1)*Setup!$M$78,EDATE(Setup!$G$78,(Setup!$O$78+W$1)*Setup!$N$78))+$A55/1000)))</f>
        <v/>
      </c>
      <c r="X55">
        <f>IF(OR(Setup!$E$78="",Setup!$G$78="",Setup!$F$78=""),"",IF(AND(Setup!$F$78="Once",X$1&gt;0),"",IF(OR(IF(Setup!$M$78&gt;0,Setup!$G$78+(Setup!$O$78+X$1)*Setup!$M$78,EDATE(Setup!$G$78,(Setup!$O$78+X$1)*Setup!$N$78))&gt;Setup!$P$78,IF(Setup!$M$78&gt;0,Setup!$G$78+(Setup!$O$78+X$1)*Setup!$M$78,EDATE(Setup!$G$78,(Setup!$O$78+X$1)*Setup!$N$78))&lt;Setup!$D$5),"",IF(Setup!$M$78&gt;0,Setup!$G$78+(Setup!$O$78+X$1)*Setup!$M$78,EDATE(Setup!$G$78,(Setup!$O$78+X$1)*Setup!$N$78))+$A55/1000)))</f>
        <v/>
      </c>
      <c r="Y55">
        <f>IF(OR(Setup!$E$78="",Setup!$G$78="",Setup!$F$78=""),"",IF(AND(Setup!$F$78="Once",Y$1&gt;0),"",IF(OR(IF(Setup!$M$78&gt;0,Setup!$G$78+(Setup!$O$78+Y$1)*Setup!$M$78,EDATE(Setup!$G$78,(Setup!$O$78+Y$1)*Setup!$N$78))&gt;Setup!$P$78,IF(Setup!$M$78&gt;0,Setup!$G$78+(Setup!$O$78+Y$1)*Setup!$M$78,EDATE(Setup!$G$78,(Setup!$O$78+Y$1)*Setup!$N$78))&lt;Setup!$D$5),"",IF(Setup!$M$78&gt;0,Setup!$G$78+(Setup!$O$78+Y$1)*Setup!$M$78,EDATE(Setup!$G$78,(Setup!$O$78+Y$1)*Setup!$N$78))+$A55/1000)))</f>
        <v/>
      </c>
      <c r="Z55">
        <f>IF(OR(Setup!$E$78="",Setup!$G$78="",Setup!$F$78=""),"",IF(AND(Setup!$F$78="Once",Z$1&gt;0),"",IF(OR(IF(Setup!$M$78&gt;0,Setup!$G$78+(Setup!$O$78+Z$1)*Setup!$M$78,EDATE(Setup!$G$78,(Setup!$O$78+Z$1)*Setup!$N$78))&gt;Setup!$P$78,IF(Setup!$M$78&gt;0,Setup!$G$78+(Setup!$O$78+Z$1)*Setup!$M$78,EDATE(Setup!$G$78,(Setup!$O$78+Z$1)*Setup!$N$78))&lt;Setup!$D$5),"",IF(Setup!$M$78&gt;0,Setup!$G$78+(Setup!$O$78+Z$1)*Setup!$M$78,EDATE(Setup!$G$78,(Setup!$O$78+Z$1)*Setup!$N$78))+$A55/1000)))</f>
        <v/>
      </c>
      <c r="AA55">
        <f>IF(OR(Setup!$E$78="",Setup!$G$78="",Setup!$F$78=""),"",IF(AND(Setup!$F$78="Once",AA$1&gt;0),"",IF(OR(IF(Setup!$M$78&gt;0,Setup!$G$78+(Setup!$O$78+AA$1)*Setup!$M$78,EDATE(Setup!$G$78,(Setup!$O$78+AA$1)*Setup!$N$78))&gt;Setup!$P$78,IF(Setup!$M$78&gt;0,Setup!$G$78+(Setup!$O$78+AA$1)*Setup!$M$78,EDATE(Setup!$G$78,(Setup!$O$78+AA$1)*Setup!$N$78))&lt;Setup!$D$5),"",IF(Setup!$M$78&gt;0,Setup!$G$78+(Setup!$O$78+AA$1)*Setup!$M$78,EDATE(Setup!$G$78,(Setup!$O$78+AA$1)*Setup!$N$78))+$A55/1000)))</f>
        <v/>
      </c>
      <c r="AB55">
        <f>IF(OR(Setup!$E$78="",Setup!$G$78="",Setup!$F$78=""),"",IF(AND(Setup!$F$78="Once",AB$1&gt;0),"",IF(OR(IF(Setup!$M$78&gt;0,Setup!$G$78+(Setup!$O$78+AB$1)*Setup!$M$78,EDATE(Setup!$G$78,(Setup!$O$78+AB$1)*Setup!$N$78))&gt;Setup!$P$78,IF(Setup!$M$78&gt;0,Setup!$G$78+(Setup!$O$78+AB$1)*Setup!$M$78,EDATE(Setup!$G$78,(Setup!$O$78+AB$1)*Setup!$N$78))&lt;Setup!$D$5),"",IF(Setup!$M$78&gt;0,Setup!$G$78+(Setup!$O$78+AB$1)*Setup!$M$78,EDATE(Setup!$G$78,(Setup!$O$78+AB$1)*Setup!$N$78))+$A55/1000)))</f>
        <v/>
      </c>
      <c r="AC55">
        <f>IF(OR(Setup!$E$78="",Setup!$G$78="",Setup!$F$78=""),"",IF(AND(Setup!$F$78="Once",AC$1&gt;0),"",IF(OR(IF(Setup!$M$78&gt;0,Setup!$G$78+(Setup!$O$78+AC$1)*Setup!$M$78,EDATE(Setup!$G$78,(Setup!$O$78+AC$1)*Setup!$N$78))&gt;Setup!$P$78,IF(Setup!$M$78&gt;0,Setup!$G$78+(Setup!$O$78+AC$1)*Setup!$M$78,EDATE(Setup!$G$78,(Setup!$O$78+AC$1)*Setup!$N$78))&lt;Setup!$D$5),"",IF(Setup!$M$78&gt;0,Setup!$G$78+(Setup!$O$78+AC$1)*Setup!$M$78,EDATE(Setup!$G$78,(Setup!$O$78+AC$1)*Setup!$N$78))+$A55/1000)))</f>
        <v/>
      </c>
      <c r="AD55">
        <f>IF(OR(Setup!$E$78="",Setup!$G$78="",Setup!$F$78=""),"",IF(AND(Setup!$F$78="Once",AD$1&gt;0),"",IF(OR(IF(Setup!$M$78&gt;0,Setup!$G$78+(Setup!$O$78+AD$1)*Setup!$M$78,EDATE(Setup!$G$78,(Setup!$O$78+AD$1)*Setup!$N$78))&gt;Setup!$P$78,IF(Setup!$M$78&gt;0,Setup!$G$78+(Setup!$O$78+AD$1)*Setup!$M$78,EDATE(Setup!$G$78,(Setup!$O$78+AD$1)*Setup!$N$78))&lt;Setup!$D$5),"",IF(Setup!$M$78&gt;0,Setup!$G$78+(Setup!$O$78+AD$1)*Setup!$M$78,EDATE(Setup!$G$78,(Setup!$O$78+AD$1)*Setup!$N$78))+$A55/1000)))</f>
        <v/>
      </c>
      <c r="AE55">
        <f>IF(OR(Setup!$E$78="",Setup!$G$78="",Setup!$F$78=""),"",IF(AND(Setup!$F$78="Once",AE$1&gt;0),"",IF(OR(IF(Setup!$M$78&gt;0,Setup!$G$78+(Setup!$O$78+AE$1)*Setup!$M$78,EDATE(Setup!$G$78,(Setup!$O$78+AE$1)*Setup!$N$78))&gt;Setup!$P$78,IF(Setup!$M$78&gt;0,Setup!$G$78+(Setup!$O$78+AE$1)*Setup!$M$78,EDATE(Setup!$G$78,(Setup!$O$78+AE$1)*Setup!$N$78))&lt;Setup!$D$5),"",IF(Setup!$M$78&gt;0,Setup!$G$78+(Setup!$O$78+AE$1)*Setup!$M$78,EDATE(Setup!$G$78,(Setup!$O$78+AE$1)*Setup!$N$78))+$A55/1000)))</f>
        <v/>
      </c>
      <c r="AF55">
        <f>IF(OR(Setup!$E$78="",Setup!$G$78="",Setup!$F$78=""),"",IF(AND(Setup!$F$78="Once",AF$1&gt;0),"",IF(OR(IF(Setup!$M$78&gt;0,Setup!$G$78+(Setup!$O$78+AF$1)*Setup!$M$78,EDATE(Setup!$G$78,(Setup!$O$78+AF$1)*Setup!$N$78))&gt;Setup!$P$78,IF(Setup!$M$78&gt;0,Setup!$G$78+(Setup!$O$78+AF$1)*Setup!$M$78,EDATE(Setup!$G$78,(Setup!$O$78+AF$1)*Setup!$N$78))&lt;Setup!$D$5),"",IF(Setup!$M$78&gt;0,Setup!$G$78+(Setup!$O$78+AF$1)*Setup!$M$78,EDATE(Setup!$G$78,(Setup!$O$78+AF$1)*Setup!$N$78))+$A55/1000)))</f>
        <v/>
      </c>
      <c r="AG55">
        <f>IF(OR(Setup!$E$78="",Setup!$G$78="",Setup!$F$78=""),"",IF(AND(Setup!$F$78="Once",AG$1&gt;0),"",IF(OR(IF(Setup!$M$78&gt;0,Setup!$G$78+(Setup!$O$78+AG$1)*Setup!$M$78,EDATE(Setup!$G$78,(Setup!$O$78+AG$1)*Setup!$N$78))&gt;Setup!$P$78,IF(Setup!$M$78&gt;0,Setup!$G$78+(Setup!$O$78+AG$1)*Setup!$M$78,EDATE(Setup!$G$78,(Setup!$O$78+AG$1)*Setup!$N$78))&lt;Setup!$D$5),"",IF(Setup!$M$78&gt;0,Setup!$G$78+(Setup!$O$78+AG$1)*Setup!$M$78,EDATE(Setup!$G$78,(Setup!$O$78+AG$1)*Setup!$N$78))+$A55/1000)))</f>
        <v/>
      </c>
      <c r="AH55">
        <f>IF(OR(Setup!$E$78="",Setup!$G$78="",Setup!$F$78=""),"",IF(AND(Setup!$F$78="Once",AH$1&gt;0),"",IF(OR(IF(Setup!$M$78&gt;0,Setup!$G$78+(Setup!$O$78+AH$1)*Setup!$M$78,EDATE(Setup!$G$78,(Setup!$O$78+AH$1)*Setup!$N$78))&gt;Setup!$P$78,IF(Setup!$M$78&gt;0,Setup!$G$78+(Setup!$O$78+AH$1)*Setup!$M$78,EDATE(Setup!$G$78,(Setup!$O$78+AH$1)*Setup!$N$78))&lt;Setup!$D$5),"",IF(Setup!$M$78&gt;0,Setup!$G$78+(Setup!$O$78+AH$1)*Setup!$M$78,EDATE(Setup!$G$78,(Setup!$O$78+AH$1)*Setup!$N$78))+$A55/1000)))</f>
        <v/>
      </c>
      <c r="AI55">
        <f>IF(OR(Setup!$E$78="",Setup!$G$78="",Setup!$F$78=""),"",IF(AND(Setup!$F$78="Once",AI$1&gt;0),"",IF(OR(IF(Setup!$M$78&gt;0,Setup!$G$78+(Setup!$O$78+AI$1)*Setup!$M$78,EDATE(Setup!$G$78,(Setup!$O$78+AI$1)*Setup!$N$78))&gt;Setup!$P$78,IF(Setup!$M$78&gt;0,Setup!$G$78+(Setup!$O$78+AI$1)*Setup!$M$78,EDATE(Setup!$G$78,(Setup!$O$78+AI$1)*Setup!$N$78))&lt;Setup!$D$5),"",IF(Setup!$M$78&gt;0,Setup!$G$78+(Setup!$O$78+AI$1)*Setup!$M$78,EDATE(Setup!$G$78,(Setup!$O$78+AI$1)*Setup!$N$78))+$A55/1000)))</f>
        <v/>
      </c>
      <c r="AJ55">
        <f>IF(OR(Setup!$E$78="",Setup!$G$78="",Setup!$F$78=""),"",IF(AND(Setup!$F$78="Once",AJ$1&gt;0),"",IF(OR(IF(Setup!$M$78&gt;0,Setup!$G$78+(Setup!$O$78+AJ$1)*Setup!$M$78,EDATE(Setup!$G$78,(Setup!$O$78+AJ$1)*Setup!$N$78))&gt;Setup!$P$78,IF(Setup!$M$78&gt;0,Setup!$G$78+(Setup!$O$78+AJ$1)*Setup!$M$78,EDATE(Setup!$G$78,(Setup!$O$78+AJ$1)*Setup!$N$78))&lt;Setup!$D$5),"",IF(Setup!$M$78&gt;0,Setup!$G$78+(Setup!$O$78+AJ$1)*Setup!$M$78,EDATE(Setup!$G$78,(Setup!$O$78+AJ$1)*Setup!$N$78))+$A55/1000)))</f>
        <v/>
      </c>
      <c r="AK55">
        <f>IF(OR(Setup!$E$78="",Setup!$G$78="",Setup!$F$78=""),"",IF(AND(Setup!$F$78="Once",AK$1&gt;0),"",IF(OR(IF(Setup!$M$78&gt;0,Setup!$G$78+(Setup!$O$78+AK$1)*Setup!$M$78,EDATE(Setup!$G$78,(Setup!$O$78+AK$1)*Setup!$N$78))&gt;Setup!$P$78,IF(Setup!$M$78&gt;0,Setup!$G$78+(Setup!$O$78+AK$1)*Setup!$M$78,EDATE(Setup!$G$78,(Setup!$O$78+AK$1)*Setup!$N$78))&lt;Setup!$D$5),"",IF(Setup!$M$78&gt;0,Setup!$G$78+(Setup!$O$78+AK$1)*Setup!$M$78,EDATE(Setup!$G$78,(Setup!$O$78+AK$1)*Setup!$N$78))+$A55/1000)))</f>
        <v/>
      </c>
      <c r="AL55">
        <f>IF(OR(Setup!$E$78="",Setup!$G$78="",Setup!$F$78=""),"",IF(AND(Setup!$F$78="Once",AL$1&gt;0),"",IF(OR(IF(Setup!$M$78&gt;0,Setup!$G$78+(Setup!$O$78+AL$1)*Setup!$M$78,EDATE(Setup!$G$78,(Setup!$O$78+AL$1)*Setup!$N$78))&gt;Setup!$P$78,IF(Setup!$M$78&gt;0,Setup!$G$78+(Setup!$O$78+AL$1)*Setup!$M$78,EDATE(Setup!$G$78,(Setup!$O$78+AL$1)*Setup!$N$78))&lt;Setup!$D$5),"",IF(Setup!$M$78&gt;0,Setup!$G$78+(Setup!$O$78+AL$1)*Setup!$M$78,EDATE(Setup!$G$78,(Setup!$O$78+AL$1)*Setup!$N$78))+$A55/1000)))</f>
        <v/>
      </c>
      <c r="AM55">
        <f>IF(OR(Setup!$E$78="",Setup!$G$78="",Setup!$F$78=""),"",IF(AND(Setup!$F$78="Once",AM$1&gt;0),"",IF(OR(IF(Setup!$M$78&gt;0,Setup!$G$78+(Setup!$O$78+AM$1)*Setup!$M$78,EDATE(Setup!$G$78,(Setup!$O$78+AM$1)*Setup!$N$78))&gt;Setup!$P$78,IF(Setup!$M$78&gt;0,Setup!$G$78+(Setup!$O$78+AM$1)*Setup!$M$78,EDATE(Setup!$G$78,(Setup!$O$78+AM$1)*Setup!$N$78))&lt;Setup!$D$5),"",IF(Setup!$M$78&gt;0,Setup!$G$78+(Setup!$O$78+AM$1)*Setup!$M$78,EDATE(Setup!$G$78,(Setup!$O$78+AM$1)*Setup!$N$78))+$A55/1000)))</f>
        <v/>
      </c>
      <c r="AN55">
        <f>IF(OR(Setup!$E$78="",Setup!$G$78="",Setup!$F$78=""),"",IF(AND(Setup!$F$78="Once",AN$1&gt;0),"",IF(OR(IF(Setup!$M$78&gt;0,Setup!$G$78+(Setup!$O$78+AN$1)*Setup!$M$78,EDATE(Setup!$G$78,(Setup!$O$78+AN$1)*Setup!$N$78))&gt;Setup!$P$78,IF(Setup!$M$78&gt;0,Setup!$G$78+(Setup!$O$78+AN$1)*Setup!$M$78,EDATE(Setup!$G$78,(Setup!$O$78+AN$1)*Setup!$N$78))&lt;Setup!$D$5),"",IF(Setup!$M$78&gt;0,Setup!$G$78+(Setup!$O$78+AN$1)*Setup!$M$78,EDATE(Setup!$G$78,(Setup!$O$78+AN$1)*Setup!$N$78))+$A55/1000)))</f>
        <v/>
      </c>
      <c r="AO55">
        <f>IF(OR(Setup!$E$78="",Setup!$G$78="",Setup!$F$78=""),"",IF(AND(Setup!$F$78="Once",AO$1&gt;0),"",IF(OR(IF(Setup!$M$78&gt;0,Setup!$G$78+(Setup!$O$78+AO$1)*Setup!$M$78,EDATE(Setup!$G$78,(Setup!$O$78+AO$1)*Setup!$N$78))&gt;Setup!$P$78,IF(Setup!$M$78&gt;0,Setup!$G$78+(Setup!$O$78+AO$1)*Setup!$M$78,EDATE(Setup!$G$78,(Setup!$O$78+AO$1)*Setup!$N$78))&lt;Setup!$D$5),"",IF(Setup!$M$78&gt;0,Setup!$G$78+(Setup!$O$78+AO$1)*Setup!$M$78,EDATE(Setup!$G$78,(Setup!$O$78+AO$1)*Setup!$N$78))+$A55/1000)))</f>
        <v/>
      </c>
      <c r="AP55">
        <f>IF(OR(Setup!$E$78="",Setup!$G$78="",Setup!$F$78=""),"",IF(AND(Setup!$F$78="Once",AP$1&gt;0),"",IF(OR(IF(Setup!$M$78&gt;0,Setup!$G$78+(Setup!$O$78+AP$1)*Setup!$M$78,EDATE(Setup!$G$78,(Setup!$O$78+AP$1)*Setup!$N$78))&gt;Setup!$P$78,IF(Setup!$M$78&gt;0,Setup!$G$78+(Setup!$O$78+AP$1)*Setup!$M$78,EDATE(Setup!$G$78,(Setup!$O$78+AP$1)*Setup!$N$78))&lt;Setup!$D$5),"",IF(Setup!$M$78&gt;0,Setup!$G$78+(Setup!$O$78+AP$1)*Setup!$M$78,EDATE(Setup!$G$78,(Setup!$O$78+AP$1)*Setup!$N$78))+$A55/1000)))</f>
        <v/>
      </c>
      <c r="AQ55">
        <f>IF(OR(Setup!$E$78="",Setup!$G$78="",Setup!$F$78=""),"",IF(AND(Setup!$F$78="Once",AQ$1&gt;0),"",IF(OR(IF(Setup!$M$78&gt;0,Setup!$G$78+(Setup!$O$78+AQ$1)*Setup!$M$78,EDATE(Setup!$G$78,(Setup!$O$78+AQ$1)*Setup!$N$78))&gt;Setup!$P$78,IF(Setup!$M$78&gt;0,Setup!$G$78+(Setup!$O$78+AQ$1)*Setup!$M$78,EDATE(Setup!$G$78,(Setup!$O$78+AQ$1)*Setup!$N$78))&lt;Setup!$D$5),"",IF(Setup!$M$78&gt;0,Setup!$G$78+(Setup!$O$78+AQ$1)*Setup!$M$78,EDATE(Setup!$G$78,(Setup!$O$78+AQ$1)*Setup!$N$78))+$A55/1000)))</f>
        <v/>
      </c>
      <c r="AR55">
        <f>IF(OR(Setup!$E$78="",Setup!$G$78="",Setup!$F$78=""),"",IF(AND(Setup!$F$78="Once",AR$1&gt;0),"",IF(OR(IF(Setup!$M$78&gt;0,Setup!$G$78+(Setup!$O$78+AR$1)*Setup!$M$78,EDATE(Setup!$G$78,(Setup!$O$78+AR$1)*Setup!$N$78))&gt;Setup!$P$78,IF(Setup!$M$78&gt;0,Setup!$G$78+(Setup!$O$78+AR$1)*Setup!$M$78,EDATE(Setup!$G$78,(Setup!$O$78+AR$1)*Setup!$N$78))&lt;Setup!$D$5),"",IF(Setup!$M$78&gt;0,Setup!$G$78+(Setup!$O$78+AR$1)*Setup!$M$78,EDATE(Setup!$G$78,(Setup!$O$78+AR$1)*Setup!$N$78))+$A55/1000)))</f>
        <v/>
      </c>
      <c r="AS55">
        <f>IF(OR(Setup!$E$78="",Setup!$G$78="",Setup!$F$78=""),"",IF(AND(Setup!$F$78="Once",AS$1&gt;0),"",IF(OR(IF(Setup!$M$78&gt;0,Setup!$G$78+(Setup!$O$78+AS$1)*Setup!$M$78,EDATE(Setup!$G$78,(Setup!$O$78+AS$1)*Setup!$N$78))&gt;Setup!$P$78,IF(Setup!$M$78&gt;0,Setup!$G$78+(Setup!$O$78+AS$1)*Setup!$M$78,EDATE(Setup!$G$78,(Setup!$O$78+AS$1)*Setup!$N$78))&lt;Setup!$D$5),"",IF(Setup!$M$78&gt;0,Setup!$G$78+(Setup!$O$78+AS$1)*Setup!$M$78,EDATE(Setup!$G$78,(Setup!$O$78+AS$1)*Setup!$N$78))+$A55/1000)))</f>
        <v/>
      </c>
      <c r="AT55">
        <f>IF(OR(Setup!$E$78="",Setup!$G$78="",Setup!$F$78=""),"",IF(AND(Setup!$F$78="Once",AT$1&gt;0),"",IF(OR(IF(Setup!$M$78&gt;0,Setup!$G$78+(Setup!$O$78+AT$1)*Setup!$M$78,EDATE(Setup!$G$78,(Setup!$O$78+AT$1)*Setup!$N$78))&gt;Setup!$P$78,IF(Setup!$M$78&gt;0,Setup!$G$78+(Setup!$O$78+AT$1)*Setup!$M$78,EDATE(Setup!$G$78,(Setup!$O$78+AT$1)*Setup!$N$78))&lt;Setup!$D$5),"",IF(Setup!$M$78&gt;0,Setup!$G$78+(Setup!$O$78+AT$1)*Setup!$M$78,EDATE(Setup!$G$78,(Setup!$O$78+AT$1)*Setup!$N$78))+$A55/1000)))</f>
        <v/>
      </c>
      <c r="AU55">
        <f>IF(OR(Setup!$E$78="",Setup!$G$78="",Setup!$F$78=""),"",IF(AND(Setup!$F$78="Once",AU$1&gt;0),"",IF(OR(IF(Setup!$M$78&gt;0,Setup!$G$78+(Setup!$O$78+AU$1)*Setup!$M$78,EDATE(Setup!$G$78,(Setup!$O$78+AU$1)*Setup!$N$78))&gt;Setup!$P$78,IF(Setup!$M$78&gt;0,Setup!$G$78+(Setup!$O$78+AU$1)*Setup!$M$78,EDATE(Setup!$G$78,(Setup!$O$78+AU$1)*Setup!$N$78))&lt;Setup!$D$5),"",IF(Setup!$M$78&gt;0,Setup!$G$78+(Setup!$O$78+AU$1)*Setup!$M$78,EDATE(Setup!$G$78,(Setup!$O$78+AU$1)*Setup!$N$78))+$A55/1000)))</f>
        <v/>
      </c>
      <c r="AV55">
        <f>IF(OR(Setup!$E$78="",Setup!$G$78="",Setup!$F$78=""),"",IF(AND(Setup!$F$78="Once",AV$1&gt;0),"",IF(OR(IF(Setup!$M$78&gt;0,Setup!$G$78+(Setup!$O$78+AV$1)*Setup!$M$78,EDATE(Setup!$G$78,(Setup!$O$78+AV$1)*Setup!$N$78))&gt;Setup!$P$78,IF(Setup!$M$78&gt;0,Setup!$G$78+(Setup!$O$78+AV$1)*Setup!$M$78,EDATE(Setup!$G$78,(Setup!$O$78+AV$1)*Setup!$N$78))&lt;Setup!$D$5),"",IF(Setup!$M$78&gt;0,Setup!$G$78+(Setup!$O$78+AV$1)*Setup!$M$78,EDATE(Setup!$G$78,(Setup!$O$78+AV$1)*Setup!$N$78))+$A55/1000)))</f>
        <v/>
      </c>
      <c r="AW55">
        <f>IF(OR(Setup!$E$78="",Setup!$G$78="",Setup!$F$78=""),"",IF(AND(Setup!$F$78="Once",AW$1&gt;0),"",IF(OR(IF(Setup!$M$78&gt;0,Setup!$G$78+(Setup!$O$78+AW$1)*Setup!$M$78,EDATE(Setup!$G$78,(Setup!$O$78+AW$1)*Setup!$N$78))&gt;Setup!$P$78,IF(Setup!$M$78&gt;0,Setup!$G$78+(Setup!$O$78+AW$1)*Setup!$M$78,EDATE(Setup!$G$78,(Setup!$O$78+AW$1)*Setup!$N$78))&lt;Setup!$D$5),"",IF(Setup!$M$78&gt;0,Setup!$G$78+(Setup!$O$78+AW$1)*Setup!$M$78,EDATE(Setup!$G$78,(Setup!$O$78+AW$1)*Setup!$N$78))+$A55/1000)))</f>
        <v/>
      </c>
      <c r="AX55">
        <f>IF(OR(Setup!$E$78="",Setup!$G$78="",Setup!$F$78=""),"",IF(AND(Setup!$F$78="Once",AX$1&gt;0),"",IF(OR(IF(Setup!$M$78&gt;0,Setup!$G$78+(Setup!$O$78+AX$1)*Setup!$M$78,EDATE(Setup!$G$78,(Setup!$O$78+AX$1)*Setup!$N$78))&gt;Setup!$P$78,IF(Setup!$M$78&gt;0,Setup!$G$78+(Setup!$O$78+AX$1)*Setup!$M$78,EDATE(Setup!$G$78,(Setup!$O$78+AX$1)*Setup!$N$78))&lt;Setup!$D$5),"",IF(Setup!$M$78&gt;0,Setup!$G$78+(Setup!$O$78+AX$1)*Setup!$M$78,EDATE(Setup!$G$78,(Setup!$O$78+AX$1)*Setup!$N$78))+$A55/1000)))</f>
        <v/>
      </c>
      <c r="AY55">
        <f>IF(OR(Setup!$E$78="",Setup!$G$78="",Setup!$F$78=""),"",IF(AND(Setup!$F$78="Once",AY$1&gt;0),"",IF(OR(IF(Setup!$M$78&gt;0,Setup!$G$78+(Setup!$O$78+AY$1)*Setup!$M$78,EDATE(Setup!$G$78,(Setup!$O$78+AY$1)*Setup!$N$78))&gt;Setup!$P$78,IF(Setup!$M$78&gt;0,Setup!$G$78+(Setup!$O$78+AY$1)*Setup!$M$78,EDATE(Setup!$G$78,(Setup!$O$78+AY$1)*Setup!$N$78))&lt;Setup!$D$5),"",IF(Setup!$M$78&gt;0,Setup!$G$78+(Setup!$O$78+AY$1)*Setup!$M$78,EDATE(Setup!$G$78,(Setup!$O$78+AY$1)*Setup!$N$78))+$A55/1000)))</f>
        <v/>
      </c>
      <c r="AZ55">
        <f>IF(OR(Setup!$E$78="",Setup!$G$78="",Setup!$F$78=""),"",IF(AND(Setup!$F$78="Once",AZ$1&gt;0),"",IF(OR(IF(Setup!$M$78&gt;0,Setup!$G$78+(Setup!$O$78+AZ$1)*Setup!$M$78,EDATE(Setup!$G$78,(Setup!$O$78+AZ$1)*Setup!$N$78))&gt;Setup!$P$78,IF(Setup!$M$78&gt;0,Setup!$G$78+(Setup!$O$78+AZ$1)*Setup!$M$78,EDATE(Setup!$G$78,(Setup!$O$78+AZ$1)*Setup!$N$78))&lt;Setup!$D$5),"",IF(Setup!$M$78&gt;0,Setup!$G$78+(Setup!$O$78+AZ$1)*Setup!$M$78,EDATE(Setup!$G$78,(Setup!$O$78+AZ$1)*Setup!$N$78))+$A55/1000)))</f>
        <v/>
      </c>
      <c r="BA55">
        <f>IF(OR(Setup!$E$78="",Setup!$G$78="",Setup!$F$78=""),"",IF(AND(Setup!$F$78="Once",BA$1&gt;0),"",IF(OR(IF(Setup!$M$78&gt;0,Setup!$G$78+(Setup!$O$78+BA$1)*Setup!$M$78,EDATE(Setup!$G$78,(Setup!$O$78+BA$1)*Setup!$N$78))&gt;Setup!$P$78,IF(Setup!$M$78&gt;0,Setup!$G$78+(Setup!$O$78+BA$1)*Setup!$M$78,EDATE(Setup!$G$78,(Setup!$O$78+BA$1)*Setup!$N$78))&lt;Setup!$D$5),"",IF(Setup!$M$78&gt;0,Setup!$G$78+(Setup!$O$78+BA$1)*Setup!$M$78,EDATE(Setup!$G$78,(Setup!$O$78+BA$1)*Setup!$N$78))+$A55/1000)))</f>
        <v/>
      </c>
      <c r="BB55">
        <f>IF(OR(Setup!$E$78="",Setup!$G$78="",Setup!$F$78=""),"",IF(AND(Setup!$F$78="Once",BB$1&gt;0),"",IF(OR(IF(Setup!$M$78&gt;0,Setup!$G$78+(Setup!$O$78+BB$1)*Setup!$M$78,EDATE(Setup!$G$78,(Setup!$O$78+BB$1)*Setup!$N$78))&gt;Setup!$P$78,IF(Setup!$M$78&gt;0,Setup!$G$78+(Setup!$O$78+BB$1)*Setup!$M$78,EDATE(Setup!$G$78,(Setup!$O$78+BB$1)*Setup!$N$78))&lt;Setup!$D$5),"",IF(Setup!$M$78&gt;0,Setup!$G$78+(Setup!$O$78+BB$1)*Setup!$M$78,EDATE(Setup!$G$78,(Setup!$O$78+BB$1)*Setup!$N$78))+$A55/1000)))</f>
        <v/>
      </c>
    </row>
    <row r="56">
      <c r="A56" t="n">
        <v>55</v>
      </c>
      <c r="B56">
        <f>IF(OR(Setup!$E$79="",Setup!$G$79="",Setup!$F$79=""),"",IF(AND(Setup!$F$79="Once",B$1&gt;0),"",IF(OR(IF(Setup!$M$79&gt;0,Setup!$G$79+(Setup!$O$79+B$1)*Setup!$M$79,EDATE(Setup!$G$79,(Setup!$O$79+B$1)*Setup!$N$79))&gt;Setup!$P$79,IF(Setup!$M$79&gt;0,Setup!$G$79+(Setup!$O$79+B$1)*Setup!$M$79,EDATE(Setup!$G$79,(Setup!$O$79+B$1)*Setup!$N$79))&lt;Setup!$D$5),"",IF(Setup!$M$79&gt;0,Setup!$G$79+(Setup!$O$79+B$1)*Setup!$M$79,EDATE(Setup!$G$79,(Setup!$O$79+B$1)*Setup!$N$79))+$A56/1000)))</f>
        <v/>
      </c>
      <c r="C56">
        <f>IF(OR(Setup!$E$79="",Setup!$G$79="",Setup!$F$79=""),"",IF(AND(Setup!$F$79="Once",C$1&gt;0),"",IF(OR(IF(Setup!$M$79&gt;0,Setup!$G$79+(Setup!$O$79+C$1)*Setup!$M$79,EDATE(Setup!$G$79,(Setup!$O$79+C$1)*Setup!$N$79))&gt;Setup!$P$79,IF(Setup!$M$79&gt;0,Setup!$G$79+(Setup!$O$79+C$1)*Setup!$M$79,EDATE(Setup!$G$79,(Setup!$O$79+C$1)*Setup!$N$79))&lt;Setup!$D$5),"",IF(Setup!$M$79&gt;0,Setup!$G$79+(Setup!$O$79+C$1)*Setup!$M$79,EDATE(Setup!$G$79,(Setup!$O$79+C$1)*Setup!$N$79))+$A56/1000)))</f>
        <v/>
      </c>
      <c r="D56">
        <f>IF(OR(Setup!$E$79="",Setup!$G$79="",Setup!$F$79=""),"",IF(AND(Setup!$F$79="Once",D$1&gt;0),"",IF(OR(IF(Setup!$M$79&gt;0,Setup!$G$79+(Setup!$O$79+D$1)*Setup!$M$79,EDATE(Setup!$G$79,(Setup!$O$79+D$1)*Setup!$N$79))&gt;Setup!$P$79,IF(Setup!$M$79&gt;0,Setup!$G$79+(Setup!$O$79+D$1)*Setup!$M$79,EDATE(Setup!$G$79,(Setup!$O$79+D$1)*Setup!$N$79))&lt;Setup!$D$5),"",IF(Setup!$M$79&gt;0,Setup!$G$79+(Setup!$O$79+D$1)*Setup!$M$79,EDATE(Setup!$G$79,(Setup!$O$79+D$1)*Setup!$N$79))+$A56/1000)))</f>
        <v/>
      </c>
      <c r="E56">
        <f>IF(OR(Setup!$E$79="",Setup!$G$79="",Setup!$F$79=""),"",IF(AND(Setup!$F$79="Once",E$1&gt;0),"",IF(OR(IF(Setup!$M$79&gt;0,Setup!$G$79+(Setup!$O$79+E$1)*Setup!$M$79,EDATE(Setup!$G$79,(Setup!$O$79+E$1)*Setup!$N$79))&gt;Setup!$P$79,IF(Setup!$M$79&gt;0,Setup!$G$79+(Setup!$O$79+E$1)*Setup!$M$79,EDATE(Setup!$G$79,(Setup!$O$79+E$1)*Setup!$N$79))&lt;Setup!$D$5),"",IF(Setup!$M$79&gt;0,Setup!$G$79+(Setup!$O$79+E$1)*Setup!$M$79,EDATE(Setup!$G$79,(Setup!$O$79+E$1)*Setup!$N$79))+$A56/1000)))</f>
        <v/>
      </c>
      <c r="F56">
        <f>IF(OR(Setup!$E$79="",Setup!$G$79="",Setup!$F$79=""),"",IF(AND(Setup!$F$79="Once",F$1&gt;0),"",IF(OR(IF(Setup!$M$79&gt;0,Setup!$G$79+(Setup!$O$79+F$1)*Setup!$M$79,EDATE(Setup!$G$79,(Setup!$O$79+F$1)*Setup!$N$79))&gt;Setup!$P$79,IF(Setup!$M$79&gt;0,Setup!$G$79+(Setup!$O$79+F$1)*Setup!$M$79,EDATE(Setup!$G$79,(Setup!$O$79+F$1)*Setup!$N$79))&lt;Setup!$D$5),"",IF(Setup!$M$79&gt;0,Setup!$G$79+(Setup!$O$79+F$1)*Setup!$M$79,EDATE(Setup!$G$79,(Setup!$O$79+F$1)*Setup!$N$79))+$A56/1000)))</f>
        <v/>
      </c>
      <c r="G56">
        <f>IF(OR(Setup!$E$79="",Setup!$G$79="",Setup!$F$79=""),"",IF(AND(Setup!$F$79="Once",G$1&gt;0),"",IF(OR(IF(Setup!$M$79&gt;0,Setup!$G$79+(Setup!$O$79+G$1)*Setup!$M$79,EDATE(Setup!$G$79,(Setup!$O$79+G$1)*Setup!$N$79))&gt;Setup!$P$79,IF(Setup!$M$79&gt;0,Setup!$G$79+(Setup!$O$79+G$1)*Setup!$M$79,EDATE(Setup!$G$79,(Setup!$O$79+G$1)*Setup!$N$79))&lt;Setup!$D$5),"",IF(Setup!$M$79&gt;0,Setup!$G$79+(Setup!$O$79+G$1)*Setup!$M$79,EDATE(Setup!$G$79,(Setup!$O$79+G$1)*Setup!$N$79))+$A56/1000)))</f>
        <v/>
      </c>
      <c r="H56">
        <f>IF(OR(Setup!$E$79="",Setup!$G$79="",Setup!$F$79=""),"",IF(AND(Setup!$F$79="Once",H$1&gt;0),"",IF(OR(IF(Setup!$M$79&gt;0,Setup!$G$79+(Setup!$O$79+H$1)*Setup!$M$79,EDATE(Setup!$G$79,(Setup!$O$79+H$1)*Setup!$N$79))&gt;Setup!$P$79,IF(Setup!$M$79&gt;0,Setup!$G$79+(Setup!$O$79+H$1)*Setup!$M$79,EDATE(Setup!$G$79,(Setup!$O$79+H$1)*Setup!$N$79))&lt;Setup!$D$5),"",IF(Setup!$M$79&gt;0,Setup!$G$79+(Setup!$O$79+H$1)*Setup!$M$79,EDATE(Setup!$G$79,(Setup!$O$79+H$1)*Setup!$N$79))+$A56/1000)))</f>
        <v/>
      </c>
      <c r="I56">
        <f>IF(OR(Setup!$E$79="",Setup!$G$79="",Setup!$F$79=""),"",IF(AND(Setup!$F$79="Once",I$1&gt;0),"",IF(OR(IF(Setup!$M$79&gt;0,Setup!$G$79+(Setup!$O$79+I$1)*Setup!$M$79,EDATE(Setup!$G$79,(Setup!$O$79+I$1)*Setup!$N$79))&gt;Setup!$P$79,IF(Setup!$M$79&gt;0,Setup!$G$79+(Setup!$O$79+I$1)*Setup!$M$79,EDATE(Setup!$G$79,(Setup!$O$79+I$1)*Setup!$N$79))&lt;Setup!$D$5),"",IF(Setup!$M$79&gt;0,Setup!$G$79+(Setup!$O$79+I$1)*Setup!$M$79,EDATE(Setup!$G$79,(Setup!$O$79+I$1)*Setup!$N$79))+$A56/1000)))</f>
        <v/>
      </c>
      <c r="J56">
        <f>IF(OR(Setup!$E$79="",Setup!$G$79="",Setup!$F$79=""),"",IF(AND(Setup!$F$79="Once",J$1&gt;0),"",IF(OR(IF(Setup!$M$79&gt;0,Setup!$G$79+(Setup!$O$79+J$1)*Setup!$M$79,EDATE(Setup!$G$79,(Setup!$O$79+J$1)*Setup!$N$79))&gt;Setup!$P$79,IF(Setup!$M$79&gt;0,Setup!$G$79+(Setup!$O$79+J$1)*Setup!$M$79,EDATE(Setup!$G$79,(Setup!$O$79+J$1)*Setup!$N$79))&lt;Setup!$D$5),"",IF(Setup!$M$79&gt;0,Setup!$G$79+(Setup!$O$79+J$1)*Setup!$M$79,EDATE(Setup!$G$79,(Setup!$O$79+J$1)*Setup!$N$79))+$A56/1000)))</f>
        <v/>
      </c>
      <c r="K56">
        <f>IF(OR(Setup!$E$79="",Setup!$G$79="",Setup!$F$79=""),"",IF(AND(Setup!$F$79="Once",K$1&gt;0),"",IF(OR(IF(Setup!$M$79&gt;0,Setup!$G$79+(Setup!$O$79+K$1)*Setup!$M$79,EDATE(Setup!$G$79,(Setup!$O$79+K$1)*Setup!$N$79))&gt;Setup!$P$79,IF(Setup!$M$79&gt;0,Setup!$G$79+(Setup!$O$79+K$1)*Setup!$M$79,EDATE(Setup!$G$79,(Setup!$O$79+K$1)*Setup!$N$79))&lt;Setup!$D$5),"",IF(Setup!$M$79&gt;0,Setup!$G$79+(Setup!$O$79+K$1)*Setup!$M$79,EDATE(Setup!$G$79,(Setup!$O$79+K$1)*Setup!$N$79))+$A56/1000)))</f>
        <v/>
      </c>
      <c r="L56">
        <f>IF(OR(Setup!$E$79="",Setup!$G$79="",Setup!$F$79=""),"",IF(AND(Setup!$F$79="Once",L$1&gt;0),"",IF(OR(IF(Setup!$M$79&gt;0,Setup!$G$79+(Setup!$O$79+L$1)*Setup!$M$79,EDATE(Setup!$G$79,(Setup!$O$79+L$1)*Setup!$N$79))&gt;Setup!$P$79,IF(Setup!$M$79&gt;0,Setup!$G$79+(Setup!$O$79+L$1)*Setup!$M$79,EDATE(Setup!$G$79,(Setup!$O$79+L$1)*Setup!$N$79))&lt;Setup!$D$5),"",IF(Setup!$M$79&gt;0,Setup!$G$79+(Setup!$O$79+L$1)*Setup!$M$79,EDATE(Setup!$G$79,(Setup!$O$79+L$1)*Setup!$N$79))+$A56/1000)))</f>
        <v/>
      </c>
      <c r="M56">
        <f>IF(OR(Setup!$E$79="",Setup!$G$79="",Setup!$F$79=""),"",IF(AND(Setup!$F$79="Once",M$1&gt;0),"",IF(OR(IF(Setup!$M$79&gt;0,Setup!$G$79+(Setup!$O$79+M$1)*Setup!$M$79,EDATE(Setup!$G$79,(Setup!$O$79+M$1)*Setup!$N$79))&gt;Setup!$P$79,IF(Setup!$M$79&gt;0,Setup!$G$79+(Setup!$O$79+M$1)*Setup!$M$79,EDATE(Setup!$G$79,(Setup!$O$79+M$1)*Setup!$N$79))&lt;Setup!$D$5),"",IF(Setup!$M$79&gt;0,Setup!$G$79+(Setup!$O$79+M$1)*Setup!$M$79,EDATE(Setup!$G$79,(Setup!$O$79+M$1)*Setup!$N$79))+$A56/1000)))</f>
        <v/>
      </c>
      <c r="N56">
        <f>IF(OR(Setup!$E$79="",Setup!$G$79="",Setup!$F$79=""),"",IF(AND(Setup!$F$79="Once",N$1&gt;0),"",IF(OR(IF(Setup!$M$79&gt;0,Setup!$G$79+(Setup!$O$79+N$1)*Setup!$M$79,EDATE(Setup!$G$79,(Setup!$O$79+N$1)*Setup!$N$79))&gt;Setup!$P$79,IF(Setup!$M$79&gt;0,Setup!$G$79+(Setup!$O$79+N$1)*Setup!$M$79,EDATE(Setup!$G$79,(Setup!$O$79+N$1)*Setup!$N$79))&lt;Setup!$D$5),"",IF(Setup!$M$79&gt;0,Setup!$G$79+(Setup!$O$79+N$1)*Setup!$M$79,EDATE(Setup!$G$79,(Setup!$O$79+N$1)*Setup!$N$79))+$A56/1000)))</f>
        <v/>
      </c>
      <c r="O56">
        <f>IF(OR(Setup!$E$79="",Setup!$G$79="",Setup!$F$79=""),"",IF(AND(Setup!$F$79="Once",O$1&gt;0),"",IF(OR(IF(Setup!$M$79&gt;0,Setup!$G$79+(Setup!$O$79+O$1)*Setup!$M$79,EDATE(Setup!$G$79,(Setup!$O$79+O$1)*Setup!$N$79))&gt;Setup!$P$79,IF(Setup!$M$79&gt;0,Setup!$G$79+(Setup!$O$79+O$1)*Setup!$M$79,EDATE(Setup!$G$79,(Setup!$O$79+O$1)*Setup!$N$79))&lt;Setup!$D$5),"",IF(Setup!$M$79&gt;0,Setup!$G$79+(Setup!$O$79+O$1)*Setup!$M$79,EDATE(Setup!$G$79,(Setup!$O$79+O$1)*Setup!$N$79))+$A56/1000)))</f>
        <v/>
      </c>
      <c r="P56">
        <f>IF(OR(Setup!$E$79="",Setup!$G$79="",Setup!$F$79=""),"",IF(AND(Setup!$F$79="Once",P$1&gt;0),"",IF(OR(IF(Setup!$M$79&gt;0,Setup!$G$79+(Setup!$O$79+P$1)*Setup!$M$79,EDATE(Setup!$G$79,(Setup!$O$79+P$1)*Setup!$N$79))&gt;Setup!$P$79,IF(Setup!$M$79&gt;0,Setup!$G$79+(Setup!$O$79+P$1)*Setup!$M$79,EDATE(Setup!$G$79,(Setup!$O$79+P$1)*Setup!$N$79))&lt;Setup!$D$5),"",IF(Setup!$M$79&gt;0,Setup!$G$79+(Setup!$O$79+P$1)*Setup!$M$79,EDATE(Setup!$G$79,(Setup!$O$79+P$1)*Setup!$N$79))+$A56/1000)))</f>
        <v/>
      </c>
      <c r="Q56">
        <f>IF(OR(Setup!$E$79="",Setup!$G$79="",Setup!$F$79=""),"",IF(AND(Setup!$F$79="Once",Q$1&gt;0),"",IF(OR(IF(Setup!$M$79&gt;0,Setup!$G$79+(Setup!$O$79+Q$1)*Setup!$M$79,EDATE(Setup!$G$79,(Setup!$O$79+Q$1)*Setup!$N$79))&gt;Setup!$P$79,IF(Setup!$M$79&gt;0,Setup!$G$79+(Setup!$O$79+Q$1)*Setup!$M$79,EDATE(Setup!$G$79,(Setup!$O$79+Q$1)*Setup!$N$79))&lt;Setup!$D$5),"",IF(Setup!$M$79&gt;0,Setup!$G$79+(Setup!$O$79+Q$1)*Setup!$M$79,EDATE(Setup!$G$79,(Setup!$O$79+Q$1)*Setup!$N$79))+$A56/1000)))</f>
        <v/>
      </c>
      <c r="R56">
        <f>IF(OR(Setup!$E$79="",Setup!$G$79="",Setup!$F$79=""),"",IF(AND(Setup!$F$79="Once",R$1&gt;0),"",IF(OR(IF(Setup!$M$79&gt;0,Setup!$G$79+(Setup!$O$79+R$1)*Setup!$M$79,EDATE(Setup!$G$79,(Setup!$O$79+R$1)*Setup!$N$79))&gt;Setup!$P$79,IF(Setup!$M$79&gt;0,Setup!$G$79+(Setup!$O$79+R$1)*Setup!$M$79,EDATE(Setup!$G$79,(Setup!$O$79+R$1)*Setup!$N$79))&lt;Setup!$D$5),"",IF(Setup!$M$79&gt;0,Setup!$G$79+(Setup!$O$79+R$1)*Setup!$M$79,EDATE(Setup!$G$79,(Setup!$O$79+R$1)*Setup!$N$79))+$A56/1000)))</f>
        <v/>
      </c>
      <c r="S56">
        <f>IF(OR(Setup!$E$79="",Setup!$G$79="",Setup!$F$79=""),"",IF(AND(Setup!$F$79="Once",S$1&gt;0),"",IF(OR(IF(Setup!$M$79&gt;0,Setup!$G$79+(Setup!$O$79+S$1)*Setup!$M$79,EDATE(Setup!$G$79,(Setup!$O$79+S$1)*Setup!$N$79))&gt;Setup!$P$79,IF(Setup!$M$79&gt;0,Setup!$G$79+(Setup!$O$79+S$1)*Setup!$M$79,EDATE(Setup!$G$79,(Setup!$O$79+S$1)*Setup!$N$79))&lt;Setup!$D$5),"",IF(Setup!$M$79&gt;0,Setup!$G$79+(Setup!$O$79+S$1)*Setup!$M$79,EDATE(Setup!$G$79,(Setup!$O$79+S$1)*Setup!$N$79))+$A56/1000)))</f>
        <v/>
      </c>
      <c r="T56">
        <f>IF(OR(Setup!$E$79="",Setup!$G$79="",Setup!$F$79=""),"",IF(AND(Setup!$F$79="Once",T$1&gt;0),"",IF(OR(IF(Setup!$M$79&gt;0,Setup!$G$79+(Setup!$O$79+T$1)*Setup!$M$79,EDATE(Setup!$G$79,(Setup!$O$79+T$1)*Setup!$N$79))&gt;Setup!$P$79,IF(Setup!$M$79&gt;0,Setup!$G$79+(Setup!$O$79+T$1)*Setup!$M$79,EDATE(Setup!$G$79,(Setup!$O$79+T$1)*Setup!$N$79))&lt;Setup!$D$5),"",IF(Setup!$M$79&gt;0,Setup!$G$79+(Setup!$O$79+T$1)*Setup!$M$79,EDATE(Setup!$G$79,(Setup!$O$79+T$1)*Setup!$N$79))+$A56/1000)))</f>
        <v/>
      </c>
      <c r="U56">
        <f>IF(OR(Setup!$E$79="",Setup!$G$79="",Setup!$F$79=""),"",IF(AND(Setup!$F$79="Once",U$1&gt;0),"",IF(OR(IF(Setup!$M$79&gt;0,Setup!$G$79+(Setup!$O$79+U$1)*Setup!$M$79,EDATE(Setup!$G$79,(Setup!$O$79+U$1)*Setup!$N$79))&gt;Setup!$P$79,IF(Setup!$M$79&gt;0,Setup!$G$79+(Setup!$O$79+U$1)*Setup!$M$79,EDATE(Setup!$G$79,(Setup!$O$79+U$1)*Setup!$N$79))&lt;Setup!$D$5),"",IF(Setup!$M$79&gt;0,Setup!$G$79+(Setup!$O$79+U$1)*Setup!$M$79,EDATE(Setup!$G$79,(Setup!$O$79+U$1)*Setup!$N$79))+$A56/1000)))</f>
        <v/>
      </c>
      <c r="V56">
        <f>IF(OR(Setup!$E$79="",Setup!$G$79="",Setup!$F$79=""),"",IF(AND(Setup!$F$79="Once",V$1&gt;0),"",IF(OR(IF(Setup!$M$79&gt;0,Setup!$G$79+(Setup!$O$79+V$1)*Setup!$M$79,EDATE(Setup!$G$79,(Setup!$O$79+V$1)*Setup!$N$79))&gt;Setup!$P$79,IF(Setup!$M$79&gt;0,Setup!$G$79+(Setup!$O$79+V$1)*Setup!$M$79,EDATE(Setup!$G$79,(Setup!$O$79+V$1)*Setup!$N$79))&lt;Setup!$D$5),"",IF(Setup!$M$79&gt;0,Setup!$G$79+(Setup!$O$79+V$1)*Setup!$M$79,EDATE(Setup!$G$79,(Setup!$O$79+V$1)*Setup!$N$79))+$A56/1000)))</f>
        <v/>
      </c>
      <c r="W56">
        <f>IF(OR(Setup!$E$79="",Setup!$G$79="",Setup!$F$79=""),"",IF(AND(Setup!$F$79="Once",W$1&gt;0),"",IF(OR(IF(Setup!$M$79&gt;0,Setup!$G$79+(Setup!$O$79+W$1)*Setup!$M$79,EDATE(Setup!$G$79,(Setup!$O$79+W$1)*Setup!$N$79))&gt;Setup!$P$79,IF(Setup!$M$79&gt;0,Setup!$G$79+(Setup!$O$79+W$1)*Setup!$M$79,EDATE(Setup!$G$79,(Setup!$O$79+W$1)*Setup!$N$79))&lt;Setup!$D$5),"",IF(Setup!$M$79&gt;0,Setup!$G$79+(Setup!$O$79+W$1)*Setup!$M$79,EDATE(Setup!$G$79,(Setup!$O$79+W$1)*Setup!$N$79))+$A56/1000)))</f>
        <v/>
      </c>
      <c r="X56">
        <f>IF(OR(Setup!$E$79="",Setup!$G$79="",Setup!$F$79=""),"",IF(AND(Setup!$F$79="Once",X$1&gt;0),"",IF(OR(IF(Setup!$M$79&gt;0,Setup!$G$79+(Setup!$O$79+X$1)*Setup!$M$79,EDATE(Setup!$G$79,(Setup!$O$79+X$1)*Setup!$N$79))&gt;Setup!$P$79,IF(Setup!$M$79&gt;0,Setup!$G$79+(Setup!$O$79+X$1)*Setup!$M$79,EDATE(Setup!$G$79,(Setup!$O$79+X$1)*Setup!$N$79))&lt;Setup!$D$5),"",IF(Setup!$M$79&gt;0,Setup!$G$79+(Setup!$O$79+X$1)*Setup!$M$79,EDATE(Setup!$G$79,(Setup!$O$79+X$1)*Setup!$N$79))+$A56/1000)))</f>
        <v/>
      </c>
      <c r="Y56">
        <f>IF(OR(Setup!$E$79="",Setup!$G$79="",Setup!$F$79=""),"",IF(AND(Setup!$F$79="Once",Y$1&gt;0),"",IF(OR(IF(Setup!$M$79&gt;0,Setup!$G$79+(Setup!$O$79+Y$1)*Setup!$M$79,EDATE(Setup!$G$79,(Setup!$O$79+Y$1)*Setup!$N$79))&gt;Setup!$P$79,IF(Setup!$M$79&gt;0,Setup!$G$79+(Setup!$O$79+Y$1)*Setup!$M$79,EDATE(Setup!$G$79,(Setup!$O$79+Y$1)*Setup!$N$79))&lt;Setup!$D$5),"",IF(Setup!$M$79&gt;0,Setup!$G$79+(Setup!$O$79+Y$1)*Setup!$M$79,EDATE(Setup!$G$79,(Setup!$O$79+Y$1)*Setup!$N$79))+$A56/1000)))</f>
        <v/>
      </c>
      <c r="Z56">
        <f>IF(OR(Setup!$E$79="",Setup!$G$79="",Setup!$F$79=""),"",IF(AND(Setup!$F$79="Once",Z$1&gt;0),"",IF(OR(IF(Setup!$M$79&gt;0,Setup!$G$79+(Setup!$O$79+Z$1)*Setup!$M$79,EDATE(Setup!$G$79,(Setup!$O$79+Z$1)*Setup!$N$79))&gt;Setup!$P$79,IF(Setup!$M$79&gt;0,Setup!$G$79+(Setup!$O$79+Z$1)*Setup!$M$79,EDATE(Setup!$G$79,(Setup!$O$79+Z$1)*Setup!$N$79))&lt;Setup!$D$5),"",IF(Setup!$M$79&gt;0,Setup!$G$79+(Setup!$O$79+Z$1)*Setup!$M$79,EDATE(Setup!$G$79,(Setup!$O$79+Z$1)*Setup!$N$79))+$A56/1000)))</f>
        <v/>
      </c>
      <c r="AA56">
        <f>IF(OR(Setup!$E$79="",Setup!$G$79="",Setup!$F$79=""),"",IF(AND(Setup!$F$79="Once",AA$1&gt;0),"",IF(OR(IF(Setup!$M$79&gt;0,Setup!$G$79+(Setup!$O$79+AA$1)*Setup!$M$79,EDATE(Setup!$G$79,(Setup!$O$79+AA$1)*Setup!$N$79))&gt;Setup!$P$79,IF(Setup!$M$79&gt;0,Setup!$G$79+(Setup!$O$79+AA$1)*Setup!$M$79,EDATE(Setup!$G$79,(Setup!$O$79+AA$1)*Setup!$N$79))&lt;Setup!$D$5),"",IF(Setup!$M$79&gt;0,Setup!$G$79+(Setup!$O$79+AA$1)*Setup!$M$79,EDATE(Setup!$G$79,(Setup!$O$79+AA$1)*Setup!$N$79))+$A56/1000)))</f>
        <v/>
      </c>
      <c r="AB56">
        <f>IF(OR(Setup!$E$79="",Setup!$G$79="",Setup!$F$79=""),"",IF(AND(Setup!$F$79="Once",AB$1&gt;0),"",IF(OR(IF(Setup!$M$79&gt;0,Setup!$G$79+(Setup!$O$79+AB$1)*Setup!$M$79,EDATE(Setup!$G$79,(Setup!$O$79+AB$1)*Setup!$N$79))&gt;Setup!$P$79,IF(Setup!$M$79&gt;0,Setup!$G$79+(Setup!$O$79+AB$1)*Setup!$M$79,EDATE(Setup!$G$79,(Setup!$O$79+AB$1)*Setup!$N$79))&lt;Setup!$D$5),"",IF(Setup!$M$79&gt;0,Setup!$G$79+(Setup!$O$79+AB$1)*Setup!$M$79,EDATE(Setup!$G$79,(Setup!$O$79+AB$1)*Setup!$N$79))+$A56/1000)))</f>
        <v/>
      </c>
      <c r="AC56">
        <f>IF(OR(Setup!$E$79="",Setup!$G$79="",Setup!$F$79=""),"",IF(AND(Setup!$F$79="Once",AC$1&gt;0),"",IF(OR(IF(Setup!$M$79&gt;0,Setup!$G$79+(Setup!$O$79+AC$1)*Setup!$M$79,EDATE(Setup!$G$79,(Setup!$O$79+AC$1)*Setup!$N$79))&gt;Setup!$P$79,IF(Setup!$M$79&gt;0,Setup!$G$79+(Setup!$O$79+AC$1)*Setup!$M$79,EDATE(Setup!$G$79,(Setup!$O$79+AC$1)*Setup!$N$79))&lt;Setup!$D$5),"",IF(Setup!$M$79&gt;0,Setup!$G$79+(Setup!$O$79+AC$1)*Setup!$M$79,EDATE(Setup!$G$79,(Setup!$O$79+AC$1)*Setup!$N$79))+$A56/1000)))</f>
        <v/>
      </c>
      <c r="AD56">
        <f>IF(OR(Setup!$E$79="",Setup!$G$79="",Setup!$F$79=""),"",IF(AND(Setup!$F$79="Once",AD$1&gt;0),"",IF(OR(IF(Setup!$M$79&gt;0,Setup!$G$79+(Setup!$O$79+AD$1)*Setup!$M$79,EDATE(Setup!$G$79,(Setup!$O$79+AD$1)*Setup!$N$79))&gt;Setup!$P$79,IF(Setup!$M$79&gt;0,Setup!$G$79+(Setup!$O$79+AD$1)*Setup!$M$79,EDATE(Setup!$G$79,(Setup!$O$79+AD$1)*Setup!$N$79))&lt;Setup!$D$5),"",IF(Setup!$M$79&gt;0,Setup!$G$79+(Setup!$O$79+AD$1)*Setup!$M$79,EDATE(Setup!$G$79,(Setup!$O$79+AD$1)*Setup!$N$79))+$A56/1000)))</f>
        <v/>
      </c>
      <c r="AE56">
        <f>IF(OR(Setup!$E$79="",Setup!$G$79="",Setup!$F$79=""),"",IF(AND(Setup!$F$79="Once",AE$1&gt;0),"",IF(OR(IF(Setup!$M$79&gt;0,Setup!$G$79+(Setup!$O$79+AE$1)*Setup!$M$79,EDATE(Setup!$G$79,(Setup!$O$79+AE$1)*Setup!$N$79))&gt;Setup!$P$79,IF(Setup!$M$79&gt;0,Setup!$G$79+(Setup!$O$79+AE$1)*Setup!$M$79,EDATE(Setup!$G$79,(Setup!$O$79+AE$1)*Setup!$N$79))&lt;Setup!$D$5),"",IF(Setup!$M$79&gt;0,Setup!$G$79+(Setup!$O$79+AE$1)*Setup!$M$79,EDATE(Setup!$G$79,(Setup!$O$79+AE$1)*Setup!$N$79))+$A56/1000)))</f>
        <v/>
      </c>
      <c r="AF56">
        <f>IF(OR(Setup!$E$79="",Setup!$G$79="",Setup!$F$79=""),"",IF(AND(Setup!$F$79="Once",AF$1&gt;0),"",IF(OR(IF(Setup!$M$79&gt;0,Setup!$G$79+(Setup!$O$79+AF$1)*Setup!$M$79,EDATE(Setup!$G$79,(Setup!$O$79+AF$1)*Setup!$N$79))&gt;Setup!$P$79,IF(Setup!$M$79&gt;0,Setup!$G$79+(Setup!$O$79+AF$1)*Setup!$M$79,EDATE(Setup!$G$79,(Setup!$O$79+AF$1)*Setup!$N$79))&lt;Setup!$D$5),"",IF(Setup!$M$79&gt;0,Setup!$G$79+(Setup!$O$79+AF$1)*Setup!$M$79,EDATE(Setup!$G$79,(Setup!$O$79+AF$1)*Setup!$N$79))+$A56/1000)))</f>
        <v/>
      </c>
      <c r="AG56">
        <f>IF(OR(Setup!$E$79="",Setup!$G$79="",Setup!$F$79=""),"",IF(AND(Setup!$F$79="Once",AG$1&gt;0),"",IF(OR(IF(Setup!$M$79&gt;0,Setup!$G$79+(Setup!$O$79+AG$1)*Setup!$M$79,EDATE(Setup!$G$79,(Setup!$O$79+AG$1)*Setup!$N$79))&gt;Setup!$P$79,IF(Setup!$M$79&gt;0,Setup!$G$79+(Setup!$O$79+AG$1)*Setup!$M$79,EDATE(Setup!$G$79,(Setup!$O$79+AG$1)*Setup!$N$79))&lt;Setup!$D$5),"",IF(Setup!$M$79&gt;0,Setup!$G$79+(Setup!$O$79+AG$1)*Setup!$M$79,EDATE(Setup!$G$79,(Setup!$O$79+AG$1)*Setup!$N$79))+$A56/1000)))</f>
        <v/>
      </c>
      <c r="AH56">
        <f>IF(OR(Setup!$E$79="",Setup!$G$79="",Setup!$F$79=""),"",IF(AND(Setup!$F$79="Once",AH$1&gt;0),"",IF(OR(IF(Setup!$M$79&gt;0,Setup!$G$79+(Setup!$O$79+AH$1)*Setup!$M$79,EDATE(Setup!$G$79,(Setup!$O$79+AH$1)*Setup!$N$79))&gt;Setup!$P$79,IF(Setup!$M$79&gt;0,Setup!$G$79+(Setup!$O$79+AH$1)*Setup!$M$79,EDATE(Setup!$G$79,(Setup!$O$79+AH$1)*Setup!$N$79))&lt;Setup!$D$5),"",IF(Setup!$M$79&gt;0,Setup!$G$79+(Setup!$O$79+AH$1)*Setup!$M$79,EDATE(Setup!$G$79,(Setup!$O$79+AH$1)*Setup!$N$79))+$A56/1000)))</f>
        <v/>
      </c>
      <c r="AI56">
        <f>IF(OR(Setup!$E$79="",Setup!$G$79="",Setup!$F$79=""),"",IF(AND(Setup!$F$79="Once",AI$1&gt;0),"",IF(OR(IF(Setup!$M$79&gt;0,Setup!$G$79+(Setup!$O$79+AI$1)*Setup!$M$79,EDATE(Setup!$G$79,(Setup!$O$79+AI$1)*Setup!$N$79))&gt;Setup!$P$79,IF(Setup!$M$79&gt;0,Setup!$G$79+(Setup!$O$79+AI$1)*Setup!$M$79,EDATE(Setup!$G$79,(Setup!$O$79+AI$1)*Setup!$N$79))&lt;Setup!$D$5),"",IF(Setup!$M$79&gt;0,Setup!$G$79+(Setup!$O$79+AI$1)*Setup!$M$79,EDATE(Setup!$G$79,(Setup!$O$79+AI$1)*Setup!$N$79))+$A56/1000)))</f>
        <v/>
      </c>
      <c r="AJ56">
        <f>IF(OR(Setup!$E$79="",Setup!$G$79="",Setup!$F$79=""),"",IF(AND(Setup!$F$79="Once",AJ$1&gt;0),"",IF(OR(IF(Setup!$M$79&gt;0,Setup!$G$79+(Setup!$O$79+AJ$1)*Setup!$M$79,EDATE(Setup!$G$79,(Setup!$O$79+AJ$1)*Setup!$N$79))&gt;Setup!$P$79,IF(Setup!$M$79&gt;0,Setup!$G$79+(Setup!$O$79+AJ$1)*Setup!$M$79,EDATE(Setup!$G$79,(Setup!$O$79+AJ$1)*Setup!$N$79))&lt;Setup!$D$5),"",IF(Setup!$M$79&gt;0,Setup!$G$79+(Setup!$O$79+AJ$1)*Setup!$M$79,EDATE(Setup!$G$79,(Setup!$O$79+AJ$1)*Setup!$N$79))+$A56/1000)))</f>
        <v/>
      </c>
      <c r="AK56">
        <f>IF(OR(Setup!$E$79="",Setup!$G$79="",Setup!$F$79=""),"",IF(AND(Setup!$F$79="Once",AK$1&gt;0),"",IF(OR(IF(Setup!$M$79&gt;0,Setup!$G$79+(Setup!$O$79+AK$1)*Setup!$M$79,EDATE(Setup!$G$79,(Setup!$O$79+AK$1)*Setup!$N$79))&gt;Setup!$P$79,IF(Setup!$M$79&gt;0,Setup!$G$79+(Setup!$O$79+AK$1)*Setup!$M$79,EDATE(Setup!$G$79,(Setup!$O$79+AK$1)*Setup!$N$79))&lt;Setup!$D$5),"",IF(Setup!$M$79&gt;0,Setup!$G$79+(Setup!$O$79+AK$1)*Setup!$M$79,EDATE(Setup!$G$79,(Setup!$O$79+AK$1)*Setup!$N$79))+$A56/1000)))</f>
        <v/>
      </c>
      <c r="AL56">
        <f>IF(OR(Setup!$E$79="",Setup!$G$79="",Setup!$F$79=""),"",IF(AND(Setup!$F$79="Once",AL$1&gt;0),"",IF(OR(IF(Setup!$M$79&gt;0,Setup!$G$79+(Setup!$O$79+AL$1)*Setup!$M$79,EDATE(Setup!$G$79,(Setup!$O$79+AL$1)*Setup!$N$79))&gt;Setup!$P$79,IF(Setup!$M$79&gt;0,Setup!$G$79+(Setup!$O$79+AL$1)*Setup!$M$79,EDATE(Setup!$G$79,(Setup!$O$79+AL$1)*Setup!$N$79))&lt;Setup!$D$5),"",IF(Setup!$M$79&gt;0,Setup!$G$79+(Setup!$O$79+AL$1)*Setup!$M$79,EDATE(Setup!$G$79,(Setup!$O$79+AL$1)*Setup!$N$79))+$A56/1000)))</f>
        <v/>
      </c>
      <c r="AM56">
        <f>IF(OR(Setup!$E$79="",Setup!$G$79="",Setup!$F$79=""),"",IF(AND(Setup!$F$79="Once",AM$1&gt;0),"",IF(OR(IF(Setup!$M$79&gt;0,Setup!$G$79+(Setup!$O$79+AM$1)*Setup!$M$79,EDATE(Setup!$G$79,(Setup!$O$79+AM$1)*Setup!$N$79))&gt;Setup!$P$79,IF(Setup!$M$79&gt;0,Setup!$G$79+(Setup!$O$79+AM$1)*Setup!$M$79,EDATE(Setup!$G$79,(Setup!$O$79+AM$1)*Setup!$N$79))&lt;Setup!$D$5),"",IF(Setup!$M$79&gt;0,Setup!$G$79+(Setup!$O$79+AM$1)*Setup!$M$79,EDATE(Setup!$G$79,(Setup!$O$79+AM$1)*Setup!$N$79))+$A56/1000)))</f>
        <v/>
      </c>
      <c r="AN56">
        <f>IF(OR(Setup!$E$79="",Setup!$G$79="",Setup!$F$79=""),"",IF(AND(Setup!$F$79="Once",AN$1&gt;0),"",IF(OR(IF(Setup!$M$79&gt;0,Setup!$G$79+(Setup!$O$79+AN$1)*Setup!$M$79,EDATE(Setup!$G$79,(Setup!$O$79+AN$1)*Setup!$N$79))&gt;Setup!$P$79,IF(Setup!$M$79&gt;0,Setup!$G$79+(Setup!$O$79+AN$1)*Setup!$M$79,EDATE(Setup!$G$79,(Setup!$O$79+AN$1)*Setup!$N$79))&lt;Setup!$D$5),"",IF(Setup!$M$79&gt;0,Setup!$G$79+(Setup!$O$79+AN$1)*Setup!$M$79,EDATE(Setup!$G$79,(Setup!$O$79+AN$1)*Setup!$N$79))+$A56/1000)))</f>
        <v/>
      </c>
      <c r="AO56">
        <f>IF(OR(Setup!$E$79="",Setup!$G$79="",Setup!$F$79=""),"",IF(AND(Setup!$F$79="Once",AO$1&gt;0),"",IF(OR(IF(Setup!$M$79&gt;0,Setup!$G$79+(Setup!$O$79+AO$1)*Setup!$M$79,EDATE(Setup!$G$79,(Setup!$O$79+AO$1)*Setup!$N$79))&gt;Setup!$P$79,IF(Setup!$M$79&gt;0,Setup!$G$79+(Setup!$O$79+AO$1)*Setup!$M$79,EDATE(Setup!$G$79,(Setup!$O$79+AO$1)*Setup!$N$79))&lt;Setup!$D$5),"",IF(Setup!$M$79&gt;0,Setup!$G$79+(Setup!$O$79+AO$1)*Setup!$M$79,EDATE(Setup!$G$79,(Setup!$O$79+AO$1)*Setup!$N$79))+$A56/1000)))</f>
        <v/>
      </c>
      <c r="AP56">
        <f>IF(OR(Setup!$E$79="",Setup!$G$79="",Setup!$F$79=""),"",IF(AND(Setup!$F$79="Once",AP$1&gt;0),"",IF(OR(IF(Setup!$M$79&gt;0,Setup!$G$79+(Setup!$O$79+AP$1)*Setup!$M$79,EDATE(Setup!$G$79,(Setup!$O$79+AP$1)*Setup!$N$79))&gt;Setup!$P$79,IF(Setup!$M$79&gt;0,Setup!$G$79+(Setup!$O$79+AP$1)*Setup!$M$79,EDATE(Setup!$G$79,(Setup!$O$79+AP$1)*Setup!$N$79))&lt;Setup!$D$5),"",IF(Setup!$M$79&gt;0,Setup!$G$79+(Setup!$O$79+AP$1)*Setup!$M$79,EDATE(Setup!$G$79,(Setup!$O$79+AP$1)*Setup!$N$79))+$A56/1000)))</f>
        <v/>
      </c>
      <c r="AQ56">
        <f>IF(OR(Setup!$E$79="",Setup!$G$79="",Setup!$F$79=""),"",IF(AND(Setup!$F$79="Once",AQ$1&gt;0),"",IF(OR(IF(Setup!$M$79&gt;0,Setup!$G$79+(Setup!$O$79+AQ$1)*Setup!$M$79,EDATE(Setup!$G$79,(Setup!$O$79+AQ$1)*Setup!$N$79))&gt;Setup!$P$79,IF(Setup!$M$79&gt;0,Setup!$G$79+(Setup!$O$79+AQ$1)*Setup!$M$79,EDATE(Setup!$G$79,(Setup!$O$79+AQ$1)*Setup!$N$79))&lt;Setup!$D$5),"",IF(Setup!$M$79&gt;0,Setup!$G$79+(Setup!$O$79+AQ$1)*Setup!$M$79,EDATE(Setup!$G$79,(Setup!$O$79+AQ$1)*Setup!$N$79))+$A56/1000)))</f>
        <v/>
      </c>
      <c r="AR56">
        <f>IF(OR(Setup!$E$79="",Setup!$G$79="",Setup!$F$79=""),"",IF(AND(Setup!$F$79="Once",AR$1&gt;0),"",IF(OR(IF(Setup!$M$79&gt;0,Setup!$G$79+(Setup!$O$79+AR$1)*Setup!$M$79,EDATE(Setup!$G$79,(Setup!$O$79+AR$1)*Setup!$N$79))&gt;Setup!$P$79,IF(Setup!$M$79&gt;0,Setup!$G$79+(Setup!$O$79+AR$1)*Setup!$M$79,EDATE(Setup!$G$79,(Setup!$O$79+AR$1)*Setup!$N$79))&lt;Setup!$D$5),"",IF(Setup!$M$79&gt;0,Setup!$G$79+(Setup!$O$79+AR$1)*Setup!$M$79,EDATE(Setup!$G$79,(Setup!$O$79+AR$1)*Setup!$N$79))+$A56/1000)))</f>
        <v/>
      </c>
      <c r="AS56">
        <f>IF(OR(Setup!$E$79="",Setup!$G$79="",Setup!$F$79=""),"",IF(AND(Setup!$F$79="Once",AS$1&gt;0),"",IF(OR(IF(Setup!$M$79&gt;0,Setup!$G$79+(Setup!$O$79+AS$1)*Setup!$M$79,EDATE(Setup!$G$79,(Setup!$O$79+AS$1)*Setup!$N$79))&gt;Setup!$P$79,IF(Setup!$M$79&gt;0,Setup!$G$79+(Setup!$O$79+AS$1)*Setup!$M$79,EDATE(Setup!$G$79,(Setup!$O$79+AS$1)*Setup!$N$79))&lt;Setup!$D$5),"",IF(Setup!$M$79&gt;0,Setup!$G$79+(Setup!$O$79+AS$1)*Setup!$M$79,EDATE(Setup!$G$79,(Setup!$O$79+AS$1)*Setup!$N$79))+$A56/1000)))</f>
        <v/>
      </c>
      <c r="AT56">
        <f>IF(OR(Setup!$E$79="",Setup!$G$79="",Setup!$F$79=""),"",IF(AND(Setup!$F$79="Once",AT$1&gt;0),"",IF(OR(IF(Setup!$M$79&gt;0,Setup!$G$79+(Setup!$O$79+AT$1)*Setup!$M$79,EDATE(Setup!$G$79,(Setup!$O$79+AT$1)*Setup!$N$79))&gt;Setup!$P$79,IF(Setup!$M$79&gt;0,Setup!$G$79+(Setup!$O$79+AT$1)*Setup!$M$79,EDATE(Setup!$G$79,(Setup!$O$79+AT$1)*Setup!$N$79))&lt;Setup!$D$5),"",IF(Setup!$M$79&gt;0,Setup!$G$79+(Setup!$O$79+AT$1)*Setup!$M$79,EDATE(Setup!$G$79,(Setup!$O$79+AT$1)*Setup!$N$79))+$A56/1000)))</f>
        <v/>
      </c>
      <c r="AU56">
        <f>IF(OR(Setup!$E$79="",Setup!$G$79="",Setup!$F$79=""),"",IF(AND(Setup!$F$79="Once",AU$1&gt;0),"",IF(OR(IF(Setup!$M$79&gt;0,Setup!$G$79+(Setup!$O$79+AU$1)*Setup!$M$79,EDATE(Setup!$G$79,(Setup!$O$79+AU$1)*Setup!$N$79))&gt;Setup!$P$79,IF(Setup!$M$79&gt;0,Setup!$G$79+(Setup!$O$79+AU$1)*Setup!$M$79,EDATE(Setup!$G$79,(Setup!$O$79+AU$1)*Setup!$N$79))&lt;Setup!$D$5),"",IF(Setup!$M$79&gt;0,Setup!$G$79+(Setup!$O$79+AU$1)*Setup!$M$79,EDATE(Setup!$G$79,(Setup!$O$79+AU$1)*Setup!$N$79))+$A56/1000)))</f>
        <v/>
      </c>
      <c r="AV56">
        <f>IF(OR(Setup!$E$79="",Setup!$G$79="",Setup!$F$79=""),"",IF(AND(Setup!$F$79="Once",AV$1&gt;0),"",IF(OR(IF(Setup!$M$79&gt;0,Setup!$G$79+(Setup!$O$79+AV$1)*Setup!$M$79,EDATE(Setup!$G$79,(Setup!$O$79+AV$1)*Setup!$N$79))&gt;Setup!$P$79,IF(Setup!$M$79&gt;0,Setup!$G$79+(Setup!$O$79+AV$1)*Setup!$M$79,EDATE(Setup!$G$79,(Setup!$O$79+AV$1)*Setup!$N$79))&lt;Setup!$D$5),"",IF(Setup!$M$79&gt;0,Setup!$G$79+(Setup!$O$79+AV$1)*Setup!$M$79,EDATE(Setup!$G$79,(Setup!$O$79+AV$1)*Setup!$N$79))+$A56/1000)))</f>
        <v/>
      </c>
      <c r="AW56">
        <f>IF(OR(Setup!$E$79="",Setup!$G$79="",Setup!$F$79=""),"",IF(AND(Setup!$F$79="Once",AW$1&gt;0),"",IF(OR(IF(Setup!$M$79&gt;0,Setup!$G$79+(Setup!$O$79+AW$1)*Setup!$M$79,EDATE(Setup!$G$79,(Setup!$O$79+AW$1)*Setup!$N$79))&gt;Setup!$P$79,IF(Setup!$M$79&gt;0,Setup!$G$79+(Setup!$O$79+AW$1)*Setup!$M$79,EDATE(Setup!$G$79,(Setup!$O$79+AW$1)*Setup!$N$79))&lt;Setup!$D$5),"",IF(Setup!$M$79&gt;0,Setup!$G$79+(Setup!$O$79+AW$1)*Setup!$M$79,EDATE(Setup!$G$79,(Setup!$O$79+AW$1)*Setup!$N$79))+$A56/1000)))</f>
        <v/>
      </c>
      <c r="AX56">
        <f>IF(OR(Setup!$E$79="",Setup!$G$79="",Setup!$F$79=""),"",IF(AND(Setup!$F$79="Once",AX$1&gt;0),"",IF(OR(IF(Setup!$M$79&gt;0,Setup!$G$79+(Setup!$O$79+AX$1)*Setup!$M$79,EDATE(Setup!$G$79,(Setup!$O$79+AX$1)*Setup!$N$79))&gt;Setup!$P$79,IF(Setup!$M$79&gt;0,Setup!$G$79+(Setup!$O$79+AX$1)*Setup!$M$79,EDATE(Setup!$G$79,(Setup!$O$79+AX$1)*Setup!$N$79))&lt;Setup!$D$5),"",IF(Setup!$M$79&gt;0,Setup!$G$79+(Setup!$O$79+AX$1)*Setup!$M$79,EDATE(Setup!$G$79,(Setup!$O$79+AX$1)*Setup!$N$79))+$A56/1000)))</f>
        <v/>
      </c>
      <c r="AY56">
        <f>IF(OR(Setup!$E$79="",Setup!$G$79="",Setup!$F$79=""),"",IF(AND(Setup!$F$79="Once",AY$1&gt;0),"",IF(OR(IF(Setup!$M$79&gt;0,Setup!$G$79+(Setup!$O$79+AY$1)*Setup!$M$79,EDATE(Setup!$G$79,(Setup!$O$79+AY$1)*Setup!$N$79))&gt;Setup!$P$79,IF(Setup!$M$79&gt;0,Setup!$G$79+(Setup!$O$79+AY$1)*Setup!$M$79,EDATE(Setup!$G$79,(Setup!$O$79+AY$1)*Setup!$N$79))&lt;Setup!$D$5),"",IF(Setup!$M$79&gt;0,Setup!$G$79+(Setup!$O$79+AY$1)*Setup!$M$79,EDATE(Setup!$G$79,(Setup!$O$79+AY$1)*Setup!$N$79))+$A56/1000)))</f>
        <v/>
      </c>
      <c r="AZ56">
        <f>IF(OR(Setup!$E$79="",Setup!$G$79="",Setup!$F$79=""),"",IF(AND(Setup!$F$79="Once",AZ$1&gt;0),"",IF(OR(IF(Setup!$M$79&gt;0,Setup!$G$79+(Setup!$O$79+AZ$1)*Setup!$M$79,EDATE(Setup!$G$79,(Setup!$O$79+AZ$1)*Setup!$N$79))&gt;Setup!$P$79,IF(Setup!$M$79&gt;0,Setup!$G$79+(Setup!$O$79+AZ$1)*Setup!$M$79,EDATE(Setup!$G$79,(Setup!$O$79+AZ$1)*Setup!$N$79))&lt;Setup!$D$5),"",IF(Setup!$M$79&gt;0,Setup!$G$79+(Setup!$O$79+AZ$1)*Setup!$M$79,EDATE(Setup!$G$79,(Setup!$O$79+AZ$1)*Setup!$N$79))+$A56/1000)))</f>
        <v/>
      </c>
      <c r="BA56">
        <f>IF(OR(Setup!$E$79="",Setup!$G$79="",Setup!$F$79=""),"",IF(AND(Setup!$F$79="Once",BA$1&gt;0),"",IF(OR(IF(Setup!$M$79&gt;0,Setup!$G$79+(Setup!$O$79+BA$1)*Setup!$M$79,EDATE(Setup!$G$79,(Setup!$O$79+BA$1)*Setup!$N$79))&gt;Setup!$P$79,IF(Setup!$M$79&gt;0,Setup!$G$79+(Setup!$O$79+BA$1)*Setup!$M$79,EDATE(Setup!$G$79,(Setup!$O$79+BA$1)*Setup!$N$79))&lt;Setup!$D$5),"",IF(Setup!$M$79&gt;0,Setup!$G$79+(Setup!$O$79+BA$1)*Setup!$M$79,EDATE(Setup!$G$79,(Setup!$O$79+BA$1)*Setup!$N$79))+$A56/1000)))</f>
        <v/>
      </c>
      <c r="BB56">
        <f>IF(OR(Setup!$E$79="",Setup!$G$79="",Setup!$F$79=""),"",IF(AND(Setup!$F$79="Once",BB$1&gt;0),"",IF(OR(IF(Setup!$M$79&gt;0,Setup!$G$79+(Setup!$O$79+BB$1)*Setup!$M$79,EDATE(Setup!$G$79,(Setup!$O$79+BB$1)*Setup!$N$79))&gt;Setup!$P$79,IF(Setup!$M$79&gt;0,Setup!$G$79+(Setup!$O$79+BB$1)*Setup!$M$79,EDATE(Setup!$G$79,(Setup!$O$79+BB$1)*Setup!$N$79))&lt;Setup!$D$5),"",IF(Setup!$M$79&gt;0,Setup!$G$79+(Setup!$O$79+BB$1)*Setup!$M$79,EDATE(Setup!$G$79,(Setup!$O$79+BB$1)*Setup!$N$79))+$A56/1000)))</f>
        <v/>
      </c>
    </row>
    <row r="57">
      <c r="A57" t="n">
        <v>56</v>
      </c>
      <c r="B57">
        <f>IF(OR(Setup!$E$80="",Setup!$G$80="",Setup!$F$80=""),"",IF(AND(Setup!$F$80="Once",B$1&gt;0),"",IF(OR(IF(Setup!$M$80&gt;0,Setup!$G$80+(Setup!$O$80+B$1)*Setup!$M$80,EDATE(Setup!$G$80,(Setup!$O$80+B$1)*Setup!$N$80))&gt;Setup!$P$80,IF(Setup!$M$80&gt;0,Setup!$G$80+(Setup!$O$80+B$1)*Setup!$M$80,EDATE(Setup!$G$80,(Setup!$O$80+B$1)*Setup!$N$80))&lt;Setup!$D$5),"",IF(Setup!$M$80&gt;0,Setup!$G$80+(Setup!$O$80+B$1)*Setup!$M$80,EDATE(Setup!$G$80,(Setup!$O$80+B$1)*Setup!$N$80))+$A57/1000)))</f>
        <v/>
      </c>
      <c r="C57">
        <f>IF(OR(Setup!$E$80="",Setup!$G$80="",Setup!$F$80=""),"",IF(AND(Setup!$F$80="Once",C$1&gt;0),"",IF(OR(IF(Setup!$M$80&gt;0,Setup!$G$80+(Setup!$O$80+C$1)*Setup!$M$80,EDATE(Setup!$G$80,(Setup!$O$80+C$1)*Setup!$N$80))&gt;Setup!$P$80,IF(Setup!$M$80&gt;0,Setup!$G$80+(Setup!$O$80+C$1)*Setup!$M$80,EDATE(Setup!$G$80,(Setup!$O$80+C$1)*Setup!$N$80))&lt;Setup!$D$5),"",IF(Setup!$M$80&gt;0,Setup!$G$80+(Setup!$O$80+C$1)*Setup!$M$80,EDATE(Setup!$G$80,(Setup!$O$80+C$1)*Setup!$N$80))+$A57/1000)))</f>
        <v/>
      </c>
      <c r="D57">
        <f>IF(OR(Setup!$E$80="",Setup!$G$80="",Setup!$F$80=""),"",IF(AND(Setup!$F$80="Once",D$1&gt;0),"",IF(OR(IF(Setup!$M$80&gt;0,Setup!$G$80+(Setup!$O$80+D$1)*Setup!$M$80,EDATE(Setup!$G$80,(Setup!$O$80+D$1)*Setup!$N$80))&gt;Setup!$P$80,IF(Setup!$M$80&gt;0,Setup!$G$80+(Setup!$O$80+D$1)*Setup!$M$80,EDATE(Setup!$G$80,(Setup!$O$80+D$1)*Setup!$N$80))&lt;Setup!$D$5),"",IF(Setup!$M$80&gt;0,Setup!$G$80+(Setup!$O$80+D$1)*Setup!$M$80,EDATE(Setup!$G$80,(Setup!$O$80+D$1)*Setup!$N$80))+$A57/1000)))</f>
        <v/>
      </c>
      <c r="E57">
        <f>IF(OR(Setup!$E$80="",Setup!$G$80="",Setup!$F$80=""),"",IF(AND(Setup!$F$80="Once",E$1&gt;0),"",IF(OR(IF(Setup!$M$80&gt;0,Setup!$G$80+(Setup!$O$80+E$1)*Setup!$M$80,EDATE(Setup!$G$80,(Setup!$O$80+E$1)*Setup!$N$80))&gt;Setup!$P$80,IF(Setup!$M$80&gt;0,Setup!$G$80+(Setup!$O$80+E$1)*Setup!$M$80,EDATE(Setup!$G$80,(Setup!$O$80+E$1)*Setup!$N$80))&lt;Setup!$D$5),"",IF(Setup!$M$80&gt;0,Setup!$G$80+(Setup!$O$80+E$1)*Setup!$M$80,EDATE(Setup!$G$80,(Setup!$O$80+E$1)*Setup!$N$80))+$A57/1000)))</f>
        <v/>
      </c>
      <c r="F57">
        <f>IF(OR(Setup!$E$80="",Setup!$G$80="",Setup!$F$80=""),"",IF(AND(Setup!$F$80="Once",F$1&gt;0),"",IF(OR(IF(Setup!$M$80&gt;0,Setup!$G$80+(Setup!$O$80+F$1)*Setup!$M$80,EDATE(Setup!$G$80,(Setup!$O$80+F$1)*Setup!$N$80))&gt;Setup!$P$80,IF(Setup!$M$80&gt;0,Setup!$G$80+(Setup!$O$80+F$1)*Setup!$M$80,EDATE(Setup!$G$80,(Setup!$O$80+F$1)*Setup!$N$80))&lt;Setup!$D$5),"",IF(Setup!$M$80&gt;0,Setup!$G$80+(Setup!$O$80+F$1)*Setup!$M$80,EDATE(Setup!$G$80,(Setup!$O$80+F$1)*Setup!$N$80))+$A57/1000)))</f>
        <v/>
      </c>
      <c r="G57">
        <f>IF(OR(Setup!$E$80="",Setup!$G$80="",Setup!$F$80=""),"",IF(AND(Setup!$F$80="Once",G$1&gt;0),"",IF(OR(IF(Setup!$M$80&gt;0,Setup!$G$80+(Setup!$O$80+G$1)*Setup!$M$80,EDATE(Setup!$G$80,(Setup!$O$80+G$1)*Setup!$N$80))&gt;Setup!$P$80,IF(Setup!$M$80&gt;0,Setup!$G$80+(Setup!$O$80+G$1)*Setup!$M$80,EDATE(Setup!$G$80,(Setup!$O$80+G$1)*Setup!$N$80))&lt;Setup!$D$5),"",IF(Setup!$M$80&gt;0,Setup!$G$80+(Setup!$O$80+G$1)*Setup!$M$80,EDATE(Setup!$G$80,(Setup!$O$80+G$1)*Setup!$N$80))+$A57/1000)))</f>
        <v/>
      </c>
      <c r="H57">
        <f>IF(OR(Setup!$E$80="",Setup!$G$80="",Setup!$F$80=""),"",IF(AND(Setup!$F$80="Once",H$1&gt;0),"",IF(OR(IF(Setup!$M$80&gt;0,Setup!$G$80+(Setup!$O$80+H$1)*Setup!$M$80,EDATE(Setup!$G$80,(Setup!$O$80+H$1)*Setup!$N$80))&gt;Setup!$P$80,IF(Setup!$M$80&gt;0,Setup!$G$80+(Setup!$O$80+H$1)*Setup!$M$80,EDATE(Setup!$G$80,(Setup!$O$80+H$1)*Setup!$N$80))&lt;Setup!$D$5),"",IF(Setup!$M$80&gt;0,Setup!$G$80+(Setup!$O$80+H$1)*Setup!$M$80,EDATE(Setup!$G$80,(Setup!$O$80+H$1)*Setup!$N$80))+$A57/1000)))</f>
        <v/>
      </c>
      <c r="I57">
        <f>IF(OR(Setup!$E$80="",Setup!$G$80="",Setup!$F$80=""),"",IF(AND(Setup!$F$80="Once",I$1&gt;0),"",IF(OR(IF(Setup!$M$80&gt;0,Setup!$G$80+(Setup!$O$80+I$1)*Setup!$M$80,EDATE(Setup!$G$80,(Setup!$O$80+I$1)*Setup!$N$80))&gt;Setup!$P$80,IF(Setup!$M$80&gt;0,Setup!$G$80+(Setup!$O$80+I$1)*Setup!$M$80,EDATE(Setup!$G$80,(Setup!$O$80+I$1)*Setup!$N$80))&lt;Setup!$D$5),"",IF(Setup!$M$80&gt;0,Setup!$G$80+(Setup!$O$80+I$1)*Setup!$M$80,EDATE(Setup!$G$80,(Setup!$O$80+I$1)*Setup!$N$80))+$A57/1000)))</f>
        <v/>
      </c>
      <c r="J57">
        <f>IF(OR(Setup!$E$80="",Setup!$G$80="",Setup!$F$80=""),"",IF(AND(Setup!$F$80="Once",J$1&gt;0),"",IF(OR(IF(Setup!$M$80&gt;0,Setup!$G$80+(Setup!$O$80+J$1)*Setup!$M$80,EDATE(Setup!$G$80,(Setup!$O$80+J$1)*Setup!$N$80))&gt;Setup!$P$80,IF(Setup!$M$80&gt;0,Setup!$G$80+(Setup!$O$80+J$1)*Setup!$M$80,EDATE(Setup!$G$80,(Setup!$O$80+J$1)*Setup!$N$80))&lt;Setup!$D$5),"",IF(Setup!$M$80&gt;0,Setup!$G$80+(Setup!$O$80+J$1)*Setup!$M$80,EDATE(Setup!$G$80,(Setup!$O$80+J$1)*Setup!$N$80))+$A57/1000)))</f>
        <v/>
      </c>
      <c r="K57">
        <f>IF(OR(Setup!$E$80="",Setup!$G$80="",Setup!$F$80=""),"",IF(AND(Setup!$F$80="Once",K$1&gt;0),"",IF(OR(IF(Setup!$M$80&gt;0,Setup!$G$80+(Setup!$O$80+K$1)*Setup!$M$80,EDATE(Setup!$G$80,(Setup!$O$80+K$1)*Setup!$N$80))&gt;Setup!$P$80,IF(Setup!$M$80&gt;0,Setup!$G$80+(Setup!$O$80+K$1)*Setup!$M$80,EDATE(Setup!$G$80,(Setup!$O$80+K$1)*Setup!$N$80))&lt;Setup!$D$5),"",IF(Setup!$M$80&gt;0,Setup!$G$80+(Setup!$O$80+K$1)*Setup!$M$80,EDATE(Setup!$G$80,(Setup!$O$80+K$1)*Setup!$N$80))+$A57/1000)))</f>
        <v/>
      </c>
      <c r="L57">
        <f>IF(OR(Setup!$E$80="",Setup!$G$80="",Setup!$F$80=""),"",IF(AND(Setup!$F$80="Once",L$1&gt;0),"",IF(OR(IF(Setup!$M$80&gt;0,Setup!$G$80+(Setup!$O$80+L$1)*Setup!$M$80,EDATE(Setup!$G$80,(Setup!$O$80+L$1)*Setup!$N$80))&gt;Setup!$P$80,IF(Setup!$M$80&gt;0,Setup!$G$80+(Setup!$O$80+L$1)*Setup!$M$80,EDATE(Setup!$G$80,(Setup!$O$80+L$1)*Setup!$N$80))&lt;Setup!$D$5),"",IF(Setup!$M$80&gt;0,Setup!$G$80+(Setup!$O$80+L$1)*Setup!$M$80,EDATE(Setup!$G$80,(Setup!$O$80+L$1)*Setup!$N$80))+$A57/1000)))</f>
        <v/>
      </c>
      <c r="M57">
        <f>IF(OR(Setup!$E$80="",Setup!$G$80="",Setup!$F$80=""),"",IF(AND(Setup!$F$80="Once",M$1&gt;0),"",IF(OR(IF(Setup!$M$80&gt;0,Setup!$G$80+(Setup!$O$80+M$1)*Setup!$M$80,EDATE(Setup!$G$80,(Setup!$O$80+M$1)*Setup!$N$80))&gt;Setup!$P$80,IF(Setup!$M$80&gt;0,Setup!$G$80+(Setup!$O$80+M$1)*Setup!$M$80,EDATE(Setup!$G$80,(Setup!$O$80+M$1)*Setup!$N$80))&lt;Setup!$D$5),"",IF(Setup!$M$80&gt;0,Setup!$G$80+(Setup!$O$80+M$1)*Setup!$M$80,EDATE(Setup!$G$80,(Setup!$O$80+M$1)*Setup!$N$80))+$A57/1000)))</f>
        <v/>
      </c>
      <c r="N57">
        <f>IF(OR(Setup!$E$80="",Setup!$G$80="",Setup!$F$80=""),"",IF(AND(Setup!$F$80="Once",N$1&gt;0),"",IF(OR(IF(Setup!$M$80&gt;0,Setup!$G$80+(Setup!$O$80+N$1)*Setup!$M$80,EDATE(Setup!$G$80,(Setup!$O$80+N$1)*Setup!$N$80))&gt;Setup!$P$80,IF(Setup!$M$80&gt;0,Setup!$G$80+(Setup!$O$80+N$1)*Setup!$M$80,EDATE(Setup!$G$80,(Setup!$O$80+N$1)*Setup!$N$80))&lt;Setup!$D$5),"",IF(Setup!$M$80&gt;0,Setup!$G$80+(Setup!$O$80+N$1)*Setup!$M$80,EDATE(Setup!$G$80,(Setup!$O$80+N$1)*Setup!$N$80))+$A57/1000)))</f>
        <v/>
      </c>
      <c r="O57">
        <f>IF(OR(Setup!$E$80="",Setup!$G$80="",Setup!$F$80=""),"",IF(AND(Setup!$F$80="Once",O$1&gt;0),"",IF(OR(IF(Setup!$M$80&gt;0,Setup!$G$80+(Setup!$O$80+O$1)*Setup!$M$80,EDATE(Setup!$G$80,(Setup!$O$80+O$1)*Setup!$N$80))&gt;Setup!$P$80,IF(Setup!$M$80&gt;0,Setup!$G$80+(Setup!$O$80+O$1)*Setup!$M$80,EDATE(Setup!$G$80,(Setup!$O$80+O$1)*Setup!$N$80))&lt;Setup!$D$5),"",IF(Setup!$M$80&gt;0,Setup!$G$80+(Setup!$O$80+O$1)*Setup!$M$80,EDATE(Setup!$G$80,(Setup!$O$80+O$1)*Setup!$N$80))+$A57/1000)))</f>
        <v/>
      </c>
      <c r="P57">
        <f>IF(OR(Setup!$E$80="",Setup!$G$80="",Setup!$F$80=""),"",IF(AND(Setup!$F$80="Once",P$1&gt;0),"",IF(OR(IF(Setup!$M$80&gt;0,Setup!$G$80+(Setup!$O$80+P$1)*Setup!$M$80,EDATE(Setup!$G$80,(Setup!$O$80+P$1)*Setup!$N$80))&gt;Setup!$P$80,IF(Setup!$M$80&gt;0,Setup!$G$80+(Setup!$O$80+P$1)*Setup!$M$80,EDATE(Setup!$G$80,(Setup!$O$80+P$1)*Setup!$N$80))&lt;Setup!$D$5),"",IF(Setup!$M$80&gt;0,Setup!$G$80+(Setup!$O$80+P$1)*Setup!$M$80,EDATE(Setup!$G$80,(Setup!$O$80+P$1)*Setup!$N$80))+$A57/1000)))</f>
        <v/>
      </c>
      <c r="Q57">
        <f>IF(OR(Setup!$E$80="",Setup!$G$80="",Setup!$F$80=""),"",IF(AND(Setup!$F$80="Once",Q$1&gt;0),"",IF(OR(IF(Setup!$M$80&gt;0,Setup!$G$80+(Setup!$O$80+Q$1)*Setup!$M$80,EDATE(Setup!$G$80,(Setup!$O$80+Q$1)*Setup!$N$80))&gt;Setup!$P$80,IF(Setup!$M$80&gt;0,Setup!$G$80+(Setup!$O$80+Q$1)*Setup!$M$80,EDATE(Setup!$G$80,(Setup!$O$80+Q$1)*Setup!$N$80))&lt;Setup!$D$5),"",IF(Setup!$M$80&gt;0,Setup!$G$80+(Setup!$O$80+Q$1)*Setup!$M$80,EDATE(Setup!$G$80,(Setup!$O$80+Q$1)*Setup!$N$80))+$A57/1000)))</f>
        <v/>
      </c>
      <c r="R57">
        <f>IF(OR(Setup!$E$80="",Setup!$G$80="",Setup!$F$80=""),"",IF(AND(Setup!$F$80="Once",R$1&gt;0),"",IF(OR(IF(Setup!$M$80&gt;0,Setup!$G$80+(Setup!$O$80+R$1)*Setup!$M$80,EDATE(Setup!$G$80,(Setup!$O$80+R$1)*Setup!$N$80))&gt;Setup!$P$80,IF(Setup!$M$80&gt;0,Setup!$G$80+(Setup!$O$80+R$1)*Setup!$M$80,EDATE(Setup!$G$80,(Setup!$O$80+R$1)*Setup!$N$80))&lt;Setup!$D$5),"",IF(Setup!$M$80&gt;0,Setup!$G$80+(Setup!$O$80+R$1)*Setup!$M$80,EDATE(Setup!$G$80,(Setup!$O$80+R$1)*Setup!$N$80))+$A57/1000)))</f>
        <v/>
      </c>
      <c r="S57">
        <f>IF(OR(Setup!$E$80="",Setup!$G$80="",Setup!$F$80=""),"",IF(AND(Setup!$F$80="Once",S$1&gt;0),"",IF(OR(IF(Setup!$M$80&gt;0,Setup!$G$80+(Setup!$O$80+S$1)*Setup!$M$80,EDATE(Setup!$G$80,(Setup!$O$80+S$1)*Setup!$N$80))&gt;Setup!$P$80,IF(Setup!$M$80&gt;0,Setup!$G$80+(Setup!$O$80+S$1)*Setup!$M$80,EDATE(Setup!$G$80,(Setup!$O$80+S$1)*Setup!$N$80))&lt;Setup!$D$5),"",IF(Setup!$M$80&gt;0,Setup!$G$80+(Setup!$O$80+S$1)*Setup!$M$80,EDATE(Setup!$G$80,(Setup!$O$80+S$1)*Setup!$N$80))+$A57/1000)))</f>
        <v/>
      </c>
      <c r="T57">
        <f>IF(OR(Setup!$E$80="",Setup!$G$80="",Setup!$F$80=""),"",IF(AND(Setup!$F$80="Once",T$1&gt;0),"",IF(OR(IF(Setup!$M$80&gt;0,Setup!$G$80+(Setup!$O$80+T$1)*Setup!$M$80,EDATE(Setup!$G$80,(Setup!$O$80+T$1)*Setup!$N$80))&gt;Setup!$P$80,IF(Setup!$M$80&gt;0,Setup!$G$80+(Setup!$O$80+T$1)*Setup!$M$80,EDATE(Setup!$G$80,(Setup!$O$80+T$1)*Setup!$N$80))&lt;Setup!$D$5),"",IF(Setup!$M$80&gt;0,Setup!$G$80+(Setup!$O$80+T$1)*Setup!$M$80,EDATE(Setup!$G$80,(Setup!$O$80+T$1)*Setup!$N$80))+$A57/1000)))</f>
        <v/>
      </c>
      <c r="U57">
        <f>IF(OR(Setup!$E$80="",Setup!$G$80="",Setup!$F$80=""),"",IF(AND(Setup!$F$80="Once",U$1&gt;0),"",IF(OR(IF(Setup!$M$80&gt;0,Setup!$G$80+(Setup!$O$80+U$1)*Setup!$M$80,EDATE(Setup!$G$80,(Setup!$O$80+U$1)*Setup!$N$80))&gt;Setup!$P$80,IF(Setup!$M$80&gt;0,Setup!$G$80+(Setup!$O$80+U$1)*Setup!$M$80,EDATE(Setup!$G$80,(Setup!$O$80+U$1)*Setup!$N$80))&lt;Setup!$D$5),"",IF(Setup!$M$80&gt;0,Setup!$G$80+(Setup!$O$80+U$1)*Setup!$M$80,EDATE(Setup!$G$80,(Setup!$O$80+U$1)*Setup!$N$80))+$A57/1000)))</f>
        <v/>
      </c>
      <c r="V57">
        <f>IF(OR(Setup!$E$80="",Setup!$G$80="",Setup!$F$80=""),"",IF(AND(Setup!$F$80="Once",V$1&gt;0),"",IF(OR(IF(Setup!$M$80&gt;0,Setup!$G$80+(Setup!$O$80+V$1)*Setup!$M$80,EDATE(Setup!$G$80,(Setup!$O$80+V$1)*Setup!$N$80))&gt;Setup!$P$80,IF(Setup!$M$80&gt;0,Setup!$G$80+(Setup!$O$80+V$1)*Setup!$M$80,EDATE(Setup!$G$80,(Setup!$O$80+V$1)*Setup!$N$80))&lt;Setup!$D$5),"",IF(Setup!$M$80&gt;0,Setup!$G$80+(Setup!$O$80+V$1)*Setup!$M$80,EDATE(Setup!$G$80,(Setup!$O$80+V$1)*Setup!$N$80))+$A57/1000)))</f>
        <v/>
      </c>
      <c r="W57">
        <f>IF(OR(Setup!$E$80="",Setup!$G$80="",Setup!$F$80=""),"",IF(AND(Setup!$F$80="Once",W$1&gt;0),"",IF(OR(IF(Setup!$M$80&gt;0,Setup!$G$80+(Setup!$O$80+W$1)*Setup!$M$80,EDATE(Setup!$G$80,(Setup!$O$80+W$1)*Setup!$N$80))&gt;Setup!$P$80,IF(Setup!$M$80&gt;0,Setup!$G$80+(Setup!$O$80+W$1)*Setup!$M$80,EDATE(Setup!$G$80,(Setup!$O$80+W$1)*Setup!$N$80))&lt;Setup!$D$5),"",IF(Setup!$M$80&gt;0,Setup!$G$80+(Setup!$O$80+W$1)*Setup!$M$80,EDATE(Setup!$G$80,(Setup!$O$80+W$1)*Setup!$N$80))+$A57/1000)))</f>
        <v/>
      </c>
      <c r="X57">
        <f>IF(OR(Setup!$E$80="",Setup!$G$80="",Setup!$F$80=""),"",IF(AND(Setup!$F$80="Once",X$1&gt;0),"",IF(OR(IF(Setup!$M$80&gt;0,Setup!$G$80+(Setup!$O$80+X$1)*Setup!$M$80,EDATE(Setup!$G$80,(Setup!$O$80+X$1)*Setup!$N$80))&gt;Setup!$P$80,IF(Setup!$M$80&gt;0,Setup!$G$80+(Setup!$O$80+X$1)*Setup!$M$80,EDATE(Setup!$G$80,(Setup!$O$80+X$1)*Setup!$N$80))&lt;Setup!$D$5),"",IF(Setup!$M$80&gt;0,Setup!$G$80+(Setup!$O$80+X$1)*Setup!$M$80,EDATE(Setup!$G$80,(Setup!$O$80+X$1)*Setup!$N$80))+$A57/1000)))</f>
        <v/>
      </c>
      <c r="Y57">
        <f>IF(OR(Setup!$E$80="",Setup!$G$80="",Setup!$F$80=""),"",IF(AND(Setup!$F$80="Once",Y$1&gt;0),"",IF(OR(IF(Setup!$M$80&gt;0,Setup!$G$80+(Setup!$O$80+Y$1)*Setup!$M$80,EDATE(Setup!$G$80,(Setup!$O$80+Y$1)*Setup!$N$80))&gt;Setup!$P$80,IF(Setup!$M$80&gt;0,Setup!$G$80+(Setup!$O$80+Y$1)*Setup!$M$80,EDATE(Setup!$G$80,(Setup!$O$80+Y$1)*Setup!$N$80))&lt;Setup!$D$5),"",IF(Setup!$M$80&gt;0,Setup!$G$80+(Setup!$O$80+Y$1)*Setup!$M$80,EDATE(Setup!$G$80,(Setup!$O$80+Y$1)*Setup!$N$80))+$A57/1000)))</f>
        <v/>
      </c>
      <c r="Z57">
        <f>IF(OR(Setup!$E$80="",Setup!$G$80="",Setup!$F$80=""),"",IF(AND(Setup!$F$80="Once",Z$1&gt;0),"",IF(OR(IF(Setup!$M$80&gt;0,Setup!$G$80+(Setup!$O$80+Z$1)*Setup!$M$80,EDATE(Setup!$G$80,(Setup!$O$80+Z$1)*Setup!$N$80))&gt;Setup!$P$80,IF(Setup!$M$80&gt;0,Setup!$G$80+(Setup!$O$80+Z$1)*Setup!$M$80,EDATE(Setup!$G$80,(Setup!$O$80+Z$1)*Setup!$N$80))&lt;Setup!$D$5),"",IF(Setup!$M$80&gt;0,Setup!$G$80+(Setup!$O$80+Z$1)*Setup!$M$80,EDATE(Setup!$G$80,(Setup!$O$80+Z$1)*Setup!$N$80))+$A57/1000)))</f>
        <v/>
      </c>
      <c r="AA57">
        <f>IF(OR(Setup!$E$80="",Setup!$G$80="",Setup!$F$80=""),"",IF(AND(Setup!$F$80="Once",AA$1&gt;0),"",IF(OR(IF(Setup!$M$80&gt;0,Setup!$G$80+(Setup!$O$80+AA$1)*Setup!$M$80,EDATE(Setup!$G$80,(Setup!$O$80+AA$1)*Setup!$N$80))&gt;Setup!$P$80,IF(Setup!$M$80&gt;0,Setup!$G$80+(Setup!$O$80+AA$1)*Setup!$M$80,EDATE(Setup!$G$80,(Setup!$O$80+AA$1)*Setup!$N$80))&lt;Setup!$D$5),"",IF(Setup!$M$80&gt;0,Setup!$G$80+(Setup!$O$80+AA$1)*Setup!$M$80,EDATE(Setup!$G$80,(Setup!$O$80+AA$1)*Setup!$N$80))+$A57/1000)))</f>
        <v/>
      </c>
      <c r="AB57">
        <f>IF(OR(Setup!$E$80="",Setup!$G$80="",Setup!$F$80=""),"",IF(AND(Setup!$F$80="Once",AB$1&gt;0),"",IF(OR(IF(Setup!$M$80&gt;0,Setup!$G$80+(Setup!$O$80+AB$1)*Setup!$M$80,EDATE(Setup!$G$80,(Setup!$O$80+AB$1)*Setup!$N$80))&gt;Setup!$P$80,IF(Setup!$M$80&gt;0,Setup!$G$80+(Setup!$O$80+AB$1)*Setup!$M$80,EDATE(Setup!$G$80,(Setup!$O$80+AB$1)*Setup!$N$80))&lt;Setup!$D$5),"",IF(Setup!$M$80&gt;0,Setup!$G$80+(Setup!$O$80+AB$1)*Setup!$M$80,EDATE(Setup!$G$80,(Setup!$O$80+AB$1)*Setup!$N$80))+$A57/1000)))</f>
        <v/>
      </c>
      <c r="AC57">
        <f>IF(OR(Setup!$E$80="",Setup!$G$80="",Setup!$F$80=""),"",IF(AND(Setup!$F$80="Once",AC$1&gt;0),"",IF(OR(IF(Setup!$M$80&gt;0,Setup!$G$80+(Setup!$O$80+AC$1)*Setup!$M$80,EDATE(Setup!$G$80,(Setup!$O$80+AC$1)*Setup!$N$80))&gt;Setup!$P$80,IF(Setup!$M$80&gt;0,Setup!$G$80+(Setup!$O$80+AC$1)*Setup!$M$80,EDATE(Setup!$G$80,(Setup!$O$80+AC$1)*Setup!$N$80))&lt;Setup!$D$5),"",IF(Setup!$M$80&gt;0,Setup!$G$80+(Setup!$O$80+AC$1)*Setup!$M$80,EDATE(Setup!$G$80,(Setup!$O$80+AC$1)*Setup!$N$80))+$A57/1000)))</f>
        <v/>
      </c>
      <c r="AD57">
        <f>IF(OR(Setup!$E$80="",Setup!$G$80="",Setup!$F$80=""),"",IF(AND(Setup!$F$80="Once",AD$1&gt;0),"",IF(OR(IF(Setup!$M$80&gt;0,Setup!$G$80+(Setup!$O$80+AD$1)*Setup!$M$80,EDATE(Setup!$G$80,(Setup!$O$80+AD$1)*Setup!$N$80))&gt;Setup!$P$80,IF(Setup!$M$80&gt;0,Setup!$G$80+(Setup!$O$80+AD$1)*Setup!$M$80,EDATE(Setup!$G$80,(Setup!$O$80+AD$1)*Setup!$N$80))&lt;Setup!$D$5),"",IF(Setup!$M$80&gt;0,Setup!$G$80+(Setup!$O$80+AD$1)*Setup!$M$80,EDATE(Setup!$G$80,(Setup!$O$80+AD$1)*Setup!$N$80))+$A57/1000)))</f>
        <v/>
      </c>
      <c r="AE57">
        <f>IF(OR(Setup!$E$80="",Setup!$G$80="",Setup!$F$80=""),"",IF(AND(Setup!$F$80="Once",AE$1&gt;0),"",IF(OR(IF(Setup!$M$80&gt;0,Setup!$G$80+(Setup!$O$80+AE$1)*Setup!$M$80,EDATE(Setup!$G$80,(Setup!$O$80+AE$1)*Setup!$N$80))&gt;Setup!$P$80,IF(Setup!$M$80&gt;0,Setup!$G$80+(Setup!$O$80+AE$1)*Setup!$M$80,EDATE(Setup!$G$80,(Setup!$O$80+AE$1)*Setup!$N$80))&lt;Setup!$D$5),"",IF(Setup!$M$80&gt;0,Setup!$G$80+(Setup!$O$80+AE$1)*Setup!$M$80,EDATE(Setup!$G$80,(Setup!$O$80+AE$1)*Setup!$N$80))+$A57/1000)))</f>
        <v/>
      </c>
      <c r="AF57">
        <f>IF(OR(Setup!$E$80="",Setup!$G$80="",Setup!$F$80=""),"",IF(AND(Setup!$F$80="Once",AF$1&gt;0),"",IF(OR(IF(Setup!$M$80&gt;0,Setup!$G$80+(Setup!$O$80+AF$1)*Setup!$M$80,EDATE(Setup!$G$80,(Setup!$O$80+AF$1)*Setup!$N$80))&gt;Setup!$P$80,IF(Setup!$M$80&gt;0,Setup!$G$80+(Setup!$O$80+AF$1)*Setup!$M$80,EDATE(Setup!$G$80,(Setup!$O$80+AF$1)*Setup!$N$80))&lt;Setup!$D$5),"",IF(Setup!$M$80&gt;0,Setup!$G$80+(Setup!$O$80+AF$1)*Setup!$M$80,EDATE(Setup!$G$80,(Setup!$O$80+AF$1)*Setup!$N$80))+$A57/1000)))</f>
        <v/>
      </c>
      <c r="AG57">
        <f>IF(OR(Setup!$E$80="",Setup!$G$80="",Setup!$F$80=""),"",IF(AND(Setup!$F$80="Once",AG$1&gt;0),"",IF(OR(IF(Setup!$M$80&gt;0,Setup!$G$80+(Setup!$O$80+AG$1)*Setup!$M$80,EDATE(Setup!$G$80,(Setup!$O$80+AG$1)*Setup!$N$80))&gt;Setup!$P$80,IF(Setup!$M$80&gt;0,Setup!$G$80+(Setup!$O$80+AG$1)*Setup!$M$80,EDATE(Setup!$G$80,(Setup!$O$80+AG$1)*Setup!$N$80))&lt;Setup!$D$5),"",IF(Setup!$M$80&gt;0,Setup!$G$80+(Setup!$O$80+AG$1)*Setup!$M$80,EDATE(Setup!$G$80,(Setup!$O$80+AG$1)*Setup!$N$80))+$A57/1000)))</f>
        <v/>
      </c>
      <c r="AH57">
        <f>IF(OR(Setup!$E$80="",Setup!$G$80="",Setup!$F$80=""),"",IF(AND(Setup!$F$80="Once",AH$1&gt;0),"",IF(OR(IF(Setup!$M$80&gt;0,Setup!$G$80+(Setup!$O$80+AH$1)*Setup!$M$80,EDATE(Setup!$G$80,(Setup!$O$80+AH$1)*Setup!$N$80))&gt;Setup!$P$80,IF(Setup!$M$80&gt;0,Setup!$G$80+(Setup!$O$80+AH$1)*Setup!$M$80,EDATE(Setup!$G$80,(Setup!$O$80+AH$1)*Setup!$N$80))&lt;Setup!$D$5),"",IF(Setup!$M$80&gt;0,Setup!$G$80+(Setup!$O$80+AH$1)*Setup!$M$80,EDATE(Setup!$G$80,(Setup!$O$80+AH$1)*Setup!$N$80))+$A57/1000)))</f>
        <v/>
      </c>
      <c r="AI57">
        <f>IF(OR(Setup!$E$80="",Setup!$G$80="",Setup!$F$80=""),"",IF(AND(Setup!$F$80="Once",AI$1&gt;0),"",IF(OR(IF(Setup!$M$80&gt;0,Setup!$G$80+(Setup!$O$80+AI$1)*Setup!$M$80,EDATE(Setup!$G$80,(Setup!$O$80+AI$1)*Setup!$N$80))&gt;Setup!$P$80,IF(Setup!$M$80&gt;0,Setup!$G$80+(Setup!$O$80+AI$1)*Setup!$M$80,EDATE(Setup!$G$80,(Setup!$O$80+AI$1)*Setup!$N$80))&lt;Setup!$D$5),"",IF(Setup!$M$80&gt;0,Setup!$G$80+(Setup!$O$80+AI$1)*Setup!$M$80,EDATE(Setup!$G$80,(Setup!$O$80+AI$1)*Setup!$N$80))+$A57/1000)))</f>
        <v/>
      </c>
      <c r="AJ57">
        <f>IF(OR(Setup!$E$80="",Setup!$G$80="",Setup!$F$80=""),"",IF(AND(Setup!$F$80="Once",AJ$1&gt;0),"",IF(OR(IF(Setup!$M$80&gt;0,Setup!$G$80+(Setup!$O$80+AJ$1)*Setup!$M$80,EDATE(Setup!$G$80,(Setup!$O$80+AJ$1)*Setup!$N$80))&gt;Setup!$P$80,IF(Setup!$M$80&gt;0,Setup!$G$80+(Setup!$O$80+AJ$1)*Setup!$M$80,EDATE(Setup!$G$80,(Setup!$O$80+AJ$1)*Setup!$N$80))&lt;Setup!$D$5),"",IF(Setup!$M$80&gt;0,Setup!$G$80+(Setup!$O$80+AJ$1)*Setup!$M$80,EDATE(Setup!$G$80,(Setup!$O$80+AJ$1)*Setup!$N$80))+$A57/1000)))</f>
        <v/>
      </c>
      <c r="AK57">
        <f>IF(OR(Setup!$E$80="",Setup!$G$80="",Setup!$F$80=""),"",IF(AND(Setup!$F$80="Once",AK$1&gt;0),"",IF(OR(IF(Setup!$M$80&gt;0,Setup!$G$80+(Setup!$O$80+AK$1)*Setup!$M$80,EDATE(Setup!$G$80,(Setup!$O$80+AK$1)*Setup!$N$80))&gt;Setup!$P$80,IF(Setup!$M$80&gt;0,Setup!$G$80+(Setup!$O$80+AK$1)*Setup!$M$80,EDATE(Setup!$G$80,(Setup!$O$80+AK$1)*Setup!$N$80))&lt;Setup!$D$5),"",IF(Setup!$M$80&gt;0,Setup!$G$80+(Setup!$O$80+AK$1)*Setup!$M$80,EDATE(Setup!$G$80,(Setup!$O$80+AK$1)*Setup!$N$80))+$A57/1000)))</f>
        <v/>
      </c>
      <c r="AL57">
        <f>IF(OR(Setup!$E$80="",Setup!$G$80="",Setup!$F$80=""),"",IF(AND(Setup!$F$80="Once",AL$1&gt;0),"",IF(OR(IF(Setup!$M$80&gt;0,Setup!$G$80+(Setup!$O$80+AL$1)*Setup!$M$80,EDATE(Setup!$G$80,(Setup!$O$80+AL$1)*Setup!$N$80))&gt;Setup!$P$80,IF(Setup!$M$80&gt;0,Setup!$G$80+(Setup!$O$80+AL$1)*Setup!$M$80,EDATE(Setup!$G$80,(Setup!$O$80+AL$1)*Setup!$N$80))&lt;Setup!$D$5),"",IF(Setup!$M$80&gt;0,Setup!$G$80+(Setup!$O$80+AL$1)*Setup!$M$80,EDATE(Setup!$G$80,(Setup!$O$80+AL$1)*Setup!$N$80))+$A57/1000)))</f>
        <v/>
      </c>
      <c r="AM57">
        <f>IF(OR(Setup!$E$80="",Setup!$G$80="",Setup!$F$80=""),"",IF(AND(Setup!$F$80="Once",AM$1&gt;0),"",IF(OR(IF(Setup!$M$80&gt;0,Setup!$G$80+(Setup!$O$80+AM$1)*Setup!$M$80,EDATE(Setup!$G$80,(Setup!$O$80+AM$1)*Setup!$N$80))&gt;Setup!$P$80,IF(Setup!$M$80&gt;0,Setup!$G$80+(Setup!$O$80+AM$1)*Setup!$M$80,EDATE(Setup!$G$80,(Setup!$O$80+AM$1)*Setup!$N$80))&lt;Setup!$D$5),"",IF(Setup!$M$80&gt;0,Setup!$G$80+(Setup!$O$80+AM$1)*Setup!$M$80,EDATE(Setup!$G$80,(Setup!$O$80+AM$1)*Setup!$N$80))+$A57/1000)))</f>
        <v/>
      </c>
      <c r="AN57">
        <f>IF(OR(Setup!$E$80="",Setup!$G$80="",Setup!$F$80=""),"",IF(AND(Setup!$F$80="Once",AN$1&gt;0),"",IF(OR(IF(Setup!$M$80&gt;0,Setup!$G$80+(Setup!$O$80+AN$1)*Setup!$M$80,EDATE(Setup!$G$80,(Setup!$O$80+AN$1)*Setup!$N$80))&gt;Setup!$P$80,IF(Setup!$M$80&gt;0,Setup!$G$80+(Setup!$O$80+AN$1)*Setup!$M$80,EDATE(Setup!$G$80,(Setup!$O$80+AN$1)*Setup!$N$80))&lt;Setup!$D$5),"",IF(Setup!$M$80&gt;0,Setup!$G$80+(Setup!$O$80+AN$1)*Setup!$M$80,EDATE(Setup!$G$80,(Setup!$O$80+AN$1)*Setup!$N$80))+$A57/1000)))</f>
        <v/>
      </c>
      <c r="AO57">
        <f>IF(OR(Setup!$E$80="",Setup!$G$80="",Setup!$F$80=""),"",IF(AND(Setup!$F$80="Once",AO$1&gt;0),"",IF(OR(IF(Setup!$M$80&gt;0,Setup!$G$80+(Setup!$O$80+AO$1)*Setup!$M$80,EDATE(Setup!$G$80,(Setup!$O$80+AO$1)*Setup!$N$80))&gt;Setup!$P$80,IF(Setup!$M$80&gt;0,Setup!$G$80+(Setup!$O$80+AO$1)*Setup!$M$80,EDATE(Setup!$G$80,(Setup!$O$80+AO$1)*Setup!$N$80))&lt;Setup!$D$5),"",IF(Setup!$M$80&gt;0,Setup!$G$80+(Setup!$O$80+AO$1)*Setup!$M$80,EDATE(Setup!$G$80,(Setup!$O$80+AO$1)*Setup!$N$80))+$A57/1000)))</f>
        <v/>
      </c>
      <c r="AP57">
        <f>IF(OR(Setup!$E$80="",Setup!$G$80="",Setup!$F$80=""),"",IF(AND(Setup!$F$80="Once",AP$1&gt;0),"",IF(OR(IF(Setup!$M$80&gt;0,Setup!$G$80+(Setup!$O$80+AP$1)*Setup!$M$80,EDATE(Setup!$G$80,(Setup!$O$80+AP$1)*Setup!$N$80))&gt;Setup!$P$80,IF(Setup!$M$80&gt;0,Setup!$G$80+(Setup!$O$80+AP$1)*Setup!$M$80,EDATE(Setup!$G$80,(Setup!$O$80+AP$1)*Setup!$N$80))&lt;Setup!$D$5),"",IF(Setup!$M$80&gt;0,Setup!$G$80+(Setup!$O$80+AP$1)*Setup!$M$80,EDATE(Setup!$G$80,(Setup!$O$80+AP$1)*Setup!$N$80))+$A57/1000)))</f>
        <v/>
      </c>
      <c r="AQ57">
        <f>IF(OR(Setup!$E$80="",Setup!$G$80="",Setup!$F$80=""),"",IF(AND(Setup!$F$80="Once",AQ$1&gt;0),"",IF(OR(IF(Setup!$M$80&gt;0,Setup!$G$80+(Setup!$O$80+AQ$1)*Setup!$M$80,EDATE(Setup!$G$80,(Setup!$O$80+AQ$1)*Setup!$N$80))&gt;Setup!$P$80,IF(Setup!$M$80&gt;0,Setup!$G$80+(Setup!$O$80+AQ$1)*Setup!$M$80,EDATE(Setup!$G$80,(Setup!$O$80+AQ$1)*Setup!$N$80))&lt;Setup!$D$5),"",IF(Setup!$M$80&gt;0,Setup!$G$80+(Setup!$O$80+AQ$1)*Setup!$M$80,EDATE(Setup!$G$80,(Setup!$O$80+AQ$1)*Setup!$N$80))+$A57/1000)))</f>
        <v/>
      </c>
      <c r="AR57">
        <f>IF(OR(Setup!$E$80="",Setup!$G$80="",Setup!$F$80=""),"",IF(AND(Setup!$F$80="Once",AR$1&gt;0),"",IF(OR(IF(Setup!$M$80&gt;0,Setup!$G$80+(Setup!$O$80+AR$1)*Setup!$M$80,EDATE(Setup!$G$80,(Setup!$O$80+AR$1)*Setup!$N$80))&gt;Setup!$P$80,IF(Setup!$M$80&gt;0,Setup!$G$80+(Setup!$O$80+AR$1)*Setup!$M$80,EDATE(Setup!$G$80,(Setup!$O$80+AR$1)*Setup!$N$80))&lt;Setup!$D$5),"",IF(Setup!$M$80&gt;0,Setup!$G$80+(Setup!$O$80+AR$1)*Setup!$M$80,EDATE(Setup!$G$80,(Setup!$O$80+AR$1)*Setup!$N$80))+$A57/1000)))</f>
        <v/>
      </c>
      <c r="AS57">
        <f>IF(OR(Setup!$E$80="",Setup!$G$80="",Setup!$F$80=""),"",IF(AND(Setup!$F$80="Once",AS$1&gt;0),"",IF(OR(IF(Setup!$M$80&gt;0,Setup!$G$80+(Setup!$O$80+AS$1)*Setup!$M$80,EDATE(Setup!$G$80,(Setup!$O$80+AS$1)*Setup!$N$80))&gt;Setup!$P$80,IF(Setup!$M$80&gt;0,Setup!$G$80+(Setup!$O$80+AS$1)*Setup!$M$80,EDATE(Setup!$G$80,(Setup!$O$80+AS$1)*Setup!$N$80))&lt;Setup!$D$5),"",IF(Setup!$M$80&gt;0,Setup!$G$80+(Setup!$O$80+AS$1)*Setup!$M$80,EDATE(Setup!$G$80,(Setup!$O$80+AS$1)*Setup!$N$80))+$A57/1000)))</f>
        <v/>
      </c>
      <c r="AT57">
        <f>IF(OR(Setup!$E$80="",Setup!$G$80="",Setup!$F$80=""),"",IF(AND(Setup!$F$80="Once",AT$1&gt;0),"",IF(OR(IF(Setup!$M$80&gt;0,Setup!$G$80+(Setup!$O$80+AT$1)*Setup!$M$80,EDATE(Setup!$G$80,(Setup!$O$80+AT$1)*Setup!$N$80))&gt;Setup!$P$80,IF(Setup!$M$80&gt;0,Setup!$G$80+(Setup!$O$80+AT$1)*Setup!$M$80,EDATE(Setup!$G$80,(Setup!$O$80+AT$1)*Setup!$N$80))&lt;Setup!$D$5),"",IF(Setup!$M$80&gt;0,Setup!$G$80+(Setup!$O$80+AT$1)*Setup!$M$80,EDATE(Setup!$G$80,(Setup!$O$80+AT$1)*Setup!$N$80))+$A57/1000)))</f>
        <v/>
      </c>
      <c r="AU57">
        <f>IF(OR(Setup!$E$80="",Setup!$G$80="",Setup!$F$80=""),"",IF(AND(Setup!$F$80="Once",AU$1&gt;0),"",IF(OR(IF(Setup!$M$80&gt;0,Setup!$G$80+(Setup!$O$80+AU$1)*Setup!$M$80,EDATE(Setup!$G$80,(Setup!$O$80+AU$1)*Setup!$N$80))&gt;Setup!$P$80,IF(Setup!$M$80&gt;0,Setup!$G$80+(Setup!$O$80+AU$1)*Setup!$M$80,EDATE(Setup!$G$80,(Setup!$O$80+AU$1)*Setup!$N$80))&lt;Setup!$D$5),"",IF(Setup!$M$80&gt;0,Setup!$G$80+(Setup!$O$80+AU$1)*Setup!$M$80,EDATE(Setup!$G$80,(Setup!$O$80+AU$1)*Setup!$N$80))+$A57/1000)))</f>
        <v/>
      </c>
      <c r="AV57">
        <f>IF(OR(Setup!$E$80="",Setup!$G$80="",Setup!$F$80=""),"",IF(AND(Setup!$F$80="Once",AV$1&gt;0),"",IF(OR(IF(Setup!$M$80&gt;0,Setup!$G$80+(Setup!$O$80+AV$1)*Setup!$M$80,EDATE(Setup!$G$80,(Setup!$O$80+AV$1)*Setup!$N$80))&gt;Setup!$P$80,IF(Setup!$M$80&gt;0,Setup!$G$80+(Setup!$O$80+AV$1)*Setup!$M$80,EDATE(Setup!$G$80,(Setup!$O$80+AV$1)*Setup!$N$80))&lt;Setup!$D$5),"",IF(Setup!$M$80&gt;0,Setup!$G$80+(Setup!$O$80+AV$1)*Setup!$M$80,EDATE(Setup!$G$80,(Setup!$O$80+AV$1)*Setup!$N$80))+$A57/1000)))</f>
        <v/>
      </c>
      <c r="AW57">
        <f>IF(OR(Setup!$E$80="",Setup!$G$80="",Setup!$F$80=""),"",IF(AND(Setup!$F$80="Once",AW$1&gt;0),"",IF(OR(IF(Setup!$M$80&gt;0,Setup!$G$80+(Setup!$O$80+AW$1)*Setup!$M$80,EDATE(Setup!$G$80,(Setup!$O$80+AW$1)*Setup!$N$80))&gt;Setup!$P$80,IF(Setup!$M$80&gt;0,Setup!$G$80+(Setup!$O$80+AW$1)*Setup!$M$80,EDATE(Setup!$G$80,(Setup!$O$80+AW$1)*Setup!$N$80))&lt;Setup!$D$5),"",IF(Setup!$M$80&gt;0,Setup!$G$80+(Setup!$O$80+AW$1)*Setup!$M$80,EDATE(Setup!$G$80,(Setup!$O$80+AW$1)*Setup!$N$80))+$A57/1000)))</f>
        <v/>
      </c>
      <c r="AX57">
        <f>IF(OR(Setup!$E$80="",Setup!$G$80="",Setup!$F$80=""),"",IF(AND(Setup!$F$80="Once",AX$1&gt;0),"",IF(OR(IF(Setup!$M$80&gt;0,Setup!$G$80+(Setup!$O$80+AX$1)*Setup!$M$80,EDATE(Setup!$G$80,(Setup!$O$80+AX$1)*Setup!$N$80))&gt;Setup!$P$80,IF(Setup!$M$80&gt;0,Setup!$G$80+(Setup!$O$80+AX$1)*Setup!$M$80,EDATE(Setup!$G$80,(Setup!$O$80+AX$1)*Setup!$N$80))&lt;Setup!$D$5),"",IF(Setup!$M$80&gt;0,Setup!$G$80+(Setup!$O$80+AX$1)*Setup!$M$80,EDATE(Setup!$G$80,(Setup!$O$80+AX$1)*Setup!$N$80))+$A57/1000)))</f>
        <v/>
      </c>
      <c r="AY57">
        <f>IF(OR(Setup!$E$80="",Setup!$G$80="",Setup!$F$80=""),"",IF(AND(Setup!$F$80="Once",AY$1&gt;0),"",IF(OR(IF(Setup!$M$80&gt;0,Setup!$G$80+(Setup!$O$80+AY$1)*Setup!$M$80,EDATE(Setup!$G$80,(Setup!$O$80+AY$1)*Setup!$N$80))&gt;Setup!$P$80,IF(Setup!$M$80&gt;0,Setup!$G$80+(Setup!$O$80+AY$1)*Setup!$M$80,EDATE(Setup!$G$80,(Setup!$O$80+AY$1)*Setup!$N$80))&lt;Setup!$D$5),"",IF(Setup!$M$80&gt;0,Setup!$G$80+(Setup!$O$80+AY$1)*Setup!$M$80,EDATE(Setup!$G$80,(Setup!$O$80+AY$1)*Setup!$N$80))+$A57/1000)))</f>
        <v/>
      </c>
      <c r="AZ57">
        <f>IF(OR(Setup!$E$80="",Setup!$G$80="",Setup!$F$80=""),"",IF(AND(Setup!$F$80="Once",AZ$1&gt;0),"",IF(OR(IF(Setup!$M$80&gt;0,Setup!$G$80+(Setup!$O$80+AZ$1)*Setup!$M$80,EDATE(Setup!$G$80,(Setup!$O$80+AZ$1)*Setup!$N$80))&gt;Setup!$P$80,IF(Setup!$M$80&gt;0,Setup!$G$80+(Setup!$O$80+AZ$1)*Setup!$M$80,EDATE(Setup!$G$80,(Setup!$O$80+AZ$1)*Setup!$N$80))&lt;Setup!$D$5),"",IF(Setup!$M$80&gt;0,Setup!$G$80+(Setup!$O$80+AZ$1)*Setup!$M$80,EDATE(Setup!$G$80,(Setup!$O$80+AZ$1)*Setup!$N$80))+$A57/1000)))</f>
        <v/>
      </c>
      <c r="BA57">
        <f>IF(OR(Setup!$E$80="",Setup!$G$80="",Setup!$F$80=""),"",IF(AND(Setup!$F$80="Once",BA$1&gt;0),"",IF(OR(IF(Setup!$M$80&gt;0,Setup!$G$80+(Setup!$O$80+BA$1)*Setup!$M$80,EDATE(Setup!$G$80,(Setup!$O$80+BA$1)*Setup!$N$80))&gt;Setup!$P$80,IF(Setup!$M$80&gt;0,Setup!$G$80+(Setup!$O$80+BA$1)*Setup!$M$80,EDATE(Setup!$G$80,(Setup!$O$80+BA$1)*Setup!$N$80))&lt;Setup!$D$5),"",IF(Setup!$M$80&gt;0,Setup!$G$80+(Setup!$O$80+BA$1)*Setup!$M$80,EDATE(Setup!$G$80,(Setup!$O$80+BA$1)*Setup!$N$80))+$A57/1000)))</f>
        <v/>
      </c>
      <c r="BB57">
        <f>IF(OR(Setup!$E$80="",Setup!$G$80="",Setup!$F$80=""),"",IF(AND(Setup!$F$80="Once",BB$1&gt;0),"",IF(OR(IF(Setup!$M$80&gt;0,Setup!$G$80+(Setup!$O$80+BB$1)*Setup!$M$80,EDATE(Setup!$G$80,(Setup!$O$80+BB$1)*Setup!$N$80))&gt;Setup!$P$80,IF(Setup!$M$80&gt;0,Setup!$G$80+(Setup!$O$80+BB$1)*Setup!$M$80,EDATE(Setup!$G$80,(Setup!$O$80+BB$1)*Setup!$N$80))&lt;Setup!$D$5),"",IF(Setup!$M$80&gt;0,Setup!$G$80+(Setup!$O$80+BB$1)*Setup!$M$80,EDATE(Setup!$G$80,(Setup!$O$80+BB$1)*Setup!$N$80))+$A57/1000)))</f>
        <v/>
      </c>
    </row>
    <row r="58">
      <c r="A58" t="n">
        <v>57</v>
      </c>
      <c r="B58">
        <f>IF(OR(Setup!$E$81="",Setup!$G$81="",Setup!$F$81=""),"",IF(AND(Setup!$F$81="Once",B$1&gt;0),"",IF(OR(IF(Setup!$M$81&gt;0,Setup!$G$81+(Setup!$O$81+B$1)*Setup!$M$81,EDATE(Setup!$G$81,(Setup!$O$81+B$1)*Setup!$N$81))&gt;Setup!$P$81,IF(Setup!$M$81&gt;0,Setup!$G$81+(Setup!$O$81+B$1)*Setup!$M$81,EDATE(Setup!$G$81,(Setup!$O$81+B$1)*Setup!$N$81))&lt;Setup!$D$5),"",IF(Setup!$M$81&gt;0,Setup!$G$81+(Setup!$O$81+B$1)*Setup!$M$81,EDATE(Setup!$G$81,(Setup!$O$81+B$1)*Setup!$N$81))+$A58/1000)))</f>
        <v/>
      </c>
      <c r="C58">
        <f>IF(OR(Setup!$E$81="",Setup!$G$81="",Setup!$F$81=""),"",IF(AND(Setup!$F$81="Once",C$1&gt;0),"",IF(OR(IF(Setup!$M$81&gt;0,Setup!$G$81+(Setup!$O$81+C$1)*Setup!$M$81,EDATE(Setup!$G$81,(Setup!$O$81+C$1)*Setup!$N$81))&gt;Setup!$P$81,IF(Setup!$M$81&gt;0,Setup!$G$81+(Setup!$O$81+C$1)*Setup!$M$81,EDATE(Setup!$G$81,(Setup!$O$81+C$1)*Setup!$N$81))&lt;Setup!$D$5),"",IF(Setup!$M$81&gt;0,Setup!$G$81+(Setup!$O$81+C$1)*Setup!$M$81,EDATE(Setup!$G$81,(Setup!$O$81+C$1)*Setup!$N$81))+$A58/1000)))</f>
        <v/>
      </c>
      <c r="D58">
        <f>IF(OR(Setup!$E$81="",Setup!$G$81="",Setup!$F$81=""),"",IF(AND(Setup!$F$81="Once",D$1&gt;0),"",IF(OR(IF(Setup!$M$81&gt;0,Setup!$G$81+(Setup!$O$81+D$1)*Setup!$M$81,EDATE(Setup!$G$81,(Setup!$O$81+D$1)*Setup!$N$81))&gt;Setup!$P$81,IF(Setup!$M$81&gt;0,Setup!$G$81+(Setup!$O$81+D$1)*Setup!$M$81,EDATE(Setup!$G$81,(Setup!$O$81+D$1)*Setup!$N$81))&lt;Setup!$D$5),"",IF(Setup!$M$81&gt;0,Setup!$G$81+(Setup!$O$81+D$1)*Setup!$M$81,EDATE(Setup!$G$81,(Setup!$O$81+D$1)*Setup!$N$81))+$A58/1000)))</f>
        <v/>
      </c>
      <c r="E58">
        <f>IF(OR(Setup!$E$81="",Setup!$G$81="",Setup!$F$81=""),"",IF(AND(Setup!$F$81="Once",E$1&gt;0),"",IF(OR(IF(Setup!$M$81&gt;0,Setup!$G$81+(Setup!$O$81+E$1)*Setup!$M$81,EDATE(Setup!$G$81,(Setup!$O$81+E$1)*Setup!$N$81))&gt;Setup!$P$81,IF(Setup!$M$81&gt;0,Setup!$G$81+(Setup!$O$81+E$1)*Setup!$M$81,EDATE(Setup!$G$81,(Setup!$O$81+E$1)*Setup!$N$81))&lt;Setup!$D$5),"",IF(Setup!$M$81&gt;0,Setup!$G$81+(Setup!$O$81+E$1)*Setup!$M$81,EDATE(Setup!$G$81,(Setup!$O$81+E$1)*Setup!$N$81))+$A58/1000)))</f>
        <v/>
      </c>
      <c r="F58">
        <f>IF(OR(Setup!$E$81="",Setup!$G$81="",Setup!$F$81=""),"",IF(AND(Setup!$F$81="Once",F$1&gt;0),"",IF(OR(IF(Setup!$M$81&gt;0,Setup!$G$81+(Setup!$O$81+F$1)*Setup!$M$81,EDATE(Setup!$G$81,(Setup!$O$81+F$1)*Setup!$N$81))&gt;Setup!$P$81,IF(Setup!$M$81&gt;0,Setup!$G$81+(Setup!$O$81+F$1)*Setup!$M$81,EDATE(Setup!$G$81,(Setup!$O$81+F$1)*Setup!$N$81))&lt;Setup!$D$5),"",IF(Setup!$M$81&gt;0,Setup!$G$81+(Setup!$O$81+F$1)*Setup!$M$81,EDATE(Setup!$G$81,(Setup!$O$81+F$1)*Setup!$N$81))+$A58/1000)))</f>
        <v/>
      </c>
      <c r="G58">
        <f>IF(OR(Setup!$E$81="",Setup!$G$81="",Setup!$F$81=""),"",IF(AND(Setup!$F$81="Once",G$1&gt;0),"",IF(OR(IF(Setup!$M$81&gt;0,Setup!$G$81+(Setup!$O$81+G$1)*Setup!$M$81,EDATE(Setup!$G$81,(Setup!$O$81+G$1)*Setup!$N$81))&gt;Setup!$P$81,IF(Setup!$M$81&gt;0,Setup!$G$81+(Setup!$O$81+G$1)*Setup!$M$81,EDATE(Setup!$G$81,(Setup!$O$81+G$1)*Setup!$N$81))&lt;Setup!$D$5),"",IF(Setup!$M$81&gt;0,Setup!$G$81+(Setup!$O$81+G$1)*Setup!$M$81,EDATE(Setup!$G$81,(Setup!$O$81+G$1)*Setup!$N$81))+$A58/1000)))</f>
        <v/>
      </c>
      <c r="H58">
        <f>IF(OR(Setup!$E$81="",Setup!$G$81="",Setup!$F$81=""),"",IF(AND(Setup!$F$81="Once",H$1&gt;0),"",IF(OR(IF(Setup!$M$81&gt;0,Setup!$G$81+(Setup!$O$81+H$1)*Setup!$M$81,EDATE(Setup!$G$81,(Setup!$O$81+H$1)*Setup!$N$81))&gt;Setup!$P$81,IF(Setup!$M$81&gt;0,Setup!$G$81+(Setup!$O$81+H$1)*Setup!$M$81,EDATE(Setup!$G$81,(Setup!$O$81+H$1)*Setup!$N$81))&lt;Setup!$D$5),"",IF(Setup!$M$81&gt;0,Setup!$G$81+(Setup!$O$81+H$1)*Setup!$M$81,EDATE(Setup!$G$81,(Setup!$O$81+H$1)*Setup!$N$81))+$A58/1000)))</f>
        <v/>
      </c>
      <c r="I58">
        <f>IF(OR(Setup!$E$81="",Setup!$G$81="",Setup!$F$81=""),"",IF(AND(Setup!$F$81="Once",I$1&gt;0),"",IF(OR(IF(Setup!$M$81&gt;0,Setup!$G$81+(Setup!$O$81+I$1)*Setup!$M$81,EDATE(Setup!$G$81,(Setup!$O$81+I$1)*Setup!$N$81))&gt;Setup!$P$81,IF(Setup!$M$81&gt;0,Setup!$G$81+(Setup!$O$81+I$1)*Setup!$M$81,EDATE(Setup!$G$81,(Setup!$O$81+I$1)*Setup!$N$81))&lt;Setup!$D$5),"",IF(Setup!$M$81&gt;0,Setup!$G$81+(Setup!$O$81+I$1)*Setup!$M$81,EDATE(Setup!$G$81,(Setup!$O$81+I$1)*Setup!$N$81))+$A58/1000)))</f>
        <v/>
      </c>
      <c r="J58">
        <f>IF(OR(Setup!$E$81="",Setup!$G$81="",Setup!$F$81=""),"",IF(AND(Setup!$F$81="Once",J$1&gt;0),"",IF(OR(IF(Setup!$M$81&gt;0,Setup!$G$81+(Setup!$O$81+J$1)*Setup!$M$81,EDATE(Setup!$G$81,(Setup!$O$81+J$1)*Setup!$N$81))&gt;Setup!$P$81,IF(Setup!$M$81&gt;0,Setup!$G$81+(Setup!$O$81+J$1)*Setup!$M$81,EDATE(Setup!$G$81,(Setup!$O$81+J$1)*Setup!$N$81))&lt;Setup!$D$5),"",IF(Setup!$M$81&gt;0,Setup!$G$81+(Setup!$O$81+J$1)*Setup!$M$81,EDATE(Setup!$G$81,(Setup!$O$81+J$1)*Setup!$N$81))+$A58/1000)))</f>
        <v/>
      </c>
      <c r="K58">
        <f>IF(OR(Setup!$E$81="",Setup!$G$81="",Setup!$F$81=""),"",IF(AND(Setup!$F$81="Once",K$1&gt;0),"",IF(OR(IF(Setup!$M$81&gt;0,Setup!$G$81+(Setup!$O$81+K$1)*Setup!$M$81,EDATE(Setup!$G$81,(Setup!$O$81+K$1)*Setup!$N$81))&gt;Setup!$P$81,IF(Setup!$M$81&gt;0,Setup!$G$81+(Setup!$O$81+K$1)*Setup!$M$81,EDATE(Setup!$G$81,(Setup!$O$81+K$1)*Setup!$N$81))&lt;Setup!$D$5),"",IF(Setup!$M$81&gt;0,Setup!$G$81+(Setup!$O$81+K$1)*Setup!$M$81,EDATE(Setup!$G$81,(Setup!$O$81+K$1)*Setup!$N$81))+$A58/1000)))</f>
        <v/>
      </c>
      <c r="L58">
        <f>IF(OR(Setup!$E$81="",Setup!$G$81="",Setup!$F$81=""),"",IF(AND(Setup!$F$81="Once",L$1&gt;0),"",IF(OR(IF(Setup!$M$81&gt;0,Setup!$G$81+(Setup!$O$81+L$1)*Setup!$M$81,EDATE(Setup!$G$81,(Setup!$O$81+L$1)*Setup!$N$81))&gt;Setup!$P$81,IF(Setup!$M$81&gt;0,Setup!$G$81+(Setup!$O$81+L$1)*Setup!$M$81,EDATE(Setup!$G$81,(Setup!$O$81+L$1)*Setup!$N$81))&lt;Setup!$D$5),"",IF(Setup!$M$81&gt;0,Setup!$G$81+(Setup!$O$81+L$1)*Setup!$M$81,EDATE(Setup!$G$81,(Setup!$O$81+L$1)*Setup!$N$81))+$A58/1000)))</f>
        <v/>
      </c>
      <c r="M58">
        <f>IF(OR(Setup!$E$81="",Setup!$G$81="",Setup!$F$81=""),"",IF(AND(Setup!$F$81="Once",M$1&gt;0),"",IF(OR(IF(Setup!$M$81&gt;0,Setup!$G$81+(Setup!$O$81+M$1)*Setup!$M$81,EDATE(Setup!$G$81,(Setup!$O$81+M$1)*Setup!$N$81))&gt;Setup!$P$81,IF(Setup!$M$81&gt;0,Setup!$G$81+(Setup!$O$81+M$1)*Setup!$M$81,EDATE(Setup!$G$81,(Setup!$O$81+M$1)*Setup!$N$81))&lt;Setup!$D$5),"",IF(Setup!$M$81&gt;0,Setup!$G$81+(Setup!$O$81+M$1)*Setup!$M$81,EDATE(Setup!$G$81,(Setup!$O$81+M$1)*Setup!$N$81))+$A58/1000)))</f>
        <v/>
      </c>
      <c r="N58">
        <f>IF(OR(Setup!$E$81="",Setup!$G$81="",Setup!$F$81=""),"",IF(AND(Setup!$F$81="Once",N$1&gt;0),"",IF(OR(IF(Setup!$M$81&gt;0,Setup!$G$81+(Setup!$O$81+N$1)*Setup!$M$81,EDATE(Setup!$G$81,(Setup!$O$81+N$1)*Setup!$N$81))&gt;Setup!$P$81,IF(Setup!$M$81&gt;0,Setup!$G$81+(Setup!$O$81+N$1)*Setup!$M$81,EDATE(Setup!$G$81,(Setup!$O$81+N$1)*Setup!$N$81))&lt;Setup!$D$5),"",IF(Setup!$M$81&gt;0,Setup!$G$81+(Setup!$O$81+N$1)*Setup!$M$81,EDATE(Setup!$G$81,(Setup!$O$81+N$1)*Setup!$N$81))+$A58/1000)))</f>
        <v/>
      </c>
      <c r="O58">
        <f>IF(OR(Setup!$E$81="",Setup!$G$81="",Setup!$F$81=""),"",IF(AND(Setup!$F$81="Once",O$1&gt;0),"",IF(OR(IF(Setup!$M$81&gt;0,Setup!$G$81+(Setup!$O$81+O$1)*Setup!$M$81,EDATE(Setup!$G$81,(Setup!$O$81+O$1)*Setup!$N$81))&gt;Setup!$P$81,IF(Setup!$M$81&gt;0,Setup!$G$81+(Setup!$O$81+O$1)*Setup!$M$81,EDATE(Setup!$G$81,(Setup!$O$81+O$1)*Setup!$N$81))&lt;Setup!$D$5),"",IF(Setup!$M$81&gt;0,Setup!$G$81+(Setup!$O$81+O$1)*Setup!$M$81,EDATE(Setup!$G$81,(Setup!$O$81+O$1)*Setup!$N$81))+$A58/1000)))</f>
        <v/>
      </c>
      <c r="P58">
        <f>IF(OR(Setup!$E$81="",Setup!$G$81="",Setup!$F$81=""),"",IF(AND(Setup!$F$81="Once",P$1&gt;0),"",IF(OR(IF(Setup!$M$81&gt;0,Setup!$G$81+(Setup!$O$81+P$1)*Setup!$M$81,EDATE(Setup!$G$81,(Setup!$O$81+P$1)*Setup!$N$81))&gt;Setup!$P$81,IF(Setup!$M$81&gt;0,Setup!$G$81+(Setup!$O$81+P$1)*Setup!$M$81,EDATE(Setup!$G$81,(Setup!$O$81+P$1)*Setup!$N$81))&lt;Setup!$D$5),"",IF(Setup!$M$81&gt;0,Setup!$G$81+(Setup!$O$81+P$1)*Setup!$M$81,EDATE(Setup!$G$81,(Setup!$O$81+P$1)*Setup!$N$81))+$A58/1000)))</f>
        <v/>
      </c>
      <c r="Q58">
        <f>IF(OR(Setup!$E$81="",Setup!$G$81="",Setup!$F$81=""),"",IF(AND(Setup!$F$81="Once",Q$1&gt;0),"",IF(OR(IF(Setup!$M$81&gt;0,Setup!$G$81+(Setup!$O$81+Q$1)*Setup!$M$81,EDATE(Setup!$G$81,(Setup!$O$81+Q$1)*Setup!$N$81))&gt;Setup!$P$81,IF(Setup!$M$81&gt;0,Setup!$G$81+(Setup!$O$81+Q$1)*Setup!$M$81,EDATE(Setup!$G$81,(Setup!$O$81+Q$1)*Setup!$N$81))&lt;Setup!$D$5),"",IF(Setup!$M$81&gt;0,Setup!$G$81+(Setup!$O$81+Q$1)*Setup!$M$81,EDATE(Setup!$G$81,(Setup!$O$81+Q$1)*Setup!$N$81))+$A58/1000)))</f>
        <v/>
      </c>
      <c r="R58">
        <f>IF(OR(Setup!$E$81="",Setup!$G$81="",Setup!$F$81=""),"",IF(AND(Setup!$F$81="Once",R$1&gt;0),"",IF(OR(IF(Setup!$M$81&gt;0,Setup!$G$81+(Setup!$O$81+R$1)*Setup!$M$81,EDATE(Setup!$G$81,(Setup!$O$81+R$1)*Setup!$N$81))&gt;Setup!$P$81,IF(Setup!$M$81&gt;0,Setup!$G$81+(Setup!$O$81+R$1)*Setup!$M$81,EDATE(Setup!$G$81,(Setup!$O$81+R$1)*Setup!$N$81))&lt;Setup!$D$5),"",IF(Setup!$M$81&gt;0,Setup!$G$81+(Setup!$O$81+R$1)*Setup!$M$81,EDATE(Setup!$G$81,(Setup!$O$81+R$1)*Setup!$N$81))+$A58/1000)))</f>
        <v/>
      </c>
      <c r="S58">
        <f>IF(OR(Setup!$E$81="",Setup!$G$81="",Setup!$F$81=""),"",IF(AND(Setup!$F$81="Once",S$1&gt;0),"",IF(OR(IF(Setup!$M$81&gt;0,Setup!$G$81+(Setup!$O$81+S$1)*Setup!$M$81,EDATE(Setup!$G$81,(Setup!$O$81+S$1)*Setup!$N$81))&gt;Setup!$P$81,IF(Setup!$M$81&gt;0,Setup!$G$81+(Setup!$O$81+S$1)*Setup!$M$81,EDATE(Setup!$G$81,(Setup!$O$81+S$1)*Setup!$N$81))&lt;Setup!$D$5),"",IF(Setup!$M$81&gt;0,Setup!$G$81+(Setup!$O$81+S$1)*Setup!$M$81,EDATE(Setup!$G$81,(Setup!$O$81+S$1)*Setup!$N$81))+$A58/1000)))</f>
        <v/>
      </c>
      <c r="T58">
        <f>IF(OR(Setup!$E$81="",Setup!$G$81="",Setup!$F$81=""),"",IF(AND(Setup!$F$81="Once",T$1&gt;0),"",IF(OR(IF(Setup!$M$81&gt;0,Setup!$G$81+(Setup!$O$81+T$1)*Setup!$M$81,EDATE(Setup!$G$81,(Setup!$O$81+T$1)*Setup!$N$81))&gt;Setup!$P$81,IF(Setup!$M$81&gt;0,Setup!$G$81+(Setup!$O$81+T$1)*Setup!$M$81,EDATE(Setup!$G$81,(Setup!$O$81+T$1)*Setup!$N$81))&lt;Setup!$D$5),"",IF(Setup!$M$81&gt;0,Setup!$G$81+(Setup!$O$81+T$1)*Setup!$M$81,EDATE(Setup!$G$81,(Setup!$O$81+T$1)*Setup!$N$81))+$A58/1000)))</f>
        <v/>
      </c>
      <c r="U58">
        <f>IF(OR(Setup!$E$81="",Setup!$G$81="",Setup!$F$81=""),"",IF(AND(Setup!$F$81="Once",U$1&gt;0),"",IF(OR(IF(Setup!$M$81&gt;0,Setup!$G$81+(Setup!$O$81+U$1)*Setup!$M$81,EDATE(Setup!$G$81,(Setup!$O$81+U$1)*Setup!$N$81))&gt;Setup!$P$81,IF(Setup!$M$81&gt;0,Setup!$G$81+(Setup!$O$81+U$1)*Setup!$M$81,EDATE(Setup!$G$81,(Setup!$O$81+U$1)*Setup!$N$81))&lt;Setup!$D$5),"",IF(Setup!$M$81&gt;0,Setup!$G$81+(Setup!$O$81+U$1)*Setup!$M$81,EDATE(Setup!$G$81,(Setup!$O$81+U$1)*Setup!$N$81))+$A58/1000)))</f>
        <v/>
      </c>
      <c r="V58">
        <f>IF(OR(Setup!$E$81="",Setup!$G$81="",Setup!$F$81=""),"",IF(AND(Setup!$F$81="Once",V$1&gt;0),"",IF(OR(IF(Setup!$M$81&gt;0,Setup!$G$81+(Setup!$O$81+V$1)*Setup!$M$81,EDATE(Setup!$G$81,(Setup!$O$81+V$1)*Setup!$N$81))&gt;Setup!$P$81,IF(Setup!$M$81&gt;0,Setup!$G$81+(Setup!$O$81+V$1)*Setup!$M$81,EDATE(Setup!$G$81,(Setup!$O$81+V$1)*Setup!$N$81))&lt;Setup!$D$5),"",IF(Setup!$M$81&gt;0,Setup!$G$81+(Setup!$O$81+V$1)*Setup!$M$81,EDATE(Setup!$G$81,(Setup!$O$81+V$1)*Setup!$N$81))+$A58/1000)))</f>
        <v/>
      </c>
      <c r="W58">
        <f>IF(OR(Setup!$E$81="",Setup!$G$81="",Setup!$F$81=""),"",IF(AND(Setup!$F$81="Once",W$1&gt;0),"",IF(OR(IF(Setup!$M$81&gt;0,Setup!$G$81+(Setup!$O$81+W$1)*Setup!$M$81,EDATE(Setup!$G$81,(Setup!$O$81+W$1)*Setup!$N$81))&gt;Setup!$P$81,IF(Setup!$M$81&gt;0,Setup!$G$81+(Setup!$O$81+W$1)*Setup!$M$81,EDATE(Setup!$G$81,(Setup!$O$81+W$1)*Setup!$N$81))&lt;Setup!$D$5),"",IF(Setup!$M$81&gt;0,Setup!$G$81+(Setup!$O$81+W$1)*Setup!$M$81,EDATE(Setup!$G$81,(Setup!$O$81+W$1)*Setup!$N$81))+$A58/1000)))</f>
        <v/>
      </c>
      <c r="X58">
        <f>IF(OR(Setup!$E$81="",Setup!$G$81="",Setup!$F$81=""),"",IF(AND(Setup!$F$81="Once",X$1&gt;0),"",IF(OR(IF(Setup!$M$81&gt;0,Setup!$G$81+(Setup!$O$81+X$1)*Setup!$M$81,EDATE(Setup!$G$81,(Setup!$O$81+X$1)*Setup!$N$81))&gt;Setup!$P$81,IF(Setup!$M$81&gt;0,Setup!$G$81+(Setup!$O$81+X$1)*Setup!$M$81,EDATE(Setup!$G$81,(Setup!$O$81+X$1)*Setup!$N$81))&lt;Setup!$D$5),"",IF(Setup!$M$81&gt;0,Setup!$G$81+(Setup!$O$81+X$1)*Setup!$M$81,EDATE(Setup!$G$81,(Setup!$O$81+X$1)*Setup!$N$81))+$A58/1000)))</f>
        <v/>
      </c>
      <c r="Y58">
        <f>IF(OR(Setup!$E$81="",Setup!$G$81="",Setup!$F$81=""),"",IF(AND(Setup!$F$81="Once",Y$1&gt;0),"",IF(OR(IF(Setup!$M$81&gt;0,Setup!$G$81+(Setup!$O$81+Y$1)*Setup!$M$81,EDATE(Setup!$G$81,(Setup!$O$81+Y$1)*Setup!$N$81))&gt;Setup!$P$81,IF(Setup!$M$81&gt;0,Setup!$G$81+(Setup!$O$81+Y$1)*Setup!$M$81,EDATE(Setup!$G$81,(Setup!$O$81+Y$1)*Setup!$N$81))&lt;Setup!$D$5),"",IF(Setup!$M$81&gt;0,Setup!$G$81+(Setup!$O$81+Y$1)*Setup!$M$81,EDATE(Setup!$G$81,(Setup!$O$81+Y$1)*Setup!$N$81))+$A58/1000)))</f>
        <v/>
      </c>
      <c r="Z58">
        <f>IF(OR(Setup!$E$81="",Setup!$G$81="",Setup!$F$81=""),"",IF(AND(Setup!$F$81="Once",Z$1&gt;0),"",IF(OR(IF(Setup!$M$81&gt;0,Setup!$G$81+(Setup!$O$81+Z$1)*Setup!$M$81,EDATE(Setup!$G$81,(Setup!$O$81+Z$1)*Setup!$N$81))&gt;Setup!$P$81,IF(Setup!$M$81&gt;0,Setup!$G$81+(Setup!$O$81+Z$1)*Setup!$M$81,EDATE(Setup!$G$81,(Setup!$O$81+Z$1)*Setup!$N$81))&lt;Setup!$D$5),"",IF(Setup!$M$81&gt;0,Setup!$G$81+(Setup!$O$81+Z$1)*Setup!$M$81,EDATE(Setup!$G$81,(Setup!$O$81+Z$1)*Setup!$N$81))+$A58/1000)))</f>
        <v/>
      </c>
      <c r="AA58">
        <f>IF(OR(Setup!$E$81="",Setup!$G$81="",Setup!$F$81=""),"",IF(AND(Setup!$F$81="Once",AA$1&gt;0),"",IF(OR(IF(Setup!$M$81&gt;0,Setup!$G$81+(Setup!$O$81+AA$1)*Setup!$M$81,EDATE(Setup!$G$81,(Setup!$O$81+AA$1)*Setup!$N$81))&gt;Setup!$P$81,IF(Setup!$M$81&gt;0,Setup!$G$81+(Setup!$O$81+AA$1)*Setup!$M$81,EDATE(Setup!$G$81,(Setup!$O$81+AA$1)*Setup!$N$81))&lt;Setup!$D$5),"",IF(Setup!$M$81&gt;0,Setup!$G$81+(Setup!$O$81+AA$1)*Setup!$M$81,EDATE(Setup!$G$81,(Setup!$O$81+AA$1)*Setup!$N$81))+$A58/1000)))</f>
        <v/>
      </c>
      <c r="AB58">
        <f>IF(OR(Setup!$E$81="",Setup!$G$81="",Setup!$F$81=""),"",IF(AND(Setup!$F$81="Once",AB$1&gt;0),"",IF(OR(IF(Setup!$M$81&gt;0,Setup!$G$81+(Setup!$O$81+AB$1)*Setup!$M$81,EDATE(Setup!$G$81,(Setup!$O$81+AB$1)*Setup!$N$81))&gt;Setup!$P$81,IF(Setup!$M$81&gt;0,Setup!$G$81+(Setup!$O$81+AB$1)*Setup!$M$81,EDATE(Setup!$G$81,(Setup!$O$81+AB$1)*Setup!$N$81))&lt;Setup!$D$5),"",IF(Setup!$M$81&gt;0,Setup!$G$81+(Setup!$O$81+AB$1)*Setup!$M$81,EDATE(Setup!$G$81,(Setup!$O$81+AB$1)*Setup!$N$81))+$A58/1000)))</f>
        <v/>
      </c>
      <c r="AC58">
        <f>IF(OR(Setup!$E$81="",Setup!$G$81="",Setup!$F$81=""),"",IF(AND(Setup!$F$81="Once",AC$1&gt;0),"",IF(OR(IF(Setup!$M$81&gt;0,Setup!$G$81+(Setup!$O$81+AC$1)*Setup!$M$81,EDATE(Setup!$G$81,(Setup!$O$81+AC$1)*Setup!$N$81))&gt;Setup!$P$81,IF(Setup!$M$81&gt;0,Setup!$G$81+(Setup!$O$81+AC$1)*Setup!$M$81,EDATE(Setup!$G$81,(Setup!$O$81+AC$1)*Setup!$N$81))&lt;Setup!$D$5),"",IF(Setup!$M$81&gt;0,Setup!$G$81+(Setup!$O$81+AC$1)*Setup!$M$81,EDATE(Setup!$G$81,(Setup!$O$81+AC$1)*Setup!$N$81))+$A58/1000)))</f>
        <v/>
      </c>
      <c r="AD58">
        <f>IF(OR(Setup!$E$81="",Setup!$G$81="",Setup!$F$81=""),"",IF(AND(Setup!$F$81="Once",AD$1&gt;0),"",IF(OR(IF(Setup!$M$81&gt;0,Setup!$G$81+(Setup!$O$81+AD$1)*Setup!$M$81,EDATE(Setup!$G$81,(Setup!$O$81+AD$1)*Setup!$N$81))&gt;Setup!$P$81,IF(Setup!$M$81&gt;0,Setup!$G$81+(Setup!$O$81+AD$1)*Setup!$M$81,EDATE(Setup!$G$81,(Setup!$O$81+AD$1)*Setup!$N$81))&lt;Setup!$D$5),"",IF(Setup!$M$81&gt;0,Setup!$G$81+(Setup!$O$81+AD$1)*Setup!$M$81,EDATE(Setup!$G$81,(Setup!$O$81+AD$1)*Setup!$N$81))+$A58/1000)))</f>
        <v/>
      </c>
      <c r="AE58">
        <f>IF(OR(Setup!$E$81="",Setup!$G$81="",Setup!$F$81=""),"",IF(AND(Setup!$F$81="Once",AE$1&gt;0),"",IF(OR(IF(Setup!$M$81&gt;0,Setup!$G$81+(Setup!$O$81+AE$1)*Setup!$M$81,EDATE(Setup!$G$81,(Setup!$O$81+AE$1)*Setup!$N$81))&gt;Setup!$P$81,IF(Setup!$M$81&gt;0,Setup!$G$81+(Setup!$O$81+AE$1)*Setup!$M$81,EDATE(Setup!$G$81,(Setup!$O$81+AE$1)*Setup!$N$81))&lt;Setup!$D$5),"",IF(Setup!$M$81&gt;0,Setup!$G$81+(Setup!$O$81+AE$1)*Setup!$M$81,EDATE(Setup!$G$81,(Setup!$O$81+AE$1)*Setup!$N$81))+$A58/1000)))</f>
        <v/>
      </c>
      <c r="AF58">
        <f>IF(OR(Setup!$E$81="",Setup!$G$81="",Setup!$F$81=""),"",IF(AND(Setup!$F$81="Once",AF$1&gt;0),"",IF(OR(IF(Setup!$M$81&gt;0,Setup!$G$81+(Setup!$O$81+AF$1)*Setup!$M$81,EDATE(Setup!$G$81,(Setup!$O$81+AF$1)*Setup!$N$81))&gt;Setup!$P$81,IF(Setup!$M$81&gt;0,Setup!$G$81+(Setup!$O$81+AF$1)*Setup!$M$81,EDATE(Setup!$G$81,(Setup!$O$81+AF$1)*Setup!$N$81))&lt;Setup!$D$5),"",IF(Setup!$M$81&gt;0,Setup!$G$81+(Setup!$O$81+AF$1)*Setup!$M$81,EDATE(Setup!$G$81,(Setup!$O$81+AF$1)*Setup!$N$81))+$A58/1000)))</f>
        <v/>
      </c>
      <c r="AG58">
        <f>IF(OR(Setup!$E$81="",Setup!$G$81="",Setup!$F$81=""),"",IF(AND(Setup!$F$81="Once",AG$1&gt;0),"",IF(OR(IF(Setup!$M$81&gt;0,Setup!$G$81+(Setup!$O$81+AG$1)*Setup!$M$81,EDATE(Setup!$G$81,(Setup!$O$81+AG$1)*Setup!$N$81))&gt;Setup!$P$81,IF(Setup!$M$81&gt;0,Setup!$G$81+(Setup!$O$81+AG$1)*Setup!$M$81,EDATE(Setup!$G$81,(Setup!$O$81+AG$1)*Setup!$N$81))&lt;Setup!$D$5),"",IF(Setup!$M$81&gt;0,Setup!$G$81+(Setup!$O$81+AG$1)*Setup!$M$81,EDATE(Setup!$G$81,(Setup!$O$81+AG$1)*Setup!$N$81))+$A58/1000)))</f>
        <v/>
      </c>
      <c r="AH58">
        <f>IF(OR(Setup!$E$81="",Setup!$G$81="",Setup!$F$81=""),"",IF(AND(Setup!$F$81="Once",AH$1&gt;0),"",IF(OR(IF(Setup!$M$81&gt;0,Setup!$G$81+(Setup!$O$81+AH$1)*Setup!$M$81,EDATE(Setup!$G$81,(Setup!$O$81+AH$1)*Setup!$N$81))&gt;Setup!$P$81,IF(Setup!$M$81&gt;0,Setup!$G$81+(Setup!$O$81+AH$1)*Setup!$M$81,EDATE(Setup!$G$81,(Setup!$O$81+AH$1)*Setup!$N$81))&lt;Setup!$D$5),"",IF(Setup!$M$81&gt;0,Setup!$G$81+(Setup!$O$81+AH$1)*Setup!$M$81,EDATE(Setup!$G$81,(Setup!$O$81+AH$1)*Setup!$N$81))+$A58/1000)))</f>
        <v/>
      </c>
      <c r="AI58">
        <f>IF(OR(Setup!$E$81="",Setup!$G$81="",Setup!$F$81=""),"",IF(AND(Setup!$F$81="Once",AI$1&gt;0),"",IF(OR(IF(Setup!$M$81&gt;0,Setup!$G$81+(Setup!$O$81+AI$1)*Setup!$M$81,EDATE(Setup!$G$81,(Setup!$O$81+AI$1)*Setup!$N$81))&gt;Setup!$P$81,IF(Setup!$M$81&gt;0,Setup!$G$81+(Setup!$O$81+AI$1)*Setup!$M$81,EDATE(Setup!$G$81,(Setup!$O$81+AI$1)*Setup!$N$81))&lt;Setup!$D$5),"",IF(Setup!$M$81&gt;0,Setup!$G$81+(Setup!$O$81+AI$1)*Setup!$M$81,EDATE(Setup!$G$81,(Setup!$O$81+AI$1)*Setup!$N$81))+$A58/1000)))</f>
        <v/>
      </c>
      <c r="AJ58">
        <f>IF(OR(Setup!$E$81="",Setup!$G$81="",Setup!$F$81=""),"",IF(AND(Setup!$F$81="Once",AJ$1&gt;0),"",IF(OR(IF(Setup!$M$81&gt;0,Setup!$G$81+(Setup!$O$81+AJ$1)*Setup!$M$81,EDATE(Setup!$G$81,(Setup!$O$81+AJ$1)*Setup!$N$81))&gt;Setup!$P$81,IF(Setup!$M$81&gt;0,Setup!$G$81+(Setup!$O$81+AJ$1)*Setup!$M$81,EDATE(Setup!$G$81,(Setup!$O$81+AJ$1)*Setup!$N$81))&lt;Setup!$D$5),"",IF(Setup!$M$81&gt;0,Setup!$G$81+(Setup!$O$81+AJ$1)*Setup!$M$81,EDATE(Setup!$G$81,(Setup!$O$81+AJ$1)*Setup!$N$81))+$A58/1000)))</f>
        <v/>
      </c>
      <c r="AK58">
        <f>IF(OR(Setup!$E$81="",Setup!$G$81="",Setup!$F$81=""),"",IF(AND(Setup!$F$81="Once",AK$1&gt;0),"",IF(OR(IF(Setup!$M$81&gt;0,Setup!$G$81+(Setup!$O$81+AK$1)*Setup!$M$81,EDATE(Setup!$G$81,(Setup!$O$81+AK$1)*Setup!$N$81))&gt;Setup!$P$81,IF(Setup!$M$81&gt;0,Setup!$G$81+(Setup!$O$81+AK$1)*Setup!$M$81,EDATE(Setup!$G$81,(Setup!$O$81+AK$1)*Setup!$N$81))&lt;Setup!$D$5),"",IF(Setup!$M$81&gt;0,Setup!$G$81+(Setup!$O$81+AK$1)*Setup!$M$81,EDATE(Setup!$G$81,(Setup!$O$81+AK$1)*Setup!$N$81))+$A58/1000)))</f>
        <v/>
      </c>
      <c r="AL58">
        <f>IF(OR(Setup!$E$81="",Setup!$G$81="",Setup!$F$81=""),"",IF(AND(Setup!$F$81="Once",AL$1&gt;0),"",IF(OR(IF(Setup!$M$81&gt;0,Setup!$G$81+(Setup!$O$81+AL$1)*Setup!$M$81,EDATE(Setup!$G$81,(Setup!$O$81+AL$1)*Setup!$N$81))&gt;Setup!$P$81,IF(Setup!$M$81&gt;0,Setup!$G$81+(Setup!$O$81+AL$1)*Setup!$M$81,EDATE(Setup!$G$81,(Setup!$O$81+AL$1)*Setup!$N$81))&lt;Setup!$D$5),"",IF(Setup!$M$81&gt;0,Setup!$G$81+(Setup!$O$81+AL$1)*Setup!$M$81,EDATE(Setup!$G$81,(Setup!$O$81+AL$1)*Setup!$N$81))+$A58/1000)))</f>
        <v/>
      </c>
      <c r="AM58">
        <f>IF(OR(Setup!$E$81="",Setup!$G$81="",Setup!$F$81=""),"",IF(AND(Setup!$F$81="Once",AM$1&gt;0),"",IF(OR(IF(Setup!$M$81&gt;0,Setup!$G$81+(Setup!$O$81+AM$1)*Setup!$M$81,EDATE(Setup!$G$81,(Setup!$O$81+AM$1)*Setup!$N$81))&gt;Setup!$P$81,IF(Setup!$M$81&gt;0,Setup!$G$81+(Setup!$O$81+AM$1)*Setup!$M$81,EDATE(Setup!$G$81,(Setup!$O$81+AM$1)*Setup!$N$81))&lt;Setup!$D$5),"",IF(Setup!$M$81&gt;0,Setup!$G$81+(Setup!$O$81+AM$1)*Setup!$M$81,EDATE(Setup!$G$81,(Setup!$O$81+AM$1)*Setup!$N$81))+$A58/1000)))</f>
        <v/>
      </c>
      <c r="AN58">
        <f>IF(OR(Setup!$E$81="",Setup!$G$81="",Setup!$F$81=""),"",IF(AND(Setup!$F$81="Once",AN$1&gt;0),"",IF(OR(IF(Setup!$M$81&gt;0,Setup!$G$81+(Setup!$O$81+AN$1)*Setup!$M$81,EDATE(Setup!$G$81,(Setup!$O$81+AN$1)*Setup!$N$81))&gt;Setup!$P$81,IF(Setup!$M$81&gt;0,Setup!$G$81+(Setup!$O$81+AN$1)*Setup!$M$81,EDATE(Setup!$G$81,(Setup!$O$81+AN$1)*Setup!$N$81))&lt;Setup!$D$5),"",IF(Setup!$M$81&gt;0,Setup!$G$81+(Setup!$O$81+AN$1)*Setup!$M$81,EDATE(Setup!$G$81,(Setup!$O$81+AN$1)*Setup!$N$81))+$A58/1000)))</f>
        <v/>
      </c>
      <c r="AO58">
        <f>IF(OR(Setup!$E$81="",Setup!$G$81="",Setup!$F$81=""),"",IF(AND(Setup!$F$81="Once",AO$1&gt;0),"",IF(OR(IF(Setup!$M$81&gt;0,Setup!$G$81+(Setup!$O$81+AO$1)*Setup!$M$81,EDATE(Setup!$G$81,(Setup!$O$81+AO$1)*Setup!$N$81))&gt;Setup!$P$81,IF(Setup!$M$81&gt;0,Setup!$G$81+(Setup!$O$81+AO$1)*Setup!$M$81,EDATE(Setup!$G$81,(Setup!$O$81+AO$1)*Setup!$N$81))&lt;Setup!$D$5),"",IF(Setup!$M$81&gt;0,Setup!$G$81+(Setup!$O$81+AO$1)*Setup!$M$81,EDATE(Setup!$G$81,(Setup!$O$81+AO$1)*Setup!$N$81))+$A58/1000)))</f>
        <v/>
      </c>
      <c r="AP58">
        <f>IF(OR(Setup!$E$81="",Setup!$G$81="",Setup!$F$81=""),"",IF(AND(Setup!$F$81="Once",AP$1&gt;0),"",IF(OR(IF(Setup!$M$81&gt;0,Setup!$G$81+(Setup!$O$81+AP$1)*Setup!$M$81,EDATE(Setup!$G$81,(Setup!$O$81+AP$1)*Setup!$N$81))&gt;Setup!$P$81,IF(Setup!$M$81&gt;0,Setup!$G$81+(Setup!$O$81+AP$1)*Setup!$M$81,EDATE(Setup!$G$81,(Setup!$O$81+AP$1)*Setup!$N$81))&lt;Setup!$D$5),"",IF(Setup!$M$81&gt;0,Setup!$G$81+(Setup!$O$81+AP$1)*Setup!$M$81,EDATE(Setup!$G$81,(Setup!$O$81+AP$1)*Setup!$N$81))+$A58/1000)))</f>
        <v/>
      </c>
      <c r="AQ58">
        <f>IF(OR(Setup!$E$81="",Setup!$G$81="",Setup!$F$81=""),"",IF(AND(Setup!$F$81="Once",AQ$1&gt;0),"",IF(OR(IF(Setup!$M$81&gt;0,Setup!$G$81+(Setup!$O$81+AQ$1)*Setup!$M$81,EDATE(Setup!$G$81,(Setup!$O$81+AQ$1)*Setup!$N$81))&gt;Setup!$P$81,IF(Setup!$M$81&gt;0,Setup!$G$81+(Setup!$O$81+AQ$1)*Setup!$M$81,EDATE(Setup!$G$81,(Setup!$O$81+AQ$1)*Setup!$N$81))&lt;Setup!$D$5),"",IF(Setup!$M$81&gt;0,Setup!$G$81+(Setup!$O$81+AQ$1)*Setup!$M$81,EDATE(Setup!$G$81,(Setup!$O$81+AQ$1)*Setup!$N$81))+$A58/1000)))</f>
        <v/>
      </c>
      <c r="AR58">
        <f>IF(OR(Setup!$E$81="",Setup!$G$81="",Setup!$F$81=""),"",IF(AND(Setup!$F$81="Once",AR$1&gt;0),"",IF(OR(IF(Setup!$M$81&gt;0,Setup!$G$81+(Setup!$O$81+AR$1)*Setup!$M$81,EDATE(Setup!$G$81,(Setup!$O$81+AR$1)*Setup!$N$81))&gt;Setup!$P$81,IF(Setup!$M$81&gt;0,Setup!$G$81+(Setup!$O$81+AR$1)*Setup!$M$81,EDATE(Setup!$G$81,(Setup!$O$81+AR$1)*Setup!$N$81))&lt;Setup!$D$5),"",IF(Setup!$M$81&gt;0,Setup!$G$81+(Setup!$O$81+AR$1)*Setup!$M$81,EDATE(Setup!$G$81,(Setup!$O$81+AR$1)*Setup!$N$81))+$A58/1000)))</f>
        <v/>
      </c>
      <c r="AS58">
        <f>IF(OR(Setup!$E$81="",Setup!$G$81="",Setup!$F$81=""),"",IF(AND(Setup!$F$81="Once",AS$1&gt;0),"",IF(OR(IF(Setup!$M$81&gt;0,Setup!$G$81+(Setup!$O$81+AS$1)*Setup!$M$81,EDATE(Setup!$G$81,(Setup!$O$81+AS$1)*Setup!$N$81))&gt;Setup!$P$81,IF(Setup!$M$81&gt;0,Setup!$G$81+(Setup!$O$81+AS$1)*Setup!$M$81,EDATE(Setup!$G$81,(Setup!$O$81+AS$1)*Setup!$N$81))&lt;Setup!$D$5),"",IF(Setup!$M$81&gt;0,Setup!$G$81+(Setup!$O$81+AS$1)*Setup!$M$81,EDATE(Setup!$G$81,(Setup!$O$81+AS$1)*Setup!$N$81))+$A58/1000)))</f>
        <v/>
      </c>
      <c r="AT58">
        <f>IF(OR(Setup!$E$81="",Setup!$G$81="",Setup!$F$81=""),"",IF(AND(Setup!$F$81="Once",AT$1&gt;0),"",IF(OR(IF(Setup!$M$81&gt;0,Setup!$G$81+(Setup!$O$81+AT$1)*Setup!$M$81,EDATE(Setup!$G$81,(Setup!$O$81+AT$1)*Setup!$N$81))&gt;Setup!$P$81,IF(Setup!$M$81&gt;0,Setup!$G$81+(Setup!$O$81+AT$1)*Setup!$M$81,EDATE(Setup!$G$81,(Setup!$O$81+AT$1)*Setup!$N$81))&lt;Setup!$D$5),"",IF(Setup!$M$81&gt;0,Setup!$G$81+(Setup!$O$81+AT$1)*Setup!$M$81,EDATE(Setup!$G$81,(Setup!$O$81+AT$1)*Setup!$N$81))+$A58/1000)))</f>
        <v/>
      </c>
      <c r="AU58">
        <f>IF(OR(Setup!$E$81="",Setup!$G$81="",Setup!$F$81=""),"",IF(AND(Setup!$F$81="Once",AU$1&gt;0),"",IF(OR(IF(Setup!$M$81&gt;0,Setup!$G$81+(Setup!$O$81+AU$1)*Setup!$M$81,EDATE(Setup!$G$81,(Setup!$O$81+AU$1)*Setup!$N$81))&gt;Setup!$P$81,IF(Setup!$M$81&gt;0,Setup!$G$81+(Setup!$O$81+AU$1)*Setup!$M$81,EDATE(Setup!$G$81,(Setup!$O$81+AU$1)*Setup!$N$81))&lt;Setup!$D$5),"",IF(Setup!$M$81&gt;0,Setup!$G$81+(Setup!$O$81+AU$1)*Setup!$M$81,EDATE(Setup!$G$81,(Setup!$O$81+AU$1)*Setup!$N$81))+$A58/1000)))</f>
        <v/>
      </c>
      <c r="AV58">
        <f>IF(OR(Setup!$E$81="",Setup!$G$81="",Setup!$F$81=""),"",IF(AND(Setup!$F$81="Once",AV$1&gt;0),"",IF(OR(IF(Setup!$M$81&gt;0,Setup!$G$81+(Setup!$O$81+AV$1)*Setup!$M$81,EDATE(Setup!$G$81,(Setup!$O$81+AV$1)*Setup!$N$81))&gt;Setup!$P$81,IF(Setup!$M$81&gt;0,Setup!$G$81+(Setup!$O$81+AV$1)*Setup!$M$81,EDATE(Setup!$G$81,(Setup!$O$81+AV$1)*Setup!$N$81))&lt;Setup!$D$5),"",IF(Setup!$M$81&gt;0,Setup!$G$81+(Setup!$O$81+AV$1)*Setup!$M$81,EDATE(Setup!$G$81,(Setup!$O$81+AV$1)*Setup!$N$81))+$A58/1000)))</f>
        <v/>
      </c>
      <c r="AW58">
        <f>IF(OR(Setup!$E$81="",Setup!$G$81="",Setup!$F$81=""),"",IF(AND(Setup!$F$81="Once",AW$1&gt;0),"",IF(OR(IF(Setup!$M$81&gt;0,Setup!$G$81+(Setup!$O$81+AW$1)*Setup!$M$81,EDATE(Setup!$G$81,(Setup!$O$81+AW$1)*Setup!$N$81))&gt;Setup!$P$81,IF(Setup!$M$81&gt;0,Setup!$G$81+(Setup!$O$81+AW$1)*Setup!$M$81,EDATE(Setup!$G$81,(Setup!$O$81+AW$1)*Setup!$N$81))&lt;Setup!$D$5),"",IF(Setup!$M$81&gt;0,Setup!$G$81+(Setup!$O$81+AW$1)*Setup!$M$81,EDATE(Setup!$G$81,(Setup!$O$81+AW$1)*Setup!$N$81))+$A58/1000)))</f>
        <v/>
      </c>
      <c r="AX58">
        <f>IF(OR(Setup!$E$81="",Setup!$G$81="",Setup!$F$81=""),"",IF(AND(Setup!$F$81="Once",AX$1&gt;0),"",IF(OR(IF(Setup!$M$81&gt;0,Setup!$G$81+(Setup!$O$81+AX$1)*Setup!$M$81,EDATE(Setup!$G$81,(Setup!$O$81+AX$1)*Setup!$N$81))&gt;Setup!$P$81,IF(Setup!$M$81&gt;0,Setup!$G$81+(Setup!$O$81+AX$1)*Setup!$M$81,EDATE(Setup!$G$81,(Setup!$O$81+AX$1)*Setup!$N$81))&lt;Setup!$D$5),"",IF(Setup!$M$81&gt;0,Setup!$G$81+(Setup!$O$81+AX$1)*Setup!$M$81,EDATE(Setup!$G$81,(Setup!$O$81+AX$1)*Setup!$N$81))+$A58/1000)))</f>
        <v/>
      </c>
      <c r="AY58">
        <f>IF(OR(Setup!$E$81="",Setup!$G$81="",Setup!$F$81=""),"",IF(AND(Setup!$F$81="Once",AY$1&gt;0),"",IF(OR(IF(Setup!$M$81&gt;0,Setup!$G$81+(Setup!$O$81+AY$1)*Setup!$M$81,EDATE(Setup!$G$81,(Setup!$O$81+AY$1)*Setup!$N$81))&gt;Setup!$P$81,IF(Setup!$M$81&gt;0,Setup!$G$81+(Setup!$O$81+AY$1)*Setup!$M$81,EDATE(Setup!$G$81,(Setup!$O$81+AY$1)*Setup!$N$81))&lt;Setup!$D$5),"",IF(Setup!$M$81&gt;0,Setup!$G$81+(Setup!$O$81+AY$1)*Setup!$M$81,EDATE(Setup!$G$81,(Setup!$O$81+AY$1)*Setup!$N$81))+$A58/1000)))</f>
        <v/>
      </c>
      <c r="AZ58">
        <f>IF(OR(Setup!$E$81="",Setup!$G$81="",Setup!$F$81=""),"",IF(AND(Setup!$F$81="Once",AZ$1&gt;0),"",IF(OR(IF(Setup!$M$81&gt;0,Setup!$G$81+(Setup!$O$81+AZ$1)*Setup!$M$81,EDATE(Setup!$G$81,(Setup!$O$81+AZ$1)*Setup!$N$81))&gt;Setup!$P$81,IF(Setup!$M$81&gt;0,Setup!$G$81+(Setup!$O$81+AZ$1)*Setup!$M$81,EDATE(Setup!$G$81,(Setup!$O$81+AZ$1)*Setup!$N$81))&lt;Setup!$D$5),"",IF(Setup!$M$81&gt;0,Setup!$G$81+(Setup!$O$81+AZ$1)*Setup!$M$81,EDATE(Setup!$G$81,(Setup!$O$81+AZ$1)*Setup!$N$81))+$A58/1000)))</f>
        <v/>
      </c>
      <c r="BA58">
        <f>IF(OR(Setup!$E$81="",Setup!$G$81="",Setup!$F$81=""),"",IF(AND(Setup!$F$81="Once",BA$1&gt;0),"",IF(OR(IF(Setup!$M$81&gt;0,Setup!$G$81+(Setup!$O$81+BA$1)*Setup!$M$81,EDATE(Setup!$G$81,(Setup!$O$81+BA$1)*Setup!$N$81))&gt;Setup!$P$81,IF(Setup!$M$81&gt;0,Setup!$G$81+(Setup!$O$81+BA$1)*Setup!$M$81,EDATE(Setup!$G$81,(Setup!$O$81+BA$1)*Setup!$N$81))&lt;Setup!$D$5),"",IF(Setup!$M$81&gt;0,Setup!$G$81+(Setup!$O$81+BA$1)*Setup!$M$81,EDATE(Setup!$G$81,(Setup!$O$81+BA$1)*Setup!$N$81))+$A58/1000)))</f>
        <v/>
      </c>
      <c r="BB58">
        <f>IF(OR(Setup!$E$81="",Setup!$G$81="",Setup!$F$81=""),"",IF(AND(Setup!$F$81="Once",BB$1&gt;0),"",IF(OR(IF(Setup!$M$81&gt;0,Setup!$G$81+(Setup!$O$81+BB$1)*Setup!$M$81,EDATE(Setup!$G$81,(Setup!$O$81+BB$1)*Setup!$N$81))&gt;Setup!$P$81,IF(Setup!$M$81&gt;0,Setup!$G$81+(Setup!$O$81+BB$1)*Setup!$M$81,EDATE(Setup!$G$81,(Setup!$O$81+BB$1)*Setup!$N$81))&lt;Setup!$D$5),"",IF(Setup!$M$81&gt;0,Setup!$G$81+(Setup!$O$81+BB$1)*Setup!$M$81,EDATE(Setup!$G$81,(Setup!$O$81+BB$1)*Setup!$N$81))+$A58/1000)))</f>
        <v/>
      </c>
    </row>
    <row r="59">
      <c r="A59" t="n">
        <v>58</v>
      </c>
      <c r="B59">
        <f>IF(OR(Setup!$E$82="",Setup!$G$82="",Setup!$F$82=""),"",IF(AND(Setup!$F$82="Once",B$1&gt;0),"",IF(OR(IF(Setup!$M$82&gt;0,Setup!$G$82+(Setup!$O$82+B$1)*Setup!$M$82,EDATE(Setup!$G$82,(Setup!$O$82+B$1)*Setup!$N$82))&gt;Setup!$P$82,IF(Setup!$M$82&gt;0,Setup!$G$82+(Setup!$O$82+B$1)*Setup!$M$82,EDATE(Setup!$G$82,(Setup!$O$82+B$1)*Setup!$N$82))&lt;Setup!$D$5),"",IF(Setup!$M$82&gt;0,Setup!$G$82+(Setup!$O$82+B$1)*Setup!$M$82,EDATE(Setup!$G$82,(Setup!$O$82+B$1)*Setup!$N$82))+$A59/1000)))</f>
        <v/>
      </c>
      <c r="C59">
        <f>IF(OR(Setup!$E$82="",Setup!$G$82="",Setup!$F$82=""),"",IF(AND(Setup!$F$82="Once",C$1&gt;0),"",IF(OR(IF(Setup!$M$82&gt;0,Setup!$G$82+(Setup!$O$82+C$1)*Setup!$M$82,EDATE(Setup!$G$82,(Setup!$O$82+C$1)*Setup!$N$82))&gt;Setup!$P$82,IF(Setup!$M$82&gt;0,Setup!$G$82+(Setup!$O$82+C$1)*Setup!$M$82,EDATE(Setup!$G$82,(Setup!$O$82+C$1)*Setup!$N$82))&lt;Setup!$D$5),"",IF(Setup!$M$82&gt;0,Setup!$G$82+(Setup!$O$82+C$1)*Setup!$M$82,EDATE(Setup!$G$82,(Setup!$O$82+C$1)*Setup!$N$82))+$A59/1000)))</f>
        <v/>
      </c>
      <c r="D59">
        <f>IF(OR(Setup!$E$82="",Setup!$G$82="",Setup!$F$82=""),"",IF(AND(Setup!$F$82="Once",D$1&gt;0),"",IF(OR(IF(Setup!$M$82&gt;0,Setup!$G$82+(Setup!$O$82+D$1)*Setup!$M$82,EDATE(Setup!$G$82,(Setup!$O$82+D$1)*Setup!$N$82))&gt;Setup!$P$82,IF(Setup!$M$82&gt;0,Setup!$G$82+(Setup!$O$82+D$1)*Setup!$M$82,EDATE(Setup!$G$82,(Setup!$O$82+D$1)*Setup!$N$82))&lt;Setup!$D$5),"",IF(Setup!$M$82&gt;0,Setup!$G$82+(Setup!$O$82+D$1)*Setup!$M$82,EDATE(Setup!$G$82,(Setup!$O$82+D$1)*Setup!$N$82))+$A59/1000)))</f>
        <v/>
      </c>
      <c r="E59">
        <f>IF(OR(Setup!$E$82="",Setup!$G$82="",Setup!$F$82=""),"",IF(AND(Setup!$F$82="Once",E$1&gt;0),"",IF(OR(IF(Setup!$M$82&gt;0,Setup!$G$82+(Setup!$O$82+E$1)*Setup!$M$82,EDATE(Setup!$G$82,(Setup!$O$82+E$1)*Setup!$N$82))&gt;Setup!$P$82,IF(Setup!$M$82&gt;0,Setup!$G$82+(Setup!$O$82+E$1)*Setup!$M$82,EDATE(Setup!$G$82,(Setup!$O$82+E$1)*Setup!$N$82))&lt;Setup!$D$5),"",IF(Setup!$M$82&gt;0,Setup!$G$82+(Setup!$O$82+E$1)*Setup!$M$82,EDATE(Setup!$G$82,(Setup!$O$82+E$1)*Setup!$N$82))+$A59/1000)))</f>
        <v/>
      </c>
      <c r="F59">
        <f>IF(OR(Setup!$E$82="",Setup!$G$82="",Setup!$F$82=""),"",IF(AND(Setup!$F$82="Once",F$1&gt;0),"",IF(OR(IF(Setup!$M$82&gt;0,Setup!$G$82+(Setup!$O$82+F$1)*Setup!$M$82,EDATE(Setup!$G$82,(Setup!$O$82+F$1)*Setup!$N$82))&gt;Setup!$P$82,IF(Setup!$M$82&gt;0,Setup!$G$82+(Setup!$O$82+F$1)*Setup!$M$82,EDATE(Setup!$G$82,(Setup!$O$82+F$1)*Setup!$N$82))&lt;Setup!$D$5),"",IF(Setup!$M$82&gt;0,Setup!$G$82+(Setup!$O$82+F$1)*Setup!$M$82,EDATE(Setup!$G$82,(Setup!$O$82+F$1)*Setup!$N$82))+$A59/1000)))</f>
        <v/>
      </c>
      <c r="G59">
        <f>IF(OR(Setup!$E$82="",Setup!$G$82="",Setup!$F$82=""),"",IF(AND(Setup!$F$82="Once",G$1&gt;0),"",IF(OR(IF(Setup!$M$82&gt;0,Setup!$G$82+(Setup!$O$82+G$1)*Setup!$M$82,EDATE(Setup!$G$82,(Setup!$O$82+G$1)*Setup!$N$82))&gt;Setup!$P$82,IF(Setup!$M$82&gt;0,Setup!$G$82+(Setup!$O$82+G$1)*Setup!$M$82,EDATE(Setup!$G$82,(Setup!$O$82+G$1)*Setup!$N$82))&lt;Setup!$D$5),"",IF(Setup!$M$82&gt;0,Setup!$G$82+(Setup!$O$82+G$1)*Setup!$M$82,EDATE(Setup!$G$82,(Setup!$O$82+G$1)*Setup!$N$82))+$A59/1000)))</f>
        <v/>
      </c>
      <c r="H59">
        <f>IF(OR(Setup!$E$82="",Setup!$G$82="",Setup!$F$82=""),"",IF(AND(Setup!$F$82="Once",H$1&gt;0),"",IF(OR(IF(Setup!$M$82&gt;0,Setup!$G$82+(Setup!$O$82+H$1)*Setup!$M$82,EDATE(Setup!$G$82,(Setup!$O$82+H$1)*Setup!$N$82))&gt;Setup!$P$82,IF(Setup!$M$82&gt;0,Setup!$G$82+(Setup!$O$82+H$1)*Setup!$M$82,EDATE(Setup!$G$82,(Setup!$O$82+H$1)*Setup!$N$82))&lt;Setup!$D$5),"",IF(Setup!$M$82&gt;0,Setup!$G$82+(Setup!$O$82+H$1)*Setup!$M$82,EDATE(Setup!$G$82,(Setup!$O$82+H$1)*Setup!$N$82))+$A59/1000)))</f>
        <v/>
      </c>
      <c r="I59">
        <f>IF(OR(Setup!$E$82="",Setup!$G$82="",Setup!$F$82=""),"",IF(AND(Setup!$F$82="Once",I$1&gt;0),"",IF(OR(IF(Setup!$M$82&gt;0,Setup!$G$82+(Setup!$O$82+I$1)*Setup!$M$82,EDATE(Setup!$G$82,(Setup!$O$82+I$1)*Setup!$N$82))&gt;Setup!$P$82,IF(Setup!$M$82&gt;0,Setup!$G$82+(Setup!$O$82+I$1)*Setup!$M$82,EDATE(Setup!$G$82,(Setup!$O$82+I$1)*Setup!$N$82))&lt;Setup!$D$5),"",IF(Setup!$M$82&gt;0,Setup!$G$82+(Setup!$O$82+I$1)*Setup!$M$82,EDATE(Setup!$G$82,(Setup!$O$82+I$1)*Setup!$N$82))+$A59/1000)))</f>
        <v/>
      </c>
      <c r="J59">
        <f>IF(OR(Setup!$E$82="",Setup!$G$82="",Setup!$F$82=""),"",IF(AND(Setup!$F$82="Once",J$1&gt;0),"",IF(OR(IF(Setup!$M$82&gt;0,Setup!$G$82+(Setup!$O$82+J$1)*Setup!$M$82,EDATE(Setup!$G$82,(Setup!$O$82+J$1)*Setup!$N$82))&gt;Setup!$P$82,IF(Setup!$M$82&gt;0,Setup!$G$82+(Setup!$O$82+J$1)*Setup!$M$82,EDATE(Setup!$G$82,(Setup!$O$82+J$1)*Setup!$N$82))&lt;Setup!$D$5),"",IF(Setup!$M$82&gt;0,Setup!$G$82+(Setup!$O$82+J$1)*Setup!$M$82,EDATE(Setup!$G$82,(Setup!$O$82+J$1)*Setup!$N$82))+$A59/1000)))</f>
        <v/>
      </c>
      <c r="K59">
        <f>IF(OR(Setup!$E$82="",Setup!$G$82="",Setup!$F$82=""),"",IF(AND(Setup!$F$82="Once",K$1&gt;0),"",IF(OR(IF(Setup!$M$82&gt;0,Setup!$G$82+(Setup!$O$82+K$1)*Setup!$M$82,EDATE(Setup!$G$82,(Setup!$O$82+K$1)*Setup!$N$82))&gt;Setup!$P$82,IF(Setup!$M$82&gt;0,Setup!$G$82+(Setup!$O$82+K$1)*Setup!$M$82,EDATE(Setup!$G$82,(Setup!$O$82+K$1)*Setup!$N$82))&lt;Setup!$D$5),"",IF(Setup!$M$82&gt;0,Setup!$G$82+(Setup!$O$82+K$1)*Setup!$M$82,EDATE(Setup!$G$82,(Setup!$O$82+K$1)*Setup!$N$82))+$A59/1000)))</f>
        <v/>
      </c>
      <c r="L59">
        <f>IF(OR(Setup!$E$82="",Setup!$G$82="",Setup!$F$82=""),"",IF(AND(Setup!$F$82="Once",L$1&gt;0),"",IF(OR(IF(Setup!$M$82&gt;0,Setup!$G$82+(Setup!$O$82+L$1)*Setup!$M$82,EDATE(Setup!$G$82,(Setup!$O$82+L$1)*Setup!$N$82))&gt;Setup!$P$82,IF(Setup!$M$82&gt;0,Setup!$G$82+(Setup!$O$82+L$1)*Setup!$M$82,EDATE(Setup!$G$82,(Setup!$O$82+L$1)*Setup!$N$82))&lt;Setup!$D$5),"",IF(Setup!$M$82&gt;0,Setup!$G$82+(Setup!$O$82+L$1)*Setup!$M$82,EDATE(Setup!$G$82,(Setup!$O$82+L$1)*Setup!$N$82))+$A59/1000)))</f>
        <v/>
      </c>
      <c r="M59">
        <f>IF(OR(Setup!$E$82="",Setup!$G$82="",Setup!$F$82=""),"",IF(AND(Setup!$F$82="Once",M$1&gt;0),"",IF(OR(IF(Setup!$M$82&gt;0,Setup!$G$82+(Setup!$O$82+M$1)*Setup!$M$82,EDATE(Setup!$G$82,(Setup!$O$82+M$1)*Setup!$N$82))&gt;Setup!$P$82,IF(Setup!$M$82&gt;0,Setup!$G$82+(Setup!$O$82+M$1)*Setup!$M$82,EDATE(Setup!$G$82,(Setup!$O$82+M$1)*Setup!$N$82))&lt;Setup!$D$5),"",IF(Setup!$M$82&gt;0,Setup!$G$82+(Setup!$O$82+M$1)*Setup!$M$82,EDATE(Setup!$G$82,(Setup!$O$82+M$1)*Setup!$N$82))+$A59/1000)))</f>
        <v/>
      </c>
      <c r="N59">
        <f>IF(OR(Setup!$E$82="",Setup!$G$82="",Setup!$F$82=""),"",IF(AND(Setup!$F$82="Once",N$1&gt;0),"",IF(OR(IF(Setup!$M$82&gt;0,Setup!$G$82+(Setup!$O$82+N$1)*Setup!$M$82,EDATE(Setup!$G$82,(Setup!$O$82+N$1)*Setup!$N$82))&gt;Setup!$P$82,IF(Setup!$M$82&gt;0,Setup!$G$82+(Setup!$O$82+N$1)*Setup!$M$82,EDATE(Setup!$G$82,(Setup!$O$82+N$1)*Setup!$N$82))&lt;Setup!$D$5),"",IF(Setup!$M$82&gt;0,Setup!$G$82+(Setup!$O$82+N$1)*Setup!$M$82,EDATE(Setup!$G$82,(Setup!$O$82+N$1)*Setup!$N$82))+$A59/1000)))</f>
        <v/>
      </c>
      <c r="O59">
        <f>IF(OR(Setup!$E$82="",Setup!$G$82="",Setup!$F$82=""),"",IF(AND(Setup!$F$82="Once",O$1&gt;0),"",IF(OR(IF(Setup!$M$82&gt;0,Setup!$G$82+(Setup!$O$82+O$1)*Setup!$M$82,EDATE(Setup!$G$82,(Setup!$O$82+O$1)*Setup!$N$82))&gt;Setup!$P$82,IF(Setup!$M$82&gt;0,Setup!$G$82+(Setup!$O$82+O$1)*Setup!$M$82,EDATE(Setup!$G$82,(Setup!$O$82+O$1)*Setup!$N$82))&lt;Setup!$D$5),"",IF(Setup!$M$82&gt;0,Setup!$G$82+(Setup!$O$82+O$1)*Setup!$M$82,EDATE(Setup!$G$82,(Setup!$O$82+O$1)*Setup!$N$82))+$A59/1000)))</f>
        <v/>
      </c>
      <c r="P59">
        <f>IF(OR(Setup!$E$82="",Setup!$G$82="",Setup!$F$82=""),"",IF(AND(Setup!$F$82="Once",P$1&gt;0),"",IF(OR(IF(Setup!$M$82&gt;0,Setup!$G$82+(Setup!$O$82+P$1)*Setup!$M$82,EDATE(Setup!$G$82,(Setup!$O$82+P$1)*Setup!$N$82))&gt;Setup!$P$82,IF(Setup!$M$82&gt;0,Setup!$G$82+(Setup!$O$82+P$1)*Setup!$M$82,EDATE(Setup!$G$82,(Setup!$O$82+P$1)*Setup!$N$82))&lt;Setup!$D$5),"",IF(Setup!$M$82&gt;0,Setup!$G$82+(Setup!$O$82+P$1)*Setup!$M$82,EDATE(Setup!$G$82,(Setup!$O$82+P$1)*Setup!$N$82))+$A59/1000)))</f>
        <v/>
      </c>
      <c r="Q59">
        <f>IF(OR(Setup!$E$82="",Setup!$G$82="",Setup!$F$82=""),"",IF(AND(Setup!$F$82="Once",Q$1&gt;0),"",IF(OR(IF(Setup!$M$82&gt;0,Setup!$G$82+(Setup!$O$82+Q$1)*Setup!$M$82,EDATE(Setup!$G$82,(Setup!$O$82+Q$1)*Setup!$N$82))&gt;Setup!$P$82,IF(Setup!$M$82&gt;0,Setup!$G$82+(Setup!$O$82+Q$1)*Setup!$M$82,EDATE(Setup!$G$82,(Setup!$O$82+Q$1)*Setup!$N$82))&lt;Setup!$D$5),"",IF(Setup!$M$82&gt;0,Setup!$G$82+(Setup!$O$82+Q$1)*Setup!$M$82,EDATE(Setup!$G$82,(Setup!$O$82+Q$1)*Setup!$N$82))+$A59/1000)))</f>
        <v/>
      </c>
      <c r="R59">
        <f>IF(OR(Setup!$E$82="",Setup!$G$82="",Setup!$F$82=""),"",IF(AND(Setup!$F$82="Once",R$1&gt;0),"",IF(OR(IF(Setup!$M$82&gt;0,Setup!$G$82+(Setup!$O$82+R$1)*Setup!$M$82,EDATE(Setup!$G$82,(Setup!$O$82+R$1)*Setup!$N$82))&gt;Setup!$P$82,IF(Setup!$M$82&gt;0,Setup!$G$82+(Setup!$O$82+R$1)*Setup!$M$82,EDATE(Setup!$G$82,(Setup!$O$82+R$1)*Setup!$N$82))&lt;Setup!$D$5),"",IF(Setup!$M$82&gt;0,Setup!$G$82+(Setup!$O$82+R$1)*Setup!$M$82,EDATE(Setup!$G$82,(Setup!$O$82+R$1)*Setup!$N$82))+$A59/1000)))</f>
        <v/>
      </c>
      <c r="S59">
        <f>IF(OR(Setup!$E$82="",Setup!$G$82="",Setup!$F$82=""),"",IF(AND(Setup!$F$82="Once",S$1&gt;0),"",IF(OR(IF(Setup!$M$82&gt;0,Setup!$G$82+(Setup!$O$82+S$1)*Setup!$M$82,EDATE(Setup!$G$82,(Setup!$O$82+S$1)*Setup!$N$82))&gt;Setup!$P$82,IF(Setup!$M$82&gt;0,Setup!$G$82+(Setup!$O$82+S$1)*Setup!$M$82,EDATE(Setup!$G$82,(Setup!$O$82+S$1)*Setup!$N$82))&lt;Setup!$D$5),"",IF(Setup!$M$82&gt;0,Setup!$G$82+(Setup!$O$82+S$1)*Setup!$M$82,EDATE(Setup!$G$82,(Setup!$O$82+S$1)*Setup!$N$82))+$A59/1000)))</f>
        <v/>
      </c>
      <c r="T59">
        <f>IF(OR(Setup!$E$82="",Setup!$G$82="",Setup!$F$82=""),"",IF(AND(Setup!$F$82="Once",T$1&gt;0),"",IF(OR(IF(Setup!$M$82&gt;0,Setup!$G$82+(Setup!$O$82+T$1)*Setup!$M$82,EDATE(Setup!$G$82,(Setup!$O$82+T$1)*Setup!$N$82))&gt;Setup!$P$82,IF(Setup!$M$82&gt;0,Setup!$G$82+(Setup!$O$82+T$1)*Setup!$M$82,EDATE(Setup!$G$82,(Setup!$O$82+T$1)*Setup!$N$82))&lt;Setup!$D$5),"",IF(Setup!$M$82&gt;0,Setup!$G$82+(Setup!$O$82+T$1)*Setup!$M$82,EDATE(Setup!$G$82,(Setup!$O$82+T$1)*Setup!$N$82))+$A59/1000)))</f>
        <v/>
      </c>
      <c r="U59">
        <f>IF(OR(Setup!$E$82="",Setup!$G$82="",Setup!$F$82=""),"",IF(AND(Setup!$F$82="Once",U$1&gt;0),"",IF(OR(IF(Setup!$M$82&gt;0,Setup!$G$82+(Setup!$O$82+U$1)*Setup!$M$82,EDATE(Setup!$G$82,(Setup!$O$82+U$1)*Setup!$N$82))&gt;Setup!$P$82,IF(Setup!$M$82&gt;0,Setup!$G$82+(Setup!$O$82+U$1)*Setup!$M$82,EDATE(Setup!$G$82,(Setup!$O$82+U$1)*Setup!$N$82))&lt;Setup!$D$5),"",IF(Setup!$M$82&gt;0,Setup!$G$82+(Setup!$O$82+U$1)*Setup!$M$82,EDATE(Setup!$G$82,(Setup!$O$82+U$1)*Setup!$N$82))+$A59/1000)))</f>
        <v/>
      </c>
      <c r="V59">
        <f>IF(OR(Setup!$E$82="",Setup!$G$82="",Setup!$F$82=""),"",IF(AND(Setup!$F$82="Once",V$1&gt;0),"",IF(OR(IF(Setup!$M$82&gt;0,Setup!$G$82+(Setup!$O$82+V$1)*Setup!$M$82,EDATE(Setup!$G$82,(Setup!$O$82+V$1)*Setup!$N$82))&gt;Setup!$P$82,IF(Setup!$M$82&gt;0,Setup!$G$82+(Setup!$O$82+V$1)*Setup!$M$82,EDATE(Setup!$G$82,(Setup!$O$82+V$1)*Setup!$N$82))&lt;Setup!$D$5),"",IF(Setup!$M$82&gt;0,Setup!$G$82+(Setup!$O$82+V$1)*Setup!$M$82,EDATE(Setup!$G$82,(Setup!$O$82+V$1)*Setup!$N$82))+$A59/1000)))</f>
        <v/>
      </c>
      <c r="W59">
        <f>IF(OR(Setup!$E$82="",Setup!$G$82="",Setup!$F$82=""),"",IF(AND(Setup!$F$82="Once",W$1&gt;0),"",IF(OR(IF(Setup!$M$82&gt;0,Setup!$G$82+(Setup!$O$82+W$1)*Setup!$M$82,EDATE(Setup!$G$82,(Setup!$O$82+W$1)*Setup!$N$82))&gt;Setup!$P$82,IF(Setup!$M$82&gt;0,Setup!$G$82+(Setup!$O$82+W$1)*Setup!$M$82,EDATE(Setup!$G$82,(Setup!$O$82+W$1)*Setup!$N$82))&lt;Setup!$D$5),"",IF(Setup!$M$82&gt;0,Setup!$G$82+(Setup!$O$82+W$1)*Setup!$M$82,EDATE(Setup!$G$82,(Setup!$O$82+W$1)*Setup!$N$82))+$A59/1000)))</f>
        <v/>
      </c>
      <c r="X59">
        <f>IF(OR(Setup!$E$82="",Setup!$G$82="",Setup!$F$82=""),"",IF(AND(Setup!$F$82="Once",X$1&gt;0),"",IF(OR(IF(Setup!$M$82&gt;0,Setup!$G$82+(Setup!$O$82+X$1)*Setup!$M$82,EDATE(Setup!$G$82,(Setup!$O$82+X$1)*Setup!$N$82))&gt;Setup!$P$82,IF(Setup!$M$82&gt;0,Setup!$G$82+(Setup!$O$82+X$1)*Setup!$M$82,EDATE(Setup!$G$82,(Setup!$O$82+X$1)*Setup!$N$82))&lt;Setup!$D$5),"",IF(Setup!$M$82&gt;0,Setup!$G$82+(Setup!$O$82+X$1)*Setup!$M$82,EDATE(Setup!$G$82,(Setup!$O$82+X$1)*Setup!$N$82))+$A59/1000)))</f>
        <v/>
      </c>
      <c r="Y59">
        <f>IF(OR(Setup!$E$82="",Setup!$G$82="",Setup!$F$82=""),"",IF(AND(Setup!$F$82="Once",Y$1&gt;0),"",IF(OR(IF(Setup!$M$82&gt;0,Setup!$G$82+(Setup!$O$82+Y$1)*Setup!$M$82,EDATE(Setup!$G$82,(Setup!$O$82+Y$1)*Setup!$N$82))&gt;Setup!$P$82,IF(Setup!$M$82&gt;0,Setup!$G$82+(Setup!$O$82+Y$1)*Setup!$M$82,EDATE(Setup!$G$82,(Setup!$O$82+Y$1)*Setup!$N$82))&lt;Setup!$D$5),"",IF(Setup!$M$82&gt;0,Setup!$G$82+(Setup!$O$82+Y$1)*Setup!$M$82,EDATE(Setup!$G$82,(Setup!$O$82+Y$1)*Setup!$N$82))+$A59/1000)))</f>
        <v/>
      </c>
      <c r="Z59">
        <f>IF(OR(Setup!$E$82="",Setup!$G$82="",Setup!$F$82=""),"",IF(AND(Setup!$F$82="Once",Z$1&gt;0),"",IF(OR(IF(Setup!$M$82&gt;0,Setup!$G$82+(Setup!$O$82+Z$1)*Setup!$M$82,EDATE(Setup!$G$82,(Setup!$O$82+Z$1)*Setup!$N$82))&gt;Setup!$P$82,IF(Setup!$M$82&gt;0,Setup!$G$82+(Setup!$O$82+Z$1)*Setup!$M$82,EDATE(Setup!$G$82,(Setup!$O$82+Z$1)*Setup!$N$82))&lt;Setup!$D$5),"",IF(Setup!$M$82&gt;0,Setup!$G$82+(Setup!$O$82+Z$1)*Setup!$M$82,EDATE(Setup!$G$82,(Setup!$O$82+Z$1)*Setup!$N$82))+$A59/1000)))</f>
        <v/>
      </c>
      <c r="AA59">
        <f>IF(OR(Setup!$E$82="",Setup!$G$82="",Setup!$F$82=""),"",IF(AND(Setup!$F$82="Once",AA$1&gt;0),"",IF(OR(IF(Setup!$M$82&gt;0,Setup!$G$82+(Setup!$O$82+AA$1)*Setup!$M$82,EDATE(Setup!$G$82,(Setup!$O$82+AA$1)*Setup!$N$82))&gt;Setup!$P$82,IF(Setup!$M$82&gt;0,Setup!$G$82+(Setup!$O$82+AA$1)*Setup!$M$82,EDATE(Setup!$G$82,(Setup!$O$82+AA$1)*Setup!$N$82))&lt;Setup!$D$5),"",IF(Setup!$M$82&gt;0,Setup!$G$82+(Setup!$O$82+AA$1)*Setup!$M$82,EDATE(Setup!$G$82,(Setup!$O$82+AA$1)*Setup!$N$82))+$A59/1000)))</f>
        <v/>
      </c>
      <c r="AB59">
        <f>IF(OR(Setup!$E$82="",Setup!$G$82="",Setup!$F$82=""),"",IF(AND(Setup!$F$82="Once",AB$1&gt;0),"",IF(OR(IF(Setup!$M$82&gt;0,Setup!$G$82+(Setup!$O$82+AB$1)*Setup!$M$82,EDATE(Setup!$G$82,(Setup!$O$82+AB$1)*Setup!$N$82))&gt;Setup!$P$82,IF(Setup!$M$82&gt;0,Setup!$G$82+(Setup!$O$82+AB$1)*Setup!$M$82,EDATE(Setup!$G$82,(Setup!$O$82+AB$1)*Setup!$N$82))&lt;Setup!$D$5),"",IF(Setup!$M$82&gt;0,Setup!$G$82+(Setup!$O$82+AB$1)*Setup!$M$82,EDATE(Setup!$G$82,(Setup!$O$82+AB$1)*Setup!$N$82))+$A59/1000)))</f>
        <v/>
      </c>
      <c r="AC59">
        <f>IF(OR(Setup!$E$82="",Setup!$G$82="",Setup!$F$82=""),"",IF(AND(Setup!$F$82="Once",AC$1&gt;0),"",IF(OR(IF(Setup!$M$82&gt;0,Setup!$G$82+(Setup!$O$82+AC$1)*Setup!$M$82,EDATE(Setup!$G$82,(Setup!$O$82+AC$1)*Setup!$N$82))&gt;Setup!$P$82,IF(Setup!$M$82&gt;0,Setup!$G$82+(Setup!$O$82+AC$1)*Setup!$M$82,EDATE(Setup!$G$82,(Setup!$O$82+AC$1)*Setup!$N$82))&lt;Setup!$D$5),"",IF(Setup!$M$82&gt;0,Setup!$G$82+(Setup!$O$82+AC$1)*Setup!$M$82,EDATE(Setup!$G$82,(Setup!$O$82+AC$1)*Setup!$N$82))+$A59/1000)))</f>
        <v/>
      </c>
      <c r="AD59">
        <f>IF(OR(Setup!$E$82="",Setup!$G$82="",Setup!$F$82=""),"",IF(AND(Setup!$F$82="Once",AD$1&gt;0),"",IF(OR(IF(Setup!$M$82&gt;0,Setup!$G$82+(Setup!$O$82+AD$1)*Setup!$M$82,EDATE(Setup!$G$82,(Setup!$O$82+AD$1)*Setup!$N$82))&gt;Setup!$P$82,IF(Setup!$M$82&gt;0,Setup!$G$82+(Setup!$O$82+AD$1)*Setup!$M$82,EDATE(Setup!$G$82,(Setup!$O$82+AD$1)*Setup!$N$82))&lt;Setup!$D$5),"",IF(Setup!$M$82&gt;0,Setup!$G$82+(Setup!$O$82+AD$1)*Setup!$M$82,EDATE(Setup!$G$82,(Setup!$O$82+AD$1)*Setup!$N$82))+$A59/1000)))</f>
        <v/>
      </c>
      <c r="AE59">
        <f>IF(OR(Setup!$E$82="",Setup!$G$82="",Setup!$F$82=""),"",IF(AND(Setup!$F$82="Once",AE$1&gt;0),"",IF(OR(IF(Setup!$M$82&gt;0,Setup!$G$82+(Setup!$O$82+AE$1)*Setup!$M$82,EDATE(Setup!$G$82,(Setup!$O$82+AE$1)*Setup!$N$82))&gt;Setup!$P$82,IF(Setup!$M$82&gt;0,Setup!$G$82+(Setup!$O$82+AE$1)*Setup!$M$82,EDATE(Setup!$G$82,(Setup!$O$82+AE$1)*Setup!$N$82))&lt;Setup!$D$5),"",IF(Setup!$M$82&gt;0,Setup!$G$82+(Setup!$O$82+AE$1)*Setup!$M$82,EDATE(Setup!$G$82,(Setup!$O$82+AE$1)*Setup!$N$82))+$A59/1000)))</f>
        <v/>
      </c>
      <c r="AF59">
        <f>IF(OR(Setup!$E$82="",Setup!$G$82="",Setup!$F$82=""),"",IF(AND(Setup!$F$82="Once",AF$1&gt;0),"",IF(OR(IF(Setup!$M$82&gt;0,Setup!$G$82+(Setup!$O$82+AF$1)*Setup!$M$82,EDATE(Setup!$G$82,(Setup!$O$82+AF$1)*Setup!$N$82))&gt;Setup!$P$82,IF(Setup!$M$82&gt;0,Setup!$G$82+(Setup!$O$82+AF$1)*Setup!$M$82,EDATE(Setup!$G$82,(Setup!$O$82+AF$1)*Setup!$N$82))&lt;Setup!$D$5),"",IF(Setup!$M$82&gt;0,Setup!$G$82+(Setup!$O$82+AF$1)*Setup!$M$82,EDATE(Setup!$G$82,(Setup!$O$82+AF$1)*Setup!$N$82))+$A59/1000)))</f>
        <v/>
      </c>
      <c r="AG59">
        <f>IF(OR(Setup!$E$82="",Setup!$G$82="",Setup!$F$82=""),"",IF(AND(Setup!$F$82="Once",AG$1&gt;0),"",IF(OR(IF(Setup!$M$82&gt;0,Setup!$G$82+(Setup!$O$82+AG$1)*Setup!$M$82,EDATE(Setup!$G$82,(Setup!$O$82+AG$1)*Setup!$N$82))&gt;Setup!$P$82,IF(Setup!$M$82&gt;0,Setup!$G$82+(Setup!$O$82+AG$1)*Setup!$M$82,EDATE(Setup!$G$82,(Setup!$O$82+AG$1)*Setup!$N$82))&lt;Setup!$D$5),"",IF(Setup!$M$82&gt;0,Setup!$G$82+(Setup!$O$82+AG$1)*Setup!$M$82,EDATE(Setup!$G$82,(Setup!$O$82+AG$1)*Setup!$N$82))+$A59/1000)))</f>
        <v/>
      </c>
      <c r="AH59">
        <f>IF(OR(Setup!$E$82="",Setup!$G$82="",Setup!$F$82=""),"",IF(AND(Setup!$F$82="Once",AH$1&gt;0),"",IF(OR(IF(Setup!$M$82&gt;0,Setup!$G$82+(Setup!$O$82+AH$1)*Setup!$M$82,EDATE(Setup!$G$82,(Setup!$O$82+AH$1)*Setup!$N$82))&gt;Setup!$P$82,IF(Setup!$M$82&gt;0,Setup!$G$82+(Setup!$O$82+AH$1)*Setup!$M$82,EDATE(Setup!$G$82,(Setup!$O$82+AH$1)*Setup!$N$82))&lt;Setup!$D$5),"",IF(Setup!$M$82&gt;0,Setup!$G$82+(Setup!$O$82+AH$1)*Setup!$M$82,EDATE(Setup!$G$82,(Setup!$O$82+AH$1)*Setup!$N$82))+$A59/1000)))</f>
        <v/>
      </c>
      <c r="AI59">
        <f>IF(OR(Setup!$E$82="",Setup!$G$82="",Setup!$F$82=""),"",IF(AND(Setup!$F$82="Once",AI$1&gt;0),"",IF(OR(IF(Setup!$M$82&gt;0,Setup!$G$82+(Setup!$O$82+AI$1)*Setup!$M$82,EDATE(Setup!$G$82,(Setup!$O$82+AI$1)*Setup!$N$82))&gt;Setup!$P$82,IF(Setup!$M$82&gt;0,Setup!$G$82+(Setup!$O$82+AI$1)*Setup!$M$82,EDATE(Setup!$G$82,(Setup!$O$82+AI$1)*Setup!$N$82))&lt;Setup!$D$5),"",IF(Setup!$M$82&gt;0,Setup!$G$82+(Setup!$O$82+AI$1)*Setup!$M$82,EDATE(Setup!$G$82,(Setup!$O$82+AI$1)*Setup!$N$82))+$A59/1000)))</f>
        <v/>
      </c>
      <c r="AJ59">
        <f>IF(OR(Setup!$E$82="",Setup!$G$82="",Setup!$F$82=""),"",IF(AND(Setup!$F$82="Once",AJ$1&gt;0),"",IF(OR(IF(Setup!$M$82&gt;0,Setup!$G$82+(Setup!$O$82+AJ$1)*Setup!$M$82,EDATE(Setup!$G$82,(Setup!$O$82+AJ$1)*Setup!$N$82))&gt;Setup!$P$82,IF(Setup!$M$82&gt;0,Setup!$G$82+(Setup!$O$82+AJ$1)*Setup!$M$82,EDATE(Setup!$G$82,(Setup!$O$82+AJ$1)*Setup!$N$82))&lt;Setup!$D$5),"",IF(Setup!$M$82&gt;0,Setup!$G$82+(Setup!$O$82+AJ$1)*Setup!$M$82,EDATE(Setup!$G$82,(Setup!$O$82+AJ$1)*Setup!$N$82))+$A59/1000)))</f>
        <v/>
      </c>
      <c r="AK59">
        <f>IF(OR(Setup!$E$82="",Setup!$G$82="",Setup!$F$82=""),"",IF(AND(Setup!$F$82="Once",AK$1&gt;0),"",IF(OR(IF(Setup!$M$82&gt;0,Setup!$G$82+(Setup!$O$82+AK$1)*Setup!$M$82,EDATE(Setup!$G$82,(Setup!$O$82+AK$1)*Setup!$N$82))&gt;Setup!$P$82,IF(Setup!$M$82&gt;0,Setup!$G$82+(Setup!$O$82+AK$1)*Setup!$M$82,EDATE(Setup!$G$82,(Setup!$O$82+AK$1)*Setup!$N$82))&lt;Setup!$D$5),"",IF(Setup!$M$82&gt;0,Setup!$G$82+(Setup!$O$82+AK$1)*Setup!$M$82,EDATE(Setup!$G$82,(Setup!$O$82+AK$1)*Setup!$N$82))+$A59/1000)))</f>
        <v/>
      </c>
      <c r="AL59">
        <f>IF(OR(Setup!$E$82="",Setup!$G$82="",Setup!$F$82=""),"",IF(AND(Setup!$F$82="Once",AL$1&gt;0),"",IF(OR(IF(Setup!$M$82&gt;0,Setup!$G$82+(Setup!$O$82+AL$1)*Setup!$M$82,EDATE(Setup!$G$82,(Setup!$O$82+AL$1)*Setup!$N$82))&gt;Setup!$P$82,IF(Setup!$M$82&gt;0,Setup!$G$82+(Setup!$O$82+AL$1)*Setup!$M$82,EDATE(Setup!$G$82,(Setup!$O$82+AL$1)*Setup!$N$82))&lt;Setup!$D$5),"",IF(Setup!$M$82&gt;0,Setup!$G$82+(Setup!$O$82+AL$1)*Setup!$M$82,EDATE(Setup!$G$82,(Setup!$O$82+AL$1)*Setup!$N$82))+$A59/1000)))</f>
        <v/>
      </c>
      <c r="AM59">
        <f>IF(OR(Setup!$E$82="",Setup!$G$82="",Setup!$F$82=""),"",IF(AND(Setup!$F$82="Once",AM$1&gt;0),"",IF(OR(IF(Setup!$M$82&gt;0,Setup!$G$82+(Setup!$O$82+AM$1)*Setup!$M$82,EDATE(Setup!$G$82,(Setup!$O$82+AM$1)*Setup!$N$82))&gt;Setup!$P$82,IF(Setup!$M$82&gt;0,Setup!$G$82+(Setup!$O$82+AM$1)*Setup!$M$82,EDATE(Setup!$G$82,(Setup!$O$82+AM$1)*Setup!$N$82))&lt;Setup!$D$5),"",IF(Setup!$M$82&gt;0,Setup!$G$82+(Setup!$O$82+AM$1)*Setup!$M$82,EDATE(Setup!$G$82,(Setup!$O$82+AM$1)*Setup!$N$82))+$A59/1000)))</f>
        <v/>
      </c>
      <c r="AN59">
        <f>IF(OR(Setup!$E$82="",Setup!$G$82="",Setup!$F$82=""),"",IF(AND(Setup!$F$82="Once",AN$1&gt;0),"",IF(OR(IF(Setup!$M$82&gt;0,Setup!$G$82+(Setup!$O$82+AN$1)*Setup!$M$82,EDATE(Setup!$G$82,(Setup!$O$82+AN$1)*Setup!$N$82))&gt;Setup!$P$82,IF(Setup!$M$82&gt;0,Setup!$G$82+(Setup!$O$82+AN$1)*Setup!$M$82,EDATE(Setup!$G$82,(Setup!$O$82+AN$1)*Setup!$N$82))&lt;Setup!$D$5),"",IF(Setup!$M$82&gt;0,Setup!$G$82+(Setup!$O$82+AN$1)*Setup!$M$82,EDATE(Setup!$G$82,(Setup!$O$82+AN$1)*Setup!$N$82))+$A59/1000)))</f>
        <v/>
      </c>
      <c r="AO59">
        <f>IF(OR(Setup!$E$82="",Setup!$G$82="",Setup!$F$82=""),"",IF(AND(Setup!$F$82="Once",AO$1&gt;0),"",IF(OR(IF(Setup!$M$82&gt;0,Setup!$G$82+(Setup!$O$82+AO$1)*Setup!$M$82,EDATE(Setup!$G$82,(Setup!$O$82+AO$1)*Setup!$N$82))&gt;Setup!$P$82,IF(Setup!$M$82&gt;0,Setup!$G$82+(Setup!$O$82+AO$1)*Setup!$M$82,EDATE(Setup!$G$82,(Setup!$O$82+AO$1)*Setup!$N$82))&lt;Setup!$D$5),"",IF(Setup!$M$82&gt;0,Setup!$G$82+(Setup!$O$82+AO$1)*Setup!$M$82,EDATE(Setup!$G$82,(Setup!$O$82+AO$1)*Setup!$N$82))+$A59/1000)))</f>
        <v/>
      </c>
      <c r="AP59">
        <f>IF(OR(Setup!$E$82="",Setup!$G$82="",Setup!$F$82=""),"",IF(AND(Setup!$F$82="Once",AP$1&gt;0),"",IF(OR(IF(Setup!$M$82&gt;0,Setup!$G$82+(Setup!$O$82+AP$1)*Setup!$M$82,EDATE(Setup!$G$82,(Setup!$O$82+AP$1)*Setup!$N$82))&gt;Setup!$P$82,IF(Setup!$M$82&gt;0,Setup!$G$82+(Setup!$O$82+AP$1)*Setup!$M$82,EDATE(Setup!$G$82,(Setup!$O$82+AP$1)*Setup!$N$82))&lt;Setup!$D$5),"",IF(Setup!$M$82&gt;0,Setup!$G$82+(Setup!$O$82+AP$1)*Setup!$M$82,EDATE(Setup!$G$82,(Setup!$O$82+AP$1)*Setup!$N$82))+$A59/1000)))</f>
        <v/>
      </c>
      <c r="AQ59">
        <f>IF(OR(Setup!$E$82="",Setup!$G$82="",Setup!$F$82=""),"",IF(AND(Setup!$F$82="Once",AQ$1&gt;0),"",IF(OR(IF(Setup!$M$82&gt;0,Setup!$G$82+(Setup!$O$82+AQ$1)*Setup!$M$82,EDATE(Setup!$G$82,(Setup!$O$82+AQ$1)*Setup!$N$82))&gt;Setup!$P$82,IF(Setup!$M$82&gt;0,Setup!$G$82+(Setup!$O$82+AQ$1)*Setup!$M$82,EDATE(Setup!$G$82,(Setup!$O$82+AQ$1)*Setup!$N$82))&lt;Setup!$D$5),"",IF(Setup!$M$82&gt;0,Setup!$G$82+(Setup!$O$82+AQ$1)*Setup!$M$82,EDATE(Setup!$G$82,(Setup!$O$82+AQ$1)*Setup!$N$82))+$A59/1000)))</f>
        <v/>
      </c>
      <c r="AR59">
        <f>IF(OR(Setup!$E$82="",Setup!$G$82="",Setup!$F$82=""),"",IF(AND(Setup!$F$82="Once",AR$1&gt;0),"",IF(OR(IF(Setup!$M$82&gt;0,Setup!$G$82+(Setup!$O$82+AR$1)*Setup!$M$82,EDATE(Setup!$G$82,(Setup!$O$82+AR$1)*Setup!$N$82))&gt;Setup!$P$82,IF(Setup!$M$82&gt;0,Setup!$G$82+(Setup!$O$82+AR$1)*Setup!$M$82,EDATE(Setup!$G$82,(Setup!$O$82+AR$1)*Setup!$N$82))&lt;Setup!$D$5),"",IF(Setup!$M$82&gt;0,Setup!$G$82+(Setup!$O$82+AR$1)*Setup!$M$82,EDATE(Setup!$G$82,(Setup!$O$82+AR$1)*Setup!$N$82))+$A59/1000)))</f>
        <v/>
      </c>
      <c r="AS59">
        <f>IF(OR(Setup!$E$82="",Setup!$G$82="",Setup!$F$82=""),"",IF(AND(Setup!$F$82="Once",AS$1&gt;0),"",IF(OR(IF(Setup!$M$82&gt;0,Setup!$G$82+(Setup!$O$82+AS$1)*Setup!$M$82,EDATE(Setup!$G$82,(Setup!$O$82+AS$1)*Setup!$N$82))&gt;Setup!$P$82,IF(Setup!$M$82&gt;0,Setup!$G$82+(Setup!$O$82+AS$1)*Setup!$M$82,EDATE(Setup!$G$82,(Setup!$O$82+AS$1)*Setup!$N$82))&lt;Setup!$D$5),"",IF(Setup!$M$82&gt;0,Setup!$G$82+(Setup!$O$82+AS$1)*Setup!$M$82,EDATE(Setup!$G$82,(Setup!$O$82+AS$1)*Setup!$N$82))+$A59/1000)))</f>
        <v/>
      </c>
      <c r="AT59">
        <f>IF(OR(Setup!$E$82="",Setup!$G$82="",Setup!$F$82=""),"",IF(AND(Setup!$F$82="Once",AT$1&gt;0),"",IF(OR(IF(Setup!$M$82&gt;0,Setup!$G$82+(Setup!$O$82+AT$1)*Setup!$M$82,EDATE(Setup!$G$82,(Setup!$O$82+AT$1)*Setup!$N$82))&gt;Setup!$P$82,IF(Setup!$M$82&gt;0,Setup!$G$82+(Setup!$O$82+AT$1)*Setup!$M$82,EDATE(Setup!$G$82,(Setup!$O$82+AT$1)*Setup!$N$82))&lt;Setup!$D$5),"",IF(Setup!$M$82&gt;0,Setup!$G$82+(Setup!$O$82+AT$1)*Setup!$M$82,EDATE(Setup!$G$82,(Setup!$O$82+AT$1)*Setup!$N$82))+$A59/1000)))</f>
        <v/>
      </c>
      <c r="AU59">
        <f>IF(OR(Setup!$E$82="",Setup!$G$82="",Setup!$F$82=""),"",IF(AND(Setup!$F$82="Once",AU$1&gt;0),"",IF(OR(IF(Setup!$M$82&gt;0,Setup!$G$82+(Setup!$O$82+AU$1)*Setup!$M$82,EDATE(Setup!$G$82,(Setup!$O$82+AU$1)*Setup!$N$82))&gt;Setup!$P$82,IF(Setup!$M$82&gt;0,Setup!$G$82+(Setup!$O$82+AU$1)*Setup!$M$82,EDATE(Setup!$G$82,(Setup!$O$82+AU$1)*Setup!$N$82))&lt;Setup!$D$5),"",IF(Setup!$M$82&gt;0,Setup!$G$82+(Setup!$O$82+AU$1)*Setup!$M$82,EDATE(Setup!$G$82,(Setup!$O$82+AU$1)*Setup!$N$82))+$A59/1000)))</f>
        <v/>
      </c>
      <c r="AV59">
        <f>IF(OR(Setup!$E$82="",Setup!$G$82="",Setup!$F$82=""),"",IF(AND(Setup!$F$82="Once",AV$1&gt;0),"",IF(OR(IF(Setup!$M$82&gt;0,Setup!$G$82+(Setup!$O$82+AV$1)*Setup!$M$82,EDATE(Setup!$G$82,(Setup!$O$82+AV$1)*Setup!$N$82))&gt;Setup!$P$82,IF(Setup!$M$82&gt;0,Setup!$G$82+(Setup!$O$82+AV$1)*Setup!$M$82,EDATE(Setup!$G$82,(Setup!$O$82+AV$1)*Setup!$N$82))&lt;Setup!$D$5),"",IF(Setup!$M$82&gt;0,Setup!$G$82+(Setup!$O$82+AV$1)*Setup!$M$82,EDATE(Setup!$G$82,(Setup!$O$82+AV$1)*Setup!$N$82))+$A59/1000)))</f>
        <v/>
      </c>
      <c r="AW59">
        <f>IF(OR(Setup!$E$82="",Setup!$G$82="",Setup!$F$82=""),"",IF(AND(Setup!$F$82="Once",AW$1&gt;0),"",IF(OR(IF(Setup!$M$82&gt;0,Setup!$G$82+(Setup!$O$82+AW$1)*Setup!$M$82,EDATE(Setup!$G$82,(Setup!$O$82+AW$1)*Setup!$N$82))&gt;Setup!$P$82,IF(Setup!$M$82&gt;0,Setup!$G$82+(Setup!$O$82+AW$1)*Setup!$M$82,EDATE(Setup!$G$82,(Setup!$O$82+AW$1)*Setup!$N$82))&lt;Setup!$D$5),"",IF(Setup!$M$82&gt;0,Setup!$G$82+(Setup!$O$82+AW$1)*Setup!$M$82,EDATE(Setup!$G$82,(Setup!$O$82+AW$1)*Setup!$N$82))+$A59/1000)))</f>
        <v/>
      </c>
      <c r="AX59">
        <f>IF(OR(Setup!$E$82="",Setup!$G$82="",Setup!$F$82=""),"",IF(AND(Setup!$F$82="Once",AX$1&gt;0),"",IF(OR(IF(Setup!$M$82&gt;0,Setup!$G$82+(Setup!$O$82+AX$1)*Setup!$M$82,EDATE(Setup!$G$82,(Setup!$O$82+AX$1)*Setup!$N$82))&gt;Setup!$P$82,IF(Setup!$M$82&gt;0,Setup!$G$82+(Setup!$O$82+AX$1)*Setup!$M$82,EDATE(Setup!$G$82,(Setup!$O$82+AX$1)*Setup!$N$82))&lt;Setup!$D$5),"",IF(Setup!$M$82&gt;0,Setup!$G$82+(Setup!$O$82+AX$1)*Setup!$M$82,EDATE(Setup!$G$82,(Setup!$O$82+AX$1)*Setup!$N$82))+$A59/1000)))</f>
        <v/>
      </c>
      <c r="AY59">
        <f>IF(OR(Setup!$E$82="",Setup!$G$82="",Setup!$F$82=""),"",IF(AND(Setup!$F$82="Once",AY$1&gt;0),"",IF(OR(IF(Setup!$M$82&gt;0,Setup!$G$82+(Setup!$O$82+AY$1)*Setup!$M$82,EDATE(Setup!$G$82,(Setup!$O$82+AY$1)*Setup!$N$82))&gt;Setup!$P$82,IF(Setup!$M$82&gt;0,Setup!$G$82+(Setup!$O$82+AY$1)*Setup!$M$82,EDATE(Setup!$G$82,(Setup!$O$82+AY$1)*Setup!$N$82))&lt;Setup!$D$5),"",IF(Setup!$M$82&gt;0,Setup!$G$82+(Setup!$O$82+AY$1)*Setup!$M$82,EDATE(Setup!$G$82,(Setup!$O$82+AY$1)*Setup!$N$82))+$A59/1000)))</f>
        <v/>
      </c>
      <c r="AZ59">
        <f>IF(OR(Setup!$E$82="",Setup!$G$82="",Setup!$F$82=""),"",IF(AND(Setup!$F$82="Once",AZ$1&gt;0),"",IF(OR(IF(Setup!$M$82&gt;0,Setup!$G$82+(Setup!$O$82+AZ$1)*Setup!$M$82,EDATE(Setup!$G$82,(Setup!$O$82+AZ$1)*Setup!$N$82))&gt;Setup!$P$82,IF(Setup!$M$82&gt;0,Setup!$G$82+(Setup!$O$82+AZ$1)*Setup!$M$82,EDATE(Setup!$G$82,(Setup!$O$82+AZ$1)*Setup!$N$82))&lt;Setup!$D$5),"",IF(Setup!$M$82&gt;0,Setup!$G$82+(Setup!$O$82+AZ$1)*Setup!$M$82,EDATE(Setup!$G$82,(Setup!$O$82+AZ$1)*Setup!$N$82))+$A59/1000)))</f>
        <v/>
      </c>
      <c r="BA59">
        <f>IF(OR(Setup!$E$82="",Setup!$G$82="",Setup!$F$82=""),"",IF(AND(Setup!$F$82="Once",BA$1&gt;0),"",IF(OR(IF(Setup!$M$82&gt;0,Setup!$G$82+(Setup!$O$82+BA$1)*Setup!$M$82,EDATE(Setup!$G$82,(Setup!$O$82+BA$1)*Setup!$N$82))&gt;Setup!$P$82,IF(Setup!$M$82&gt;0,Setup!$G$82+(Setup!$O$82+BA$1)*Setup!$M$82,EDATE(Setup!$G$82,(Setup!$O$82+BA$1)*Setup!$N$82))&lt;Setup!$D$5),"",IF(Setup!$M$82&gt;0,Setup!$G$82+(Setup!$O$82+BA$1)*Setup!$M$82,EDATE(Setup!$G$82,(Setup!$O$82+BA$1)*Setup!$N$82))+$A59/1000)))</f>
        <v/>
      </c>
      <c r="BB59">
        <f>IF(OR(Setup!$E$82="",Setup!$G$82="",Setup!$F$82=""),"",IF(AND(Setup!$F$82="Once",BB$1&gt;0),"",IF(OR(IF(Setup!$M$82&gt;0,Setup!$G$82+(Setup!$O$82+BB$1)*Setup!$M$82,EDATE(Setup!$G$82,(Setup!$O$82+BB$1)*Setup!$N$82))&gt;Setup!$P$82,IF(Setup!$M$82&gt;0,Setup!$G$82+(Setup!$O$82+BB$1)*Setup!$M$82,EDATE(Setup!$G$82,(Setup!$O$82+BB$1)*Setup!$N$82))&lt;Setup!$D$5),"",IF(Setup!$M$82&gt;0,Setup!$G$82+(Setup!$O$82+BB$1)*Setup!$M$82,EDATE(Setup!$G$82,(Setup!$O$82+BB$1)*Setup!$N$82))+$A59/1000)))</f>
        <v/>
      </c>
    </row>
    <row r="60">
      <c r="A60" t="n">
        <v>59</v>
      </c>
      <c r="B60">
        <f>IF(OR(Setup!$E$83="",Setup!$G$83="",Setup!$F$83=""),"",IF(AND(Setup!$F$83="Once",B$1&gt;0),"",IF(OR(IF(Setup!$M$83&gt;0,Setup!$G$83+(Setup!$O$83+B$1)*Setup!$M$83,EDATE(Setup!$G$83,(Setup!$O$83+B$1)*Setup!$N$83))&gt;Setup!$P$83,IF(Setup!$M$83&gt;0,Setup!$G$83+(Setup!$O$83+B$1)*Setup!$M$83,EDATE(Setup!$G$83,(Setup!$O$83+B$1)*Setup!$N$83))&lt;Setup!$D$5),"",IF(Setup!$M$83&gt;0,Setup!$G$83+(Setup!$O$83+B$1)*Setup!$M$83,EDATE(Setup!$G$83,(Setup!$O$83+B$1)*Setup!$N$83))+$A60/1000)))</f>
        <v/>
      </c>
      <c r="C60">
        <f>IF(OR(Setup!$E$83="",Setup!$G$83="",Setup!$F$83=""),"",IF(AND(Setup!$F$83="Once",C$1&gt;0),"",IF(OR(IF(Setup!$M$83&gt;0,Setup!$G$83+(Setup!$O$83+C$1)*Setup!$M$83,EDATE(Setup!$G$83,(Setup!$O$83+C$1)*Setup!$N$83))&gt;Setup!$P$83,IF(Setup!$M$83&gt;0,Setup!$G$83+(Setup!$O$83+C$1)*Setup!$M$83,EDATE(Setup!$G$83,(Setup!$O$83+C$1)*Setup!$N$83))&lt;Setup!$D$5),"",IF(Setup!$M$83&gt;0,Setup!$G$83+(Setup!$O$83+C$1)*Setup!$M$83,EDATE(Setup!$G$83,(Setup!$O$83+C$1)*Setup!$N$83))+$A60/1000)))</f>
        <v/>
      </c>
      <c r="D60">
        <f>IF(OR(Setup!$E$83="",Setup!$G$83="",Setup!$F$83=""),"",IF(AND(Setup!$F$83="Once",D$1&gt;0),"",IF(OR(IF(Setup!$M$83&gt;0,Setup!$G$83+(Setup!$O$83+D$1)*Setup!$M$83,EDATE(Setup!$G$83,(Setup!$O$83+D$1)*Setup!$N$83))&gt;Setup!$P$83,IF(Setup!$M$83&gt;0,Setup!$G$83+(Setup!$O$83+D$1)*Setup!$M$83,EDATE(Setup!$G$83,(Setup!$O$83+D$1)*Setup!$N$83))&lt;Setup!$D$5),"",IF(Setup!$M$83&gt;0,Setup!$G$83+(Setup!$O$83+D$1)*Setup!$M$83,EDATE(Setup!$G$83,(Setup!$O$83+D$1)*Setup!$N$83))+$A60/1000)))</f>
        <v/>
      </c>
      <c r="E60">
        <f>IF(OR(Setup!$E$83="",Setup!$G$83="",Setup!$F$83=""),"",IF(AND(Setup!$F$83="Once",E$1&gt;0),"",IF(OR(IF(Setup!$M$83&gt;0,Setup!$G$83+(Setup!$O$83+E$1)*Setup!$M$83,EDATE(Setup!$G$83,(Setup!$O$83+E$1)*Setup!$N$83))&gt;Setup!$P$83,IF(Setup!$M$83&gt;0,Setup!$G$83+(Setup!$O$83+E$1)*Setup!$M$83,EDATE(Setup!$G$83,(Setup!$O$83+E$1)*Setup!$N$83))&lt;Setup!$D$5),"",IF(Setup!$M$83&gt;0,Setup!$G$83+(Setup!$O$83+E$1)*Setup!$M$83,EDATE(Setup!$G$83,(Setup!$O$83+E$1)*Setup!$N$83))+$A60/1000)))</f>
        <v/>
      </c>
      <c r="F60">
        <f>IF(OR(Setup!$E$83="",Setup!$G$83="",Setup!$F$83=""),"",IF(AND(Setup!$F$83="Once",F$1&gt;0),"",IF(OR(IF(Setup!$M$83&gt;0,Setup!$G$83+(Setup!$O$83+F$1)*Setup!$M$83,EDATE(Setup!$G$83,(Setup!$O$83+F$1)*Setup!$N$83))&gt;Setup!$P$83,IF(Setup!$M$83&gt;0,Setup!$G$83+(Setup!$O$83+F$1)*Setup!$M$83,EDATE(Setup!$G$83,(Setup!$O$83+F$1)*Setup!$N$83))&lt;Setup!$D$5),"",IF(Setup!$M$83&gt;0,Setup!$G$83+(Setup!$O$83+F$1)*Setup!$M$83,EDATE(Setup!$G$83,(Setup!$O$83+F$1)*Setup!$N$83))+$A60/1000)))</f>
        <v/>
      </c>
      <c r="G60">
        <f>IF(OR(Setup!$E$83="",Setup!$G$83="",Setup!$F$83=""),"",IF(AND(Setup!$F$83="Once",G$1&gt;0),"",IF(OR(IF(Setup!$M$83&gt;0,Setup!$G$83+(Setup!$O$83+G$1)*Setup!$M$83,EDATE(Setup!$G$83,(Setup!$O$83+G$1)*Setup!$N$83))&gt;Setup!$P$83,IF(Setup!$M$83&gt;0,Setup!$G$83+(Setup!$O$83+G$1)*Setup!$M$83,EDATE(Setup!$G$83,(Setup!$O$83+G$1)*Setup!$N$83))&lt;Setup!$D$5),"",IF(Setup!$M$83&gt;0,Setup!$G$83+(Setup!$O$83+G$1)*Setup!$M$83,EDATE(Setup!$G$83,(Setup!$O$83+G$1)*Setup!$N$83))+$A60/1000)))</f>
        <v/>
      </c>
      <c r="H60">
        <f>IF(OR(Setup!$E$83="",Setup!$G$83="",Setup!$F$83=""),"",IF(AND(Setup!$F$83="Once",H$1&gt;0),"",IF(OR(IF(Setup!$M$83&gt;0,Setup!$G$83+(Setup!$O$83+H$1)*Setup!$M$83,EDATE(Setup!$G$83,(Setup!$O$83+H$1)*Setup!$N$83))&gt;Setup!$P$83,IF(Setup!$M$83&gt;0,Setup!$G$83+(Setup!$O$83+H$1)*Setup!$M$83,EDATE(Setup!$G$83,(Setup!$O$83+H$1)*Setup!$N$83))&lt;Setup!$D$5),"",IF(Setup!$M$83&gt;0,Setup!$G$83+(Setup!$O$83+H$1)*Setup!$M$83,EDATE(Setup!$G$83,(Setup!$O$83+H$1)*Setup!$N$83))+$A60/1000)))</f>
        <v/>
      </c>
      <c r="I60">
        <f>IF(OR(Setup!$E$83="",Setup!$G$83="",Setup!$F$83=""),"",IF(AND(Setup!$F$83="Once",I$1&gt;0),"",IF(OR(IF(Setup!$M$83&gt;0,Setup!$G$83+(Setup!$O$83+I$1)*Setup!$M$83,EDATE(Setup!$G$83,(Setup!$O$83+I$1)*Setup!$N$83))&gt;Setup!$P$83,IF(Setup!$M$83&gt;0,Setup!$G$83+(Setup!$O$83+I$1)*Setup!$M$83,EDATE(Setup!$G$83,(Setup!$O$83+I$1)*Setup!$N$83))&lt;Setup!$D$5),"",IF(Setup!$M$83&gt;0,Setup!$G$83+(Setup!$O$83+I$1)*Setup!$M$83,EDATE(Setup!$G$83,(Setup!$O$83+I$1)*Setup!$N$83))+$A60/1000)))</f>
        <v/>
      </c>
      <c r="J60">
        <f>IF(OR(Setup!$E$83="",Setup!$G$83="",Setup!$F$83=""),"",IF(AND(Setup!$F$83="Once",J$1&gt;0),"",IF(OR(IF(Setup!$M$83&gt;0,Setup!$G$83+(Setup!$O$83+J$1)*Setup!$M$83,EDATE(Setup!$G$83,(Setup!$O$83+J$1)*Setup!$N$83))&gt;Setup!$P$83,IF(Setup!$M$83&gt;0,Setup!$G$83+(Setup!$O$83+J$1)*Setup!$M$83,EDATE(Setup!$G$83,(Setup!$O$83+J$1)*Setup!$N$83))&lt;Setup!$D$5),"",IF(Setup!$M$83&gt;0,Setup!$G$83+(Setup!$O$83+J$1)*Setup!$M$83,EDATE(Setup!$G$83,(Setup!$O$83+J$1)*Setup!$N$83))+$A60/1000)))</f>
        <v/>
      </c>
      <c r="K60">
        <f>IF(OR(Setup!$E$83="",Setup!$G$83="",Setup!$F$83=""),"",IF(AND(Setup!$F$83="Once",K$1&gt;0),"",IF(OR(IF(Setup!$M$83&gt;0,Setup!$G$83+(Setup!$O$83+K$1)*Setup!$M$83,EDATE(Setup!$G$83,(Setup!$O$83+K$1)*Setup!$N$83))&gt;Setup!$P$83,IF(Setup!$M$83&gt;0,Setup!$G$83+(Setup!$O$83+K$1)*Setup!$M$83,EDATE(Setup!$G$83,(Setup!$O$83+K$1)*Setup!$N$83))&lt;Setup!$D$5),"",IF(Setup!$M$83&gt;0,Setup!$G$83+(Setup!$O$83+K$1)*Setup!$M$83,EDATE(Setup!$G$83,(Setup!$O$83+K$1)*Setup!$N$83))+$A60/1000)))</f>
        <v/>
      </c>
      <c r="L60">
        <f>IF(OR(Setup!$E$83="",Setup!$G$83="",Setup!$F$83=""),"",IF(AND(Setup!$F$83="Once",L$1&gt;0),"",IF(OR(IF(Setup!$M$83&gt;0,Setup!$G$83+(Setup!$O$83+L$1)*Setup!$M$83,EDATE(Setup!$G$83,(Setup!$O$83+L$1)*Setup!$N$83))&gt;Setup!$P$83,IF(Setup!$M$83&gt;0,Setup!$G$83+(Setup!$O$83+L$1)*Setup!$M$83,EDATE(Setup!$G$83,(Setup!$O$83+L$1)*Setup!$N$83))&lt;Setup!$D$5),"",IF(Setup!$M$83&gt;0,Setup!$G$83+(Setup!$O$83+L$1)*Setup!$M$83,EDATE(Setup!$G$83,(Setup!$O$83+L$1)*Setup!$N$83))+$A60/1000)))</f>
        <v/>
      </c>
      <c r="M60">
        <f>IF(OR(Setup!$E$83="",Setup!$G$83="",Setup!$F$83=""),"",IF(AND(Setup!$F$83="Once",M$1&gt;0),"",IF(OR(IF(Setup!$M$83&gt;0,Setup!$G$83+(Setup!$O$83+M$1)*Setup!$M$83,EDATE(Setup!$G$83,(Setup!$O$83+M$1)*Setup!$N$83))&gt;Setup!$P$83,IF(Setup!$M$83&gt;0,Setup!$G$83+(Setup!$O$83+M$1)*Setup!$M$83,EDATE(Setup!$G$83,(Setup!$O$83+M$1)*Setup!$N$83))&lt;Setup!$D$5),"",IF(Setup!$M$83&gt;0,Setup!$G$83+(Setup!$O$83+M$1)*Setup!$M$83,EDATE(Setup!$G$83,(Setup!$O$83+M$1)*Setup!$N$83))+$A60/1000)))</f>
        <v/>
      </c>
      <c r="N60">
        <f>IF(OR(Setup!$E$83="",Setup!$G$83="",Setup!$F$83=""),"",IF(AND(Setup!$F$83="Once",N$1&gt;0),"",IF(OR(IF(Setup!$M$83&gt;0,Setup!$G$83+(Setup!$O$83+N$1)*Setup!$M$83,EDATE(Setup!$G$83,(Setup!$O$83+N$1)*Setup!$N$83))&gt;Setup!$P$83,IF(Setup!$M$83&gt;0,Setup!$G$83+(Setup!$O$83+N$1)*Setup!$M$83,EDATE(Setup!$G$83,(Setup!$O$83+N$1)*Setup!$N$83))&lt;Setup!$D$5),"",IF(Setup!$M$83&gt;0,Setup!$G$83+(Setup!$O$83+N$1)*Setup!$M$83,EDATE(Setup!$G$83,(Setup!$O$83+N$1)*Setup!$N$83))+$A60/1000)))</f>
        <v/>
      </c>
      <c r="O60">
        <f>IF(OR(Setup!$E$83="",Setup!$G$83="",Setup!$F$83=""),"",IF(AND(Setup!$F$83="Once",O$1&gt;0),"",IF(OR(IF(Setup!$M$83&gt;0,Setup!$G$83+(Setup!$O$83+O$1)*Setup!$M$83,EDATE(Setup!$G$83,(Setup!$O$83+O$1)*Setup!$N$83))&gt;Setup!$P$83,IF(Setup!$M$83&gt;0,Setup!$G$83+(Setup!$O$83+O$1)*Setup!$M$83,EDATE(Setup!$G$83,(Setup!$O$83+O$1)*Setup!$N$83))&lt;Setup!$D$5),"",IF(Setup!$M$83&gt;0,Setup!$G$83+(Setup!$O$83+O$1)*Setup!$M$83,EDATE(Setup!$G$83,(Setup!$O$83+O$1)*Setup!$N$83))+$A60/1000)))</f>
        <v/>
      </c>
      <c r="P60">
        <f>IF(OR(Setup!$E$83="",Setup!$G$83="",Setup!$F$83=""),"",IF(AND(Setup!$F$83="Once",P$1&gt;0),"",IF(OR(IF(Setup!$M$83&gt;0,Setup!$G$83+(Setup!$O$83+P$1)*Setup!$M$83,EDATE(Setup!$G$83,(Setup!$O$83+P$1)*Setup!$N$83))&gt;Setup!$P$83,IF(Setup!$M$83&gt;0,Setup!$G$83+(Setup!$O$83+P$1)*Setup!$M$83,EDATE(Setup!$G$83,(Setup!$O$83+P$1)*Setup!$N$83))&lt;Setup!$D$5),"",IF(Setup!$M$83&gt;0,Setup!$G$83+(Setup!$O$83+P$1)*Setup!$M$83,EDATE(Setup!$G$83,(Setup!$O$83+P$1)*Setup!$N$83))+$A60/1000)))</f>
        <v/>
      </c>
      <c r="Q60">
        <f>IF(OR(Setup!$E$83="",Setup!$G$83="",Setup!$F$83=""),"",IF(AND(Setup!$F$83="Once",Q$1&gt;0),"",IF(OR(IF(Setup!$M$83&gt;0,Setup!$G$83+(Setup!$O$83+Q$1)*Setup!$M$83,EDATE(Setup!$G$83,(Setup!$O$83+Q$1)*Setup!$N$83))&gt;Setup!$P$83,IF(Setup!$M$83&gt;0,Setup!$G$83+(Setup!$O$83+Q$1)*Setup!$M$83,EDATE(Setup!$G$83,(Setup!$O$83+Q$1)*Setup!$N$83))&lt;Setup!$D$5),"",IF(Setup!$M$83&gt;0,Setup!$G$83+(Setup!$O$83+Q$1)*Setup!$M$83,EDATE(Setup!$G$83,(Setup!$O$83+Q$1)*Setup!$N$83))+$A60/1000)))</f>
        <v/>
      </c>
      <c r="R60">
        <f>IF(OR(Setup!$E$83="",Setup!$G$83="",Setup!$F$83=""),"",IF(AND(Setup!$F$83="Once",R$1&gt;0),"",IF(OR(IF(Setup!$M$83&gt;0,Setup!$G$83+(Setup!$O$83+R$1)*Setup!$M$83,EDATE(Setup!$G$83,(Setup!$O$83+R$1)*Setup!$N$83))&gt;Setup!$P$83,IF(Setup!$M$83&gt;0,Setup!$G$83+(Setup!$O$83+R$1)*Setup!$M$83,EDATE(Setup!$G$83,(Setup!$O$83+R$1)*Setup!$N$83))&lt;Setup!$D$5),"",IF(Setup!$M$83&gt;0,Setup!$G$83+(Setup!$O$83+R$1)*Setup!$M$83,EDATE(Setup!$G$83,(Setup!$O$83+R$1)*Setup!$N$83))+$A60/1000)))</f>
        <v/>
      </c>
      <c r="S60">
        <f>IF(OR(Setup!$E$83="",Setup!$G$83="",Setup!$F$83=""),"",IF(AND(Setup!$F$83="Once",S$1&gt;0),"",IF(OR(IF(Setup!$M$83&gt;0,Setup!$G$83+(Setup!$O$83+S$1)*Setup!$M$83,EDATE(Setup!$G$83,(Setup!$O$83+S$1)*Setup!$N$83))&gt;Setup!$P$83,IF(Setup!$M$83&gt;0,Setup!$G$83+(Setup!$O$83+S$1)*Setup!$M$83,EDATE(Setup!$G$83,(Setup!$O$83+S$1)*Setup!$N$83))&lt;Setup!$D$5),"",IF(Setup!$M$83&gt;0,Setup!$G$83+(Setup!$O$83+S$1)*Setup!$M$83,EDATE(Setup!$G$83,(Setup!$O$83+S$1)*Setup!$N$83))+$A60/1000)))</f>
        <v/>
      </c>
      <c r="T60">
        <f>IF(OR(Setup!$E$83="",Setup!$G$83="",Setup!$F$83=""),"",IF(AND(Setup!$F$83="Once",T$1&gt;0),"",IF(OR(IF(Setup!$M$83&gt;0,Setup!$G$83+(Setup!$O$83+T$1)*Setup!$M$83,EDATE(Setup!$G$83,(Setup!$O$83+T$1)*Setup!$N$83))&gt;Setup!$P$83,IF(Setup!$M$83&gt;0,Setup!$G$83+(Setup!$O$83+T$1)*Setup!$M$83,EDATE(Setup!$G$83,(Setup!$O$83+T$1)*Setup!$N$83))&lt;Setup!$D$5),"",IF(Setup!$M$83&gt;0,Setup!$G$83+(Setup!$O$83+T$1)*Setup!$M$83,EDATE(Setup!$G$83,(Setup!$O$83+T$1)*Setup!$N$83))+$A60/1000)))</f>
        <v/>
      </c>
      <c r="U60">
        <f>IF(OR(Setup!$E$83="",Setup!$G$83="",Setup!$F$83=""),"",IF(AND(Setup!$F$83="Once",U$1&gt;0),"",IF(OR(IF(Setup!$M$83&gt;0,Setup!$G$83+(Setup!$O$83+U$1)*Setup!$M$83,EDATE(Setup!$G$83,(Setup!$O$83+U$1)*Setup!$N$83))&gt;Setup!$P$83,IF(Setup!$M$83&gt;0,Setup!$G$83+(Setup!$O$83+U$1)*Setup!$M$83,EDATE(Setup!$G$83,(Setup!$O$83+U$1)*Setup!$N$83))&lt;Setup!$D$5),"",IF(Setup!$M$83&gt;0,Setup!$G$83+(Setup!$O$83+U$1)*Setup!$M$83,EDATE(Setup!$G$83,(Setup!$O$83+U$1)*Setup!$N$83))+$A60/1000)))</f>
        <v/>
      </c>
      <c r="V60">
        <f>IF(OR(Setup!$E$83="",Setup!$G$83="",Setup!$F$83=""),"",IF(AND(Setup!$F$83="Once",V$1&gt;0),"",IF(OR(IF(Setup!$M$83&gt;0,Setup!$G$83+(Setup!$O$83+V$1)*Setup!$M$83,EDATE(Setup!$G$83,(Setup!$O$83+V$1)*Setup!$N$83))&gt;Setup!$P$83,IF(Setup!$M$83&gt;0,Setup!$G$83+(Setup!$O$83+V$1)*Setup!$M$83,EDATE(Setup!$G$83,(Setup!$O$83+V$1)*Setup!$N$83))&lt;Setup!$D$5),"",IF(Setup!$M$83&gt;0,Setup!$G$83+(Setup!$O$83+V$1)*Setup!$M$83,EDATE(Setup!$G$83,(Setup!$O$83+V$1)*Setup!$N$83))+$A60/1000)))</f>
        <v/>
      </c>
      <c r="W60">
        <f>IF(OR(Setup!$E$83="",Setup!$G$83="",Setup!$F$83=""),"",IF(AND(Setup!$F$83="Once",W$1&gt;0),"",IF(OR(IF(Setup!$M$83&gt;0,Setup!$G$83+(Setup!$O$83+W$1)*Setup!$M$83,EDATE(Setup!$G$83,(Setup!$O$83+W$1)*Setup!$N$83))&gt;Setup!$P$83,IF(Setup!$M$83&gt;0,Setup!$G$83+(Setup!$O$83+W$1)*Setup!$M$83,EDATE(Setup!$G$83,(Setup!$O$83+W$1)*Setup!$N$83))&lt;Setup!$D$5),"",IF(Setup!$M$83&gt;0,Setup!$G$83+(Setup!$O$83+W$1)*Setup!$M$83,EDATE(Setup!$G$83,(Setup!$O$83+W$1)*Setup!$N$83))+$A60/1000)))</f>
        <v/>
      </c>
      <c r="X60">
        <f>IF(OR(Setup!$E$83="",Setup!$G$83="",Setup!$F$83=""),"",IF(AND(Setup!$F$83="Once",X$1&gt;0),"",IF(OR(IF(Setup!$M$83&gt;0,Setup!$G$83+(Setup!$O$83+X$1)*Setup!$M$83,EDATE(Setup!$G$83,(Setup!$O$83+X$1)*Setup!$N$83))&gt;Setup!$P$83,IF(Setup!$M$83&gt;0,Setup!$G$83+(Setup!$O$83+X$1)*Setup!$M$83,EDATE(Setup!$G$83,(Setup!$O$83+X$1)*Setup!$N$83))&lt;Setup!$D$5),"",IF(Setup!$M$83&gt;0,Setup!$G$83+(Setup!$O$83+X$1)*Setup!$M$83,EDATE(Setup!$G$83,(Setup!$O$83+X$1)*Setup!$N$83))+$A60/1000)))</f>
        <v/>
      </c>
      <c r="Y60">
        <f>IF(OR(Setup!$E$83="",Setup!$G$83="",Setup!$F$83=""),"",IF(AND(Setup!$F$83="Once",Y$1&gt;0),"",IF(OR(IF(Setup!$M$83&gt;0,Setup!$G$83+(Setup!$O$83+Y$1)*Setup!$M$83,EDATE(Setup!$G$83,(Setup!$O$83+Y$1)*Setup!$N$83))&gt;Setup!$P$83,IF(Setup!$M$83&gt;0,Setup!$G$83+(Setup!$O$83+Y$1)*Setup!$M$83,EDATE(Setup!$G$83,(Setup!$O$83+Y$1)*Setup!$N$83))&lt;Setup!$D$5),"",IF(Setup!$M$83&gt;0,Setup!$G$83+(Setup!$O$83+Y$1)*Setup!$M$83,EDATE(Setup!$G$83,(Setup!$O$83+Y$1)*Setup!$N$83))+$A60/1000)))</f>
        <v/>
      </c>
      <c r="Z60">
        <f>IF(OR(Setup!$E$83="",Setup!$G$83="",Setup!$F$83=""),"",IF(AND(Setup!$F$83="Once",Z$1&gt;0),"",IF(OR(IF(Setup!$M$83&gt;0,Setup!$G$83+(Setup!$O$83+Z$1)*Setup!$M$83,EDATE(Setup!$G$83,(Setup!$O$83+Z$1)*Setup!$N$83))&gt;Setup!$P$83,IF(Setup!$M$83&gt;0,Setup!$G$83+(Setup!$O$83+Z$1)*Setup!$M$83,EDATE(Setup!$G$83,(Setup!$O$83+Z$1)*Setup!$N$83))&lt;Setup!$D$5),"",IF(Setup!$M$83&gt;0,Setup!$G$83+(Setup!$O$83+Z$1)*Setup!$M$83,EDATE(Setup!$G$83,(Setup!$O$83+Z$1)*Setup!$N$83))+$A60/1000)))</f>
        <v/>
      </c>
      <c r="AA60">
        <f>IF(OR(Setup!$E$83="",Setup!$G$83="",Setup!$F$83=""),"",IF(AND(Setup!$F$83="Once",AA$1&gt;0),"",IF(OR(IF(Setup!$M$83&gt;0,Setup!$G$83+(Setup!$O$83+AA$1)*Setup!$M$83,EDATE(Setup!$G$83,(Setup!$O$83+AA$1)*Setup!$N$83))&gt;Setup!$P$83,IF(Setup!$M$83&gt;0,Setup!$G$83+(Setup!$O$83+AA$1)*Setup!$M$83,EDATE(Setup!$G$83,(Setup!$O$83+AA$1)*Setup!$N$83))&lt;Setup!$D$5),"",IF(Setup!$M$83&gt;0,Setup!$G$83+(Setup!$O$83+AA$1)*Setup!$M$83,EDATE(Setup!$G$83,(Setup!$O$83+AA$1)*Setup!$N$83))+$A60/1000)))</f>
        <v/>
      </c>
      <c r="AB60">
        <f>IF(OR(Setup!$E$83="",Setup!$G$83="",Setup!$F$83=""),"",IF(AND(Setup!$F$83="Once",AB$1&gt;0),"",IF(OR(IF(Setup!$M$83&gt;0,Setup!$G$83+(Setup!$O$83+AB$1)*Setup!$M$83,EDATE(Setup!$G$83,(Setup!$O$83+AB$1)*Setup!$N$83))&gt;Setup!$P$83,IF(Setup!$M$83&gt;0,Setup!$G$83+(Setup!$O$83+AB$1)*Setup!$M$83,EDATE(Setup!$G$83,(Setup!$O$83+AB$1)*Setup!$N$83))&lt;Setup!$D$5),"",IF(Setup!$M$83&gt;0,Setup!$G$83+(Setup!$O$83+AB$1)*Setup!$M$83,EDATE(Setup!$G$83,(Setup!$O$83+AB$1)*Setup!$N$83))+$A60/1000)))</f>
        <v/>
      </c>
      <c r="AC60">
        <f>IF(OR(Setup!$E$83="",Setup!$G$83="",Setup!$F$83=""),"",IF(AND(Setup!$F$83="Once",AC$1&gt;0),"",IF(OR(IF(Setup!$M$83&gt;0,Setup!$G$83+(Setup!$O$83+AC$1)*Setup!$M$83,EDATE(Setup!$G$83,(Setup!$O$83+AC$1)*Setup!$N$83))&gt;Setup!$P$83,IF(Setup!$M$83&gt;0,Setup!$G$83+(Setup!$O$83+AC$1)*Setup!$M$83,EDATE(Setup!$G$83,(Setup!$O$83+AC$1)*Setup!$N$83))&lt;Setup!$D$5),"",IF(Setup!$M$83&gt;0,Setup!$G$83+(Setup!$O$83+AC$1)*Setup!$M$83,EDATE(Setup!$G$83,(Setup!$O$83+AC$1)*Setup!$N$83))+$A60/1000)))</f>
        <v/>
      </c>
      <c r="AD60">
        <f>IF(OR(Setup!$E$83="",Setup!$G$83="",Setup!$F$83=""),"",IF(AND(Setup!$F$83="Once",AD$1&gt;0),"",IF(OR(IF(Setup!$M$83&gt;0,Setup!$G$83+(Setup!$O$83+AD$1)*Setup!$M$83,EDATE(Setup!$G$83,(Setup!$O$83+AD$1)*Setup!$N$83))&gt;Setup!$P$83,IF(Setup!$M$83&gt;0,Setup!$G$83+(Setup!$O$83+AD$1)*Setup!$M$83,EDATE(Setup!$G$83,(Setup!$O$83+AD$1)*Setup!$N$83))&lt;Setup!$D$5),"",IF(Setup!$M$83&gt;0,Setup!$G$83+(Setup!$O$83+AD$1)*Setup!$M$83,EDATE(Setup!$G$83,(Setup!$O$83+AD$1)*Setup!$N$83))+$A60/1000)))</f>
        <v/>
      </c>
      <c r="AE60">
        <f>IF(OR(Setup!$E$83="",Setup!$G$83="",Setup!$F$83=""),"",IF(AND(Setup!$F$83="Once",AE$1&gt;0),"",IF(OR(IF(Setup!$M$83&gt;0,Setup!$G$83+(Setup!$O$83+AE$1)*Setup!$M$83,EDATE(Setup!$G$83,(Setup!$O$83+AE$1)*Setup!$N$83))&gt;Setup!$P$83,IF(Setup!$M$83&gt;0,Setup!$G$83+(Setup!$O$83+AE$1)*Setup!$M$83,EDATE(Setup!$G$83,(Setup!$O$83+AE$1)*Setup!$N$83))&lt;Setup!$D$5),"",IF(Setup!$M$83&gt;0,Setup!$G$83+(Setup!$O$83+AE$1)*Setup!$M$83,EDATE(Setup!$G$83,(Setup!$O$83+AE$1)*Setup!$N$83))+$A60/1000)))</f>
        <v/>
      </c>
      <c r="AF60">
        <f>IF(OR(Setup!$E$83="",Setup!$G$83="",Setup!$F$83=""),"",IF(AND(Setup!$F$83="Once",AF$1&gt;0),"",IF(OR(IF(Setup!$M$83&gt;0,Setup!$G$83+(Setup!$O$83+AF$1)*Setup!$M$83,EDATE(Setup!$G$83,(Setup!$O$83+AF$1)*Setup!$N$83))&gt;Setup!$P$83,IF(Setup!$M$83&gt;0,Setup!$G$83+(Setup!$O$83+AF$1)*Setup!$M$83,EDATE(Setup!$G$83,(Setup!$O$83+AF$1)*Setup!$N$83))&lt;Setup!$D$5),"",IF(Setup!$M$83&gt;0,Setup!$G$83+(Setup!$O$83+AF$1)*Setup!$M$83,EDATE(Setup!$G$83,(Setup!$O$83+AF$1)*Setup!$N$83))+$A60/1000)))</f>
        <v/>
      </c>
      <c r="AG60">
        <f>IF(OR(Setup!$E$83="",Setup!$G$83="",Setup!$F$83=""),"",IF(AND(Setup!$F$83="Once",AG$1&gt;0),"",IF(OR(IF(Setup!$M$83&gt;0,Setup!$G$83+(Setup!$O$83+AG$1)*Setup!$M$83,EDATE(Setup!$G$83,(Setup!$O$83+AG$1)*Setup!$N$83))&gt;Setup!$P$83,IF(Setup!$M$83&gt;0,Setup!$G$83+(Setup!$O$83+AG$1)*Setup!$M$83,EDATE(Setup!$G$83,(Setup!$O$83+AG$1)*Setup!$N$83))&lt;Setup!$D$5),"",IF(Setup!$M$83&gt;0,Setup!$G$83+(Setup!$O$83+AG$1)*Setup!$M$83,EDATE(Setup!$G$83,(Setup!$O$83+AG$1)*Setup!$N$83))+$A60/1000)))</f>
        <v/>
      </c>
      <c r="AH60">
        <f>IF(OR(Setup!$E$83="",Setup!$G$83="",Setup!$F$83=""),"",IF(AND(Setup!$F$83="Once",AH$1&gt;0),"",IF(OR(IF(Setup!$M$83&gt;0,Setup!$G$83+(Setup!$O$83+AH$1)*Setup!$M$83,EDATE(Setup!$G$83,(Setup!$O$83+AH$1)*Setup!$N$83))&gt;Setup!$P$83,IF(Setup!$M$83&gt;0,Setup!$G$83+(Setup!$O$83+AH$1)*Setup!$M$83,EDATE(Setup!$G$83,(Setup!$O$83+AH$1)*Setup!$N$83))&lt;Setup!$D$5),"",IF(Setup!$M$83&gt;0,Setup!$G$83+(Setup!$O$83+AH$1)*Setup!$M$83,EDATE(Setup!$G$83,(Setup!$O$83+AH$1)*Setup!$N$83))+$A60/1000)))</f>
        <v/>
      </c>
      <c r="AI60">
        <f>IF(OR(Setup!$E$83="",Setup!$G$83="",Setup!$F$83=""),"",IF(AND(Setup!$F$83="Once",AI$1&gt;0),"",IF(OR(IF(Setup!$M$83&gt;0,Setup!$G$83+(Setup!$O$83+AI$1)*Setup!$M$83,EDATE(Setup!$G$83,(Setup!$O$83+AI$1)*Setup!$N$83))&gt;Setup!$P$83,IF(Setup!$M$83&gt;0,Setup!$G$83+(Setup!$O$83+AI$1)*Setup!$M$83,EDATE(Setup!$G$83,(Setup!$O$83+AI$1)*Setup!$N$83))&lt;Setup!$D$5),"",IF(Setup!$M$83&gt;0,Setup!$G$83+(Setup!$O$83+AI$1)*Setup!$M$83,EDATE(Setup!$G$83,(Setup!$O$83+AI$1)*Setup!$N$83))+$A60/1000)))</f>
        <v/>
      </c>
      <c r="AJ60">
        <f>IF(OR(Setup!$E$83="",Setup!$G$83="",Setup!$F$83=""),"",IF(AND(Setup!$F$83="Once",AJ$1&gt;0),"",IF(OR(IF(Setup!$M$83&gt;0,Setup!$G$83+(Setup!$O$83+AJ$1)*Setup!$M$83,EDATE(Setup!$G$83,(Setup!$O$83+AJ$1)*Setup!$N$83))&gt;Setup!$P$83,IF(Setup!$M$83&gt;0,Setup!$G$83+(Setup!$O$83+AJ$1)*Setup!$M$83,EDATE(Setup!$G$83,(Setup!$O$83+AJ$1)*Setup!$N$83))&lt;Setup!$D$5),"",IF(Setup!$M$83&gt;0,Setup!$G$83+(Setup!$O$83+AJ$1)*Setup!$M$83,EDATE(Setup!$G$83,(Setup!$O$83+AJ$1)*Setup!$N$83))+$A60/1000)))</f>
        <v/>
      </c>
      <c r="AK60">
        <f>IF(OR(Setup!$E$83="",Setup!$G$83="",Setup!$F$83=""),"",IF(AND(Setup!$F$83="Once",AK$1&gt;0),"",IF(OR(IF(Setup!$M$83&gt;0,Setup!$G$83+(Setup!$O$83+AK$1)*Setup!$M$83,EDATE(Setup!$G$83,(Setup!$O$83+AK$1)*Setup!$N$83))&gt;Setup!$P$83,IF(Setup!$M$83&gt;0,Setup!$G$83+(Setup!$O$83+AK$1)*Setup!$M$83,EDATE(Setup!$G$83,(Setup!$O$83+AK$1)*Setup!$N$83))&lt;Setup!$D$5),"",IF(Setup!$M$83&gt;0,Setup!$G$83+(Setup!$O$83+AK$1)*Setup!$M$83,EDATE(Setup!$G$83,(Setup!$O$83+AK$1)*Setup!$N$83))+$A60/1000)))</f>
        <v/>
      </c>
      <c r="AL60">
        <f>IF(OR(Setup!$E$83="",Setup!$G$83="",Setup!$F$83=""),"",IF(AND(Setup!$F$83="Once",AL$1&gt;0),"",IF(OR(IF(Setup!$M$83&gt;0,Setup!$G$83+(Setup!$O$83+AL$1)*Setup!$M$83,EDATE(Setup!$G$83,(Setup!$O$83+AL$1)*Setup!$N$83))&gt;Setup!$P$83,IF(Setup!$M$83&gt;0,Setup!$G$83+(Setup!$O$83+AL$1)*Setup!$M$83,EDATE(Setup!$G$83,(Setup!$O$83+AL$1)*Setup!$N$83))&lt;Setup!$D$5),"",IF(Setup!$M$83&gt;0,Setup!$G$83+(Setup!$O$83+AL$1)*Setup!$M$83,EDATE(Setup!$G$83,(Setup!$O$83+AL$1)*Setup!$N$83))+$A60/1000)))</f>
        <v/>
      </c>
      <c r="AM60">
        <f>IF(OR(Setup!$E$83="",Setup!$G$83="",Setup!$F$83=""),"",IF(AND(Setup!$F$83="Once",AM$1&gt;0),"",IF(OR(IF(Setup!$M$83&gt;0,Setup!$G$83+(Setup!$O$83+AM$1)*Setup!$M$83,EDATE(Setup!$G$83,(Setup!$O$83+AM$1)*Setup!$N$83))&gt;Setup!$P$83,IF(Setup!$M$83&gt;0,Setup!$G$83+(Setup!$O$83+AM$1)*Setup!$M$83,EDATE(Setup!$G$83,(Setup!$O$83+AM$1)*Setup!$N$83))&lt;Setup!$D$5),"",IF(Setup!$M$83&gt;0,Setup!$G$83+(Setup!$O$83+AM$1)*Setup!$M$83,EDATE(Setup!$G$83,(Setup!$O$83+AM$1)*Setup!$N$83))+$A60/1000)))</f>
        <v/>
      </c>
      <c r="AN60">
        <f>IF(OR(Setup!$E$83="",Setup!$G$83="",Setup!$F$83=""),"",IF(AND(Setup!$F$83="Once",AN$1&gt;0),"",IF(OR(IF(Setup!$M$83&gt;0,Setup!$G$83+(Setup!$O$83+AN$1)*Setup!$M$83,EDATE(Setup!$G$83,(Setup!$O$83+AN$1)*Setup!$N$83))&gt;Setup!$P$83,IF(Setup!$M$83&gt;0,Setup!$G$83+(Setup!$O$83+AN$1)*Setup!$M$83,EDATE(Setup!$G$83,(Setup!$O$83+AN$1)*Setup!$N$83))&lt;Setup!$D$5),"",IF(Setup!$M$83&gt;0,Setup!$G$83+(Setup!$O$83+AN$1)*Setup!$M$83,EDATE(Setup!$G$83,(Setup!$O$83+AN$1)*Setup!$N$83))+$A60/1000)))</f>
        <v/>
      </c>
      <c r="AO60">
        <f>IF(OR(Setup!$E$83="",Setup!$G$83="",Setup!$F$83=""),"",IF(AND(Setup!$F$83="Once",AO$1&gt;0),"",IF(OR(IF(Setup!$M$83&gt;0,Setup!$G$83+(Setup!$O$83+AO$1)*Setup!$M$83,EDATE(Setup!$G$83,(Setup!$O$83+AO$1)*Setup!$N$83))&gt;Setup!$P$83,IF(Setup!$M$83&gt;0,Setup!$G$83+(Setup!$O$83+AO$1)*Setup!$M$83,EDATE(Setup!$G$83,(Setup!$O$83+AO$1)*Setup!$N$83))&lt;Setup!$D$5),"",IF(Setup!$M$83&gt;0,Setup!$G$83+(Setup!$O$83+AO$1)*Setup!$M$83,EDATE(Setup!$G$83,(Setup!$O$83+AO$1)*Setup!$N$83))+$A60/1000)))</f>
        <v/>
      </c>
      <c r="AP60">
        <f>IF(OR(Setup!$E$83="",Setup!$G$83="",Setup!$F$83=""),"",IF(AND(Setup!$F$83="Once",AP$1&gt;0),"",IF(OR(IF(Setup!$M$83&gt;0,Setup!$G$83+(Setup!$O$83+AP$1)*Setup!$M$83,EDATE(Setup!$G$83,(Setup!$O$83+AP$1)*Setup!$N$83))&gt;Setup!$P$83,IF(Setup!$M$83&gt;0,Setup!$G$83+(Setup!$O$83+AP$1)*Setup!$M$83,EDATE(Setup!$G$83,(Setup!$O$83+AP$1)*Setup!$N$83))&lt;Setup!$D$5),"",IF(Setup!$M$83&gt;0,Setup!$G$83+(Setup!$O$83+AP$1)*Setup!$M$83,EDATE(Setup!$G$83,(Setup!$O$83+AP$1)*Setup!$N$83))+$A60/1000)))</f>
        <v/>
      </c>
      <c r="AQ60">
        <f>IF(OR(Setup!$E$83="",Setup!$G$83="",Setup!$F$83=""),"",IF(AND(Setup!$F$83="Once",AQ$1&gt;0),"",IF(OR(IF(Setup!$M$83&gt;0,Setup!$G$83+(Setup!$O$83+AQ$1)*Setup!$M$83,EDATE(Setup!$G$83,(Setup!$O$83+AQ$1)*Setup!$N$83))&gt;Setup!$P$83,IF(Setup!$M$83&gt;0,Setup!$G$83+(Setup!$O$83+AQ$1)*Setup!$M$83,EDATE(Setup!$G$83,(Setup!$O$83+AQ$1)*Setup!$N$83))&lt;Setup!$D$5),"",IF(Setup!$M$83&gt;0,Setup!$G$83+(Setup!$O$83+AQ$1)*Setup!$M$83,EDATE(Setup!$G$83,(Setup!$O$83+AQ$1)*Setup!$N$83))+$A60/1000)))</f>
        <v/>
      </c>
      <c r="AR60">
        <f>IF(OR(Setup!$E$83="",Setup!$G$83="",Setup!$F$83=""),"",IF(AND(Setup!$F$83="Once",AR$1&gt;0),"",IF(OR(IF(Setup!$M$83&gt;0,Setup!$G$83+(Setup!$O$83+AR$1)*Setup!$M$83,EDATE(Setup!$G$83,(Setup!$O$83+AR$1)*Setup!$N$83))&gt;Setup!$P$83,IF(Setup!$M$83&gt;0,Setup!$G$83+(Setup!$O$83+AR$1)*Setup!$M$83,EDATE(Setup!$G$83,(Setup!$O$83+AR$1)*Setup!$N$83))&lt;Setup!$D$5),"",IF(Setup!$M$83&gt;0,Setup!$G$83+(Setup!$O$83+AR$1)*Setup!$M$83,EDATE(Setup!$G$83,(Setup!$O$83+AR$1)*Setup!$N$83))+$A60/1000)))</f>
        <v/>
      </c>
      <c r="AS60">
        <f>IF(OR(Setup!$E$83="",Setup!$G$83="",Setup!$F$83=""),"",IF(AND(Setup!$F$83="Once",AS$1&gt;0),"",IF(OR(IF(Setup!$M$83&gt;0,Setup!$G$83+(Setup!$O$83+AS$1)*Setup!$M$83,EDATE(Setup!$G$83,(Setup!$O$83+AS$1)*Setup!$N$83))&gt;Setup!$P$83,IF(Setup!$M$83&gt;0,Setup!$G$83+(Setup!$O$83+AS$1)*Setup!$M$83,EDATE(Setup!$G$83,(Setup!$O$83+AS$1)*Setup!$N$83))&lt;Setup!$D$5),"",IF(Setup!$M$83&gt;0,Setup!$G$83+(Setup!$O$83+AS$1)*Setup!$M$83,EDATE(Setup!$G$83,(Setup!$O$83+AS$1)*Setup!$N$83))+$A60/1000)))</f>
        <v/>
      </c>
      <c r="AT60">
        <f>IF(OR(Setup!$E$83="",Setup!$G$83="",Setup!$F$83=""),"",IF(AND(Setup!$F$83="Once",AT$1&gt;0),"",IF(OR(IF(Setup!$M$83&gt;0,Setup!$G$83+(Setup!$O$83+AT$1)*Setup!$M$83,EDATE(Setup!$G$83,(Setup!$O$83+AT$1)*Setup!$N$83))&gt;Setup!$P$83,IF(Setup!$M$83&gt;0,Setup!$G$83+(Setup!$O$83+AT$1)*Setup!$M$83,EDATE(Setup!$G$83,(Setup!$O$83+AT$1)*Setup!$N$83))&lt;Setup!$D$5),"",IF(Setup!$M$83&gt;0,Setup!$G$83+(Setup!$O$83+AT$1)*Setup!$M$83,EDATE(Setup!$G$83,(Setup!$O$83+AT$1)*Setup!$N$83))+$A60/1000)))</f>
        <v/>
      </c>
      <c r="AU60">
        <f>IF(OR(Setup!$E$83="",Setup!$G$83="",Setup!$F$83=""),"",IF(AND(Setup!$F$83="Once",AU$1&gt;0),"",IF(OR(IF(Setup!$M$83&gt;0,Setup!$G$83+(Setup!$O$83+AU$1)*Setup!$M$83,EDATE(Setup!$G$83,(Setup!$O$83+AU$1)*Setup!$N$83))&gt;Setup!$P$83,IF(Setup!$M$83&gt;0,Setup!$G$83+(Setup!$O$83+AU$1)*Setup!$M$83,EDATE(Setup!$G$83,(Setup!$O$83+AU$1)*Setup!$N$83))&lt;Setup!$D$5),"",IF(Setup!$M$83&gt;0,Setup!$G$83+(Setup!$O$83+AU$1)*Setup!$M$83,EDATE(Setup!$G$83,(Setup!$O$83+AU$1)*Setup!$N$83))+$A60/1000)))</f>
        <v/>
      </c>
      <c r="AV60">
        <f>IF(OR(Setup!$E$83="",Setup!$G$83="",Setup!$F$83=""),"",IF(AND(Setup!$F$83="Once",AV$1&gt;0),"",IF(OR(IF(Setup!$M$83&gt;0,Setup!$G$83+(Setup!$O$83+AV$1)*Setup!$M$83,EDATE(Setup!$G$83,(Setup!$O$83+AV$1)*Setup!$N$83))&gt;Setup!$P$83,IF(Setup!$M$83&gt;0,Setup!$G$83+(Setup!$O$83+AV$1)*Setup!$M$83,EDATE(Setup!$G$83,(Setup!$O$83+AV$1)*Setup!$N$83))&lt;Setup!$D$5),"",IF(Setup!$M$83&gt;0,Setup!$G$83+(Setup!$O$83+AV$1)*Setup!$M$83,EDATE(Setup!$G$83,(Setup!$O$83+AV$1)*Setup!$N$83))+$A60/1000)))</f>
        <v/>
      </c>
      <c r="AW60">
        <f>IF(OR(Setup!$E$83="",Setup!$G$83="",Setup!$F$83=""),"",IF(AND(Setup!$F$83="Once",AW$1&gt;0),"",IF(OR(IF(Setup!$M$83&gt;0,Setup!$G$83+(Setup!$O$83+AW$1)*Setup!$M$83,EDATE(Setup!$G$83,(Setup!$O$83+AW$1)*Setup!$N$83))&gt;Setup!$P$83,IF(Setup!$M$83&gt;0,Setup!$G$83+(Setup!$O$83+AW$1)*Setup!$M$83,EDATE(Setup!$G$83,(Setup!$O$83+AW$1)*Setup!$N$83))&lt;Setup!$D$5),"",IF(Setup!$M$83&gt;0,Setup!$G$83+(Setup!$O$83+AW$1)*Setup!$M$83,EDATE(Setup!$G$83,(Setup!$O$83+AW$1)*Setup!$N$83))+$A60/1000)))</f>
        <v/>
      </c>
      <c r="AX60">
        <f>IF(OR(Setup!$E$83="",Setup!$G$83="",Setup!$F$83=""),"",IF(AND(Setup!$F$83="Once",AX$1&gt;0),"",IF(OR(IF(Setup!$M$83&gt;0,Setup!$G$83+(Setup!$O$83+AX$1)*Setup!$M$83,EDATE(Setup!$G$83,(Setup!$O$83+AX$1)*Setup!$N$83))&gt;Setup!$P$83,IF(Setup!$M$83&gt;0,Setup!$G$83+(Setup!$O$83+AX$1)*Setup!$M$83,EDATE(Setup!$G$83,(Setup!$O$83+AX$1)*Setup!$N$83))&lt;Setup!$D$5),"",IF(Setup!$M$83&gt;0,Setup!$G$83+(Setup!$O$83+AX$1)*Setup!$M$83,EDATE(Setup!$G$83,(Setup!$O$83+AX$1)*Setup!$N$83))+$A60/1000)))</f>
        <v/>
      </c>
      <c r="AY60">
        <f>IF(OR(Setup!$E$83="",Setup!$G$83="",Setup!$F$83=""),"",IF(AND(Setup!$F$83="Once",AY$1&gt;0),"",IF(OR(IF(Setup!$M$83&gt;0,Setup!$G$83+(Setup!$O$83+AY$1)*Setup!$M$83,EDATE(Setup!$G$83,(Setup!$O$83+AY$1)*Setup!$N$83))&gt;Setup!$P$83,IF(Setup!$M$83&gt;0,Setup!$G$83+(Setup!$O$83+AY$1)*Setup!$M$83,EDATE(Setup!$G$83,(Setup!$O$83+AY$1)*Setup!$N$83))&lt;Setup!$D$5),"",IF(Setup!$M$83&gt;0,Setup!$G$83+(Setup!$O$83+AY$1)*Setup!$M$83,EDATE(Setup!$G$83,(Setup!$O$83+AY$1)*Setup!$N$83))+$A60/1000)))</f>
        <v/>
      </c>
      <c r="AZ60">
        <f>IF(OR(Setup!$E$83="",Setup!$G$83="",Setup!$F$83=""),"",IF(AND(Setup!$F$83="Once",AZ$1&gt;0),"",IF(OR(IF(Setup!$M$83&gt;0,Setup!$G$83+(Setup!$O$83+AZ$1)*Setup!$M$83,EDATE(Setup!$G$83,(Setup!$O$83+AZ$1)*Setup!$N$83))&gt;Setup!$P$83,IF(Setup!$M$83&gt;0,Setup!$G$83+(Setup!$O$83+AZ$1)*Setup!$M$83,EDATE(Setup!$G$83,(Setup!$O$83+AZ$1)*Setup!$N$83))&lt;Setup!$D$5),"",IF(Setup!$M$83&gt;0,Setup!$G$83+(Setup!$O$83+AZ$1)*Setup!$M$83,EDATE(Setup!$G$83,(Setup!$O$83+AZ$1)*Setup!$N$83))+$A60/1000)))</f>
        <v/>
      </c>
      <c r="BA60">
        <f>IF(OR(Setup!$E$83="",Setup!$G$83="",Setup!$F$83=""),"",IF(AND(Setup!$F$83="Once",BA$1&gt;0),"",IF(OR(IF(Setup!$M$83&gt;0,Setup!$G$83+(Setup!$O$83+BA$1)*Setup!$M$83,EDATE(Setup!$G$83,(Setup!$O$83+BA$1)*Setup!$N$83))&gt;Setup!$P$83,IF(Setup!$M$83&gt;0,Setup!$G$83+(Setup!$O$83+BA$1)*Setup!$M$83,EDATE(Setup!$G$83,(Setup!$O$83+BA$1)*Setup!$N$83))&lt;Setup!$D$5),"",IF(Setup!$M$83&gt;0,Setup!$G$83+(Setup!$O$83+BA$1)*Setup!$M$83,EDATE(Setup!$G$83,(Setup!$O$83+BA$1)*Setup!$N$83))+$A60/1000)))</f>
        <v/>
      </c>
      <c r="BB60">
        <f>IF(OR(Setup!$E$83="",Setup!$G$83="",Setup!$F$83=""),"",IF(AND(Setup!$F$83="Once",BB$1&gt;0),"",IF(OR(IF(Setup!$M$83&gt;0,Setup!$G$83+(Setup!$O$83+BB$1)*Setup!$M$83,EDATE(Setup!$G$83,(Setup!$O$83+BB$1)*Setup!$N$83))&gt;Setup!$P$83,IF(Setup!$M$83&gt;0,Setup!$G$83+(Setup!$O$83+BB$1)*Setup!$M$83,EDATE(Setup!$G$83,(Setup!$O$83+BB$1)*Setup!$N$83))&lt;Setup!$D$5),"",IF(Setup!$M$83&gt;0,Setup!$G$83+(Setup!$O$83+BB$1)*Setup!$M$83,EDATE(Setup!$G$83,(Setup!$O$83+BB$1)*Setup!$N$83))+$A60/1000)))</f>
        <v/>
      </c>
    </row>
    <row r="61">
      <c r="A61" t="n">
        <v>60</v>
      </c>
      <c r="B61">
        <f>IF(OR(Setup!$E$84="",Setup!$G$84="",Setup!$F$84=""),"",IF(AND(Setup!$F$84="Once",B$1&gt;0),"",IF(OR(IF(Setup!$M$84&gt;0,Setup!$G$84+(Setup!$O$84+B$1)*Setup!$M$84,EDATE(Setup!$G$84,(Setup!$O$84+B$1)*Setup!$N$84))&gt;Setup!$P$84,IF(Setup!$M$84&gt;0,Setup!$G$84+(Setup!$O$84+B$1)*Setup!$M$84,EDATE(Setup!$G$84,(Setup!$O$84+B$1)*Setup!$N$84))&lt;Setup!$D$5),"",IF(Setup!$M$84&gt;0,Setup!$G$84+(Setup!$O$84+B$1)*Setup!$M$84,EDATE(Setup!$G$84,(Setup!$O$84+B$1)*Setup!$N$84))+$A61/1000)))</f>
        <v/>
      </c>
      <c r="C61">
        <f>IF(OR(Setup!$E$84="",Setup!$G$84="",Setup!$F$84=""),"",IF(AND(Setup!$F$84="Once",C$1&gt;0),"",IF(OR(IF(Setup!$M$84&gt;0,Setup!$G$84+(Setup!$O$84+C$1)*Setup!$M$84,EDATE(Setup!$G$84,(Setup!$O$84+C$1)*Setup!$N$84))&gt;Setup!$P$84,IF(Setup!$M$84&gt;0,Setup!$G$84+(Setup!$O$84+C$1)*Setup!$M$84,EDATE(Setup!$G$84,(Setup!$O$84+C$1)*Setup!$N$84))&lt;Setup!$D$5),"",IF(Setup!$M$84&gt;0,Setup!$G$84+(Setup!$O$84+C$1)*Setup!$M$84,EDATE(Setup!$G$84,(Setup!$O$84+C$1)*Setup!$N$84))+$A61/1000)))</f>
        <v/>
      </c>
      <c r="D61">
        <f>IF(OR(Setup!$E$84="",Setup!$G$84="",Setup!$F$84=""),"",IF(AND(Setup!$F$84="Once",D$1&gt;0),"",IF(OR(IF(Setup!$M$84&gt;0,Setup!$G$84+(Setup!$O$84+D$1)*Setup!$M$84,EDATE(Setup!$G$84,(Setup!$O$84+D$1)*Setup!$N$84))&gt;Setup!$P$84,IF(Setup!$M$84&gt;0,Setup!$G$84+(Setup!$O$84+D$1)*Setup!$M$84,EDATE(Setup!$G$84,(Setup!$O$84+D$1)*Setup!$N$84))&lt;Setup!$D$5),"",IF(Setup!$M$84&gt;0,Setup!$G$84+(Setup!$O$84+D$1)*Setup!$M$84,EDATE(Setup!$G$84,(Setup!$O$84+D$1)*Setup!$N$84))+$A61/1000)))</f>
        <v/>
      </c>
      <c r="E61">
        <f>IF(OR(Setup!$E$84="",Setup!$G$84="",Setup!$F$84=""),"",IF(AND(Setup!$F$84="Once",E$1&gt;0),"",IF(OR(IF(Setup!$M$84&gt;0,Setup!$G$84+(Setup!$O$84+E$1)*Setup!$M$84,EDATE(Setup!$G$84,(Setup!$O$84+E$1)*Setup!$N$84))&gt;Setup!$P$84,IF(Setup!$M$84&gt;0,Setup!$G$84+(Setup!$O$84+E$1)*Setup!$M$84,EDATE(Setup!$G$84,(Setup!$O$84+E$1)*Setup!$N$84))&lt;Setup!$D$5),"",IF(Setup!$M$84&gt;0,Setup!$G$84+(Setup!$O$84+E$1)*Setup!$M$84,EDATE(Setup!$G$84,(Setup!$O$84+E$1)*Setup!$N$84))+$A61/1000)))</f>
        <v/>
      </c>
      <c r="F61">
        <f>IF(OR(Setup!$E$84="",Setup!$G$84="",Setup!$F$84=""),"",IF(AND(Setup!$F$84="Once",F$1&gt;0),"",IF(OR(IF(Setup!$M$84&gt;0,Setup!$G$84+(Setup!$O$84+F$1)*Setup!$M$84,EDATE(Setup!$G$84,(Setup!$O$84+F$1)*Setup!$N$84))&gt;Setup!$P$84,IF(Setup!$M$84&gt;0,Setup!$G$84+(Setup!$O$84+F$1)*Setup!$M$84,EDATE(Setup!$G$84,(Setup!$O$84+F$1)*Setup!$N$84))&lt;Setup!$D$5),"",IF(Setup!$M$84&gt;0,Setup!$G$84+(Setup!$O$84+F$1)*Setup!$M$84,EDATE(Setup!$G$84,(Setup!$O$84+F$1)*Setup!$N$84))+$A61/1000)))</f>
        <v/>
      </c>
      <c r="G61">
        <f>IF(OR(Setup!$E$84="",Setup!$G$84="",Setup!$F$84=""),"",IF(AND(Setup!$F$84="Once",G$1&gt;0),"",IF(OR(IF(Setup!$M$84&gt;0,Setup!$G$84+(Setup!$O$84+G$1)*Setup!$M$84,EDATE(Setup!$G$84,(Setup!$O$84+G$1)*Setup!$N$84))&gt;Setup!$P$84,IF(Setup!$M$84&gt;0,Setup!$G$84+(Setup!$O$84+G$1)*Setup!$M$84,EDATE(Setup!$G$84,(Setup!$O$84+G$1)*Setup!$N$84))&lt;Setup!$D$5),"",IF(Setup!$M$84&gt;0,Setup!$G$84+(Setup!$O$84+G$1)*Setup!$M$84,EDATE(Setup!$G$84,(Setup!$O$84+G$1)*Setup!$N$84))+$A61/1000)))</f>
        <v/>
      </c>
      <c r="H61">
        <f>IF(OR(Setup!$E$84="",Setup!$G$84="",Setup!$F$84=""),"",IF(AND(Setup!$F$84="Once",H$1&gt;0),"",IF(OR(IF(Setup!$M$84&gt;0,Setup!$G$84+(Setup!$O$84+H$1)*Setup!$M$84,EDATE(Setup!$G$84,(Setup!$O$84+H$1)*Setup!$N$84))&gt;Setup!$P$84,IF(Setup!$M$84&gt;0,Setup!$G$84+(Setup!$O$84+H$1)*Setup!$M$84,EDATE(Setup!$G$84,(Setup!$O$84+H$1)*Setup!$N$84))&lt;Setup!$D$5),"",IF(Setup!$M$84&gt;0,Setup!$G$84+(Setup!$O$84+H$1)*Setup!$M$84,EDATE(Setup!$G$84,(Setup!$O$84+H$1)*Setup!$N$84))+$A61/1000)))</f>
        <v/>
      </c>
      <c r="I61">
        <f>IF(OR(Setup!$E$84="",Setup!$G$84="",Setup!$F$84=""),"",IF(AND(Setup!$F$84="Once",I$1&gt;0),"",IF(OR(IF(Setup!$M$84&gt;0,Setup!$G$84+(Setup!$O$84+I$1)*Setup!$M$84,EDATE(Setup!$G$84,(Setup!$O$84+I$1)*Setup!$N$84))&gt;Setup!$P$84,IF(Setup!$M$84&gt;0,Setup!$G$84+(Setup!$O$84+I$1)*Setup!$M$84,EDATE(Setup!$G$84,(Setup!$O$84+I$1)*Setup!$N$84))&lt;Setup!$D$5),"",IF(Setup!$M$84&gt;0,Setup!$G$84+(Setup!$O$84+I$1)*Setup!$M$84,EDATE(Setup!$G$84,(Setup!$O$84+I$1)*Setup!$N$84))+$A61/1000)))</f>
        <v/>
      </c>
      <c r="J61">
        <f>IF(OR(Setup!$E$84="",Setup!$G$84="",Setup!$F$84=""),"",IF(AND(Setup!$F$84="Once",J$1&gt;0),"",IF(OR(IF(Setup!$M$84&gt;0,Setup!$G$84+(Setup!$O$84+J$1)*Setup!$M$84,EDATE(Setup!$G$84,(Setup!$O$84+J$1)*Setup!$N$84))&gt;Setup!$P$84,IF(Setup!$M$84&gt;0,Setup!$G$84+(Setup!$O$84+J$1)*Setup!$M$84,EDATE(Setup!$G$84,(Setup!$O$84+J$1)*Setup!$N$84))&lt;Setup!$D$5),"",IF(Setup!$M$84&gt;0,Setup!$G$84+(Setup!$O$84+J$1)*Setup!$M$84,EDATE(Setup!$G$84,(Setup!$O$84+J$1)*Setup!$N$84))+$A61/1000)))</f>
        <v/>
      </c>
      <c r="K61">
        <f>IF(OR(Setup!$E$84="",Setup!$G$84="",Setup!$F$84=""),"",IF(AND(Setup!$F$84="Once",K$1&gt;0),"",IF(OR(IF(Setup!$M$84&gt;0,Setup!$G$84+(Setup!$O$84+K$1)*Setup!$M$84,EDATE(Setup!$G$84,(Setup!$O$84+K$1)*Setup!$N$84))&gt;Setup!$P$84,IF(Setup!$M$84&gt;0,Setup!$G$84+(Setup!$O$84+K$1)*Setup!$M$84,EDATE(Setup!$G$84,(Setup!$O$84+K$1)*Setup!$N$84))&lt;Setup!$D$5),"",IF(Setup!$M$84&gt;0,Setup!$G$84+(Setup!$O$84+K$1)*Setup!$M$84,EDATE(Setup!$G$84,(Setup!$O$84+K$1)*Setup!$N$84))+$A61/1000)))</f>
        <v/>
      </c>
      <c r="L61">
        <f>IF(OR(Setup!$E$84="",Setup!$G$84="",Setup!$F$84=""),"",IF(AND(Setup!$F$84="Once",L$1&gt;0),"",IF(OR(IF(Setup!$M$84&gt;0,Setup!$G$84+(Setup!$O$84+L$1)*Setup!$M$84,EDATE(Setup!$G$84,(Setup!$O$84+L$1)*Setup!$N$84))&gt;Setup!$P$84,IF(Setup!$M$84&gt;0,Setup!$G$84+(Setup!$O$84+L$1)*Setup!$M$84,EDATE(Setup!$G$84,(Setup!$O$84+L$1)*Setup!$N$84))&lt;Setup!$D$5),"",IF(Setup!$M$84&gt;0,Setup!$G$84+(Setup!$O$84+L$1)*Setup!$M$84,EDATE(Setup!$G$84,(Setup!$O$84+L$1)*Setup!$N$84))+$A61/1000)))</f>
        <v/>
      </c>
      <c r="M61">
        <f>IF(OR(Setup!$E$84="",Setup!$G$84="",Setup!$F$84=""),"",IF(AND(Setup!$F$84="Once",M$1&gt;0),"",IF(OR(IF(Setup!$M$84&gt;0,Setup!$G$84+(Setup!$O$84+M$1)*Setup!$M$84,EDATE(Setup!$G$84,(Setup!$O$84+M$1)*Setup!$N$84))&gt;Setup!$P$84,IF(Setup!$M$84&gt;0,Setup!$G$84+(Setup!$O$84+M$1)*Setup!$M$84,EDATE(Setup!$G$84,(Setup!$O$84+M$1)*Setup!$N$84))&lt;Setup!$D$5),"",IF(Setup!$M$84&gt;0,Setup!$G$84+(Setup!$O$84+M$1)*Setup!$M$84,EDATE(Setup!$G$84,(Setup!$O$84+M$1)*Setup!$N$84))+$A61/1000)))</f>
        <v/>
      </c>
      <c r="N61">
        <f>IF(OR(Setup!$E$84="",Setup!$G$84="",Setup!$F$84=""),"",IF(AND(Setup!$F$84="Once",N$1&gt;0),"",IF(OR(IF(Setup!$M$84&gt;0,Setup!$G$84+(Setup!$O$84+N$1)*Setup!$M$84,EDATE(Setup!$G$84,(Setup!$O$84+N$1)*Setup!$N$84))&gt;Setup!$P$84,IF(Setup!$M$84&gt;0,Setup!$G$84+(Setup!$O$84+N$1)*Setup!$M$84,EDATE(Setup!$G$84,(Setup!$O$84+N$1)*Setup!$N$84))&lt;Setup!$D$5),"",IF(Setup!$M$84&gt;0,Setup!$G$84+(Setup!$O$84+N$1)*Setup!$M$84,EDATE(Setup!$G$84,(Setup!$O$84+N$1)*Setup!$N$84))+$A61/1000)))</f>
        <v/>
      </c>
      <c r="O61">
        <f>IF(OR(Setup!$E$84="",Setup!$G$84="",Setup!$F$84=""),"",IF(AND(Setup!$F$84="Once",O$1&gt;0),"",IF(OR(IF(Setup!$M$84&gt;0,Setup!$G$84+(Setup!$O$84+O$1)*Setup!$M$84,EDATE(Setup!$G$84,(Setup!$O$84+O$1)*Setup!$N$84))&gt;Setup!$P$84,IF(Setup!$M$84&gt;0,Setup!$G$84+(Setup!$O$84+O$1)*Setup!$M$84,EDATE(Setup!$G$84,(Setup!$O$84+O$1)*Setup!$N$84))&lt;Setup!$D$5),"",IF(Setup!$M$84&gt;0,Setup!$G$84+(Setup!$O$84+O$1)*Setup!$M$84,EDATE(Setup!$G$84,(Setup!$O$84+O$1)*Setup!$N$84))+$A61/1000)))</f>
        <v/>
      </c>
      <c r="P61">
        <f>IF(OR(Setup!$E$84="",Setup!$G$84="",Setup!$F$84=""),"",IF(AND(Setup!$F$84="Once",P$1&gt;0),"",IF(OR(IF(Setup!$M$84&gt;0,Setup!$G$84+(Setup!$O$84+P$1)*Setup!$M$84,EDATE(Setup!$G$84,(Setup!$O$84+P$1)*Setup!$N$84))&gt;Setup!$P$84,IF(Setup!$M$84&gt;0,Setup!$G$84+(Setup!$O$84+P$1)*Setup!$M$84,EDATE(Setup!$G$84,(Setup!$O$84+P$1)*Setup!$N$84))&lt;Setup!$D$5),"",IF(Setup!$M$84&gt;0,Setup!$G$84+(Setup!$O$84+P$1)*Setup!$M$84,EDATE(Setup!$G$84,(Setup!$O$84+P$1)*Setup!$N$84))+$A61/1000)))</f>
        <v/>
      </c>
      <c r="Q61">
        <f>IF(OR(Setup!$E$84="",Setup!$G$84="",Setup!$F$84=""),"",IF(AND(Setup!$F$84="Once",Q$1&gt;0),"",IF(OR(IF(Setup!$M$84&gt;0,Setup!$G$84+(Setup!$O$84+Q$1)*Setup!$M$84,EDATE(Setup!$G$84,(Setup!$O$84+Q$1)*Setup!$N$84))&gt;Setup!$P$84,IF(Setup!$M$84&gt;0,Setup!$G$84+(Setup!$O$84+Q$1)*Setup!$M$84,EDATE(Setup!$G$84,(Setup!$O$84+Q$1)*Setup!$N$84))&lt;Setup!$D$5),"",IF(Setup!$M$84&gt;0,Setup!$G$84+(Setup!$O$84+Q$1)*Setup!$M$84,EDATE(Setup!$G$84,(Setup!$O$84+Q$1)*Setup!$N$84))+$A61/1000)))</f>
        <v/>
      </c>
      <c r="R61">
        <f>IF(OR(Setup!$E$84="",Setup!$G$84="",Setup!$F$84=""),"",IF(AND(Setup!$F$84="Once",R$1&gt;0),"",IF(OR(IF(Setup!$M$84&gt;0,Setup!$G$84+(Setup!$O$84+R$1)*Setup!$M$84,EDATE(Setup!$G$84,(Setup!$O$84+R$1)*Setup!$N$84))&gt;Setup!$P$84,IF(Setup!$M$84&gt;0,Setup!$G$84+(Setup!$O$84+R$1)*Setup!$M$84,EDATE(Setup!$G$84,(Setup!$O$84+R$1)*Setup!$N$84))&lt;Setup!$D$5),"",IF(Setup!$M$84&gt;0,Setup!$G$84+(Setup!$O$84+R$1)*Setup!$M$84,EDATE(Setup!$G$84,(Setup!$O$84+R$1)*Setup!$N$84))+$A61/1000)))</f>
        <v/>
      </c>
      <c r="S61">
        <f>IF(OR(Setup!$E$84="",Setup!$G$84="",Setup!$F$84=""),"",IF(AND(Setup!$F$84="Once",S$1&gt;0),"",IF(OR(IF(Setup!$M$84&gt;0,Setup!$G$84+(Setup!$O$84+S$1)*Setup!$M$84,EDATE(Setup!$G$84,(Setup!$O$84+S$1)*Setup!$N$84))&gt;Setup!$P$84,IF(Setup!$M$84&gt;0,Setup!$G$84+(Setup!$O$84+S$1)*Setup!$M$84,EDATE(Setup!$G$84,(Setup!$O$84+S$1)*Setup!$N$84))&lt;Setup!$D$5),"",IF(Setup!$M$84&gt;0,Setup!$G$84+(Setup!$O$84+S$1)*Setup!$M$84,EDATE(Setup!$G$84,(Setup!$O$84+S$1)*Setup!$N$84))+$A61/1000)))</f>
        <v/>
      </c>
      <c r="T61">
        <f>IF(OR(Setup!$E$84="",Setup!$G$84="",Setup!$F$84=""),"",IF(AND(Setup!$F$84="Once",T$1&gt;0),"",IF(OR(IF(Setup!$M$84&gt;0,Setup!$G$84+(Setup!$O$84+T$1)*Setup!$M$84,EDATE(Setup!$G$84,(Setup!$O$84+T$1)*Setup!$N$84))&gt;Setup!$P$84,IF(Setup!$M$84&gt;0,Setup!$G$84+(Setup!$O$84+T$1)*Setup!$M$84,EDATE(Setup!$G$84,(Setup!$O$84+T$1)*Setup!$N$84))&lt;Setup!$D$5),"",IF(Setup!$M$84&gt;0,Setup!$G$84+(Setup!$O$84+T$1)*Setup!$M$84,EDATE(Setup!$G$84,(Setup!$O$84+T$1)*Setup!$N$84))+$A61/1000)))</f>
        <v/>
      </c>
      <c r="U61">
        <f>IF(OR(Setup!$E$84="",Setup!$G$84="",Setup!$F$84=""),"",IF(AND(Setup!$F$84="Once",U$1&gt;0),"",IF(OR(IF(Setup!$M$84&gt;0,Setup!$G$84+(Setup!$O$84+U$1)*Setup!$M$84,EDATE(Setup!$G$84,(Setup!$O$84+U$1)*Setup!$N$84))&gt;Setup!$P$84,IF(Setup!$M$84&gt;0,Setup!$G$84+(Setup!$O$84+U$1)*Setup!$M$84,EDATE(Setup!$G$84,(Setup!$O$84+U$1)*Setup!$N$84))&lt;Setup!$D$5),"",IF(Setup!$M$84&gt;0,Setup!$G$84+(Setup!$O$84+U$1)*Setup!$M$84,EDATE(Setup!$G$84,(Setup!$O$84+U$1)*Setup!$N$84))+$A61/1000)))</f>
        <v/>
      </c>
      <c r="V61">
        <f>IF(OR(Setup!$E$84="",Setup!$G$84="",Setup!$F$84=""),"",IF(AND(Setup!$F$84="Once",V$1&gt;0),"",IF(OR(IF(Setup!$M$84&gt;0,Setup!$G$84+(Setup!$O$84+V$1)*Setup!$M$84,EDATE(Setup!$G$84,(Setup!$O$84+V$1)*Setup!$N$84))&gt;Setup!$P$84,IF(Setup!$M$84&gt;0,Setup!$G$84+(Setup!$O$84+V$1)*Setup!$M$84,EDATE(Setup!$G$84,(Setup!$O$84+V$1)*Setup!$N$84))&lt;Setup!$D$5),"",IF(Setup!$M$84&gt;0,Setup!$G$84+(Setup!$O$84+V$1)*Setup!$M$84,EDATE(Setup!$G$84,(Setup!$O$84+V$1)*Setup!$N$84))+$A61/1000)))</f>
        <v/>
      </c>
      <c r="W61">
        <f>IF(OR(Setup!$E$84="",Setup!$G$84="",Setup!$F$84=""),"",IF(AND(Setup!$F$84="Once",W$1&gt;0),"",IF(OR(IF(Setup!$M$84&gt;0,Setup!$G$84+(Setup!$O$84+W$1)*Setup!$M$84,EDATE(Setup!$G$84,(Setup!$O$84+W$1)*Setup!$N$84))&gt;Setup!$P$84,IF(Setup!$M$84&gt;0,Setup!$G$84+(Setup!$O$84+W$1)*Setup!$M$84,EDATE(Setup!$G$84,(Setup!$O$84+W$1)*Setup!$N$84))&lt;Setup!$D$5),"",IF(Setup!$M$84&gt;0,Setup!$G$84+(Setup!$O$84+W$1)*Setup!$M$84,EDATE(Setup!$G$84,(Setup!$O$84+W$1)*Setup!$N$84))+$A61/1000)))</f>
        <v/>
      </c>
      <c r="X61">
        <f>IF(OR(Setup!$E$84="",Setup!$G$84="",Setup!$F$84=""),"",IF(AND(Setup!$F$84="Once",X$1&gt;0),"",IF(OR(IF(Setup!$M$84&gt;0,Setup!$G$84+(Setup!$O$84+X$1)*Setup!$M$84,EDATE(Setup!$G$84,(Setup!$O$84+X$1)*Setup!$N$84))&gt;Setup!$P$84,IF(Setup!$M$84&gt;0,Setup!$G$84+(Setup!$O$84+X$1)*Setup!$M$84,EDATE(Setup!$G$84,(Setup!$O$84+X$1)*Setup!$N$84))&lt;Setup!$D$5),"",IF(Setup!$M$84&gt;0,Setup!$G$84+(Setup!$O$84+X$1)*Setup!$M$84,EDATE(Setup!$G$84,(Setup!$O$84+X$1)*Setup!$N$84))+$A61/1000)))</f>
        <v/>
      </c>
      <c r="Y61">
        <f>IF(OR(Setup!$E$84="",Setup!$G$84="",Setup!$F$84=""),"",IF(AND(Setup!$F$84="Once",Y$1&gt;0),"",IF(OR(IF(Setup!$M$84&gt;0,Setup!$G$84+(Setup!$O$84+Y$1)*Setup!$M$84,EDATE(Setup!$G$84,(Setup!$O$84+Y$1)*Setup!$N$84))&gt;Setup!$P$84,IF(Setup!$M$84&gt;0,Setup!$G$84+(Setup!$O$84+Y$1)*Setup!$M$84,EDATE(Setup!$G$84,(Setup!$O$84+Y$1)*Setup!$N$84))&lt;Setup!$D$5),"",IF(Setup!$M$84&gt;0,Setup!$G$84+(Setup!$O$84+Y$1)*Setup!$M$84,EDATE(Setup!$G$84,(Setup!$O$84+Y$1)*Setup!$N$84))+$A61/1000)))</f>
        <v/>
      </c>
      <c r="Z61">
        <f>IF(OR(Setup!$E$84="",Setup!$G$84="",Setup!$F$84=""),"",IF(AND(Setup!$F$84="Once",Z$1&gt;0),"",IF(OR(IF(Setup!$M$84&gt;0,Setup!$G$84+(Setup!$O$84+Z$1)*Setup!$M$84,EDATE(Setup!$G$84,(Setup!$O$84+Z$1)*Setup!$N$84))&gt;Setup!$P$84,IF(Setup!$M$84&gt;0,Setup!$G$84+(Setup!$O$84+Z$1)*Setup!$M$84,EDATE(Setup!$G$84,(Setup!$O$84+Z$1)*Setup!$N$84))&lt;Setup!$D$5),"",IF(Setup!$M$84&gt;0,Setup!$G$84+(Setup!$O$84+Z$1)*Setup!$M$84,EDATE(Setup!$G$84,(Setup!$O$84+Z$1)*Setup!$N$84))+$A61/1000)))</f>
        <v/>
      </c>
      <c r="AA61">
        <f>IF(OR(Setup!$E$84="",Setup!$G$84="",Setup!$F$84=""),"",IF(AND(Setup!$F$84="Once",AA$1&gt;0),"",IF(OR(IF(Setup!$M$84&gt;0,Setup!$G$84+(Setup!$O$84+AA$1)*Setup!$M$84,EDATE(Setup!$G$84,(Setup!$O$84+AA$1)*Setup!$N$84))&gt;Setup!$P$84,IF(Setup!$M$84&gt;0,Setup!$G$84+(Setup!$O$84+AA$1)*Setup!$M$84,EDATE(Setup!$G$84,(Setup!$O$84+AA$1)*Setup!$N$84))&lt;Setup!$D$5),"",IF(Setup!$M$84&gt;0,Setup!$G$84+(Setup!$O$84+AA$1)*Setup!$M$84,EDATE(Setup!$G$84,(Setup!$O$84+AA$1)*Setup!$N$84))+$A61/1000)))</f>
        <v/>
      </c>
      <c r="AB61">
        <f>IF(OR(Setup!$E$84="",Setup!$G$84="",Setup!$F$84=""),"",IF(AND(Setup!$F$84="Once",AB$1&gt;0),"",IF(OR(IF(Setup!$M$84&gt;0,Setup!$G$84+(Setup!$O$84+AB$1)*Setup!$M$84,EDATE(Setup!$G$84,(Setup!$O$84+AB$1)*Setup!$N$84))&gt;Setup!$P$84,IF(Setup!$M$84&gt;0,Setup!$G$84+(Setup!$O$84+AB$1)*Setup!$M$84,EDATE(Setup!$G$84,(Setup!$O$84+AB$1)*Setup!$N$84))&lt;Setup!$D$5),"",IF(Setup!$M$84&gt;0,Setup!$G$84+(Setup!$O$84+AB$1)*Setup!$M$84,EDATE(Setup!$G$84,(Setup!$O$84+AB$1)*Setup!$N$84))+$A61/1000)))</f>
        <v/>
      </c>
      <c r="AC61">
        <f>IF(OR(Setup!$E$84="",Setup!$G$84="",Setup!$F$84=""),"",IF(AND(Setup!$F$84="Once",AC$1&gt;0),"",IF(OR(IF(Setup!$M$84&gt;0,Setup!$G$84+(Setup!$O$84+AC$1)*Setup!$M$84,EDATE(Setup!$G$84,(Setup!$O$84+AC$1)*Setup!$N$84))&gt;Setup!$P$84,IF(Setup!$M$84&gt;0,Setup!$G$84+(Setup!$O$84+AC$1)*Setup!$M$84,EDATE(Setup!$G$84,(Setup!$O$84+AC$1)*Setup!$N$84))&lt;Setup!$D$5),"",IF(Setup!$M$84&gt;0,Setup!$G$84+(Setup!$O$84+AC$1)*Setup!$M$84,EDATE(Setup!$G$84,(Setup!$O$84+AC$1)*Setup!$N$84))+$A61/1000)))</f>
        <v/>
      </c>
      <c r="AD61">
        <f>IF(OR(Setup!$E$84="",Setup!$G$84="",Setup!$F$84=""),"",IF(AND(Setup!$F$84="Once",AD$1&gt;0),"",IF(OR(IF(Setup!$M$84&gt;0,Setup!$G$84+(Setup!$O$84+AD$1)*Setup!$M$84,EDATE(Setup!$G$84,(Setup!$O$84+AD$1)*Setup!$N$84))&gt;Setup!$P$84,IF(Setup!$M$84&gt;0,Setup!$G$84+(Setup!$O$84+AD$1)*Setup!$M$84,EDATE(Setup!$G$84,(Setup!$O$84+AD$1)*Setup!$N$84))&lt;Setup!$D$5),"",IF(Setup!$M$84&gt;0,Setup!$G$84+(Setup!$O$84+AD$1)*Setup!$M$84,EDATE(Setup!$G$84,(Setup!$O$84+AD$1)*Setup!$N$84))+$A61/1000)))</f>
        <v/>
      </c>
      <c r="AE61">
        <f>IF(OR(Setup!$E$84="",Setup!$G$84="",Setup!$F$84=""),"",IF(AND(Setup!$F$84="Once",AE$1&gt;0),"",IF(OR(IF(Setup!$M$84&gt;0,Setup!$G$84+(Setup!$O$84+AE$1)*Setup!$M$84,EDATE(Setup!$G$84,(Setup!$O$84+AE$1)*Setup!$N$84))&gt;Setup!$P$84,IF(Setup!$M$84&gt;0,Setup!$G$84+(Setup!$O$84+AE$1)*Setup!$M$84,EDATE(Setup!$G$84,(Setup!$O$84+AE$1)*Setup!$N$84))&lt;Setup!$D$5),"",IF(Setup!$M$84&gt;0,Setup!$G$84+(Setup!$O$84+AE$1)*Setup!$M$84,EDATE(Setup!$G$84,(Setup!$O$84+AE$1)*Setup!$N$84))+$A61/1000)))</f>
        <v/>
      </c>
      <c r="AF61">
        <f>IF(OR(Setup!$E$84="",Setup!$G$84="",Setup!$F$84=""),"",IF(AND(Setup!$F$84="Once",AF$1&gt;0),"",IF(OR(IF(Setup!$M$84&gt;0,Setup!$G$84+(Setup!$O$84+AF$1)*Setup!$M$84,EDATE(Setup!$G$84,(Setup!$O$84+AF$1)*Setup!$N$84))&gt;Setup!$P$84,IF(Setup!$M$84&gt;0,Setup!$G$84+(Setup!$O$84+AF$1)*Setup!$M$84,EDATE(Setup!$G$84,(Setup!$O$84+AF$1)*Setup!$N$84))&lt;Setup!$D$5),"",IF(Setup!$M$84&gt;0,Setup!$G$84+(Setup!$O$84+AF$1)*Setup!$M$84,EDATE(Setup!$G$84,(Setup!$O$84+AF$1)*Setup!$N$84))+$A61/1000)))</f>
        <v/>
      </c>
      <c r="AG61">
        <f>IF(OR(Setup!$E$84="",Setup!$G$84="",Setup!$F$84=""),"",IF(AND(Setup!$F$84="Once",AG$1&gt;0),"",IF(OR(IF(Setup!$M$84&gt;0,Setup!$G$84+(Setup!$O$84+AG$1)*Setup!$M$84,EDATE(Setup!$G$84,(Setup!$O$84+AG$1)*Setup!$N$84))&gt;Setup!$P$84,IF(Setup!$M$84&gt;0,Setup!$G$84+(Setup!$O$84+AG$1)*Setup!$M$84,EDATE(Setup!$G$84,(Setup!$O$84+AG$1)*Setup!$N$84))&lt;Setup!$D$5),"",IF(Setup!$M$84&gt;0,Setup!$G$84+(Setup!$O$84+AG$1)*Setup!$M$84,EDATE(Setup!$G$84,(Setup!$O$84+AG$1)*Setup!$N$84))+$A61/1000)))</f>
        <v/>
      </c>
      <c r="AH61">
        <f>IF(OR(Setup!$E$84="",Setup!$G$84="",Setup!$F$84=""),"",IF(AND(Setup!$F$84="Once",AH$1&gt;0),"",IF(OR(IF(Setup!$M$84&gt;0,Setup!$G$84+(Setup!$O$84+AH$1)*Setup!$M$84,EDATE(Setup!$G$84,(Setup!$O$84+AH$1)*Setup!$N$84))&gt;Setup!$P$84,IF(Setup!$M$84&gt;0,Setup!$G$84+(Setup!$O$84+AH$1)*Setup!$M$84,EDATE(Setup!$G$84,(Setup!$O$84+AH$1)*Setup!$N$84))&lt;Setup!$D$5),"",IF(Setup!$M$84&gt;0,Setup!$G$84+(Setup!$O$84+AH$1)*Setup!$M$84,EDATE(Setup!$G$84,(Setup!$O$84+AH$1)*Setup!$N$84))+$A61/1000)))</f>
        <v/>
      </c>
      <c r="AI61">
        <f>IF(OR(Setup!$E$84="",Setup!$G$84="",Setup!$F$84=""),"",IF(AND(Setup!$F$84="Once",AI$1&gt;0),"",IF(OR(IF(Setup!$M$84&gt;0,Setup!$G$84+(Setup!$O$84+AI$1)*Setup!$M$84,EDATE(Setup!$G$84,(Setup!$O$84+AI$1)*Setup!$N$84))&gt;Setup!$P$84,IF(Setup!$M$84&gt;0,Setup!$G$84+(Setup!$O$84+AI$1)*Setup!$M$84,EDATE(Setup!$G$84,(Setup!$O$84+AI$1)*Setup!$N$84))&lt;Setup!$D$5),"",IF(Setup!$M$84&gt;0,Setup!$G$84+(Setup!$O$84+AI$1)*Setup!$M$84,EDATE(Setup!$G$84,(Setup!$O$84+AI$1)*Setup!$N$84))+$A61/1000)))</f>
        <v/>
      </c>
      <c r="AJ61">
        <f>IF(OR(Setup!$E$84="",Setup!$G$84="",Setup!$F$84=""),"",IF(AND(Setup!$F$84="Once",AJ$1&gt;0),"",IF(OR(IF(Setup!$M$84&gt;0,Setup!$G$84+(Setup!$O$84+AJ$1)*Setup!$M$84,EDATE(Setup!$G$84,(Setup!$O$84+AJ$1)*Setup!$N$84))&gt;Setup!$P$84,IF(Setup!$M$84&gt;0,Setup!$G$84+(Setup!$O$84+AJ$1)*Setup!$M$84,EDATE(Setup!$G$84,(Setup!$O$84+AJ$1)*Setup!$N$84))&lt;Setup!$D$5),"",IF(Setup!$M$84&gt;0,Setup!$G$84+(Setup!$O$84+AJ$1)*Setup!$M$84,EDATE(Setup!$G$84,(Setup!$O$84+AJ$1)*Setup!$N$84))+$A61/1000)))</f>
        <v/>
      </c>
      <c r="AK61">
        <f>IF(OR(Setup!$E$84="",Setup!$G$84="",Setup!$F$84=""),"",IF(AND(Setup!$F$84="Once",AK$1&gt;0),"",IF(OR(IF(Setup!$M$84&gt;0,Setup!$G$84+(Setup!$O$84+AK$1)*Setup!$M$84,EDATE(Setup!$G$84,(Setup!$O$84+AK$1)*Setup!$N$84))&gt;Setup!$P$84,IF(Setup!$M$84&gt;0,Setup!$G$84+(Setup!$O$84+AK$1)*Setup!$M$84,EDATE(Setup!$G$84,(Setup!$O$84+AK$1)*Setup!$N$84))&lt;Setup!$D$5),"",IF(Setup!$M$84&gt;0,Setup!$G$84+(Setup!$O$84+AK$1)*Setup!$M$84,EDATE(Setup!$G$84,(Setup!$O$84+AK$1)*Setup!$N$84))+$A61/1000)))</f>
        <v/>
      </c>
      <c r="AL61">
        <f>IF(OR(Setup!$E$84="",Setup!$G$84="",Setup!$F$84=""),"",IF(AND(Setup!$F$84="Once",AL$1&gt;0),"",IF(OR(IF(Setup!$M$84&gt;0,Setup!$G$84+(Setup!$O$84+AL$1)*Setup!$M$84,EDATE(Setup!$G$84,(Setup!$O$84+AL$1)*Setup!$N$84))&gt;Setup!$P$84,IF(Setup!$M$84&gt;0,Setup!$G$84+(Setup!$O$84+AL$1)*Setup!$M$84,EDATE(Setup!$G$84,(Setup!$O$84+AL$1)*Setup!$N$84))&lt;Setup!$D$5),"",IF(Setup!$M$84&gt;0,Setup!$G$84+(Setup!$O$84+AL$1)*Setup!$M$84,EDATE(Setup!$G$84,(Setup!$O$84+AL$1)*Setup!$N$84))+$A61/1000)))</f>
        <v/>
      </c>
      <c r="AM61">
        <f>IF(OR(Setup!$E$84="",Setup!$G$84="",Setup!$F$84=""),"",IF(AND(Setup!$F$84="Once",AM$1&gt;0),"",IF(OR(IF(Setup!$M$84&gt;0,Setup!$G$84+(Setup!$O$84+AM$1)*Setup!$M$84,EDATE(Setup!$G$84,(Setup!$O$84+AM$1)*Setup!$N$84))&gt;Setup!$P$84,IF(Setup!$M$84&gt;0,Setup!$G$84+(Setup!$O$84+AM$1)*Setup!$M$84,EDATE(Setup!$G$84,(Setup!$O$84+AM$1)*Setup!$N$84))&lt;Setup!$D$5),"",IF(Setup!$M$84&gt;0,Setup!$G$84+(Setup!$O$84+AM$1)*Setup!$M$84,EDATE(Setup!$G$84,(Setup!$O$84+AM$1)*Setup!$N$84))+$A61/1000)))</f>
        <v/>
      </c>
      <c r="AN61">
        <f>IF(OR(Setup!$E$84="",Setup!$G$84="",Setup!$F$84=""),"",IF(AND(Setup!$F$84="Once",AN$1&gt;0),"",IF(OR(IF(Setup!$M$84&gt;0,Setup!$G$84+(Setup!$O$84+AN$1)*Setup!$M$84,EDATE(Setup!$G$84,(Setup!$O$84+AN$1)*Setup!$N$84))&gt;Setup!$P$84,IF(Setup!$M$84&gt;0,Setup!$G$84+(Setup!$O$84+AN$1)*Setup!$M$84,EDATE(Setup!$G$84,(Setup!$O$84+AN$1)*Setup!$N$84))&lt;Setup!$D$5),"",IF(Setup!$M$84&gt;0,Setup!$G$84+(Setup!$O$84+AN$1)*Setup!$M$84,EDATE(Setup!$G$84,(Setup!$O$84+AN$1)*Setup!$N$84))+$A61/1000)))</f>
        <v/>
      </c>
      <c r="AO61">
        <f>IF(OR(Setup!$E$84="",Setup!$G$84="",Setup!$F$84=""),"",IF(AND(Setup!$F$84="Once",AO$1&gt;0),"",IF(OR(IF(Setup!$M$84&gt;0,Setup!$G$84+(Setup!$O$84+AO$1)*Setup!$M$84,EDATE(Setup!$G$84,(Setup!$O$84+AO$1)*Setup!$N$84))&gt;Setup!$P$84,IF(Setup!$M$84&gt;0,Setup!$G$84+(Setup!$O$84+AO$1)*Setup!$M$84,EDATE(Setup!$G$84,(Setup!$O$84+AO$1)*Setup!$N$84))&lt;Setup!$D$5),"",IF(Setup!$M$84&gt;0,Setup!$G$84+(Setup!$O$84+AO$1)*Setup!$M$84,EDATE(Setup!$G$84,(Setup!$O$84+AO$1)*Setup!$N$84))+$A61/1000)))</f>
        <v/>
      </c>
      <c r="AP61">
        <f>IF(OR(Setup!$E$84="",Setup!$G$84="",Setup!$F$84=""),"",IF(AND(Setup!$F$84="Once",AP$1&gt;0),"",IF(OR(IF(Setup!$M$84&gt;0,Setup!$G$84+(Setup!$O$84+AP$1)*Setup!$M$84,EDATE(Setup!$G$84,(Setup!$O$84+AP$1)*Setup!$N$84))&gt;Setup!$P$84,IF(Setup!$M$84&gt;0,Setup!$G$84+(Setup!$O$84+AP$1)*Setup!$M$84,EDATE(Setup!$G$84,(Setup!$O$84+AP$1)*Setup!$N$84))&lt;Setup!$D$5),"",IF(Setup!$M$84&gt;0,Setup!$G$84+(Setup!$O$84+AP$1)*Setup!$M$84,EDATE(Setup!$G$84,(Setup!$O$84+AP$1)*Setup!$N$84))+$A61/1000)))</f>
        <v/>
      </c>
      <c r="AQ61">
        <f>IF(OR(Setup!$E$84="",Setup!$G$84="",Setup!$F$84=""),"",IF(AND(Setup!$F$84="Once",AQ$1&gt;0),"",IF(OR(IF(Setup!$M$84&gt;0,Setup!$G$84+(Setup!$O$84+AQ$1)*Setup!$M$84,EDATE(Setup!$G$84,(Setup!$O$84+AQ$1)*Setup!$N$84))&gt;Setup!$P$84,IF(Setup!$M$84&gt;0,Setup!$G$84+(Setup!$O$84+AQ$1)*Setup!$M$84,EDATE(Setup!$G$84,(Setup!$O$84+AQ$1)*Setup!$N$84))&lt;Setup!$D$5),"",IF(Setup!$M$84&gt;0,Setup!$G$84+(Setup!$O$84+AQ$1)*Setup!$M$84,EDATE(Setup!$G$84,(Setup!$O$84+AQ$1)*Setup!$N$84))+$A61/1000)))</f>
        <v/>
      </c>
      <c r="AR61">
        <f>IF(OR(Setup!$E$84="",Setup!$G$84="",Setup!$F$84=""),"",IF(AND(Setup!$F$84="Once",AR$1&gt;0),"",IF(OR(IF(Setup!$M$84&gt;0,Setup!$G$84+(Setup!$O$84+AR$1)*Setup!$M$84,EDATE(Setup!$G$84,(Setup!$O$84+AR$1)*Setup!$N$84))&gt;Setup!$P$84,IF(Setup!$M$84&gt;0,Setup!$G$84+(Setup!$O$84+AR$1)*Setup!$M$84,EDATE(Setup!$G$84,(Setup!$O$84+AR$1)*Setup!$N$84))&lt;Setup!$D$5),"",IF(Setup!$M$84&gt;0,Setup!$G$84+(Setup!$O$84+AR$1)*Setup!$M$84,EDATE(Setup!$G$84,(Setup!$O$84+AR$1)*Setup!$N$84))+$A61/1000)))</f>
        <v/>
      </c>
      <c r="AS61">
        <f>IF(OR(Setup!$E$84="",Setup!$G$84="",Setup!$F$84=""),"",IF(AND(Setup!$F$84="Once",AS$1&gt;0),"",IF(OR(IF(Setup!$M$84&gt;0,Setup!$G$84+(Setup!$O$84+AS$1)*Setup!$M$84,EDATE(Setup!$G$84,(Setup!$O$84+AS$1)*Setup!$N$84))&gt;Setup!$P$84,IF(Setup!$M$84&gt;0,Setup!$G$84+(Setup!$O$84+AS$1)*Setup!$M$84,EDATE(Setup!$G$84,(Setup!$O$84+AS$1)*Setup!$N$84))&lt;Setup!$D$5),"",IF(Setup!$M$84&gt;0,Setup!$G$84+(Setup!$O$84+AS$1)*Setup!$M$84,EDATE(Setup!$G$84,(Setup!$O$84+AS$1)*Setup!$N$84))+$A61/1000)))</f>
        <v/>
      </c>
      <c r="AT61">
        <f>IF(OR(Setup!$E$84="",Setup!$G$84="",Setup!$F$84=""),"",IF(AND(Setup!$F$84="Once",AT$1&gt;0),"",IF(OR(IF(Setup!$M$84&gt;0,Setup!$G$84+(Setup!$O$84+AT$1)*Setup!$M$84,EDATE(Setup!$G$84,(Setup!$O$84+AT$1)*Setup!$N$84))&gt;Setup!$P$84,IF(Setup!$M$84&gt;0,Setup!$G$84+(Setup!$O$84+AT$1)*Setup!$M$84,EDATE(Setup!$G$84,(Setup!$O$84+AT$1)*Setup!$N$84))&lt;Setup!$D$5),"",IF(Setup!$M$84&gt;0,Setup!$G$84+(Setup!$O$84+AT$1)*Setup!$M$84,EDATE(Setup!$G$84,(Setup!$O$84+AT$1)*Setup!$N$84))+$A61/1000)))</f>
        <v/>
      </c>
      <c r="AU61">
        <f>IF(OR(Setup!$E$84="",Setup!$G$84="",Setup!$F$84=""),"",IF(AND(Setup!$F$84="Once",AU$1&gt;0),"",IF(OR(IF(Setup!$M$84&gt;0,Setup!$G$84+(Setup!$O$84+AU$1)*Setup!$M$84,EDATE(Setup!$G$84,(Setup!$O$84+AU$1)*Setup!$N$84))&gt;Setup!$P$84,IF(Setup!$M$84&gt;0,Setup!$G$84+(Setup!$O$84+AU$1)*Setup!$M$84,EDATE(Setup!$G$84,(Setup!$O$84+AU$1)*Setup!$N$84))&lt;Setup!$D$5),"",IF(Setup!$M$84&gt;0,Setup!$G$84+(Setup!$O$84+AU$1)*Setup!$M$84,EDATE(Setup!$G$84,(Setup!$O$84+AU$1)*Setup!$N$84))+$A61/1000)))</f>
        <v/>
      </c>
      <c r="AV61">
        <f>IF(OR(Setup!$E$84="",Setup!$G$84="",Setup!$F$84=""),"",IF(AND(Setup!$F$84="Once",AV$1&gt;0),"",IF(OR(IF(Setup!$M$84&gt;0,Setup!$G$84+(Setup!$O$84+AV$1)*Setup!$M$84,EDATE(Setup!$G$84,(Setup!$O$84+AV$1)*Setup!$N$84))&gt;Setup!$P$84,IF(Setup!$M$84&gt;0,Setup!$G$84+(Setup!$O$84+AV$1)*Setup!$M$84,EDATE(Setup!$G$84,(Setup!$O$84+AV$1)*Setup!$N$84))&lt;Setup!$D$5),"",IF(Setup!$M$84&gt;0,Setup!$G$84+(Setup!$O$84+AV$1)*Setup!$M$84,EDATE(Setup!$G$84,(Setup!$O$84+AV$1)*Setup!$N$84))+$A61/1000)))</f>
        <v/>
      </c>
      <c r="AW61">
        <f>IF(OR(Setup!$E$84="",Setup!$G$84="",Setup!$F$84=""),"",IF(AND(Setup!$F$84="Once",AW$1&gt;0),"",IF(OR(IF(Setup!$M$84&gt;0,Setup!$G$84+(Setup!$O$84+AW$1)*Setup!$M$84,EDATE(Setup!$G$84,(Setup!$O$84+AW$1)*Setup!$N$84))&gt;Setup!$P$84,IF(Setup!$M$84&gt;0,Setup!$G$84+(Setup!$O$84+AW$1)*Setup!$M$84,EDATE(Setup!$G$84,(Setup!$O$84+AW$1)*Setup!$N$84))&lt;Setup!$D$5),"",IF(Setup!$M$84&gt;0,Setup!$G$84+(Setup!$O$84+AW$1)*Setup!$M$84,EDATE(Setup!$G$84,(Setup!$O$84+AW$1)*Setup!$N$84))+$A61/1000)))</f>
        <v/>
      </c>
      <c r="AX61">
        <f>IF(OR(Setup!$E$84="",Setup!$G$84="",Setup!$F$84=""),"",IF(AND(Setup!$F$84="Once",AX$1&gt;0),"",IF(OR(IF(Setup!$M$84&gt;0,Setup!$G$84+(Setup!$O$84+AX$1)*Setup!$M$84,EDATE(Setup!$G$84,(Setup!$O$84+AX$1)*Setup!$N$84))&gt;Setup!$P$84,IF(Setup!$M$84&gt;0,Setup!$G$84+(Setup!$O$84+AX$1)*Setup!$M$84,EDATE(Setup!$G$84,(Setup!$O$84+AX$1)*Setup!$N$84))&lt;Setup!$D$5),"",IF(Setup!$M$84&gt;0,Setup!$G$84+(Setup!$O$84+AX$1)*Setup!$M$84,EDATE(Setup!$G$84,(Setup!$O$84+AX$1)*Setup!$N$84))+$A61/1000)))</f>
        <v/>
      </c>
      <c r="AY61">
        <f>IF(OR(Setup!$E$84="",Setup!$G$84="",Setup!$F$84=""),"",IF(AND(Setup!$F$84="Once",AY$1&gt;0),"",IF(OR(IF(Setup!$M$84&gt;0,Setup!$G$84+(Setup!$O$84+AY$1)*Setup!$M$84,EDATE(Setup!$G$84,(Setup!$O$84+AY$1)*Setup!$N$84))&gt;Setup!$P$84,IF(Setup!$M$84&gt;0,Setup!$G$84+(Setup!$O$84+AY$1)*Setup!$M$84,EDATE(Setup!$G$84,(Setup!$O$84+AY$1)*Setup!$N$84))&lt;Setup!$D$5),"",IF(Setup!$M$84&gt;0,Setup!$G$84+(Setup!$O$84+AY$1)*Setup!$M$84,EDATE(Setup!$G$84,(Setup!$O$84+AY$1)*Setup!$N$84))+$A61/1000)))</f>
        <v/>
      </c>
      <c r="AZ61">
        <f>IF(OR(Setup!$E$84="",Setup!$G$84="",Setup!$F$84=""),"",IF(AND(Setup!$F$84="Once",AZ$1&gt;0),"",IF(OR(IF(Setup!$M$84&gt;0,Setup!$G$84+(Setup!$O$84+AZ$1)*Setup!$M$84,EDATE(Setup!$G$84,(Setup!$O$84+AZ$1)*Setup!$N$84))&gt;Setup!$P$84,IF(Setup!$M$84&gt;0,Setup!$G$84+(Setup!$O$84+AZ$1)*Setup!$M$84,EDATE(Setup!$G$84,(Setup!$O$84+AZ$1)*Setup!$N$84))&lt;Setup!$D$5),"",IF(Setup!$M$84&gt;0,Setup!$G$84+(Setup!$O$84+AZ$1)*Setup!$M$84,EDATE(Setup!$G$84,(Setup!$O$84+AZ$1)*Setup!$N$84))+$A61/1000)))</f>
        <v/>
      </c>
      <c r="BA61">
        <f>IF(OR(Setup!$E$84="",Setup!$G$84="",Setup!$F$84=""),"",IF(AND(Setup!$F$84="Once",BA$1&gt;0),"",IF(OR(IF(Setup!$M$84&gt;0,Setup!$G$84+(Setup!$O$84+BA$1)*Setup!$M$84,EDATE(Setup!$G$84,(Setup!$O$84+BA$1)*Setup!$N$84))&gt;Setup!$P$84,IF(Setup!$M$84&gt;0,Setup!$G$84+(Setup!$O$84+BA$1)*Setup!$M$84,EDATE(Setup!$G$84,(Setup!$O$84+BA$1)*Setup!$N$84))&lt;Setup!$D$5),"",IF(Setup!$M$84&gt;0,Setup!$G$84+(Setup!$O$84+BA$1)*Setup!$M$84,EDATE(Setup!$G$84,(Setup!$O$84+BA$1)*Setup!$N$84))+$A61/1000)))</f>
        <v/>
      </c>
      <c r="BB61">
        <f>IF(OR(Setup!$E$84="",Setup!$G$84="",Setup!$F$84=""),"",IF(AND(Setup!$F$84="Once",BB$1&gt;0),"",IF(OR(IF(Setup!$M$84&gt;0,Setup!$G$84+(Setup!$O$84+BB$1)*Setup!$M$84,EDATE(Setup!$G$84,(Setup!$O$84+BB$1)*Setup!$N$84))&gt;Setup!$P$84,IF(Setup!$M$84&gt;0,Setup!$G$84+(Setup!$O$84+BB$1)*Setup!$M$84,EDATE(Setup!$G$84,(Setup!$O$84+BB$1)*Setup!$N$84))&lt;Setup!$D$5),"",IF(Setup!$M$84&gt;0,Setup!$G$84+(Setup!$O$84+BB$1)*Setup!$M$84,EDATE(Setup!$G$84,(Setup!$O$84+BB$1)*Setup!$N$84))+$A61/1000)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2026-09-29T07:26:30Z</dcterms:created>
  <dcterms:modified xsi:type="dcterms:W3CDTF">2026-09-29T07:26:37Z</dcterms:modified>
</cp:coreProperties>
</file>